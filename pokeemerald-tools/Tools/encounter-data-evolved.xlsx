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AW-encounter-data-evolved-high" sheetId="1" r:id="rId4"/>
    <sheet state="visible" name="RAW-encounter-data-evolved-low-" sheetId="2" r:id="rId5"/>
    <sheet state="visible" name="encounter-data-high-level" sheetId="3" r:id="rId6"/>
    <sheet state="visible" name="encounter-data-low-level-parse" sheetId="4" r:id="rId7"/>
    <sheet state="visible" name="ALL-map-id" sheetId="5" r:id="rId8"/>
    <sheet state="visible" name="processed-data-final" sheetId="6" r:id="rId9"/>
    <sheet state="visible" name="processed-data-working" sheetId="7" r:id="rId10"/>
    <sheet state="visible" name="Sheet1" sheetId="8" r:id="rId11"/>
    <sheet state="visible" name="Sheet2" sheetId="9" r:id="rId12"/>
    <sheet state="visible" name="Sheet3" sheetId="10" r:id="rId13"/>
    <sheet state="visible" name="final-encounter-data" sheetId="11" r:id="rId14"/>
  </sheets>
  <definedNames/>
  <calcPr/>
  <extLst>
    <ext uri="GoogleSheetsCustomDataVersion2">
      <go:sheetsCustomData xmlns:go="http://customooxmlschemas.google.com/" r:id="rId15" roundtripDataChecksum="XNu+9Q9h2g+265+mpN9/ZJJ9i22l8KNOGY2n/WDhMq4="/>
    </ext>
  </extLst>
</workbook>
</file>

<file path=xl/sharedStrings.xml><?xml version="1.0" encoding="utf-8"?>
<sst xmlns="http://schemas.openxmlformats.org/spreadsheetml/2006/main" count="43744" uniqueCount="3998">
  <si>
    <t>+2, 27, 0, &lt;3CEB98&gt;, &lt;null&gt;, &lt;null&gt;, &lt;null&gt;</t>
  </si>
  <si>
    <t xml:space="preserve"> &lt;3CEB98&gt;</t>
  </si>
  <si>
    <t xml:space="preserve"> &lt;null&gt;</t>
  </si>
  <si>
    <t>+2, 28, 0, &lt;3CEBD0&gt;, &lt;null&gt;, &lt;null&gt;, &lt;null&gt;</t>
  </si>
  <si>
    <t xml:space="preserve"> &lt;3CEBD0&gt;</t>
  </si>
  <si>
    <t>+2, 29, 0, &lt;3CEC08&gt;, &lt;null&gt;, &lt;null&gt;, &lt;null&gt;</t>
  </si>
  <si>
    <t xml:space="preserve"> &lt;3CEC08&gt;</t>
  </si>
  <si>
    <t>+2, 30, 0, &lt;3CEC40&gt;, &lt;null&gt;, &lt;null&gt;, &lt;null&gt;</t>
  </si>
  <si>
    <t xml:space="preserve"> &lt;3CEC40&gt;</t>
  </si>
  <si>
    <t>+2, 31, 0, &lt;3CEC78&gt;, &lt;null&gt;, &lt;null&gt;, &lt;null&gt;</t>
  </si>
  <si>
    <t xml:space="preserve"> &lt;3CEC78&gt;</t>
  </si>
  <si>
    <t>+2, 32, 0, &lt;3CECB0&gt;, &lt;null&gt;, &lt;null&gt;, &lt;null&gt;</t>
  </si>
  <si>
    <t xml:space="preserve"> &lt;3CECB0&gt;</t>
  </si>
  <si>
    <t>+2, 33, 0, &lt;3CECE8&gt;, &lt;null&gt;, &lt;null&gt;, &lt;null&gt;</t>
  </si>
  <si>
    <t xml:space="preserve"> &lt;3CECE8&gt;</t>
  </si>
  <si>
    <t>+1, 0, 0, &lt;3CED20&gt;, &lt;null&gt;, &lt;null&gt;, &lt;null&gt;</t>
  </si>
  <si>
    <t xml:space="preserve"> &lt;3CED20&gt;</t>
  </si>
  <si>
    <t>+1, 1, 0, &lt;3CED58&gt;, &lt;null&gt;, &lt;null&gt;, &lt;null&gt;</t>
  </si>
  <si>
    <t xml:space="preserve"> &lt;3CED58&gt;</t>
  </si>
  <si>
    <t>+1, 2, 0, &lt;3CED90&gt;, &lt;null&gt;, &lt;null&gt;, &lt;null&gt;</t>
  </si>
  <si>
    <t xml:space="preserve"> &lt;3CED90&gt;</t>
  </si>
  <si>
    <t>+1, 3, 0, &lt;3CEDC8&gt;, &lt;null&gt;, &lt;null&gt;, &lt;null&gt;</t>
  </si>
  <si>
    <t xml:space="preserve"> &lt;3CEDC8&gt;</t>
  </si>
  <si>
    <t>+1, 4, 0, &lt;null&gt;, &lt;3CEDE4&gt;, &lt;null&gt;, &lt;3CEE14&gt;</t>
  </si>
  <si>
    <t xml:space="preserve"> &lt;3CEDE4&gt;</t>
  </si>
  <si>
    <t xml:space="preserve"> &lt;3CEE14&gt;</t>
  </si>
  <si>
    <t>+1, 37, 0, &lt;3CEE4C&gt;, &lt;null&gt;, &lt;null&gt;, &lt;null&gt;</t>
  </si>
  <si>
    <t xml:space="preserve"> &lt;3CEE4C&gt;</t>
  </si>
  <si>
    <t>+1, 39, 0, &lt;3CEE84&gt;, &lt;null&gt;, &lt;null&gt;, &lt;null&gt;</t>
  </si>
  <si>
    <t xml:space="preserve"> &lt;3CEE84&gt;</t>
  </si>
  <si>
    <t>+1, 40, 0, &lt;3CEEBC&gt;, &lt;null&gt;, &lt;null&gt;, &lt;null&gt;</t>
  </si>
  <si>
    <t xml:space="preserve"> &lt;3CEEBC&gt;</t>
  </si>
  <si>
    <t>+1, 41, 0, &lt;3CEEF4&gt;, &lt;null&gt;, &lt;null&gt;, &lt;null&gt;</t>
  </si>
  <si>
    <t xml:space="preserve"> &lt;3CEEF4&gt;</t>
  </si>
  <si>
    <t>+1, 59, 0, &lt;3CEF2C&gt;, &lt;null&gt;, &lt;null&gt;, &lt;null&gt;</t>
  </si>
  <si>
    <t xml:space="preserve"> &lt;3CEF2C&gt;</t>
  </si>
  <si>
    <t>+1, 60, 0, &lt;3CEF64&gt;, &lt;null&gt;, &lt;null&gt;, &lt;null&gt;</t>
  </si>
  <si>
    <t xml:space="preserve"> &lt;3CEF64&gt;</t>
  </si>
  <si>
    <t>+1, 61, 0, &lt;3CEF9C&gt;, &lt;null&gt;, &lt;null&gt;, &lt;null&gt;</t>
  </si>
  <si>
    <t xml:space="preserve"> &lt;3CEF9C&gt;</t>
  </si>
  <si>
    <t>+1, 62, 0, &lt;3CEFD4&gt;, &lt;null&gt;, &lt;null&gt;, &lt;null&gt;</t>
  </si>
  <si>
    <t xml:space="preserve"> &lt;3CEFD4&gt;</t>
  </si>
  <si>
    <t>+1, 63, 0, &lt;3CF00C&gt;, &lt;3CF028&gt;, &lt;null&gt;, &lt;3CF058&gt;</t>
  </si>
  <si>
    <t xml:space="preserve"> &lt;3CF00C&gt;</t>
  </si>
  <si>
    <t xml:space="preserve"> &lt;3CF028&gt;</t>
  </si>
  <si>
    <t xml:space="preserve"> &lt;3CF058&gt;</t>
  </si>
  <si>
    <t>+1, 64, 0, &lt;3CF090&gt;, &lt;3CF0AC&gt;, &lt;null&gt;, &lt;3CF0DC&gt;</t>
  </si>
  <si>
    <t xml:space="preserve"> &lt;3CF090&gt;</t>
  </si>
  <si>
    <t xml:space="preserve"> &lt;3CF0AC&gt;</t>
  </si>
  <si>
    <t xml:space="preserve"> &lt;3CF0DC&gt;</t>
  </si>
  <si>
    <t>+1, 65, 0, &lt;3CF114&gt;, &lt;3CF130&gt;, &lt;null&gt;, &lt;3CF160&gt;</t>
  </si>
  <si>
    <t xml:space="preserve"> &lt;3CF114&gt;</t>
  </si>
  <si>
    <t xml:space="preserve"> &lt;3CF130&gt;</t>
  </si>
  <si>
    <t xml:space="preserve"> &lt;3CF160&gt;</t>
  </si>
  <si>
    <t>+1, 66, 0, &lt;3CF198&gt;, &lt;3CF1B4&gt;, &lt;null&gt;, &lt;3CF1E4&gt;</t>
  </si>
  <si>
    <t xml:space="preserve"> &lt;3CF198&gt;</t>
  </si>
  <si>
    <t xml:space="preserve"> &lt;3CF1B4&gt;</t>
  </si>
  <si>
    <t xml:space="preserve"> &lt;3CF1E4&gt;</t>
  </si>
  <si>
    <t>+1, 72, 0, &lt;3CF21C&gt;, &lt;3CF238&gt;, &lt;null&gt;, &lt;3CF268&gt;</t>
  </si>
  <si>
    <t xml:space="preserve"> &lt;3CF21C&gt;</t>
  </si>
  <si>
    <t xml:space="preserve"> &lt;3CF238&gt;</t>
  </si>
  <si>
    <t xml:space="preserve"> &lt;3CF268&gt;</t>
  </si>
  <si>
    <t>+1, 73, 0, &lt;3CF2A0&gt;, &lt;null&gt;, &lt;null&gt;, &lt;null&gt;</t>
  </si>
  <si>
    <t xml:space="preserve"> &lt;3CF2A0&gt;</t>
  </si>
  <si>
    <t>+1, 74, 0, &lt;3CF2D8&gt;, &lt;3CF2F4&gt;, &lt;null&gt;, &lt;3CF324&gt;</t>
  </si>
  <si>
    <t xml:space="preserve"> &lt;3CF2D8&gt;</t>
  </si>
  <si>
    <t xml:space="preserve"> &lt;3CF2F4&gt;</t>
  </si>
  <si>
    <t xml:space="preserve"> &lt;3CF324&gt;</t>
  </si>
  <si>
    <t>+1, 81, 0, &lt;3CF35C&gt;, &lt;null&gt;, &lt;null&gt;, &lt;null&gt;</t>
  </si>
  <si>
    <t xml:space="preserve"> &lt;3CF35C&gt;</t>
  </si>
  <si>
    <t>+1, 82, 0, &lt;3CF394&gt;, &lt;null&gt;, &lt;3CF3B0&gt;, &lt;null&gt;</t>
  </si>
  <si>
    <t xml:space="preserve"> &lt;3CF394&gt;</t>
  </si>
  <si>
    <t xml:space="preserve"> &lt;3CF3B0&gt;</t>
  </si>
  <si>
    <t>+1, 83, 0, &lt;3CF3E8&gt;, &lt;null&gt;, &lt;null&gt;, &lt;null&gt;</t>
  </si>
  <si>
    <t xml:space="preserve"> &lt;3CF3E8&gt;</t>
  </si>
  <si>
    <t>+1, 84, 0, &lt;3CF420&gt;, &lt;null&gt;, &lt;null&gt;, &lt;null&gt;</t>
  </si>
  <si>
    <t xml:space="preserve"> &lt;3CF420&gt;</t>
  </si>
  <si>
    <t>+1, 85, 0, &lt;3CF458&gt;, &lt;null&gt;, &lt;null&gt;, &lt;null&gt;</t>
  </si>
  <si>
    <t xml:space="preserve"> &lt;3CF458&gt;</t>
  </si>
  <si>
    <t>+1, 86, 0, &lt;3CF490&gt;, &lt;3CF4AC&gt;, &lt;null&gt;, &lt;3CF4DC&gt;</t>
  </si>
  <si>
    <t xml:space="preserve"> &lt;3CF490&gt;</t>
  </si>
  <si>
    <t xml:space="preserve"> &lt;3CF4AC&gt;</t>
  </si>
  <si>
    <t xml:space="preserve"> &lt;3CF4DC&gt;</t>
  </si>
  <si>
    <t>+1, 87, 0, &lt;3CF514&gt;, &lt;3CF530&gt;, &lt;null&gt;, &lt;3CF560&gt;</t>
  </si>
  <si>
    <t xml:space="preserve"> &lt;3CF514&gt;</t>
  </si>
  <si>
    <t xml:space="preserve"> &lt;3CF530&gt;</t>
  </si>
  <si>
    <t xml:space="preserve"> &lt;3CF560&gt;</t>
  </si>
  <si>
    <t>+1, 90, 0, &lt;3CF598&gt;, &lt;null&gt;, &lt;null&gt;, &lt;null&gt;</t>
  </si>
  <si>
    <t xml:space="preserve"> &lt;3CF598&gt;</t>
  </si>
  <si>
    <t>+1, 91, 0, &lt;3CF5D0&gt;, &lt;null&gt;, &lt;null&gt;, &lt;null&gt;</t>
  </si>
  <si>
    <t xml:space="preserve"> &lt;3CF5D0&gt;</t>
  </si>
  <si>
    <t>+1, 92, 0, &lt;3CF608&gt;, &lt;null&gt;, &lt;null&gt;, &lt;null&gt;</t>
  </si>
  <si>
    <t xml:space="preserve"> &lt;3CF608&gt;</t>
  </si>
  <si>
    <t>+1, 93, 0, &lt;3CF640&gt;, &lt;null&gt;, &lt;null&gt;, &lt;null&gt;</t>
  </si>
  <si>
    <t xml:space="preserve"> &lt;3CF640&gt;</t>
  </si>
  <si>
    <t>+1, 94, 0, &lt;3CF678&gt;, &lt;null&gt;, &lt;null&gt;, &lt;null&gt;</t>
  </si>
  <si>
    <t xml:space="preserve"> &lt;3CF678&gt;</t>
  </si>
  <si>
    <t>+1, 95, 0, &lt;3CF6B0&gt;, &lt;null&gt;, &lt;null&gt;, &lt;null&gt;</t>
  </si>
  <si>
    <t xml:space="preserve"> &lt;3CF6B0&gt;</t>
  </si>
  <si>
    <t>+1, 97, 0, &lt;3CF6E8&gt;, &lt;null&gt;, &lt;3CF704&gt;, &lt;null&gt;</t>
  </si>
  <si>
    <t xml:space="preserve"> &lt;3CF6E8&gt;</t>
  </si>
  <si>
    <t xml:space="preserve"> &lt;3CF704&gt;</t>
  </si>
  <si>
    <t>+1, 98, 0, &lt;3CF73C&gt;, &lt;null&gt;, &lt;null&gt;, &lt;null&gt;</t>
  </si>
  <si>
    <t xml:space="preserve"> &lt;3CF73C&gt;</t>
  </si>
  <si>
    <t>+1, 99, 0, &lt;3CF774&gt;, &lt;null&gt;, &lt;3CF790&gt;, &lt;null&gt;</t>
  </si>
  <si>
    <t xml:space="preserve"> &lt;3CF774&gt;</t>
  </si>
  <si>
    <t xml:space="preserve"> &lt;3CF790&gt;</t>
  </si>
  <si>
    <t>+1, 100, 0, &lt;3CF7C8&gt;, &lt;null&gt;, &lt;null&gt;, &lt;null&gt;</t>
  </si>
  <si>
    <t xml:space="preserve"> &lt;3CF7C8&gt;</t>
  </si>
  <si>
    <t>+1, 103, 0, &lt;3CF800&gt;, &lt;null&gt;, &lt;3CF81C&gt;, &lt;null&gt;</t>
  </si>
  <si>
    <t xml:space="preserve"> &lt;3CF800&gt;</t>
  </si>
  <si>
    <t xml:space="preserve"> &lt;3CF81C&gt;</t>
  </si>
  <si>
    <t>+1, 104, 0, &lt;3CF854&gt;, &lt;null&gt;, &lt;3CF870&gt;, &lt;null&gt;</t>
  </si>
  <si>
    <t xml:space="preserve"> &lt;3CF854&gt;</t>
  </si>
  <si>
    <t xml:space="preserve"> &lt;3CF870&gt;</t>
  </si>
  <si>
    <t>+1, 105, 0, &lt;3CF8A8&gt;, &lt;null&gt;, &lt;3CF8C4&gt;, &lt;null&gt;</t>
  </si>
  <si>
    <t xml:space="preserve"> &lt;3CF8A8&gt;</t>
  </si>
  <si>
    <t xml:space="preserve"> &lt;3CF8C4&gt;</t>
  </si>
  <si>
    <t>+1, 106, 0, &lt;3CF8FC&gt;, &lt;null&gt;, &lt;3CF918&gt;, &lt;null&gt;</t>
  </si>
  <si>
    <t xml:space="preserve"> &lt;3CF8FC&gt;</t>
  </si>
  <si>
    <t xml:space="preserve"> &lt;3CF918&gt;</t>
  </si>
  <si>
    <t>+1, 107, 0, &lt;3CF950&gt;, &lt;null&gt;, &lt;3CF96C&gt;, &lt;null&gt;</t>
  </si>
  <si>
    <t xml:space="preserve"> &lt;3CF950&gt;</t>
  </si>
  <si>
    <t xml:space="preserve"> &lt;3CF96C&gt;</t>
  </si>
  <si>
    <t>+1, 108, 0, &lt;3CF9A4&gt;, &lt;null&gt;, &lt;3CF9C0&gt;, &lt;null&gt;</t>
  </si>
  <si>
    <t xml:space="preserve"> &lt;3CF9A4&gt;</t>
  </si>
  <si>
    <t xml:space="preserve"> &lt;3CF9C0&gt;</t>
  </si>
  <si>
    <t>+1, 109, 0, &lt;3CF9F8&gt;, &lt;3CFA14&gt;, &lt;null&gt;, &lt;3CFA44&gt;</t>
  </si>
  <si>
    <t xml:space="preserve"> &lt;3CF9F8&gt;</t>
  </si>
  <si>
    <t xml:space="preserve"> &lt;3CFA14&gt;</t>
  </si>
  <si>
    <t xml:space="preserve"> &lt;3CFA44&gt;</t>
  </si>
  <si>
    <t>+1, 110, 0, &lt;3CFA7C&gt;, &lt;3CFA98&gt;, &lt;null&gt;, &lt;3CFAC8&gt;</t>
  </si>
  <si>
    <t xml:space="preserve"> &lt;3CFA7C&gt;</t>
  </si>
  <si>
    <t xml:space="preserve"> &lt;3CFA98&gt;</t>
  </si>
  <si>
    <t xml:space="preserve"> &lt;3CFAC8&gt;</t>
  </si>
  <si>
    <t>+1, 111, 0, &lt;3CFB00&gt;, &lt;null&gt;, &lt;null&gt;, &lt;null&gt;</t>
  </si>
  <si>
    <t xml:space="preserve"> &lt;3CFB00&gt;</t>
  </si>
  <si>
    <t>+1, 112, 0, &lt;3CFB38&gt;, &lt;null&gt;, &lt;null&gt;, &lt;null&gt;</t>
  </si>
  <si>
    <t xml:space="preserve"> &lt;3CFB38&gt;</t>
  </si>
  <si>
    <t>+1, 113, 0, &lt;3CFB70&gt;, &lt;3CFB8C&gt;, &lt;null&gt;, &lt;3CFBBC&gt;</t>
  </si>
  <si>
    <t xml:space="preserve"> &lt;3CFB70&gt;</t>
  </si>
  <si>
    <t xml:space="preserve"> &lt;3CFB8C&gt;</t>
  </si>
  <si>
    <t xml:space="preserve"> &lt;3CFBBC&gt;</t>
  </si>
  <si>
    <t>+1, 121, 0, &lt;3CFBF4&gt;, &lt;null&gt;, &lt;null&gt;, &lt;null&gt;</t>
  </si>
  <si>
    <t xml:space="preserve"> &lt;3CFBF4&gt;</t>
  </si>
  <si>
    <t>+2, 13, 0, &lt;3CFC2C&gt;, &lt;null&gt;, &lt;null&gt;, &lt;null&gt;</t>
  </si>
  <si>
    <t xml:space="preserve"> &lt;3CFC2C&gt;</t>
  </si>
  <si>
    <t>+2, 14, 0, &lt;3CFC64&gt;, &lt;null&gt;, &lt;null&gt;, &lt;null&gt;</t>
  </si>
  <si>
    <t xml:space="preserve"> &lt;3CFC64&gt;</t>
  </si>
  <si>
    <t>+2, 15, 0, &lt;3CFC9C&gt;, &lt;null&gt;, &lt;null&gt;, &lt;null&gt;</t>
  </si>
  <si>
    <t xml:space="preserve"> &lt;3CFC9C&gt;</t>
  </si>
  <si>
    <t>+2, 16, 0, &lt;3CFCD4&gt;, &lt;null&gt;, &lt;null&gt;, &lt;null&gt;</t>
  </si>
  <si>
    <t xml:space="preserve"> &lt;3CFCD4&gt;</t>
  </si>
  <si>
    <t>+2, 17, 0, &lt;3CFD0C&gt;, &lt;null&gt;, &lt;null&gt;, &lt;null&gt;</t>
  </si>
  <si>
    <t xml:space="preserve"> &lt;3CFD0C&gt;</t>
  </si>
  <si>
    <t>+2, 18, 0, &lt;3CFD44&gt;, &lt;null&gt;, &lt;null&gt;, &lt;null&gt;</t>
  </si>
  <si>
    <t xml:space="preserve"> &lt;3CFD44&gt;</t>
  </si>
  <si>
    <t>+2, 19, 0, &lt;3CFD7C&gt;, &lt;null&gt;, &lt;null&gt;, &lt;null&gt;</t>
  </si>
  <si>
    <t xml:space="preserve"> &lt;3CFD7C&gt;</t>
  </si>
  <si>
    <t>+2, 20, 0, &lt;3CFDB4&gt;, &lt;null&gt;, &lt;null&gt;, &lt;null&gt;</t>
  </si>
  <si>
    <t xml:space="preserve"> &lt;3CFDB4&gt;</t>
  </si>
  <si>
    <t>+2, 21, 0, &lt;3CFDEC&gt;, &lt;null&gt;, &lt;null&gt;, &lt;null&gt;</t>
  </si>
  <si>
    <t xml:space="preserve"> &lt;3CFDEC&gt;</t>
  </si>
  <si>
    <t>+2, 22, 0, &lt;3CFE24&gt;, &lt;null&gt;, &lt;null&gt;, &lt;null&gt;</t>
  </si>
  <si>
    <t xml:space="preserve"> &lt;3CFE24&gt;</t>
  </si>
  <si>
    <t>+2, 23, 0, &lt;3CFE5C&gt;, &lt;null&gt;, &lt;null&gt;, &lt;null&gt;</t>
  </si>
  <si>
    <t xml:space="preserve"> &lt;3CFE5C&gt;</t>
  </si>
  <si>
    <t>+2, 24, 0, &lt;3CFE94&gt;, &lt;null&gt;, &lt;null&gt;, &lt;null&gt;</t>
  </si>
  <si>
    <t xml:space="preserve"> &lt;3CFE94&gt;</t>
  </si>
  <si>
    <t>+2, 25, 0, &lt;3CFECC&gt;, &lt;null&gt;, &lt;null&gt;, &lt;null&gt;</t>
  </si>
  <si>
    <t xml:space="preserve"> &lt;3CFECC&gt;</t>
  </si>
  <si>
    <t>+2, 26, 0, &lt;3CFF04&gt;, &lt;null&gt;, &lt;null&gt;, &lt;null&gt;</t>
  </si>
  <si>
    <t xml:space="preserve"> &lt;3CFF04&gt;</t>
  </si>
  <si>
    <t>+3, 45, 0, &lt;3CFF3C&gt;, &lt;3CFF58&gt;, &lt;3CFF74&gt;, &lt;3CFFA4&gt;</t>
  </si>
  <si>
    <t xml:space="preserve"> &lt;3CFF3C&gt;</t>
  </si>
  <si>
    <t xml:space="preserve"> &lt;3CFF58&gt;</t>
  </si>
  <si>
    <t xml:space="preserve"> &lt;3CFF74&gt;</t>
  </si>
  <si>
    <t xml:space="preserve"> &lt;3CFFA4&gt;</t>
  </si>
  <si>
    <t>+3, 46, 0, &lt;3CFFDC&gt;, &lt;3CFFF8&gt;, &lt;null&gt;, &lt;3D0028&gt;</t>
  </si>
  <si>
    <t xml:space="preserve"> &lt;3CFFDC&gt;</t>
  </si>
  <si>
    <t xml:space="preserve"> &lt;3CFFF8&gt;</t>
  </si>
  <si>
    <t xml:space="preserve"> &lt;3D0028&gt;</t>
  </si>
  <si>
    <t>+3, 47, 0, &lt;3D0060&gt;, &lt;3D007C&gt;, &lt;null&gt;, &lt;3D00AC&gt;</t>
  </si>
  <si>
    <t xml:space="preserve"> &lt;3D0060&gt;</t>
  </si>
  <si>
    <t xml:space="preserve"> &lt;3D007C&gt;</t>
  </si>
  <si>
    <t xml:space="preserve"> &lt;3D00AC&gt;</t>
  </si>
  <si>
    <t>+3, 48, 0, &lt;3D00E4&gt;, &lt;3D0100&gt;, &lt;null&gt;, &lt;3D0130&gt;</t>
  </si>
  <si>
    <t xml:space="preserve"> &lt;3D00E4&gt;</t>
  </si>
  <si>
    <t xml:space="preserve"> &lt;3D0100&gt;</t>
  </si>
  <si>
    <t xml:space="preserve"> &lt;3D0130&gt;</t>
  </si>
  <si>
    <t>+3, 49, 0, &lt;3D0168&gt;, &lt;null&gt;, &lt;null&gt;, &lt;null&gt;</t>
  </si>
  <si>
    <t xml:space="preserve"> &lt;3D0168&gt;</t>
  </si>
  <si>
    <t>+3, 54, 0, &lt;null&gt;, &lt;3D0184&gt;, &lt;null&gt;, &lt;3D01B4&gt;</t>
  </si>
  <si>
    <t xml:space="preserve"> &lt;3D0184&gt;</t>
  </si>
  <si>
    <t xml:space="preserve"> &lt;3D01B4&gt;</t>
  </si>
  <si>
    <t>+3, 55, 0, &lt;null&gt;, &lt;3D01D0&gt;, &lt;null&gt;, &lt;3D0200&gt;</t>
  </si>
  <si>
    <t xml:space="preserve"> &lt;3D01D0&gt;</t>
  </si>
  <si>
    <t xml:space="preserve"> &lt;3D0200&gt;</t>
  </si>
  <si>
    <t>+3, 56, 0, &lt;3D0238&gt;, &lt;3D0254&gt;, &lt;null&gt;, &lt;3D0284&gt;</t>
  </si>
  <si>
    <t xml:space="preserve"> &lt;3D0238&gt;</t>
  </si>
  <si>
    <t xml:space="preserve"> &lt;3D0254&gt;</t>
  </si>
  <si>
    <t xml:space="preserve"> &lt;3D0284&gt;</t>
  </si>
  <si>
    <t>+3, 57, 0, &lt;3D02BC&gt;, &lt;3D02D8&gt;, &lt;null&gt;, &lt;3D0308&gt;</t>
  </si>
  <si>
    <t xml:space="preserve"> &lt;3D02BC&gt;</t>
  </si>
  <si>
    <t xml:space="preserve"> &lt;3D02D8&gt;</t>
  </si>
  <si>
    <t xml:space="preserve"> &lt;3D0308&gt;</t>
  </si>
  <si>
    <t>+3, 58, 0, &lt;null&gt;, &lt;3D0324&gt;, &lt;null&gt;, &lt;3D0354&gt;</t>
  </si>
  <si>
    <t xml:space="preserve"> &lt;3D0324&gt;</t>
  </si>
  <si>
    <t xml:space="preserve"> &lt;3D0354&gt;</t>
  </si>
  <si>
    <t>+3, 59, 0, &lt;null&gt;, &lt;3D0370&gt;, &lt;null&gt;, &lt;3D03A0&gt;</t>
  </si>
  <si>
    <t xml:space="preserve"> &lt;3D0370&gt;</t>
  </si>
  <si>
    <t xml:space="preserve"> &lt;3D03A0&gt;</t>
  </si>
  <si>
    <t>+3, 60, 0, &lt;3D03D8&gt;, &lt;3D03F4&gt;, &lt;null&gt;, &lt;3D0424&gt;</t>
  </si>
  <si>
    <t xml:space="preserve"> &lt;3D03D8&gt;</t>
  </si>
  <si>
    <t xml:space="preserve"> &lt;3D03F4&gt;</t>
  </si>
  <si>
    <t xml:space="preserve"> &lt;3D0424&gt;</t>
  </si>
  <si>
    <t>+3, 61, 0, &lt;3D045C&gt;, &lt;3D0478&gt;, &lt;null&gt;, &lt;3D04A8&gt;</t>
  </si>
  <si>
    <t xml:space="preserve"> &lt;3D045C&gt;</t>
  </si>
  <si>
    <t xml:space="preserve"> &lt;3D0478&gt;</t>
  </si>
  <si>
    <t xml:space="preserve"> &lt;3D04A8&gt;</t>
  </si>
  <si>
    <t>+3, 62, 0, &lt;null&gt;, &lt;3D04C4&gt;, &lt;null&gt;, &lt;3D04F4&gt;</t>
  </si>
  <si>
    <t xml:space="preserve"> &lt;3D04C4&gt;</t>
  </si>
  <si>
    <t xml:space="preserve"> &lt;3D04F4&gt;</t>
  </si>
  <si>
    <t>+3, 63, 0, &lt;3D052C&gt;, &lt;null&gt;, &lt;null&gt;, &lt;null&gt;</t>
  </si>
  <si>
    <t xml:space="preserve"> &lt;3D052C&gt;</t>
  </si>
  <si>
    <t>+3, 64, 0, &lt;3D0564&gt;, &lt;null&gt;, &lt;3D0580&gt;, &lt;null&gt;</t>
  </si>
  <si>
    <t xml:space="preserve"> &lt;3D0564&gt;</t>
  </si>
  <si>
    <t xml:space="preserve"> &lt;3D0580&gt;</t>
  </si>
  <si>
    <t>+3, 65, 0, &lt;null&gt;, &lt;3D059C&gt;, &lt;null&gt;, &lt;3D05CC&gt;</t>
  </si>
  <si>
    <t xml:space="preserve"> &lt;3D059C&gt;</t>
  </si>
  <si>
    <t xml:space="preserve"> &lt;3D05CC&gt;</t>
  </si>
  <si>
    <t>+3, 19, 0, &lt;3D0604&gt;, &lt;null&gt;, &lt;null&gt;, &lt;null&gt;</t>
  </si>
  <si>
    <t xml:space="preserve"> &lt;3D0604&gt;</t>
  </si>
  <si>
    <t>+3, 20, 0, &lt;3D063C&gt;, &lt;null&gt;, &lt;null&gt;, &lt;null&gt;</t>
  </si>
  <si>
    <t xml:space="preserve"> &lt;3D063C&gt;</t>
  </si>
  <si>
    <t>+3, 21, 0, &lt;3D0674&gt;, &lt;null&gt;, &lt;null&gt;, &lt;null&gt;</t>
  </si>
  <si>
    <t xml:space="preserve"> &lt;3D0674&gt;</t>
  </si>
  <si>
    <t>+3, 22, 0, &lt;3D06AC&gt;, &lt;3D06C8&gt;, &lt;null&gt;, &lt;3D06F8&gt;</t>
  </si>
  <si>
    <t xml:space="preserve"> &lt;3D06AC&gt;</t>
  </si>
  <si>
    <t xml:space="preserve"> &lt;3D06C8&gt;</t>
  </si>
  <si>
    <t xml:space="preserve"> &lt;3D06F8&gt;</t>
  </si>
  <si>
    <t>+3, 23, 0, &lt;3D0730&gt;, &lt;null&gt;, &lt;null&gt;, &lt;null&gt;</t>
  </si>
  <si>
    <t xml:space="preserve"> &lt;3D0730&gt;</t>
  </si>
  <si>
    <t>+3, 24, 0, &lt;3D0768&gt;, &lt;3D0784&gt;, &lt;null&gt;, &lt;3D07B4&gt;</t>
  </si>
  <si>
    <t xml:space="preserve"> &lt;3D0768&gt;</t>
  </si>
  <si>
    <t xml:space="preserve"> &lt;3D0784&gt;</t>
  </si>
  <si>
    <t xml:space="preserve"> &lt;3D07B4&gt;</t>
  </si>
  <si>
    <t>+3, 25, 0, &lt;3D07EC&gt;, &lt;null&gt;, &lt;null&gt;, &lt;null&gt;</t>
  </si>
  <si>
    <t xml:space="preserve"> &lt;3D07EC&gt;</t>
  </si>
  <si>
    <t>+3, 26, 0, &lt;3D0824&gt;, &lt;null&gt;, &lt;null&gt;, &lt;null&gt;</t>
  </si>
  <si>
    <t xml:space="preserve"> &lt;3D0824&gt;</t>
  </si>
  <si>
    <t>+3, 27, 0, &lt;3D085C&gt;, &lt;null&gt;, &lt;null&gt;, &lt;null&gt;</t>
  </si>
  <si>
    <t xml:space="preserve"> &lt;3D085C&gt;</t>
  </si>
  <si>
    <t>+3, 28, 0, &lt;3D0894&gt;, &lt;3D08B0&gt;, &lt;null&gt;, &lt;3D08E0&gt;</t>
  </si>
  <si>
    <t xml:space="preserve"> &lt;3D0894&gt;</t>
  </si>
  <si>
    <t xml:space="preserve"> &lt;3D08B0&gt;</t>
  </si>
  <si>
    <t xml:space="preserve"> &lt;3D08E0&gt;</t>
  </si>
  <si>
    <t>+3, 29, 0, &lt;3D0918&gt;, &lt;3D0934&gt;, &lt;null&gt;, &lt;3D0964&gt;</t>
  </si>
  <si>
    <t xml:space="preserve"> &lt;3D0918&gt;</t>
  </si>
  <si>
    <t xml:space="preserve"> &lt;3D0934&gt;</t>
  </si>
  <si>
    <t xml:space="preserve"> &lt;3D0964&gt;</t>
  </si>
  <si>
    <t>+3, 30, 0, &lt;3D099C&gt;, &lt;3D09B8&gt;, &lt;null&gt;, &lt;3D09E8&gt;</t>
  </si>
  <si>
    <t xml:space="preserve"> &lt;3D099C&gt;</t>
  </si>
  <si>
    <t xml:space="preserve"> &lt;3D09B8&gt;</t>
  </si>
  <si>
    <t xml:space="preserve"> &lt;3D09E8&gt;</t>
  </si>
  <si>
    <t>+3, 31, 0, &lt;3D0A20&gt;, &lt;3D0A3C&gt;, &lt;null&gt;, &lt;3D0A6C&gt;</t>
  </si>
  <si>
    <t xml:space="preserve"> &lt;3D0A20&gt;</t>
  </si>
  <si>
    <t xml:space="preserve"> &lt;3D0A3C&gt;</t>
  </si>
  <si>
    <t xml:space="preserve"> &lt;3D0A6C&gt;</t>
  </si>
  <si>
    <t>+3, 32, 0, &lt;3D0AA4&gt;, &lt;null&gt;, &lt;null&gt;, &lt;null&gt;</t>
  </si>
  <si>
    <t xml:space="preserve"> &lt;3D0AA4&gt;</t>
  </si>
  <si>
    <t>+3, 33, 0, &lt;3D0ADC&gt;, &lt;null&gt;, &lt;null&gt;, &lt;null&gt;</t>
  </si>
  <si>
    <t xml:space="preserve"> &lt;3D0ADC&gt;</t>
  </si>
  <si>
    <t>+3, 34, 0, &lt;3D0B14&gt;, &lt;null&gt;, &lt;null&gt;, &lt;null&gt;</t>
  </si>
  <si>
    <t xml:space="preserve"> &lt;3D0B14&gt;</t>
  </si>
  <si>
    <t>+3, 35, 0, &lt;3D0B4C&gt;, &lt;null&gt;, &lt;null&gt;, &lt;null&gt;</t>
  </si>
  <si>
    <t xml:space="preserve"> &lt;3D0B4C&gt;</t>
  </si>
  <si>
    <t>+3, 36, 0, &lt;3D0B84&gt;, &lt;null&gt;, &lt;null&gt;, &lt;null&gt;</t>
  </si>
  <si>
    <t xml:space="preserve"> &lt;3D0B84&gt;</t>
  </si>
  <si>
    <t>+3, 37, 0, &lt;null&gt;, &lt;3D0BA0&gt;, &lt;null&gt;, &lt;3D0BD0&gt;</t>
  </si>
  <si>
    <t xml:space="preserve"> &lt;3D0BA0&gt;</t>
  </si>
  <si>
    <t xml:space="preserve"> &lt;3D0BD0&gt;</t>
  </si>
  <si>
    <t>+3, 38, 0, &lt;null&gt;, &lt;3D0BEC&gt;, &lt;null&gt;, &lt;3D0C1C&gt;</t>
  </si>
  <si>
    <t xml:space="preserve"> &lt;3D0BEC&gt;</t>
  </si>
  <si>
    <t xml:space="preserve"> &lt;3D0C1C&gt;</t>
  </si>
  <si>
    <t>+3, 39, 0, &lt;3D0C54&gt;, &lt;3D0C70&gt;, &lt;null&gt;, &lt;3D0CA0&gt;</t>
  </si>
  <si>
    <t xml:space="preserve"> &lt;3D0C54&gt;</t>
  </si>
  <si>
    <t xml:space="preserve"> &lt;3D0C70&gt;</t>
  </si>
  <si>
    <t xml:space="preserve"> &lt;3D0CA0&gt;</t>
  </si>
  <si>
    <t>+3, 40, 0, &lt;3D0CD8&gt;, &lt;3D0CF4&gt;, &lt;null&gt;, &lt;3D0D24&gt;</t>
  </si>
  <si>
    <t xml:space="preserve"> &lt;3D0CD8&gt;</t>
  </si>
  <si>
    <t xml:space="preserve"> &lt;3D0CF4&gt;</t>
  </si>
  <si>
    <t xml:space="preserve"> &lt;3D0D24&gt;</t>
  </si>
  <si>
    <t>+3, 41, 0, &lt;3D0D5C&gt;, &lt;3D0D78&gt;, &lt;null&gt;, &lt;3D0DA8&gt;</t>
  </si>
  <si>
    <t xml:space="preserve"> &lt;3D0D5C&gt;</t>
  </si>
  <si>
    <t xml:space="preserve"> &lt;3D0D78&gt;</t>
  </si>
  <si>
    <t xml:space="preserve"> &lt;3D0DA8&gt;</t>
  </si>
  <si>
    <t>+3, 42, 0, &lt;3D0DE0&gt;, &lt;3D0DFC&gt;, &lt;null&gt;, &lt;3D0E2C&gt;</t>
  </si>
  <si>
    <t xml:space="preserve"> &lt;3D0DE0&gt;</t>
  </si>
  <si>
    <t xml:space="preserve"> &lt;3D0DFC&gt;</t>
  </si>
  <si>
    <t xml:space="preserve"> &lt;3D0E2C&gt;</t>
  </si>
  <si>
    <t>+3, 43, 0, &lt;3D0E64&gt;, &lt;3D0E80&gt;, &lt;null&gt;, &lt;3D0EB0&gt;</t>
  </si>
  <si>
    <t xml:space="preserve"> &lt;3D0E64&gt;</t>
  </si>
  <si>
    <t xml:space="preserve"> &lt;3D0E80&gt;</t>
  </si>
  <si>
    <t xml:space="preserve"> &lt;3D0EB0&gt;</t>
  </si>
  <si>
    <t>+3, 44, 0, &lt;3D0EE8&gt;, &lt;3D0F04&gt;, &lt;null&gt;, &lt;3D0F34&gt;</t>
  </si>
  <si>
    <t xml:space="preserve"> &lt;3D0EE8&gt;</t>
  </si>
  <si>
    <t xml:space="preserve"> &lt;3D0F04&gt;</t>
  </si>
  <si>
    <t xml:space="preserve"> &lt;3D0F34&gt;</t>
  </si>
  <si>
    <t>+3, 0, 0, &lt;null&gt;, &lt;3D0F50&gt;, &lt;null&gt;, &lt;3D0F80&gt;</t>
  </si>
  <si>
    <t xml:space="preserve"> &lt;3D0F50&gt;</t>
  </si>
  <si>
    <t xml:space="preserve"> &lt;3D0F80&gt;</t>
  </si>
  <si>
    <t>+3, 1, 0, &lt;null&gt;, &lt;3D0F9C&gt;, &lt;null&gt;, &lt;3D0FCC&gt;</t>
  </si>
  <si>
    <t xml:space="preserve"> &lt;3D0F9C&gt;</t>
  </si>
  <si>
    <t xml:space="preserve"> &lt;3D0FCC&gt;</t>
  </si>
  <si>
    <t>+3, 3, 0, &lt;null&gt;, &lt;3D0FE8&gt;, &lt;null&gt;, &lt;3D1018&gt;</t>
  </si>
  <si>
    <t xml:space="preserve"> &lt;3D0FE8&gt;</t>
  </si>
  <si>
    <t xml:space="preserve"> &lt;3D1018&gt;</t>
  </si>
  <si>
    <t>+3, 5, 0, &lt;null&gt;, &lt;3D1034&gt;, &lt;null&gt;, &lt;3D1064&gt;</t>
  </si>
  <si>
    <t xml:space="preserve"> &lt;3D1034&gt;</t>
  </si>
  <si>
    <t xml:space="preserve"> &lt;3D1064&gt;</t>
  </si>
  <si>
    <t>+3, 6, 0, &lt;null&gt;, &lt;3D1080&gt;, &lt;null&gt;, &lt;3D10B0&gt;</t>
  </si>
  <si>
    <t xml:space="preserve"> &lt;3D1080&gt;</t>
  </si>
  <si>
    <t xml:space="preserve"> &lt;3D10B0&gt;</t>
  </si>
  <si>
    <t>+3, 7, 0, &lt;null&gt;, &lt;3D10CC&gt;, &lt;null&gt;, &lt;3D10FC&gt;</t>
  </si>
  <si>
    <t xml:space="preserve"> &lt;3D10CC&gt;</t>
  </si>
  <si>
    <t xml:space="preserve"> &lt;3D10FC&gt;</t>
  </si>
  <si>
    <t>+3, 8, 0, &lt;null&gt;, &lt;3D1118&gt;, &lt;null&gt;, &lt;3D1148&gt;</t>
  </si>
  <si>
    <t xml:space="preserve"> &lt;3D1118&gt;</t>
  </si>
  <si>
    <t xml:space="preserve"> &lt;3D1148&gt;</t>
  </si>
  <si>
    <t>+3, 12, 0, &lt;null&gt;, &lt;3D1164&gt;, &lt;null&gt;, &lt;3D1194&gt;</t>
  </si>
  <si>
    <t xml:space="preserve"> &lt;3D1164&gt;</t>
  </si>
  <si>
    <t xml:space="preserve"> &lt;3D1194&gt;</t>
  </si>
  <si>
    <t>+3, 15, 0, &lt;null&gt;, &lt;3D11B0&gt;, &lt;null&gt;, &lt;3D11E0&gt;</t>
  </si>
  <si>
    <t xml:space="preserve"> &lt;3D11B0&gt;</t>
  </si>
  <si>
    <t xml:space="preserve"> &lt;3D11E0&gt;</t>
  </si>
  <si>
    <t>+3, 16, 0, &lt;null&gt;, &lt;3D11FC&gt;, &lt;null&gt;, &lt;3D122C&gt;</t>
  </si>
  <si>
    <t xml:space="preserve"> &lt;3D11FC&gt;</t>
  </si>
  <si>
    <t xml:space="preserve"> &lt;3D122C&gt;</t>
  </si>
  <si>
    <t>+1, 122, 0, &lt;3D1264&gt;, &lt;null&gt;, &lt;null&gt;, &lt;null&gt;</t>
  </si>
  <si>
    <t xml:space="preserve"> &lt;3D1264&gt;</t>
  </si>
  <si>
    <t>+1, 122, 0, &lt;3D129C&gt;, &lt;null&gt;, &lt;null&gt;, &lt;null&gt;</t>
  </si>
  <si>
    <t xml:space="preserve"> &lt;3D129C&gt;</t>
  </si>
  <si>
    <t>+1, 122, 0, &lt;3D12D4&gt;, &lt;null&gt;, &lt;null&gt;, &lt;null&gt;</t>
  </si>
  <si>
    <t xml:space="preserve"> &lt;3D12D4&gt;</t>
  </si>
  <si>
    <t>+1, 122, 0, &lt;3D130C&gt;, &lt;null&gt;, &lt;null&gt;, &lt;null&gt;</t>
  </si>
  <si>
    <t xml:space="preserve"> &lt;3D130C&gt;</t>
  </si>
  <si>
    <t>+1, 122, 0, &lt;3D1344&gt;, &lt;null&gt;, &lt;null&gt;, &lt;null&gt;</t>
  </si>
  <si>
    <t xml:space="preserve"> &lt;3D1344&gt;</t>
  </si>
  <si>
    <t>+1, 122, 0, &lt;3D137C&gt;, &lt;null&gt;, &lt;null&gt;, &lt;null&gt;</t>
  </si>
  <si>
    <t xml:space="preserve"> &lt;3D137C&gt;</t>
  </si>
  <si>
    <t>+1, 122, 0, &lt;3D13B4&gt;, &lt;null&gt;, &lt;null&gt;, &lt;null&gt;</t>
  </si>
  <si>
    <t xml:space="preserve"> &lt;3D13B4&gt;</t>
  </si>
  <si>
    <t>+1, 122, 0, &lt;3D13EC&gt;, &lt;null&gt;, &lt;null&gt;, &lt;null&gt;</t>
  </si>
  <si>
    <t xml:space="preserve"> &lt;3D13EC&gt;</t>
  </si>
  <si>
    <t>+1, 122, 0, &lt;3D1424&gt;, &lt;null&gt;, &lt;null&gt;, &lt;null&gt;</t>
  </si>
  <si>
    <t xml:space="preserve"> &lt;3D1424&gt;</t>
  </si>
  <si>
    <t>+2, 27, 0, @{ 7, @{ # 20%</t>
  </si>
  <si>
    <t>25, 25, UNOWN</t>
  </si>
  <si>
    <t>+25, 25, UNOWN</t>
  </si>
  <si>
    <t># 10%</t>
  </si>
  <si>
    <t># 5%</t>
  </si>
  <si>
    <t># 4%</t>
  </si>
  <si>
    <t># 1%</t>
  </si>
  <si>
    <t>+25, 25, UNOWN @} @}, &lt;null&gt;, &lt;null&gt;, &lt;null&gt;</t>
  </si>
  <si>
    <t>+2, 28, 0, @{ 7, @{ # 20%</t>
  </si>
  <si>
    <t>+2, 29, 0, @{ 7, @{ # 20%</t>
  </si>
  <si>
    <t>+2, 30, 0, @{ 7, @{ # 20%</t>
  </si>
  <si>
    <t>+2, 31, 0, @{ 7, @{ # 20%</t>
  </si>
  <si>
    <t>+2, 32, 0, @{ 7, @{ # 20%</t>
  </si>
  <si>
    <t>+2, 33, 0, @{ 7, @{ # 20%</t>
  </si>
  <si>
    <t>+1, 0, 0, @{ 14, @{ # 20%</t>
  </si>
  <si>
    <t>4, 6, CATERPIE</t>
  </si>
  <si>
    <t>+4, 6, WEEDLE</t>
  </si>
  <si>
    <t>+5, 7, ODDISH</t>
  </si>
  <si>
    <t>+7, 9, METAPOD</t>
  </si>
  <si>
    <t>+7, 9, KAKUNA</t>
  </si>
  <si>
    <t>+5, 7, PIKACHU</t>
  </si>
  <si>
    <t>+5, 7, MANKEY</t>
  </si>
  <si>
    <t>+9, 10, BUTTERFREE</t>
  </si>
  <si>
    <t>+9, 10, BEEDRILL</t>
  </si>
  <si>
    <t>+6, 9, TANGELA</t>
  </si>
  <si>
    <t>+11, 11, BEEDRILL</t>
  </si>
  <si>
    <t>+10, 10, TANGELA @} @}, &lt;null&gt;, &lt;null&gt;, &lt;null&gt;</t>
  </si>
  <si>
    <t>+1, 1, 0, @{ 7, @{ # 20%</t>
  </si>
  <si>
    <t>9, 11, ZUBAT</t>
  </si>
  <si>
    <t>+9, 11, ZUBAT</t>
  </si>
  <si>
    <t>+10, 12, ZUBAT</t>
  </si>
  <si>
    <t>+10, 12, GEODUDE</t>
  </si>
  <si>
    <t>+11, 11, SANDSHREW</t>
  </si>
  <si>
    <t>+11, 11, PARAS</t>
  </si>
  <si>
    <t>+11, 14, ONIX</t>
  </si>
  <si>
    <t>+11, 14, CLEFAIRY @} @}, &lt;null&gt;, &lt;null&gt;, &lt;null&gt;</t>
  </si>
  <si>
    <t>+1, 2, 0, @{ 5, @{ # 20%</t>
  </si>
  <si>
    <t>10, 12, ZUBAT</t>
  </si>
  <si>
    <t>+11, 13, ZUBAT</t>
  </si>
  <si>
    <t>+11, 13, GEODUDE</t>
  </si>
  <si>
    <t>+12, 12, SANDSHREW</t>
  </si>
  <si>
    <t>+12, 12, PARAS</t>
  </si>
  <si>
    <t>+12, 15, ONIX</t>
  </si>
  <si>
    <t>+12, 15, CLEFAIRY @} @}, &lt;null&gt;, &lt;null&gt;, &lt;null&gt;</t>
  </si>
  <si>
    <t>+1, 3, 0, @{ 7, @{ # 20%</t>
  </si>
  <si>
    <t>10, 13, ZUBAT</t>
  </si>
  <si>
    <t>+10, 13, ZUBAT</t>
  </si>
  <si>
    <t>+11, 14, ZUBAT</t>
  </si>
  <si>
    <t>+11, 14, GEODUDE</t>
  </si>
  <si>
    <t>+11, 14, SANDSHREW</t>
  </si>
  <si>
    <t>+13, 13, PARAS</t>
  </si>
  <si>
    <t>+13, 13, ONIX</t>
  </si>
  <si>
    <t>+13, 13, CLEFAIRY</t>
  </si>
  <si>
    <t>+13, 16, GOLBAT</t>
  </si>
  <si>
    <t>+13, 16, GRAVELER @} @}, &lt;null&gt;, &lt;null&gt;, &lt;null&gt;</t>
  </si>
  <si>
    <t>+1, 4, 0, &lt;null&gt;, @{ 1, @{ 5, 10, TENTACOOL</t>
  </si>
  <si>
    <t>+10, 20, TENTACOOL</t>
  </si>
  <si>
    <t>+20, 30, TENTACOOL</t>
  </si>
  <si>
    <t>+30, 35, TENTACOOL</t>
  </si>
  <si>
    <t>+35, 40, TENTACOOL @} @}, &lt;null&gt;, @{ 10, @{ # old rod:</t>
  </si>
  <si>
    <t>5, 5, MAGIKARP</t>
  </si>
  <si>
    <t>+5, 5, MAGIKARP</t>
  </si>
  <si>
    <t># good rod:</t>
  </si>
  <si>
    <t>+5, 15, KRABBY</t>
  </si>
  <si>
    <t>+5, 15, MAGIKARP</t>
  </si>
  <si>
    <t>+5, 15, HORSEA</t>
  </si>
  <si>
    <t># super rod:</t>
  </si>
  <si>
    <t>+15, 25, KRABBY</t>
  </si>
  <si>
    <t>+15, 25, STARYU</t>
  </si>
  <si>
    <t>+15, 25, GYARADOS</t>
  </si>
  <si>
    <t>+25, 35, KRABBY</t>
  </si>
  <si>
    <t>+25, 35, SLOWPOKE @} @}</t>
  </si>
  <si>
    <t>+1, 37, 0, @{ 5, @{ # 20%</t>
  </si>
  <si>
    <t>18, 18, DIGLETT</t>
  </si>
  <si>
    <t>+19, 19, DIGLETT</t>
  </si>
  <si>
    <t>+20, 20, DIGLETT</t>
  </si>
  <si>
    <t>+21, 21, DIGLETT</t>
  </si>
  <si>
    <t>+22, 22, DIGLETT</t>
  </si>
  <si>
    <t>+19, 19, DUGTRIO</t>
  </si>
  <si>
    <t>+23, 23, DIGLETT</t>
  </si>
  <si>
    <t>+24, 24, DIGLETT</t>
  </si>
  <si>
    <t>+20, 23, DUGTRIO</t>
  </si>
  <si>
    <t>+24, 26, DUGTRIO</t>
  </si>
  <si>
    <t>+27, 28, DUGTRIO</t>
  </si>
  <si>
    <t>+30, 30, DUGROUPLE @} @}, &lt;null&gt;, &lt;null&gt;, &lt;null&gt;</t>
  </si>
  <si>
    <t>+1, 39, 0, @{ 7, @{ # 20%</t>
  </si>
  <si>
    <t>51, 56, NOHTYP</t>
  </si>
  <si>
    <t>+51, 56, CROBAT</t>
  </si>
  <si>
    <t>+51, 56, MACHAMP</t>
  </si>
  <si>
    <t>+51, 56, GOLEM</t>
  </si>
  <si>
    <t>+53, 57, ADNOKANA</t>
  </si>
  <si>
    <t>+53, 57, POLABAT</t>
  </si>
  <si>
    <t>+53, 57, MACHULK</t>
  </si>
  <si>
    <t>+53, 57, RHYMARKABL</t>
  </si>
  <si>
    <t>+55, 57, PLATNIX</t>
  </si>
  <si>
    <t>+55, 57, SLAGOLEM</t>
  </si>
  <si>
    <t>+58, 60, MOLTREM</t>
  </si>
  <si>
    <t>+58, 60, WRAIWRATH @} @}, &lt;null&gt;, &lt;null&gt;, &lt;null&gt;</t>
  </si>
  <si>
    <t>+1, 40, 0, @{ 7, @{ # 20%</t>
  </si>
  <si>
    <t>+59, 61, MOLTREM</t>
  </si>
  <si>
    <t>+59, 61, FERODILLO @} @}, &lt;null&gt;, &lt;null&gt;, &lt;null&gt;</t>
  </si>
  <si>
    <t>+1, 41, 0, @{ 7, @{ # 20%</t>
  </si>
  <si>
    <t>+60, 62, MOLTREM</t>
  </si>
  <si>
    <t>+60, 62, CLAYMOR @} @}, &lt;null&gt;, &lt;null&gt;, &lt;null&gt;</t>
  </si>
  <si>
    <t>+1, 59, 0, @{ 7, @{ # 20%</t>
  </si>
  <si>
    <t>40, 44, RATTCHET</t>
  </si>
  <si>
    <t>+40, 44, NINETALES</t>
  </si>
  <si>
    <t>+41, 42, ARCANINE</t>
  </si>
  <si>
    <t>+43, 44, ARCANINE</t>
  </si>
  <si>
    <t>+42, 44, WEEZING</t>
  </si>
  <si>
    <t>+42, 44, MUK</t>
  </si>
  <si>
    <t>+43, 45, SINGESHA</t>
  </si>
  <si>
    <t>+43, 45, SPIRITALES</t>
  </si>
  <si>
    <t>+45, 46, GUNK</t>
  </si>
  <si>
    <t>+45, 46, HEEVING</t>
  </si>
  <si>
    <t>+44, 47, RATTARULE</t>
  </si>
  <si>
    <t>+20, 25, CHARMANDER @} @}, &lt;null&gt;, &lt;null&gt;, &lt;null&gt;</t>
  </si>
  <si>
    <t>+1, 60, 0, @{ 7, @{ # 20%</t>
  </si>
  <si>
    <t>+1, 61, 0, @{ 7, @{ # 20%</t>
  </si>
  <si>
    <t>+1, 62, 0, @{ 5, @{ # 20%</t>
  </si>
  <si>
    <t>+43, 45, GUNK</t>
  </si>
  <si>
    <t>+43, 45, HEEVING</t>
  </si>
  <si>
    <t>+45, 46, RATTARULE</t>
  </si>
  <si>
    <t>+45, 46, DITTO</t>
  </si>
  <si>
    <t>+20, 25, KABUTO</t>
  </si>
  <si>
    <t>+20, 25, OMANYTE @} @}, &lt;null&gt;, &lt;null&gt;, &lt;null&gt;</t>
  </si>
  <si>
    <t>+1, 63, 0, @{ 21, @{ # 20%</t>
  </si>
  <si>
    <t>35, 40, NIDOKING</t>
  </si>
  <si>
    <t>+35, 40, NIDOQUEEN</t>
  </si>
  <si>
    <t>+36, 41, PARASECT</t>
  </si>
  <si>
    <t>+36, 41, VENOMOTH</t>
  </si>
  <si>
    <t>+36, 41, EXEGGUTOR</t>
  </si>
  <si>
    <t>+36, 41, RHYDON</t>
  </si>
  <si>
    <t>+37, 39, SCIZOR</t>
  </si>
  <si>
    <t>+37, 39, PINSIRIOR</t>
  </si>
  <si>
    <t>+38, 42, CHANSEY</t>
  </si>
  <si>
    <t>+38, 42, JOLTEON</t>
  </si>
  <si>
    <t>+40, 40, BLISSEY</t>
  </si>
  <si>
    <t>+40, 40, RHYPERIOR @} @}, @{ 2, @{ 38, 42, SLOWPOKE</t>
  </si>
  <si>
    <t>+40, 42, PSYDUCK</t>
  </si>
  <si>
    <t>+42, 46, SLOWBRO</t>
  </si>
  <si>
    <t>+42, 46, GOLDUCK</t>
  </si>
  <si>
    <t>+44, 48, VAPOREON @} @}, &lt;null&gt;, @{ 20, @{ # old rod:</t>
  </si>
  <si>
    <t>19, 26, MAGIKARP</t>
  </si>
  <si>
    <t>+19, 26, POLIWAG</t>
  </si>
  <si>
    <t>+29, 33, GYARADOS</t>
  </si>
  <si>
    <t>+30, 35, POLIWAG</t>
  </si>
  <si>
    <t>+30, 35, GOLDEEN</t>
  </si>
  <si>
    <t>+36, 40, POLIWHIRL</t>
  </si>
  <si>
    <t>+36, 40, SEAKING</t>
  </si>
  <si>
    <t>+38, 42, DRATINI</t>
  </si>
  <si>
    <t>+38, 42, DRAGONAIR</t>
  </si>
  <si>
    <t>+40, 44, DRAGONITE @} @}</t>
  </si>
  <si>
    <t>+1, 64, 0, @{ 21, @{ # 20%</t>
  </si>
  <si>
    <t>+36, 41, DODRIO</t>
  </si>
  <si>
    <t>+36, 41, MAGMAR</t>
  </si>
  <si>
    <t>+38, 42, KANGASKHAN</t>
  </si>
  <si>
    <t>+38, 42, HITMONCHAN</t>
  </si>
  <si>
    <t>+40, 40, KANGALLOUS</t>
  </si>
  <si>
    <t>+40, 40, MAGMORTAR @} @}, @{ 2, @{ 38, 42, SLOWPOKE</t>
  </si>
  <si>
    <t>+1, 65, 0, @{ 21, @{ # 20%</t>
  </si>
  <si>
    <t>+36, 41, CLEFABLE</t>
  </si>
  <si>
    <t>+36, 41, ELECTABUZZ</t>
  </si>
  <si>
    <t>+38, 42, TAUROS</t>
  </si>
  <si>
    <t>+38, 42, FLAREON</t>
  </si>
  <si>
    <t>+40, 40, TAUROX</t>
  </si>
  <si>
    <t>+40, 40, ELECTIVIRE @} @}, @{ 2, @{ 38, 42, SLOWPOKE</t>
  </si>
  <si>
    <t>+1, 66, 0, @{ 21, @{ # 20%</t>
  </si>
  <si>
    <t>+36, 41, RAPIDASH</t>
  </si>
  <si>
    <t>+36, 41, TANGELA</t>
  </si>
  <si>
    <t>+38, 42, SNORLAX</t>
  </si>
  <si>
    <t>+38, 42, HITMONLEE</t>
  </si>
  <si>
    <t>+40, 40, ACTLAX</t>
  </si>
  <si>
    <t>+40, 40, TANGROWTH @} @}, @{ 2, @{ 38, 42, SLOWPOKE</t>
  </si>
  <si>
    <t>+1, 72, 0, @{ 7, @{ # 20%</t>
  </si>
  <si>
    <t>50, 55, DUGROUPLE</t>
  </si>
  <si>
    <t>+50, 55, POLABAT</t>
  </si>
  <si>
    <t>+52, 55, VENOMENON</t>
  </si>
  <si>
    <t>+52, 55, "MR. JEST"</t>
  </si>
  <si>
    <t>+52, 55, NIDORULY</t>
  </si>
  <si>
    <t>+52, 55, NIDOREGAL</t>
  </si>
  <si>
    <t>+54, 56, MORPHO</t>
  </si>
  <si>
    <t>+54, 56, MAGNEMELD</t>
  </si>
  <si>
    <t>+54, 56, VOHOO-DU</t>
  </si>
  <si>
    <t>+54, 56, CLEFAEFAE</t>
  </si>
  <si>
    <t>+55, 56, KABUTAK</t>
  </si>
  <si>
    <t>+55, 56, OMAPAL @} @}, @{ 2, @{ 50, 55, POLITOES</t>
  </si>
  <si>
    <t>+50, 55, DRAGONITE</t>
  </si>
  <si>
    <t>+52, 57, POLIWISE</t>
  </si>
  <si>
    <t>+52, 57, DRAGONIER</t>
  </si>
  <si>
    <t>+53, 58, NESSEA @} @}, &lt;null&gt;, @{ 20, @{ # old rod:</t>
  </si>
  <si>
    <t>23, 36, CLOYSTER</t>
  </si>
  <si>
    <t>+23, 36, GYARADOS</t>
  </si>
  <si>
    <t>+30, 38, CLOYSTER</t>
  </si>
  <si>
    <t>+32, 40, KINGDRA</t>
  </si>
  <si>
    <t>+32, 40, HYDRADOS</t>
  </si>
  <si>
    <t>+50, 55, LORDRA</t>
  </si>
  <si>
    <t>+50, 55, AN'ENEMY</t>
  </si>
  <si>
    <t>+52, 57, DRACOSMIC</t>
  </si>
  <si>
    <t>+52, 57, GLAISHELL</t>
  </si>
  <si>
    <t>+53, 58, STARWE @} @}</t>
  </si>
  <si>
    <t>+1, 73, 0, @{ 7, @{ # 20%</t>
  </si>
  <si>
    <t>+55, 56, OMAPAL @} @}, &lt;null&gt;, &lt;null&gt;, &lt;null&gt;</t>
  </si>
  <si>
    <t>+1, 74, 0, @{ 7, @{ # 20%</t>
  </si>
  <si>
    <t>+1, 81, 0, @{ 7, @{ # 20%</t>
  </si>
  <si>
    <t>20, 23, RHYHORN</t>
  </si>
  <si>
    <t>+20, 23, GEODUDE</t>
  </si>
  <si>
    <t>+20, 24, ONIX</t>
  </si>
  <si>
    <t>+19, 23, MANKEY</t>
  </si>
  <si>
    <t>+19, 23, MACHOP</t>
  </si>
  <si>
    <t>+22, 24, GOLBAT</t>
  </si>
  <si>
    <t>+24, 24, RHYHORN</t>
  </si>
  <si>
    <t>+24, 24, GEODUDE</t>
  </si>
  <si>
    <t>+20, 25, GRAVELER</t>
  </si>
  <si>
    <t>+25, 25, GOLBAT</t>
  </si>
  <si>
    <t>+20, 25, PINSIR</t>
  </si>
  <si>
    <t>+20, 23, KANGASKHAN @} @}, &lt;null&gt;, &lt;null&gt;, &lt;null&gt;</t>
  </si>
  <si>
    <t>+1, 82, 0, @{ 7, @{ # 20%</t>
  </si>
  <si>
    <t>+21, 24, KANGASKHAN @} @}, &lt;null&gt;, @{ 50, @{ 5, 20, GEODUDE</t>
  </si>
  <si>
    <t>+10, 20, GEODUDE</t>
  </si>
  <si>
    <t>+15, 30, GEODUDE</t>
  </si>
  <si>
    <t>+25, 40, GRAVELER</t>
  </si>
  <si>
    <t>+30, 40, GRAVELER @} @}, &lt;null&gt;</t>
  </si>
  <si>
    <t>+1, 83, 0, @{ 7, @{ # 20%</t>
  </si>
  <si>
    <t>40, 44, GOLBAT</t>
  </si>
  <si>
    <t>+40, 44, GOLDUCK</t>
  </si>
  <si>
    <t>+40, 44, SLOWBRO</t>
  </si>
  <si>
    <t>+40, 44, CROBAT</t>
  </si>
  <si>
    <t>+40, 44, DEWGONG</t>
  </si>
  <si>
    <t>+40, 44, LICKILICKY</t>
  </si>
  <si>
    <t>+42, 46, POLABAT</t>
  </si>
  <si>
    <t>+42, 46, GILDUCK</t>
  </si>
  <si>
    <t>+44, 47, SLOWMATE</t>
  </si>
  <si>
    <t>+44, 47, PRECIPED</t>
  </si>
  <si>
    <t>+45, 50, DRAGONITE</t>
  </si>
  <si>
    <t>+45, 50, LICKILICKY @} @}, &lt;null&gt;, &lt;null&gt;, &lt;null&gt;</t>
  </si>
  <si>
    <t>+1, 84, 0, @{ 7, @{ # 20%</t>
  </si>
  <si>
    <t>+45, 50, LICKILOLLY @} @}, &lt;null&gt;, &lt;null&gt;, &lt;null&gt;</t>
  </si>
  <si>
    <t>+1, 85, 0, @{ 7, @{ # 20%</t>
  </si>
  <si>
    <t>+1, 86, 0, @{ 7, @{ # 20%</t>
  </si>
  <si>
    <t>+45, 50, LICKILOLLY @} @}, @{ 2, @{ 38, 44, DEWGONG</t>
  </si>
  <si>
    <t>+40, 44, SEADRA</t>
  </si>
  <si>
    <t>+42, 46, KINGLER</t>
  </si>
  <si>
    <t>+42, 46, LAPRAS</t>
  </si>
  <si>
    <t>+42, 46, SLOWBRO @} @}, &lt;null&gt;, @{ 20, @{ # old rod:</t>
  </si>
  <si>
    <t>19, 26, HORSEA</t>
  </si>
  <si>
    <t>+19, 26, SHELLDER</t>
  </si>
  <si>
    <t>+29, 33, SEADRA</t>
  </si>
  <si>
    <t>+30, 35, KRABBY</t>
  </si>
  <si>
    <t>+30, 35, GOLDUCK</t>
  </si>
  <si>
    <t>+36, 40, KINGDRA</t>
  </si>
  <si>
    <t>+36, 40, CLOYSTER</t>
  </si>
  <si>
    <t>+38, 42, GILDUCK</t>
  </si>
  <si>
    <t>+38, 42, KRAKLAW</t>
  </si>
  <si>
    <t>+40, 44, LORDRA @} @}</t>
  </si>
  <si>
    <t>+1, 87, 0, @{ 7, @{ # 20%</t>
  </si>
  <si>
    <t>+1, 90, 0, @{ 2, @{ # 20%</t>
  </si>
  <si>
    <t>28, 31, GASTLY</t>
  </si>
  <si>
    <t>+29, 32, RATTATA</t>
  </si>
  <si>
    <t>+27, 31, CUBONE</t>
  </si>
  <si>
    <t>+29, 32, HAUNTER</t>
  </si>
  <si>
    <t>+28, 31, DROWZEE</t>
  </si>
  <si>
    <t>+28, 31, VULPIX</t>
  </si>
  <si>
    <t>+29, 32, HYPNO</t>
  </si>
  <si>
    <t>+28, 31, RATICATE</t>
  </si>
  <si>
    <t>+29, 32, MAROWAK</t>
  </si>
  <si>
    <t>+28, 31, RATTCHET</t>
  </si>
  <si>
    <t>+33, 33, HAUNTER</t>
  </si>
  <si>
    <t>+32, 33, NINETALES @} @}, &lt;null&gt;, &lt;null&gt;, &lt;null&gt;</t>
  </si>
  <si>
    <t>+1, 91, 0, @{ 4, @{ # 20%</t>
  </si>
  <si>
    <t>+1, 92, 0, @{ 6, @{ # 20%</t>
  </si>
  <si>
    <t>+1, 93, 0, @{ 8, @{ # 20%</t>
  </si>
  <si>
    <t>+1, 94, 0, @{ 10, @{ # 20%</t>
  </si>
  <si>
    <t>+32, 33, GENGAR</t>
  </si>
  <si>
    <t>+1, 95, 0, @{ 7, @{ # 20%</t>
  </si>
  <si>
    <t>39, 46, MAGNEMITE</t>
  </si>
  <si>
    <t>+39, 46, PIKACHU</t>
  </si>
  <si>
    <t>+41, 48, VOLTORB</t>
  </si>
  <si>
    <t>+41, 46, ELECTABUZZ</t>
  </si>
  <si>
    <t>+41, 48, PORYGON</t>
  </si>
  <si>
    <t>+41, 48, MAGNETON</t>
  </si>
  <si>
    <t>+43, 50, PORYGON2</t>
  </si>
  <si>
    <t>+43, 50, ELECTRODE</t>
  </si>
  <si>
    <t>+43, 50, JOLTEON</t>
  </si>
  <si>
    <t>+43, 50, RAICHU</t>
  </si>
  <si>
    <t>+45, 52, ELECTIVIRE</t>
  </si>
  <si>
    <t>+45, 50, MAGNEZONE @} @}, &lt;null&gt;, &lt;null&gt;, &lt;null&gt;</t>
  </si>
  <si>
    <t>+1, 97, 0, @{ 21, @{ # 20%</t>
  </si>
  <si>
    <t>30, 30, PONYTA</t>
  </si>
  <si>
    <t>+38, 38, FEAROW</t>
  </si>
  <si>
    <t>+33, 33, PONYTA</t>
  </si>
  <si>
    <t>+32, 32, SPEAROW</t>
  </si>
  <si>
    <t>+35, 35, MACHOP</t>
  </si>
  <si>
    <t>+33, 33, GEODUDE</t>
  </si>
  <si>
    <t>+36, 36, PONYTA</t>
  </si>
  <si>
    <t>+40, 40, FEAROW</t>
  </si>
  <si>
    <t>+38, 38, MAGMAR</t>
  </si>
  <si>
    <t>+39, 39, RAPIDASH</t>
  </si>
  <si>
    <t>+40, 40, MAGMAR</t>
  </si>
  <si>
    <t>+42, 42, RAPIDASH @} @}, &lt;null&gt;, @{ 50, @{ 5, 20, GEODUDE</t>
  </si>
  <si>
    <t>+1, 98, 0, @{ 7, @{ # 20%</t>
  </si>
  <si>
    <t>33, 33, GEODUDE</t>
  </si>
  <si>
    <t>+29, 29, GEODUDE</t>
  </si>
  <si>
    <t>+31, 31, GEODUDE</t>
  </si>
  <si>
    <t>+31, 31, MACHOP</t>
  </si>
  <si>
    <t>+33, 33, MACHOP</t>
  </si>
  <si>
    <t>+35, 35, GEODUDE</t>
  </si>
  <si>
    <t>+37, 37, MACHOP</t>
  </si>
  <si>
    <t>+37, 37, GEODUDE</t>
  </si>
  <si>
    <t>+39, 39, MACHOP</t>
  </si>
  <si>
    <t>+39, 39, MACHOP @} @}, &lt;null&gt;, &lt;null&gt;, &lt;null&gt;</t>
  </si>
  <si>
    <t>+1, 99, 0, @{ 7, @{ # 20%</t>
  </si>
  <si>
    <t>34, 34, GEODUDE</t>
  </si>
  <si>
    <t>+36, 36, MACHOP</t>
  </si>
  <si>
    <t>+30, 30, GEODUDE</t>
  </si>
  <si>
    <t>+32, 32, GEODUDE</t>
  </si>
  <si>
    <t>+32, 32, MACHOP</t>
  </si>
  <si>
    <t>+34, 34, MACHOP</t>
  </si>
  <si>
    <t>+38, 38, MACHOKE</t>
  </si>
  <si>
    <t>+40, 40, MACHOKE</t>
  </si>
  <si>
    <t>+40, 40, MACHOKE @} @}, &lt;null&gt;, @{ 50, @{ 5, 20, GEODUDE</t>
  </si>
  <si>
    <t>+1, 100, 0, @{ 7, @{ # 20%</t>
  </si>
  <si>
    <t>+1, 103, 0, @{ 7, @{ # 20%</t>
  </si>
  <si>
    <t>36, 36, GEODUDE</t>
  </si>
  <si>
    <t>+38, 38, MACHOP</t>
  </si>
  <si>
    <t>+34, 34, GEODUDE</t>
  </si>
  <si>
    <t>+38, 38, GEODUDE</t>
  </si>
  <si>
    <t>+40, 40, GEODUDE</t>
  </si>
  <si>
    <t>+42, 42, MACHOKE</t>
  </si>
  <si>
    <t>+42, 42, MACHOKE @} @}, &lt;null&gt;, @{ 50, @{ 25, 35, GEODUDE</t>
  </si>
  <si>
    <t>+30, 45, GRAVELER</t>
  </si>
  <si>
    <t>+35, 50, GRAVELER</t>
  </si>
  <si>
    <t>+30, 40, GEODUDE</t>
  </si>
  <si>
    <t>+30, 40, GEODUDE @} @}, &lt;null&gt;</t>
  </si>
  <si>
    <t>+1, 104, 0, @{ 7, @{ # 20%</t>
  </si>
  <si>
    <t>38, 38, GEODUDE</t>
  </si>
  <si>
    <t>+36, 36, GEODUDE</t>
  </si>
  <si>
    <t>+24, 24, SLUGMA</t>
  </si>
  <si>
    <t>+26, 26, SLUGMA</t>
  </si>
  <si>
    <t>+42, 42, GEODUDE</t>
  </si>
  <si>
    <t>+28, 28, SLUGMA</t>
  </si>
  <si>
    <t>+30, 30, SLUGMA</t>
  </si>
  <si>
    <t>+30, 30, SLUGMA @} @}, &lt;null&gt;, @{ 50, @{ 25, 35, GEODUDE</t>
  </si>
  <si>
    <t>+1, 105, 0, @{ 7, @{ # 20%</t>
  </si>
  <si>
    <t>40, 40, GEODUDE</t>
  </si>
  <si>
    <t>+44, 44, GEODUDE</t>
  </si>
  <si>
    <t>+32, 32, SLUGMA</t>
  </si>
  <si>
    <t>+22, 22, SLUGMA</t>
  </si>
  <si>
    <t>+22, 22, SLUGMA @} @}, &lt;null&gt;, @{ 50, @{ 25, 35, GEODUDE</t>
  </si>
  <si>
    <t>+1, 106, 0, @{ 7, @{ # 20%</t>
  </si>
  <si>
    <t>26, 26, SLUGMA</t>
  </si>
  <si>
    <t>+20, 20, SLUGMA</t>
  </si>
  <si>
    <t>+34, 34, SLUGMA</t>
  </si>
  <si>
    <t>+36, 36, SLUGMA</t>
  </si>
  <si>
    <t>+18, 18, SLUGMA</t>
  </si>
  <si>
    <t>+18, 18, SLUGMA @} @}, &lt;null&gt;, @{ 50, @{ 15, 25, SLUGMA</t>
  </si>
  <si>
    <t>+25, 35, SLUGMA</t>
  </si>
  <si>
    <t>+40, 45, MAGCARGO</t>
  </si>
  <si>
    <t>+35, 45, MAGCARGO</t>
  </si>
  <si>
    <t>+25, 35, MAGCARGO @} @}, &lt;null&gt;</t>
  </si>
  <si>
    <t>+1, 107, 0, @{ 7, @{ # 20%</t>
  </si>
  <si>
    <t>+1, 108, 0, @{ 7, @{ # 20%</t>
  </si>
  <si>
    <t>+1, 109, 0, @{ 21, @{ # 20%</t>
  </si>
  <si>
    <t>37, 37, PIDGEOTTO</t>
  </si>
  <si>
    <t>+35, 35, WEEPINBELL</t>
  </si>
  <si>
    <t>+32, 32, PIDGEY</t>
  </si>
  <si>
    <t>+30, 30, BELLSPROUT</t>
  </si>
  <si>
    <t>+34, 34, VENONAT</t>
  </si>
  <si>
    <t>+34, 34, DROWZEE</t>
  </si>
  <si>
    <t>+35, 35, EXEGGCUTE</t>
  </si>
  <si>
    <t>+31, 31, SLOWPOKE</t>
  </si>
  <si>
    <t>+37, 37, VENOMOTH</t>
  </si>
  <si>
    <t>+37, 37, HYPNO</t>
  </si>
  <si>
    <t>+40, 40, VENOMOTH</t>
  </si>
  <si>
    <t>+40, 40, HYPNO @} @}, @{ 2, @{ 5, 20, SLOWPOKE</t>
  </si>
  <si>
    <t>+20, 35, SLOWPOKE</t>
  </si>
  <si>
    <t>+35, 40, SLOWPOKE</t>
  </si>
  <si>
    <t>+35, 40, SLOWBRO</t>
  </si>
  <si>
    <t>+35, 40, SLOWBRO @} @}, &lt;null&gt;, @{ 20, @{ # old rod:</t>
  </si>
  <si>
    <t>+5, 15, GOLDEEN</t>
  </si>
  <si>
    <t>+5, 15, POLIWAG</t>
  </si>
  <si>
    <t>+15, 25, GOLDEEN</t>
  </si>
  <si>
    <t>+20, 30, SEAKING</t>
  </si>
  <si>
    <t>+15, 25, SLOWPOKE</t>
  </si>
  <si>
    <t>+1, 110, 0, @{ 7, @{ # 20%</t>
  </si>
  <si>
    <t>43, 43, SEEL</t>
  </si>
  <si>
    <t>+45, 45, GOLBAT</t>
  </si>
  <si>
    <t>+45, 45, SEEL</t>
  </si>
  <si>
    <t>+47, 47, SEEL</t>
  </si>
  <si>
    <t>+40, 40, ZUBAT</t>
  </si>
  <si>
    <t>+49, 49, DEWGONG</t>
  </si>
  <si>
    <t>+51, 51, DEWGONG</t>
  </si>
  <si>
    <t>+41, 41, SLOWPOKE</t>
  </si>
  <si>
    <t>+48, 48, GOLBAT</t>
  </si>
  <si>
    <t>+53, 53, DEWGONG</t>
  </si>
  <si>
    <t>+53, 53, DEWGONG @} @}, @{ 2, @{ 5, 35, SEEL</t>
  </si>
  <si>
    <t>+5, 35, SLOWPOKE</t>
  </si>
  <si>
    <t>+35, 40, DEWGONG</t>
  </si>
  <si>
    <t>+5, 15, MARILL</t>
  </si>
  <si>
    <t>+5, 15, MARILL @} @}, &lt;null&gt;, @{ 20, @{ # old rod:</t>
  </si>
  <si>
    <t>+15, 25, POLIWAG</t>
  </si>
  <si>
    <t>+20, 30, POLIWHIRL</t>
  </si>
  <si>
    <t>+1, 111, 0, @{ 7, @{ # 20%</t>
  </si>
  <si>
    <t>25, 25, SWINUB</t>
  </si>
  <si>
    <t>+27, 27, SWINUB</t>
  </si>
  <si>
    <t>+29, 29, SWINUB</t>
  </si>
  <si>
    <t>+30, 30, SNEASEL</t>
  </si>
  <si>
    <t>+31, 31, SWINUB</t>
  </si>
  <si>
    <t>+23, 23, SWINUB</t>
  </si>
  <si>
    <t>+23, 23, SWINUB @} @}, &lt;null&gt;, &lt;null&gt;, &lt;null&gt;</t>
  </si>
  <si>
    <t>+1, 112, 0, @{ 7, @{ # 20%</t>
  </si>
  <si>
    <t>+1, 113, 0, @{ 7, @{ # 20%</t>
  </si>
  <si>
    <t>+53, 53, DEWGONG @} @}, @{ 2, @{ 5, 20, TENTACOOL</t>
  </si>
  <si>
    <t>+20, 35, TENTACOOL</t>
  </si>
  <si>
    <t>+35, 45, TENTACOOL</t>
  </si>
  <si>
    <t>+35, 45, TENTACRUEL</t>
  </si>
  <si>
    <t>+30, 45, LAPRAS @} @}, &lt;null&gt;, @{ 20, @{ # old rod:</t>
  </si>
  <si>
    <t>+25, 35, KINGLER</t>
  </si>
  <si>
    <t>+1, 121, 0, @{ 21, @{ # 20%</t>
  </si>
  <si>
    <t>9, 9, LEDYBA</t>
  </si>
  <si>
    <t>+9, 9, KAKUNA</t>
  </si>
  <si>
    <t>+14, 14, LEDYBA</t>
  </si>
  <si>
    <t>+6, 6, CATERPIE</t>
  </si>
  <si>
    <t>+6, 6, WEEDLE</t>
  </si>
  <si>
    <t>+15, 15, HERACROSS</t>
  </si>
  <si>
    <t>+9, 9, METAPOD</t>
  </si>
  <si>
    <t>+20, 20, HERACROSS</t>
  </si>
  <si>
    <t>+9, 9, SPINARAK</t>
  </si>
  <si>
    <t>+25, 25, HERACROSS</t>
  </si>
  <si>
    <t>+14, 14, SPINARAK</t>
  </si>
  <si>
    <t>+30, 30, HERACROSS @} @}, &lt;null&gt;, &lt;null&gt;, &lt;null&gt;</t>
  </si>
  <si>
    <t>+2, 13, 0, @{ 1, @{ # 20%</t>
  </si>
  <si>
    <t>40, 40, GASTLY</t>
  </si>
  <si>
    <t>+37, 37, ZUBAT</t>
  </si>
  <si>
    <t>+44, 44, HAUNTER</t>
  </si>
  <si>
    <t>+46, 46, HAUNTER</t>
  </si>
  <si>
    <t>+41, 41, GOLBAT</t>
  </si>
  <si>
    <t>+43, 43, GOLBAT</t>
  </si>
  <si>
    <t>+38, 38, GASTLY</t>
  </si>
  <si>
    <t>+48, 48, HAUNTER</t>
  </si>
  <si>
    <t>+50, 50, HAUNTER</t>
  </si>
  <si>
    <t>+22, 22, MISDREAVUS</t>
  </si>
  <si>
    <t>+52, 52, HAUNTER</t>
  </si>
  <si>
    <t>+22, 22, MISDREAVUS @} @}, &lt;null&gt;, &lt;null&gt;, &lt;null&gt;</t>
  </si>
  <si>
    <t>+2, 14, 0, @{ 2, @{ # 20%</t>
  </si>
  <si>
    <t>+2, 15, 0, @{ 3, @{ # 20%</t>
  </si>
  <si>
    <t>+2, 16, 0, @{ 4, @{ # 20%</t>
  </si>
  <si>
    <t>+2, 17, 0, @{ 5, @{ # 20%</t>
  </si>
  <si>
    <t>+2, 18, 0, @{ 6, @{ # 20%</t>
  </si>
  <si>
    <t>+2, 19, 0, @{ 7, @{ # 20%</t>
  </si>
  <si>
    <t>+2, 20, 0, @{ 8, @{ # 20%</t>
  </si>
  <si>
    <t>+2, 21, 0, @{ 9, @{ # 20%</t>
  </si>
  <si>
    <t>+2, 22, 0, @{ 10, @{ # 20%</t>
  </si>
  <si>
    <t>+2, 23, 0, @{ 5, @{ # 20%</t>
  </si>
  <si>
    <t>+15, 15, MISDREAVUS</t>
  </si>
  <si>
    <t>+20, 20, MISDREAVUS</t>
  </si>
  <si>
    <t>+2, 24, 0, @{ 5, @{ # 20%</t>
  </si>
  <si>
    <t>+2, 25, 0, @{ 5, @{ # 20%</t>
  </si>
  <si>
    <t>+2, 26, 0, @{ 5, @{ # 20%</t>
  </si>
  <si>
    <t>+3, 45, 0, @{ 21, @{ # 20%</t>
  </si>
  <si>
    <t>32, 32, SPEAROW</t>
  </si>
  <si>
    <t>+34, 34, PONYTA</t>
  </si>
  <si>
    <t>+36, 36, FEAROW</t>
  </si>
  <si>
    <t>+31, 31, PONYTA</t>
  </si>
  <si>
    <t>+31, 31, MEOWTH</t>
  </si>
  <si>
    <t>+30, 30, SPEAROW</t>
  </si>
  <si>
    <t>+34, 34, SLOWPOKE</t>
  </si>
  <si>
    <t>+37, 37, RAPIDASH</t>
  </si>
  <si>
    <t>+37, 37, PERSIAN</t>
  </si>
  <si>
    <t>+40, 40, RAPIDASH</t>
  </si>
  <si>
    <t>+40, 40, PERSIAN @} @}, @{ 2, @{ 5, 20, TENTACOOL</t>
  </si>
  <si>
    <t>+35, 40, TENTACOOL</t>
  </si>
  <si>
    <t>+35, 40, TENTACRUEL</t>
  </si>
  <si>
    <t>+35, 40, TENTACRUEL @} @}, @{ 25, @{ 5, 20, GEODUDE</t>
  </si>
  <si>
    <t>+30, 40, GRAVELER @} @}, @{ 20, @{ # old rod:</t>
  </si>
  <si>
    <t>+3, 46, 0, @{ 21, @{ # 20%</t>
  </si>
  <si>
    <t>+33, 33, TANGELA</t>
  </si>
  <si>
    <t>+31, 31, SPEAROW</t>
  </si>
  <si>
    <t>+35, 35, TANGELA</t>
  </si>
  <si>
    <t>+35, 40, TENTACRUEL @} @}, &lt;null&gt;, @{ 20, @{ # old rod:</t>
  </si>
  <si>
    <t>+3, 47, 0, @{ 21, @{ # 20%</t>
  </si>
  <si>
    <t>31, 31, SPEAROW</t>
  </si>
  <si>
    <t>+32, 32, BELLSPROUT</t>
  </si>
  <si>
    <t>+36, 36, WEEPINBELL</t>
  </si>
  <si>
    <t>+38, 38, WEEPINBELL</t>
  </si>
  <si>
    <t>+37, 37, SLOWBRO</t>
  </si>
  <si>
    <t>+40, 40, SLOWBRO</t>
  </si>
  <si>
    <t>+40, 40, PERSIAN @} @}, @{ 2, @{ 5, 20, SLOWPOKE</t>
  </si>
  <si>
    <t>+3, 48, 0, @{ 21, @{ # 20%</t>
  </si>
  <si>
    <t>32, 32, PIDGEY</t>
  </si>
  <si>
    <t>+31, 31, BELLSPROUT</t>
  </si>
  <si>
    <t>+29, 29, PIDGEY</t>
  </si>
  <si>
    <t>+34, 34, PIDGEOTTO</t>
  </si>
  <si>
    <t>+37, 37, PIDGEOTTO</t>
  </si>
  <si>
    <t>+40, 40, PIDGEOTTO</t>
  </si>
  <si>
    <t>+3, 49, 0, @{ 1, @{ # 20%</t>
  </si>
  <si>
    <t>15, 15, DUNSPARCE</t>
  </si>
  <si>
    <t>+15, 15, DUNSPARCE</t>
  </si>
  <si>
    <t>+10, 10, DUNSPARCE</t>
  </si>
  <si>
    <t>+20, 20, DUNSPARCE</t>
  </si>
  <si>
    <t>+25, 25, DUNSPARCE</t>
  </si>
  <si>
    <t>+30, 30, DUNSPARCE</t>
  </si>
  <si>
    <t>+5, 5, DUNSPARCE</t>
  </si>
  <si>
    <t>+35, 35, DUNSPARCE @} @}, &lt;null&gt;, &lt;null&gt;, &lt;null&gt;</t>
  </si>
  <si>
    <t>+3, 54, 0, &lt;null&gt;, @{ 2, @{ 5, 35, TENTACOOL</t>
  </si>
  <si>
    <t>+5, 15, HOPPIP</t>
  </si>
  <si>
    <t>+15, 25, REMORAID</t>
  </si>
  <si>
    <t>+3, 55, 0, &lt;null&gt;, @{ 2, @{ 5, 35, TENTACOOL</t>
  </si>
  <si>
    <t>+3, 56, 0, @{ 21, @{ # 20%</t>
  </si>
  <si>
    <t>44, 44, PIDGEY</t>
  </si>
  <si>
    <t>+10, 10, SENTRET</t>
  </si>
  <si>
    <t>+48, 48, PIDGEOTTO</t>
  </si>
  <si>
    <t>+10, 10, HOPPIP</t>
  </si>
  <si>
    <t>+15, 15, SENTRET</t>
  </si>
  <si>
    <t>+41, 41, MEOWTH</t>
  </si>
  <si>
    <t>+15, 15, HOPPIP</t>
  </si>
  <si>
    <t>+50, 50, PIDGEOTTO</t>
  </si>
  <si>
    <t>+47, 47, PERSIAN</t>
  </si>
  <si>
    <t>+50, 50, PERSIAN @} @}, @{ 2, @{ 5, 35, TENTACOOL</t>
  </si>
  <si>
    <t>+3, 57, 0, @{ 21, @{ # 20%</t>
  </si>
  <si>
    <t>10, 10, HOPPIP</t>
  </si>
  <si>
    <t>+12, 12, HOPPIP</t>
  </si>
  <si>
    <t>+8, 8, HOPPIP</t>
  </si>
  <si>
    <t>+14, 14, HOPPIP</t>
  </si>
  <si>
    <t>+16, 16, HOPPIP</t>
  </si>
  <si>
    <t>+6, 6, HOPPIP</t>
  </si>
  <si>
    <t>+14, 14, HOPPIP @} @}, @{ 2, @{ 5, 35, TENTACOOL</t>
  </si>
  <si>
    <t>+3, 58, 0, &lt;null&gt;, @{ 2, @{ 5, 20, TENTACOOL</t>
  </si>
  <si>
    <t>+3, 59, 0, &lt;null&gt;, @{ 2, @{ 5, 20, TENTACOOL</t>
  </si>
  <si>
    <t>+3, 60, 0, @{ 21, @{ # 20%</t>
  </si>
  <si>
    <t>44, 44, SPEAROW</t>
  </si>
  <si>
    <t>+44, 44, BELLSPROUT</t>
  </si>
  <si>
    <t>+48, 48, FEAROW</t>
  </si>
  <si>
    <t>+48, 48, WEEPINBELL</t>
  </si>
  <si>
    <t>+50, 50, FEAROW</t>
  </si>
  <si>
    <t>+50, 50, PERSIAN @} @}, @{ 2, @{ 5, 20, TENTACOOL</t>
  </si>
  <si>
    <t>+3, 61, 0, @{ 21, @{ # 20%</t>
  </si>
  <si>
    <t>15, 15, NATU</t>
  </si>
  <si>
    <t>+44, 44, SPEAROW</t>
  </si>
  <si>
    <t>+18, 18, YANMA</t>
  </si>
  <si>
    <t>+15, 15, MARILL</t>
  </si>
  <si>
    <t>+49, 49, FEAROW</t>
  </si>
  <si>
    <t>+43, 43, MEOWTH</t>
  </si>
  <si>
    <t>+25, 25, WOBBUFFET</t>
  </si>
  <si>
    <t>+20, 20, NATU</t>
  </si>
  <si>
    <t>+49, 49, PERSIAN</t>
  </si>
  <si>
    <t>+52, 52, PERSIAN @} @}, @{ 2, @{ 5, 20, MARILL</t>
  </si>
  <si>
    <t>+10, 20, MARILL</t>
  </si>
  <si>
    <t>+15, 25, MARILL</t>
  </si>
  <si>
    <t>+20, 25, MARILL</t>
  </si>
  <si>
    <t>+20, 25, MARILL @} @}, &lt;null&gt;, @{ 20, @{ # old rod:</t>
  </si>
  <si>
    <t>+3, 62, 0, &lt;null&gt;, @{ 2, @{ 5, 20, TENTACOOL</t>
  </si>
  <si>
    <t>+35, 40, MANTINE</t>
  </si>
  <si>
    <t>+3, 63, 0, @{ 21, @{ # 20%</t>
  </si>
  <si>
    <t>+10, 10, PHANPY</t>
  </si>
  <si>
    <t>+15, 15, PHANPY</t>
  </si>
  <si>
    <t>+50, 50, PERSIAN @} @}, &lt;null&gt;, &lt;null&gt;, &lt;null&gt;</t>
  </si>
  <si>
    <t>+3, 64, 0, @{ 21, @{ # 20%</t>
  </si>
  <si>
    <t>46, 46, GEODUDE</t>
  </si>
  <si>
    <t>+46, 46, CUBONE</t>
  </si>
  <si>
    <t>+52, 52, MAROWAK</t>
  </si>
  <si>
    <t>+54, 54, ONIX</t>
  </si>
  <si>
    <t>+15, 15, LARVITAR</t>
  </si>
  <si>
    <t>+20, 20, LARVITAR</t>
  </si>
  <si>
    <t>+52, 52, PERSIAN @} @}, &lt;null&gt;, @{ 25, @{ 25, 35, GEODUDE</t>
  </si>
  <si>
    <t>+3, 65, 0, &lt;null&gt;, @{ 2, @{ 5, 20, TENTACOOL</t>
  </si>
  <si>
    <t>+3, 19, 0, @{ 21, @{ # 20%</t>
  </si>
  <si>
    <t>2, 5, PIDGEY</t>
  </si>
  <si>
    <t>+2, 5, PIDGEY</t>
  </si>
  <si>
    <t>+2, 4, RATTATA</t>
  </si>
  <si>
    <t>+2, 4, BELLSPROUT</t>
  </si>
  <si>
    <t>+2, 4, ODDISH</t>
  </si>
  <si>
    <t>+2, 4, VENONAT</t>
  </si>
  <si>
    <t>+3, 3, EEVEE</t>
  </si>
  <si>
    <t>+3, 3, EEVEE @} @}, &lt;null&gt;, &lt;null&gt;, &lt;null&gt;</t>
  </si>
  <si>
    <t>+3, 20, 0, @{ 21, @{ # 20%</t>
  </si>
  <si>
    <t>3, 5, CATERPIE</t>
  </si>
  <si>
    <t>+3, 5, WEEDLE</t>
  </si>
  <si>
    <t>+4, 6, PIDGEY</t>
  </si>
  <si>
    <t>+4, 6, RATTATA</t>
  </si>
  <si>
    <t>+5, 8, MEOWTH</t>
  </si>
  <si>
    <t>+5, 8, FARFETCH'D</t>
  </si>
  <si>
    <t>+5, 8, MAGNEMITE</t>
  </si>
  <si>
    <t>+5, 8, GROWLITHE</t>
  </si>
  <si>
    <t>+7, 7, MAGNEMITE</t>
  </si>
  <si>
    <t>+7, 7, GROWLITHE @} @}, &lt;null&gt;, &lt;null&gt;, &lt;null&gt;</t>
  </si>
  <si>
    <t>+3, 21, 0, @{ 21, @{ # 20%</t>
  </si>
  <si>
    <t>7, 9, SPEAROW</t>
  </si>
  <si>
    <t>+7, 9, PIDGEY</t>
  </si>
  <si>
    <t>+8, 10, NIDORAN\sf</t>
  </si>
  <si>
    <t>+8, 10, NIDORAN\sm</t>
  </si>
  <si>
    <t>+8, 10, EKANS</t>
  </si>
  <si>
    <t>+8, 10, SANDSHREW</t>
  </si>
  <si>
    <t>+9, 10, JIGGLYPUFF</t>
  </si>
  <si>
    <t>+9, 10, CLEFAIRY</t>
  </si>
  <si>
    <t>+9, 11, MACHOP</t>
  </si>
  <si>
    <t>+10, 13, NIDORAN\sf</t>
  </si>
  <si>
    <t>+10, 13, NIDORAN\sm @} @}, &lt;null&gt;, &lt;null&gt;, &lt;null&gt;</t>
  </si>
  <si>
    <t>+3, 22, 0, @{ 21, @{ # 20%</t>
  </si>
  <si>
    <t>13, 16, RATTATA</t>
  </si>
  <si>
    <t>+13, 16, SPEAROW</t>
  </si>
  <si>
    <t>+14, 16, PSYDUCK</t>
  </si>
  <si>
    <t>+14, 16, NIDORAN\sm</t>
  </si>
  <si>
    <t>+14, 16, NIDORAN\sf</t>
  </si>
  <si>
    <t>+14, 16, EKANS</t>
  </si>
  <si>
    <t>+15, 15, JIGGLYPUFF</t>
  </si>
  <si>
    <t>+15, 15, CLEFAIRY</t>
  </si>
  <si>
    <t>+13, 18, MANKEY</t>
  </si>
  <si>
    <t>+13, 18, MACHOP</t>
  </si>
  <si>
    <t>+16, 16, NIDORINO</t>
  </si>
  <si>
    <t>+16, 16, NIDORINA @} @}, @{ 2, @{ 38, 42, TENTACOOL</t>
  </si>
  <si>
    <t>+40, 44, PSYDUCK</t>
  </si>
  <si>
    <t>+42, 46, TENTACRUEL</t>
  </si>
  <si>
    <t>+19, 26, GYARADOS</t>
  </si>
  <si>
    <t>+29, 33, SLOWPOKE</t>
  </si>
  <si>
    <t>+30, 35, PSYDUCK</t>
  </si>
  <si>
    <t>+36, 40, SLOWBRO</t>
  </si>
  <si>
    <t>+36, 40, GYARADOS</t>
  </si>
  <si>
    <t>+38, 42, GOLDUCK</t>
  </si>
  <si>
    <t>+38, 42, KINGLER</t>
  </si>
  <si>
    <t>+40, 44, SLOWMATE @} @}</t>
  </si>
  <si>
    <t>+3, 23, 0, @{ 21, @{ # 20%</t>
  </si>
  <si>
    <t>15, 17, PIDGEY</t>
  </si>
  <si>
    <t>+15, 17, MEOWTH</t>
  </si>
  <si>
    <t>+16, 19, ODDISH</t>
  </si>
  <si>
    <t>+16, 19, BELLSPROUT</t>
  </si>
  <si>
    <t>+16, 19, EKANS</t>
  </si>
  <si>
    <t>+16, 19, PARAS</t>
  </si>
  <si>
    <t>+17, 17, VULPIX</t>
  </si>
  <si>
    <t>+17, 17, GROWLITHE</t>
  </si>
  <si>
    <t>+16, 18, PIKACHU</t>
  </si>
  <si>
    <t>+16, 18, EEVEE</t>
  </si>
  <si>
    <t>+20, 20, FEAROW</t>
  </si>
  <si>
    <t>+20, 20, WEEPINBELL @} @}, &lt;null&gt;, &lt;null&gt;, &lt;null&gt;</t>
  </si>
  <si>
    <t>+3, 24, 0, @{ 21, @{ # 20%</t>
  </si>
  <si>
    <t>+20, 20, WEEPINBELL @} @}, @{ 2, @{ 38, 42, TENTACOOL</t>
  </si>
  <si>
    <t>+40, 44, SLOWPOKE</t>
  </si>
  <si>
    <t>+44, 48, SLOWBRO @} @}, &lt;null&gt;, @{ 20, @{ # old rod:</t>
  </si>
  <si>
    <t>+29, 33, POLIWAG</t>
  </si>
  <si>
    <t>+38, 42, GYARADOS</t>
  </si>
  <si>
    <t>+38, 42, POLIWRATH</t>
  </si>
  <si>
    <t>+40, 44, POLITOES @} @}</t>
  </si>
  <si>
    <t>+3, 25, 0, @{ 21, @{ # 20%</t>
  </si>
  <si>
    <t>24, 26, PONYTA</t>
  </si>
  <si>
    <t>+24, 26, KOFFING</t>
  </si>
  <si>
    <t>+25, 27, SANDSHREW</t>
  </si>
  <si>
    <t>+25, 27, MEOWTH</t>
  </si>
  <si>
    <t>+25, 27, PARAS</t>
  </si>
  <si>
    <t>+25, 27, VULPIX</t>
  </si>
  <si>
    <t>+24, 28, WEEZING</t>
  </si>
  <si>
    <t>+24, 28, LICKITUNG</t>
  </si>
  <si>
    <t>+26, 26, PERSIAN</t>
  </si>
  <si>
    <t>+21, 26, EEVEE</t>
  </si>
  <si>
    <t>+24, 28, SANDSLASH</t>
  </si>
  <si>
    <t>+24, 28, PARASECT @} @}, &lt;null&gt;, &lt;null&gt;, &lt;null&gt;</t>
  </si>
  <si>
    <t>+3, 26, 0, @{ 21, @{ # 20%</t>
  </si>
  <si>
    <t>23, 25, PONYTA</t>
  </si>
  <si>
    <t>+23, 25, EKANS</t>
  </si>
  <si>
    <t>+24, 26, SANDSHREW</t>
  </si>
  <si>
    <t>+24, 26, MEOWTH</t>
  </si>
  <si>
    <t>+24, 26, VENONAT</t>
  </si>
  <si>
    <t>+24, 26, GROWLITHE</t>
  </si>
  <si>
    <t>+23, 27, ARBOK</t>
  </si>
  <si>
    <t>+23, 27, LICKITUNG</t>
  </si>
  <si>
    <t>+25, 25, PERSIAN</t>
  </si>
  <si>
    <t>+20, 25, EEVEE</t>
  </si>
  <si>
    <t>+23, 27, SANDSLASH</t>
  </si>
  <si>
    <t>+23, 27, VENOMOTH @} @}, &lt;null&gt;, &lt;null&gt;, &lt;null&gt;</t>
  </si>
  <si>
    <t>+3, 27, 0, @{ 21, @{ # 20%</t>
  </si>
  <si>
    <t>17, 22, NIDORINA</t>
  </si>
  <si>
    <t>+17, 22, NIDORINO</t>
  </si>
  <si>
    <t>+16, 19, SPEAROW</t>
  </si>
  <si>
    <t>+16, 19, CUBONE</t>
  </si>
  <si>
    <t>+16, 19, MACHOP</t>
  </si>
  <si>
    <t>+16, 19, SANDSHREW</t>
  </si>
  <si>
    <t>+17, 18, DODUO</t>
  </si>
  <si>
    <t>+17, 18, DROWZEE</t>
  </si>
  <si>
    <t>+16, 25, FEAROW</t>
  </si>
  <si>
    <t>+22, 22, SANDSLASH</t>
  </si>
  <si>
    <t>+14, 17, KANGAKID</t>
  </si>
  <si>
    <t>+18, 18, KANGAKID @} @}, &lt;null&gt;, &lt;null&gt;, &lt;null&gt;</t>
  </si>
  <si>
    <t>+3, 28, 0, @{ 21, @{ # 20%</t>
  </si>
  <si>
    <t>19, 23, NIDORINA</t>
  </si>
  <si>
    <t>+19, 23, NIDORINO</t>
  </si>
  <si>
    <t>+18, 20, SPEAROW</t>
  </si>
  <si>
    <t>+18, 20, CUBONE</t>
  </si>
  <si>
    <t>+18, 20, MAGNEMITE</t>
  </si>
  <si>
    <t>+18, 20, POLIWAG</t>
  </si>
  <si>
    <t>+19, 19, DODUO</t>
  </si>
  <si>
    <t>+19, 19, VOLTORB</t>
  </si>
  <si>
    <t>+20, 25, FEAROW</t>
  </si>
  <si>
    <t>+22, 22, POLIWHIRL</t>
  </si>
  <si>
    <t>+19, 21, TANGELA</t>
  </si>
  <si>
    <t>+19, 21, PONYTA @} @}, @{ 2, @{ 38, 42, TENTACOOL</t>
  </si>
  <si>
    <t>+40, 44, TENTACRUEL</t>
  </si>
  <si>
    <t>+42, 46, TENTACATE</t>
  </si>
  <si>
    <t>+19, 26, PSYDUCK</t>
  </si>
  <si>
    <t>+29, 33, HORSEA</t>
  </si>
  <si>
    <t>+30, 35, SLOWPOKE</t>
  </si>
  <si>
    <t>+36, 40, SEADRA</t>
  </si>
  <si>
    <t>+36, 40, GOLDUCK</t>
  </si>
  <si>
    <t>+38, 42, SLOWBRO</t>
  </si>
  <si>
    <t>+38, 42, KINGDRA</t>
  </si>
  <si>
    <t>+40, 44, GILDUCK @} @}</t>
  </si>
  <si>
    <t>+3, 29, 0, @{ 21, @{ # 20%</t>
  </si>
  <si>
    <t>16, 18, EKANS</t>
  </si>
  <si>
    <t>+16, 18, SPEAROW</t>
  </si>
  <si>
    <t>+17, 20, SANDSHREW</t>
  </si>
  <si>
    <t>+17, 20, DROWZEE</t>
  </si>
  <si>
    <t>+17, 20, MAGNEMITE</t>
  </si>
  <si>
    <t>+17, 20, VOLTORB</t>
  </si>
  <si>
    <t>+18, 18, FARFETCH'D</t>
  </si>
  <si>
    <t>+18, 18, ABRA</t>
  </si>
  <si>
    <t>+15, 19, PIKACHU</t>
  </si>
  <si>
    <t>+15, 19, KADABRA</t>
  </si>
  <si>
    <t>+22, 22, ARBOK</t>
  </si>
  <si>
    <t>+22, 22, LICKITUNG @} @}, @{ 2, @{ 38, 42, TENTACOOL</t>
  </si>
  <si>
    <t>+44, 48, LOCHLASS @} @}, &lt;null&gt;, @{ 20, @{ # old rod:</t>
  </si>
  <si>
    <t>+30, 35, SHELLDER</t>
  </si>
  <si>
    <t>+30, 35, STARYU</t>
  </si>
  <si>
    <t>+38, 42, STARMIE</t>
  </si>
  <si>
    <t>+38, 42, CLOYSTER</t>
  </si>
  <si>
    <t>+38, 42, STARUS @} @}</t>
  </si>
  <si>
    <t>+3, 30, 0, @{ 21, @{ # 20%</t>
  </si>
  <si>
    <t>29, 34, BELLSPROUT</t>
  </si>
  <si>
    <t>+29, 34, PIDGEOTTO</t>
  </si>
  <si>
    <t>+29, 31, WEEPINBELL</t>
  </si>
  <si>
    <t>+29, 31, DODUO</t>
  </si>
  <si>
    <t>+31, 31, PIDGEOT</t>
  </si>
  <si>
    <t>+29, 31, EXEGGCUTE</t>
  </si>
  <si>
    <t>+30, 34, SCYTHER</t>
  </si>
  <si>
    <t>+30, 34, JYNX</t>
  </si>
  <si>
    <t>+31, 31, DODRIO</t>
  </si>
  <si>
    <t>+31, 31, EXEGGUTOR</t>
  </si>
  <si>
    <t>+29, 34, VICTREEBEL</t>
  </si>
  <si>
    <t>+20, 25, SQUIRTLE @} @}, @{ 2, @{ 38, 42, TENTACOOL</t>
  </si>
  <si>
    <t>+44, 48, LOCHLASS @} @}, &lt;null&gt;, @{ 60, @{ # old rod:</t>
  </si>
  <si>
    <t>+3, 31, 0, @{ 21, @{ # 20%</t>
  </si>
  <si>
    <t>30, 35, BELLSPROUT</t>
  </si>
  <si>
    <t>+30, 35, PIDGEOTTO</t>
  </si>
  <si>
    <t>+30, 32, WEEPINBELL</t>
  </si>
  <si>
    <t>+30, 32, DODUO</t>
  </si>
  <si>
    <t>+32, 32, PIDGEOT</t>
  </si>
  <si>
    <t>+30, 32, EXEGGCUTE</t>
  </si>
  <si>
    <t>+31, 35, SCYTHER</t>
  </si>
  <si>
    <t>+31, 35, JYNX</t>
  </si>
  <si>
    <t>+32, 32, DODRIO</t>
  </si>
  <si>
    <t>+32, 32, EXEGGUTOR</t>
  </si>
  <si>
    <t>+30, 35, VICTREEBEL</t>
  </si>
  <si>
    <t>+3, 32, 0, @{ 21, @{ # 20%</t>
  </si>
  <si>
    <t>32, 36, BELLSPROUT</t>
  </si>
  <si>
    <t>+32, 36, PIDGEOTTO</t>
  </si>
  <si>
    <t>+31, 33, WEEPINBELL</t>
  </si>
  <si>
    <t>+31, 33, DODUO</t>
  </si>
  <si>
    <t>+33, 33, PIDGEOT</t>
  </si>
  <si>
    <t>+31, 33, EXEGGCUTE</t>
  </si>
  <si>
    <t>+32, 36, SCYTHER</t>
  </si>
  <si>
    <t>+32, 36, JYNX</t>
  </si>
  <si>
    <t>+33, 33, DODRIO</t>
  </si>
  <si>
    <t>+33, 33, EXEGGUTOR</t>
  </si>
  <si>
    <t>+31, 36, VICTREEBEL</t>
  </si>
  <si>
    <t>+20, 25, SQUIRTLE @} @}, &lt;null&gt;, &lt;null&gt;, &lt;null&gt;</t>
  </si>
  <si>
    <t>+3, 33, 0, @{ 21, @{ # 20%</t>
  </si>
  <si>
    <t>33, 37, BELLSPROUT</t>
  </si>
  <si>
    <t>+33, 37, PIDGEOTTO</t>
  </si>
  <si>
    <t>+32, 34, WEEPINBELL</t>
  </si>
  <si>
    <t>+32, 34, DODUO</t>
  </si>
  <si>
    <t>+34, 34, PIDGEOT</t>
  </si>
  <si>
    <t>+32, 34, EXEGGCUTE</t>
  </si>
  <si>
    <t>+33, 37, SCYTHER</t>
  </si>
  <si>
    <t>+33, 37, JYNX</t>
  </si>
  <si>
    <t>+34, 34, DODRIO</t>
  </si>
  <si>
    <t>+34, 34, EXEGGUTOR</t>
  </si>
  <si>
    <t>+32, 37, VICTREEBEL</t>
  </si>
  <si>
    <t>+3, 34, 0, @{ 21, @{ # 20%</t>
  </si>
  <si>
    <t>29, 34, ODDISH</t>
  </si>
  <si>
    <t>+29, 31, GLOOM</t>
  </si>
  <si>
    <t>+29, 31, LICKITUNG</t>
  </si>
  <si>
    <t>+30, 34, TAUROS</t>
  </si>
  <si>
    <t>+30, 34, "MR. MIME"</t>
  </si>
  <si>
    <t>+31, 31, LICKILICKY</t>
  </si>
  <si>
    <t>+29, 34, VILEPLUME</t>
  </si>
  <si>
    <t>+20, 25, BULBASAUR @} @}, &lt;null&gt;, &lt;null&gt;, &lt;null&gt;</t>
  </si>
  <si>
    <t>+3, 35, 0, @{ 21, @{ # 20%</t>
  </si>
  <si>
    <t>30, 35, ODDISH</t>
  </si>
  <si>
    <t>+30, 35, GLOOM</t>
  </si>
  <si>
    <t>+30, 35, DODUO</t>
  </si>
  <si>
    <t>+30, 32, LICKITUNG</t>
  </si>
  <si>
    <t>+31, 35, TAUROS</t>
  </si>
  <si>
    <t>+31, 35, "MR. MIME"</t>
  </si>
  <si>
    <t>+32, 32, LICKILICKY</t>
  </si>
  <si>
    <t>+30, 35, VILEPLUME</t>
  </si>
  <si>
    <t>+3, 36, 0, @{ 21, @{ # 20%</t>
  </si>
  <si>
    <t>32, 36, ODDISH</t>
  </si>
  <si>
    <t>+31, 33, GLOOM</t>
  </si>
  <si>
    <t>+31, 33, LICKITUNG</t>
  </si>
  <si>
    <t>+32, 36, TAUROS</t>
  </si>
  <si>
    <t>+32, 36, "MR. MIME"</t>
  </si>
  <si>
    <t>+34, 36, DODRIO</t>
  </si>
  <si>
    <t>+33, 33, LICKILICKY</t>
  </si>
  <si>
    <t>+31, 36, VILEPLUME</t>
  </si>
  <si>
    <t>+3, 37, 0, &lt;null&gt;, @{ 2, @{ 38, 42, TENTACOOL</t>
  </si>
  <si>
    <t>19, 26, PSYDUCK</t>
  </si>
  <si>
    <t>+19, 26, HORSEA</t>
  </si>
  <si>
    <t>+36, 40, KINGLER</t>
  </si>
  <si>
    <t>+3, 38, 0, &lt;null&gt;, @{ 2, @{ 38, 42, TENTACOOL</t>
  </si>
  <si>
    <t>+3, 39, 0, @{ 14, @{ # 20%</t>
  </si>
  <si>
    <t>39, 46, TANGROWTH</t>
  </si>
  <si>
    <t>+39, 46, EXEGGUTOR</t>
  </si>
  <si>
    <t>+39, 42, DODRIO</t>
  </si>
  <si>
    <t>+39, 42, GOLDUCK</t>
  </si>
  <si>
    <t>+43, 46, DODRIO</t>
  </si>
  <si>
    <t>+43, 46, GOLDUCK</t>
  </si>
  <si>
    <t>+43, 50, TANGATHER</t>
  </si>
  <si>
    <t>+43, 50, EXEGGITY</t>
  </si>
  <si>
    <t>+43, 50, GILDUCK</t>
  </si>
  <si>
    <t>+43, 50, QUADODO</t>
  </si>
  <si>
    <t>+45, 52, TANGOLIATH</t>
  </si>
  <si>
    <t>+44, 44, TANGOLIATH @} @}, @{ 2, @{ 38, 42, TENTACOOL</t>
  </si>
  <si>
    <t>+3, 40, 0, @{ 14, @{ # 20%</t>
  </si>
  <si>
    <t>+3, 41, 0, @{ 21, @{ # 20%</t>
  </si>
  <si>
    <t>2, 3, RATTATA</t>
  </si>
  <si>
    <t>+4, 5, RATTATA</t>
  </si>
  <si>
    <t>+2, 3, MEOWTH</t>
  </si>
  <si>
    <t>+4, 5, MEOWTH</t>
  </si>
  <si>
    <t>+2, 3, SPEAROW</t>
  </si>
  <si>
    <t>+4, 5, SPEAROW</t>
  </si>
  <si>
    <t>+2, 3, GROWLITHE</t>
  </si>
  <si>
    <t>+4, 5, GROWLITHE</t>
  </si>
  <si>
    <t>+2, 5, ABRA</t>
  </si>
  <si>
    <t>+2, 5, KANGAKID</t>
  </si>
  <si>
    <t>+2, 5, EEVEE</t>
  </si>
  <si>
    <t>+2, 5, SCYTHER @} @}, @{ 2, @{ 40, 44, PSYDUCK</t>
  </si>
  <si>
    <t>+42, 46, SLOWPOKE</t>
  </si>
  <si>
    <t>+44, 47, GOLDUCK</t>
  </si>
  <si>
    <t>+44, 47, SLOWBRO</t>
  </si>
  <si>
    <t>+45, 50, GILDUCK @} @}, &lt;null&gt;, @{ 20, @{ # old rod:</t>
  </si>
  <si>
    <t>+29, 33, MAGIKARP</t>
  </si>
  <si>
    <t>+30, 35, GYARADOS</t>
  </si>
  <si>
    <t>+30, 35, POLIWHIRL</t>
  </si>
  <si>
    <t>+36, 40, MAGIKARP</t>
  </si>
  <si>
    <t>+38, 42, POLIWHIRL</t>
  </si>
  <si>
    <t>+3, 42, 0, @{ 21, @{ # 20%</t>
  </si>
  <si>
    <t>51, 56, PRIMEAPE</t>
  </si>
  <si>
    <t>+51, 56, SNEEROW</t>
  </si>
  <si>
    <t>+53, 57, GORILLASH</t>
  </si>
  <si>
    <t>+53, 57, ORNITHOW</t>
  </si>
  <si>
    <t>+53, 57, SANDSLAM</t>
  </si>
  <si>
    <t>+54, 56, "MR. JEST"</t>
  </si>
  <si>
    <t>+54, 56, ELECTIVINE</t>
  </si>
  <si>
    <t>+54, 55, FELANKH</t>
  </si>
  <si>
    <t>+56, 57, FELANKH</t>
  </si>
  <si>
    <t>+40, 50, AERODACTYL</t>
  </si>
  <si>
    <t>+57, 59, LUKKEY @} @}, @{ 2, @{ 50, 55, GILDUCK</t>
  </si>
  <si>
    <t>+50, 55, POLITOES</t>
  </si>
  <si>
    <t>+52, 57, SLOWMATE</t>
  </si>
  <si>
    <t>+53, 58, PLATINUPUS @} @}, &lt;null&gt;, @{ 20, @{ # old rod:</t>
  </si>
  <si>
    <t>24, 36, GOLDEEN</t>
  </si>
  <si>
    <t>+23, 36, KRABBY</t>
  </si>
  <si>
    <t>+30, 38, SEAKING</t>
  </si>
  <si>
    <t>+32, 40, KINGLER</t>
  </si>
  <si>
    <t>+32, 40, DRAGONAIR</t>
  </si>
  <si>
    <t>+50, 55, SEAREX</t>
  </si>
  <si>
    <t>+52, 57, KRAKLAW</t>
  </si>
  <si>
    <t>+52, 57, CAPRISEA</t>
  </si>
  <si>
    <t>+53, 58, DRAGONIER @} @}</t>
  </si>
  <si>
    <t>+3, 43, 0, @{ 21, @{ # 20%</t>
  </si>
  <si>
    <t>13, 17, PIDGEY</t>
  </si>
  <si>
    <t>+13, 17, ODDISH</t>
  </si>
  <si>
    <t>+14, 17, BELLSPROUT</t>
  </si>
  <si>
    <t>+14, 17, MEOWTH</t>
  </si>
  <si>
    <t>+14, 17, PSYDUCK</t>
  </si>
  <si>
    <t>+14, 17, PIDGEOTTO</t>
  </si>
  <si>
    <t>+16, 16, PIKACHU</t>
  </si>
  <si>
    <t>+16, 16, ABRA</t>
  </si>
  <si>
    <t>+15, 18, VENONAT</t>
  </si>
  <si>
    <t>+15, 18, GLOOM</t>
  </si>
  <si>
    <t>+17, 17, KADABRA</t>
  </si>
  <si>
    <t>+17, 17, KADABRA @} @}, @{ 2, @{ 34, 40, TENTACOOL</t>
  </si>
  <si>
    <t>+34, 40, PSYDUCK</t>
  </si>
  <si>
    <t>+36, 42, TENTACRUEL</t>
  </si>
  <si>
    <t>+39, 42, VAPOREON @} @}, &lt;null&gt;, @{ 20, @{ # old rod:</t>
  </si>
  <si>
    <t>+3, 44, 0, @{ 21, @{ # 20%</t>
  </si>
  <si>
    <t>14, 17, PIDGEY</t>
  </si>
  <si>
    <t>+14, 17, ODDISH</t>
  </si>
  <si>
    <t>+15, 17, BELLSPROUT</t>
  </si>
  <si>
    <t>+15, 17, PSYDUCK</t>
  </si>
  <si>
    <t>+15, 17, PIDGEOTTO</t>
  </si>
  <si>
    <t>+18, 18, KADABRA</t>
  </si>
  <si>
    <t>+18, 18, KADABRA @} @}, @{ 2, @{ 34, 40, TENTACOOL</t>
  </si>
  <si>
    <t>+3, 0, 0, &lt;null&gt;, @{ 1, @{ 38, 42, TENTACOOL</t>
  </si>
  <si>
    <t>+44, 48, LOCHLASS @} @}, &lt;null&gt;, @{ 10, @{ # old rod:</t>
  </si>
  <si>
    <t>+40, 44, STARUS @} @}</t>
  </si>
  <si>
    <t>+3, 1, 0, &lt;null&gt;, @{ 1, @{ 38, 42, PSYDUCK</t>
  </si>
  <si>
    <t>+44, 48, GILDUCK @} @}, &lt;null&gt;, @{ 10, @{ # old rod:</t>
  </si>
  <si>
    <t>+3, 3, 0, &lt;null&gt;, @{ 1, @{ 38, 42, TENTACOOL</t>
  </si>
  <si>
    <t>+44, 48, VAPOREON @} @}, &lt;null&gt;, @{ 10, @{ # old rod:</t>
  </si>
  <si>
    <t>+3, 5, 0, &lt;null&gt;, @{ 1, @{ 38, 42, TENTACOOL</t>
  </si>
  <si>
    <t>+3, 6, 0, &lt;null&gt;, @{ 1, @{ 38, 42, PSYDUCK</t>
  </si>
  <si>
    <t>+42, 46, KOFFING</t>
  </si>
  <si>
    <t>+44, 48, WEEZING @} @}, &lt;null&gt;, @{ 10, @{ # old rod:</t>
  </si>
  <si>
    <t>+19, 26, GRIMER</t>
  </si>
  <si>
    <t>+30, 35, MUK</t>
  </si>
  <si>
    <t>+36, 40, MUK</t>
  </si>
  <si>
    <t>+41, 41, GYARADOS</t>
  </si>
  <si>
    <t>+38, 42, HYDRADOS</t>
  </si>
  <si>
    <t>+40, 44, GUNK @} @}</t>
  </si>
  <si>
    <t>+3, 7, 0, &lt;null&gt;, @{ 1, @{ 38, 42, TENTACOOL</t>
  </si>
  <si>
    <t>19, 26, SEEL</t>
  </si>
  <si>
    <t>+29, 33, SEEL</t>
  </si>
  <si>
    <t>+36, 40, DEWGONG</t>
  </si>
  <si>
    <t>+38, 42, SEAKING</t>
  </si>
  <si>
    <t>+40, 44, SEAREX @} @}</t>
  </si>
  <si>
    <t>+3, 8, 0, &lt;null&gt;, @{ 1, @{ 40, 44, DEWGONG</t>
  </si>
  <si>
    <t>+44, 47, TENTACATE</t>
  </si>
  <si>
    <t>+45, 50, LOCHLASS @} @}, &lt;null&gt;, @{ 10, @{ # old rod:</t>
  </si>
  <si>
    <t>24, 30, HORSEA</t>
  </si>
  <si>
    <t>+24, 30, SHELLDER</t>
  </si>
  <si>
    <t>+35, 40, SEADRA</t>
  </si>
  <si>
    <t>+37, 42, KRABBY</t>
  </si>
  <si>
    <t>+37, 42, CLOYSTER</t>
  </si>
  <si>
    <t>+39, 45, KINGDRA</t>
  </si>
  <si>
    <t>+39, 45, KINGLER</t>
  </si>
  <si>
    <t>+43, 46, AN'ENEMY</t>
  </si>
  <si>
    <t>+43, 46, KRAKLAW</t>
  </si>
  <si>
    <t>+45, 52, LORDRA @} @}</t>
  </si>
  <si>
    <t>+3, 12, 0, &lt;null&gt;, @{ 1, @{ 5, 20, TENTACOOL</t>
  </si>
  <si>
    <t>+35, 40, TENTACRUEL @} @}, &lt;null&gt;, @{ 10, @{ # old rod:</t>
  </si>
  <si>
    <t>+3, 15, 0, &lt;null&gt;, @{ 2, @{ 5, 15, MARILL</t>
  </si>
  <si>
    <t>+15, 25, MARILL @} @}, &lt;null&gt;, @{ 20, @{ # old rod:</t>
  </si>
  <si>
    <t>+3, 16, 0, &lt;null&gt;, @{ 1, @{ 5, 35, TENTACOOL</t>
  </si>
  <si>
    <t>+1, 122, 0, @{ 7, @{ # 20%</t>
  </si>
  <si>
    <t>10, 10, ZUBAT</t>
  </si>
  <si>
    <t>+12, 12, ZUBAT</t>
  </si>
  <si>
    <t>+8, 8, ZUBAT</t>
  </si>
  <si>
    <t>+14, 14, ZUBAT</t>
  </si>
  <si>
    <t>+10, 10, ZUBAT</t>
  </si>
  <si>
    <t>+16, 16, ZUBAT</t>
  </si>
  <si>
    <t>+6, 6, ZUBAT</t>
  </si>
  <si>
    <t>+14, 14, ZUBAT @} @}, &lt;null&gt;, &lt;null&gt;, &lt;null&gt;</t>
  </si>
  <si>
    <t>7, 7, MAREEP</t>
  </si>
  <si>
    <t>+9, 9, MAREEP</t>
  </si>
  <si>
    <t>+5, 5, MAREEP</t>
  </si>
  <si>
    <t>+11, 11, MAREEP</t>
  </si>
  <si>
    <t>+7, 7, MAREEP</t>
  </si>
  <si>
    <t>+13, 13, MAREEP</t>
  </si>
  <si>
    <t>+3, 3, MAREEP</t>
  </si>
  <si>
    <t>+11, 11, MAREEP @} @}, &lt;null&gt;, &lt;null&gt;, &lt;null&gt;</t>
  </si>
  <si>
    <t>23, 23, PINECO</t>
  </si>
  <si>
    <t>+25, 25, PINECO</t>
  </si>
  <si>
    <t>+22, 22, PINECO</t>
  </si>
  <si>
    <t>+27, 27, PINECO</t>
  </si>
  <si>
    <t>+23, 23, PINECO</t>
  </si>
  <si>
    <t>+29, 29, PINECO</t>
  </si>
  <si>
    <t>+19, 19, PINECO</t>
  </si>
  <si>
    <t>+21, 21, PINECO</t>
  </si>
  <si>
    <t>+27, 27, PINECO @} @}, &lt;null&gt;, &lt;null&gt;, &lt;null&gt;</t>
  </si>
  <si>
    <t>16, 16, HOUNDOUR</t>
  </si>
  <si>
    <t>+18, 18, HOUNDOUR</t>
  </si>
  <si>
    <t>+14, 14, HOUNDOUR</t>
  </si>
  <si>
    <t>+20, 20, HOUNDOUR</t>
  </si>
  <si>
    <t>+16, 16, HOUNDOUR</t>
  </si>
  <si>
    <t>+22, 22, HOUNDOUR</t>
  </si>
  <si>
    <t>+12, 12, HOUNDOUR</t>
  </si>
  <si>
    <t>+20, 20, HOUNDOUR @} @}, &lt;null&gt;, &lt;null&gt;, &lt;null&gt;</t>
  </si>
  <si>
    <t>22, 22, TEDDIURSA</t>
  </si>
  <si>
    <t>+24, 24, TEDDIURSA</t>
  </si>
  <si>
    <t>+20, 20, TEDDIURSA</t>
  </si>
  <si>
    <t>+26, 26, TEDDIURSA</t>
  </si>
  <si>
    <t>+22, 22, TEDDIURSA</t>
  </si>
  <si>
    <t>+28, 28, TEDDIURSA</t>
  </si>
  <si>
    <t>+18, 18, TEDDIURSA</t>
  </si>
  <si>
    <t>+26, 26, TEDDIURSA @} @}, &lt;null&gt;, &lt;null&gt;, &lt;null&gt;</t>
  </si>
  <si>
    <t>22, 22, AIPOM</t>
  </si>
  <si>
    <t>+24, 24, AIPOM</t>
  </si>
  <si>
    <t>+20, 20, AIPOM</t>
  </si>
  <si>
    <t>+26, 26, AIPOM</t>
  </si>
  <si>
    <t>+22, 22, AIPOM</t>
  </si>
  <si>
    <t>+28, 28, AIPOM</t>
  </si>
  <si>
    <t>+18, 18, AIPOM</t>
  </si>
  <si>
    <t>+26, 26, AIPOM @} @}, &lt;null&gt;, &lt;null&gt;, &lt;null&gt;</t>
  </si>
  <si>
    <t>22, 22, SHUCKLE</t>
  </si>
  <si>
    <t>+24, 24, SHUCKLE</t>
  </si>
  <si>
    <t>+20, 20, SHUCKLE</t>
  </si>
  <si>
    <t>+26, 26, SHUCKLE</t>
  </si>
  <si>
    <t>+22, 22, SHUCKLE</t>
  </si>
  <si>
    <t>+28, 28, SHUCKLE</t>
  </si>
  <si>
    <t>+18, 18, SHUCKLE</t>
  </si>
  <si>
    <t>+26, 26, SHUCKLE @} @}, &lt;null&gt;, &lt;null&gt;, &lt;null&gt;</t>
  </si>
  <si>
    <t>22, 22, STANTLER</t>
  </si>
  <si>
    <t>+24, 24, STANTLER</t>
  </si>
  <si>
    <t>+20, 20, STANTLER</t>
  </si>
  <si>
    <t>+26, 26, STANTLER</t>
  </si>
  <si>
    <t>+22, 22, STANTLER</t>
  </si>
  <si>
    <t>+28, 28, STANTLER</t>
  </si>
  <si>
    <t>+18, 18, STANTLER</t>
  </si>
  <si>
    <t>+26, 26, STANTLER @} @}, &lt;null&gt;, &lt;null&gt;, &lt;null&gt;</t>
  </si>
  <si>
    <t>22, 22, SMEARGLE</t>
  </si>
  <si>
    <t>+24, 24, SMEARGLE</t>
  </si>
  <si>
    <t>+20, 20, SMEARGLE</t>
  </si>
  <si>
    <t>+26, 26, SMEARGLE</t>
  </si>
  <si>
    <t>+22, 22, SMEARGLE</t>
  </si>
  <si>
    <t>+28, 28, SMEARGLE</t>
  </si>
  <si>
    <t>+18, 18, SMEARGLE</t>
  </si>
  <si>
    <t>+26, 26, SMEARGLE @} @}, &lt;null&gt;, &lt;null&gt;, &lt;null&gt;</t>
  </si>
  <si>
    <t>Group</t>
  </si>
  <si>
    <t>Map</t>
  </si>
  <si>
    <t>MapID</t>
  </si>
  <si>
    <t>Grass</t>
  </si>
  <si>
    <t>Surf</t>
  </si>
  <si>
    <t>RockSmash</t>
  </si>
  <si>
    <t>Fish</t>
  </si>
  <si>
    <t>id</t>
  </si>
  <si>
    <t>mapName</t>
  </si>
  <si>
    <t>02</t>
  </si>
  <si>
    <t>1B</t>
  </si>
  <si>
    <t>&lt;3CEB98&gt;</t>
  </si>
  <si>
    <t>&lt;null&gt;</t>
  </si>
  <si>
    <t>0x0000</t>
  </si>
  <si>
    <t>Battle Colosseum 2P</t>
  </si>
  <si>
    <t>1C</t>
  </si>
  <si>
    <t>&lt;3CEBD0&gt;</t>
  </si>
  <si>
    <t>0x0100</t>
  </si>
  <si>
    <t>Trade Center</t>
  </si>
  <si>
    <t>1D</t>
  </si>
  <si>
    <t>&lt;3CEC08&gt;</t>
  </si>
  <si>
    <t>0x0200</t>
  </si>
  <si>
    <t>Record Corner</t>
  </si>
  <si>
    <t>1E</t>
  </si>
  <si>
    <t>&lt;3CEC40&gt;</t>
  </si>
  <si>
    <t>0x0300</t>
  </si>
  <si>
    <t>Battle Colosseum 4P</t>
  </si>
  <si>
    <t>1F</t>
  </si>
  <si>
    <t>&lt;3CEC78&gt;</t>
  </si>
  <si>
    <t>0x0400</t>
  </si>
  <si>
    <t>Union Room</t>
  </si>
  <si>
    <t>20</t>
  </si>
  <si>
    <t>&lt;3CECB0&gt;</t>
  </si>
  <si>
    <t>0x0001</t>
  </si>
  <si>
    <t>Viridian Forest</t>
  </si>
  <si>
    <t>21</t>
  </si>
  <si>
    <t>&lt;3CECE8&gt;</t>
  </si>
  <si>
    <t>0x0101</t>
  </si>
  <si>
    <t>Mt Moon 1F</t>
  </si>
  <si>
    <t>01</t>
  </si>
  <si>
    <t>00</t>
  </si>
  <si>
    <t>&lt;3CED20&gt;</t>
  </si>
  <si>
    <t>0x0201</t>
  </si>
  <si>
    <t>Mt Moon B1F</t>
  </si>
  <si>
    <t>&lt;3CED58&gt;</t>
  </si>
  <si>
    <t>0x0301</t>
  </si>
  <si>
    <t>Mt Moon B2F</t>
  </si>
  <si>
    <t>&lt;3CED90&gt;</t>
  </si>
  <si>
    <t>0x0401</t>
  </si>
  <si>
    <t>S.S. Anne Exterior</t>
  </si>
  <si>
    <t>03</t>
  </si>
  <si>
    <t>&lt;3CEDC8&gt;</t>
  </si>
  <si>
    <t>0x0501</t>
  </si>
  <si>
    <t>S.S. Anne 1F Corridor</t>
  </si>
  <si>
    <t>04</t>
  </si>
  <si>
    <t>&lt;3CEDE4&gt;</t>
  </si>
  <si>
    <t>&lt;3CEE14&gt;</t>
  </si>
  <si>
    <t>0x0601</t>
  </si>
  <si>
    <t>S.S. Anne 2F Corridor</t>
  </si>
  <si>
    <t>25</t>
  </si>
  <si>
    <t>&lt;3CEE4C&gt;</t>
  </si>
  <si>
    <t>0x0701</t>
  </si>
  <si>
    <t>S.S. Anne 3F Corridor</t>
  </si>
  <si>
    <t>27</t>
  </si>
  <si>
    <t>&lt;3CEE84&gt;</t>
  </si>
  <si>
    <t>0x0801</t>
  </si>
  <si>
    <t>S.S. Anne B1F Corridor</t>
  </si>
  <si>
    <t>28</t>
  </si>
  <si>
    <t>&lt;3CEEBC&gt;</t>
  </si>
  <si>
    <t>0x0901</t>
  </si>
  <si>
    <t>S.S. Anne Deck</t>
  </si>
  <si>
    <t>29</t>
  </si>
  <si>
    <t>&lt;3CEEF4&gt;</t>
  </si>
  <si>
    <t>0x0A01</t>
  </si>
  <si>
    <t>S.S. Anne Kitchen</t>
  </si>
  <si>
    <t>3B</t>
  </si>
  <si>
    <t>&lt;3CEF2C&gt;</t>
  </si>
  <si>
    <t>0x0B01</t>
  </si>
  <si>
    <t>S.S. Anne Captain's Office</t>
  </si>
  <si>
    <t>3C</t>
  </si>
  <si>
    <t>&lt;3CEF64&gt;</t>
  </si>
  <si>
    <t>0x0C01</t>
  </si>
  <si>
    <t>S.S. Anne 1F Room 1</t>
  </si>
  <si>
    <t>3D</t>
  </si>
  <si>
    <t>&lt;3CEF9C&gt;</t>
  </si>
  <si>
    <t>0x0D01</t>
  </si>
  <si>
    <t>S.S. Anne 1F Room 2</t>
  </si>
  <si>
    <t>3E</t>
  </si>
  <si>
    <t>&lt;3CEFD4&gt;</t>
  </si>
  <si>
    <t>0x0E01</t>
  </si>
  <si>
    <t>S.S. Anne 1F Room 3</t>
  </si>
  <si>
    <t>3F</t>
  </si>
  <si>
    <t>&lt;3CF00C&gt;</t>
  </si>
  <si>
    <t>&lt;3CF028&gt;</t>
  </si>
  <si>
    <t>&lt;3CF058&gt;</t>
  </si>
  <si>
    <t>0x0F01</t>
  </si>
  <si>
    <t>S.S. Anne 1F Room 4</t>
  </si>
  <si>
    <t>40</t>
  </si>
  <si>
    <t>&lt;3CF090&gt;</t>
  </si>
  <si>
    <t>&lt;3CF0AC&gt;</t>
  </si>
  <si>
    <t>&lt;3CF0DC&gt;</t>
  </si>
  <si>
    <t>0x1001</t>
  </si>
  <si>
    <t>S.S. Anne 1F Room 5</t>
  </si>
  <si>
    <t>41</t>
  </si>
  <si>
    <t>&lt;3CF114&gt;</t>
  </si>
  <si>
    <t>&lt;3CF130&gt;</t>
  </si>
  <si>
    <t>&lt;3CF160&gt;</t>
  </si>
  <si>
    <t>0x1101</t>
  </si>
  <si>
    <t>S.S. Anne 1F Room 7</t>
  </si>
  <si>
    <t>42</t>
  </si>
  <si>
    <t>&lt;3CF198&gt;</t>
  </si>
  <si>
    <t>&lt;3CF1B4&gt;</t>
  </si>
  <si>
    <t>&lt;3CF1E4&gt;</t>
  </si>
  <si>
    <t>0x1201</t>
  </si>
  <si>
    <t>S.S. Anne 2F Room 1</t>
  </si>
  <si>
    <t>48</t>
  </si>
  <si>
    <t>&lt;3CF21C&gt;</t>
  </si>
  <si>
    <t>&lt;3CF238&gt;</t>
  </si>
  <si>
    <t>&lt;3CF268&gt;</t>
  </si>
  <si>
    <t>0x1301</t>
  </si>
  <si>
    <t>S.S. Anne 2F Room 2</t>
  </si>
  <si>
    <t>49</t>
  </si>
  <si>
    <t>&lt;3CF2A0&gt;</t>
  </si>
  <si>
    <t>0x1401</t>
  </si>
  <si>
    <t>S.S. Anne 2F Room 3</t>
  </si>
  <si>
    <t>4A</t>
  </si>
  <si>
    <t>&lt;3CF2D8&gt;</t>
  </si>
  <si>
    <t>&lt;3CF2F4&gt;</t>
  </si>
  <si>
    <t>&lt;3CF324&gt;</t>
  </si>
  <si>
    <t>0x1501</t>
  </si>
  <si>
    <t>S.S. Anne 2F Room 4</t>
  </si>
  <si>
    <t>51</t>
  </si>
  <si>
    <t>&lt;3CF35C&gt;</t>
  </si>
  <si>
    <t>0x1601</t>
  </si>
  <si>
    <t>S.S. Anne 2F Room 5</t>
  </si>
  <si>
    <t>52</t>
  </si>
  <si>
    <t>&lt;3CF394&gt;</t>
  </si>
  <si>
    <t>&lt;3CF3B0&gt;</t>
  </si>
  <si>
    <t>0x1701</t>
  </si>
  <si>
    <t>S.S. Anne 2F Room 6</t>
  </si>
  <si>
    <t>53</t>
  </si>
  <si>
    <t>&lt;3CF3E8&gt;</t>
  </si>
  <si>
    <t>0x1801</t>
  </si>
  <si>
    <t>S.S. Anne B1F Room 1</t>
  </si>
  <si>
    <t>54</t>
  </si>
  <si>
    <t>&lt;3CF420&gt;</t>
  </si>
  <si>
    <t>0x1901</t>
  </si>
  <si>
    <t>S.S. Anne B1F Room 2</t>
  </si>
  <si>
    <t>55</t>
  </si>
  <si>
    <t>&lt;3CF458&gt;</t>
  </si>
  <si>
    <t>0x1A01</t>
  </si>
  <si>
    <t>S.S. Anne B1F Room 3</t>
  </si>
  <si>
    <t>56</t>
  </si>
  <si>
    <t>&lt;3CF490&gt;</t>
  </si>
  <si>
    <t>&lt;3CF4AC&gt;</t>
  </si>
  <si>
    <t>&lt;3CF4DC&gt;</t>
  </si>
  <si>
    <t>0x1B01</t>
  </si>
  <si>
    <t>S.S. Anne B1F Room 4</t>
  </si>
  <si>
    <t>57</t>
  </si>
  <si>
    <t>&lt;3CF514&gt;</t>
  </si>
  <si>
    <t>&lt;3CF530&gt;</t>
  </si>
  <si>
    <t>&lt;3CF560&gt;</t>
  </si>
  <si>
    <t>0x1C01</t>
  </si>
  <si>
    <t>S.S. Anne B1F Room 5</t>
  </si>
  <si>
    <t>5A</t>
  </si>
  <si>
    <t>&lt;3CF598&gt;</t>
  </si>
  <si>
    <t>0x1D01</t>
  </si>
  <si>
    <t>S.S. Anne 1F Room 6</t>
  </si>
  <si>
    <t>5B</t>
  </si>
  <si>
    <t>&lt;3CF5D0&gt;</t>
  </si>
  <si>
    <t>0x1E01</t>
  </si>
  <si>
    <t>Underground Path North Entrance</t>
  </si>
  <si>
    <t>5C</t>
  </si>
  <si>
    <t>&lt;3CF608&gt;</t>
  </si>
  <si>
    <t>0x1F01</t>
  </si>
  <si>
    <t>Underground Path North-South Tunnel</t>
  </si>
  <si>
    <t>5D</t>
  </si>
  <si>
    <t>&lt;3CF640&gt;</t>
  </si>
  <si>
    <t>0x2001</t>
  </si>
  <si>
    <t>Underground Path South Entrance</t>
  </si>
  <si>
    <t>5E</t>
  </si>
  <si>
    <t>&lt;3CF678&gt;</t>
  </si>
  <si>
    <t>0x2101</t>
  </si>
  <si>
    <t>Underground Path West Entrance</t>
  </si>
  <si>
    <t>5F</t>
  </si>
  <si>
    <t>&lt;3CF6B0&gt;</t>
  </si>
  <si>
    <t>0x2201</t>
  </si>
  <si>
    <t>Underground Path West-East Tunnel</t>
  </si>
  <si>
    <t>61</t>
  </si>
  <si>
    <t>&lt;3CF6E8&gt;</t>
  </si>
  <si>
    <t>&lt;3CF704&gt;</t>
  </si>
  <si>
    <t>0x2301</t>
  </si>
  <si>
    <t>Underground Path East Entrance</t>
  </si>
  <si>
    <t>62</t>
  </si>
  <si>
    <t>&lt;3CF73C&gt;</t>
  </si>
  <si>
    <t>0x2401</t>
  </si>
  <si>
    <t>Diglett's Cave North Entrance</t>
  </si>
  <si>
    <t>63</t>
  </si>
  <si>
    <t>&lt;3CF774&gt;</t>
  </si>
  <si>
    <t>&lt;3CF790&gt;</t>
  </si>
  <si>
    <t>0x2501</t>
  </si>
  <si>
    <t>Diglett's Cave B1F</t>
  </si>
  <si>
    <t>64</t>
  </si>
  <si>
    <t>&lt;3CF7C8&gt;</t>
  </si>
  <si>
    <t>0x2601</t>
  </si>
  <si>
    <t>Diglett's Cave South Entrance</t>
  </si>
  <si>
    <t>67</t>
  </si>
  <si>
    <t>&lt;3CF800&gt;</t>
  </si>
  <si>
    <t>&lt;3CF81C&gt;</t>
  </si>
  <si>
    <t>0x2701</t>
  </si>
  <si>
    <t>Victory Road 1F</t>
  </si>
  <si>
    <t>68</t>
  </si>
  <si>
    <t>&lt;3CF854&gt;</t>
  </si>
  <si>
    <t>&lt;3CF870&gt;</t>
  </si>
  <si>
    <t>0x2801</t>
  </si>
  <si>
    <t>Victory Road 2F</t>
  </si>
  <si>
    <t>69</t>
  </si>
  <si>
    <t>&lt;3CF8A8&gt;</t>
  </si>
  <si>
    <t>&lt;3CF8C4&gt;</t>
  </si>
  <si>
    <t>0x2901</t>
  </si>
  <si>
    <t>Victory Road 3F</t>
  </si>
  <si>
    <t>6A</t>
  </si>
  <si>
    <t>&lt;3CF8FC&gt;</t>
  </si>
  <si>
    <t>&lt;3CF918&gt;</t>
  </si>
  <si>
    <t>0x2A01</t>
  </si>
  <si>
    <t>Rocket Hideout B1F</t>
  </si>
  <si>
    <t>6B</t>
  </si>
  <si>
    <t>&lt;3CF950&gt;</t>
  </si>
  <si>
    <t>&lt;3CF96C&gt;</t>
  </si>
  <si>
    <t>0x2B01</t>
  </si>
  <si>
    <t>Rocket Hideout B2F</t>
  </si>
  <si>
    <t>6C</t>
  </si>
  <si>
    <t>&lt;3CF9A4&gt;</t>
  </si>
  <si>
    <t>&lt;3CF9C0&gt;</t>
  </si>
  <si>
    <t>0x2C01</t>
  </si>
  <si>
    <t>Rocket Hideout B3F</t>
  </si>
  <si>
    <t>6D</t>
  </si>
  <si>
    <t>&lt;3CF9F8&gt;</t>
  </si>
  <si>
    <t>&lt;3CFA14&gt;</t>
  </si>
  <si>
    <t>&lt;3CFA44&gt;</t>
  </si>
  <si>
    <t>0x2D01</t>
  </si>
  <si>
    <t>Rocket Hideout B4F</t>
  </si>
  <si>
    <t>6E</t>
  </si>
  <si>
    <t>&lt;3CFA7C&gt;</t>
  </si>
  <si>
    <t>&lt;3CFA98&gt;</t>
  </si>
  <si>
    <t>&lt;3CFAC8&gt;</t>
  </si>
  <si>
    <t>0x2E01</t>
  </si>
  <si>
    <t>Rocket Hideout Elevator</t>
  </si>
  <si>
    <t>6F</t>
  </si>
  <si>
    <t>&lt;3CFB00&gt;</t>
  </si>
  <si>
    <t>0x2F01</t>
  </si>
  <si>
    <t>Silph Co. 1F</t>
  </si>
  <si>
    <t>70</t>
  </si>
  <si>
    <t>&lt;3CFB38&gt;</t>
  </si>
  <si>
    <t>0x3001</t>
  </si>
  <si>
    <t>Silph Co. 2F</t>
  </si>
  <si>
    <t>71</t>
  </si>
  <si>
    <t>&lt;3CFB70&gt;</t>
  </si>
  <si>
    <t>&lt;3CFB8C&gt;</t>
  </si>
  <si>
    <t>&lt;3CFBBC&gt;</t>
  </si>
  <si>
    <t>0x3101</t>
  </si>
  <si>
    <t>Silph Co. 3F</t>
  </si>
  <si>
    <t>79</t>
  </si>
  <si>
    <t>&lt;3CFBF4&gt;</t>
  </si>
  <si>
    <t>0x3201</t>
  </si>
  <si>
    <t>Silph Co. 4F</t>
  </si>
  <si>
    <t>0D</t>
  </si>
  <si>
    <t>&lt;3CFC2C&gt;</t>
  </si>
  <si>
    <t>0x3301</t>
  </si>
  <si>
    <t>Silph Co. 5F</t>
  </si>
  <si>
    <t>0E</t>
  </si>
  <si>
    <t>&lt;3CFC64&gt;</t>
  </si>
  <si>
    <t>0x3401</t>
  </si>
  <si>
    <t>Silph Co. 6F</t>
  </si>
  <si>
    <t>0F</t>
  </si>
  <si>
    <t>&lt;3CFC9C&gt;</t>
  </si>
  <si>
    <t>0x3501</t>
  </si>
  <si>
    <t>Silph Co. 7F</t>
  </si>
  <si>
    <t>10</t>
  </si>
  <si>
    <t>&lt;3CFCD4&gt;</t>
  </si>
  <si>
    <t>0x3601</t>
  </si>
  <si>
    <t>Silph Co. 8F</t>
  </si>
  <si>
    <t>11</t>
  </si>
  <si>
    <t>&lt;3CFD0C&gt;</t>
  </si>
  <si>
    <t>0x3701</t>
  </si>
  <si>
    <t>Silph Co. 9F</t>
  </si>
  <si>
    <t>12</t>
  </si>
  <si>
    <t>&lt;3CFD44&gt;</t>
  </si>
  <si>
    <t>0x3801</t>
  </si>
  <si>
    <t>Silph Co. 10F</t>
  </si>
  <si>
    <t>13</t>
  </si>
  <si>
    <t>&lt;3CFD7C&gt;</t>
  </si>
  <si>
    <t>0x3901</t>
  </si>
  <si>
    <t>Silph Co. 11F</t>
  </si>
  <si>
    <t>14</t>
  </si>
  <si>
    <t>&lt;3CFDB4&gt;</t>
  </si>
  <si>
    <t>0x3A01</t>
  </si>
  <si>
    <t>Silph Co. Elevator</t>
  </si>
  <si>
    <t>15</t>
  </si>
  <si>
    <t>&lt;3CFDEC&gt;</t>
  </si>
  <si>
    <t>0x3B01</t>
  </si>
  <si>
    <t>Pokémon Mansion 1F</t>
  </si>
  <si>
    <t>16</t>
  </si>
  <si>
    <t>&lt;3CFE24&gt;</t>
  </si>
  <si>
    <t>0x3C01</t>
  </si>
  <si>
    <t>Pokémon Mansion 2F</t>
  </si>
  <si>
    <t>17</t>
  </si>
  <si>
    <t>&lt;3CFE5C&gt;</t>
  </si>
  <si>
    <t>0x3D01</t>
  </si>
  <si>
    <t>Pokémon Mansion 3F</t>
  </si>
  <si>
    <t>18</t>
  </si>
  <si>
    <t>&lt;3CFE94&gt;</t>
  </si>
  <si>
    <t>0x3E01</t>
  </si>
  <si>
    <t>Pokémon Mansion B1F</t>
  </si>
  <si>
    <t>19</t>
  </si>
  <si>
    <t>&lt;3CFECC&gt;</t>
  </si>
  <si>
    <t>0x3F01</t>
  </si>
  <si>
    <t>Safari Zone Center</t>
  </si>
  <si>
    <t>1A</t>
  </si>
  <si>
    <t>&lt;3CFF04&gt;</t>
  </si>
  <si>
    <t>0x4001</t>
  </si>
  <si>
    <t>Safari Zone East</t>
  </si>
  <si>
    <t>2D</t>
  </si>
  <si>
    <t>&lt;3CFF3C&gt;</t>
  </si>
  <si>
    <t>&lt;3CFF58&gt;</t>
  </si>
  <si>
    <t>&lt;3CFF74&gt;</t>
  </si>
  <si>
    <t>&lt;3CFFA4&gt;</t>
  </si>
  <si>
    <t>0x4101</t>
  </si>
  <si>
    <t>Safari Zone North</t>
  </si>
  <si>
    <t>2E</t>
  </si>
  <si>
    <t>&lt;3CFFDC&gt;</t>
  </si>
  <si>
    <t>&lt;3CFFF8&gt;</t>
  </si>
  <si>
    <t>&lt;3D0028&gt;</t>
  </si>
  <si>
    <t>0x4201</t>
  </si>
  <si>
    <t>Safari Zone West</t>
  </si>
  <si>
    <t>2F</t>
  </si>
  <si>
    <t>&lt;3D0060&gt;</t>
  </si>
  <si>
    <t>&lt;3D007C&gt;</t>
  </si>
  <si>
    <t>&lt;3D00AC&gt;</t>
  </si>
  <si>
    <t>0x4301</t>
  </si>
  <si>
    <t>Safari Zone Center Rest House</t>
  </si>
  <si>
    <t>30</t>
  </si>
  <si>
    <t>&lt;3D00E4&gt;</t>
  </si>
  <si>
    <t>&lt;3D0100&gt;</t>
  </si>
  <si>
    <t>&lt;3D0130&gt;</t>
  </si>
  <si>
    <t>0x4401</t>
  </si>
  <si>
    <t>Safari Zone East Rest House</t>
  </si>
  <si>
    <t>31</t>
  </si>
  <si>
    <t>&lt;3D0168&gt;</t>
  </si>
  <si>
    <t>0x4501</t>
  </si>
  <si>
    <t>Safari Zone North Rest House</t>
  </si>
  <si>
    <t>36</t>
  </si>
  <si>
    <t>&lt;3D0184&gt;</t>
  </si>
  <si>
    <t>&lt;3D01B4&gt;</t>
  </si>
  <si>
    <t>0x4601</t>
  </si>
  <si>
    <t>Safari Zone West Rest House</t>
  </si>
  <si>
    <t>37</t>
  </si>
  <si>
    <t>&lt;3D01D0&gt;</t>
  </si>
  <si>
    <t>&lt;3D0200&gt;</t>
  </si>
  <si>
    <t>0x4701</t>
  </si>
  <si>
    <t>Safari Zone Secret House</t>
  </si>
  <si>
    <t>38</t>
  </si>
  <si>
    <t>&lt;3D0238&gt;</t>
  </si>
  <si>
    <t>&lt;3D0254&gt;</t>
  </si>
  <si>
    <t>&lt;3D0284&gt;</t>
  </si>
  <si>
    <t>0x4801</t>
  </si>
  <si>
    <t>Cerulean Cave 1F</t>
  </si>
  <si>
    <t>39</t>
  </si>
  <si>
    <t>&lt;3D02BC&gt;</t>
  </si>
  <si>
    <t>&lt;3D02D8&gt;</t>
  </si>
  <si>
    <t>&lt;3D0308&gt;</t>
  </si>
  <si>
    <t>0x4901</t>
  </si>
  <si>
    <t>Cerulean Cave 2F</t>
  </si>
  <si>
    <t>3A</t>
  </si>
  <si>
    <t>&lt;3D0324&gt;</t>
  </si>
  <si>
    <t>&lt;3D0354&gt;</t>
  </si>
  <si>
    <t>0x4A01</t>
  </si>
  <si>
    <t>Cerulean Cave B1F</t>
  </si>
  <si>
    <t>&lt;3D0370&gt;</t>
  </si>
  <si>
    <t>&lt;3D03A0&gt;</t>
  </si>
  <si>
    <t>0x4B01</t>
  </si>
  <si>
    <t>Pokémon League Lorelei's Room</t>
  </si>
  <si>
    <t>&lt;3D03D8&gt;</t>
  </si>
  <si>
    <t>&lt;3D03F4&gt;</t>
  </si>
  <si>
    <t>&lt;3D0424&gt;</t>
  </si>
  <si>
    <t>0x4C01</t>
  </si>
  <si>
    <t>Pokémon League Bruno's Room</t>
  </si>
  <si>
    <t>&lt;3D045C&gt;</t>
  </si>
  <si>
    <t>&lt;3D0478&gt;</t>
  </si>
  <si>
    <t>&lt;3D04A8&gt;</t>
  </si>
  <si>
    <t>0x4D01</t>
  </si>
  <si>
    <t>Pokémon League Agatha's Room</t>
  </si>
  <si>
    <t>&lt;3D04C4&gt;</t>
  </si>
  <si>
    <t>&lt;3D04F4&gt;</t>
  </si>
  <si>
    <t>0x4E01</t>
  </si>
  <si>
    <t>Pokémon League Lance's Room</t>
  </si>
  <si>
    <t>&lt;3D052C&gt;</t>
  </si>
  <si>
    <t>0x4F01</t>
  </si>
  <si>
    <t>Pokémon League Champion's Room</t>
  </si>
  <si>
    <t>&lt;3D0564&gt;</t>
  </si>
  <si>
    <t>&lt;3D0580&gt;</t>
  </si>
  <si>
    <t>0x5001</t>
  </si>
  <si>
    <t>Pokémon League Hall Of Fame</t>
  </si>
  <si>
    <t>&lt;3D059C&gt;</t>
  </si>
  <si>
    <t>&lt;3D05CC&gt;</t>
  </si>
  <si>
    <t>0x5101</t>
  </si>
  <si>
    <t>Rock Tunnel 1F</t>
  </si>
  <si>
    <t>&lt;3D0604&gt;</t>
  </si>
  <si>
    <t>0x5201</t>
  </si>
  <si>
    <t>Rock Tunnel B1F</t>
  </si>
  <si>
    <t>&lt;3D063C&gt;</t>
  </si>
  <si>
    <t>0x5301</t>
  </si>
  <si>
    <t>Seafoam Islands 1F</t>
  </si>
  <si>
    <t>&lt;3D0674&gt;</t>
  </si>
  <si>
    <t>0x5401</t>
  </si>
  <si>
    <t>Seafoam Islands B1F</t>
  </si>
  <si>
    <t>&lt;3D06AC&gt;</t>
  </si>
  <si>
    <t>&lt;3D06C8&gt;</t>
  </si>
  <si>
    <t>&lt;3D06F8&gt;</t>
  </si>
  <si>
    <t>0x5501</t>
  </si>
  <si>
    <t>Seafoam Islands B2F</t>
  </si>
  <si>
    <t>&lt;3D0730&gt;</t>
  </si>
  <si>
    <t>0x5601</t>
  </si>
  <si>
    <t>Seafoam Islands B3F</t>
  </si>
  <si>
    <t>&lt;3D0768&gt;</t>
  </si>
  <si>
    <t>&lt;3D0784&gt;</t>
  </si>
  <si>
    <t>&lt;3D07B4&gt;</t>
  </si>
  <si>
    <t>0x5701</t>
  </si>
  <si>
    <t>Seafoam Islands B4F</t>
  </si>
  <si>
    <t>&lt;3D07EC&gt;</t>
  </si>
  <si>
    <t>0x5801</t>
  </si>
  <si>
    <t>Pokémon Tower 1F</t>
  </si>
  <si>
    <t>&lt;3D0824&gt;</t>
  </si>
  <si>
    <t>0x5901</t>
  </si>
  <si>
    <t>Pokémon Tower 2F</t>
  </si>
  <si>
    <t>&lt;3D085C&gt;</t>
  </si>
  <si>
    <t>0x5A01</t>
  </si>
  <si>
    <t>Pokémon Tower 3F</t>
  </si>
  <si>
    <t>&lt;3D0894&gt;</t>
  </si>
  <si>
    <t>&lt;3D08B0&gt;</t>
  </si>
  <si>
    <t>&lt;3D08E0&gt;</t>
  </si>
  <si>
    <t>0x5B01</t>
  </si>
  <si>
    <t>Pokémon Tower 4F</t>
  </si>
  <si>
    <t>&lt;3D0918&gt;</t>
  </si>
  <si>
    <t>&lt;3D0934&gt;</t>
  </si>
  <si>
    <t>&lt;3D0964&gt;</t>
  </si>
  <si>
    <t>0x5C01</t>
  </si>
  <si>
    <t>Pokémon Tower 5F</t>
  </si>
  <si>
    <t>&lt;3D099C&gt;</t>
  </si>
  <si>
    <t>&lt;3D09B8&gt;</t>
  </si>
  <si>
    <t>&lt;3D09E8&gt;</t>
  </si>
  <si>
    <t>0x5D01</t>
  </si>
  <si>
    <t>Pokémon Tower 6F</t>
  </si>
  <si>
    <t>&lt;3D0A20&gt;</t>
  </si>
  <si>
    <t>&lt;3D0A3C&gt;</t>
  </si>
  <si>
    <t>&lt;3D0A6C&gt;</t>
  </si>
  <si>
    <t>0x5E01</t>
  </si>
  <si>
    <t>Pokémon Tower 7F</t>
  </si>
  <si>
    <t>&lt;3D0AA4&gt;</t>
  </si>
  <si>
    <t>0x5F01</t>
  </si>
  <si>
    <t>Power Plant</t>
  </si>
  <si>
    <t>&lt;3D0ADC&gt;</t>
  </si>
  <si>
    <t>0x6001</t>
  </si>
  <si>
    <t>Mt. Ember Ruby Path B4F</t>
  </si>
  <si>
    <t>22</t>
  </si>
  <si>
    <t>&lt;3D0B14&gt;</t>
  </si>
  <si>
    <t>0x6101</t>
  </si>
  <si>
    <t>Mt. Ember Exterior</t>
  </si>
  <si>
    <t>23</t>
  </si>
  <si>
    <t>&lt;3D0B4C&gt;</t>
  </si>
  <si>
    <t>0x6201</t>
  </si>
  <si>
    <t>Mt. Ember Summit Path 1F</t>
  </si>
  <si>
    <t>24</t>
  </si>
  <si>
    <t>&lt;3D0B84&gt;</t>
  </si>
  <si>
    <t>0x6301</t>
  </si>
  <si>
    <t>Mt. Ember Summit Path 2F</t>
  </si>
  <si>
    <t>&lt;3D0BA0&gt;</t>
  </si>
  <si>
    <t>&lt;3D0BD0&gt;</t>
  </si>
  <si>
    <t>0x6401</t>
  </si>
  <si>
    <t>Mt. Ember Summit Path 3F</t>
  </si>
  <si>
    <t>26</t>
  </si>
  <si>
    <t>&lt;3D0BEC&gt;</t>
  </si>
  <si>
    <t>&lt;3D0C1C&gt;</t>
  </si>
  <si>
    <t>0x6501</t>
  </si>
  <si>
    <t>Mt. Ember Summit</t>
  </si>
  <si>
    <t>&lt;3D0C54&gt;</t>
  </si>
  <si>
    <t>&lt;3D0C70&gt;</t>
  </si>
  <si>
    <t>&lt;3D0CA0&gt;</t>
  </si>
  <si>
    <t>0x6601</t>
  </si>
  <si>
    <t>Mt. Ember Ruby Path B5F</t>
  </si>
  <si>
    <t>&lt;3D0CD8&gt;</t>
  </si>
  <si>
    <t>&lt;3D0CF4&gt;</t>
  </si>
  <si>
    <t>&lt;3D0D24&gt;</t>
  </si>
  <si>
    <t>0x6701</t>
  </si>
  <si>
    <t>Mt. Ember Ruby Path 1F</t>
  </si>
  <si>
    <t>&lt;3D0D5C&gt;</t>
  </si>
  <si>
    <t>&lt;3D0D78&gt;</t>
  </si>
  <si>
    <t>&lt;3D0DA8&gt;</t>
  </si>
  <si>
    <t>0x6801</t>
  </si>
  <si>
    <t>Mt. Ember Ruby Path B1F</t>
  </si>
  <si>
    <t>2A</t>
  </si>
  <si>
    <t>&lt;3D0DE0&gt;</t>
  </si>
  <si>
    <t>&lt;3D0DFC&gt;</t>
  </si>
  <si>
    <t>&lt;3D0E2C&gt;</t>
  </si>
  <si>
    <t>0x6901</t>
  </si>
  <si>
    <t>Mt. Ember Ruby Path B2F</t>
  </si>
  <si>
    <t>2B</t>
  </si>
  <si>
    <t>&lt;3D0E64&gt;</t>
  </si>
  <si>
    <t>&lt;3D0E80&gt;</t>
  </si>
  <si>
    <t>&lt;3D0EB0&gt;</t>
  </si>
  <si>
    <t>0x6A01</t>
  </si>
  <si>
    <t>Mt. Ember Ruby Path B3F</t>
  </si>
  <si>
    <t>2C</t>
  </si>
  <si>
    <t>&lt;3D0EE8&gt;</t>
  </si>
  <si>
    <t>&lt;3D0F04&gt;</t>
  </si>
  <si>
    <t>&lt;3D0F34&gt;</t>
  </si>
  <si>
    <t>0x6B01</t>
  </si>
  <si>
    <t>Mt. Ember Ruby Path B1F Stairs</t>
  </si>
  <si>
    <t>&lt;3D0F50&gt;</t>
  </si>
  <si>
    <t>&lt;3D0F80&gt;</t>
  </si>
  <si>
    <t>0x6C01</t>
  </si>
  <si>
    <t>Mt. Ember Ruby Path B2F Stairs</t>
  </si>
  <si>
    <t>&lt;3D0F9C&gt;</t>
  </si>
  <si>
    <t>&lt;3D0FCC&gt;</t>
  </si>
  <si>
    <t>0x6D01</t>
  </si>
  <si>
    <t>Three Island Berry Forest</t>
  </si>
  <si>
    <t>&lt;3D0FE8&gt;</t>
  </si>
  <si>
    <t>&lt;3D1018&gt;</t>
  </si>
  <si>
    <t>0x6E01</t>
  </si>
  <si>
    <t>Four Island Icefall Cave Entrance</t>
  </si>
  <si>
    <t>05</t>
  </si>
  <si>
    <t>&lt;3D1034&gt;</t>
  </si>
  <si>
    <t>&lt;3D1064&gt;</t>
  </si>
  <si>
    <t>0x6F01</t>
  </si>
  <si>
    <t>Four Island Icefall Cave 1F</t>
  </si>
  <si>
    <t>06</t>
  </si>
  <si>
    <t>&lt;3D1080&gt;</t>
  </si>
  <si>
    <t>&lt;3D10B0&gt;</t>
  </si>
  <si>
    <t>0x7001</t>
  </si>
  <si>
    <t>Four Island Icefall Cave B1F</t>
  </si>
  <si>
    <t>07</t>
  </si>
  <si>
    <t>&lt;3D10CC&gt;</t>
  </si>
  <si>
    <t>&lt;3D10FC&gt;</t>
  </si>
  <si>
    <t>0x7101</t>
  </si>
  <si>
    <t>Four Island Icefall Cave Back</t>
  </si>
  <si>
    <t>08</t>
  </si>
  <si>
    <t>&lt;3D1118&gt;</t>
  </si>
  <si>
    <t>&lt;3D1148&gt;</t>
  </si>
  <si>
    <t>0x7201</t>
  </si>
  <si>
    <t>Five Island Rocket Warehouse</t>
  </si>
  <si>
    <t>0C</t>
  </si>
  <si>
    <t>&lt;3D1164&gt;</t>
  </si>
  <si>
    <t>&lt;3D1194&gt;</t>
  </si>
  <si>
    <t>0x7301</t>
  </si>
  <si>
    <t>Six Island Dotted Hole 1F</t>
  </si>
  <si>
    <t>&lt;3D11B0&gt;</t>
  </si>
  <si>
    <t>&lt;3D11E0&gt;</t>
  </si>
  <si>
    <t>0x7401</t>
  </si>
  <si>
    <t>Six Island Dotted Hole B1F</t>
  </si>
  <si>
    <t>&lt;3D11FC&gt;</t>
  </si>
  <si>
    <t>&lt;3D122C&gt;</t>
  </si>
  <si>
    <t>0x7501</t>
  </si>
  <si>
    <t>Six Island Dotted Hole B2F</t>
  </si>
  <si>
    <t>7A</t>
  </si>
  <si>
    <t>&lt;3D1264&gt;</t>
  </si>
  <si>
    <t>0x7601</t>
  </si>
  <si>
    <t>Six Island Dotted Hole B3F</t>
  </si>
  <si>
    <t>&lt;3D129C&gt;</t>
  </si>
  <si>
    <t>0x7701</t>
  </si>
  <si>
    <t>Six Island Dotted Hole B4F</t>
  </si>
  <si>
    <t>&lt;3D12D4&gt;</t>
  </si>
  <si>
    <t>0x7801</t>
  </si>
  <si>
    <t>Six Island Dotted Hole Sapphire Room</t>
  </si>
  <si>
    <t>&lt;3D130C&gt;</t>
  </si>
  <si>
    <t>0x7901</t>
  </si>
  <si>
    <t>Six Island Pattern Bush</t>
  </si>
  <si>
    <t>&lt;3D1344&gt;</t>
  </si>
  <si>
    <t>0x7A01</t>
  </si>
  <si>
    <t>Six Island Altering Cave</t>
  </si>
  <si>
    <t>&lt;3D137C&gt;</t>
  </si>
  <si>
    <t>0x0002</t>
  </si>
  <si>
    <t>Navel Rock Exterior</t>
  </si>
  <si>
    <t>&lt;3D13B4&gt;</t>
  </si>
  <si>
    <t>0x0102</t>
  </si>
  <si>
    <t>Trainer Tower 1F</t>
  </si>
  <si>
    <t>&lt;3D13EC&gt;</t>
  </si>
  <si>
    <t>0x0202</t>
  </si>
  <si>
    <t>Trainer Tower 2F</t>
  </si>
  <si>
    <t>&lt;3D1424&gt;</t>
  </si>
  <si>
    <t>0x0302</t>
  </si>
  <si>
    <t>Trainer Tower 3F</t>
  </si>
  <si>
    <t>0x0402</t>
  </si>
  <si>
    <t>Trainer Tower 4F</t>
  </si>
  <si>
    <t>0x0502</t>
  </si>
  <si>
    <t>Trainer Tower 5F</t>
  </si>
  <si>
    <t>0x0602</t>
  </si>
  <si>
    <t>Trainer Tower 6F</t>
  </si>
  <si>
    <t>0x0702</t>
  </si>
  <si>
    <t>Trainer Tower 7F</t>
  </si>
  <si>
    <t>0x0802</t>
  </si>
  <si>
    <t>Trainer Tower 8F</t>
  </si>
  <si>
    <t>0x0902</t>
  </si>
  <si>
    <t>Trainer Tower Roof</t>
  </si>
  <si>
    <t>0x0A02</t>
  </si>
  <si>
    <t>Trainer Tower Lobby</t>
  </si>
  <si>
    <t>0x0B02</t>
  </si>
  <si>
    <t>Trainer Tower Elevator</t>
  </si>
  <si>
    <t>0x0C02</t>
  </si>
  <si>
    <t>Five Island Lost Cave Entrance</t>
  </si>
  <si>
    <t>0x0D02</t>
  </si>
  <si>
    <t>Five Island Lost Cave Room 1</t>
  </si>
  <si>
    <t>0x0E02</t>
  </si>
  <si>
    <t>Five Island Lost Cave Room 2</t>
  </si>
  <si>
    <t>0x0F02</t>
  </si>
  <si>
    <t>Five Island Lost Cave Room 3</t>
  </si>
  <si>
    <t>0x1002</t>
  </si>
  <si>
    <t>Five Island Lost Cave Room 4</t>
  </si>
  <si>
    <t>0x1102</t>
  </si>
  <si>
    <t>Five Island Lost Cave Room 5</t>
  </si>
  <si>
    <t>0x1202</t>
  </si>
  <si>
    <t>Five Island Lost Cave Room 6</t>
  </si>
  <si>
    <t>0x1302</t>
  </si>
  <si>
    <t>Five Island Lost Cave Room 7</t>
  </si>
  <si>
    <t>0x1402</t>
  </si>
  <si>
    <t>Five Island Lost Cave Room 8</t>
  </si>
  <si>
    <t>0x1502</t>
  </si>
  <si>
    <t>Five Island Lost Cave Room 9</t>
  </si>
  <si>
    <t>0x1602</t>
  </si>
  <si>
    <t>Five Island Lost Cave Room 10</t>
  </si>
  <si>
    <t>0x1702</t>
  </si>
  <si>
    <t>Five Island Lost Cave Room 11</t>
  </si>
  <si>
    <t>0x1802</t>
  </si>
  <si>
    <t>Five Island Lost Cave Room 12</t>
  </si>
  <si>
    <t>0x1902</t>
  </si>
  <si>
    <t>Five Island Lost Cave Room 13</t>
  </si>
  <si>
    <t>0x1A02</t>
  </si>
  <si>
    <t>Five Island Lost Cave Room 14</t>
  </si>
  <si>
    <t>0x1B02</t>
  </si>
  <si>
    <t>Seven Island Tanoby Runis Monean Chamber</t>
  </si>
  <si>
    <t>0x1C02</t>
  </si>
  <si>
    <t>Seven Island Tanoby Runis Liptoo Chamber</t>
  </si>
  <si>
    <t>0x1D02</t>
  </si>
  <si>
    <t>Seven Island Tanoby Runis Weepth Chamber</t>
  </si>
  <si>
    <t>0x1E02</t>
  </si>
  <si>
    <t>Seven Island Tanoby Runis Dilford Chamber</t>
  </si>
  <si>
    <t>0x1F02</t>
  </si>
  <si>
    <t>Seven Island Tanoby Runis Sufib Chamber</t>
  </si>
  <si>
    <t>0x2002</t>
  </si>
  <si>
    <t>Seven Island Tanoby Runis Rixy Chamber</t>
  </si>
  <si>
    <t>0x2102</t>
  </si>
  <si>
    <t>Seven Island Tanoby Runis Viapois Chamber</t>
  </si>
  <si>
    <t>0x2202</t>
  </si>
  <si>
    <t>Three Island Dunsparce Tunnel</t>
  </si>
  <si>
    <t>0x2302</t>
  </si>
  <si>
    <t>Seven Island Sevault Canyon Tanoby Key</t>
  </si>
  <si>
    <t>0x2402</t>
  </si>
  <si>
    <t>Navel Rock 1F</t>
  </si>
  <si>
    <t>0x2502</t>
  </si>
  <si>
    <t>Navel Rock Summit</t>
  </si>
  <si>
    <t>0x2602</t>
  </si>
  <si>
    <t>Navel Rock Base</t>
  </si>
  <si>
    <t>0x2702</t>
  </si>
  <si>
    <t>Navel Rock Summit Path 2F</t>
  </si>
  <si>
    <t>0x2802</t>
  </si>
  <si>
    <t>Navel Rock Summit Path 3F</t>
  </si>
  <si>
    <t>0x2902</t>
  </si>
  <si>
    <t>Navel Rock Summit Path 4F</t>
  </si>
  <si>
    <t>0x2A02</t>
  </si>
  <si>
    <t>Navel Rock Summit Path 5F</t>
  </si>
  <si>
    <t>0x2B02</t>
  </si>
  <si>
    <t>Navel Rock Base Path B1F</t>
  </si>
  <si>
    <t>0x2C02</t>
  </si>
  <si>
    <t>Navel Rock Base Path B2F</t>
  </si>
  <si>
    <t>0x2D02</t>
  </si>
  <si>
    <t>Navel Rock Base Path B3F</t>
  </si>
  <si>
    <t>0x2E02</t>
  </si>
  <si>
    <t>Navel Rock Base Path B4F</t>
  </si>
  <si>
    <t>0x2F02</t>
  </si>
  <si>
    <t>Navel Rock Base Path B5F</t>
  </si>
  <si>
    <t>0x3002</t>
  </si>
  <si>
    <t>Navel Rock Base Path B6F</t>
  </si>
  <si>
    <t>0x3102</t>
  </si>
  <si>
    <t>Navel Rock Base Path B7F</t>
  </si>
  <si>
    <t>0x3202</t>
  </si>
  <si>
    <t>Navel Rock Base Path B8F</t>
  </si>
  <si>
    <t>0x3302</t>
  </si>
  <si>
    <t>Navel Rock Base Path B9F</t>
  </si>
  <si>
    <t>0x3402</t>
  </si>
  <si>
    <t>Navel Rock Base Path B10F</t>
  </si>
  <si>
    <t>0x3502</t>
  </si>
  <si>
    <t>Navel Rock Base Path B11F</t>
  </si>
  <si>
    <t>0x3602</t>
  </si>
  <si>
    <t>Navel Rock B1F</t>
  </si>
  <si>
    <t>0x3702</t>
  </si>
  <si>
    <t>Navel Rock Fork</t>
  </si>
  <si>
    <t>0x3802</t>
  </si>
  <si>
    <t>Birth Island Exterior</t>
  </si>
  <si>
    <t>0x3902</t>
  </si>
  <si>
    <t>One Island Kindle Road Ember Spa</t>
  </si>
  <si>
    <t>0x3A02</t>
  </si>
  <si>
    <t>Birth Island Harbor</t>
  </si>
  <si>
    <t>0x3B02</t>
  </si>
  <si>
    <t>Navel Rock Harbor</t>
  </si>
  <si>
    <t>0x0003</t>
  </si>
  <si>
    <t>Pallet Town</t>
  </si>
  <si>
    <t>0x0103</t>
  </si>
  <si>
    <t>Viridian City</t>
  </si>
  <si>
    <t>0x0203</t>
  </si>
  <si>
    <t>Pewter City</t>
  </si>
  <si>
    <t>0x0303</t>
  </si>
  <si>
    <t>Celurean City</t>
  </si>
  <si>
    <t>0x0403</t>
  </si>
  <si>
    <t>Lavender Town</t>
  </si>
  <si>
    <t>0x0503</t>
  </si>
  <si>
    <t>Vermilion City</t>
  </si>
  <si>
    <t>0x0603</t>
  </si>
  <si>
    <t>Celadon City</t>
  </si>
  <si>
    <t>0x0703</t>
  </si>
  <si>
    <t>Fuchsia City</t>
  </si>
  <si>
    <t>0x0803</t>
  </si>
  <si>
    <t>Cinnabar Island</t>
  </si>
  <si>
    <t>0x0903</t>
  </si>
  <si>
    <t>Indigo Plateau Exterior</t>
  </si>
  <si>
    <t>0x0A03</t>
  </si>
  <si>
    <t>Saffron City</t>
  </si>
  <si>
    <t>0x0B03</t>
  </si>
  <si>
    <t>Saffron City Connection</t>
  </si>
  <si>
    <t>0x0C03</t>
  </si>
  <si>
    <t>One Island</t>
  </si>
  <si>
    <t>0x0D03</t>
  </si>
  <si>
    <t>Two Island</t>
  </si>
  <si>
    <t>0x0E03</t>
  </si>
  <si>
    <t>Three Island</t>
  </si>
  <si>
    <t>0x0F03</t>
  </si>
  <si>
    <t>Four Island</t>
  </si>
  <si>
    <t>0x1003</t>
  </si>
  <si>
    <t>Five Island</t>
  </si>
  <si>
    <t>0x1103</t>
  </si>
  <si>
    <t>Seven Island</t>
  </si>
  <si>
    <t>0x1203</t>
  </si>
  <si>
    <t>Six Island</t>
  </si>
  <si>
    <t>0x1303</t>
  </si>
  <si>
    <t>Route 1</t>
  </si>
  <si>
    <t>0x1403</t>
  </si>
  <si>
    <t>Route 2</t>
  </si>
  <si>
    <t>0x1503</t>
  </si>
  <si>
    <t>Route 3</t>
  </si>
  <si>
    <t>0x1603</t>
  </si>
  <si>
    <t>Route 4</t>
  </si>
  <si>
    <t>0x1703</t>
  </si>
  <si>
    <t>Route 5</t>
  </si>
  <si>
    <t>0x1803</t>
  </si>
  <si>
    <t>Route 6</t>
  </si>
  <si>
    <t>0x1903</t>
  </si>
  <si>
    <t>Route 7</t>
  </si>
  <si>
    <t>0x1A03</t>
  </si>
  <si>
    <t>Route 8</t>
  </si>
  <si>
    <t>0x1B03</t>
  </si>
  <si>
    <t>Route 9</t>
  </si>
  <si>
    <t>0x1C03</t>
  </si>
  <si>
    <t>Route 10</t>
  </si>
  <si>
    <t>0x1D03</t>
  </si>
  <si>
    <t>Route 11</t>
  </si>
  <si>
    <t>0x1E03</t>
  </si>
  <si>
    <t>Route 12</t>
  </si>
  <si>
    <t>0x1F03</t>
  </si>
  <si>
    <t>Route 13</t>
  </si>
  <si>
    <t>0x2003</t>
  </si>
  <si>
    <t>Route 14</t>
  </si>
  <si>
    <t>0x2103</t>
  </si>
  <si>
    <t>Route 15</t>
  </si>
  <si>
    <t>0x2203</t>
  </si>
  <si>
    <t>Route 16</t>
  </si>
  <si>
    <t>0x2303</t>
  </si>
  <si>
    <t>Route 17</t>
  </si>
  <si>
    <t>0x2403</t>
  </si>
  <si>
    <t>Route 18</t>
  </si>
  <si>
    <t>0x2503</t>
  </si>
  <si>
    <t>Route 19</t>
  </si>
  <si>
    <t>0x2603</t>
  </si>
  <si>
    <t>Route 20</t>
  </si>
  <si>
    <t>0x2703</t>
  </si>
  <si>
    <t>Route 21 North</t>
  </si>
  <si>
    <t>0x2803</t>
  </si>
  <si>
    <t>Route 21 South</t>
  </si>
  <si>
    <t>0x2903</t>
  </si>
  <si>
    <t>Route 22</t>
  </si>
  <si>
    <t>0x2A03</t>
  </si>
  <si>
    <t>Route 23</t>
  </si>
  <si>
    <t>0x2B03</t>
  </si>
  <si>
    <t>Route 24</t>
  </si>
  <si>
    <t>0x2C03</t>
  </si>
  <si>
    <t>Route 25</t>
  </si>
  <si>
    <t>0x2D03</t>
  </si>
  <si>
    <t>One Island Kindle Road</t>
  </si>
  <si>
    <t>0x2E03</t>
  </si>
  <si>
    <t>One Island Treasure Beach</t>
  </si>
  <si>
    <t>0x2F03</t>
  </si>
  <si>
    <t>Two Island Cape Brink</t>
  </si>
  <si>
    <t>0x3003</t>
  </si>
  <si>
    <t>Three Island Bond Bridge</t>
  </si>
  <si>
    <t>0x3103</t>
  </si>
  <si>
    <t>Three Island Port</t>
  </si>
  <si>
    <t>0x3203</t>
  </si>
  <si>
    <t>Prototype Sevii Isle 6</t>
  </si>
  <si>
    <t>0x3303</t>
  </si>
  <si>
    <t>Prototype Sevii Isle 7</t>
  </si>
  <si>
    <t>0x3403</t>
  </si>
  <si>
    <t>Prototype Sevii Isle 8</t>
  </si>
  <si>
    <t>0x3503</t>
  </si>
  <si>
    <t>Prototype Sevii Isle 9</t>
  </si>
  <si>
    <t>0x3603</t>
  </si>
  <si>
    <t>Five Island Resort Gorgeous</t>
  </si>
  <si>
    <t>0x3703</t>
  </si>
  <si>
    <t>Five Island Water Labyrinth</t>
  </si>
  <si>
    <t>0x3803</t>
  </si>
  <si>
    <t>Five Island Meadow</t>
  </si>
  <si>
    <t>0x3903</t>
  </si>
  <si>
    <t>Five Island Memorial Pillar</t>
  </si>
  <si>
    <t>0x3A03</t>
  </si>
  <si>
    <t>Six Island Outcast Island</t>
  </si>
  <si>
    <t>0x3B03</t>
  </si>
  <si>
    <t>Six Island Green Path</t>
  </si>
  <si>
    <t>0x3C03</t>
  </si>
  <si>
    <t>Six Island Water Path</t>
  </si>
  <si>
    <t>0x3D03</t>
  </si>
  <si>
    <t>Six Island Ruin Valley</t>
  </si>
  <si>
    <t>0x3E03</t>
  </si>
  <si>
    <t>Seven Island Trainer Tower</t>
  </si>
  <si>
    <t>0x3F03</t>
  </si>
  <si>
    <t>Seven Island Sevault Canyon Entrance</t>
  </si>
  <si>
    <t>0x4003</t>
  </si>
  <si>
    <t>Seven Island Sevault Canyon</t>
  </si>
  <si>
    <t>0x4103</t>
  </si>
  <si>
    <t>Seven Island Tanoby Ruins</t>
  </si>
  <si>
    <t>0x0004</t>
  </si>
  <si>
    <t>Pallet Town Player's House 1F</t>
  </si>
  <si>
    <t>0x0104</t>
  </si>
  <si>
    <t>Pallet Town Player's House 2F</t>
  </si>
  <si>
    <t>0x0204</t>
  </si>
  <si>
    <t>Pallet Town Rival's House</t>
  </si>
  <si>
    <t>0x0304</t>
  </si>
  <si>
    <t>Pallet Town Professor Oak's Lab</t>
  </si>
  <si>
    <t>0x0005</t>
  </si>
  <si>
    <t>Viridian City House 1</t>
  </si>
  <si>
    <t>0x0105</t>
  </si>
  <si>
    <t>Viridian City Gym</t>
  </si>
  <si>
    <t>0x0205</t>
  </si>
  <si>
    <t>Viridian City House 2</t>
  </si>
  <si>
    <t>0x0305</t>
  </si>
  <si>
    <t>Viridian City Mart</t>
  </si>
  <si>
    <t>0x0405</t>
  </si>
  <si>
    <t>Viridian City Pokémon Center 1F</t>
  </si>
  <si>
    <t>0x0505</t>
  </si>
  <si>
    <t>Viridian City Pokémon Center 2F</t>
  </si>
  <si>
    <t>0x0006</t>
  </si>
  <si>
    <t>Pewter City Museum 1F</t>
  </si>
  <si>
    <t>0x0106</t>
  </si>
  <si>
    <t>Pewter City Museum 2F</t>
  </si>
  <si>
    <t>0x0206</t>
  </si>
  <si>
    <t>Pewter City Gym</t>
  </si>
  <si>
    <t>0x0306</t>
  </si>
  <si>
    <t>Pewter City Mart</t>
  </si>
  <si>
    <t>0x0406</t>
  </si>
  <si>
    <t>Pewter City House 1</t>
  </si>
  <si>
    <t>0x0506</t>
  </si>
  <si>
    <t>Pewter City Pokémon Center 1F</t>
  </si>
  <si>
    <t>0x0606</t>
  </si>
  <si>
    <t>Pewter City Pokémon Center 2F</t>
  </si>
  <si>
    <t>0x0706</t>
  </si>
  <si>
    <t>Pewter City House 2</t>
  </si>
  <si>
    <t>0x0007</t>
  </si>
  <si>
    <t>Cerulean City House 1</t>
  </si>
  <si>
    <t>0x0107</t>
  </si>
  <si>
    <t>Cerulean City House 2</t>
  </si>
  <si>
    <t>0x0207</t>
  </si>
  <si>
    <t>Cerulean City House 3</t>
  </si>
  <si>
    <t>0x0307</t>
  </si>
  <si>
    <t>Cerulean City Pokémon Center 1F</t>
  </si>
  <si>
    <t>0x0407</t>
  </si>
  <si>
    <t>Cerulean City Pokémon Center 2F</t>
  </si>
  <si>
    <t>0x0507</t>
  </si>
  <si>
    <t>Cerulean City Gym</t>
  </si>
  <si>
    <t>0x0607</t>
  </si>
  <si>
    <t>Cerulean City Bike Shop</t>
  </si>
  <si>
    <t>0x0707</t>
  </si>
  <si>
    <t>Cerulean City Mart</t>
  </si>
  <si>
    <t>0x0807</t>
  </si>
  <si>
    <t>Cerulean City House 4</t>
  </si>
  <si>
    <t>0x0907</t>
  </si>
  <si>
    <t>Cerulean City House 5</t>
  </si>
  <si>
    <t>0x0008</t>
  </si>
  <si>
    <t>Lavender Town Pokémon Center 1F</t>
  </si>
  <si>
    <t>0x0108</t>
  </si>
  <si>
    <t>Lavender Town Pokémon Center 2F</t>
  </si>
  <si>
    <t>0x0208</t>
  </si>
  <si>
    <t>Lavender Town Volunteer Pokémon House</t>
  </si>
  <si>
    <t>0x0308</t>
  </si>
  <si>
    <t>Lavender Town House 1</t>
  </si>
  <si>
    <t>0x0408</t>
  </si>
  <si>
    <t>Lavender Town House 2</t>
  </si>
  <si>
    <t>0x0508</t>
  </si>
  <si>
    <t>Lavender Town Art</t>
  </si>
  <si>
    <t>0x0009</t>
  </si>
  <si>
    <t>Vermilion City House 1</t>
  </si>
  <si>
    <t>0x0109</t>
  </si>
  <si>
    <t>Vermilion City Pokémon Center 1F</t>
  </si>
  <si>
    <t>0x0209</t>
  </si>
  <si>
    <t>Vermilion City Pokémon Center 2F</t>
  </si>
  <si>
    <t>0x0309</t>
  </si>
  <si>
    <t>Vermilion City Pokémon Fan Club</t>
  </si>
  <si>
    <t>0x0409</t>
  </si>
  <si>
    <t>Vermilion City House 2</t>
  </si>
  <si>
    <t>0x0509</t>
  </si>
  <si>
    <t>Vermilion City Mart</t>
  </si>
  <si>
    <t>0x0609</t>
  </si>
  <si>
    <t>Vermilion City Gym</t>
  </si>
  <si>
    <t>0x0709</t>
  </si>
  <si>
    <t>Vermilion City House 3</t>
  </si>
  <si>
    <t>0x000A</t>
  </si>
  <si>
    <t>Celadon City Department Store 1F</t>
  </si>
  <si>
    <t>0x010A</t>
  </si>
  <si>
    <t>Celadon City Department Store 2F</t>
  </si>
  <si>
    <t>0x020A</t>
  </si>
  <si>
    <t>Celadon City Department Store 3F</t>
  </si>
  <si>
    <t>0x030A</t>
  </si>
  <si>
    <t>Celadon City Department Store 4F</t>
  </si>
  <si>
    <t>0x040A</t>
  </si>
  <si>
    <t>Celadon City Department Store 5F</t>
  </si>
  <si>
    <t>0x050A</t>
  </si>
  <si>
    <t>Celadon City Department Store Roof</t>
  </si>
  <si>
    <t>0x060A</t>
  </si>
  <si>
    <t>Celadon City Department Store Elevator</t>
  </si>
  <si>
    <t>0x070A</t>
  </si>
  <si>
    <t>Celadon City Condominiums 1F</t>
  </si>
  <si>
    <t>0x080A</t>
  </si>
  <si>
    <t>Celadon City Condominiums 2F</t>
  </si>
  <si>
    <t>0x090A</t>
  </si>
  <si>
    <t>Celadon City Condominiums 3F</t>
  </si>
  <si>
    <t>0x0A0A</t>
  </si>
  <si>
    <t>Celadon City Condominiums Roof</t>
  </si>
  <si>
    <t>0x0B0A</t>
  </si>
  <si>
    <t>Celadon City Condominiums Roof Room</t>
  </si>
  <si>
    <t>0x0C0A</t>
  </si>
  <si>
    <t>Celadon City Pokémon Center 1F</t>
  </si>
  <si>
    <t>0x0D0A</t>
  </si>
  <si>
    <t>Celadon City Pokémon Center 2F</t>
  </si>
  <si>
    <t>0x0E0A</t>
  </si>
  <si>
    <t>Celadon City Game Corner</t>
  </si>
  <si>
    <t>0x0F0A</t>
  </si>
  <si>
    <t>Celadon City Game Corner Prize Room</t>
  </si>
  <si>
    <t>0x100A</t>
  </si>
  <si>
    <t>Celadon City Gym</t>
  </si>
  <si>
    <t>0x110A</t>
  </si>
  <si>
    <t>Celadon City Restaurant</t>
  </si>
  <si>
    <t>0x120A</t>
  </si>
  <si>
    <t>Celadon City House 1</t>
  </si>
  <si>
    <t>0x130A</t>
  </si>
  <si>
    <t>Celadon City Hotel</t>
  </si>
  <si>
    <t>0x000B</t>
  </si>
  <si>
    <t>Fuchsia City Safari Zone Entrance</t>
  </si>
  <si>
    <t>0x010B</t>
  </si>
  <si>
    <t>Fuchsia City Mart</t>
  </si>
  <si>
    <t>0x020B</t>
  </si>
  <si>
    <t>Fuchsia City Safari Zone Office</t>
  </si>
  <si>
    <t>0x030B</t>
  </si>
  <si>
    <t>Fuchsia City Gym</t>
  </si>
  <si>
    <t>0x040B</t>
  </si>
  <si>
    <t>Fuchsia City House 1</t>
  </si>
  <si>
    <t>0x050B</t>
  </si>
  <si>
    <t>Fuchsia City Pokémon Center 1F</t>
  </si>
  <si>
    <t>0x060B</t>
  </si>
  <si>
    <t>Fuchsia City Pokémon Center 2F</t>
  </si>
  <si>
    <t>0x070B</t>
  </si>
  <si>
    <t>Fuchsia City Wardens House</t>
  </si>
  <si>
    <t>0x080B</t>
  </si>
  <si>
    <t>Fuchsia City House 2</t>
  </si>
  <si>
    <t>0x090B</t>
  </si>
  <si>
    <t>Fuchsia City House 3</t>
  </si>
  <si>
    <t>0x000C</t>
  </si>
  <si>
    <t>Cinnabar Island Gym</t>
  </si>
  <si>
    <t>0x010C</t>
  </si>
  <si>
    <t>Cinnabar Island Pokémon Lab Entrance</t>
  </si>
  <si>
    <t>0x020C</t>
  </si>
  <si>
    <t>Cinnabar Island Pokémon Lab Lounge</t>
  </si>
  <si>
    <t>0x030C</t>
  </si>
  <si>
    <t>Cinnabar Island Pokémon Lab Research Room</t>
  </si>
  <si>
    <t>0x040C</t>
  </si>
  <si>
    <t>Cinnabar Island Pokémon Lab Experiment Room</t>
  </si>
  <si>
    <t>0x050C</t>
  </si>
  <si>
    <t>Cinnabar Island Pokémon Center 1F</t>
  </si>
  <si>
    <t>0x060C</t>
  </si>
  <si>
    <t>Cinnabar Island Pokémon Center 2F</t>
  </si>
  <si>
    <t>0x070C</t>
  </si>
  <si>
    <t>Cinnabar Island Mart</t>
  </si>
  <si>
    <t>0x000D</t>
  </si>
  <si>
    <t>Indigo Plateau Pokémon Center 1F</t>
  </si>
  <si>
    <t>0x010D</t>
  </si>
  <si>
    <t>Indigo Plateau Pokémon Center 2F</t>
  </si>
  <si>
    <t>0x000E</t>
  </si>
  <si>
    <t>Saffron City Copycats House 1F</t>
  </si>
  <si>
    <t>0x010E</t>
  </si>
  <si>
    <t>Saffron City Copycats House 2F</t>
  </si>
  <si>
    <t>0x020E</t>
  </si>
  <si>
    <t>Saffron City Dojo</t>
  </si>
  <si>
    <t>0x030E</t>
  </si>
  <si>
    <t>Saffron City Gym</t>
  </si>
  <si>
    <t>0x040E</t>
  </si>
  <si>
    <t>Saffron City House</t>
  </si>
  <si>
    <t>0x050E</t>
  </si>
  <si>
    <t>Saffron City Mart</t>
  </si>
  <si>
    <t>0x060E</t>
  </si>
  <si>
    <t>Saffron City Pokémon Center 1F</t>
  </si>
  <si>
    <t>0x070E</t>
  </si>
  <si>
    <t>Saffron City Pokémon Center 2F</t>
  </si>
  <si>
    <t>0x080E</t>
  </si>
  <si>
    <t>Saffron City Mr. Psychics House</t>
  </si>
  <si>
    <t>0x090E</t>
  </si>
  <si>
    <t>Saffron City Pokémon Trainer Fan Club</t>
  </si>
  <si>
    <t>0x000F</t>
  </si>
  <si>
    <t>Rouse 2 Viridian Forest South Entrance</t>
  </si>
  <si>
    <t>0x010F</t>
  </si>
  <si>
    <t>Rouse 2 House</t>
  </si>
  <si>
    <t>0x020F</t>
  </si>
  <si>
    <t>Rouse 2 East Building</t>
  </si>
  <si>
    <t>0x030F</t>
  </si>
  <si>
    <t>Rouse 2 Viridian Forest North Entrance</t>
  </si>
  <si>
    <t>0x0010</t>
  </si>
  <si>
    <t>Route 4 Pokémon Center 1F</t>
  </si>
  <si>
    <t>0x0110</t>
  </si>
  <si>
    <t>Route 4 Pokémon Center 2F</t>
  </si>
  <si>
    <t>0x0011</t>
  </si>
  <si>
    <t>Route 5 Pokémon Day Care</t>
  </si>
  <si>
    <t>0x0111</t>
  </si>
  <si>
    <t>Route 5 South Entrance</t>
  </si>
  <si>
    <t>0x0012</t>
  </si>
  <si>
    <t>Route 6 North Entrance</t>
  </si>
  <si>
    <t>0x0112</t>
  </si>
  <si>
    <t>Route 6 Unused House</t>
  </si>
  <si>
    <t>0x0013</t>
  </si>
  <si>
    <t>Route 7 East Entrance</t>
  </si>
  <si>
    <t>0x0014</t>
  </si>
  <si>
    <t>Route 8 West Entrance</t>
  </si>
  <si>
    <t>0x0015</t>
  </si>
  <si>
    <t>Route 10 Pokémon Center 1F</t>
  </si>
  <si>
    <t>0x0115</t>
  </si>
  <si>
    <t>Route 10 Pokémon Center 2F</t>
  </si>
  <si>
    <t>0x0016</t>
  </si>
  <si>
    <t>Route 11 East Entrance 1F</t>
  </si>
  <si>
    <t>0x0116</t>
  </si>
  <si>
    <t>Route 11 East Entrance 2F</t>
  </si>
  <si>
    <t>0x0017</t>
  </si>
  <si>
    <t>Route 12 North Entrance 1F</t>
  </si>
  <si>
    <t>0x0117</t>
  </si>
  <si>
    <t>Route 12 North Entrance 2F</t>
  </si>
  <si>
    <t>0x0217</t>
  </si>
  <si>
    <t>Route 12 Fishing House</t>
  </si>
  <si>
    <t>0x0018</t>
  </si>
  <si>
    <t>Route 15 West Entrance 1F</t>
  </si>
  <si>
    <t>0x0118</t>
  </si>
  <si>
    <t>Route 15 West Entrance 2F</t>
  </si>
  <si>
    <t>0x0019</t>
  </si>
  <si>
    <t>Route 16 House</t>
  </si>
  <si>
    <t>0x0119</t>
  </si>
  <si>
    <t>Route 16 North Entrance 1F</t>
  </si>
  <si>
    <t>0x0219</t>
  </si>
  <si>
    <t>Route 16 North Entrance 2F</t>
  </si>
  <si>
    <t>0x001A</t>
  </si>
  <si>
    <t>Route 18 East Entrance 1F</t>
  </si>
  <si>
    <t>0x011A</t>
  </si>
  <si>
    <t>Route 18 East Entrance 2F</t>
  </si>
  <si>
    <t>0x001B</t>
  </si>
  <si>
    <t>Route 19 Unused House</t>
  </si>
  <si>
    <t>0x001C</t>
  </si>
  <si>
    <t>Route 22 North Entrance</t>
  </si>
  <si>
    <t>0x001D</t>
  </si>
  <si>
    <t>Route 23 Unused House</t>
  </si>
  <si>
    <t>0x001E</t>
  </si>
  <si>
    <t>Route 25 Sea Cottage</t>
  </si>
  <si>
    <t>0x001F</t>
  </si>
  <si>
    <t>Seven Island House Room 1</t>
  </si>
  <si>
    <t>0x011F</t>
  </si>
  <si>
    <t>Seven Island House Room 2</t>
  </si>
  <si>
    <t>0x021F</t>
  </si>
  <si>
    <t>Seven Island Mart</t>
  </si>
  <si>
    <t>0x031F</t>
  </si>
  <si>
    <t>Seven Island Pokémon Center 1F</t>
  </si>
  <si>
    <t>0x041F</t>
  </si>
  <si>
    <t>Seven Island Pokémon Center 2F</t>
  </si>
  <si>
    <t>0x051F</t>
  </si>
  <si>
    <t>Seven Island Unused House</t>
  </si>
  <si>
    <t>0x061F</t>
  </si>
  <si>
    <t>Seven Island Harbor</t>
  </si>
  <si>
    <t>0x0020</t>
  </si>
  <si>
    <t>One Island Pokémon Center 1F</t>
  </si>
  <si>
    <t>0x0120</t>
  </si>
  <si>
    <t>One Island Pokémon Center 2F</t>
  </si>
  <si>
    <t>0x0220</t>
  </si>
  <si>
    <t>One Island House 1</t>
  </si>
  <si>
    <t>0x0320</t>
  </si>
  <si>
    <t>0x0420</t>
  </si>
  <si>
    <t>One Island Harbor</t>
  </si>
  <si>
    <t>0x0021</t>
  </si>
  <si>
    <t>Two Island Joyful Game Corner</t>
  </si>
  <si>
    <t>0x0121</t>
  </si>
  <si>
    <t>Two Island House</t>
  </si>
  <si>
    <t>0x0221</t>
  </si>
  <si>
    <t>Two Island Pokémon Center 1F</t>
  </si>
  <si>
    <t>0x0321</t>
  </si>
  <si>
    <t>Two Island Pokémon Center 2F</t>
  </si>
  <si>
    <t>0x0421</t>
  </si>
  <si>
    <t>Two Island Harbor</t>
  </si>
  <si>
    <t>0x0022</t>
  </si>
  <si>
    <t>Three Islands House 1</t>
  </si>
  <si>
    <t>0x0122</t>
  </si>
  <si>
    <t>Three Islands Pokémon Center 1F</t>
  </si>
  <si>
    <t>0x0222</t>
  </si>
  <si>
    <t>0x0322</t>
  </si>
  <si>
    <t>Three Islands Mart</t>
  </si>
  <si>
    <t>0x0422</t>
  </si>
  <si>
    <t>Three Islands House 2</t>
  </si>
  <si>
    <t>0x0522</t>
  </si>
  <si>
    <t>Three Islands House 3</t>
  </si>
  <si>
    <t>0x0622</t>
  </si>
  <si>
    <t>Three Islands House 4</t>
  </si>
  <si>
    <t>0x0722</t>
  </si>
  <si>
    <t>Three Islands House 5</t>
  </si>
  <si>
    <t>0x0023</t>
  </si>
  <si>
    <t>Four Island Pokémon Day Care</t>
  </si>
  <si>
    <t>0x0123</t>
  </si>
  <si>
    <t>Four Island Pokémon Center 1F</t>
  </si>
  <si>
    <t>0x0223</t>
  </si>
  <si>
    <t>0x0323</t>
  </si>
  <si>
    <t>Four Island House 1</t>
  </si>
  <si>
    <t>0x0423</t>
  </si>
  <si>
    <t>Four Island Loreleis House</t>
  </si>
  <si>
    <t>0x0523</t>
  </si>
  <si>
    <t>Four Island Harbor</t>
  </si>
  <si>
    <t>0x0623</t>
  </si>
  <si>
    <t>Four Island House 2</t>
  </si>
  <si>
    <t>0x0723</t>
  </si>
  <si>
    <t>Four Island Mart</t>
  </si>
  <si>
    <t>0x0024</t>
  </si>
  <si>
    <t>Five Island Pokémon Center 1F</t>
  </si>
  <si>
    <t>0x0124</t>
  </si>
  <si>
    <t>Five Island Pokémon Center 2F</t>
  </si>
  <si>
    <t>0x0224</t>
  </si>
  <si>
    <t>Five Island Harbor</t>
  </si>
  <si>
    <t>0x0324</t>
  </si>
  <si>
    <t>Five Island House 1</t>
  </si>
  <si>
    <t>0x0424</t>
  </si>
  <si>
    <t>Five Island House 2</t>
  </si>
  <si>
    <t>0x0025</t>
  </si>
  <si>
    <t>Six Island Pokémon Center 1F</t>
  </si>
  <si>
    <t>0x0125</t>
  </si>
  <si>
    <t>Six Island Pokémon Center 2F</t>
  </si>
  <si>
    <t>0x0225</t>
  </si>
  <si>
    <t>Six Island Harbor</t>
  </si>
  <si>
    <t>0x0325</t>
  </si>
  <si>
    <t>Six Island House</t>
  </si>
  <si>
    <t>0x0425</t>
  </si>
  <si>
    <t>Six Island Mart</t>
  </si>
  <si>
    <t>0x0026</t>
  </si>
  <si>
    <t>Three Islands Harbor</t>
  </si>
  <si>
    <t>0x0027</t>
  </si>
  <si>
    <t>Five Island Resort Gorgeous House</t>
  </si>
  <si>
    <t>0x0028</t>
  </si>
  <si>
    <t>Two Island Cape Brink House</t>
  </si>
  <si>
    <t>0x0029</t>
  </si>
  <si>
    <t>Six Island Water Path House 1</t>
  </si>
  <si>
    <t>0x0129</t>
  </si>
  <si>
    <t>Six Island Water Path House 2</t>
  </si>
  <si>
    <t>0x002A</t>
  </si>
  <si>
    <t>Seven Island Sevault Canyon House</t>
  </si>
  <si>
    <t xml:space="preserve">+1, 0, 0, </t>
  </si>
  <si>
    <t xml:space="preserve"> 14,  # 20%</t>
  </si>
  <si>
    <t>+10, 10, TANGELA  , &lt;null&gt;, &lt;null&gt;, &lt;null&gt;</t>
  </si>
  <si>
    <t>NEW ROUTE</t>
  </si>
  <si>
    <t xml:space="preserve">+1, 1, 0, </t>
  </si>
  <si>
    <t xml:space="preserve"> 7,  # 20%</t>
  </si>
  <si>
    <t>+11, 14, CLEFAIRY  , &lt;null&gt;, &lt;null&gt;, &lt;null&gt;</t>
  </si>
  <si>
    <t xml:space="preserve">+1, 2, 0, </t>
  </si>
  <si>
    <t xml:space="preserve"> 5,  # 20%</t>
  </si>
  <si>
    <t>+12, 15, CLEFAIRY  , &lt;null&gt;, &lt;null&gt;, &lt;null&gt;</t>
  </si>
  <si>
    <t xml:space="preserve">+1, 3, 0, </t>
  </si>
  <si>
    <t>+13, 16, GRAVELER  , &lt;null&gt;, &lt;null&gt;, &lt;null&gt;</t>
  </si>
  <si>
    <t xml:space="preserve">+1, 4, 0, &lt;null&gt;, </t>
  </si>
  <si>
    <t xml:space="preserve"> 1,  5, 10, TENTACOOL</t>
  </si>
  <si>
    <t xml:space="preserve">+35, 40, TENTACOOL </t>
  </si>
  <si>
    <t xml:space="preserve"> 10,  # old rod:</t>
  </si>
  <si>
    <t xml:space="preserve">+25, 35, SLOWPOKE  </t>
  </si>
  <si>
    <t xml:space="preserve">+1, 37, 0, </t>
  </si>
  <si>
    <t>+30, 30, DUGROUPLE  , &lt;null&gt;, &lt;null&gt;, &lt;null&gt;</t>
  </si>
  <si>
    <t xml:space="preserve">+1, 39, 0, </t>
  </si>
  <si>
    <t>+58, 60, WRAIWRATH  , &lt;null&gt;, &lt;null&gt;, &lt;null&gt;</t>
  </si>
  <si>
    <t xml:space="preserve">+1, 40, 0, </t>
  </si>
  <si>
    <t>+59, 61, FERODILLO  , &lt;null&gt;, &lt;null&gt;, &lt;null&gt;</t>
  </si>
  <si>
    <t xml:space="preserve">+1, 41, 0, </t>
  </si>
  <si>
    <t>+60, 62, CLAYMOR  , &lt;null&gt;, &lt;null&gt;, &lt;null&gt;</t>
  </si>
  <si>
    <t xml:space="preserve">+1, 59, 0, </t>
  </si>
  <si>
    <t>+20, 25, CHARMANDER  , &lt;null&gt;, &lt;null&gt;, &lt;null&gt;</t>
  </si>
  <si>
    <t xml:space="preserve">+1, 60, 0, </t>
  </si>
  <si>
    <t xml:space="preserve">+1, 61, 0, </t>
  </si>
  <si>
    <t xml:space="preserve">+1, 62, 0, </t>
  </si>
  <si>
    <t>+20, 25, OMANYTE  , &lt;null&gt;, &lt;null&gt;, &lt;null&gt;</t>
  </si>
  <si>
    <t xml:space="preserve">+1, 63, 0, </t>
  </si>
  <si>
    <t xml:space="preserve"> 21,  # 20%</t>
  </si>
  <si>
    <t xml:space="preserve">+40, 40, RHYPERIOR </t>
  </si>
  <si>
    <t xml:space="preserve"> 2,  38, 42, SLOWPOKE</t>
  </si>
  <si>
    <t xml:space="preserve">+44, 48, VAPOREON </t>
  </si>
  <si>
    <t xml:space="preserve"> 20,  # old rod:</t>
  </si>
  <si>
    <t xml:space="preserve">+40, 44, DRAGONITE  </t>
  </si>
  <si>
    <t xml:space="preserve">+1, 64, 0, </t>
  </si>
  <si>
    <t xml:space="preserve">+40, 40, MAGMORTAR </t>
  </si>
  <si>
    <t xml:space="preserve">+1, 65, 0, </t>
  </si>
  <si>
    <t xml:space="preserve">+40, 40, ELECTIVIRE </t>
  </si>
  <si>
    <t xml:space="preserve">+1, 66, 0, </t>
  </si>
  <si>
    <t xml:space="preserve">+40, 40, TANGROWTH </t>
  </si>
  <si>
    <t xml:space="preserve">+1, 72, 0, </t>
  </si>
  <si>
    <t xml:space="preserve">+55, 56, OMAPAL </t>
  </si>
  <si>
    <t xml:space="preserve"> 2,  50, 55, POLITOES</t>
  </si>
  <si>
    <t xml:space="preserve">+53, 58, NESSEA </t>
  </si>
  <si>
    <t xml:space="preserve">+53, 58, STARWE  </t>
  </si>
  <si>
    <t xml:space="preserve">+1, 73, 0, </t>
  </si>
  <si>
    <t>+55, 56, OMAPAL  , &lt;null&gt;, &lt;null&gt;, &lt;null&gt;</t>
  </si>
  <si>
    <t xml:space="preserve">+1, 74, 0, </t>
  </si>
  <si>
    <t xml:space="preserve">+1, 81, 0, </t>
  </si>
  <si>
    <t>+20, 23, KANGASKHAN  , &lt;null&gt;, &lt;null&gt;, &lt;null&gt;</t>
  </si>
  <si>
    <t xml:space="preserve">+1, 82, 0, </t>
  </si>
  <si>
    <t xml:space="preserve">+21, 24, KANGASKHAN </t>
  </si>
  <si>
    <t xml:space="preserve"> 50,  5, 20, GEODUDE</t>
  </si>
  <si>
    <t>+30, 40, GRAVELER  , &lt;null&gt;</t>
  </si>
  <si>
    <t xml:space="preserve">+1, 83, 0, </t>
  </si>
  <si>
    <t>+45, 50, LICKILICKY  , &lt;null&gt;, &lt;null&gt;, &lt;null&gt;</t>
  </si>
  <si>
    <t xml:space="preserve">+1, 84, 0, </t>
  </si>
  <si>
    <t>+45, 50, LICKILOLLY  , &lt;null&gt;, &lt;null&gt;, &lt;null&gt;</t>
  </si>
  <si>
    <t xml:space="preserve">+1, 85, 0, </t>
  </si>
  <si>
    <t xml:space="preserve">+1, 86, 0, </t>
  </si>
  <si>
    <t xml:space="preserve">+45, 50, LICKILOLLY </t>
  </si>
  <si>
    <t xml:space="preserve"> 2,  38, 44, DEWGONG</t>
  </si>
  <si>
    <t xml:space="preserve">+42, 46, SLOWBRO </t>
  </si>
  <si>
    <t xml:space="preserve">+40, 44, LORDRA  </t>
  </si>
  <si>
    <t xml:space="preserve">+1, 87, 0, </t>
  </si>
  <si>
    <t xml:space="preserve">+1, 90, 0, </t>
  </si>
  <si>
    <t xml:space="preserve"> 2,  # 20%</t>
  </si>
  <si>
    <t>+32, 33, NINETALES  , &lt;null&gt;, &lt;null&gt;, &lt;null&gt;</t>
  </si>
  <si>
    <t xml:space="preserve">+1, 91, 0, </t>
  </si>
  <si>
    <t xml:space="preserve"> 4,  # 20%</t>
  </si>
  <si>
    <t xml:space="preserve">+1, 92, 0, </t>
  </si>
  <si>
    <t xml:space="preserve"> 6,  # 20%</t>
  </si>
  <si>
    <t xml:space="preserve">+1, 93, 0, </t>
  </si>
  <si>
    <t xml:space="preserve"> 8,  # 20%</t>
  </si>
  <si>
    <t xml:space="preserve">+1, 94, 0, </t>
  </si>
  <si>
    <t xml:space="preserve"> 10,  # 20%</t>
  </si>
  <si>
    <t xml:space="preserve">+1, 95, 0, </t>
  </si>
  <si>
    <t>+45, 50, MAGNEZONE  , &lt;null&gt;, &lt;null&gt;, &lt;null&gt;</t>
  </si>
  <si>
    <t xml:space="preserve">+1, 97, 0, </t>
  </si>
  <si>
    <t xml:space="preserve">+42, 42, RAPIDASH </t>
  </si>
  <si>
    <t xml:space="preserve">+1, 98, 0, </t>
  </si>
  <si>
    <t>+39, 39, MACHOP  , &lt;null&gt;, &lt;null&gt;, &lt;null&gt;</t>
  </si>
  <si>
    <t xml:space="preserve">+1, 99, 0, </t>
  </si>
  <si>
    <t xml:space="preserve">+40, 40, MACHOKE </t>
  </si>
  <si>
    <t xml:space="preserve">+1, 100, 0, </t>
  </si>
  <si>
    <t xml:space="preserve">+1, 103, 0, </t>
  </si>
  <si>
    <t xml:space="preserve">+42, 42, MACHOKE </t>
  </si>
  <si>
    <t xml:space="preserve"> 50,  25, 35, GEODUDE</t>
  </si>
  <si>
    <t>+30, 40, GEODUDE  , &lt;null&gt;</t>
  </si>
  <si>
    <t xml:space="preserve">+1, 104, 0, </t>
  </si>
  <si>
    <t xml:space="preserve">+30, 30, SLUGMA </t>
  </si>
  <si>
    <t xml:space="preserve">+1, 105, 0, </t>
  </si>
  <si>
    <t xml:space="preserve">+22, 22, SLUGMA </t>
  </si>
  <si>
    <t xml:space="preserve">+1, 106, 0, </t>
  </si>
  <si>
    <t xml:space="preserve">+18, 18, SLUGMA </t>
  </si>
  <si>
    <t xml:space="preserve"> 50,  15, 25, SLUGMA</t>
  </si>
  <si>
    <t>+25, 35, MAGCARGO  , &lt;null&gt;</t>
  </si>
  <si>
    <t xml:space="preserve">+1, 107, 0, </t>
  </si>
  <si>
    <t xml:space="preserve">+1, 108, 0, </t>
  </si>
  <si>
    <t xml:space="preserve">+1, 109, 0, </t>
  </si>
  <si>
    <t xml:space="preserve">+40, 40, HYPNO </t>
  </si>
  <si>
    <t xml:space="preserve"> 2,  5, 20, SLOWPOKE</t>
  </si>
  <si>
    <t xml:space="preserve">+35, 40, SLOWBRO </t>
  </si>
  <si>
    <t xml:space="preserve">+1, 110, 0, </t>
  </si>
  <si>
    <t xml:space="preserve">+53, 53, DEWGONG </t>
  </si>
  <si>
    <t xml:space="preserve"> 2,  5, 35, SEEL</t>
  </si>
  <si>
    <t xml:space="preserve">+5, 15, MARILL </t>
  </si>
  <si>
    <t xml:space="preserve">+1, 111, 0, </t>
  </si>
  <si>
    <t>+23, 23, SWINUB  , &lt;null&gt;, &lt;null&gt;, &lt;null&gt;</t>
  </si>
  <si>
    <t xml:space="preserve">+1, 112, 0, </t>
  </si>
  <si>
    <t xml:space="preserve">+1, 113, 0, </t>
  </si>
  <si>
    <t xml:space="preserve"> 2,  5, 20, TENTACOOL</t>
  </si>
  <si>
    <t xml:space="preserve">+30, 45, LAPRAS </t>
  </si>
  <si>
    <t xml:space="preserve">+1, 121, 0, </t>
  </si>
  <si>
    <t>+30, 30, HERACROSS  , &lt;null&gt;, &lt;null&gt;, &lt;null&gt;</t>
  </si>
  <si>
    <t xml:space="preserve">+2, 13, 0, </t>
  </si>
  <si>
    <t xml:space="preserve"> 1,  # 20%</t>
  </si>
  <si>
    <t>+22, 22, MISDREAVUS  , &lt;null&gt;, &lt;null&gt;, &lt;null&gt;</t>
  </si>
  <si>
    <t xml:space="preserve">+2, 14, 0, </t>
  </si>
  <si>
    <t xml:space="preserve">+2, 15, 0, </t>
  </si>
  <si>
    <t xml:space="preserve"> 3,  # 20%</t>
  </si>
  <si>
    <t xml:space="preserve">+2, 16, 0, </t>
  </si>
  <si>
    <t xml:space="preserve">+2, 17, 0, </t>
  </si>
  <si>
    <t xml:space="preserve">+2, 18, 0, </t>
  </si>
  <si>
    <t xml:space="preserve">+2, 19, 0, </t>
  </si>
  <si>
    <t xml:space="preserve">+2, 20, 0, </t>
  </si>
  <si>
    <t xml:space="preserve">+2, 21, 0, </t>
  </si>
  <si>
    <t xml:space="preserve"> 9,  # 20%</t>
  </si>
  <si>
    <t xml:space="preserve">+2, 22, 0, </t>
  </si>
  <si>
    <t xml:space="preserve">+2, 23, 0, </t>
  </si>
  <si>
    <t xml:space="preserve">+2, 24, 0, </t>
  </si>
  <si>
    <t xml:space="preserve">+2, 25, 0, </t>
  </si>
  <si>
    <t xml:space="preserve">+2, 26, 0, </t>
  </si>
  <si>
    <t xml:space="preserve">+3, 45, 0, </t>
  </si>
  <si>
    <t xml:space="preserve">+40, 40, PERSIAN </t>
  </si>
  <si>
    <t xml:space="preserve">+35, 40, TENTACRUEL </t>
  </si>
  <si>
    <t xml:space="preserve"> 25,  5, 20, GEODUDE</t>
  </si>
  <si>
    <t xml:space="preserve">+30, 40, GRAVELER </t>
  </si>
  <si>
    <t xml:space="preserve">+3, 46, 0, </t>
  </si>
  <si>
    <t xml:space="preserve">+3, 47, 0, </t>
  </si>
  <si>
    <t xml:space="preserve">+3, 48, 0, </t>
  </si>
  <si>
    <t xml:space="preserve">+3, 49, 0, </t>
  </si>
  <si>
    <t>+35, 35, DUNSPARCE  , &lt;null&gt;, &lt;null&gt;, &lt;null&gt;</t>
  </si>
  <si>
    <t xml:space="preserve">+3, 54, 0, &lt;null&gt;, </t>
  </si>
  <si>
    <t xml:space="preserve"> 2,  5, 35, TENTACOOL</t>
  </si>
  <si>
    <t xml:space="preserve">+3, 55, 0, &lt;null&gt;, </t>
  </si>
  <si>
    <t xml:space="preserve">+3, 56, 0, </t>
  </si>
  <si>
    <t xml:space="preserve">+50, 50, PERSIAN </t>
  </si>
  <si>
    <t xml:space="preserve">+3, 57, 0, </t>
  </si>
  <si>
    <t xml:space="preserve">+14, 14, HOPPIP </t>
  </si>
  <si>
    <t xml:space="preserve">+3, 58, 0, &lt;null&gt;, </t>
  </si>
  <si>
    <t xml:space="preserve">+3, 59, 0, &lt;null&gt;, </t>
  </si>
  <si>
    <t xml:space="preserve">+3, 60, 0, </t>
  </si>
  <si>
    <t xml:space="preserve">+3, 61, 0, </t>
  </si>
  <si>
    <t xml:space="preserve">+52, 52, PERSIAN </t>
  </si>
  <si>
    <t xml:space="preserve"> 2,  5, 20, MARILL</t>
  </si>
  <si>
    <t xml:space="preserve">+20, 25, MARILL </t>
  </si>
  <si>
    <t xml:space="preserve">+3, 62, 0, &lt;null&gt;, </t>
  </si>
  <si>
    <t xml:space="preserve">+3, 63, 0, </t>
  </si>
  <si>
    <t>+50, 50, PERSIAN  , &lt;null&gt;, &lt;null&gt;, &lt;null&gt;</t>
  </si>
  <si>
    <t xml:space="preserve">+3, 64, 0, </t>
  </si>
  <si>
    <t xml:space="preserve"> 25,  25, 35, GEODUDE</t>
  </si>
  <si>
    <t xml:space="preserve">+3, 65, 0, &lt;null&gt;, </t>
  </si>
  <si>
    <t xml:space="preserve">+3, 19, 0, </t>
  </si>
  <si>
    <t>+3, 3, EEVEE  , &lt;null&gt;, &lt;null&gt;, &lt;null&gt;</t>
  </si>
  <si>
    <t xml:space="preserve">+3, 20, 0, </t>
  </si>
  <si>
    <t>+7, 7, GROWLITHE  , &lt;null&gt;, &lt;null&gt;, &lt;null&gt;</t>
  </si>
  <si>
    <t xml:space="preserve">+3, 21, 0, </t>
  </si>
  <si>
    <t>+10, 13, NIDORAN\sm  , &lt;null&gt;, &lt;null&gt;, &lt;null&gt;</t>
  </si>
  <si>
    <t xml:space="preserve">+3, 22, 0, </t>
  </si>
  <si>
    <t xml:space="preserve">+16, 16, NIDORINA </t>
  </si>
  <si>
    <t xml:space="preserve"> 2,  38, 42, TENTACOOL</t>
  </si>
  <si>
    <t xml:space="preserve">+40, 44, SLOWMATE  </t>
  </si>
  <si>
    <t xml:space="preserve">+3, 23, 0, </t>
  </si>
  <si>
    <t>+20, 20, WEEPINBELL  , &lt;null&gt;, &lt;null&gt;, &lt;null&gt;</t>
  </si>
  <si>
    <t xml:space="preserve">+3, 24, 0, </t>
  </si>
  <si>
    <t xml:space="preserve">+20, 20, WEEPINBELL </t>
  </si>
  <si>
    <t xml:space="preserve">+44, 48, SLOWBRO </t>
  </si>
  <si>
    <t xml:space="preserve">+40, 44, POLITOES  </t>
  </si>
  <si>
    <t xml:space="preserve">+3, 25, 0, </t>
  </si>
  <si>
    <t>+24, 28, PARASECT  , &lt;null&gt;, &lt;null&gt;, &lt;null&gt;</t>
  </si>
  <si>
    <t xml:space="preserve">+3, 26, 0, </t>
  </si>
  <si>
    <t>+23, 27, VENOMOTH  , &lt;null&gt;, &lt;null&gt;, &lt;null&gt;</t>
  </si>
  <si>
    <t xml:space="preserve">+3, 27, 0, </t>
  </si>
  <si>
    <t>+18, 18, KANGAKID  , &lt;null&gt;, &lt;null&gt;, &lt;null&gt;</t>
  </si>
  <si>
    <t xml:space="preserve">+3, 28, 0, </t>
  </si>
  <si>
    <t xml:space="preserve">+19, 21, PONYTA </t>
  </si>
  <si>
    <t xml:space="preserve">+40, 44, GILDUCK  </t>
  </si>
  <si>
    <t xml:space="preserve">+3, 29, 0, </t>
  </si>
  <si>
    <t xml:space="preserve">+22, 22, LICKITUNG </t>
  </si>
  <si>
    <t xml:space="preserve">+44, 48, LOCHLASS </t>
  </si>
  <si>
    <t xml:space="preserve">+38, 42, STARUS  </t>
  </si>
  <si>
    <t xml:space="preserve">+3, 30, 0, </t>
  </si>
  <si>
    <t xml:space="preserve">+20, 25, SQUIRTLE </t>
  </si>
  <si>
    <t xml:space="preserve"> 60,  # old rod:</t>
  </si>
  <si>
    <t xml:space="preserve">+3, 31, 0, </t>
  </si>
  <si>
    <t xml:space="preserve">+3, 32, 0, </t>
  </si>
  <si>
    <t>+20, 25, SQUIRTLE  , &lt;null&gt;, &lt;null&gt;, &lt;null&gt;</t>
  </si>
  <si>
    <t xml:space="preserve">+3, 33, 0, </t>
  </si>
  <si>
    <t xml:space="preserve">+3, 34, 0, </t>
  </si>
  <si>
    <t>+20, 25, BULBASAUR  , &lt;null&gt;, &lt;null&gt;, &lt;null&gt;</t>
  </si>
  <si>
    <t xml:space="preserve">+3, 35, 0, </t>
  </si>
  <si>
    <t xml:space="preserve">+3, 36, 0, </t>
  </si>
  <si>
    <t xml:space="preserve">+3, 37, 0, &lt;null&gt;, </t>
  </si>
  <si>
    <t xml:space="preserve">+3, 38, 0, &lt;null&gt;, </t>
  </si>
  <si>
    <t xml:space="preserve">+3, 39, 0, </t>
  </si>
  <si>
    <t xml:space="preserve">+44, 44, TANGOLIATH </t>
  </si>
  <si>
    <t xml:space="preserve">+3, 40, 0, </t>
  </si>
  <si>
    <t xml:space="preserve">+3, 41, 0, </t>
  </si>
  <si>
    <t xml:space="preserve">+2, 5, SCYTHER </t>
  </si>
  <si>
    <t xml:space="preserve"> 2,  40, 44, PSYDUCK</t>
  </si>
  <si>
    <t xml:space="preserve">+45, 50, GILDUCK </t>
  </si>
  <si>
    <t xml:space="preserve">+3, 42, 0, </t>
  </si>
  <si>
    <t xml:space="preserve">+57, 59, LUKKEY </t>
  </si>
  <si>
    <t xml:space="preserve"> 2,  50, 55, GILDUCK</t>
  </si>
  <si>
    <t xml:space="preserve">+53, 58, PLATINUPUS </t>
  </si>
  <si>
    <t xml:space="preserve">+53, 58, DRAGONIER  </t>
  </si>
  <si>
    <t xml:space="preserve">+3, 43, 0, </t>
  </si>
  <si>
    <t xml:space="preserve">+17, 17, KADABRA </t>
  </si>
  <si>
    <t xml:space="preserve"> 2,  34, 40, TENTACOOL</t>
  </si>
  <si>
    <t xml:space="preserve">+39, 42, VAPOREON </t>
  </si>
  <si>
    <t xml:space="preserve">+3, 44, 0, </t>
  </si>
  <si>
    <t xml:space="preserve">+18, 18, KADABRA </t>
  </si>
  <si>
    <t xml:space="preserve">+3, 0, 0, &lt;null&gt;, </t>
  </si>
  <si>
    <t xml:space="preserve"> 1,  38, 42, TENTACOOL</t>
  </si>
  <si>
    <t xml:space="preserve">+40, 44, STARUS  </t>
  </si>
  <si>
    <t xml:space="preserve">+3, 1, 0, &lt;null&gt;, </t>
  </si>
  <si>
    <t xml:space="preserve"> 1,  38, 42, PSYDUCK</t>
  </si>
  <si>
    <t xml:space="preserve">+44, 48, GILDUCK </t>
  </si>
  <si>
    <t xml:space="preserve">+3, 3, 0, &lt;null&gt;, </t>
  </si>
  <si>
    <t xml:space="preserve">+3, 5, 0, &lt;null&gt;, </t>
  </si>
  <si>
    <t xml:space="preserve">+3, 6, 0, &lt;null&gt;, </t>
  </si>
  <si>
    <t xml:space="preserve">+44, 48, WEEZING </t>
  </si>
  <si>
    <t xml:space="preserve">+40, 44, GUNK  </t>
  </si>
  <si>
    <t xml:space="preserve">+3, 7, 0, &lt;null&gt;, </t>
  </si>
  <si>
    <t xml:space="preserve">+40, 44, SEAREX  </t>
  </si>
  <si>
    <t xml:space="preserve">+3, 8, 0, &lt;null&gt;, </t>
  </si>
  <si>
    <t xml:space="preserve"> 1,  40, 44, DEWGONG</t>
  </si>
  <si>
    <t xml:space="preserve">+45, 50, LOCHLASS </t>
  </si>
  <si>
    <t xml:space="preserve">+45, 52, LORDRA  </t>
  </si>
  <si>
    <t xml:space="preserve">+3, 12, 0, &lt;null&gt;, </t>
  </si>
  <si>
    <t xml:space="preserve"> 1,  5, 20, TENTACOOL</t>
  </si>
  <si>
    <t xml:space="preserve">+3, 15, 0, &lt;null&gt;, </t>
  </si>
  <si>
    <t xml:space="preserve"> 2,  5, 15, MARILL</t>
  </si>
  <si>
    <t xml:space="preserve">+15, 25, MARILL </t>
  </si>
  <si>
    <t xml:space="preserve">+3, 16, 0, &lt;null&gt;, </t>
  </si>
  <si>
    <t xml:space="preserve"> 1,  5, 35, TENTACOOL</t>
  </si>
  <si>
    <t xml:space="preserve">+1, 122, 0, </t>
  </si>
  <si>
    <t>+14, 14, ZUBAT  , &lt;null&gt;, &lt;null&gt;, &lt;null&gt;</t>
  </si>
  <si>
    <t>+11, 11, MAREEP  , &lt;null&gt;, &lt;null&gt;, &lt;null&gt;</t>
  </si>
  <si>
    <t>+27, 27, PINECO  , &lt;null&gt;, &lt;null&gt;, &lt;null&gt;</t>
  </si>
  <si>
    <t>+20, 20, HOUNDOUR  , &lt;null&gt;, &lt;null&gt;, &lt;null&gt;</t>
  </si>
  <si>
    <t>+26, 26, TEDDIURSA  , &lt;null&gt;, &lt;null&gt;, &lt;null&gt;</t>
  </si>
  <si>
    <t>+26, 26, AIPOM  , &lt;null&gt;, &lt;null&gt;, &lt;null&gt;</t>
  </si>
  <si>
    <t>+26, 26, SHUCKLE  , &lt;null&gt;, &lt;null&gt;, &lt;null&gt;</t>
  </si>
  <si>
    <t>+26, 26, STANTLER  , &lt;null&gt;, &lt;null&gt;, &lt;null&gt;</t>
  </si>
  <si>
    <t>+26, 26, SMEARGLE  , &lt;null&gt;, &lt;null&gt;, &lt;null&gt;</t>
  </si>
  <si>
    <t>1, 0, 0,</t>
  </si>
  <si>
    <t>14, 20%</t>
  </si>
  <si>
    <t>20%</t>
  </si>
  <si>
    <t>4, 6, WEEDLE</t>
  </si>
  <si>
    <t/>
  </si>
  <si>
    <t>0.1</t>
  </si>
  <si>
    <t>5, 7, ODDISH</t>
  </si>
  <si>
    <t>7, 9, METAPOD</t>
  </si>
  <si>
    <t>7, 9, KAKUNA</t>
  </si>
  <si>
    <t>5, 7, PIKACHU</t>
  </si>
  <si>
    <t>0.05</t>
  </si>
  <si>
    <t>5, 7, MANKEY</t>
  </si>
  <si>
    <t>9, 10, BUTTERFREE</t>
  </si>
  <si>
    <t>0.04</t>
  </si>
  <si>
    <t>9, 10, BEEDRILL</t>
  </si>
  <si>
    <t>6, 9, TANGELA</t>
  </si>
  <si>
    <t>0.01</t>
  </si>
  <si>
    <t>11, 11, BEEDRILL</t>
  </si>
  <si>
    <t>10, 10, TANGELA , &lt;null&gt;, &lt;null&gt;, &lt;null&gt;</t>
  </si>
  <si>
    <t>1, 1, 0,</t>
  </si>
  <si>
    <t>7, 20%</t>
  </si>
  <si>
    <t>10, 12, GEODUDE</t>
  </si>
  <si>
    <t>11, 11, SANDSHREW</t>
  </si>
  <si>
    <t>11, 11, PARAS</t>
  </si>
  <si>
    <t>11, 14, ONIX</t>
  </si>
  <si>
    <t>11, 14, CLEFAIRY , &lt;null&gt;, &lt;null&gt;, &lt;null&gt;</t>
  </si>
  <si>
    <t>1, 2, 0,</t>
  </si>
  <si>
    <t>5, 20%</t>
  </si>
  <si>
    <t>11, 13, ZUBAT</t>
  </si>
  <si>
    <t>11, 13, GEODUDE</t>
  </si>
  <si>
    <t>12, 12, SANDSHREW</t>
  </si>
  <si>
    <t>12, 12, PARAS</t>
  </si>
  <si>
    <t>12, 15, ONIX</t>
  </si>
  <si>
    <t>12, 15, CLEFAIRY , &lt;null&gt;, &lt;null&gt;, &lt;null&gt;</t>
  </si>
  <si>
    <t>1, 3, 0,</t>
  </si>
  <si>
    <t>11, 14, ZUBAT</t>
  </si>
  <si>
    <t>11, 14, GEODUDE</t>
  </si>
  <si>
    <t>11, 14, SANDSHREW</t>
  </si>
  <si>
    <t>13, 13, PARAS</t>
  </si>
  <si>
    <t>13, 13, ONIX</t>
  </si>
  <si>
    <t>13, 13, CLEFAIRY</t>
  </si>
  <si>
    <t>13, 16, GOLBAT</t>
  </si>
  <si>
    <t>13, 16, GRAVELER , &lt;null&gt;, &lt;null&gt;, &lt;null&gt;</t>
  </si>
  <si>
    <t>1, 4, 0, &lt;null&gt;,</t>
  </si>
  <si>
    <t>1, 5, 10, TENTACOOL</t>
  </si>
  <si>
    <t>10, 20, TENTACOOL</t>
  </si>
  <si>
    <t>20, 30, TENTACOOL</t>
  </si>
  <si>
    <t>30, 35, TENTACOOL</t>
  </si>
  <si>
    <t>35, 40, TENTACOOL</t>
  </si>
  <si>
    <t>10, old rod:</t>
  </si>
  <si>
    <t>good rod:</t>
  </si>
  <si>
    <t>5, 15, KRABBY</t>
  </si>
  <si>
    <t>5, 15, MAGIKARP</t>
  </si>
  <si>
    <t>5, 15, HORSEA</t>
  </si>
  <si>
    <t>super rod:</t>
  </si>
  <si>
    <t>15, 25, KRABBY</t>
  </si>
  <si>
    <t>15, 25, STARYU</t>
  </si>
  <si>
    <t>15, 25, GYARADOS</t>
  </si>
  <si>
    <t>25, 35, KRABBY</t>
  </si>
  <si>
    <t>25, 35, SLOWPOKE</t>
  </si>
  <si>
    <t>1, 37, 0,</t>
  </si>
  <si>
    <t>19, 19, DIGLETT</t>
  </si>
  <si>
    <t>20, 20, DIGLETT</t>
  </si>
  <si>
    <t>21, 21, DIGLETT</t>
  </si>
  <si>
    <t>22, 22, DIGLETT</t>
  </si>
  <si>
    <t>19, 19, DUGTRIO</t>
  </si>
  <si>
    <t>23, 23, DIGLETT</t>
  </si>
  <si>
    <t>24, 24, DIGLETT</t>
  </si>
  <si>
    <t>20, 23, DUGTRIO</t>
  </si>
  <si>
    <t>24, 26, DUGTRIO</t>
  </si>
  <si>
    <t>27, 28, DUGTRIO</t>
  </si>
  <si>
    <t>30, 30, DUGROUPLE , &lt;null&gt;, &lt;null&gt;, &lt;null&gt;</t>
  </si>
  <si>
    <t>1, 39, 0,</t>
  </si>
  <si>
    <t>51, 56, CROBAT</t>
  </si>
  <si>
    <t>51, 56, MACHAMP</t>
  </si>
  <si>
    <t>51, 56, GOLEM</t>
  </si>
  <si>
    <t>53, 57, ADNOKANA</t>
  </si>
  <si>
    <t>53, 57, POLABAT</t>
  </si>
  <si>
    <t>53, 57, MACHULK</t>
  </si>
  <si>
    <t>53, 57, RHYMARKABL</t>
  </si>
  <si>
    <t>55, 57, PLATNIX</t>
  </si>
  <si>
    <t>55, 57, SLAGOLEM</t>
  </si>
  <si>
    <t>58, 60, MOLTREM</t>
  </si>
  <si>
    <t>58, 60, WRAIWRATH , &lt;null&gt;, &lt;null&gt;, &lt;null&gt;</t>
  </si>
  <si>
    <t>1, 40, 0,</t>
  </si>
  <si>
    <t>59, 61, MOLTREM</t>
  </si>
  <si>
    <t>59, 61, FERODILLO , &lt;null&gt;, &lt;null&gt;, &lt;null&gt;</t>
  </si>
  <si>
    <t>1, 41, 0,</t>
  </si>
  <si>
    <t>60, 62, MOLTREM</t>
  </si>
  <si>
    <t>60, 62, CLAYMOR , &lt;null&gt;, &lt;null&gt;, &lt;null&gt;</t>
  </si>
  <si>
    <t>1, 59, 0,</t>
  </si>
  <si>
    <t>40, 44, NINETALES</t>
  </si>
  <si>
    <t>41, 42, ARCANINE</t>
  </si>
  <si>
    <t>43, 44, ARCANINE</t>
  </si>
  <si>
    <t>42, 44, WEEZING</t>
  </si>
  <si>
    <t>42, 44, MUK</t>
  </si>
  <si>
    <t>43, 45, SINGESHA</t>
  </si>
  <si>
    <t>43, 45, SPIRITALES</t>
  </si>
  <si>
    <t>45, 46, GUNK</t>
  </si>
  <si>
    <t>45, 46, HEEVING</t>
  </si>
  <si>
    <t>44, 47, RATTARULE</t>
  </si>
  <si>
    <t>20, 25, CHARMANDER , &lt;null&gt;, &lt;null&gt;, &lt;null&gt;</t>
  </si>
  <si>
    <t>1, 60, 0,</t>
  </si>
  <si>
    <t>1, 61, 0,</t>
  </si>
  <si>
    <t>1, 62, 0,</t>
  </si>
  <si>
    <t>43, 45, GUNK</t>
  </si>
  <si>
    <t>43, 45, HEEVING</t>
  </si>
  <si>
    <t>45, 46, RATTARULE</t>
  </si>
  <si>
    <t>45, 46, DITTO</t>
  </si>
  <si>
    <t>20, 25, KABUTO</t>
  </si>
  <si>
    <t>20, 25, OMANYTE , &lt;null&gt;, &lt;null&gt;, &lt;null&gt;</t>
  </si>
  <si>
    <t>1, 63, 0,</t>
  </si>
  <si>
    <t>21, 20%</t>
  </si>
  <si>
    <t>35, 40, NIDOQUEEN</t>
  </si>
  <si>
    <t>36, 41, PARASECT</t>
  </si>
  <si>
    <t>36, 41, VENOMOTH</t>
  </si>
  <si>
    <t>36, 41, EXEGGUTOR</t>
  </si>
  <si>
    <t>36, 41, RHYDON</t>
  </si>
  <si>
    <t>37, 39, SCIZOR</t>
  </si>
  <si>
    <t>37, 39, PINSIRIOR</t>
  </si>
  <si>
    <t>38, 42, CHANSEY</t>
  </si>
  <si>
    <t>38, 42, JOLTEON</t>
  </si>
  <si>
    <t>40, 40, BLISSEY</t>
  </si>
  <si>
    <t>40, 40, RHYPERIOR</t>
  </si>
  <si>
    <t>2, 38, 42, SLOWPOKE</t>
  </si>
  <si>
    <t>40, 42, PSYDUCK</t>
  </si>
  <si>
    <t>42, 46, SLOWBRO</t>
  </si>
  <si>
    <t>42, 46, GOLDUCK</t>
  </si>
  <si>
    <t>44, 48, VAPOREON</t>
  </si>
  <si>
    <t>20, old rod:</t>
  </si>
  <si>
    <t>19, 26, POLIWAG</t>
  </si>
  <si>
    <t>29, 33, GYARADOS</t>
  </si>
  <si>
    <t>30, 35, POLIWAG</t>
  </si>
  <si>
    <t>30, 35, GOLDEEN</t>
  </si>
  <si>
    <t>36, 40, POLIWHIRL</t>
  </si>
  <si>
    <t>36, 40, SEAKING</t>
  </si>
  <si>
    <t>38, 42, DRATINI</t>
  </si>
  <si>
    <t>38, 42, DRAGONAIR</t>
  </si>
  <si>
    <t>40, 44, DRAGONITE</t>
  </si>
  <si>
    <t>1, 64, 0,</t>
  </si>
  <si>
    <t>36, 41, DODRIO</t>
  </si>
  <si>
    <t>36, 41, MAGMAR</t>
  </si>
  <si>
    <t>38, 42, KANGASKHAN</t>
  </si>
  <si>
    <t>38, 42, HITMONCHAN</t>
  </si>
  <si>
    <t>40, 40, KANGALLOUS</t>
  </si>
  <si>
    <t>40, 40, MAGMORTAR</t>
  </si>
  <si>
    <t>1, 65, 0,</t>
  </si>
  <si>
    <t>36, 41, CLEFABLE</t>
  </si>
  <si>
    <t>36, 41, ELECTABUZZ</t>
  </si>
  <si>
    <t>38, 42, TAUROS</t>
  </si>
  <si>
    <t>38, 42, FLAREON</t>
  </si>
  <si>
    <t>40, 40, TAUROX</t>
  </si>
  <si>
    <t>40, 40, ELECTIVIRE</t>
  </si>
  <si>
    <t>1, 66, 0,</t>
  </si>
  <si>
    <t>36, 41, RAPIDASH</t>
  </si>
  <si>
    <t>36, 41, TANGELA</t>
  </si>
  <si>
    <t>38, 42, SNORLAX</t>
  </si>
  <si>
    <t>38, 42, HITMONLEE</t>
  </si>
  <si>
    <t>40, 40, ACTLAX</t>
  </si>
  <si>
    <t>40, 40, TANGROWTH</t>
  </si>
  <si>
    <t>1, 72, 0,</t>
  </si>
  <si>
    <t>50, 55, POLABAT</t>
  </si>
  <si>
    <t>52, 55, VENOMENON</t>
  </si>
  <si>
    <t>52, 55, "MR. JEST"</t>
  </si>
  <si>
    <t>52, 55, NIDORULY</t>
  </si>
  <si>
    <t>52, 55, NIDOREGAL</t>
  </si>
  <si>
    <t>54, 56, MORPHO</t>
  </si>
  <si>
    <t>54, 56, MAGNEMELD</t>
  </si>
  <si>
    <t>54, 56, VOHOO-DU</t>
  </si>
  <si>
    <t>54, 56, CLEFAEFAE</t>
  </si>
  <si>
    <t>55, 56, KABUTAK</t>
  </si>
  <si>
    <t>55, 56, OMAPAL</t>
  </si>
  <si>
    <t>2, 50, 55, POLITOES</t>
  </si>
  <si>
    <t>50, 55, DRAGONITE</t>
  </si>
  <si>
    <t>52, 57, POLIWISE</t>
  </si>
  <si>
    <t>52, 57, DRAGONIER</t>
  </si>
  <si>
    <t>53, 58, NESSEA</t>
  </si>
  <si>
    <t>23, 36, GYARADOS</t>
  </si>
  <si>
    <t>30, 38, CLOYSTER</t>
  </si>
  <si>
    <t>32, 40, KINGDRA</t>
  </si>
  <si>
    <t>32, 40, HYDRADOS</t>
  </si>
  <si>
    <t>50, 55, LORDRA</t>
  </si>
  <si>
    <t>50, 55, AN'ENEMY</t>
  </si>
  <si>
    <t>52, 57, DRACOSMIC</t>
  </si>
  <si>
    <t>52, 57, GLAISHELL</t>
  </si>
  <si>
    <t>53, 58, STARWE</t>
  </si>
  <si>
    <t>1, 73, 0,</t>
  </si>
  <si>
    <t>55, 56, OMAPAL , &lt;null&gt;, &lt;null&gt;, &lt;null&gt;</t>
  </si>
  <si>
    <t>1, 74, 0,</t>
  </si>
  <si>
    <t>1, 81, 0,</t>
  </si>
  <si>
    <t>20, 23, GEODUDE</t>
  </si>
  <si>
    <t>20, 24, ONIX</t>
  </si>
  <si>
    <t>19, 23, MANKEY</t>
  </si>
  <si>
    <t>19, 23, MACHOP</t>
  </si>
  <si>
    <t>22, 24, GOLBAT</t>
  </si>
  <si>
    <t>24, 24, RHYHORN</t>
  </si>
  <si>
    <t>24, 24, GEODUDE</t>
  </si>
  <si>
    <t>20, 25, GRAVELER</t>
  </si>
  <si>
    <t>25, 25, GOLBAT</t>
  </si>
  <si>
    <t>20, 25, PINSIR</t>
  </si>
  <si>
    <t>20, 23, KANGASKHAN , &lt;null&gt;, &lt;null&gt;, &lt;null&gt;</t>
  </si>
  <si>
    <t>1, 82, 0,</t>
  </si>
  <si>
    <t>21, 24, KANGASKHAN</t>
  </si>
  <si>
    <t>50, 5, 20, GEODUDE</t>
  </si>
  <si>
    <t>10, 20, GEODUDE</t>
  </si>
  <si>
    <t>15, 30, GEODUDE</t>
  </si>
  <si>
    <t>25, 40, GRAVELER</t>
  </si>
  <si>
    <t>30, 40, GRAVELER , &lt;null&gt;</t>
  </si>
  <si>
    <t>1, 83, 0,</t>
  </si>
  <si>
    <t>40, 44, GOLDUCK</t>
  </si>
  <si>
    <t>40, 44, SLOWBRO</t>
  </si>
  <si>
    <t>40, 44, CROBAT</t>
  </si>
  <si>
    <t>40, 44, DEWGONG</t>
  </si>
  <si>
    <t>40, 44, LICKILICKY</t>
  </si>
  <si>
    <t>42, 46, POLABAT</t>
  </si>
  <si>
    <t>42, 46, GILDUCK</t>
  </si>
  <si>
    <t>44, 47, SLOWMATE</t>
  </si>
  <si>
    <t>44, 47, PRECIPED</t>
  </si>
  <si>
    <t>45, 50, DRAGONITE</t>
  </si>
  <si>
    <t>45, 50, LICKILICKY , &lt;null&gt;, &lt;null&gt;, &lt;null&gt;</t>
  </si>
  <si>
    <t>1, 84, 0,</t>
  </si>
  <si>
    <t>45, 50, LICKILOLLY , &lt;null&gt;, &lt;null&gt;, &lt;null&gt;</t>
  </si>
  <si>
    <t>1, 85, 0,</t>
  </si>
  <si>
    <t>1, 86, 0,</t>
  </si>
  <si>
    <t>45, 50, LICKILOLLY</t>
  </si>
  <si>
    <t>2, 38, 44, DEWGONG</t>
  </si>
  <si>
    <t>40, 44, SEADRA</t>
  </si>
  <si>
    <t>42, 46, KINGLER</t>
  </si>
  <si>
    <t>42, 46, LAPRAS</t>
  </si>
  <si>
    <t>19, 26, SHELLDER</t>
  </si>
  <si>
    <t>29, 33, SEADRA</t>
  </si>
  <si>
    <t>30, 35, KRABBY</t>
  </si>
  <si>
    <t>30, 35, GOLDUCK</t>
  </si>
  <si>
    <t>36, 40, KINGDRA</t>
  </si>
  <si>
    <t>36, 40, CLOYSTER</t>
  </si>
  <si>
    <t>38, 42, GILDUCK</t>
  </si>
  <si>
    <t>38, 42, KRAKLAW</t>
  </si>
  <si>
    <t>40, 44, LORDRA</t>
  </si>
  <si>
    <t>1, 87, 0,</t>
  </si>
  <si>
    <t>1, 90, 0,</t>
  </si>
  <si>
    <t>2, 20%</t>
  </si>
  <si>
    <t>29, 32, RATTATA</t>
  </si>
  <si>
    <t>27, 31, CUBONE</t>
  </si>
  <si>
    <t>29, 32, HAUNTER</t>
  </si>
  <si>
    <t>28, 31, DROWZEE</t>
  </si>
  <si>
    <t>28, 31, VULPIX</t>
  </si>
  <si>
    <t>29, 32, HYPNO</t>
  </si>
  <si>
    <t>28, 31, RATICATE</t>
  </si>
  <si>
    <t>29, 32, MAROWAK</t>
  </si>
  <si>
    <t>28, 31, RATTCHET</t>
  </si>
  <si>
    <t>33, 33, HAUNTER</t>
  </si>
  <si>
    <t>32, 33, NINETALES , &lt;null&gt;, &lt;null&gt;, &lt;null&gt;</t>
  </si>
  <si>
    <t>1, 91, 0,</t>
  </si>
  <si>
    <t>4, 20%</t>
  </si>
  <si>
    <t>1, 92, 0,</t>
  </si>
  <si>
    <t>6, 20%</t>
  </si>
  <si>
    <t>1, 93, 0,</t>
  </si>
  <si>
    <t>8, 20%</t>
  </si>
  <si>
    <t>1, 94, 0,</t>
  </si>
  <si>
    <t>10, 20%</t>
  </si>
  <si>
    <t>32, 33, GENGAR</t>
  </si>
  <si>
    <t>1, 95, 0,</t>
  </si>
  <si>
    <t>39, 46, PIKACHU</t>
  </si>
  <si>
    <t>41, 48, VOLTORB</t>
  </si>
  <si>
    <t>41, 46, ELECTABUZZ</t>
  </si>
  <si>
    <t>41, 48, PORYGON</t>
  </si>
  <si>
    <t>41, 48, MAGNETON</t>
  </si>
  <si>
    <t>43, 50, PORYGON2</t>
  </si>
  <si>
    <t>43, 50, ELECTRODE</t>
  </si>
  <si>
    <t>43, 50, JOLTEON</t>
  </si>
  <si>
    <t>43, 50, RAICHU</t>
  </si>
  <si>
    <t>45, 52, ELECTIVIRE</t>
  </si>
  <si>
    <t>45, 50, MAGNEZONE , &lt;null&gt;, &lt;null&gt;, &lt;null&gt;</t>
  </si>
  <si>
    <t>1, 97, 0,</t>
  </si>
  <si>
    <t>38, 38, FEAROW</t>
  </si>
  <si>
    <t>33, 33, PONYTA</t>
  </si>
  <si>
    <t>35, 35, MACHOP</t>
  </si>
  <si>
    <t>36, 36, PONYTA</t>
  </si>
  <si>
    <t>40, 40, FEAROW</t>
  </si>
  <si>
    <t>38, 38, MAGMAR</t>
  </si>
  <si>
    <t>39, 39, RAPIDASH</t>
  </si>
  <si>
    <t>40, 40, MAGMAR</t>
  </si>
  <si>
    <t>42, 42, RAPIDASH</t>
  </si>
  <si>
    <t>1, 98, 0,</t>
  </si>
  <si>
    <t>29, 29, GEODUDE</t>
  </si>
  <si>
    <t>31, 31, GEODUDE</t>
  </si>
  <si>
    <t>31, 31, MACHOP</t>
  </si>
  <si>
    <t>33, 33, MACHOP</t>
  </si>
  <si>
    <t>35, 35, GEODUDE</t>
  </si>
  <si>
    <t>37, 37, MACHOP</t>
  </si>
  <si>
    <t>37, 37, GEODUDE</t>
  </si>
  <si>
    <t>39, 39, MACHOP</t>
  </si>
  <si>
    <t>39, 39, MACHOP , &lt;null&gt;, &lt;null&gt;, &lt;null&gt;</t>
  </si>
  <si>
    <t>1, 99, 0,</t>
  </si>
  <si>
    <t>36, 36, MACHOP</t>
  </si>
  <si>
    <t>30, 30, GEODUDE</t>
  </si>
  <si>
    <t>32, 32, GEODUDE</t>
  </si>
  <si>
    <t>32, 32, MACHOP</t>
  </si>
  <si>
    <t>34, 34, MACHOP</t>
  </si>
  <si>
    <t>38, 38, MACHOKE</t>
  </si>
  <si>
    <t>40, 40, MACHOKE</t>
  </si>
  <si>
    <t>1, 100, 0,</t>
  </si>
  <si>
    <t>1, 103, 0,</t>
  </si>
  <si>
    <t>38, 38, MACHOP</t>
  </si>
  <si>
    <t>42, 42, MACHOKE</t>
  </si>
  <si>
    <t>50, 25, 35, GEODUDE</t>
  </si>
  <si>
    <t>30, 45, GRAVELER</t>
  </si>
  <si>
    <t>35, 50, GRAVELER</t>
  </si>
  <si>
    <t>30, 40, GEODUDE</t>
  </si>
  <si>
    <t>30, 40, GEODUDE , &lt;null&gt;</t>
  </si>
  <si>
    <t>1, 104, 0,</t>
  </si>
  <si>
    <t>24, 24, SLUGMA</t>
  </si>
  <si>
    <t>42, 42, GEODUDE</t>
  </si>
  <si>
    <t>28, 28, SLUGMA</t>
  </si>
  <si>
    <t>30, 30, SLUGMA</t>
  </si>
  <si>
    <t>1, 105, 0,</t>
  </si>
  <si>
    <t>44, 44, GEODUDE</t>
  </si>
  <si>
    <t>32, 32, SLUGMA</t>
  </si>
  <si>
    <t>22, 22, SLUGMA</t>
  </si>
  <si>
    <t>1, 106, 0,</t>
  </si>
  <si>
    <t>20, 20, SLUGMA</t>
  </si>
  <si>
    <t>34, 34, SLUGMA</t>
  </si>
  <si>
    <t>36, 36, SLUGMA</t>
  </si>
  <si>
    <t>18, 18, SLUGMA</t>
  </si>
  <si>
    <t>50, 15, 25, SLUGMA</t>
  </si>
  <si>
    <t>25, 35, SLUGMA</t>
  </si>
  <si>
    <t>40, 45, MAGCARGO</t>
  </si>
  <si>
    <t>35, 45, MAGCARGO</t>
  </si>
  <si>
    <t>25, 35, MAGCARGO , &lt;null&gt;</t>
  </si>
  <si>
    <t>1, 107, 0,</t>
  </si>
  <si>
    <t>1, 108, 0,</t>
  </si>
  <si>
    <t>1, 109, 0,</t>
  </si>
  <si>
    <t>35, 35, WEEPINBELL</t>
  </si>
  <si>
    <t>30, 30, BELLSPROUT</t>
  </si>
  <si>
    <t>34, 34, VENONAT</t>
  </si>
  <si>
    <t>34, 34, DROWZEE</t>
  </si>
  <si>
    <t>35, 35, EXEGGCUTE</t>
  </si>
  <si>
    <t>31, 31, SLOWPOKE</t>
  </si>
  <si>
    <t>37, 37, VENOMOTH</t>
  </si>
  <si>
    <t>37, 37, HYPNO</t>
  </si>
  <si>
    <t>40, 40, VENOMOTH</t>
  </si>
  <si>
    <t>40, 40, HYPNO</t>
  </si>
  <si>
    <t>2, 5, 20, SLOWPOKE</t>
  </si>
  <si>
    <t>20, 35, SLOWPOKE</t>
  </si>
  <si>
    <t>35, 40, SLOWPOKE</t>
  </si>
  <si>
    <t>35, 40, SLOWBRO</t>
  </si>
  <si>
    <t>5, 15, GOLDEEN</t>
  </si>
  <si>
    <t>5, 15, POLIWAG</t>
  </si>
  <si>
    <t>15, 25, GOLDEEN</t>
  </si>
  <si>
    <t>20, 30, SEAKING</t>
  </si>
  <si>
    <t>15, 25, SLOWPOKE</t>
  </si>
  <si>
    <t>1, 110, 0,</t>
  </si>
  <si>
    <t>45, 45, GOLBAT</t>
  </si>
  <si>
    <t>45, 45, SEEL</t>
  </si>
  <si>
    <t>47, 47, SEEL</t>
  </si>
  <si>
    <t>40, 40, ZUBAT</t>
  </si>
  <si>
    <t>49, 49, DEWGONG</t>
  </si>
  <si>
    <t>51, 51, DEWGONG</t>
  </si>
  <si>
    <t>41, 41, SLOWPOKE</t>
  </si>
  <si>
    <t>48, 48, GOLBAT</t>
  </si>
  <si>
    <t>53, 53, DEWGONG</t>
  </si>
  <si>
    <t>2, 5, 35, SEEL</t>
  </si>
  <si>
    <t>5, 35, SLOWPOKE</t>
  </si>
  <si>
    <t>35, 40, DEWGONG</t>
  </si>
  <si>
    <t>5, 15, MARILL</t>
  </si>
  <si>
    <t>15, 25, POLIWAG</t>
  </si>
  <si>
    <t>20, 30, POLIWHIRL</t>
  </si>
  <si>
    <t>1, 111, 0,</t>
  </si>
  <si>
    <t>27, 27, SWINUB</t>
  </si>
  <si>
    <t>29, 29, SWINUB</t>
  </si>
  <si>
    <t>30, 30, SNEASEL</t>
  </si>
  <si>
    <t>31, 31, SWINUB</t>
  </si>
  <si>
    <t>23, 23, SWINUB</t>
  </si>
  <si>
    <t>23, 23, SWINUB , &lt;null&gt;, &lt;null&gt;, &lt;null&gt;</t>
  </si>
  <si>
    <t>1, 112, 0,</t>
  </si>
  <si>
    <t>1, 113, 0,</t>
  </si>
  <si>
    <t>2, 5, 20, TENTACOOL</t>
  </si>
  <si>
    <t>20, 35, TENTACOOL</t>
  </si>
  <si>
    <t>35, 45, TENTACOOL</t>
  </si>
  <si>
    <t>35, 45, TENTACRUEL</t>
  </si>
  <si>
    <t>30, 45, LAPRAS</t>
  </si>
  <si>
    <t>25, 35, KINGLER</t>
  </si>
  <si>
    <t>1, 121, 0,</t>
  </si>
  <si>
    <t>9, 9, KAKUNA</t>
  </si>
  <si>
    <t>14, 14, LEDYBA</t>
  </si>
  <si>
    <t>6, 6, CATERPIE</t>
  </si>
  <si>
    <t>6, 6, WEEDLE</t>
  </si>
  <si>
    <t>15, 15, HERACROSS</t>
  </si>
  <si>
    <t>9, 9, METAPOD</t>
  </si>
  <si>
    <t>20, 20, HERACROSS</t>
  </si>
  <si>
    <t>9, 9, SPINARAK</t>
  </si>
  <si>
    <t>25, 25, HERACROSS</t>
  </si>
  <si>
    <t>14, 14, SPINARAK</t>
  </si>
  <si>
    <t>30, 30, HERACROSS , &lt;null&gt;, &lt;null&gt;, &lt;null&gt;</t>
  </si>
  <si>
    <t>2, 13, 0,</t>
  </si>
  <si>
    <t>1, 20%</t>
  </si>
  <si>
    <t>37, 37, ZUBAT</t>
  </si>
  <si>
    <t>44, 44, HAUNTER</t>
  </si>
  <si>
    <t>46, 46, HAUNTER</t>
  </si>
  <si>
    <t>41, 41, GOLBAT</t>
  </si>
  <si>
    <t>43, 43, GOLBAT</t>
  </si>
  <si>
    <t>38, 38, GASTLY</t>
  </si>
  <si>
    <t>48, 48, HAUNTER</t>
  </si>
  <si>
    <t>50, 50, HAUNTER</t>
  </si>
  <si>
    <t>22, 22, MISDREAVUS</t>
  </si>
  <si>
    <t>52, 52, HAUNTER</t>
  </si>
  <si>
    <t>22, 22, MISDREAVUS , &lt;null&gt;, &lt;null&gt;, &lt;null&gt;</t>
  </si>
  <si>
    <t>2, 14, 0,</t>
  </si>
  <si>
    <t>2, 15, 0,</t>
  </si>
  <si>
    <t>3, 20%</t>
  </si>
  <si>
    <t>2, 16, 0,</t>
  </si>
  <si>
    <t>2, 17, 0,</t>
  </si>
  <si>
    <t>2, 18, 0,</t>
  </si>
  <si>
    <t>2, 19, 0,</t>
  </si>
  <si>
    <t>2, 20, 0,</t>
  </si>
  <si>
    <t>2, 21, 0,</t>
  </si>
  <si>
    <t>9, 20%</t>
  </si>
  <si>
    <t>2, 22, 0,</t>
  </si>
  <si>
    <t>2, 23, 0,</t>
  </si>
  <si>
    <t>15, 15, MISDREAVUS</t>
  </si>
  <si>
    <t>20, 20, MISDREAVUS</t>
  </si>
  <si>
    <t>2, 24, 0,</t>
  </si>
  <si>
    <t>2, 25, 0,</t>
  </si>
  <si>
    <t>2, 26, 0,</t>
  </si>
  <si>
    <t>3, 45, 0,</t>
  </si>
  <si>
    <t>34, 34, PONYTA</t>
  </si>
  <si>
    <t>36, 36, FEAROW</t>
  </si>
  <si>
    <t>31, 31, PONYTA</t>
  </si>
  <si>
    <t>31, 31, MEOWTH</t>
  </si>
  <si>
    <t>30, 30, SPEAROW</t>
  </si>
  <si>
    <t>34, 34, SLOWPOKE</t>
  </si>
  <si>
    <t>37, 37, RAPIDASH</t>
  </si>
  <si>
    <t>37, 37, PERSIAN</t>
  </si>
  <si>
    <t>40, 40, RAPIDASH</t>
  </si>
  <si>
    <t>40, 40, PERSIAN</t>
  </si>
  <si>
    <t>35, 40, TENTACRUEL</t>
  </si>
  <si>
    <t>25, 5, 20, GEODUDE</t>
  </si>
  <si>
    <t>30, 40, GRAVELER</t>
  </si>
  <si>
    <t>3, 46, 0,</t>
  </si>
  <si>
    <t>33, 33, TANGELA</t>
  </si>
  <si>
    <t>35, 35, TANGELA</t>
  </si>
  <si>
    <t>3, 47, 0,</t>
  </si>
  <si>
    <t>32, 32, BELLSPROUT</t>
  </si>
  <si>
    <t>36, 36, WEEPINBELL</t>
  </si>
  <si>
    <t>38, 38, WEEPINBELL</t>
  </si>
  <si>
    <t>37, 37, SLOWBRO</t>
  </si>
  <si>
    <t>40, 40, SLOWBRO</t>
  </si>
  <si>
    <t>3, 48, 0,</t>
  </si>
  <si>
    <t>31, 31, BELLSPROUT</t>
  </si>
  <si>
    <t>29, 29, PIDGEY</t>
  </si>
  <si>
    <t>34, 34, PIDGEOTTO</t>
  </si>
  <si>
    <t>40, 40, PIDGEOTTO</t>
  </si>
  <si>
    <t>3, 49, 0,</t>
  </si>
  <si>
    <t>10, 10, DUNSPARCE</t>
  </si>
  <si>
    <t>20, 20, DUNSPARCE</t>
  </si>
  <si>
    <t>25, 25, DUNSPARCE</t>
  </si>
  <si>
    <t>30, 30, DUNSPARCE</t>
  </si>
  <si>
    <t>5, 5, DUNSPARCE</t>
  </si>
  <si>
    <t>35, 35, DUNSPARCE , &lt;null&gt;, &lt;null&gt;, &lt;null&gt;</t>
  </si>
  <si>
    <t>3, 54, 0, &lt;null&gt;,</t>
  </si>
  <si>
    <t>2, 5, 35, TENTACOOL</t>
  </si>
  <si>
    <t>5, 15, HOPPIP</t>
  </si>
  <si>
    <t>15, 25, REMORAID</t>
  </si>
  <si>
    <t>3, 55, 0, &lt;null&gt;,</t>
  </si>
  <si>
    <t>3, 56, 0,</t>
  </si>
  <si>
    <t>10, 10, SENTRET</t>
  </si>
  <si>
    <t>48, 48, PIDGEOTTO</t>
  </si>
  <si>
    <t>15, 15, SENTRET</t>
  </si>
  <si>
    <t>41, 41, MEOWTH</t>
  </si>
  <si>
    <t>15, 15, HOPPIP</t>
  </si>
  <si>
    <t>50, 50, PIDGEOTTO</t>
  </si>
  <si>
    <t>47, 47, PERSIAN</t>
  </si>
  <si>
    <t>50, 50, PERSIAN</t>
  </si>
  <si>
    <t>3, 57, 0,</t>
  </si>
  <si>
    <t>12, 12, HOPPIP</t>
  </si>
  <si>
    <t>8, 8, HOPPIP</t>
  </si>
  <si>
    <t>14, 14, HOPPIP</t>
  </si>
  <si>
    <t>16, 16, HOPPIP</t>
  </si>
  <si>
    <t>6, 6, HOPPIP</t>
  </si>
  <si>
    <t>3, 58, 0, &lt;null&gt;,</t>
  </si>
  <si>
    <t>3, 59, 0, &lt;null&gt;,</t>
  </si>
  <si>
    <t>3, 60, 0,</t>
  </si>
  <si>
    <t>44, 44, BELLSPROUT</t>
  </si>
  <si>
    <t>48, 48, FEAROW</t>
  </si>
  <si>
    <t>48, 48, WEEPINBELL</t>
  </si>
  <si>
    <t>50, 50, FEAROW</t>
  </si>
  <si>
    <t>3, 61, 0,</t>
  </si>
  <si>
    <t>18, 18, YANMA</t>
  </si>
  <si>
    <t>15, 15, MARILL</t>
  </si>
  <si>
    <t>49, 49, FEAROW</t>
  </si>
  <si>
    <t>43, 43, MEOWTH</t>
  </si>
  <si>
    <t>25, 25, WOBBUFFET</t>
  </si>
  <si>
    <t>20, 20, NATU</t>
  </si>
  <si>
    <t>49, 49, PERSIAN</t>
  </si>
  <si>
    <t>52, 52, PERSIAN</t>
  </si>
  <si>
    <t>2, 5, 20, MARILL</t>
  </si>
  <si>
    <t>10, 20, MARILL</t>
  </si>
  <si>
    <t>15, 25, MARILL</t>
  </si>
  <si>
    <t>20, 25, MARILL</t>
  </si>
  <si>
    <t>3, 62, 0, &lt;null&gt;,</t>
  </si>
  <si>
    <t>35, 40, MANTINE</t>
  </si>
  <si>
    <t>3, 63, 0,</t>
  </si>
  <si>
    <t>10, 10, PHANPY</t>
  </si>
  <si>
    <t>15, 15, PHANPY</t>
  </si>
  <si>
    <t>50, 50, PERSIAN , &lt;null&gt;, &lt;null&gt;, &lt;null&gt;</t>
  </si>
  <si>
    <t>3, 64, 0,</t>
  </si>
  <si>
    <t>46, 46, CUBONE</t>
  </si>
  <si>
    <t>52, 52, MAROWAK</t>
  </si>
  <si>
    <t>54, 54, ONIX</t>
  </si>
  <si>
    <t>15, 15, LARVITAR</t>
  </si>
  <si>
    <t>20, 20, LARVITAR</t>
  </si>
  <si>
    <t>25, 25, 35, GEODUDE</t>
  </si>
  <si>
    <t>3, 65, 0, &lt;null&gt;,</t>
  </si>
  <si>
    <t>3, 19, 0,</t>
  </si>
  <si>
    <t>2, 4, RATTATA</t>
  </si>
  <si>
    <t>2, 4, BELLSPROUT</t>
  </si>
  <si>
    <t>2, 4, ODDISH</t>
  </si>
  <si>
    <t>2, 4, VENONAT</t>
  </si>
  <si>
    <t>3, 3, EEVEE</t>
  </si>
  <si>
    <t>3, 3, EEVEE , &lt;null&gt;, &lt;null&gt;, &lt;null&gt;</t>
  </si>
  <si>
    <t>3, 20, 0,</t>
  </si>
  <si>
    <t>3, 5, WEEDLE</t>
  </si>
  <si>
    <t>4, 6, PIDGEY</t>
  </si>
  <si>
    <t>4, 6, RATTATA</t>
  </si>
  <si>
    <t>5, 8, MEOWTH</t>
  </si>
  <si>
    <t>5, 8, FARFETCH'D</t>
  </si>
  <si>
    <t>5, 8, MAGNEMITE</t>
  </si>
  <si>
    <t>5, 8, GROWLITHE</t>
  </si>
  <si>
    <t>7, 7, MAGNEMITE</t>
  </si>
  <si>
    <t>7, 7, GROWLITHE , &lt;null&gt;, &lt;null&gt;, &lt;null&gt;</t>
  </si>
  <si>
    <t>3, 21, 0,</t>
  </si>
  <si>
    <t>7, 9, PIDGEY</t>
  </si>
  <si>
    <t>8, 10, NIDORAN\sf</t>
  </si>
  <si>
    <t>8, 10, NIDORAN\sm</t>
  </si>
  <si>
    <t>8, 10, EKANS</t>
  </si>
  <si>
    <t>8, 10, SANDSHREW</t>
  </si>
  <si>
    <t>9, 10, JIGGLYPUFF</t>
  </si>
  <si>
    <t>9, 10, CLEFAIRY</t>
  </si>
  <si>
    <t>9, 11, MACHOP</t>
  </si>
  <si>
    <t>10, 13, NIDORAN\sf</t>
  </si>
  <si>
    <t>10, 13, NIDORAN\sm , &lt;null&gt;, &lt;null&gt;, &lt;null&gt;</t>
  </si>
  <si>
    <t>3, 22, 0,</t>
  </si>
  <si>
    <t>13, 16, SPEAROW</t>
  </si>
  <si>
    <t>14, 16, PSYDUCK</t>
  </si>
  <si>
    <t>14, 16, NIDORAN\sm</t>
  </si>
  <si>
    <t>14, 16, NIDORAN\sf</t>
  </si>
  <si>
    <t>14, 16, EKANS</t>
  </si>
  <si>
    <t>15, 15, JIGGLYPUFF</t>
  </si>
  <si>
    <t>15, 15, CLEFAIRY</t>
  </si>
  <si>
    <t>13, 18, MANKEY</t>
  </si>
  <si>
    <t>13, 18, MACHOP</t>
  </si>
  <si>
    <t>16, 16, NIDORINO</t>
  </si>
  <si>
    <t>16, 16, NIDORINA</t>
  </si>
  <si>
    <t>2, 38, 42, TENTACOOL</t>
  </si>
  <si>
    <t>40, 44, PSYDUCK</t>
  </si>
  <si>
    <t>42, 46, TENTACRUEL</t>
  </si>
  <si>
    <t>19, 26, GYARADOS</t>
  </si>
  <si>
    <t>29, 33, SLOWPOKE</t>
  </si>
  <si>
    <t>30, 35, PSYDUCK</t>
  </si>
  <si>
    <t>36, 40, SLOWBRO</t>
  </si>
  <si>
    <t>36, 40, GYARADOS</t>
  </si>
  <si>
    <t>38, 42, GOLDUCK</t>
  </si>
  <si>
    <t>38, 42, KINGLER</t>
  </si>
  <si>
    <t>40, 44, SLOWMATE</t>
  </si>
  <si>
    <t>3, 23, 0,</t>
  </si>
  <si>
    <t>15, 17, MEOWTH</t>
  </si>
  <si>
    <t>16, 19, ODDISH</t>
  </si>
  <si>
    <t>16, 19, BELLSPROUT</t>
  </si>
  <si>
    <t>16, 19, EKANS</t>
  </si>
  <si>
    <t>16, 19, PARAS</t>
  </si>
  <si>
    <t>17, 17, VULPIX</t>
  </si>
  <si>
    <t>17, 17, GROWLITHE</t>
  </si>
  <si>
    <t>16, 18, PIKACHU</t>
  </si>
  <si>
    <t>16, 18, EEVEE</t>
  </si>
  <si>
    <t>20, 20, FEAROW</t>
  </si>
  <si>
    <t>20, 20, WEEPINBELL , &lt;null&gt;, &lt;null&gt;, &lt;null&gt;</t>
  </si>
  <si>
    <t>3, 24, 0,</t>
  </si>
  <si>
    <t>20, 20, WEEPINBELL</t>
  </si>
  <si>
    <t>40, 44, SLOWPOKE</t>
  </si>
  <si>
    <t>44, 48, SLOWBRO</t>
  </si>
  <si>
    <t>29, 33, POLIWAG</t>
  </si>
  <si>
    <t>38, 42, GYARADOS</t>
  </si>
  <si>
    <t>38, 42, POLIWRATH</t>
  </si>
  <si>
    <t>40, 44, POLITOES</t>
  </si>
  <si>
    <t>3, 25, 0,</t>
  </si>
  <si>
    <t>24, 26, KOFFING</t>
  </si>
  <si>
    <t>25, 27, SANDSHREW</t>
  </si>
  <si>
    <t>25, 27, MEOWTH</t>
  </si>
  <si>
    <t>25, 27, PARAS</t>
  </si>
  <si>
    <t>25, 27, VULPIX</t>
  </si>
  <si>
    <t>24, 28, WEEZING</t>
  </si>
  <si>
    <t>24, 28, LICKITUNG</t>
  </si>
  <si>
    <t>26, 26, PERSIAN</t>
  </si>
  <si>
    <t>21, 26, EEVEE</t>
  </si>
  <si>
    <t>24, 28, SANDSLASH</t>
  </si>
  <si>
    <t>24, 28, PARASECT , &lt;null&gt;, &lt;null&gt;, &lt;null&gt;</t>
  </si>
  <si>
    <t>3, 26, 0,</t>
  </si>
  <si>
    <t>23, 25, EKANS</t>
  </si>
  <si>
    <t>24, 26, SANDSHREW</t>
  </si>
  <si>
    <t>24, 26, MEOWTH</t>
  </si>
  <si>
    <t>24, 26, VENONAT</t>
  </si>
  <si>
    <t>24, 26, GROWLITHE</t>
  </si>
  <si>
    <t>23, 27, ARBOK</t>
  </si>
  <si>
    <t>23, 27, LICKITUNG</t>
  </si>
  <si>
    <t>25, 25, PERSIAN</t>
  </si>
  <si>
    <t>20, 25, EEVEE</t>
  </si>
  <si>
    <t>23, 27, SANDSLASH</t>
  </si>
  <si>
    <t>23, 27, VENOMOTH , &lt;null&gt;, &lt;null&gt;, &lt;null&gt;</t>
  </si>
  <si>
    <t>3, 27, 0,</t>
  </si>
  <si>
    <t>17, 22, NIDORINO</t>
  </si>
  <si>
    <t>16, 19, SPEAROW</t>
  </si>
  <si>
    <t>16, 19, CUBONE</t>
  </si>
  <si>
    <t>16, 19, MACHOP</t>
  </si>
  <si>
    <t>16, 19, SANDSHREW</t>
  </si>
  <si>
    <t>17, 18, DODUO</t>
  </si>
  <si>
    <t>17, 18, DROWZEE</t>
  </si>
  <si>
    <t>16, 25, FEAROW</t>
  </si>
  <si>
    <t>22, 22, SANDSLASH</t>
  </si>
  <si>
    <t>14, 17, KANGAKID</t>
  </si>
  <si>
    <t>18, 18, KANGAKID , &lt;null&gt;, &lt;null&gt;, &lt;null&gt;</t>
  </si>
  <si>
    <t>3, 28, 0,</t>
  </si>
  <si>
    <t>19, 23, NIDORINO</t>
  </si>
  <si>
    <t>18, 20, SPEAROW</t>
  </si>
  <si>
    <t>18, 20, CUBONE</t>
  </si>
  <si>
    <t>18, 20, MAGNEMITE</t>
  </si>
  <si>
    <t>18, 20, POLIWAG</t>
  </si>
  <si>
    <t>19, 19, DODUO</t>
  </si>
  <si>
    <t>19, 19, VOLTORB</t>
  </si>
  <si>
    <t>20, 25, FEAROW</t>
  </si>
  <si>
    <t>22, 22, POLIWHIRL</t>
  </si>
  <si>
    <t>19, 21, TANGELA</t>
  </si>
  <si>
    <t>19, 21, PONYTA</t>
  </si>
  <si>
    <t>40, 44, TENTACRUEL</t>
  </si>
  <si>
    <t>42, 46, TENTACATE</t>
  </si>
  <si>
    <t>29, 33, HORSEA</t>
  </si>
  <si>
    <t>30, 35, SLOWPOKE</t>
  </si>
  <si>
    <t>36, 40, SEADRA</t>
  </si>
  <si>
    <t>36, 40, GOLDUCK</t>
  </si>
  <si>
    <t>38, 42, SLOWBRO</t>
  </si>
  <si>
    <t>38, 42, KINGDRA</t>
  </si>
  <si>
    <t>40, 44, GILDUCK</t>
  </si>
  <si>
    <t>3, 29, 0,</t>
  </si>
  <si>
    <t>16, 18, SPEAROW</t>
  </si>
  <si>
    <t>17, 20, SANDSHREW</t>
  </si>
  <si>
    <t>17, 20, DROWZEE</t>
  </si>
  <si>
    <t>17, 20, MAGNEMITE</t>
  </si>
  <si>
    <t>17, 20, VOLTORB</t>
  </si>
  <si>
    <t>18, 18, FARFETCH'D</t>
  </si>
  <si>
    <t>18, 18, ABRA</t>
  </si>
  <si>
    <t>15, 19, PIKACHU</t>
  </si>
  <si>
    <t>15, 19, KADABRA</t>
  </si>
  <si>
    <t>22, 22, ARBOK</t>
  </si>
  <si>
    <t>22, 22, LICKITUNG</t>
  </si>
  <si>
    <t>44, 48, LOCHLASS</t>
  </si>
  <si>
    <t>30, 35, SHELLDER</t>
  </si>
  <si>
    <t>30, 35, STARYU</t>
  </si>
  <si>
    <t>38, 42, STARMIE</t>
  </si>
  <si>
    <t>38, 42, CLOYSTER</t>
  </si>
  <si>
    <t>38, 42, STARUS</t>
  </si>
  <si>
    <t>3, 30, 0,</t>
  </si>
  <si>
    <t>29, 34, PIDGEOTTO</t>
  </si>
  <si>
    <t>29, 31, WEEPINBELL</t>
  </si>
  <si>
    <t>29, 31, DODUO</t>
  </si>
  <si>
    <t>31, 31, PIDGEOT</t>
  </si>
  <si>
    <t>29, 31, EXEGGCUTE</t>
  </si>
  <si>
    <t>30, 34, SCYTHER</t>
  </si>
  <si>
    <t>30, 34, JYNX</t>
  </si>
  <si>
    <t>31, 31, DODRIO</t>
  </si>
  <si>
    <t>31, 31, EXEGGUTOR</t>
  </si>
  <si>
    <t>29, 34, VICTREEBEL</t>
  </si>
  <si>
    <t>20, 25, SQUIRTLE</t>
  </si>
  <si>
    <t>60, old rod:</t>
  </si>
  <si>
    <t>3, 31, 0,</t>
  </si>
  <si>
    <t>30, 35, PIDGEOTTO</t>
  </si>
  <si>
    <t>30, 32, WEEPINBELL</t>
  </si>
  <si>
    <t>30, 32, DODUO</t>
  </si>
  <si>
    <t>32, 32, PIDGEOT</t>
  </si>
  <si>
    <t>30, 32, EXEGGCUTE</t>
  </si>
  <si>
    <t>31, 35, SCYTHER</t>
  </si>
  <si>
    <t>31, 35, JYNX</t>
  </si>
  <si>
    <t>32, 32, DODRIO</t>
  </si>
  <si>
    <t>32, 32, EXEGGUTOR</t>
  </si>
  <si>
    <t>30, 35, VICTREEBEL</t>
  </si>
  <si>
    <t>3, 32, 0,</t>
  </si>
  <si>
    <t>32, 36, PIDGEOTTO</t>
  </si>
  <si>
    <t>31, 33, WEEPINBELL</t>
  </si>
  <si>
    <t>31, 33, DODUO</t>
  </si>
  <si>
    <t>33, 33, PIDGEOT</t>
  </si>
  <si>
    <t>31, 33, EXEGGCUTE</t>
  </si>
  <si>
    <t>32, 36, SCYTHER</t>
  </si>
  <si>
    <t>32, 36, JYNX</t>
  </si>
  <si>
    <t>33, 33, DODRIO</t>
  </si>
  <si>
    <t>33, 33, EXEGGUTOR</t>
  </si>
  <si>
    <t>31, 36, VICTREEBEL</t>
  </si>
  <si>
    <t>20, 25, SQUIRTLE , &lt;null&gt;, &lt;null&gt;, &lt;null&gt;</t>
  </si>
  <si>
    <t>3, 33, 0,</t>
  </si>
  <si>
    <t>33, 37, PIDGEOTTO</t>
  </si>
  <si>
    <t>32, 34, WEEPINBELL</t>
  </si>
  <si>
    <t>32, 34, DODUO</t>
  </si>
  <si>
    <t>34, 34, PIDGEOT</t>
  </si>
  <si>
    <t>32, 34, EXEGGCUTE</t>
  </si>
  <si>
    <t>33, 37, SCYTHER</t>
  </si>
  <si>
    <t>33, 37, JYNX</t>
  </si>
  <si>
    <t>34, 34, DODRIO</t>
  </si>
  <si>
    <t>34, 34, EXEGGUTOR</t>
  </si>
  <si>
    <t>32, 37, VICTREEBEL</t>
  </si>
  <si>
    <t>3, 34, 0,</t>
  </si>
  <si>
    <t>29, 31, GLOOM</t>
  </si>
  <si>
    <t>29, 31, LICKITUNG</t>
  </si>
  <si>
    <t>30, 34, TAUROS</t>
  </si>
  <si>
    <t>30, 34, "MR. MIME"</t>
  </si>
  <si>
    <t>31, 31, LICKILICKY</t>
  </si>
  <si>
    <t>29, 34, VILEPLUME</t>
  </si>
  <si>
    <t>20, 25, BULBASAUR , &lt;null&gt;, &lt;null&gt;, &lt;null&gt;</t>
  </si>
  <si>
    <t>3, 35, 0,</t>
  </si>
  <si>
    <t>30, 35, GLOOM</t>
  </si>
  <si>
    <t>30, 35, DODUO</t>
  </si>
  <si>
    <t>30, 32, LICKITUNG</t>
  </si>
  <si>
    <t>31, 35, TAUROS</t>
  </si>
  <si>
    <t>31, 35, "MR. MIME"</t>
  </si>
  <si>
    <t>32, 32, LICKILICKY</t>
  </si>
  <si>
    <t>30, 35, VILEPLUME</t>
  </si>
  <si>
    <t>3, 36, 0,</t>
  </si>
  <si>
    <t>31, 33, GLOOM</t>
  </si>
  <si>
    <t>31, 33, LICKITUNG</t>
  </si>
  <si>
    <t>32, 36, TAUROS</t>
  </si>
  <si>
    <t>32, 36, "MR. MIME"</t>
  </si>
  <si>
    <t>34, 36, DODRIO</t>
  </si>
  <si>
    <t>33, 33, LICKILICKY</t>
  </si>
  <si>
    <t>31, 36, VILEPLUME</t>
  </si>
  <si>
    <t>3, 37, 0, &lt;null&gt;,</t>
  </si>
  <si>
    <t>36, 40, KINGLER</t>
  </si>
  <si>
    <t>3, 38, 0, &lt;null&gt;,</t>
  </si>
  <si>
    <t>3, 39, 0,</t>
  </si>
  <si>
    <t>39, 46, EXEGGUTOR</t>
  </si>
  <si>
    <t>39, 42, DODRIO</t>
  </si>
  <si>
    <t>39, 42, GOLDUCK</t>
  </si>
  <si>
    <t>43, 46, DODRIO</t>
  </si>
  <si>
    <t>43, 46, GOLDUCK</t>
  </si>
  <si>
    <t>43, 50, TANGATHER</t>
  </si>
  <si>
    <t>43, 50, EXEGGITY</t>
  </si>
  <si>
    <t>43, 50, GILDUCK</t>
  </si>
  <si>
    <t>43, 50, QUADODO</t>
  </si>
  <si>
    <t>45, 52, TANGOLIATH</t>
  </si>
  <si>
    <t>44, 44, TANGOLIATH</t>
  </si>
  <si>
    <t>3, 40, 0,</t>
  </si>
  <si>
    <t>3, 41, 0,</t>
  </si>
  <si>
    <t>4, 5, RATTATA</t>
  </si>
  <si>
    <t>2, 3, MEOWTH</t>
  </si>
  <si>
    <t>4, 5, MEOWTH</t>
  </si>
  <si>
    <t>2, 3, SPEAROW</t>
  </si>
  <si>
    <t>4, 5, SPEAROW</t>
  </si>
  <si>
    <t>2, 3, GROWLITHE</t>
  </si>
  <si>
    <t>4, 5, GROWLITHE</t>
  </si>
  <si>
    <t>2, 5, ABRA</t>
  </si>
  <si>
    <t>2, 5, KANGAKID</t>
  </si>
  <si>
    <t>2, 5, EEVEE</t>
  </si>
  <si>
    <t>2, 5, SCYTHER</t>
  </si>
  <si>
    <t>2, 40, 44, PSYDUCK</t>
  </si>
  <si>
    <t>42, 46, SLOWPOKE</t>
  </si>
  <si>
    <t>44, 47, GOLDUCK</t>
  </si>
  <si>
    <t>44, 47, SLOWBRO</t>
  </si>
  <si>
    <t>45, 50, GILDUCK</t>
  </si>
  <si>
    <t>29, 33, MAGIKARP</t>
  </si>
  <si>
    <t>30, 35, GYARADOS</t>
  </si>
  <si>
    <t>30, 35, POLIWHIRL</t>
  </si>
  <si>
    <t>36, 40, MAGIKARP</t>
  </si>
  <si>
    <t>38, 42, POLIWHIRL</t>
  </si>
  <si>
    <t>3, 42, 0,</t>
  </si>
  <si>
    <t>51, 56, SNEEROW</t>
  </si>
  <si>
    <t>53, 57, GORILLASH</t>
  </si>
  <si>
    <t>53, 57, ORNITHOW</t>
  </si>
  <si>
    <t>53, 57, SANDSLAM</t>
  </si>
  <si>
    <t>54, 56, "MR. JEST"</t>
  </si>
  <si>
    <t>54, 56, ELECTIVINE</t>
  </si>
  <si>
    <t>54, 55, FELANKH</t>
  </si>
  <si>
    <t>56, 57, FELANKH</t>
  </si>
  <si>
    <t>40, 50, AERODACTYL</t>
  </si>
  <si>
    <t>57, 59, LUKKEY</t>
  </si>
  <si>
    <t>2, 50, 55, GILDUCK</t>
  </si>
  <si>
    <t>50, 55, POLITOES</t>
  </si>
  <si>
    <t>52, 57, SLOWMATE</t>
  </si>
  <si>
    <t>53, 58, PLATINUPUS</t>
  </si>
  <si>
    <t>23, 36, KRABBY</t>
  </si>
  <si>
    <t>30, 38, SEAKING</t>
  </si>
  <si>
    <t>32, 40, KINGLER</t>
  </si>
  <si>
    <t>32, 40, DRAGONAIR</t>
  </si>
  <si>
    <t>50, 55, SEAREX</t>
  </si>
  <si>
    <t>52, 57, KRAKLAW</t>
  </si>
  <si>
    <t>52, 57, CAPRISEA</t>
  </si>
  <si>
    <t>53, 58, DRAGONIER</t>
  </si>
  <si>
    <t>3, 43, 0,</t>
  </si>
  <si>
    <t>13, 17, ODDISH</t>
  </si>
  <si>
    <t>14, 17, BELLSPROUT</t>
  </si>
  <si>
    <t>14, 17, MEOWTH</t>
  </si>
  <si>
    <t>14, 17, PSYDUCK</t>
  </si>
  <si>
    <t>14, 17, PIDGEOTTO</t>
  </si>
  <si>
    <t>16, 16, PIKACHU</t>
  </si>
  <si>
    <t>16, 16, ABRA</t>
  </si>
  <si>
    <t>15, 18, VENONAT</t>
  </si>
  <si>
    <t>15, 18, GLOOM</t>
  </si>
  <si>
    <t>17, 17, KADABRA</t>
  </si>
  <si>
    <t>2, 34, 40, TENTACOOL</t>
  </si>
  <si>
    <t>34, 40, PSYDUCK</t>
  </si>
  <si>
    <t>36, 42, TENTACRUEL</t>
  </si>
  <si>
    <t>39, 42, VAPOREON</t>
  </si>
  <si>
    <t>3, 44, 0,</t>
  </si>
  <si>
    <t>14, 17, ODDISH</t>
  </si>
  <si>
    <t>15, 17, BELLSPROUT</t>
  </si>
  <si>
    <t>15, 17, PSYDUCK</t>
  </si>
  <si>
    <t>15, 17, PIDGEOTTO</t>
  </si>
  <si>
    <t>18, 18, KADABRA</t>
  </si>
  <si>
    <t>3, 0, 0, &lt;null&gt;,</t>
  </si>
  <si>
    <t>1, 38, 42, TENTACOOL</t>
  </si>
  <si>
    <t>40, 44, STARUS</t>
  </si>
  <si>
    <t>3, 1, 0, &lt;null&gt;,</t>
  </si>
  <si>
    <t>1, 38, 42, PSYDUCK</t>
  </si>
  <si>
    <t>44, 48, GILDUCK</t>
  </si>
  <si>
    <t>3, 3, 0, &lt;null&gt;,</t>
  </si>
  <si>
    <t>3, 5, 0, &lt;null&gt;,</t>
  </si>
  <si>
    <t>3, 6, 0, &lt;null&gt;,</t>
  </si>
  <si>
    <t>42, 46, KOFFING</t>
  </si>
  <si>
    <t>44, 48, WEEZING</t>
  </si>
  <si>
    <t>19, 26, GRIMER</t>
  </si>
  <si>
    <t>30, 35, MUK</t>
  </si>
  <si>
    <t>36, 40, MUK</t>
  </si>
  <si>
    <t>41, 41, GYARADOS</t>
  </si>
  <si>
    <t>38, 42, HYDRADOS</t>
  </si>
  <si>
    <t>40, 44, GUNK</t>
  </si>
  <si>
    <t>3, 7, 0, &lt;null&gt;,</t>
  </si>
  <si>
    <t>29, 33, SEEL</t>
  </si>
  <si>
    <t>36, 40, DEWGONG</t>
  </si>
  <si>
    <t>38, 42, SEAKING</t>
  </si>
  <si>
    <t>40, 44, SEAREX</t>
  </si>
  <si>
    <t>3, 8, 0, &lt;null&gt;,</t>
  </si>
  <si>
    <t>1, 40, 44, DEWGONG</t>
  </si>
  <si>
    <t>44, 47, TENTACATE</t>
  </si>
  <si>
    <t>45, 50, LOCHLASS</t>
  </si>
  <si>
    <t>24, 30, SHELLDER</t>
  </si>
  <si>
    <t>35, 40, SEADRA</t>
  </si>
  <si>
    <t>37, 42, KRABBY</t>
  </si>
  <si>
    <t>37, 42, CLOYSTER</t>
  </si>
  <si>
    <t>39, 45, KINGDRA</t>
  </si>
  <si>
    <t>39, 45, KINGLER</t>
  </si>
  <si>
    <t>43, 46, AN'ENEMY</t>
  </si>
  <si>
    <t>43, 46, KRAKLAW</t>
  </si>
  <si>
    <t>45, 52, LORDRA</t>
  </si>
  <si>
    <t>3, 12, 0, &lt;null&gt;,</t>
  </si>
  <si>
    <t>1, 5, 20, TENTACOOL</t>
  </si>
  <si>
    <t>3, 15, 0, &lt;null&gt;,</t>
  </si>
  <si>
    <t>2, 5, 15, MARILL</t>
  </si>
  <si>
    <t>3, 16, 0, &lt;null&gt;,</t>
  </si>
  <si>
    <t>1, 5, 35, TENTACOOL</t>
  </si>
  <si>
    <t>1, 122, 0,</t>
  </si>
  <si>
    <t>12, 12, ZUBAT</t>
  </si>
  <si>
    <t>8, 8, ZUBAT</t>
  </si>
  <si>
    <t>14, 14, ZUBAT</t>
  </si>
  <si>
    <t>16, 16, ZUBAT</t>
  </si>
  <si>
    <t>6, 6, ZUBAT</t>
  </si>
  <si>
    <t>14, 14, ZUBAT , &lt;null&gt;, &lt;null&gt;, &lt;null&gt;</t>
  </si>
  <si>
    <t>9, 9, MAREEP</t>
  </si>
  <si>
    <t>5, 5, MAREEP</t>
  </si>
  <si>
    <t>11, 11, MAREEP</t>
  </si>
  <si>
    <t>13, 13, MAREEP</t>
  </si>
  <si>
    <t>3, 3, MAREEP</t>
  </si>
  <si>
    <t>11, 11, MAREEP , &lt;null&gt;, &lt;null&gt;, &lt;null&gt;</t>
  </si>
  <si>
    <t>25, 25, PINECO</t>
  </si>
  <si>
    <t>22, 22, PINECO</t>
  </si>
  <si>
    <t>27, 27, PINECO</t>
  </si>
  <si>
    <t>29, 29, PINECO</t>
  </si>
  <si>
    <t>19, 19, PINECO</t>
  </si>
  <si>
    <t>21, 21, PINECO</t>
  </si>
  <si>
    <t>27, 27, PINECO , &lt;null&gt;, &lt;null&gt;, &lt;null&gt;</t>
  </si>
  <si>
    <t>18, 18, HOUNDOUR</t>
  </si>
  <si>
    <t>14, 14, HOUNDOUR</t>
  </si>
  <si>
    <t>20, 20, HOUNDOUR</t>
  </si>
  <si>
    <t>22, 22, HOUNDOUR</t>
  </si>
  <si>
    <t>12, 12, HOUNDOUR</t>
  </si>
  <si>
    <t>20, 20, HOUNDOUR , &lt;null&gt;, &lt;null&gt;, &lt;null&gt;</t>
  </si>
  <si>
    <t>24, 24, TEDDIURSA</t>
  </si>
  <si>
    <t>20, 20, TEDDIURSA</t>
  </si>
  <si>
    <t>26, 26, TEDDIURSA</t>
  </si>
  <si>
    <t>28, 28, TEDDIURSA</t>
  </si>
  <si>
    <t>18, 18, TEDDIURSA</t>
  </si>
  <si>
    <t>26, 26, TEDDIURSA , &lt;null&gt;, &lt;null&gt;, &lt;null&gt;</t>
  </si>
  <si>
    <t>24, 24, AIPOM</t>
  </si>
  <si>
    <t>20, 20, AIPOM</t>
  </si>
  <si>
    <t>26, 26, AIPOM</t>
  </si>
  <si>
    <t>28, 28, AIPOM</t>
  </si>
  <si>
    <t>18, 18, AIPOM</t>
  </si>
  <si>
    <t>26, 26, AIPOM , &lt;null&gt;, &lt;null&gt;, &lt;null&gt;</t>
  </si>
  <si>
    <t>24, 24, SHUCKLE</t>
  </si>
  <si>
    <t>20, 20, SHUCKLE</t>
  </si>
  <si>
    <t>26, 26, SHUCKLE</t>
  </si>
  <si>
    <t>28, 28, SHUCKLE</t>
  </si>
  <si>
    <t>18, 18, SHUCKLE</t>
  </si>
  <si>
    <t>26, 26, SHUCKLE , &lt;null&gt;, &lt;null&gt;, &lt;null&gt;</t>
  </si>
  <si>
    <t>24, 24, STANTLER</t>
  </si>
  <si>
    <t>20, 20, STANTLER</t>
  </si>
  <si>
    <t>26, 26, STANTLER</t>
  </si>
  <si>
    <t>28, 28, STANTLER</t>
  </si>
  <si>
    <t>18, 18, STANTLER</t>
  </si>
  <si>
    <t>26, 26, STANTLER , &lt;null&gt;, &lt;null&gt;, &lt;null&gt;</t>
  </si>
  <si>
    <t>24, 24, SMEARGLE</t>
  </si>
  <si>
    <t>20, 20, SMEARGLE</t>
  </si>
  <si>
    <t>26, 26, SMEARGLE</t>
  </si>
  <si>
    <t>28, 28, SMEARGLE</t>
  </si>
  <si>
    <t>18, 18, SMEARGLE</t>
  </si>
  <si>
    <t>26, 26, SMEARGLE , &lt;null&gt;, &lt;null&gt;, &lt;null&gt;</t>
  </si>
  <si>
    <t>10, 10, TANGELA</t>
  </si>
  <si>
    <t>11, 14, CLEFAIRY</t>
  </si>
  <si>
    <t>12, 15, CLEFAIRY</t>
  </si>
  <si>
    <t>13, 16, GRAVELER</t>
  </si>
  <si>
    <t>30, 30, DUGROUPLE</t>
  </si>
  <si>
    <t>58, 60, WRAIWRATH</t>
  </si>
  <si>
    <t>59, 61, FERODILLO</t>
  </si>
  <si>
    <t>60, 62, CLAYMOR</t>
  </si>
  <si>
    <t>20, 25, CHARMANDER</t>
  </si>
  <si>
    <t>20, 25, OMANYTE</t>
  </si>
  <si>
    <t>20, 23, KANGASKHAN</t>
  </si>
  <si>
    <t>45, 50, LICKILICKY</t>
  </si>
  <si>
    <t>32, 33, NINETALES</t>
  </si>
  <si>
    <t>45, 50, MAGNEZONE</t>
  </si>
  <si>
    <t>25, 35, MAGCARGO</t>
  </si>
  <si>
    <t>30, 30, HERACROSS</t>
  </si>
  <si>
    <t>35, 35, DUNSPARCE</t>
  </si>
  <si>
    <t>7, 7, GROWLITHE</t>
  </si>
  <si>
    <t>10, 13, NIDORAN\sm</t>
  </si>
  <si>
    <t>24, 28, PARASECT</t>
  </si>
  <si>
    <t>23, 27, VENOMOTH</t>
  </si>
  <si>
    <t>18, 18, KANGAKID</t>
  </si>
  <si>
    <t>20, 25, BULBASAUR</t>
  </si>
  <si>
    <t>0x1818</t>
  </si>
  <si>
    <t xml:space="preserve"> CATERPIE</t>
  </si>
  <si>
    <t xml:space="preserve"> WEEDLE</t>
  </si>
  <si>
    <t xml:space="preserve"> ODDISH</t>
  </si>
  <si>
    <t xml:space="preserve"> METAPOD</t>
  </si>
  <si>
    <t xml:space="preserve"> KAKUNA</t>
  </si>
  <si>
    <t xml:space="preserve"> PIKACHU</t>
  </si>
  <si>
    <t xml:space="preserve"> MANKEY</t>
  </si>
  <si>
    <t xml:space="preserve"> BUTTERFREE</t>
  </si>
  <si>
    <t xml:space="preserve"> BEEDRILL</t>
  </si>
  <si>
    <t xml:space="preserve"> TANGELA</t>
  </si>
  <si>
    <t xml:space="preserve"> ZUBAT</t>
  </si>
  <si>
    <t xml:space="preserve"> GEODUDE</t>
  </si>
  <si>
    <t xml:space="preserve"> SANDSHREW</t>
  </si>
  <si>
    <t xml:space="preserve"> PARAS</t>
  </si>
  <si>
    <t xml:space="preserve"> ONIX</t>
  </si>
  <si>
    <t xml:space="preserve"> CLEFAIRY</t>
  </si>
  <si>
    <t xml:space="preserve"> GOLBAT</t>
  </si>
  <si>
    <t xml:space="preserve"> GRAVELER</t>
  </si>
  <si>
    <t xml:space="preserve"> TENTACOOL</t>
  </si>
  <si>
    <t xml:space="preserve"> old rod:</t>
  </si>
  <si>
    <t>old rod:</t>
  </si>
  <si>
    <t xml:space="preserve"> MAGIKARP</t>
  </si>
  <si>
    <t xml:space="preserve"> KRABBY</t>
  </si>
  <si>
    <t xml:space="preserve"> HORSEA</t>
  </si>
  <si>
    <t xml:space="preserve"> STARYU</t>
  </si>
  <si>
    <t xml:space="preserve"> GYARADOS</t>
  </si>
  <si>
    <t xml:space="preserve"> SLOWPOKE</t>
  </si>
  <si>
    <t xml:space="preserve"> DIGLETT</t>
  </si>
  <si>
    <t xml:space="preserve"> DUGTRIO</t>
  </si>
  <si>
    <t xml:space="preserve"> DUGROUPLE</t>
  </si>
  <si>
    <t xml:space="preserve"> NOHTYP</t>
  </si>
  <si>
    <t xml:space="preserve"> CROBAT</t>
  </si>
  <si>
    <t xml:space="preserve"> MACHAMP</t>
  </si>
  <si>
    <t xml:space="preserve"> GOLEM</t>
  </si>
  <si>
    <t xml:space="preserve"> ADNOKANA</t>
  </si>
  <si>
    <t xml:space="preserve"> POLABAT</t>
  </si>
  <si>
    <t xml:space="preserve"> MACHULK</t>
  </si>
  <si>
    <t xml:space="preserve"> RHYMARKABL</t>
  </si>
  <si>
    <t xml:space="preserve"> PLATNIX</t>
  </si>
  <si>
    <t xml:space="preserve"> SLAGOLEM</t>
  </si>
  <si>
    <t xml:space="preserve"> MOLTREM</t>
  </si>
  <si>
    <t xml:space="preserve"> WRAIWRATH</t>
  </si>
  <si>
    <t xml:space="preserve"> FERODILLO</t>
  </si>
  <si>
    <t xml:space="preserve"> CLAYMOR</t>
  </si>
  <si>
    <t xml:space="preserve"> RATTCHET</t>
  </si>
  <si>
    <t xml:space="preserve"> NINETALES</t>
  </si>
  <si>
    <t xml:space="preserve"> ARCANINE</t>
  </si>
  <si>
    <t xml:space="preserve"> WEEZING</t>
  </si>
  <si>
    <t xml:space="preserve"> MUK</t>
  </si>
  <si>
    <t xml:space="preserve"> SINGESHA</t>
  </si>
  <si>
    <t xml:space="preserve"> SPIRITALES</t>
  </si>
  <si>
    <t xml:space="preserve"> GUNK</t>
  </si>
  <si>
    <t xml:space="preserve"> HEEVING</t>
  </si>
  <si>
    <t xml:space="preserve"> RATTARULE</t>
  </si>
  <si>
    <t xml:space="preserve"> CHARMANDER</t>
  </si>
  <si>
    <t xml:space="preserve"> DITTO</t>
  </si>
  <si>
    <t xml:space="preserve"> KABUTO</t>
  </si>
  <si>
    <t xml:space="preserve"> OMANYTE</t>
  </si>
  <si>
    <t xml:space="preserve"> NIDOKING</t>
  </si>
  <si>
    <t xml:space="preserve"> NIDOQUEEN</t>
  </si>
  <si>
    <t xml:space="preserve"> PARASECT</t>
  </si>
  <si>
    <t xml:space="preserve"> VENOMOTH</t>
  </si>
  <si>
    <t xml:space="preserve"> EXEGGUTOR</t>
  </si>
  <si>
    <t xml:space="preserve"> RHYDON</t>
  </si>
  <si>
    <t xml:space="preserve"> SCIZOR</t>
  </si>
  <si>
    <t xml:space="preserve"> PINSIRIOR</t>
  </si>
  <si>
    <t xml:space="preserve"> CHANSEY</t>
  </si>
  <si>
    <t xml:space="preserve"> JOLTEON</t>
  </si>
  <si>
    <t xml:space="preserve"> BLISSEY</t>
  </si>
  <si>
    <t xml:space="preserve"> RHYPERIOR</t>
  </si>
  <si>
    <t xml:space="preserve"> PSYDUCK</t>
  </si>
  <si>
    <t xml:space="preserve"> SLOWBRO</t>
  </si>
  <si>
    <t xml:space="preserve"> GOLDUCK</t>
  </si>
  <si>
    <t xml:space="preserve"> VAPOREON</t>
  </si>
  <si>
    <t xml:space="preserve"> POLIWAG</t>
  </si>
  <si>
    <t xml:space="preserve"> GOLDEEN</t>
  </si>
  <si>
    <t xml:space="preserve"> POLIWHIRL</t>
  </si>
  <si>
    <t xml:space="preserve"> SEAKING</t>
  </si>
  <si>
    <t xml:space="preserve"> DRATINI</t>
  </si>
  <si>
    <t xml:space="preserve"> DRAGONAIR</t>
  </si>
  <si>
    <t xml:space="preserve"> DRAGONITE</t>
  </si>
  <si>
    <t xml:space="preserve"> DODRIO</t>
  </si>
  <si>
    <t xml:space="preserve"> MAGMAR</t>
  </si>
  <si>
    <t xml:space="preserve"> KANGASKHAN</t>
  </si>
  <si>
    <t xml:space="preserve"> HITMONCHAN</t>
  </si>
  <si>
    <t xml:space="preserve"> KANGALLOUS</t>
  </si>
  <si>
    <t xml:space="preserve"> MAGMORTAR</t>
  </si>
  <si>
    <t xml:space="preserve"> CLEFABLE</t>
  </si>
  <si>
    <t xml:space="preserve"> ELECTABUZZ</t>
  </si>
  <si>
    <t xml:space="preserve"> TAUROS</t>
  </si>
  <si>
    <t xml:space="preserve"> FLAREON</t>
  </si>
  <si>
    <t xml:space="preserve"> TAUROX</t>
  </si>
  <si>
    <t xml:space="preserve"> ELECTIVIRE</t>
  </si>
  <si>
    <t xml:space="preserve"> RAPIDASH</t>
  </si>
  <si>
    <t xml:space="preserve"> SNORLAX</t>
  </si>
  <si>
    <t xml:space="preserve"> HITMONLEE</t>
  </si>
  <si>
    <t xml:space="preserve"> ACTLAX</t>
  </si>
  <si>
    <t xml:space="preserve"> TANGROWTH</t>
  </si>
  <si>
    <t xml:space="preserve"> VENOMENON</t>
  </si>
  <si>
    <t xml:space="preserve"> "MR. JEST"</t>
  </si>
  <si>
    <t xml:space="preserve"> NIDORULY</t>
  </si>
  <si>
    <t xml:space="preserve"> NIDOREGAL</t>
  </si>
  <si>
    <t xml:space="preserve"> MORPHO</t>
  </si>
  <si>
    <t xml:space="preserve"> MAGNEMELD</t>
  </si>
  <si>
    <t xml:space="preserve"> VOHOO-DU</t>
  </si>
  <si>
    <t xml:space="preserve"> CLEFAEFAE</t>
  </si>
  <si>
    <t xml:space="preserve"> KABUTAK</t>
  </si>
  <si>
    <t xml:space="preserve"> OMAPAL</t>
  </si>
  <si>
    <t xml:space="preserve"> POLITOES</t>
  </si>
  <si>
    <t xml:space="preserve"> POLIWISE</t>
  </si>
  <si>
    <t xml:space="preserve"> DRAGONIER</t>
  </si>
  <si>
    <t xml:space="preserve"> NESSEA</t>
  </si>
  <si>
    <t xml:space="preserve"> CLOYSTER</t>
  </si>
  <si>
    <t xml:space="preserve"> KINGDRA</t>
  </si>
  <si>
    <t xml:space="preserve"> HYDRADOS</t>
  </si>
  <si>
    <t xml:space="preserve"> LORDRA</t>
  </si>
  <si>
    <t xml:space="preserve"> AN'ENEMY</t>
  </si>
  <si>
    <t xml:space="preserve"> DRACOSMIC</t>
  </si>
  <si>
    <t xml:space="preserve"> GLAISHELL</t>
  </si>
  <si>
    <t xml:space="preserve"> STARWE</t>
  </si>
  <si>
    <t xml:space="preserve"> RHYHORN</t>
  </si>
  <si>
    <t xml:space="preserve"> MACHOP</t>
  </si>
  <si>
    <t xml:space="preserve"> PINSIR</t>
  </si>
  <si>
    <t xml:space="preserve"> DEWGONG</t>
  </si>
  <si>
    <t xml:space="preserve"> LICKILICKY</t>
  </si>
  <si>
    <t xml:space="preserve"> GILDUCK</t>
  </si>
  <si>
    <t xml:space="preserve"> SLOWMATE</t>
  </si>
  <si>
    <t xml:space="preserve"> PRECIPED</t>
  </si>
  <si>
    <t xml:space="preserve"> LICKILOLLY</t>
  </si>
  <si>
    <t xml:space="preserve"> SEADRA</t>
  </si>
  <si>
    <t xml:space="preserve"> KINGLER</t>
  </si>
  <si>
    <t xml:space="preserve"> LAPRAS</t>
  </si>
  <si>
    <t xml:space="preserve"> SHELLDER</t>
  </si>
  <si>
    <t xml:space="preserve"> KRAKLAW</t>
  </si>
  <si>
    <t xml:space="preserve"> GASTLY</t>
  </si>
  <si>
    <t xml:space="preserve"> RATTATA</t>
  </si>
  <si>
    <t xml:space="preserve"> CUBONE</t>
  </si>
  <si>
    <t xml:space="preserve"> HAUNTER</t>
  </si>
  <si>
    <t xml:space="preserve"> DROWZEE</t>
  </si>
  <si>
    <t xml:space="preserve"> VULPIX</t>
  </si>
  <si>
    <t xml:space="preserve"> HYPNO</t>
  </si>
  <si>
    <t xml:space="preserve"> RATICATE</t>
  </si>
  <si>
    <t xml:space="preserve"> MAROWAK</t>
  </si>
  <si>
    <t xml:space="preserve"> GENGAR</t>
  </si>
  <si>
    <t xml:space="preserve"> MAGNEMITE</t>
  </si>
  <si>
    <t xml:space="preserve"> VOLTORB</t>
  </si>
  <si>
    <t xml:space="preserve"> PORYGON</t>
  </si>
  <si>
    <t xml:space="preserve"> MAGNETON</t>
  </si>
  <si>
    <t xml:space="preserve"> PORYGON2</t>
  </si>
  <si>
    <t xml:space="preserve"> ELECTRODE</t>
  </si>
  <si>
    <t xml:space="preserve"> RAICHU</t>
  </si>
  <si>
    <t xml:space="preserve"> MAGNEZONE</t>
  </si>
  <si>
    <t xml:space="preserve"> PONYTA</t>
  </si>
  <si>
    <t xml:space="preserve"> FEAROW</t>
  </si>
  <si>
    <t xml:space="preserve"> SPEAROW</t>
  </si>
  <si>
    <t xml:space="preserve"> MACHOKE</t>
  </si>
  <si>
    <t xml:space="preserve"> SLUGMA</t>
  </si>
  <si>
    <t xml:space="preserve"> MAGCARGO</t>
  </si>
  <si>
    <t xml:space="preserve"> PIDGEOTTO</t>
  </si>
  <si>
    <t xml:space="preserve"> WEEPINBELL</t>
  </si>
  <si>
    <t xml:space="preserve"> PIDGEY</t>
  </si>
  <si>
    <t xml:space="preserve"> BELLSPROUT</t>
  </si>
  <si>
    <t xml:space="preserve"> VENONAT</t>
  </si>
  <si>
    <t xml:space="preserve"> EXEGGCUTE</t>
  </si>
  <si>
    <t xml:space="preserve"> SEEL</t>
  </si>
  <si>
    <t xml:space="preserve"> MARILL</t>
  </si>
  <si>
    <t xml:space="preserve"> SWINUB</t>
  </si>
  <si>
    <t xml:space="preserve"> SNEASEL</t>
  </si>
  <si>
    <t xml:space="preserve"> TENTACRUEL</t>
  </si>
  <si>
    <t xml:space="preserve"> LEDYBA</t>
  </si>
  <si>
    <t xml:space="preserve"> HERACROSS</t>
  </si>
  <si>
    <t xml:space="preserve"> SPINARAK</t>
  </si>
  <si>
    <t xml:space="preserve"> MISDREAVUS</t>
  </si>
  <si>
    <t xml:space="preserve"> MEOWTH</t>
  </si>
  <si>
    <t xml:space="preserve"> PERSIAN</t>
  </si>
  <si>
    <t xml:space="preserve"> DUNSPARCE</t>
  </si>
  <si>
    <t xml:space="preserve"> HOPPIP</t>
  </si>
  <si>
    <t xml:space="preserve"> REMORAID</t>
  </si>
  <si>
    <t xml:space="preserve"> SENTRET</t>
  </si>
  <si>
    <t xml:space="preserve"> NATU</t>
  </si>
  <si>
    <t xml:space="preserve"> YANMA</t>
  </si>
  <si>
    <t xml:space="preserve"> WOBBUFFET</t>
  </si>
  <si>
    <t xml:space="preserve"> MANTINE</t>
  </si>
  <si>
    <t xml:space="preserve"> PHANPY</t>
  </si>
  <si>
    <t xml:space="preserve"> LARVITAR</t>
  </si>
  <si>
    <t xml:space="preserve"> EEVEE</t>
  </si>
  <si>
    <t xml:space="preserve"> FARFETCH'D</t>
  </si>
  <si>
    <t xml:space="preserve"> GROWLITHE</t>
  </si>
  <si>
    <t xml:space="preserve"> NIDORAN\sf</t>
  </si>
  <si>
    <t xml:space="preserve"> NIDORAN\sm</t>
  </si>
  <si>
    <t xml:space="preserve"> EKANS</t>
  </si>
  <si>
    <t xml:space="preserve"> JIGGLYPUFF</t>
  </si>
  <si>
    <t xml:space="preserve"> NIDORINO</t>
  </si>
  <si>
    <t xml:space="preserve"> NIDORINA</t>
  </si>
  <si>
    <t xml:space="preserve"> POLIWRATH</t>
  </si>
  <si>
    <t xml:space="preserve"> KOFFING</t>
  </si>
  <si>
    <t xml:space="preserve"> LICKITUNG</t>
  </si>
  <si>
    <t xml:space="preserve"> SANDSLASH</t>
  </si>
  <si>
    <t xml:space="preserve"> ARBOK</t>
  </si>
  <si>
    <t xml:space="preserve"> DODUO</t>
  </si>
  <si>
    <t xml:space="preserve"> KANGAKID</t>
  </si>
  <si>
    <t xml:space="preserve"> TENTACATE</t>
  </si>
  <si>
    <t xml:space="preserve"> ABRA</t>
  </si>
  <si>
    <t xml:space="preserve"> KADABRA</t>
  </si>
  <si>
    <t xml:space="preserve"> LOCHLASS</t>
  </si>
  <si>
    <t xml:space="preserve"> STARMIE</t>
  </si>
  <si>
    <t xml:space="preserve"> STARUS</t>
  </si>
  <si>
    <t xml:space="preserve"> PIDGEOT</t>
  </si>
  <si>
    <t xml:space="preserve"> SCYTHER</t>
  </si>
  <si>
    <t xml:space="preserve"> JYNX</t>
  </si>
  <si>
    <t xml:space="preserve"> VICTREEBEL</t>
  </si>
  <si>
    <t xml:space="preserve"> SQUIRTLE</t>
  </si>
  <si>
    <t xml:space="preserve"> GLOOM</t>
  </si>
  <si>
    <t xml:space="preserve"> "MR. MIME"</t>
  </si>
  <si>
    <t xml:space="preserve"> VILEPLUME</t>
  </si>
  <si>
    <t xml:space="preserve"> BULBASAUR</t>
  </si>
  <si>
    <t xml:space="preserve"> TANGATHER</t>
  </si>
  <si>
    <t xml:space="preserve"> EXEGGITY</t>
  </si>
  <si>
    <t xml:space="preserve"> QUADODO</t>
  </si>
  <si>
    <t xml:space="preserve"> TANGOLIATH</t>
  </si>
  <si>
    <t xml:space="preserve"> PRIMEAPE</t>
  </si>
  <si>
    <t xml:space="preserve"> SNEEROW</t>
  </si>
  <si>
    <t xml:space="preserve"> GORILLASH</t>
  </si>
  <si>
    <t xml:space="preserve"> ORNITHOW</t>
  </si>
  <si>
    <t xml:space="preserve"> SANDSLAM</t>
  </si>
  <si>
    <t xml:space="preserve"> ELECTIVINE</t>
  </si>
  <si>
    <t xml:space="preserve"> FELANKH</t>
  </si>
  <si>
    <t xml:space="preserve"> AERODACTYL</t>
  </si>
  <si>
    <t xml:space="preserve"> LUKKEY</t>
  </si>
  <si>
    <t xml:space="preserve"> PLATINUPUS</t>
  </si>
  <si>
    <t xml:space="preserve"> SEAREX</t>
  </si>
  <si>
    <t xml:space="preserve"> CAPRISEA</t>
  </si>
  <si>
    <t xml:space="preserve"> GRIMER</t>
  </si>
  <si>
    <t xml:space="preserve"> MAREEP</t>
  </si>
  <si>
    <t xml:space="preserve"> PINECO</t>
  </si>
  <si>
    <t xml:space="preserve"> HOUNDOUR</t>
  </si>
  <si>
    <t xml:space="preserve"> TEDDIURSA</t>
  </si>
  <si>
    <t xml:space="preserve"> AIPOM</t>
  </si>
  <si>
    <t xml:space="preserve"> SHUCKLE</t>
  </si>
  <si>
    <t xml:space="preserve"> STANTLER</t>
  </si>
  <si>
    <t xml:space="preserve"> SMEARGLE</t>
  </si>
  <si>
    <t>.rawData</t>
  </si>
  <si>
    <t>min_level</t>
  </si>
  <si>
    <t>max_level</t>
  </si>
  <si>
    <t>species</t>
  </si>
  <si>
    <t>S.S. Anne Exterior, 1</t>
  </si>
  <si>
    <t>water_mons, 1</t>
  </si>
  <si>
    <t>5, 10, TENTACOOL</t>
  </si>
  <si>
    <t>old_rod</t>
  </si>
  <si>
    <t>good_rod</t>
  </si>
  <si>
    <t>super_rod</t>
  </si>
  <si>
    <t>water_mons, 2</t>
  </si>
  <si>
    <t>38, 42, SLOWPOKE</t>
  </si>
  <si>
    <t>rock_smash_mons, 50</t>
  </si>
  <si>
    <t>5, 20, GEODUDE</t>
  </si>
  <si>
    <t>38, 44, DEWGONG</t>
  </si>
  <si>
    <t>25, 35, GEODUDE</t>
  </si>
  <si>
    <t>15, 25, SLUGMA</t>
  </si>
  <si>
    <t>5, 20, SLOWPOKE</t>
  </si>
  <si>
    <t>5, 35, SEEL</t>
  </si>
  <si>
    <t>5, 20, TENTACOOL</t>
  </si>
  <si>
    <t>rock_smash_mons, 25</t>
  </si>
  <si>
    <t>5, 35, TENTACOOL</t>
  </si>
  <si>
    <t>5, 20, MARILL</t>
  </si>
  <si>
    <t>38, 42, TENTACOOL</t>
  </si>
  <si>
    <t>50, 55, GILDUCK</t>
  </si>
  <si>
    <t>34, 40, TENTACOOL</t>
  </si>
  <si>
    <t>38, 42, PSYDUCK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</si>
</sst>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sz val="10.0"/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49" xfId="0" applyFont="1" applyNumberFormat="1"/>
    <xf borderId="0" fillId="0" fontId="2" numFmtId="0" xfId="0" applyFont="1"/>
    <xf borderId="0" fillId="0" fontId="2" numFmtId="9" xfId="0" applyFont="1" applyNumberFormat="1"/>
    <xf borderId="0" fillId="0" fontId="2" numFmtId="9" xfId="0" applyAlignment="1" applyFont="1" applyNumberFormat="1">
      <alignment horizontal="left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left"/>
    </xf>
    <xf borderId="0" fillId="0" fontId="1" numFmtId="0" xfId="0" applyAlignment="1" applyFont="1">
      <alignment readingOrder="0"/>
    </xf>
    <xf borderId="1" fillId="2" fontId="2" numFmtId="0" xfId="0" applyBorder="1" applyFill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customschemas.google.com/relationships/workbookmetadata" Target="metadata"/><Relationship Id="rId14" Type="http://schemas.openxmlformats.org/officeDocument/2006/relationships/worksheet" Target="worksheets/sheet1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0000EE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49.13"/>
    <col customWidth="1" min="2" max="26" width="11.63"/>
  </cols>
  <sheetData>
    <row r="1" ht="12.75" customHeight="1">
      <c r="A1" s="1" t="s">
        <v>0</v>
      </c>
      <c r="B1" s="1">
        <v>2.0</v>
      </c>
      <c r="C1" s="1">
        <v>27.0</v>
      </c>
      <c r="D1" s="1">
        <v>0.0</v>
      </c>
      <c r="E1" s="1" t="s">
        <v>1</v>
      </c>
      <c r="F1" s="1" t="s">
        <v>2</v>
      </c>
      <c r="G1" s="1" t="s">
        <v>2</v>
      </c>
      <c r="H1" s="1" t="s">
        <v>2</v>
      </c>
    </row>
    <row r="2" ht="12.75" customHeight="1">
      <c r="A2" s="1" t="s">
        <v>3</v>
      </c>
      <c r="B2" s="1">
        <v>2.0</v>
      </c>
      <c r="C2" s="1">
        <v>28.0</v>
      </c>
      <c r="D2" s="1">
        <v>0.0</v>
      </c>
      <c r="E2" s="1" t="s">
        <v>4</v>
      </c>
      <c r="F2" s="1" t="s">
        <v>2</v>
      </c>
      <c r="G2" s="1" t="s">
        <v>2</v>
      </c>
      <c r="H2" s="1" t="s">
        <v>2</v>
      </c>
    </row>
    <row r="3" ht="12.75" customHeight="1">
      <c r="A3" s="1" t="s">
        <v>5</v>
      </c>
      <c r="B3" s="1">
        <v>2.0</v>
      </c>
      <c r="C3" s="1">
        <v>29.0</v>
      </c>
      <c r="D3" s="1">
        <v>0.0</v>
      </c>
      <c r="E3" s="1" t="s">
        <v>6</v>
      </c>
      <c r="F3" s="1" t="s">
        <v>2</v>
      </c>
      <c r="G3" s="1" t="s">
        <v>2</v>
      </c>
      <c r="H3" s="1" t="s">
        <v>2</v>
      </c>
    </row>
    <row r="4" ht="12.75" customHeight="1">
      <c r="A4" s="1" t="s">
        <v>7</v>
      </c>
      <c r="B4" s="1">
        <v>2.0</v>
      </c>
      <c r="C4" s="1">
        <v>30.0</v>
      </c>
      <c r="D4" s="1">
        <v>0.0</v>
      </c>
      <c r="E4" s="1" t="s">
        <v>8</v>
      </c>
      <c r="F4" s="1" t="s">
        <v>2</v>
      </c>
      <c r="G4" s="1" t="s">
        <v>2</v>
      </c>
      <c r="H4" s="1" t="s">
        <v>2</v>
      </c>
    </row>
    <row r="5" ht="12.75" customHeight="1">
      <c r="A5" s="1" t="s">
        <v>9</v>
      </c>
      <c r="B5" s="1">
        <v>2.0</v>
      </c>
      <c r="C5" s="1">
        <v>31.0</v>
      </c>
      <c r="D5" s="1">
        <v>0.0</v>
      </c>
      <c r="E5" s="1" t="s">
        <v>10</v>
      </c>
      <c r="F5" s="1" t="s">
        <v>2</v>
      </c>
      <c r="G5" s="1" t="s">
        <v>2</v>
      </c>
      <c r="H5" s="1" t="s">
        <v>2</v>
      </c>
    </row>
    <row r="6" ht="12.75" customHeight="1">
      <c r="A6" s="1" t="s">
        <v>11</v>
      </c>
      <c r="B6" s="1">
        <v>2.0</v>
      </c>
      <c r="C6" s="1">
        <v>32.0</v>
      </c>
      <c r="D6" s="1">
        <v>0.0</v>
      </c>
      <c r="E6" s="1" t="s">
        <v>12</v>
      </c>
      <c r="F6" s="1" t="s">
        <v>2</v>
      </c>
      <c r="G6" s="1" t="s">
        <v>2</v>
      </c>
      <c r="H6" s="1" t="s">
        <v>2</v>
      </c>
    </row>
    <row r="7" ht="12.75" customHeight="1">
      <c r="A7" s="1" t="s">
        <v>13</v>
      </c>
      <c r="B7" s="1">
        <v>2.0</v>
      </c>
      <c r="C7" s="1">
        <v>33.0</v>
      </c>
      <c r="D7" s="1">
        <v>0.0</v>
      </c>
      <c r="E7" s="1" t="s">
        <v>14</v>
      </c>
      <c r="F7" s="1" t="s">
        <v>2</v>
      </c>
      <c r="G7" s="1" t="s">
        <v>2</v>
      </c>
      <c r="H7" s="1" t="s">
        <v>2</v>
      </c>
    </row>
    <row r="8" ht="12.75" customHeight="1">
      <c r="A8" s="1" t="s">
        <v>15</v>
      </c>
      <c r="B8" s="1">
        <v>1.0</v>
      </c>
      <c r="C8" s="1">
        <v>0.0</v>
      </c>
      <c r="D8" s="1">
        <v>0.0</v>
      </c>
      <c r="E8" s="1" t="s">
        <v>16</v>
      </c>
      <c r="F8" s="1" t="s">
        <v>2</v>
      </c>
      <c r="G8" s="1" t="s">
        <v>2</v>
      </c>
      <c r="H8" s="1" t="s">
        <v>2</v>
      </c>
    </row>
    <row r="9" ht="12.75" customHeight="1">
      <c r="A9" s="1" t="s">
        <v>17</v>
      </c>
      <c r="B9" s="1">
        <v>1.0</v>
      </c>
      <c r="C9" s="1">
        <v>1.0</v>
      </c>
      <c r="D9" s="1">
        <v>0.0</v>
      </c>
      <c r="E9" s="1" t="s">
        <v>18</v>
      </c>
      <c r="F9" s="1" t="s">
        <v>2</v>
      </c>
      <c r="G9" s="1" t="s">
        <v>2</v>
      </c>
      <c r="H9" s="1" t="s">
        <v>2</v>
      </c>
    </row>
    <row r="10" ht="12.75" customHeight="1">
      <c r="A10" s="1" t="s">
        <v>19</v>
      </c>
      <c r="B10" s="1">
        <v>1.0</v>
      </c>
      <c r="C10" s="1">
        <v>2.0</v>
      </c>
      <c r="D10" s="1">
        <v>0.0</v>
      </c>
      <c r="E10" s="1" t="s">
        <v>20</v>
      </c>
      <c r="F10" s="1" t="s">
        <v>2</v>
      </c>
      <c r="G10" s="1" t="s">
        <v>2</v>
      </c>
      <c r="H10" s="1" t="s">
        <v>2</v>
      </c>
    </row>
    <row r="11" ht="12.75" customHeight="1">
      <c r="A11" s="1" t="s">
        <v>21</v>
      </c>
      <c r="B11" s="1">
        <v>1.0</v>
      </c>
      <c r="C11" s="1">
        <v>3.0</v>
      </c>
      <c r="D11" s="1">
        <v>0.0</v>
      </c>
      <c r="E11" s="1" t="s">
        <v>22</v>
      </c>
      <c r="F11" s="1" t="s">
        <v>2</v>
      </c>
      <c r="G11" s="1" t="s">
        <v>2</v>
      </c>
      <c r="H11" s="1" t="s">
        <v>2</v>
      </c>
    </row>
    <row r="12" ht="12.75" customHeight="1">
      <c r="A12" s="1" t="s">
        <v>23</v>
      </c>
      <c r="B12" s="1">
        <v>1.0</v>
      </c>
      <c r="C12" s="1">
        <v>4.0</v>
      </c>
      <c r="D12" s="1">
        <v>0.0</v>
      </c>
      <c r="E12" s="1" t="s">
        <v>2</v>
      </c>
      <c r="F12" s="1" t="s">
        <v>24</v>
      </c>
      <c r="G12" s="1" t="s">
        <v>2</v>
      </c>
      <c r="H12" s="1" t="s">
        <v>25</v>
      </c>
    </row>
    <row r="13" ht="12.75" customHeight="1">
      <c r="A13" s="1" t="s">
        <v>26</v>
      </c>
      <c r="B13" s="1">
        <v>1.0</v>
      </c>
      <c r="C13" s="1">
        <v>37.0</v>
      </c>
      <c r="D13" s="1">
        <v>0.0</v>
      </c>
      <c r="E13" s="1" t="s">
        <v>27</v>
      </c>
      <c r="F13" s="1" t="s">
        <v>2</v>
      </c>
      <c r="G13" s="1" t="s">
        <v>2</v>
      </c>
      <c r="H13" s="1" t="s">
        <v>2</v>
      </c>
    </row>
    <row r="14" ht="12.75" customHeight="1">
      <c r="A14" s="1" t="s">
        <v>28</v>
      </c>
      <c r="B14" s="1">
        <v>1.0</v>
      </c>
      <c r="C14" s="1">
        <v>39.0</v>
      </c>
      <c r="D14" s="1">
        <v>0.0</v>
      </c>
      <c r="E14" s="1" t="s">
        <v>29</v>
      </c>
      <c r="F14" s="1" t="s">
        <v>2</v>
      </c>
      <c r="G14" s="1" t="s">
        <v>2</v>
      </c>
      <c r="H14" s="1" t="s">
        <v>2</v>
      </c>
    </row>
    <row r="15" ht="12.75" customHeight="1">
      <c r="A15" s="1" t="s">
        <v>30</v>
      </c>
      <c r="B15" s="1">
        <v>1.0</v>
      </c>
      <c r="C15" s="1">
        <v>40.0</v>
      </c>
      <c r="D15" s="1">
        <v>0.0</v>
      </c>
      <c r="E15" s="1" t="s">
        <v>31</v>
      </c>
      <c r="F15" s="1" t="s">
        <v>2</v>
      </c>
      <c r="G15" s="1" t="s">
        <v>2</v>
      </c>
      <c r="H15" s="1" t="s">
        <v>2</v>
      </c>
    </row>
    <row r="16" ht="12.75" customHeight="1">
      <c r="A16" s="1" t="s">
        <v>32</v>
      </c>
      <c r="B16" s="1">
        <v>1.0</v>
      </c>
      <c r="C16" s="1">
        <v>41.0</v>
      </c>
      <c r="D16" s="1">
        <v>0.0</v>
      </c>
      <c r="E16" s="1" t="s">
        <v>33</v>
      </c>
      <c r="F16" s="1" t="s">
        <v>2</v>
      </c>
      <c r="G16" s="1" t="s">
        <v>2</v>
      </c>
      <c r="H16" s="1" t="s">
        <v>2</v>
      </c>
    </row>
    <row r="17" ht="12.75" customHeight="1">
      <c r="A17" s="1" t="s">
        <v>34</v>
      </c>
      <c r="B17" s="1">
        <v>1.0</v>
      </c>
      <c r="C17" s="1">
        <v>59.0</v>
      </c>
      <c r="D17" s="1">
        <v>0.0</v>
      </c>
      <c r="E17" s="1" t="s">
        <v>35</v>
      </c>
      <c r="F17" s="1" t="s">
        <v>2</v>
      </c>
      <c r="G17" s="1" t="s">
        <v>2</v>
      </c>
      <c r="H17" s="1" t="s">
        <v>2</v>
      </c>
    </row>
    <row r="18" ht="12.75" customHeight="1">
      <c r="A18" s="1" t="s">
        <v>36</v>
      </c>
      <c r="B18" s="1">
        <v>1.0</v>
      </c>
      <c r="C18" s="1">
        <v>60.0</v>
      </c>
      <c r="D18" s="1">
        <v>0.0</v>
      </c>
      <c r="E18" s="1" t="s">
        <v>37</v>
      </c>
      <c r="F18" s="1" t="s">
        <v>2</v>
      </c>
      <c r="G18" s="1" t="s">
        <v>2</v>
      </c>
      <c r="H18" s="1" t="s">
        <v>2</v>
      </c>
    </row>
    <row r="19" ht="12.75" customHeight="1">
      <c r="A19" s="1" t="s">
        <v>38</v>
      </c>
      <c r="B19" s="1">
        <v>1.0</v>
      </c>
      <c r="C19" s="1">
        <v>61.0</v>
      </c>
      <c r="D19" s="1">
        <v>0.0</v>
      </c>
      <c r="E19" s="1" t="s">
        <v>39</v>
      </c>
      <c r="F19" s="1" t="s">
        <v>2</v>
      </c>
      <c r="G19" s="1" t="s">
        <v>2</v>
      </c>
      <c r="H19" s="1" t="s">
        <v>2</v>
      </c>
    </row>
    <row r="20" ht="12.75" customHeight="1">
      <c r="A20" s="1" t="s">
        <v>40</v>
      </c>
      <c r="B20" s="1">
        <v>1.0</v>
      </c>
      <c r="C20" s="1">
        <v>62.0</v>
      </c>
      <c r="D20" s="1">
        <v>0.0</v>
      </c>
      <c r="E20" s="1" t="s">
        <v>41</v>
      </c>
      <c r="F20" s="1" t="s">
        <v>2</v>
      </c>
      <c r="G20" s="1" t="s">
        <v>2</v>
      </c>
      <c r="H20" s="1" t="s">
        <v>2</v>
      </c>
    </row>
    <row r="21" ht="12.75" customHeight="1">
      <c r="A21" s="1" t="s">
        <v>42</v>
      </c>
      <c r="B21" s="1">
        <v>1.0</v>
      </c>
      <c r="C21" s="1">
        <v>63.0</v>
      </c>
      <c r="D21" s="1">
        <v>0.0</v>
      </c>
      <c r="E21" s="1" t="s">
        <v>43</v>
      </c>
      <c r="F21" s="1" t="s">
        <v>44</v>
      </c>
      <c r="G21" s="1" t="s">
        <v>2</v>
      </c>
      <c r="H21" s="1" t="s">
        <v>45</v>
      </c>
    </row>
    <row r="22" ht="12.75" customHeight="1">
      <c r="A22" s="1" t="s">
        <v>46</v>
      </c>
      <c r="B22" s="1">
        <v>1.0</v>
      </c>
      <c r="C22" s="1">
        <v>64.0</v>
      </c>
      <c r="D22" s="1">
        <v>0.0</v>
      </c>
      <c r="E22" s="1" t="s">
        <v>47</v>
      </c>
      <c r="F22" s="1" t="s">
        <v>48</v>
      </c>
      <c r="G22" s="1" t="s">
        <v>2</v>
      </c>
      <c r="H22" s="1" t="s">
        <v>49</v>
      </c>
    </row>
    <row r="23" ht="12.75" customHeight="1">
      <c r="A23" s="1" t="s">
        <v>50</v>
      </c>
      <c r="B23" s="1">
        <v>1.0</v>
      </c>
      <c r="C23" s="1">
        <v>65.0</v>
      </c>
      <c r="D23" s="1">
        <v>0.0</v>
      </c>
      <c r="E23" s="1" t="s">
        <v>51</v>
      </c>
      <c r="F23" s="1" t="s">
        <v>52</v>
      </c>
      <c r="G23" s="1" t="s">
        <v>2</v>
      </c>
      <c r="H23" s="1" t="s">
        <v>53</v>
      </c>
    </row>
    <row r="24" ht="12.75" customHeight="1">
      <c r="A24" s="1" t="s">
        <v>54</v>
      </c>
      <c r="B24" s="1">
        <v>1.0</v>
      </c>
      <c r="C24" s="1">
        <v>66.0</v>
      </c>
      <c r="D24" s="1">
        <v>0.0</v>
      </c>
      <c r="E24" s="1" t="s">
        <v>55</v>
      </c>
      <c r="F24" s="1" t="s">
        <v>56</v>
      </c>
      <c r="G24" s="1" t="s">
        <v>2</v>
      </c>
      <c r="H24" s="1" t="s">
        <v>57</v>
      </c>
    </row>
    <row r="25" ht="12.75" customHeight="1">
      <c r="A25" s="1" t="s">
        <v>58</v>
      </c>
      <c r="B25" s="1">
        <v>1.0</v>
      </c>
      <c r="C25" s="1">
        <v>72.0</v>
      </c>
      <c r="D25" s="1">
        <v>0.0</v>
      </c>
      <c r="E25" s="1" t="s">
        <v>59</v>
      </c>
      <c r="F25" s="1" t="s">
        <v>60</v>
      </c>
      <c r="G25" s="1" t="s">
        <v>2</v>
      </c>
      <c r="H25" s="1" t="s">
        <v>61</v>
      </c>
    </row>
    <row r="26" ht="12.75" customHeight="1">
      <c r="A26" s="1" t="s">
        <v>62</v>
      </c>
      <c r="B26" s="1">
        <v>1.0</v>
      </c>
      <c r="C26" s="1">
        <v>73.0</v>
      </c>
      <c r="D26" s="1">
        <v>0.0</v>
      </c>
      <c r="E26" s="1" t="s">
        <v>63</v>
      </c>
      <c r="F26" s="1" t="s">
        <v>2</v>
      </c>
      <c r="G26" s="1" t="s">
        <v>2</v>
      </c>
      <c r="H26" s="1" t="s">
        <v>2</v>
      </c>
    </row>
    <row r="27" ht="12.75" customHeight="1">
      <c r="A27" s="1" t="s">
        <v>64</v>
      </c>
      <c r="B27" s="1">
        <v>1.0</v>
      </c>
      <c r="C27" s="1">
        <v>74.0</v>
      </c>
      <c r="D27" s="1">
        <v>0.0</v>
      </c>
      <c r="E27" s="1" t="s">
        <v>65</v>
      </c>
      <c r="F27" s="1" t="s">
        <v>66</v>
      </c>
      <c r="G27" s="1" t="s">
        <v>2</v>
      </c>
      <c r="H27" s="1" t="s">
        <v>67</v>
      </c>
    </row>
    <row r="28" ht="12.75" customHeight="1">
      <c r="A28" s="1" t="s">
        <v>68</v>
      </c>
      <c r="B28" s="1">
        <v>1.0</v>
      </c>
      <c r="C28" s="1">
        <v>81.0</v>
      </c>
      <c r="D28" s="1">
        <v>0.0</v>
      </c>
      <c r="E28" s="1" t="s">
        <v>69</v>
      </c>
      <c r="F28" s="1" t="s">
        <v>2</v>
      </c>
      <c r="G28" s="1" t="s">
        <v>2</v>
      </c>
      <c r="H28" s="1" t="s">
        <v>2</v>
      </c>
    </row>
    <row r="29" ht="12.75" customHeight="1">
      <c r="A29" s="1" t="s">
        <v>70</v>
      </c>
      <c r="B29" s="1">
        <v>1.0</v>
      </c>
      <c r="C29" s="1">
        <v>82.0</v>
      </c>
      <c r="D29" s="1">
        <v>0.0</v>
      </c>
      <c r="E29" s="1" t="s">
        <v>71</v>
      </c>
      <c r="F29" s="1" t="s">
        <v>2</v>
      </c>
      <c r="G29" s="1" t="s">
        <v>72</v>
      </c>
      <c r="H29" s="1" t="s">
        <v>2</v>
      </c>
    </row>
    <row r="30" ht="12.75" customHeight="1">
      <c r="A30" s="1" t="s">
        <v>73</v>
      </c>
      <c r="B30" s="1">
        <v>1.0</v>
      </c>
      <c r="C30" s="1">
        <v>83.0</v>
      </c>
      <c r="D30" s="1">
        <v>0.0</v>
      </c>
      <c r="E30" s="1" t="s">
        <v>74</v>
      </c>
      <c r="F30" s="1" t="s">
        <v>2</v>
      </c>
      <c r="G30" s="1" t="s">
        <v>2</v>
      </c>
      <c r="H30" s="1" t="s">
        <v>2</v>
      </c>
    </row>
    <row r="31" ht="12.75" customHeight="1">
      <c r="A31" s="1" t="s">
        <v>75</v>
      </c>
      <c r="B31" s="1">
        <v>1.0</v>
      </c>
      <c r="C31" s="1">
        <v>84.0</v>
      </c>
      <c r="D31" s="1">
        <v>0.0</v>
      </c>
      <c r="E31" s="1" t="s">
        <v>76</v>
      </c>
      <c r="F31" s="1" t="s">
        <v>2</v>
      </c>
      <c r="G31" s="1" t="s">
        <v>2</v>
      </c>
      <c r="H31" s="1" t="s">
        <v>2</v>
      </c>
    </row>
    <row r="32" ht="12.75" customHeight="1">
      <c r="A32" s="1" t="s">
        <v>77</v>
      </c>
      <c r="B32" s="1">
        <v>1.0</v>
      </c>
      <c r="C32" s="1">
        <v>85.0</v>
      </c>
      <c r="D32" s="1">
        <v>0.0</v>
      </c>
      <c r="E32" s="1" t="s">
        <v>78</v>
      </c>
      <c r="F32" s="1" t="s">
        <v>2</v>
      </c>
      <c r="G32" s="1" t="s">
        <v>2</v>
      </c>
      <c r="H32" s="1" t="s">
        <v>2</v>
      </c>
    </row>
    <row r="33" ht="12.75" customHeight="1">
      <c r="A33" s="1" t="s">
        <v>79</v>
      </c>
      <c r="B33" s="1">
        <v>1.0</v>
      </c>
      <c r="C33" s="1">
        <v>86.0</v>
      </c>
      <c r="D33" s="1">
        <v>0.0</v>
      </c>
      <c r="E33" s="1" t="s">
        <v>80</v>
      </c>
      <c r="F33" s="1" t="s">
        <v>81</v>
      </c>
      <c r="G33" s="1" t="s">
        <v>2</v>
      </c>
      <c r="H33" s="1" t="s">
        <v>82</v>
      </c>
    </row>
    <row r="34" ht="12.75" customHeight="1">
      <c r="A34" s="1" t="s">
        <v>83</v>
      </c>
      <c r="B34" s="1">
        <v>1.0</v>
      </c>
      <c r="C34" s="1">
        <v>87.0</v>
      </c>
      <c r="D34" s="1">
        <v>0.0</v>
      </c>
      <c r="E34" s="1" t="s">
        <v>84</v>
      </c>
      <c r="F34" s="1" t="s">
        <v>85</v>
      </c>
      <c r="G34" s="1" t="s">
        <v>2</v>
      </c>
      <c r="H34" s="1" t="s">
        <v>86</v>
      </c>
    </row>
    <row r="35" ht="12.75" customHeight="1">
      <c r="A35" s="1" t="s">
        <v>87</v>
      </c>
      <c r="B35" s="1">
        <v>1.0</v>
      </c>
      <c r="C35" s="1">
        <v>90.0</v>
      </c>
      <c r="D35" s="1">
        <v>0.0</v>
      </c>
      <c r="E35" s="1" t="s">
        <v>88</v>
      </c>
      <c r="F35" s="1" t="s">
        <v>2</v>
      </c>
      <c r="G35" s="1" t="s">
        <v>2</v>
      </c>
      <c r="H35" s="1" t="s">
        <v>2</v>
      </c>
    </row>
    <row r="36" ht="12.75" customHeight="1">
      <c r="A36" s="1" t="s">
        <v>89</v>
      </c>
      <c r="B36" s="1">
        <v>1.0</v>
      </c>
      <c r="C36" s="1">
        <v>91.0</v>
      </c>
      <c r="D36" s="1">
        <v>0.0</v>
      </c>
      <c r="E36" s="1" t="s">
        <v>90</v>
      </c>
      <c r="F36" s="1" t="s">
        <v>2</v>
      </c>
      <c r="G36" s="1" t="s">
        <v>2</v>
      </c>
      <c r="H36" s="1" t="s">
        <v>2</v>
      </c>
    </row>
    <row r="37" ht="12.75" customHeight="1">
      <c r="A37" s="1" t="s">
        <v>91</v>
      </c>
      <c r="B37" s="1">
        <v>1.0</v>
      </c>
      <c r="C37" s="1">
        <v>92.0</v>
      </c>
      <c r="D37" s="1">
        <v>0.0</v>
      </c>
      <c r="E37" s="1" t="s">
        <v>92</v>
      </c>
      <c r="F37" s="1" t="s">
        <v>2</v>
      </c>
      <c r="G37" s="1" t="s">
        <v>2</v>
      </c>
      <c r="H37" s="1" t="s">
        <v>2</v>
      </c>
    </row>
    <row r="38" ht="12.75" customHeight="1">
      <c r="A38" s="1" t="s">
        <v>93</v>
      </c>
      <c r="B38" s="1">
        <v>1.0</v>
      </c>
      <c r="C38" s="1">
        <v>93.0</v>
      </c>
      <c r="D38" s="1">
        <v>0.0</v>
      </c>
      <c r="E38" s="1" t="s">
        <v>94</v>
      </c>
      <c r="F38" s="1" t="s">
        <v>2</v>
      </c>
      <c r="G38" s="1" t="s">
        <v>2</v>
      </c>
      <c r="H38" s="1" t="s">
        <v>2</v>
      </c>
    </row>
    <row r="39" ht="12.75" customHeight="1">
      <c r="A39" s="1" t="s">
        <v>95</v>
      </c>
      <c r="B39" s="1">
        <v>1.0</v>
      </c>
      <c r="C39" s="1">
        <v>94.0</v>
      </c>
      <c r="D39" s="1">
        <v>0.0</v>
      </c>
      <c r="E39" s="1" t="s">
        <v>96</v>
      </c>
      <c r="F39" s="1" t="s">
        <v>2</v>
      </c>
      <c r="G39" s="1" t="s">
        <v>2</v>
      </c>
      <c r="H39" s="1" t="s">
        <v>2</v>
      </c>
    </row>
    <row r="40" ht="12.75" customHeight="1">
      <c r="A40" s="1" t="s">
        <v>97</v>
      </c>
      <c r="B40" s="1">
        <v>1.0</v>
      </c>
      <c r="C40" s="1">
        <v>95.0</v>
      </c>
      <c r="D40" s="1">
        <v>0.0</v>
      </c>
      <c r="E40" s="1" t="s">
        <v>98</v>
      </c>
      <c r="F40" s="1" t="s">
        <v>2</v>
      </c>
      <c r="G40" s="1" t="s">
        <v>2</v>
      </c>
      <c r="H40" s="1" t="s">
        <v>2</v>
      </c>
    </row>
    <row r="41" ht="12.75" customHeight="1">
      <c r="A41" s="1" t="s">
        <v>99</v>
      </c>
      <c r="B41" s="1">
        <v>1.0</v>
      </c>
      <c r="C41" s="1">
        <v>97.0</v>
      </c>
      <c r="D41" s="1">
        <v>0.0</v>
      </c>
      <c r="E41" s="1" t="s">
        <v>100</v>
      </c>
      <c r="F41" s="1" t="s">
        <v>2</v>
      </c>
      <c r="G41" s="1" t="s">
        <v>101</v>
      </c>
      <c r="H41" s="1" t="s">
        <v>2</v>
      </c>
    </row>
    <row r="42" ht="12.75" customHeight="1">
      <c r="A42" s="1" t="s">
        <v>102</v>
      </c>
      <c r="B42" s="1">
        <v>1.0</v>
      </c>
      <c r="C42" s="1">
        <v>98.0</v>
      </c>
      <c r="D42" s="1">
        <v>0.0</v>
      </c>
      <c r="E42" s="1" t="s">
        <v>103</v>
      </c>
      <c r="F42" s="1" t="s">
        <v>2</v>
      </c>
      <c r="G42" s="1" t="s">
        <v>2</v>
      </c>
      <c r="H42" s="1" t="s">
        <v>2</v>
      </c>
    </row>
    <row r="43" ht="12.75" customHeight="1">
      <c r="A43" s="1" t="s">
        <v>104</v>
      </c>
      <c r="B43" s="1">
        <v>1.0</v>
      </c>
      <c r="C43" s="1">
        <v>99.0</v>
      </c>
      <c r="D43" s="1">
        <v>0.0</v>
      </c>
      <c r="E43" s="1" t="s">
        <v>105</v>
      </c>
      <c r="F43" s="1" t="s">
        <v>2</v>
      </c>
      <c r="G43" s="1" t="s">
        <v>106</v>
      </c>
      <c r="H43" s="1" t="s">
        <v>2</v>
      </c>
    </row>
    <row r="44" ht="12.75" customHeight="1">
      <c r="A44" s="1" t="s">
        <v>107</v>
      </c>
      <c r="B44" s="1">
        <v>1.0</v>
      </c>
      <c r="C44" s="1">
        <v>100.0</v>
      </c>
      <c r="D44" s="1">
        <v>0.0</v>
      </c>
      <c r="E44" s="1" t="s">
        <v>108</v>
      </c>
      <c r="F44" s="1" t="s">
        <v>2</v>
      </c>
      <c r="G44" s="1" t="s">
        <v>2</v>
      </c>
      <c r="H44" s="1" t="s">
        <v>2</v>
      </c>
    </row>
    <row r="45" ht="12.75" customHeight="1">
      <c r="A45" s="1" t="s">
        <v>109</v>
      </c>
      <c r="B45" s="1">
        <v>1.0</v>
      </c>
      <c r="C45" s="1">
        <v>103.0</v>
      </c>
      <c r="D45" s="1">
        <v>0.0</v>
      </c>
      <c r="E45" s="1" t="s">
        <v>110</v>
      </c>
      <c r="F45" s="1" t="s">
        <v>2</v>
      </c>
      <c r="G45" s="1" t="s">
        <v>111</v>
      </c>
      <c r="H45" s="1" t="s">
        <v>2</v>
      </c>
    </row>
    <row r="46" ht="12.75" customHeight="1">
      <c r="A46" s="1" t="s">
        <v>112</v>
      </c>
      <c r="B46" s="1">
        <v>1.0</v>
      </c>
      <c r="C46" s="1">
        <v>104.0</v>
      </c>
      <c r="D46" s="1">
        <v>0.0</v>
      </c>
      <c r="E46" s="1" t="s">
        <v>113</v>
      </c>
      <c r="F46" s="1" t="s">
        <v>2</v>
      </c>
      <c r="G46" s="1" t="s">
        <v>114</v>
      </c>
      <c r="H46" s="1" t="s">
        <v>2</v>
      </c>
    </row>
    <row r="47" ht="12.75" customHeight="1">
      <c r="A47" s="1" t="s">
        <v>115</v>
      </c>
      <c r="B47" s="1">
        <v>1.0</v>
      </c>
      <c r="C47" s="1">
        <v>105.0</v>
      </c>
      <c r="D47" s="1">
        <v>0.0</v>
      </c>
      <c r="E47" s="1" t="s">
        <v>116</v>
      </c>
      <c r="F47" s="1" t="s">
        <v>2</v>
      </c>
      <c r="G47" s="1" t="s">
        <v>117</v>
      </c>
      <c r="H47" s="1" t="s">
        <v>2</v>
      </c>
    </row>
    <row r="48" ht="12.75" customHeight="1">
      <c r="A48" s="1" t="s">
        <v>118</v>
      </c>
      <c r="B48" s="1">
        <v>1.0</v>
      </c>
      <c r="C48" s="1">
        <v>106.0</v>
      </c>
      <c r="D48" s="1">
        <v>0.0</v>
      </c>
      <c r="E48" s="1" t="s">
        <v>119</v>
      </c>
      <c r="F48" s="1" t="s">
        <v>2</v>
      </c>
      <c r="G48" s="1" t="s">
        <v>120</v>
      </c>
      <c r="H48" s="1" t="s">
        <v>2</v>
      </c>
    </row>
    <row r="49" ht="12.75" customHeight="1">
      <c r="A49" s="1" t="s">
        <v>121</v>
      </c>
      <c r="B49" s="1">
        <v>1.0</v>
      </c>
      <c r="C49" s="1">
        <v>107.0</v>
      </c>
      <c r="D49" s="1">
        <v>0.0</v>
      </c>
      <c r="E49" s="1" t="s">
        <v>122</v>
      </c>
      <c r="F49" s="1" t="s">
        <v>2</v>
      </c>
      <c r="G49" s="1" t="s">
        <v>123</v>
      </c>
      <c r="H49" s="1" t="s">
        <v>2</v>
      </c>
    </row>
    <row r="50" ht="12.75" customHeight="1">
      <c r="A50" s="1" t="s">
        <v>124</v>
      </c>
      <c r="B50" s="1">
        <v>1.0</v>
      </c>
      <c r="C50" s="1">
        <v>108.0</v>
      </c>
      <c r="D50" s="1">
        <v>0.0</v>
      </c>
      <c r="E50" s="1" t="s">
        <v>125</v>
      </c>
      <c r="F50" s="1" t="s">
        <v>2</v>
      </c>
      <c r="G50" s="1" t="s">
        <v>126</v>
      </c>
      <c r="H50" s="1" t="s">
        <v>2</v>
      </c>
    </row>
    <row r="51" ht="12.75" customHeight="1">
      <c r="A51" s="1" t="s">
        <v>127</v>
      </c>
      <c r="B51" s="1">
        <v>1.0</v>
      </c>
      <c r="C51" s="1">
        <v>109.0</v>
      </c>
      <c r="D51" s="1">
        <v>0.0</v>
      </c>
      <c r="E51" s="1" t="s">
        <v>128</v>
      </c>
      <c r="F51" s="1" t="s">
        <v>129</v>
      </c>
      <c r="G51" s="1" t="s">
        <v>2</v>
      </c>
      <c r="H51" s="1" t="s">
        <v>130</v>
      </c>
    </row>
    <row r="52" ht="12.75" customHeight="1">
      <c r="A52" s="1" t="s">
        <v>131</v>
      </c>
      <c r="B52" s="1">
        <v>1.0</v>
      </c>
      <c r="C52" s="1">
        <v>110.0</v>
      </c>
      <c r="D52" s="1">
        <v>0.0</v>
      </c>
      <c r="E52" s="1" t="s">
        <v>132</v>
      </c>
      <c r="F52" s="1" t="s">
        <v>133</v>
      </c>
      <c r="G52" s="1" t="s">
        <v>2</v>
      </c>
      <c r="H52" s="1" t="s">
        <v>134</v>
      </c>
    </row>
    <row r="53" ht="12.75" customHeight="1">
      <c r="A53" s="1" t="s">
        <v>135</v>
      </c>
      <c r="B53" s="1">
        <v>1.0</v>
      </c>
      <c r="C53" s="1">
        <v>111.0</v>
      </c>
      <c r="D53" s="1">
        <v>0.0</v>
      </c>
      <c r="E53" s="1" t="s">
        <v>136</v>
      </c>
      <c r="F53" s="1" t="s">
        <v>2</v>
      </c>
      <c r="G53" s="1" t="s">
        <v>2</v>
      </c>
      <c r="H53" s="1" t="s">
        <v>2</v>
      </c>
    </row>
    <row r="54" ht="12.75" customHeight="1">
      <c r="A54" s="1" t="s">
        <v>137</v>
      </c>
      <c r="B54" s="1">
        <v>1.0</v>
      </c>
      <c r="C54" s="1">
        <v>112.0</v>
      </c>
      <c r="D54" s="1">
        <v>0.0</v>
      </c>
      <c r="E54" s="1" t="s">
        <v>138</v>
      </c>
      <c r="F54" s="1" t="s">
        <v>2</v>
      </c>
      <c r="G54" s="1" t="s">
        <v>2</v>
      </c>
      <c r="H54" s="1" t="s">
        <v>2</v>
      </c>
    </row>
    <row r="55" ht="12.75" customHeight="1">
      <c r="A55" s="1" t="s">
        <v>139</v>
      </c>
      <c r="B55" s="1">
        <v>1.0</v>
      </c>
      <c r="C55" s="1">
        <v>113.0</v>
      </c>
      <c r="D55" s="1">
        <v>0.0</v>
      </c>
      <c r="E55" s="1" t="s">
        <v>140</v>
      </c>
      <c r="F55" s="1" t="s">
        <v>141</v>
      </c>
      <c r="G55" s="1" t="s">
        <v>2</v>
      </c>
      <c r="H55" s="1" t="s">
        <v>142</v>
      </c>
    </row>
    <row r="56" ht="12.75" customHeight="1">
      <c r="A56" s="1" t="s">
        <v>143</v>
      </c>
      <c r="B56" s="1">
        <v>1.0</v>
      </c>
      <c r="C56" s="1">
        <v>121.0</v>
      </c>
      <c r="D56" s="1">
        <v>0.0</v>
      </c>
      <c r="E56" s="1" t="s">
        <v>144</v>
      </c>
      <c r="F56" s="1" t="s">
        <v>2</v>
      </c>
      <c r="G56" s="1" t="s">
        <v>2</v>
      </c>
      <c r="H56" s="1" t="s">
        <v>2</v>
      </c>
    </row>
    <row r="57" ht="12.75" customHeight="1">
      <c r="A57" s="1" t="s">
        <v>145</v>
      </c>
      <c r="B57" s="1">
        <v>2.0</v>
      </c>
      <c r="C57" s="1">
        <v>13.0</v>
      </c>
      <c r="D57" s="1">
        <v>0.0</v>
      </c>
      <c r="E57" s="1" t="s">
        <v>146</v>
      </c>
      <c r="F57" s="1" t="s">
        <v>2</v>
      </c>
      <c r="G57" s="1" t="s">
        <v>2</v>
      </c>
      <c r="H57" s="1" t="s">
        <v>2</v>
      </c>
    </row>
    <row r="58" ht="12.75" customHeight="1">
      <c r="A58" s="1" t="s">
        <v>147</v>
      </c>
      <c r="B58" s="1">
        <v>2.0</v>
      </c>
      <c r="C58" s="1">
        <v>14.0</v>
      </c>
      <c r="D58" s="1">
        <v>0.0</v>
      </c>
      <c r="E58" s="1" t="s">
        <v>148</v>
      </c>
      <c r="F58" s="1" t="s">
        <v>2</v>
      </c>
      <c r="G58" s="1" t="s">
        <v>2</v>
      </c>
      <c r="H58" s="1" t="s">
        <v>2</v>
      </c>
    </row>
    <row r="59" ht="12.75" customHeight="1">
      <c r="A59" s="1" t="s">
        <v>149</v>
      </c>
      <c r="B59" s="1">
        <v>2.0</v>
      </c>
      <c r="C59" s="1">
        <v>15.0</v>
      </c>
      <c r="D59" s="1">
        <v>0.0</v>
      </c>
      <c r="E59" s="1" t="s">
        <v>150</v>
      </c>
      <c r="F59" s="1" t="s">
        <v>2</v>
      </c>
      <c r="G59" s="1" t="s">
        <v>2</v>
      </c>
      <c r="H59" s="1" t="s">
        <v>2</v>
      </c>
    </row>
    <row r="60" ht="12.75" customHeight="1">
      <c r="A60" s="1" t="s">
        <v>151</v>
      </c>
      <c r="B60" s="1">
        <v>2.0</v>
      </c>
      <c r="C60" s="1">
        <v>16.0</v>
      </c>
      <c r="D60" s="1">
        <v>0.0</v>
      </c>
      <c r="E60" s="1" t="s">
        <v>152</v>
      </c>
      <c r="F60" s="1" t="s">
        <v>2</v>
      </c>
      <c r="G60" s="1" t="s">
        <v>2</v>
      </c>
      <c r="H60" s="1" t="s">
        <v>2</v>
      </c>
    </row>
    <row r="61" ht="12.75" customHeight="1">
      <c r="A61" s="1" t="s">
        <v>153</v>
      </c>
      <c r="B61" s="1">
        <v>2.0</v>
      </c>
      <c r="C61" s="1">
        <v>17.0</v>
      </c>
      <c r="D61" s="1">
        <v>0.0</v>
      </c>
      <c r="E61" s="1" t="s">
        <v>154</v>
      </c>
      <c r="F61" s="1" t="s">
        <v>2</v>
      </c>
      <c r="G61" s="1" t="s">
        <v>2</v>
      </c>
      <c r="H61" s="1" t="s">
        <v>2</v>
      </c>
    </row>
    <row r="62" ht="12.75" customHeight="1">
      <c r="A62" s="1" t="s">
        <v>155</v>
      </c>
      <c r="B62" s="1">
        <v>2.0</v>
      </c>
      <c r="C62" s="1">
        <v>18.0</v>
      </c>
      <c r="D62" s="1">
        <v>0.0</v>
      </c>
      <c r="E62" s="1" t="s">
        <v>156</v>
      </c>
      <c r="F62" s="1" t="s">
        <v>2</v>
      </c>
      <c r="G62" s="1" t="s">
        <v>2</v>
      </c>
      <c r="H62" s="1" t="s">
        <v>2</v>
      </c>
    </row>
    <row r="63" ht="12.75" customHeight="1">
      <c r="A63" s="1" t="s">
        <v>157</v>
      </c>
      <c r="B63" s="1">
        <v>2.0</v>
      </c>
      <c r="C63" s="1">
        <v>19.0</v>
      </c>
      <c r="D63" s="1">
        <v>0.0</v>
      </c>
      <c r="E63" s="1" t="s">
        <v>158</v>
      </c>
      <c r="F63" s="1" t="s">
        <v>2</v>
      </c>
      <c r="G63" s="1" t="s">
        <v>2</v>
      </c>
      <c r="H63" s="1" t="s">
        <v>2</v>
      </c>
    </row>
    <row r="64" ht="12.75" customHeight="1">
      <c r="A64" s="1" t="s">
        <v>159</v>
      </c>
      <c r="B64" s="1">
        <v>2.0</v>
      </c>
      <c r="C64" s="1">
        <v>20.0</v>
      </c>
      <c r="D64" s="1">
        <v>0.0</v>
      </c>
      <c r="E64" s="1" t="s">
        <v>160</v>
      </c>
      <c r="F64" s="1" t="s">
        <v>2</v>
      </c>
      <c r="G64" s="1" t="s">
        <v>2</v>
      </c>
      <c r="H64" s="1" t="s">
        <v>2</v>
      </c>
    </row>
    <row r="65" ht="12.75" customHeight="1">
      <c r="A65" s="1" t="s">
        <v>161</v>
      </c>
      <c r="B65" s="1">
        <v>2.0</v>
      </c>
      <c r="C65" s="1">
        <v>21.0</v>
      </c>
      <c r="D65" s="1">
        <v>0.0</v>
      </c>
      <c r="E65" s="1" t="s">
        <v>162</v>
      </c>
      <c r="F65" s="1" t="s">
        <v>2</v>
      </c>
      <c r="G65" s="1" t="s">
        <v>2</v>
      </c>
      <c r="H65" s="1" t="s">
        <v>2</v>
      </c>
    </row>
    <row r="66" ht="12.75" customHeight="1">
      <c r="A66" s="1" t="s">
        <v>163</v>
      </c>
      <c r="B66" s="1">
        <v>2.0</v>
      </c>
      <c r="C66" s="1">
        <v>22.0</v>
      </c>
      <c r="D66" s="1">
        <v>0.0</v>
      </c>
      <c r="E66" s="1" t="s">
        <v>164</v>
      </c>
      <c r="F66" s="1" t="s">
        <v>2</v>
      </c>
      <c r="G66" s="1" t="s">
        <v>2</v>
      </c>
      <c r="H66" s="1" t="s">
        <v>2</v>
      </c>
    </row>
    <row r="67" ht="12.75" customHeight="1">
      <c r="A67" s="1" t="s">
        <v>165</v>
      </c>
      <c r="B67" s="1">
        <v>2.0</v>
      </c>
      <c r="C67" s="1">
        <v>23.0</v>
      </c>
      <c r="D67" s="1">
        <v>0.0</v>
      </c>
      <c r="E67" s="1" t="s">
        <v>166</v>
      </c>
      <c r="F67" s="1" t="s">
        <v>2</v>
      </c>
      <c r="G67" s="1" t="s">
        <v>2</v>
      </c>
      <c r="H67" s="1" t="s">
        <v>2</v>
      </c>
    </row>
    <row r="68" ht="12.75" customHeight="1">
      <c r="A68" s="1" t="s">
        <v>167</v>
      </c>
      <c r="B68" s="1">
        <v>2.0</v>
      </c>
      <c r="C68" s="1">
        <v>24.0</v>
      </c>
      <c r="D68" s="1">
        <v>0.0</v>
      </c>
      <c r="E68" s="1" t="s">
        <v>168</v>
      </c>
      <c r="F68" s="1" t="s">
        <v>2</v>
      </c>
      <c r="G68" s="1" t="s">
        <v>2</v>
      </c>
      <c r="H68" s="1" t="s">
        <v>2</v>
      </c>
    </row>
    <row r="69" ht="12.75" customHeight="1">
      <c r="A69" s="1" t="s">
        <v>169</v>
      </c>
      <c r="B69" s="1">
        <v>2.0</v>
      </c>
      <c r="C69" s="1">
        <v>25.0</v>
      </c>
      <c r="D69" s="1">
        <v>0.0</v>
      </c>
      <c r="E69" s="1" t="s">
        <v>170</v>
      </c>
      <c r="F69" s="1" t="s">
        <v>2</v>
      </c>
      <c r="G69" s="1" t="s">
        <v>2</v>
      </c>
      <c r="H69" s="1" t="s">
        <v>2</v>
      </c>
    </row>
    <row r="70" ht="12.75" customHeight="1">
      <c r="A70" s="1" t="s">
        <v>171</v>
      </c>
      <c r="B70" s="1">
        <v>2.0</v>
      </c>
      <c r="C70" s="1">
        <v>26.0</v>
      </c>
      <c r="D70" s="1">
        <v>0.0</v>
      </c>
      <c r="E70" s="1" t="s">
        <v>172</v>
      </c>
      <c r="F70" s="1" t="s">
        <v>2</v>
      </c>
      <c r="G70" s="1" t="s">
        <v>2</v>
      </c>
      <c r="H70" s="1" t="s">
        <v>2</v>
      </c>
    </row>
    <row r="71" ht="12.75" customHeight="1">
      <c r="A71" s="1" t="s">
        <v>173</v>
      </c>
      <c r="B71" s="1">
        <v>3.0</v>
      </c>
      <c r="C71" s="1">
        <v>45.0</v>
      </c>
      <c r="D71" s="1">
        <v>0.0</v>
      </c>
      <c r="E71" s="1" t="s">
        <v>174</v>
      </c>
      <c r="F71" s="1" t="s">
        <v>175</v>
      </c>
      <c r="G71" s="1" t="s">
        <v>176</v>
      </c>
      <c r="H71" s="1" t="s">
        <v>177</v>
      </c>
    </row>
    <row r="72" ht="12.75" customHeight="1">
      <c r="A72" s="1" t="s">
        <v>178</v>
      </c>
      <c r="B72" s="1">
        <v>3.0</v>
      </c>
      <c r="C72" s="1">
        <v>46.0</v>
      </c>
      <c r="D72" s="1">
        <v>0.0</v>
      </c>
      <c r="E72" s="1" t="s">
        <v>179</v>
      </c>
      <c r="F72" s="1" t="s">
        <v>180</v>
      </c>
      <c r="G72" s="1" t="s">
        <v>2</v>
      </c>
      <c r="H72" s="1" t="s">
        <v>181</v>
      </c>
    </row>
    <row r="73" ht="12.75" customHeight="1">
      <c r="A73" s="1" t="s">
        <v>182</v>
      </c>
      <c r="B73" s="1">
        <v>3.0</v>
      </c>
      <c r="C73" s="1">
        <v>47.0</v>
      </c>
      <c r="D73" s="1">
        <v>0.0</v>
      </c>
      <c r="E73" s="1" t="s">
        <v>183</v>
      </c>
      <c r="F73" s="1" t="s">
        <v>184</v>
      </c>
      <c r="G73" s="1" t="s">
        <v>2</v>
      </c>
      <c r="H73" s="1" t="s">
        <v>185</v>
      </c>
    </row>
    <row r="74" ht="12.75" customHeight="1">
      <c r="A74" s="1" t="s">
        <v>186</v>
      </c>
      <c r="B74" s="1">
        <v>3.0</v>
      </c>
      <c r="C74" s="1">
        <v>48.0</v>
      </c>
      <c r="D74" s="1">
        <v>0.0</v>
      </c>
      <c r="E74" s="1" t="s">
        <v>187</v>
      </c>
      <c r="F74" s="1" t="s">
        <v>188</v>
      </c>
      <c r="G74" s="1" t="s">
        <v>2</v>
      </c>
      <c r="H74" s="1" t="s">
        <v>189</v>
      </c>
    </row>
    <row r="75" ht="12.75" customHeight="1">
      <c r="A75" s="1" t="s">
        <v>190</v>
      </c>
      <c r="B75" s="1">
        <v>3.0</v>
      </c>
      <c r="C75" s="1">
        <v>49.0</v>
      </c>
      <c r="D75" s="1">
        <v>0.0</v>
      </c>
      <c r="E75" s="1" t="s">
        <v>191</v>
      </c>
      <c r="F75" s="1" t="s">
        <v>2</v>
      </c>
      <c r="G75" s="1" t="s">
        <v>2</v>
      </c>
      <c r="H75" s="1" t="s">
        <v>2</v>
      </c>
    </row>
    <row r="76" ht="12.75" customHeight="1">
      <c r="A76" s="1" t="s">
        <v>192</v>
      </c>
      <c r="B76" s="1">
        <v>3.0</v>
      </c>
      <c r="C76" s="1">
        <v>54.0</v>
      </c>
      <c r="D76" s="1">
        <v>0.0</v>
      </c>
      <c r="E76" s="1" t="s">
        <v>2</v>
      </c>
      <c r="F76" s="1" t="s">
        <v>193</v>
      </c>
      <c r="G76" s="1" t="s">
        <v>2</v>
      </c>
      <c r="H76" s="1" t="s">
        <v>194</v>
      </c>
    </row>
    <row r="77" ht="12.75" customHeight="1">
      <c r="A77" s="1" t="s">
        <v>195</v>
      </c>
      <c r="B77" s="1">
        <v>3.0</v>
      </c>
      <c r="C77" s="1">
        <v>55.0</v>
      </c>
      <c r="D77" s="1">
        <v>0.0</v>
      </c>
      <c r="E77" s="1" t="s">
        <v>2</v>
      </c>
      <c r="F77" s="1" t="s">
        <v>196</v>
      </c>
      <c r="G77" s="1" t="s">
        <v>2</v>
      </c>
      <c r="H77" s="1" t="s">
        <v>197</v>
      </c>
    </row>
    <row r="78" ht="12.75" customHeight="1">
      <c r="A78" s="1" t="s">
        <v>198</v>
      </c>
      <c r="B78" s="1">
        <v>3.0</v>
      </c>
      <c r="C78" s="1">
        <v>56.0</v>
      </c>
      <c r="D78" s="1">
        <v>0.0</v>
      </c>
      <c r="E78" s="1" t="s">
        <v>199</v>
      </c>
      <c r="F78" s="1" t="s">
        <v>200</v>
      </c>
      <c r="G78" s="1" t="s">
        <v>2</v>
      </c>
      <c r="H78" s="1" t="s">
        <v>201</v>
      </c>
    </row>
    <row r="79" ht="12.75" customHeight="1">
      <c r="A79" s="1" t="s">
        <v>202</v>
      </c>
      <c r="B79" s="1">
        <v>3.0</v>
      </c>
      <c r="C79" s="1">
        <v>57.0</v>
      </c>
      <c r="D79" s="1">
        <v>0.0</v>
      </c>
      <c r="E79" s="1" t="s">
        <v>203</v>
      </c>
      <c r="F79" s="1" t="s">
        <v>204</v>
      </c>
      <c r="G79" s="1" t="s">
        <v>2</v>
      </c>
      <c r="H79" s="1" t="s">
        <v>205</v>
      </c>
    </row>
    <row r="80" ht="12.75" customHeight="1">
      <c r="A80" s="1" t="s">
        <v>206</v>
      </c>
      <c r="B80" s="1">
        <v>3.0</v>
      </c>
      <c r="C80" s="1">
        <v>58.0</v>
      </c>
      <c r="D80" s="1">
        <v>0.0</v>
      </c>
      <c r="E80" s="1" t="s">
        <v>2</v>
      </c>
      <c r="F80" s="1" t="s">
        <v>207</v>
      </c>
      <c r="G80" s="1" t="s">
        <v>2</v>
      </c>
      <c r="H80" s="1" t="s">
        <v>208</v>
      </c>
    </row>
    <row r="81" ht="12.75" customHeight="1">
      <c r="A81" s="1" t="s">
        <v>209</v>
      </c>
      <c r="B81" s="1">
        <v>3.0</v>
      </c>
      <c r="C81" s="1">
        <v>59.0</v>
      </c>
      <c r="D81" s="1">
        <v>0.0</v>
      </c>
      <c r="E81" s="1" t="s">
        <v>2</v>
      </c>
      <c r="F81" s="1" t="s">
        <v>210</v>
      </c>
      <c r="G81" s="1" t="s">
        <v>2</v>
      </c>
      <c r="H81" s="1" t="s">
        <v>211</v>
      </c>
    </row>
    <row r="82" ht="12.75" customHeight="1">
      <c r="A82" s="1" t="s">
        <v>212</v>
      </c>
      <c r="B82" s="1">
        <v>3.0</v>
      </c>
      <c r="C82" s="1">
        <v>60.0</v>
      </c>
      <c r="D82" s="1">
        <v>0.0</v>
      </c>
      <c r="E82" s="1" t="s">
        <v>213</v>
      </c>
      <c r="F82" s="1" t="s">
        <v>214</v>
      </c>
      <c r="G82" s="1" t="s">
        <v>2</v>
      </c>
      <c r="H82" s="1" t="s">
        <v>215</v>
      </c>
    </row>
    <row r="83" ht="12.75" customHeight="1">
      <c r="A83" s="1" t="s">
        <v>216</v>
      </c>
      <c r="B83" s="1">
        <v>3.0</v>
      </c>
      <c r="C83" s="1">
        <v>61.0</v>
      </c>
      <c r="D83" s="1">
        <v>0.0</v>
      </c>
      <c r="E83" s="1" t="s">
        <v>217</v>
      </c>
      <c r="F83" s="1" t="s">
        <v>218</v>
      </c>
      <c r="G83" s="1" t="s">
        <v>2</v>
      </c>
      <c r="H83" s="1" t="s">
        <v>219</v>
      </c>
    </row>
    <row r="84" ht="12.75" customHeight="1">
      <c r="A84" s="1" t="s">
        <v>220</v>
      </c>
      <c r="B84" s="1">
        <v>3.0</v>
      </c>
      <c r="C84" s="1">
        <v>62.0</v>
      </c>
      <c r="D84" s="1">
        <v>0.0</v>
      </c>
      <c r="E84" s="1" t="s">
        <v>2</v>
      </c>
      <c r="F84" s="1" t="s">
        <v>221</v>
      </c>
      <c r="G84" s="1" t="s">
        <v>2</v>
      </c>
      <c r="H84" s="1" t="s">
        <v>222</v>
      </c>
    </row>
    <row r="85" ht="12.75" customHeight="1">
      <c r="A85" s="1" t="s">
        <v>223</v>
      </c>
      <c r="B85" s="1">
        <v>3.0</v>
      </c>
      <c r="C85" s="1">
        <v>63.0</v>
      </c>
      <c r="D85" s="1">
        <v>0.0</v>
      </c>
      <c r="E85" s="1" t="s">
        <v>224</v>
      </c>
      <c r="F85" s="1" t="s">
        <v>2</v>
      </c>
      <c r="G85" s="1" t="s">
        <v>2</v>
      </c>
      <c r="H85" s="1" t="s">
        <v>2</v>
      </c>
    </row>
    <row r="86" ht="12.75" customHeight="1">
      <c r="A86" s="1" t="s">
        <v>225</v>
      </c>
      <c r="B86" s="1">
        <v>3.0</v>
      </c>
      <c r="C86" s="1">
        <v>64.0</v>
      </c>
      <c r="D86" s="1">
        <v>0.0</v>
      </c>
      <c r="E86" s="1" t="s">
        <v>226</v>
      </c>
      <c r="F86" s="1" t="s">
        <v>2</v>
      </c>
      <c r="G86" s="1" t="s">
        <v>227</v>
      </c>
      <c r="H86" s="1" t="s">
        <v>2</v>
      </c>
    </row>
    <row r="87" ht="12.75" customHeight="1">
      <c r="A87" s="1" t="s">
        <v>228</v>
      </c>
      <c r="B87" s="1">
        <v>3.0</v>
      </c>
      <c r="C87" s="1">
        <v>65.0</v>
      </c>
      <c r="D87" s="1">
        <v>0.0</v>
      </c>
      <c r="E87" s="1" t="s">
        <v>2</v>
      </c>
      <c r="F87" s="1" t="s">
        <v>229</v>
      </c>
      <c r="G87" s="1" t="s">
        <v>2</v>
      </c>
      <c r="H87" s="1" t="s">
        <v>230</v>
      </c>
    </row>
    <row r="88" ht="12.75" customHeight="1">
      <c r="A88" s="1" t="s">
        <v>231</v>
      </c>
      <c r="B88" s="1">
        <v>3.0</v>
      </c>
      <c r="C88" s="1">
        <v>19.0</v>
      </c>
      <c r="D88" s="1">
        <v>0.0</v>
      </c>
      <c r="E88" s="1" t="s">
        <v>232</v>
      </c>
      <c r="F88" s="1" t="s">
        <v>2</v>
      </c>
      <c r="G88" s="1" t="s">
        <v>2</v>
      </c>
      <c r="H88" s="1" t="s">
        <v>2</v>
      </c>
    </row>
    <row r="89" ht="12.75" customHeight="1">
      <c r="A89" s="1" t="s">
        <v>233</v>
      </c>
      <c r="B89" s="1">
        <v>3.0</v>
      </c>
      <c r="C89" s="1">
        <v>20.0</v>
      </c>
      <c r="D89" s="1">
        <v>0.0</v>
      </c>
      <c r="E89" s="1" t="s">
        <v>234</v>
      </c>
      <c r="F89" s="1" t="s">
        <v>2</v>
      </c>
      <c r="G89" s="1" t="s">
        <v>2</v>
      </c>
      <c r="H89" s="1" t="s">
        <v>2</v>
      </c>
    </row>
    <row r="90" ht="12.75" customHeight="1">
      <c r="A90" s="1" t="s">
        <v>235</v>
      </c>
      <c r="B90" s="1">
        <v>3.0</v>
      </c>
      <c r="C90" s="1">
        <v>21.0</v>
      </c>
      <c r="D90" s="1">
        <v>0.0</v>
      </c>
      <c r="E90" s="1" t="s">
        <v>236</v>
      </c>
      <c r="F90" s="1" t="s">
        <v>2</v>
      </c>
      <c r="G90" s="1" t="s">
        <v>2</v>
      </c>
      <c r="H90" s="1" t="s">
        <v>2</v>
      </c>
    </row>
    <row r="91" ht="12.75" customHeight="1">
      <c r="A91" s="1" t="s">
        <v>237</v>
      </c>
      <c r="B91" s="1">
        <v>3.0</v>
      </c>
      <c r="C91" s="1">
        <v>22.0</v>
      </c>
      <c r="D91" s="1">
        <v>0.0</v>
      </c>
      <c r="E91" s="1" t="s">
        <v>238</v>
      </c>
      <c r="F91" s="1" t="s">
        <v>239</v>
      </c>
      <c r="G91" s="1" t="s">
        <v>2</v>
      </c>
      <c r="H91" s="1" t="s">
        <v>240</v>
      </c>
    </row>
    <row r="92" ht="12.75" customHeight="1">
      <c r="A92" s="1" t="s">
        <v>241</v>
      </c>
      <c r="B92" s="1">
        <v>3.0</v>
      </c>
      <c r="C92" s="1">
        <v>23.0</v>
      </c>
      <c r="D92" s="1">
        <v>0.0</v>
      </c>
      <c r="E92" s="1" t="s">
        <v>242</v>
      </c>
      <c r="F92" s="1" t="s">
        <v>2</v>
      </c>
      <c r="G92" s="1" t="s">
        <v>2</v>
      </c>
      <c r="H92" s="1" t="s">
        <v>2</v>
      </c>
    </row>
    <row r="93" ht="12.75" customHeight="1">
      <c r="A93" s="1" t="s">
        <v>243</v>
      </c>
      <c r="B93" s="1">
        <v>3.0</v>
      </c>
      <c r="C93" s="1">
        <v>24.0</v>
      </c>
      <c r="D93" s="1">
        <v>0.0</v>
      </c>
      <c r="E93" s="1" t="s">
        <v>244</v>
      </c>
      <c r="F93" s="1" t="s">
        <v>245</v>
      </c>
      <c r="G93" s="1" t="s">
        <v>2</v>
      </c>
      <c r="H93" s="1" t="s">
        <v>246</v>
      </c>
    </row>
    <row r="94" ht="12.75" customHeight="1">
      <c r="A94" s="1" t="s">
        <v>247</v>
      </c>
      <c r="B94" s="1">
        <v>3.0</v>
      </c>
      <c r="C94" s="1">
        <v>25.0</v>
      </c>
      <c r="D94" s="1">
        <v>0.0</v>
      </c>
      <c r="E94" s="1" t="s">
        <v>248</v>
      </c>
      <c r="F94" s="1" t="s">
        <v>2</v>
      </c>
      <c r="G94" s="1" t="s">
        <v>2</v>
      </c>
      <c r="H94" s="1" t="s">
        <v>2</v>
      </c>
    </row>
    <row r="95" ht="12.75" customHeight="1">
      <c r="A95" s="1" t="s">
        <v>249</v>
      </c>
      <c r="B95" s="1">
        <v>3.0</v>
      </c>
      <c r="C95" s="1">
        <v>26.0</v>
      </c>
      <c r="D95" s="1">
        <v>0.0</v>
      </c>
      <c r="E95" s="1" t="s">
        <v>250</v>
      </c>
      <c r="F95" s="1" t="s">
        <v>2</v>
      </c>
      <c r="G95" s="1" t="s">
        <v>2</v>
      </c>
      <c r="H95" s="1" t="s">
        <v>2</v>
      </c>
    </row>
    <row r="96" ht="12.75" customHeight="1">
      <c r="A96" s="1" t="s">
        <v>251</v>
      </c>
      <c r="B96" s="1">
        <v>3.0</v>
      </c>
      <c r="C96" s="1">
        <v>27.0</v>
      </c>
      <c r="D96" s="1">
        <v>0.0</v>
      </c>
      <c r="E96" s="1" t="s">
        <v>252</v>
      </c>
      <c r="F96" s="1" t="s">
        <v>2</v>
      </c>
      <c r="G96" s="1" t="s">
        <v>2</v>
      </c>
      <c r="H96" s="1" t="s">
        <v>2</v>
      </c>
    </row>
    <row r="97" ht="12.75" customHeight="1">
      <c r="A97" s="1" t="s">
        <v>253</v>
      </c>
      <c r="B97" s="1">
        <v>3.0</v>
      </c>
      <c r="C97" s="1">
        <v>28.0</v>
      </c>
      <c r="D97" s="1">
        <v>0.0</v>
      </c>
      <c r="E97" s="1" t="s">
        <v>254</v>
      </c>
      <c r="F97" s="1" t="s">
        <v>255</v>
      </c>
      <c r="G97" s="1" t="s">
        <v>2</v>
      </c>
      <c r="H97" s="1" t="s">
        <v>256</v>
      </c>
    </row>
    <row r="98" ht="12.75" customHeight="1">
      <c r="A98" s="1" t="s">
        <v>257</v>
      </c>
      <c r="B98" s="1">
        <v>3.0</v>
      </c>
      <c r="C98" s="1">
        <v>29.0</v>
      </c>
      <c r="D98" s="1">
        <v>0.0</v>
      </c>
      <c r="E98" s="1" t="s">
        <v>258</v>
      </c>
      <c r="F98" s="1" t="s">
        <v>259</v>
      </c>
      <c r="G98" s="1" t="s">
        <v>2</v>
      </c>
      <c r="H98" s="1" t="s">
        <v>260</v>
      </c>
    </row>
    <row r="99" ht="12.75" customHeight="1">
      <c r="A99" s="1" t="s">
        <v>261</v>
      </c>
      <c r="B99" s="1">
        <v>3.0</v>
      </c>
      <c r="C99" s="1">
        <v>30.0</v>
      </c>
      <c r="D99" s="1">
        <v>0.0</v>
      </c>
      <c r="E99" s="1" t="s">
        <v>262</v>
      </c>
      <c r="F99" s="1" t="s">
        <v>263</v>
      </c>
      <c r="G99" s="1" t="s">
        <v>2</v>
      </c>
      <c r="H99" s="1" t="s">
        <v>264</v>
      </c>
    </row>
    <row r="100" ht="12.75" customHeight="1">
      <c r="A100" s="1" t="s">
        <v>265</v>
      </c>
      <c r="B100" s="1">
        <v>3.0</v>
      </c>
      <c r="C100" s="1">
        <v>31.0</v>
      </c>
      <c r="D100" s="1">
        <v>0.0</v>
      </c>
      <c r="E100" s="1" t="s">
        <v>266</v>
      </c>
      <c r="F100" s="1" t="s">
        <v>267</v>
      </c>
      <c r="G100" s="1" t="s">
        <v>2</v>
      </c>
      <c r="H100" s="1" t="s">
        <v>268</v>
      </c>
    </row>
    <row r="101" ht="12.75" customHeight="1">
      <c r="A101" s="1" t="s">
        <v>269</v>
      </c>
      <c r="B101" s="1">
        <v>3.0</v>
      </c>
      <c r="C101" s="1">
        <v>32.0</v>
      </c>
      <c r="D101" s="1">
        <v>0.0</v>
      </c>
      <c r="E101" s="1" t="s">
        <v>270</v>
      </c>
      <c r="F101" s="1" t="s">
        <v>2</v>
      </c>
      <c r="G101" s="1" t="s">
        <v>2</v>
      </c>
      <c r="H101" s="1" t="s">
        <v>2</v>
      </c>
    </row>
    <row r="102" ht="12.75" customHeight="1">
      <c r="A102" s="1" t="s">
        <v>271</v>
      </c>
      <c r="B102" s="1">
        <v>3.0</v>
      </c>
      <c r="C102" s="1">
        <v>33.0</v>
      </c>
      <c r="D102" s="1">
        <v>0.0</v>
      </c>
      <c r="E102" s="1" t="s">
        <v>272</v>
      </c>
      <c r="F102" s="1" t="s">
        <v>2</v>
      </c>
      <c r="G102" s="1" t="s">
        <v>2</v>
      </c>
      <c r="H102" s="1" t="s">
        <v>2</v>
      </c>
    </row>
    <row r="103" ht="12.75" customHeight="1">
      <c r="A103" s="1" t="s">
        <v>273</v>
      </c>
      <c r="B103" s="1">
        <v>3.0</v>
      </c>
      <c r="C103" s="1">
        <v>34.0</v>
      </c>
      <c r="D103" s="1">
        <v>0.0</v>
      </c>
      <c r="E103" s="1" t="s">
        <v>274</v>
      </c>
      <c r="F103" s="1" t="s">
        <v>2</v>
      </c>
      <c r="G103" s="1" t="s">
        <v>2</v>
      </c>
      <c r="H103" s="1" t="s">
        <v>2</v>
      </c>
    </row>
    <row r="104" ht="12.75" customHeight="1">
      <c r="A104" s="1" t="s">
        <v>275</v>
      </c>
      <c r="B104" s="1">
        <v>3.0</v>
      </c>
      <c r="C104" s="1">
        <v>35.0</v>
      </c>
      <c r="D104" s="1">
        <v>0.0</v>
      </c>
      <c r="E104" s="1" t="s">
        <v>276</v>
      </c>
      <c r="F104" s="1" t="s">
        <v>2</v>
      </c>
      <c r="G104" s="1" t="s">
        <v>2</v>
      </c>
      <c r="H104" s="1" t="s">
        <v>2</v>
      </c>
    </row>
    <row r="105" ht="12.75" customHeight="1">
      <c r="A105" s="1" t="s">
        <v>277</v>
      </c>
      <c r="B105" s="1">
        <v>3.0</v>
      </c>
      <c r="C105" s="1">
        <v>36.0</v>
      </c>
      <c r="D105" s="1">
        <v>0.0</v>
      </c>
      <c r="E105" s="1" t="s">
        <v>278</v>
      </c>
      <c r="F105" s="1" t="s">
        <v>2</v>
      </c>
      <c r="G105" s="1" t="s">
        <v>2</v>
      </c>
      <c r="H105" s="1" t="s">
        <v>2</v>
      </c>
    </row>
    <row r="106" ht="12.75" customHeight="1">
      <c r="A106" s="1" t="s">
        <v>279</v>
      </c>
      <c r="B106" s="1">
        <v>3.0</v>
      </c>
      <c r="C106" s="1">
        <v>37.0</v>
      </c>
      <c r="D106" s="1">
        <v>0.0</v>
      </c>
      <c r="E106" s="1" t="s">
        <v>2</v>
      </c>
      <c r="F106" s="1" t="s">
        <v>280</v>
      </c>
      <c r="G106" s="1" t="s">
        <v>2</v>
      </c>
      <c r="H106" s="1" t="s">
        <v>281</v>
      </c>
    </row>
    <row r="107" ht="12.75" customHeight="1">
      <c r="A107" s="1" t="s">
        <v>282</v>
      </c>
      <c r="B107" s="1">
        <v>3.0</v>
      </c>
      <c r="C107" s="1">
        <v>38.0</v>
      </c>
      <c r="D107" s="1">
        <v>0.0</v>
      </c>
      <c r="E107" s="1" t="s">
        <v>2</v>
      </c>
      <c r="F107" s="1" t="s">
        <v>283</v>
      </c>
      <c r="G107" s="1" t="s">
        <v>2</v>
      </c>
      <c r="H107" s="1" t="s">
        <v>284</v>
      </c>
    </row>
    <row r="108" ht="12.75" customHeight="1">
      <c r="A108" s="1" t="s">
        <v>285</v>
      </c>
      <c r="B108" s="1">
        <v>3.0</v>
      </c>
      <c r="C108" s="1">
        <v>39.0</v>
      </c>
      <c r="D108" s="1">
        <v>0.0</v>
      </c>
      <c r="E108" s="1" t="s">
        <v>286</v>
      </c>
      <c r="F108" s="1" t="s">
        <v>287</v>
      </c>
      <c r="G108" s="1" t="s">
        <v>2</v>
      </c>
      <c r="H108" s="1" t="s">
        <v>288</v>
      </c>
    </row>
    <row r="109" ht="12.75" customHeight="1">
      <c r="A109" s="1" t="s">
        <v>289</v>
      </c>
      <c r="B109" s="1">
        <v>3.0</v>
      </c>
      <c r="C109" s="1">
        <v>40.0</v>
      </c>
      <c r="D109" s="1">
        <v>0.0</v>
      </c>
      <c r="E109" s="1" t="s">
        <v>290</v>
      </c>
      <c r="F109" s="1" t="s">
        <v>291</v>
      </c>
      <c r="G109" s="1" t="s">
        <v>2</v>
      </c>
      <c r="H109" s="1" t="s">
        <v>292</v>
      </c>
    </row>
    <row r="110" ht="12.75" customHeight="1">
      <c r="A110" s="1" t="s">
        <v>293</v>
      </c>
      <c r="B110" s="1">
        <v>3.0</v>
      </c>
      <c r="C110" s="1">
        <v>41.0</v>
      </c>
      <c r="D110" s="1">
        <v>0.0</v>
      </c>
      <c r="E110" s="1" t="s">
        <v>294</v>
      </c>
      <c r="F110" s="1" t="s">
        <v>295</v>
      </c>
      <c r="G110" s="1" t="s">
        <v>2</v>
      </c>
      <c r="H110" s="1" t="s">
        <v>296</v>
      </c>
    </row>
    <row r="111" ht="12.75" customHeight="1">
      <c r="A111" s="1" t="s">
        <v>297</v>
      </c>
      <c r="B111" s="1">
        <v>3.0</v>
      </c>
      <c r="C111" s="1">
        <v>42.0</v>
      </c>
      <c r="D111" s="1">
        <v>0.0</v>
      </c>
      <c r="E111" s="1" t="s">
        <v>298</v>
      </c>
      <c r="F111" s="1" t="s">
        <v>299</v>
      </c>
      <c r="G111" s="1" t="s">
        <v>2</v>
      </c>
      <c r="H111" s="1" t="s">
        <v>300</v>
      </c>
    </row>
    <row r="112" ht="12.75" customHeight="1">
      <c r="A112" s="1" t="s">
        <v>301</v>
      </c>
      <c r="B112" s="1">
        <v>3.0</v>
      </c>
      <c r="C112" s="1">
        <v>43.0</v>
      </c>
      <c r="D112" s="1">
        <v>0.0</v>
      </c>
      <c r="E112" s="1" t="s">
        <v>302</v>
      </c>
      <c r="F112" s="1" t="s">
        <v>303</v>
      </c>
      <c r="G112" s="1" t="s">
        <v>2</v>
      </c>
      <c r="H112" s="1" t="s">
        <v>304</v>
      </c>
    </row>
    <row r="113" ht="12.75" customHeight="1">
      <c r="A113" s="1" t="s">
        <v>305</v>
      </c>
      <c r="B113" s="1">
        <v>3.0</v>
      </c>
      <c r="C113" s="1">
        <v>44.0</v>
      </c>
      <c r="D113" s="1">
        <v>0.0</v>
      </c>
      <c r="E113" s="1" t="s">
        <v>306</v>
      </c>
      <c r="F113" s="1" t="s">
        <v>307</v>
      </c>
      <c r="G113" s="1" t="s">
        <v>2</v>
      </c>
      <c r="H113" s="1" t="s">
        <v>308</v>
      </c>
    </row>
    <row r="114" ht="12.75" customHeight="1">
      <c r="A114" s="1" t="s">
        <v>309</v>
      </c>
      <c r="B114" s="1">
        <v>3.0</v>
      </c>
      <c r="C114" s="1">
        <v>0.0</v>
      </c>
      <c r="D114" s="1">
        <v>0.0</v>
      </c>
      <c r="E114" s="1" t="s">
        <v>2</v>
      </c>
      <c r="F114" s="1" t="s">
        <v>310</v>
      </c>
      <c r="G114" s="1" t="s">
        <v>2</v>
      </c>
      <c r="H114" s="1" t="s">
        <v>311</v>
      </c>
    </row>
    <row r="115" ht="12.75" customHeight="1">
      <c r="A115" s="1" t="s">
        <v>312</v>
      </c>
      <c r="B115" s="1">
        <v>3.0</v>
      </c>
      <c r="C115" s="1">
        <v>1.0</v>
      </c>
      <c r="D115" s="1">
        <v>0.0</v>
      </c>
      <c r="E115" s="1" t="s">
        <v>2</v>
      </c>
      <c r="F115" s="1" t="s">
        <v>313</v>
      </c>
      <c r="G115" s="1" t="s">
        <v>2</v>
      </c>
      <c r="H115" s="1" t="s">
        <v>314</v>
      </c>
    </row>
    <row r="116" ht="12.75" customHeight="1">
      <c r="A116" s="1" t="s">
        <v>315</v>
      </c>
      <c r="B116" s="1">
        <v>3.0</v>
      </c>
      <c r="C116" s="1">
        <v>3.0</v>
      </c>
      <c r="D116" s="1">
        <v>0.0</v>
      </c>
      <c r="E116" s="1" t="s">
        <v>2</v>
      </c>
      <c r="F116" s="1" t="s">
        <v>316</v>
      </c>
      <c r="G116" s="1" t="s">
        <v>2</v>
      </c>
      <c r="H116" s="1" t="s">
        <v>317</v>
      </c>
    </row>
    <row r="117" ht="12.75" customHeight="1">
      <c r="A117" s="1" t="s">
        <v>318</v>
      </c>
      <c r="B117" s="1">
        <v>3.0</v>
      </c>
      <c r="C117" s="1">
        <v>5.0</v>
      </c>
      <c r="D117" s="1">
        <v>0.0</v>
      </c>
      <c r="E117" s="1" t="s">
        <v>2</v>
      </c>
      <c r="F117" s="1" t="s">
        <v>319</v>
      </c>
      <c r="G117" s="1" t="s">
        <v>2</v>
      </c>
      <c r="H117" s="1" t="s">
        <v>320</v>
      </c>
    </row>
    <row r="118" ht="12.75" customHeight="1">
      <c r="A118" s="1" t="s">
        <v>321</v>
      </c>
      <c r="B118" s="1">
        <v>3.0</v>
      </c>
      <c r="C118" s="1">
        <v>6.0</v>
      </c>
      <c r="D118" s="1">
        <v>0.0</v>
      </c>
      <c r="E118" s="1" t="s">
        <v>2</v>
      </c>
      <c r="F118" s="1" t="s">
        <v>322</v>
      </c>
      <c r="G118" s="1" t="s">
        <v>2</v>
      </c>
      <c r="H118" s="1" t="s">
        <v>323</v>
      </c>
    </row>
    <row r="119" ht="12.75" customHeight="1">
      <c r="A119" s="1" t="s">
        <v>324</v>
      </c>
      <c r="B119" s="1">
        <v>3.0</v>
      </c>
      <c r="C119" s="1">
        <v>7.0</v>
      </c>
      <c r="D119" s="1">
        <v>0.0</v>
      </c>
      <c r="E119" s="1" t="s">
        <v>2</v>
      </c>
      <c r="F119" s="1" t="s">
        <v>325</v>
      </c>
      <c r="G119" s="1" t="s">
        <v>2</v>
      </c>
      <c r="H119" s="1" t="s">
        <v>326</v>
      </c>
    </row>
    <row r="120" ht="12.75" customHeight="1">
      <c r="A120" s="1" t="s">
        <v>327</v>
      </c>
      <c r="B120" s="1">
        <v>3.0</v>
      </c>
      <c r="C120" s="1">
        <v>8.0</v>
      </c>
      <c r="D120" s="1">
        <v>0.0</v>
      </c>
      <c r="E120" s="1" t="s">
        <v>2</v>
      </c>
      <c r="F120" s="1" t="s">
        <v>328</v>
      </c>
      <c r="G120" s="1" t="s">
        <v>2</v>
      </c>
      <c r="H120" s="1" t="s">
        <v>329</v>
      </c>
    </row>
    <row r="121" ht="12.75" customHeight="1">
      <c r="A121" s="1" t="s">
        <v>330</v>
      </c>
      <c r="B121" s="1">
        <v>3.0</v>
      </c>
      <c r="C121" s="1">
        <v>12.0</v>
      </c>
      <c r="D121" s="1">
        <v>0.0</v>
      </c>
      <c r="E121" s="1" t="s">
        <v>2</v>
      </c>
      <c r="F121" s="1" t="s">
        <v>331</v>
      </c>
      <c r="G121" s="1" t="s">
        <v>2</v>
      </c>
      <c r="H121" s="1" t="s">
        <v>332</v>
      </c>
    </row>
    <row r="122" ht="12.75" customHeight="1">
      <c r="A122" s="1" t="s">
        <v>333</v>
      </c>
      <c r="B122" s="1">
        <v>3.0</v>
      </c>
      <c r="C122" s="1">
        <v>15.0</v>
      </c>
      <c r="D122" s="1">
        <v>0.0</v>
      </c>
      <c r="E122" s="1" t="s">
        <v>2</v>
      </c>
      <c r="F122" s="1" t="s">
        <v>334</v>
      </c>
      <c r="G122" s="1" t="s">
        <v>2</v>
      </c>
      <c r="H122" s="1" t="s">
        <v>335</v>
      </c>
    </row>
    <row r="123" ht="12.75" customHeight="1">
      <c r="A123" s="1" t="s">
        <v>336</v>
      </c>
      <c r="B123" s="1">
        <v>3.0</v>
      </c>
      <c r="C123" s="1">
        <v>16.0</v>
      </c>
      <c r="D123" s="1">
        <v>0.0</v>
      </c>
      <c r="E123" s="1" t="s">
        <v>2</v>
      </c>
      <c r="F123" s="1" t="s">
        <v>337</v>
      </c>
      <c r="G123" s="1" t="s">
        <v>2</v>
      </c>
      <c r="H123" s="1" t="s">
        <v>338</v>
      </c>
    </row>
    <row r="124" ht="12.75" customHeight="1">
      <c r="A124" s="1" t="s">
        <v>339</v>
      </c>
      <c r="B124" s="1">
        <v>1.0</v>
      </c>
      <c r="C124" s="1">
        <v>122.0</v>
      </c>
      <c r="D124" s="1">
        <v>0.0</v>
      </c>
      <c r="E124" s="1" t="s">
        <v>340</v>
      </c>
      <c r="F124" s="1" t="s">
        <v>2</v>
      </c>
      <c r="G124" s="1" t="s">
        <v>2</v>
      </c>
      <c r="H124" s="1" t="s">
        <v>2</v>
      </c>
      <c r="I124" s="1" t="str">
        <f t="shared" ref="I124:I132" si="1">DEC2HEX(C124)</f>
        <v>7A</v>
      </c>
    </row>
    <row r="125" ht="12.75" customHeight="1">
      <c r="A125" s="1" t="s">
        <v>341</v>
      </c>
      <c r="B125" s="1">
        <v>1.0</v>
      </c>
      <c r="C125" s="1">
        <v>122.0</v>
      </c>
      <c r="D125" s="1">
        <v>0.0</v>
      </c>
      <c r="E125" s="1" t="s">
        <v>342</v>
      </c>
      <c r="F125" s="1" t="s">
        <v>2</v>
      </c>
      <c r="G125" s="1" t="s">
        <v>2</v>
      </c>
      <c r="H125" s="1" t="s">
        <v>2</v>
      </c>
      <c r="I125" s="1" t="str">
        <f t="shared" si="1"/>
        <v>7A</v>
      </c>
    </row>
    <row r="126" ht="12.75" customHeight="1">
      <c r="A126" s="1" t="s">
        <v>343</v>
      </c>
      <c r="B126" s="1">
        <v>1.0</v>
      </c>
      <c r="C126" s="1">
        <v>122.0</v>
      </c>
      <c r="D126" s="1">
        <v>0.0</v>
      </c>
      <c r="E126" s="1" t="s">
        <v>344</v>
      </c>
      <c r="F126" s="1" t="s">
        <v>2</v>
      </c>
      <c r="G126" s="1" t="s">
        <v>2</v>
      </c>
      <c r="H126" s="1" t="s">
        <v>2</v>
      </c>
      <c r="I126" s="1" t="str">
        <f t="shared" si="1"/>
        <v>7A</v>
      </c>
    </row>
    <row r="127" ht="12.75" customHeight="1">
      <c r="A127" s="1" t="s">
        <v>345</v>
      </c>
      <c r="B127" s="1">
        <v>1.0</v>
      </c>
      <c r="C127" s="1">
        <v>122.0</v>
      </c>
      <c r="D127" s="1">
        <v>0.0</v>
      </c>
      <c r="E127" s="1" t="s">
        <v>346</v>
      </c>
      <c r="F127" s="1" t="s">
        <v>2</v>
      </c>
      <c r="G127" s="1" t="s">
        <v>2</v>
      </c>
      <c r="H127" s="1" t="s">
        <v>2</v>
      </c>
      <c r="I127" s="1" t="str">
        <f t="shared" si="1"/>
        <v>7A</v>
      </c>
    </row>
    <row r="128" ht="12.75" customHeight="1">
      <c r="A128" s="1" t="s">
        <v>347</v>
      </c>
      <c r="B128" s="1">
        <v>1.0</v>
      </c>
      <c r="C128" s="1">
        <v>122.0</v>
      </c>
      <c r="D128" s="1">
        <v>0.0</v>
      </c>
      <c r="E128" s="1" t="s">
        <v>348</v>
      </c>
      <c r="F128" s="1" t="s">
        <v>2</v>
      </c>
      <c r="G128" s="1" t="s">
        <v>2</v>
      </c>
      <c r="H128" s="1" t="s">
        <v>2</v>
      </c>
      <c r="I128" s="1" t="str">
        <f t="shared" si="1"/>
        <v>7A</v>
      </c>
    </row>
    <row r="129" ht="12.75" customHeight="1">
      <c r="A129" s="1" t="s">
        <v>349</v>
      </c>
      <c r="B129" s="1">
        <v>1.0</v>
      </c>
      <c r="C129" s="1">
        <v>122.0</v>
      </c>
      <c r="D129" s="1">
        <v>0.0</v>
      </c>
      <c r="E129" s="1" t="s">
        <v>350</v>
      </c>
      <c r="F129" s="1" t="s">
        <v>2</v>
      </c>
      <c r="G129" s="1" t="s">
        <v>2</v>
      </c>
      <c r="H129" s="1" t="s">
        <v>2</v>
      </c>
      <c r="I129" s="1" t="str">
        <f t="shared" si="1"/>
        <v>7A</v>
      </c>
    </row>
    <row r="130" ht="12.75" customHeight="1">
      <c r="A130" s="1" t="s">
        <v>351</v>
      </c>
      <c r="B130" s="1">
        <v>1.0</v>
      </c>
      <c r="C130" s="1">
        <v>122.0</v>
      </c>
      <c r="D130" s="1">
        <v>0.0</v>
      </c>
      <c r="E130" s="1" t="s">
        <v>352</v>
      </c>
      <c r="F130" s="1" t="s">
        <v>2</v>
      </c>
      <c r="G130" s="1" t="s">
        <v>2</v>
      </c>
      <c r="H130" s="1" t="s">
        <v>2</v>
      </c>
      <c r="I130" s="1" t="str">
        <f t="shared" si="1"/>
        <v>7A</v>
      </c>
    </row>
    <row r="131" ht="12.75" customHeight="1">
      <c r="A131" s="1" t="s">
        <v>353</v>
      </c>
      <c r="B131" s="1">
        <v>1.0</v>
      </c>
      <c r="C131" s="1">
        <v>122.0</v>
      </c>
      <c r="D131" s="1">
        <v>0.0</v>
      </c>
      <c r="E131" s="1" t="s">
        <v>354</v>
      </c>
      <c r="F131" s="1" t="s">
        <v>2</v>
      </c>
      <c r="G131" s="1" t="s">
        <v>2</v>
      </c>
      <c r="H131" s="1" t="s">
        <v>2</v>
      </c>
      <c r="I131" s="1" t="str">
        <f t="shared" si="1"/>
        <v>7A</v>
      </c>
    </row>
    <row r="132" ht="12.75" customHeight="1">
      <c r="A132" s="1" t="s">
        <v>355</v>
      </c>
      <c r="B132" s="1">
        <v>1.0</v>
      </c>
      <c r="C132" s="1">
        <v>122.0</v>
      </c>
      <c r="D132" s="1">
        <v>0.0</v>
      </c>
      <c r="E132" s="1" t="s">
        <v>356</v>
      </c>
      <c r="F132" s="1" t="s">
        <v>2</v>
      </c>
      <c r="G132" s="1" t="s">
        <v>2</v>
      </c>
      <c r="H132" s="1" t="s">
        <v>2</v>
      </c>
      <c r="I132" s="1" t="str">
        <f t="shared" si="1"/>
        <v>7A</v>
      </c>
    </row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25" footer="0.0" header="0.0" left="0.7875" right="0.7875" top="1.025"/>
  <pageSetup orientation="portrait"/>
  <headerFooter>
    <oddHeader>&amp;C&amp;A</oddHeader>
    <oddFooter>&amp;CPage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6" width="11.63"/>
  </cols>
  <sheetData>
    <row r="1" ht="12.75" customHeight="1">
      <c r="A1" s="1" t="s">
        <v>357</v>
      </c>
    </row>
    <row r="2" ht="12.75" customHeight="1">
      <c r="A2" s="1" t="s">
        <v>358</v>
      </c>
    </row>
    <row r="3" ht="12.75" customHeight="1">
      <c r="A3" s="1" t="s">
        <v>359</v>
      </c>
    </row>
    <row r="4" ht="12.75" customHeight="1"/>
    <row r="5" ht="12.75" customHeight="1">
      <c r="A5" s="1" t="s">
        <v>360</v>
      </c>
    </row>
    <row r="6" ht="12.75" customHeight="1">
      <c r="A6" s="1" t="s">
        <v>359</v>
      </c>
    </row>
    <row r="7" ht="12.75" customHeight="1">
      <c r="A7" s="1" t="s">
        <v>359</v>
      </c>
    </row>
    <row r="8" ht="12.75" customHeight="1">
      <c r="A8" s="1" t="s">
        <v>359</v>
      </c>
    </row>
    <row r="9" ht="12.75" customHeight="1">
      <c r="A9" s="1" t="s">
        <v>359</v>
      </c>
    </row>
    <row r="10" ht="12.75" customHeight="1"/>
    <row r="11" ht="12.75" customHeight="1">
      <c r="A11" s="1" t="s">
        <v>361</v>
      </c>
    </row>
    <row r="12" ht="12.75" customHeight="1">
      <c r="A12" s="1" t="s">
        <v>359</v>
      </c>
    </row>
    <row r="13" ht="12.75" customHeight="1">
      <c r="A13" s="1" t="s">
        <v>359</v>
      </c>
    </row>
    <row r="14" ht="12.75" customHeight="1"/>
    <row r="15" ht="12.75" customHeight="1">
      <c r="A15" s="1" t="s">
        <v>362</v>
      </c>
    </row>
    <row r="16" ht="12.75" customHeight="1">
      <c r="A16" s="1" t="s">
        <v>359</v>
      </c>
    </row>
    <row r="17" ht="12.75" customHeight="1">
      <c r="A17" s="1" t="s">
        <v>359</v>
      </c>
    </row>
    <row r="18" ht="12.75" customHeight="1"/>
    <row r="19" ht="12.75" customHeight="1">
      <c r="A19" s="1" t="s">
        <v>363</v>
      </c>
    </row>
    <row r="20" ht="12.75" customHeight="1">
      <c r="A20" s="1" t="s">
        <v>359</v>
      </c>
    </row>
    <row r="21" ht="12.75" customHeight="1">
      <c r="A21" s="1" t="s">
        <v>364</v>
      </c>
    </row>
    <row r="22" ht="12.75" customHeight="1">
      <c r="A22" s="1" t="s">
        <v>365</v>
      </c>
    </row>
    <row r="23" ht="12.75" customHeight="1">
      <c r="A23" s="1" t="s">
        <v>358</v>
      </c>
    </row>
    <row r="24" ht="12.75" customHeight="1">
      <c r="A24" s="1" t="s">
        <v>359</v>
      </c>
    </row>
    <row r="25" ht="12.75" customHeight="1"/>
    <row r="26" ht="12.75" customHeight="1">
      <c r="A26" s="1" t="s">
        <v>360</v>
      </c>
    </row>
    <row r="27" ht="12.75" customHeight="1">
      <c r="A27" s="1" t="s">
        <v>359</v>
      </c>
    </row>
    <row r="28" ht="12.75" customHeight="1">
      <c r="A28" s="1" t="s">
        <v>359</v>
      </c>
    </row>
    <row r="29" ht="12.75" customHeight="1">
      <c r="A29" s="1" t="s">
        <v>359</v>
      </c>
    </row>
    <row r="30" ht="12.75" customHeight="1">
      <c r="A30" s="1" t="s">
        <v>359</v>
      </c>
    </row>
    <row r="31" ht="12.75" customHeight="1"/>
    <row r="32" ht="12.75" customHeight="1">
      <c r="A32" s="1" t="s">
        <v>361</v>
      </c>
    </row>
    <row r="33" ht="12.75" customHeight="1">
      <c r="A33" s="1" t="s">
        <v>359</v>
      </c>
    </row>
    <row r="34" ht="12.75" customHeight="1">
      <c r="A34" s="1" t="s">
        <v>359</v>
      </c>
    </row>
    <row r="35" ht="12.75" customHeight="1"/>
    <row r="36" ht="12.75" customHeight="1">
      <c r="A36" s="1" t="s">
        <v>362</v>
      </c>
    </row>
    <row r="37" ht="12.75" customHeight="1">
      <c r="A37" s="1" t="s">
        <v>359</v>
      </c>
    </row>
    <row r="38" ht="12.75" customHeight="1">
      <c r="A38" s="1" t="s">
        <v>359</v>
      </c>
    </row>
    <row r="39" ht="12.75" customHeight="1"/>
    <row r="40" ht="12.75" customHeight="1">
      <c r="A40" s="1" t="s">
        <v>363</v>
      </c>
    </row>
    <row r="41" ht="12.75" customHeight="1">
      <c r="A41" s="1" t="s">
        <v>359</v>
      </c>
    </row>
    <row r="42" ht="12.75" customHeight="1">
      <c r="A42" s="1" t="s">
        <v>364</v>
      </c>
    </row>
    <row r="43" ht="12.75" customHeight="1">
      <c r="A43" s="1" t="s">
        <v>366</v>
      </c>
    </row>
    <row r="44" ht="12.75" customHeight="1">
      <c r="A44" s="1" t="s">
        <v>358</v>
      </c>
    </row>
    <row r="45" ht="12.75" customHeight="1">
      <c r="A45" s="1" t="s">
        <v>359</v>
      </c>
    </row>
    <row r="46" ht="12.75" customHeight="1"/>
    <row r="47" ht="12.75" customHeight="1">
      <c r="A47" s="1" t="s">
        <v>360</v>
      </c>
    </row>
    <row r="48" ht="12.75" customHeight="1">
      <c r="A48" s="1" t="s">
        <v>359</v>
      </c>
    </row>
    <row r="49" ht="12.75" customHeight="1">
      <c r="A49" s="1" t="s">
        <v>359</v>
      </c>
    </row>
    <row r="50" ht="12.75" customHeight="1">
      <c r="A50" s="1" t="s">
        <v>359</v>
      </c>
    </row>
    <row r="51" ht="12.75" customHeight="1">
      <c r="A51" s="1" t="s">
        <v>359</v>
      </c>
    </row>
    <row r="52" ht="12.75" customHeight="1"/>
    <row r="53" ht="12.75" customHeight="1">
      <c r="A53" s="1" t="s">
        <v>361</v>
      </c>
    </row>
    <row r="54" ht="12.75" customHeight="1">
      <c r="A54" s="1" t="s">
        <v>359</v>
      </c>
    </row>
    <row r="55" ht="12.75" customHeight="1">
      <c r="A55" s="1" t="s">
        <v>359</v>
      </c>
    </row>
    <row r="56" ht="12.75" customHeight="1"/>
    <row r="57" ht="12.75" customHeight="1">
      <c r="A57" s="1" t="s">
        <v>362</v>
      </c>
    </row>
    <row r="58" ht="12.75" customHeight="1">
      <c r="A58" s="1" t="s">
        <v>359</v>
      </c>
    </row>
    <row r="59" ht="12.75" customHeight="1">
      <c r="A59" s="1" t="s">
        <v>359</v>
      </c>
    </row>
    <row r="60" ht="12.75" customHeight="1"/>
    <row r="61" ht="12.75" customHeight="1">
      <c r="A61" s="1" t="s">
        <v>363</v>
      </c>
    </row>
    <row r="62" ht="12.75" customHeight="1">
      <c r="A62" s="1" t="s">
        <v>359</v>
      </c>
    </row>
    <row r="63" ht="12.75" customHeight="1">
      <c r="A63" s="1" t="s">
        <v>364</v>
      </c>
    </row>
    <row r="64" ht="12.75" customHeight="1">
      <c r="A64" s="1" t="s">
        <v>367</v>
      </c>
    </row>
    <row r="65" ht="12.75" customHeight="1">
      <c r="A65" s="1" t="s">
        <v>358</v>
      </c>
    </row>
    <row r="66" ht="12.75" customHeight="1">
      <c r="A66" s="1" t="s">
        <v>359</v>
      </c>
    </row>
    <row r="67" ht="12.75" customHeight="1"/>
    <row r="68" ht="12.75" customHeight="1">
      <c r="A68" s="1" t="s">
        <v>360</v>
      </c>
    </row>
    <row r="69" ht="12.75" customHeight="1">
      <c r="A69" s="1" t="s">
        <v>359</v>
      </c>
    </row>
    <row r="70" ht="12.75" customHeight="1">
      <c r="A70" s="1" t="s">
        <v>359</v>
      </c>
    </row>
    <row r="71" ht="12.75" customHeight="1">
      <c r="A71" s="1" t="s">
        <v>359</v>
      </c>
    </row>
    <row r="72" ht="12.75" customHeight="1">
      <c r="A72" s="1" t="s">
        <v>359</v>
      </c>
    </row>
    <row r="73" ht="12.75" customHeight="1"/>
    <row r="74" ht="12.75" customHeight="1">
      <c r="A74" s="1" t="s">
        <v>361</v>
      </c>
    </row>
    <row r="75" ht="12.75" customHeight="1">
      <c r="A75" s="1" t="s">
        <v>359</v>
      </c>
    </row>
    <row r="76" ht="12.75" customHeight="1">
      <c r="A76" s="1" t="s">
        <v>359</v>
      </c>
    </row>
    <row r="77" ht="12.75" customHeight="1"/>
    <row r="78" ht="12.75" customHeight="1">
      <c r="A78" s="1" t="s">
        <v>362</v>
      </c>
    </row>
    <row r="79" ht="12.75" customHeight="1">
      <c r="A79" s="1" t="s">
        <v>359</v>
      </c>
    </row>
    <row r="80" ht="12.75" customHeight="1">
      <c r="A80" s="1" t="s">
        <v>359</v>
      </c>
    </row>
    <row r="81" ht="12.75" customHeight="1"/>
    <row r="82" ht="12.75" customHeight="1">
      <c r="A82" s="1" t="s">
        <v>363</v>
      </c>
    </row>
    <row r="83" ht="12.75" customHeight="1">
      <c r="A83" s="1" t="s">
        <v>359</v>
      </c>
    </row>
    <row r="84" ht="12.75" customHeight="1">
      <c r="A84" s="1" t="s">
        <v>364</v>
      </c>
    </row>
    <row r="85" ht="12.75" customHeight="1">
      <c r="A85" s="1" t="s">
        <v>368</v>
      </c>
    </row>
    <row r="86" ht="12.75" customHeight="1">
      <c r="A86" s="1" t="s">
        <v>358</v>
      </c>
    </row>
    <row r="87" ht="12.75" customHeight="1">
      <c r="A87" s="1" t="s">
        <v>359</v>
      </c>
    </row>
    <row r="88" ht="12.75" customHeight="1"/>
    <row r="89" ht="12.75" customHeight="1">
      <c r="A89" s="1" t="s">
        <v>360</v>
      </c>
    </row>
    <row r="90" ht="12.75" customHeight="1">
      <c r="A90" s="1" t="s">
        <v>359</v>
      </c>
    </row>
    <row r="91" ht="12.75" customHeight="1">
      <c r="A91" s="1" t="s">
        <v>359</v>
      </c>
    </row>
    <row r="92" ht="12.75" customHeight="1">
      <c r="A92" s="1" t="s">
        <v>359</v>
      </c>
    </row>
    <row r="93" ht="12.75" customHeight="1">
      <c r="A93" s="1" t="s">
        <v>359</v>
      </c>
    </row>
    <row r="94" ht="12.75" customHeight="1"/>
    <row r="95" ht="12.75" customHeight="1">
      <c r="A95" s="1" t="s">
        <v>361</v>
      </c>
    </row>
    <row r="96" ht="12.75" customHeight="1">
      <c r="A96" s="1" t="s">
        <v>359</v>
      </c>
    </row>
    <row r="97" ht="12.75" customHeight="1">
      <c r="A97" s="1" t="s">
        <v>359</v>
      </c>
    </row>
    <row r="98" ht="12.75" customHeight="1"/>
    <row r="99" ht="12.75" customHeight="1">
      <c r="A99" s="1" t="s">
        <v>362</v>
      </c>
    </row>
    <row r="100" ht="12.75" customHeight="1">
      <c r="A100" s="1" t="s">
        <v>359</v>
      </c>
    </row>
    <row r="101" ht="12.75" customHeight="1">
      <c r="A101" s="1" t="s">
        <v>359</v>
      </c>
    </row>
    <row r="102" ht="12.75" customHeight="1"/>
    <row r="103" ht="12.75" customHeight="1">
      <c r="A103" s="1" t="s">
        <v>363</v>
      </c>
    </row>
    <row r="104" ht="12.75" customHeight="1">
      <c r="A104" s="1" t="s">
        <v>359</v>
      </c>
    </row>
    <row r="105" ht="12.75" customHeight="1">
      <c r="A105" s="1" t="s">
        <v>364</v>
      </c>
    </row>
    <row r="106" ht="12.75" customHeight="1">
      <c r="A106" s="1" t="s">
        <v>369</v>
      </c>
    </row>
    <row r="107" ht="12.75" customHeight="1">
      <c r="A107" s="1" t="s">
        <v>358</v>
      </c>
    </row>
    <row r="108" ht="12.75" customHeight="1">
      <c r="A108" s="1" t="s">
        <v>359</v>
      </c>
    </row>
    <row r="109" ht="12.75" customHeight="1"/>
    <row r="110" ht="12.75" customHeight="1">
      <c r="A110" s="1" t="s">
        <v>360</v>
      </c>
    </row>
    <row r="111" ht="12.75" customHeight="1">
      <c r="A111" s="1" t="s">
        <v>359</v>
      </c>
    </row>
    <row r="112" ht="12.75" customHeight="1">
      <c r="A112" s="1" t="s">
        <v>359</v>
      </c>
    </row>
    <row r="113" ht="12.75" customHeight="1">
      <c r="A113" s="1" t="s">
        <v>359</v>
      </c>
    </row>
    <row r="114" ht="12.75" customHeight="1">
      <c r="A114" s="1" t="s">
        <v>359</v>
      </c>
    </row>
    <row r="115" ht="12.75" customHeight="1"/>
    <row r="116" ht="12.75" customHeight="1">
      <c r="A116" s="1" t="s">
        <v>361</v>
      </c>
    </row>
    <row r="117" ht="12.75" customHeight="1">
      <c r="A117" s="1" t="s">
        <v>359</v>
      </c>
    </row>
    <row r="118" ht="12.75" customHeight="1">
      <c r="A118" s="1" t="s">
        <v>359</v>
      </c>
    </row>
    <row r="119" ht="12.75" customHeight="1"/>
    <row r="120" ht="12.75" customHeight="1">
      <c r="A120" s="1" t="s">
        <v>362</v>
      </c>
    </row>
    <row r="121" ht="12.75" customHeight="1">
      <c r="A121" s="1" t="s">
        <v>359</v>
      </c>
    </row>
    <row r="122" ht="12.75" customHeight="1">
      <c r="A122" s="1" t="s">
        <v>359</v>
      </c>
    </row>
    <row r="123" ht="12.75" customHeight="1"/>
    <row r="124" ht="12.75" customHeight="1">
      <c r="A124" s="1" t="s">
        <v>363</v>
      </c>
    </row>
    <row r="125" ht="12.75" customHeight="1">
      <c r="A125" s="1" t="s">
        <v>359</v>
      </c>
    </row>
    <row r="126" ht="12.75" customHeight="1">
      <c r="A126" s="1" t="s">
        <v>364</v>
      </c>
    </row>
    <row r="127" ht="12.75" customHeight="1">
      <c r="A127" s="1" t="s">
        <v>370</v>
      </c>
    </row>
    <row r="128" ht="12.75" customHeight="1">
      <c r="A128" s="1" t="s">
        <v>358</v>
      </c>
    </row>
    <row r="129" ht="12.75" customHeight="1">
      <c r="A129" s="1" t="s">
        <v>359</v>
      </c>
    </row>
    <row r="130" ht="12.75" customHeight="1"/>
    <row r="131" ht="12.75" customHeight="1">
      <c r="A131" s="1" t="s">
        <v>360</v>
      </c>
    </row>
    <row r="132" ht="12.75" customHeight="1">
      <c r="A132" s="1" t="s">
        <v>359</v>
      </c>
    </row>
    <row r="133" ht="12.75" customHeight="1">
      <c r="A133" s="1" t="s">
        <v>359</v>
      </c>
    </row>
    <row r="134" ht="12.75" customHeight="1">
      <c r="A134" s="1" t="s">
        <v>359</v>
      </c>
    </row>
    <row r="135" ht="12.75" customHeight="1">
      <c r="A135" s="1" t="s">
        <v>359</v>
      </c>
    </row>
    <row r="136" ht="12.75" customHeight="1"/>
    <row r="137" ht="12.75" customHeight="1">
      <c r="A137" s="1" t="s">
        <v>361</v>
      </c>
    </row>
    <row r="138" ht="12.75" customHeight="1">
      <c r="A138" s="1" t="s">
        <v>359</v>
      </c>
    </row>
    <row r="139" ht="12.75" customHeight="1">
      <c r="A139" s="1" t="s">
        <v>359</v>
      </c>
    </row>
    <row r="140" ht="12.75" customHeight="1"/>
    <row r="141" ht="12.75" customHeight="1">
      <c r="A141" s="1" t="s">
        <v>362</v>
      </c>
    </row>
    <row r="142" ht="12.75" customHeight="1">
      <c r="A142" s="1" t="s">
        <v>359</v>
      </c>
    </row>
    <row r="143" ht="12.75" customHeight="1">
      <c r="A143" s="1" t="s">
        <v>359</v>
      </c>
    </row>
    <row r="144" ht="12.75" customHeight="1"/>
    <row r="145" ht="12.75" customHeight="1">
      <c r="A145" s="1" t="s">
        <v>363</v>
      </c>
    </row>
    <row r="146" ht="12.75" customHeight="1">
      <c r="A146" s="1" t="s">
        <v>359</v>
      </c>
    </row>
    <row r="147" ht="12.75" customHeight="1">
      <c r="A147" s="1" t="s">
        <v>364</v>
      </c>
    </row>
    <row r="148" ht="12.75" customHeight="1">
      <c r="A148" s="1" t="s">
        <v>371</v>
      </c>
    </row>
    <row r="149" ht="12.75" customHeight="1">
      <c r="A149" s="1" t="s">
        <v>372</v>
      </c>
    </row>
    <row r="150" ht="12.75" customHeight="1">
      <c r="A150" s="1" t="s">
        <v>373</v>
      </c>
    </row>
    <row r="151" ht="12.75" customHeight="1"/>
    <row r="152" ht="12.75" customHeight="1">
      <c r="A152" s="1" t="s">
        <v>360</v>
      </c>
    </row>
    <row r="153" ht="12.75" customHeight="1">
      <c r="A153" s="1" t="s">
        <v>374</v>
      </c>
    </row>
    <row r="154" ht="12.75" customHeight="1">
      <c r="A154" s="1" t="s">
        <v>375</v>
      </c>
    </row>
    <row r="155" ht="12.75" customHeight="1">
      <c r="A155" s="1" t="s">
        <v>376</v>
      </c>
    </row>
    <row r="156" ht="12.75" customHeight="1">
      <c r="A156" s="1" t="s">
        <v>377</v>
      </c>
    </row>
    <row r="157" ht="12.75" customHeight="1"/>
    <row r="158" ht="12.75" customHeight="1">
      <c r="A158" s="1" t="s">
        <v>361</v>
      </c>
    </row>
    <row r="159" ht="12.75" customHeight="1">
      <c r="A159" s="1" t="s">
        <v>378</v>
      </c>
    </row>
    <row r="160" ht="12.75" customHeight="1">
      <c r="A160" s="1" t="s">
        <v>379</v>
      </c>
    </row>
    <row r="161" ht="12.75" customHeight="1"/>
    <row r="162" ht="12.75" customHeight="1">
      <c r="A162" s="1" t="s">
        <v>362</v>
      </c>
    </row>
    <row r="163" ht="12.75" customHeight="1">
      <c r="A163" s="1" t="s">
        <v>380</v>
      </c>
    </row>
    <row r="164" ht="12.75" customHeight="1">
      <c r="A164" s="1" t="s">
        <v>381</v>
      </c>
    </row>
    <row r="165" ht="12.75" customHeight="1"/>
    <row r="166" ht="12.75" customHeight="1">
      <c r="A166" s="1" t="s">
        <v>363</v>
      </c>
    </row>
    <row r="167" ht="12.75" customHeight="1">
      <c r="A167" s="1" t="s">
        <v>382</v>
      </c>
    </row>
    <row r="168" ht="12.75" customHeight="1">
      <c r="A168" s="1" t="s">
        <v>383</v>
      </c>
    </row>
    <row r="169" ht="12.75" customHeight="1">
      <c r="A169" s="1" t="s">
        <v>384</v>
      </c>
    </row>
    <row r="170" ht="12.75" customHeight="1">
      <c r="A170" s="1" t="s">
        <v>385</v>
      </c>
    </row>
    <row r="171" ht="12.75" customHeight="1">
      <c r="A171" s="1" t="s">
        <v>386</v>
      </c>
    </row>
    <row r="172" ht="12.75" customHeight="1"/>
    <row r="173" ht="12.75" customHeight="1">
      <c r="A173" s="1" t="s">
        <v>360</v>
      </c>
    </row>
    <row r="174" ht="12.75" customHeight="1">
      <c r="A174" s="1" t="s">
        <v>387</v>
      </c>
    </row>
    <row r="175" ht="12.75" customHeight="1">
      <c r="A175" s="1" t="s">
        <v>387</v>
      </c>
    </row>
    <row r="176" ht="12.75" customHeight="1">
      <c r="A176" s="1" t="s">
        <v>388</v>
      </c>
    </row>
    <row r="177" ht="12.75" customHeight="1">
      <c r="A177" s="1" t="s">
        <v>388</v>
      </c>
    </row>
    <row r="178" ht="12.75" customHeight="1"/>
    <row r="179" ht="12.75" customHeight="1">
      <c r="A179" s="1" t="s">
        <v>361</v>
      </c>
    </row>
    <row r="180" ht="12.75" customHeight="1">
      <c r="A180" s="1" t="s">
        <v>389</v>
      </c>
    </row>
    <row r="181" ht="12.75" customHeight="1">
      <c r="A181" s="1" t="s">
        <v>389</v>
      </c>
    </row>
    <row r="182" ht="12.75" customHeight="1"/>
    <row r="183" ht="12.75" customHeight="1">
      <c r="A183" s="1" t="s">
        <v>362</v>
      </c>
    </row>
    <row r="184" ht="12.75" customHeight="1">
      <c r="A184" s="1" t="s">
        <v>390</v>
      </c>
    </row>
    <row r="185" ht="12.75" customHeight="1">
      <c r="A185" s="1" t="s">
        <v>390</v>
      </c>
    </row>
    <row r="186" ht="12.75" customHeight="1"/>
    <row r="187" ht="12.75" customHeight="1">
      <c r="A187" s="1" t="s">
        <v>363</v>
      </c>
    </row>
    <row r="188" ht="12.75" customHeight="1">
      <c r="A188" s="1" t="s">
        <v>391</v>
      </c>
    </row>
    <row r="189" ht="12.75" customHeight="1">
      <c r="A189" s="1" t="s">
        <v>392</v>
      </c>
    </row>
    <row r="190" ht="12.75" customHeight="1">
      <c r="A190" s="1" t="s">
        <v>393</v>
      </c>
    </row>
    <row r="191" ht="12.75" customHeight="1">
      <c r="A191" s="1" t="s">
        <v>394</v>
      </c>
    </row>
    <row r="192" ht="12.75" customHeight="1">
      <c r="A192" s="1" t="s">
        <v>387</v>
      </c>
    </row>
    <row r="193" ht="12.75" customHeight="1"/>
    <row r="194" ht="12.75" customHeight="1">
      <c r="A194" s="1" t="s">
        <v>360</v>
      </c>
    </row>
    <row r="195" ht="12.75" customHeight="1">
      <c r="A195" s="1" t="s">
        <v>395</v>
      </c>
    </row>
    <row r="196" ht="12.75" customHeight="1">
      <c r="A196" s="1" t="s">
        <v>395</v>
      </c>
    </row>
    <row r="197" ht="12.75" customHeight="1">
      <c r="A197" s="1" t="s">
        <v>396</v>
      </c>
    </row>
    <row r="198" ht="12.75" customHeight="1">
      <c r="A198" s="1" t="s">
        <v>396</v>
      </c>
    </row>
    <row r="199" ht="12.75" customHeight="1"/>
    <row r="200" ht="12.75" customHeight="1">
      <c r="A200" s="1" t="s">
        <v>361</v>
      </c>
    </row>
    <row r="201" ht="12.75" customHeight="1">
      <c r="A201" s="1" t="s">
        <v>397</v>
      </c>
    </row>
    <row r="202" ht="12.75" customHeight="1">
      <c r="A202" s="1" t="s">
        <v>397</v>
      </c>
    </row>
    <row r="203" ht="12.75" customHeight="1"/>
    <row r="204" ht="12.75" customHeight="1">
      <c r="A204" s="1" t="s">
        <v>362</v>
      </c>
    </row>
    <row r="205" ht="12.75" customHeight="1">
      <c r="A205" s="1" t="s">
        <v>398</v>
      </c>
    </row>
    <row r="206" ht="12.75" customHeight="1">
      <c r="A206" s="1" t="s">
        <v>398</v>
      </c>
    </row>
    <row r="207" ht="12.75" customHeight="1"/>
    <row r="208" ht="12.75" customHeight="1">
      <c r="A208" s="1" t="s">
        <v>363</v>
      </c>
    </row>
    <row r="209" ht="12.75" customHeight="1">
      <c r="A209" s="1" t="s">
        <v>399</v>
      </c>
    </row>
    <row r="210" ht="12.75" customHeight="1">
      <c r="A210" s="1" t="s">
        <v>400</v>
      </c>
    </row>
    <row r="211" ht="12.75" customHeight="1">
      <c r="A211" s="1" t="s">
        <v>401</v>
      </c>
    </row>
    <row r="212" ht="12.75" customHeight="1">
      <c r="A212" s="1" t="s">
        <v>402</v>
      </c>
    </row>
    <row r="213" ht="12.75" customHeight="1">
      <c r="A213" s="1" t="s">
        <v>403</v>
      </c>
    </row>
    <row r="214" ht="12.75" customHeight="1"/>
    <row r="215" ht="12.75" customHeight="1">
      <c r="A215" s="1" t="s">
        <v>360</v>
      </c>
    </row>
    <row r="216" ht="12.75" customHeight="1">
      <c r="A216" s="1" t="s">
        <v>404</v>
      </c>
    </row>
    <row r="217" ht="12.75" customHeight="1">
      <c r="A217" s="1" t="s">
        <v>405</v>
      </c>
    </row>
    <row r="218" ht="12.75" customHeight="1">
      <c r="A218" s="1" t="s">
        <v>405</v>
      </c>
    </row>
    <row r="219" ht="12.75" customHeight="1">
      <c r="A219" s="1" t="s">
        <v>406</v>
      </c>
    </row>
    <row r="220" ht="12.75" customHeight="1"/>
    <row r="221" ht="12.75" customHeight="1">
      <c r="A221" s="1" t="s">
        <v>361</v>
      </c>
    </row>
    <row r="222" ht="12.75" customHeight="1">
      <c r="A222" s="1" t="s">
        <v>407</v>
      </c>
    </row>
    <row r="223" ht="12.75" customHeight="1">
      <c r="A223" s="1" t="s">
        <v>407</v>
      </c>
    </row>
    <row r="224" ht="12.75" customHeight="1"/>
    <row r="225" ht="12.75" customHeight="1">
      <c r="A225" s="1" t="s">
        <v>362</v>
      </c>
    </row>
    <row r="226" ht="12.75" customHeight="1">
      <c r="A226" s="1" t="s">
        <v>408</v>
      </c>
    </row>
    <row r="227" ht="12.75" customHeight="1">
      <c r="A227" s="1" t="s">
        <v>409</v>
      </c>
    </row>
    <row r="228" ht="12.75" customHeight="1"/>
    <row r="229" ht="12.75" customHeight="1">
      <c r="A229" s="1" t="s">
        <v>363</v>
      </c>
    </row>
    <row r="230" ht="12.75" customHeight="1">
      <c r="A230" s="1" t="s">
        <v>410</v>
      </c>
    </row>
    <row r="231" ht="12.75" customHeight="1">
      <c r="A231" s="1" t="s">
        <v>411</v>
      </c>
    </row>
    <row r="232" ht="12.75" customHeight="1">
      <c r="A232" s="1" t="s">
        <v>412</v>
      </c>
    </row>
    <row r="233" ht="12.75" customHeight="1">
      <c r="A233" s="1" t="s">
        <v>413</v>
      </c>
    </row>
    <row r="234" ht="12.75" customHeight="1">
      <c r="A234" s="1" t="s">
        <v>414</v>
      </c>
    </row>
    <row r="235" ht="12.75" customHeight="1">
      <c r="A235" s="1" t="s">
        <v>415</v>
      </c>
    </row>
    <row r="236" ht="12.75" customHeight="1">
      <c r="A236" s="1" t="s">
        <v>416</v>
      </c>
    </row>
    <row r="237" ht="12.75" customHeight="1">
      <c r="A237" s="1" t="s">
        <v>417</v>
      </c>
    </row>
    <row r="238" ht="12.75" customHeight="1">
      <c r="A238" s="1" t="s">
        <v>418</v>
      </c>
    </row>
    <row r="239" ht="12.75" customHeight="1"/>
    <row r="240" ht="12.75" customHeight="1">
      <c r="A240" s="1" t="s">
        <v>419</v>
      </c>
    </row>
    <row r="241" ht="12.75" customHeight="1">
      <c r="A241" s="1" t="s">
        <v>420</v>
      </c>
    </row>
    <row r="242" ht="12.75" customHeight="1">
      <c r="A242" s="1" t="s">
        <v>421</v>
      </c>
    </row>
    <row r="243" ht="12.75" customHeight="1">
      <c r="A243" s="1" t="s">
        <v>422</v>
      </c>
    </row>
    <row r="244" ht="12.75" customHeight="1"/>
    <row r="245" ht="12.75" customHeight="1">
      <c r="A245" s="1" t="s">
        <v>423</v>
      </c>
    </row>
    <row r="246" ht="12.75" customHeight="1">
      <c r="A246" s="1" t="s">
        <v>424</v>
      </c>
    </row>
    <row r="247" ht="12.75" customHeight="1">
      <c r="A247" s="1" t="s">
        <v>425</v>
      </c>
    </row>
    <row r="248" ht="12.75" customHeight="1">
      <c r="A248" s="1" t="s">
        <v>426</v>
      </c>
    </row>
    <row r="249" ht="12.75" customHeight="1">
      <c r="A249" s="1" t="s">
        <v>427</v>
      </c>
    </row>
    <row r="250" ht="12.75" customHeight="1">
      <c r="A250" s="1" t="s">
        <v>428</v>
      </c>
    </row>
    <row r="251" ht="12.75" customHeight="1">
      <c r="A251" s="1" t="s">
        <v>429</v>
      </c>
    </row>
    <row r="252" ht="12.75" customHeight="1">
      <c r="A252" s="1" t="s">
        <v>430</v>
      </c>
    </row>
    <row r="253" ht="12.75" customHeight="1">
      <c r="A253" s="1" t="s">
        <v>431</v>
      </c>
    </row>
    <row r="254" ht="12.75" customHeight="1"/>
    <row r="255" ht="12.75" customHeight="1">
      <c r="A255" s="1" t="s">
        <v>360</v>
      </c>
    </row>
    <row r="256" ht="12.75" customHeight="1">
      <c r="A256" s="1" t="s">
        <v>432</v>
      </c>
    </row>
    <row r="257" ht="12.75" customHeight="1">
      <c r="A257" s="1" t="s">
        <v>433</v>
      </c>
    </row>
    <row r="258" ht="12.75" customHeight="1">
      <c r="A258" s="1" t="s">
        <v>434</v>
      </c>
    </row>
    <row r="259" ht="12.75" customHeight="1">
      <c r="A259" s="1" t="s">
        <v>435</v>
      </c>
    </row>
    <row r="260" ht="12.75" customHeight="1"/>
    <row r="261" ht="12.75" customHeight="1">
      <c r="A261" s="1" t="s">
        <v>361</v>
      </c>
    </row>
    <row r="262" ht="12.75" customHeight="1">
      <c r="A262" s="1" t="s">
        <v>436</v>
      </c>
    </row>
    <row r="263" ht="12.75" customHeight="1">
      <c r="A263" s="1" t="s">
        <v>437</v>
      </c>
    </row>
    <row r="264" ht="12.75" customHeight="1"/>
    <row r="265" ht="12.75" customHeight="1">
      <c r="A265" s="1" t="s">
        <v>362</v>
      </c>
    </row>
    <row r="266" ht="12.75" customHeight="1">
      <c r="A266" s="1" t="s">
        <v>438</v>
      </c>
    </row>
    <row r="267" ht="12.75" customHeight="1">
      <c r="A267" s="1" t="s">
        <v>439</v>
      </c>
    </row>
    <row r="268" ht="12.75" customHeight="1"/>
    <row r="269" ht="12.75" customHeight="1">
      <c r="A269" s="1" t="s">
        <v>363</v>
      </c>
    </row>
    <row r="270" ht="12.75" customHeight="1">
      <c r="A270" s="1" t="s">
        <v>440</v>
      </c>
    </row>
    <row r="271" ht="12.75" customHeight="1">
      <c r="A271" s="1" t="s">
        <v>441</v>
      </c>
    </row>
    <row r="272" ht="12.75" customHeight="1">
      <c r="A272" s="1" t="s">
        <v>442</v>
      </c>
    </row>
    <row r="273" ht="12.75" customHeight="1">
      <c r="A273" s="1" t="s">
        <v>443</v>
      </c>
    </row>
    <row r="274" ht="12.75" customHeight="1">
      <c r="A274" s="1" t="s">
        <v>444</v>
      </c>
    </row>
    <row r="275" ht="12.75" customHeight="1"/>
    <row r="276" ht="12.75" customHeight="1">
      <c r="A276" s="1" t="s">
        <v>360</v>
      </c>
    </row>
    <row r="277" ht="12.75" customHeight="1">
      <c r="A277" s="1" t="s">
        <v>445</v>
      </c>
    </row>
    <row r="278" ht="12.75" customHeight="1">
      <c r="A278" s="1" t="s">
        <v>446</v>
      </c>
    </row>
    <row r="279" ht="12.75" customHeight="1">
      <c r="A279" s="1" t="s">
        <v>447</v>
      </c>
    </row>
    <row r="280" ht="12.75" customHeight="1">
      <c r="A280" s="1" t="s">
        <v>448</v>
      </c>
    </row>
    <row r="281" ht="12.75" customHeight="1"/>
    <row r="282" ht="12.75" customHeight="1">
      <c r="A282" s="1" t="s">
        <v>361</v>
      </c>
    </row>
    <row r="283" ht="12.75" customHeight="1">
      <c r="A283" s="1" t="s">
        <v>449</v>
      </c>
    </row>
    <row r="284" ht="12.75" customHeight="1">
      <c r="A284" s="1" t="s">
        <v>450</v>
      </c>
    </row>
    <row r="285" ht="12.75" customHeight="1"/>
    <row r="286" ht="12.75" customHeight="1">
      <c r="A286" s="1" t="s">
        <v>362</v>
      </c>
    </row>
    <row r="287" ht="12.75" customHeight="1">
      <c r="A287" s="1" t="s">
        <v>451</v>
      </c>
    </row>
    <row r="288" ht="12.75" customHeight="1">
      <c r="A288" s="1" t="s">
        <v>452</v>
      </c>
    </row>
    <row r="289" ht="12.75" customHeight="1"/>
    <row r="290" ht="12.75" customHeight="1">
      <c r="A290" s="1" t="s">
        <v>363</v>
      </c>
    </row>
    <row r="291" ht="12.75" customHeight="1">
      <c r="A291" s="1" t="s">
        <v>453</v>
      </c>
    </row>
    <row r="292" ht="12.75" customHeight="1">
      <c r="A292" s="1" t="s">
        <v>454</v>
      </c>
    </row>
    <row r="293" ht="12.75" customHeight="1">
      <c r="A293" s="1" t="s">
        <v>455</v>
      </c>
    </row>
    <row r="294" ht="12.75" customHeight="1">
      <c r="A294" s="1" t="s">
        <v>443</v>
      </c>
    </row>
    <row r="295" ht="12.75" customHeight="1">
      <c r="A295" s="1" t="s">
        <v>444</v>
      </c>
    </row>
    <row r="296" ht="12.75" customHeight="1"/>
    <row r="297" ht="12.75" customHeight="1">
      <c r="A297" s="1" t="s">
        <v>360</v>
      </c>
    </row>
    <row r="298" ht="12.75" customHeight="1">
      <c r="A298" s="1" t="s">
        <v>445</v>
      </c>
    </row>
    <row r="299" ht="12.75" customHeight="1">
      <c r="A299" s="1" t="s">
        <v>446</v>
      </c>
    </row>
    <row r="300" ht="12.75" customHeight="1">
      <c r="A300" s="1" t="s">
        <v>447</v>
      </c>
    </row>
    <row r="301" ht="12.75" customHeight="1">
      <c r="A301" s="1" t="s">
        <v>448</v>
      </c>
    </row>
    <row r="302" ht="12.75" customHeight="1"/>
    <row r="303" ht="12.75" customHeight="1">
      <c r="A303" s="1" t="s">
        <v>361</v>
      </c>
    </row>
    <row r="304" ht="12.75" customHeight="1">
      <c r="A304" s="1" t="s">
        <v>449</v>
      </c>
    </row>
    <row r="305" ht="12.75" customHeight="1">
      <c r="A305" s="1" t="s">
        <v>450</v>
      </c>
    </row>
    <row r="306" ht="12.75" customHeight="1"/>
    <row r="307" ht="12.75" customHeight="1">
      <c r="A307" s="1" t="s">
        <v>362</v>
      </c>
    </row>
    <row r="308" ht="12.75" customHeight="1">
      <c r="A308" s="1" t="s">
        <v>451</v>
      </c>
    </row>
    <row r="309" ht="12.75" customHeight="1">
      <c r="A309" s="1" t="s">
        <v>452</v>
      </c>
    </row>
    <row r="310" ht="12.75" customHeight="1"/>
    <row r="311" ht="12.75" customHeight="1">
      <c r="A311" s="1" t="s">
        <v>363</v>
      </c>
    </row>
    <row r="312" ht="12.75" customHeight="1">
      <c r="A312" s="1" t="s">
        <v>456</v>
      </c>
    </row>
    <row r="313" ht="12.75" customHeight="1">
      <c r="A313" s="1" t="s">
        <v>457</v>
      </c>
    </row>
    <row r="314" ht="12.75" customHeight="1">
      <c r="A314" s="1" t="s">
        <v>458</v>
      </c>
    </row>
    <row r="315" ht="12.75" customHeight="1">
      <c r="A315" s="1" t="s">
        <v>443</v>
      </c>
    </row>
    <row r="316" ht="12.75" customHeight="1">
      <c r="A316" s="1" t="s">
        <v>444</v>
      </c>
    </row>
    <row r="317" ht="12.75" customHeight="1"/>
    <row r="318" ht="12.75" customHeight="1">
      <c r="A318" s="1" t="s">
        <v>360</v>
      </c>
    </row>
    <row r="319" ht="12.75" customHeight="1">
      <c r="A319" s="1" t="s">
        <v>445</v>
      </c>
    </row>
    <row r="320" ht="12.75" customHeight="1">
      <c r="A320" s="1" t="s">
        <v>446</v>
      </c>
    </row>
    <row r="321" ht="12.75" customHeight="1">
      <c r="A321" s="1" t="s">
        <v>447</v>
      </c>
    </row>
    <row r="322" ht="12.75" customHeight="1">
      <c r="A322" s="1" t="s">
        <v>448</v>
      </c>
    </row>
    <row r="323" ht="12.75" customHeight="1"/>
    <row r="324" ht="12.75" customHeight="1">
      <c r="A324" s="1" t="s">
        <v>361</v>
      </c>
    </row>
    <row r="325" ht="12.75" customHeight="1">
      <c r="A325" s="1" t="s">
        <v>449</v>
      </c>
    </row>
    <row r="326" ht="12.75" customHeight="1">
      <c r="A326" s="1" t="s">
        <v>450</v>
      </c>
    </row>
    <row r="327" ht="12.75" customHeight="1"/>
    <row r="328" ht="12.75" customHeight="1">
      <c r="A328" s="1" t="s">
        <v>362</v>
      </c>
    </row>
    <row r="329" ht="12.75" customHeight="1">
      <c r="A329" s="1" t="s">
        <v>451</v>
      </c>
    </row>
    <row r="330" ht="12.75" customHeight="1">
      <c r="A330" s="1" t="s">
        <v>452</v>
      </c>
    </row>
    <row r="331" ht="12.75" customHeight="1"/>
    <row r="332" ht="12.75" customHeight="1">
      <c r="A332" s="1" t="s">
        <v>363</v>
      </c>
    </row>
    <row r="333" ht="12.75" customHeight="1">
      <c r="A333" s="1" t="s">
        <v>459</v>
      </c>
    </row>
    <row r="334" ht="12.75" customHeight="1">
      <c r="A334" s="1" t="s">
        <v>460</v>
      </c>
    </row>
    <row r="335" ht="12.75" customHeight="1">
      <c r="A335" s="1" t="s">
        <v>461</v>
      </c>
    </row>
    <row r="336" ht="12.75" customHeight="1">
      <c r="A336" s="1" t="s">
        <v>462</v>
      </c>
    </row>
    <row r="337" ht="12.75" customHeight="1">
      <c r="A337" s="1" t="s">
        <v>463</v>
      </c>
    </row>
    <row r="338" ht="12.75" customHeight="1"/>
    <row r="339" ht="12.75" customHeight="1">
      <c r="A339" s="1" t="s">
        <v>360</v>
      </c>
    </row>
    <row r="340" ht="12.75" customHeight="1">
      <c r="A340" s="1" t="s">
        <v>464</v>
      </c>
    </row>
    <row r="341" ht="12.75" customHeight="1">
      <c r="A341" s="1" t="s">
        <v>465</v>
      </c>
    </row>
    <row r="342" ht="12.75" customHeight="1">
      <c r="A342" s="1" t="s">
        <v>466</v>
      </c>
    </row>
    <row r="343" ht="12.75" customHeight="1">
      <c r="A343" s="1" t="s">
        <v>467</v>
      </c>
    </row>
    <row r="344" ht="12.75" customHeight="1"/>
    <row r="345" ht="12.75" customHeight="1">
      <c r="A345" s="1" t="s">
        <v>361</v>
      </c>
    </row>
    <row r="346" ht="12.75" customHeight="1">
      <c r="A346" s="1" t="s">
        <v>468</v>
      </c>
    </row>
    <row r="347" ht="12.75" customHeight="1">
      <c r="A347" s="1" t="s">
        <v>469</v>
      </c>
    </row>
    <row r="348" ht="12.75" customHeight="1"/>
    <row r="349" ht="12.75" customHeight="1">
      <c r="A349" s="1" t="s">
        <v>362</v>
      </c>
    </row>
    <row r="350" ht="12.75" customHeight="1">
      <c r="A350" s="1" t="s">
        <v>470</v>
      </c>
    </row>
    <row r="351" ht="12.75" customHeight="1">
      <c r="A351" s="1" t="s">
        <v>471</v>
      </c>
    </row>
    <row r="352" ht="12.75" customHeight="1"/>
    <row r="353" ht="12.75" customHeight="1">
      <c r="A353" s="1" t="s">
        <v>363</v>
      </c>
    </row>
    <row r="354" ht="12.75" customHeight="1">
      <c r="A354" s="1" t="s">
        <v>472</v>
      </c>
    </row>
    <row r="355" ht="12.75" customHeight="1">
      <c r="A355" s="1" t="s">
        <v>473</v>
      </c>
    </row>
    <row r="356" ht="12.75" customHeight="1">
      <c r="A356" s="1" t="s">
        <v>474</v>
      </c>
    </row>
    <row r="357" ht="12.75" customHeight="1">
      <c r="A357" s="1" t="s">
        <v>462</v>
      </c>
    </row>
    <row r="358" ht="12.75" customHeight="1">
      <c r="A358" s="1" t="s">
        <v>463</v>
      </c>
    </row>
    <row r="359" ht="12.75" customHeight="1"/>
    <row r="360" ht="12.75" customHeight="1">
      <c r="A360" s="1" t="s">
        <v>360</v>
      </c>
    </row>
    <row r="361" ht="12.75" customHeight="1">
      <c r="A361" s="1" t="s">
        <v>464</v>
      </c>
    </row>
    <row r="362" ht="12.75" customHeight="1">
      <c r="A362" s="1" t="s">
        <v>465</v>
      </c>
    </row>
    <row r="363" ht="12.75" customHeight="1">
      <c r="A363" s="1" t="s">
        <v>466</v>
      </c>
    </row>
    <row r="364" ht="12.75" customHeight="1">
      <c r="A364" s="1" t="s">
        <v>467</v>
      </c>
    </row>
    <row r="365" ht="12.75" customHeight="1"/>
    <row r="366" ht="12.75" customHeight="1">
      <c r="A366" s="1" t="s">
        <v>361</v>
      </c>
    </row>
    <row r="367" ht="12.75" customHeight="1">
      <c r="A367" s="1" t="s">
        <v>468</v>
      </c>
    </row>
    <row r="368" ht="12.75" customHeight="1">
      <c r="A368" s="1" t="s">
        <v>469</v>
      </c>
    </row>
    <row r="369" ht="12.75" customHeight="1"/>
    <row r="370" ht="12.75" customHeight="1">
      <c r="A370" s="1" t="s">
        <v>362</v>
      </c>
    </row>
    <row r="371" ht="12.75" customHeight="1">
      <c r="A371" s="1" t="s">
        <v>470</v>
      </c>
    </row>
    <row r="372" ht="12.75" customHeight="1">
      <c r="A372" s="1" t="s">
        <v>471</v>
      </c>
    </row>
    <row r="373" ht="12.75" customHeight="1"/>
    <row r="374" ht="12.75" customHeight="1">
      <c r="A374" s="1" t="s">
        <v>363</v>
      </c>
    </row>
    <row r="375" ht="12.75" customHeight="1">
      <c r="A375" s="1" t="s">
        <v>472</v>
      </c>
    </row>
    <row r="376" ht="12.75" customHeight="1">
      <c r="A376" s="1" t="s">
        <v>473</v>
      </c>
    </row>
    <row r="377" ht="12.75" customHeight="1">
      <c r="A377" s="1" t="s">
        <v>475</v>
      </c>
    </row>
    <row r="378" ht="12.75" customHeight="1">
      <c r="A378" s="1" t="s">
        <v>462</v>
      </c>
    </row>
    <row r="379" ht="12.75" customHeight="1">
      <c r="A379" s="1" t="s">
        <v>463</v>
      </c>
    </row>
    <row r="380" ht="12.75" customHeight="1"/>
    <row r="381" ht="12.75" customHeight="1">
      <c r="A381" s="1" t="s">
        <v>360</v>
      </c>
    </row>
    <row r="382" ht="12.75" customHeight="1">
      <c r="A382" s="1" t="s">
        <v>464</v>
      </c>
    </row>
    <row r="383" ht="12.75" customHeight="1">
      <c r="A383" s="1" t="s">
        <v>465</v>
      </c>
    </row>
    <row r="384" ht="12.75" customHeight="1">
      <c r="A384" s="1" t="s">
        <v>466</v>
      </c>
    </row>
    <row r="385" ht="12.75" customHeight="1">
      <c r="A385" s="1" t="s">
        <v>467</v>
      </c>
    </row>
    <row r="386" ht="12.75" customHeight="1"/>
    <row r="387" ht="12.75" customHeight="1">
      <c r="A387" s="1" t="s">
        <v>361</v>
      </c>
    </row>
    <row r="388" ht="12.75" customHeight="1">
      <c r="A388" s="1" t="s">
        <v>468</v>
      </c>
    </row>
    <row r="389" ht="12.75" customHeight="1">
      <c r="A389" s="1" t="s">
        <v>469</v>
      </c>
    </row>
    <row r="390" ht="12.75" customHeight="1"/>
    <row r="391" ht="12.75" customHeight="1">
      <c r="A391" s="1" t="s">
        <v>362</v>
      </c>
    </row>
    <row r="392" ht="12.75" customHeight="1">
      <c r="A392" s="1" t="s">
        <v>470</v>
      </c>
    </row>
    <row r="393" ht="12.75" customHeight="1">
      <c r="A393" s="1" t="s">
        <v>471</v>
      </c>
    </row>
    <row r="394" ht="12.75" customHeight="1"/>
    <row r="395" ht="12.75" customHeight="1">
      <c r="A395" s="1" t="s">
        <v>363</v>
      </c>
    </row>
    <row r="396" ht="12.75" customHeight="1">
      <c r="A396" s="1" t="s">
        <v>472</v>
      </c>
    </row>
    <row r="397" ht="12.75" customHeight="1">
      <c r="A397" s="1" t="s">
        <v>473</v>
      </c>
    </row>
    <row r="398" ht="12.75" customHeight="1">
      <c r="A398" s="1" t="s">
        <v>476</v>
      </c>
    </row>
    <row r="399" ht="12.75" customHeight="1">
      <c r="A399" s="1" t="s">
        <v>462</v>
      </c>
    </row>
    <row r="400" ht="12.75" customHeight="1">
      <c r="A400" s="1" t="s">
        <v>463</v>
      </c>
    </row>
    <row r="401" ht="12.75" customHeight="1"/>
    <row r="402" ht="12.75" customHeight="1">
      <c r="A402" s="1" t="s">
        <v>360</v>
      </c>
    </row>
    <row r="403" ht="12.75" customHeight="1">
      <c r="A403" s="1" t="s">
        <v>464</v>
      </c>
    </row>
    <row r="404" ht="12.75" customHeight="1">
      <c r="A404" s="1" t="s">
        <v>465</v>
      </c>
    </row>
    <row r="405" ht="12.75" customHeight="1">
      <c r="A405" s="1" t="s">
        <v>466</v>
      </c>
    </row>
    <row r="406" ht="12.75" customHeight="1">
      <c r="A406" s="1" t="s">
        <v>467</v>
      </c>
    </row>
    <row r="407" ht="12.75" customHeight="1"/>
    <row r="408" ht="12.75" customHeight="1">
      <c r="A408" s="1" t="s">
        <v>361</v>
      </c>
    </row>
    <row r="409" ht="12.75" customHeight="1">
      <c r="A409" s="1" t="s">
        <v>477</v>
      </c>
    </row>
    <row r="410" ht="12.75" customHeight="1">
      <c r="A410" s="1" t="s">
        <v>478</v>
      </c>
    </row>
    <row r="411" ht="12.75" customHeight="1"/>
    <row r="412" ht="12.75" customHeight="1">
      <c r="A412" s="1" t="s">
        <v>362</v>
      </c>
    </row>
    <row r="413" ht="12.75" customHeight="1">
      <c r="A413" s="1" t="s">
        <v>479</v>
      </c>
    </row>
    <row r="414" ht="12.75" customHeight="1">
      <c r="A414" s="1" t="s">
        <v>480</v>
      </c>
    </row>
    <row r="415" ht="12.75" customHeight="1"/>
    <row r="416" ht="12.75" customHeight="1">
      <c r="A416" s="1" t="s">
        <v>363</v>
      </c>
    </row>
    <row r="417" ht="12.75" customHeight="1">
      <c r="A417" s="1" t="s">
        <v>481</v>
      </c>
    </row>
    <row r="418" ht="12.75" customHeight="1">
      <c r="A418" s="1" t="s">
        <v>482</v>
      </c>
    </row>
    <row r="419" ht="12.75" customHeight="1">
      <c r="A419" s="1" t="s">
        <v>483</v>
      </c>
    </row>
    <row r="420" ht="12.75" customHeight="1">
      <c r="A420" s="1" t="s">
        <v>484</v>
      </c>
    </row>
    <row r="421" ht="12.75" customHeight="1">
      <c r="A421" s="1" t="s">
        <v>485</v>
      </c>
    </row>
    <row r="422" ht="12.75" customHeight="1"/>
    <row r="423" ht="12.75" customHeight="1">
      <c r="A423" s="1" t="s">
        <v>360</v>
      </c>
    </row>
    <row r="424" ht="12.75" customHeight="1">
      <c r="A424" s="1" t="s">
        <v>486</v>
      </c>
    </row>
    <row r="425" ht="12.75" customHeight="1">
      <c r="A425" s="1" t="s">
        <v>487</v>
      </c>
    </row>
    <row r="426" ht="12.75" customHeight="1">
      <c r="A426" s="1" t="s">
        <v>488</v>
      </c>
    </row>
    <row r="427" ht="12.75" customHeight="1">
      <c r="A427" s="1" t="s">
        <v>489</v>
      </c>
    </row>
    <row r="428" ht="12.75" customHeight="1"/>
    <row r="429" ht="12.75" customHeight="1">
      <c r="A429" s="1" t="s">
        <v>361</v>
      </c>
    </row>
    <row r="430" ht="12.75" customHeight="1">
      <c r="A430" s="1" t="s">
        <v>490</v>
      </c>
    </row>
    <row r="431" ht="12.75" customHeight="1">
      <c r="A431" s="1" t="s">
        <v>491</v>
      </c>
    </row>
    <row r="432" ht="12.75" customHeight="1"/>
    <row r="433" ht="12.75" customHeight="1">
      <c r="A433" s="1" t="s">
        <v>362</v>
      </c>
    </row>
    <row r="434" ht="12.75" customHeight="1">
      <c r="A434" s="1" t="s">
        <v>492</v>
      </c>
    </row>
    <row r="435" ht="12.75" customHeight="1">
      <c r="A435" s="1" t="s">
        <v>493</v>
      </c>
    </row>
    <row r="436" ht="12.75" customHeight="1"/>
    <row r="437" ht="12.75" customHeight="1">
      <c r="A437" s="1" t="s">
        <v>363</v>
      </c>
    </row>
    <row r="438" ht="12.75" customHeight="1">
      <c r="A438" s="1" t="s">
        <v>494</v>
      </c>
    </row>
    <row r="439" ht="12.75" customHeight="1">
      <c r="A439" s="1" t="s">
        <v>495</v>
      </c>
    </row>
    <row r="440" ht="12.75" customHeight="1">
      <c r="A440" s="1" t="s">
        <v>496</v>
      </c>
    </row>
    <row r="441" ht="12.75" customHeight="1">
      <c r="A441" s="1" t="s">
        <v>497</v>
      </c>
    </row>
    <row r="442" ht="12.75" customHeight="1">
      <c r="A442" s="1" t="s">
        <v>498</v>
      </c>
    </row>
    <row r="443" ht="12.75" customHeight="1">
      <c r="A443" s="1" t="s">
        <v>499</v>
      </c>
    </row>
    <row r="444" ht="12.75" customHeight="1">
      <c r="A444" s="1" t="s">
        <v>500</v>
      </c>
    </row>
    <row r="445" ht="12.75" customHeight="1">
      <c r="A445" s="1" t="s">
        <v>501</v>
      </c>
    </row>
    <row r="446" ht="12.75" customHeight="1"/>
    <row r="447" ht="12.75" customHeight="1">
      <c r="A447" s="1" t="s">
        <v>419</v>
      </c>
    </row>
    <row r="448" ht="12.75" customHeight="1">
      <c r="A448" s="1" t="s">
        <v>502</v>
      </c>
    </row>
    <row r="449" ht="12.75" customHeight="1">
      <c r="A449" s="1" t="s">
        <v>503</v>
      </c>
    </row>
    <row r="450" ht="12.75" customHeight="1">
      <c r="A450" s="1" t="s">
        <v>504</v>
      </c>
    </row>
    <row r="451" ht="12.75" customHeight="1"/>
    <row r="452" ht="12.75" customHeight="1">
      <c r="A452" s="1" t="s">
        <v>423</v>
      </c>
    </row>
    <row r="453" ht="12.75" customHeight="1">
      <c r="A453" s="1" t="s">
        <v>505</v>
      </c>
    </row>
    <row r="454" ht="12.75" customHeight="1">
      <c r="A454" s="1" t="s">
        <v>506</v>
      </c>
    </row>
    <row r="455" ht="12.75" customHeight="1">
      <c r="A455" s="1" t="s">
        <v>507</v>
      </c>
    </row>
    <row r="456" ht="12.75" customHeight="1">
      <c r="A456" s="1" t="s">
        <v>508</v>
      </c>
    </row>
    <row r="457" ht="12.75" customHeight="1">
      <c r="A457" s="1" t="s">
        <v>509</v>
      </c>
    </row>
    <row r="458" ht="12.75" customHeight="1">
      <c r="A458" s="1" t="s">
        <v>510</v>
      </c>
    </row>
    <row r="459" ht="12.75" customHeight="1">
      <c r="A459" s="1" t="s">
        <v>484</v>
      </c>
    </row>
    <row r="460" ht="12.75" customHeight="1">
      <c r="A460" s="1" t="s">
        <v>485</v>
      </c>
    </row>
    <row r="461" ht="12.75" customHeight="1"/>
    <row r="462" ht="12.75" customHeight="1">
      <c r="A462" s="1" t="s">
        <v>360</v>
      </c>
    </row>
    <row r="463" ht="12.75" customHeight="1">
      <c r="A463" s="1" t="s">
        <v>486</v>
      </c>
    </row>
    <row r="464" ht="12.75" customHeight="1">
      <c r="A464" s="1" t="s">
        <v>487</v>
      </c>
    </row>
    <row r="465" ht="12.75" customHeight="1">
      <c r="A465" s="1" t="s">
        <v>511</v>
      </c>
    </row>
    <row r="466" ht="12.75" customHeight="1">
      <c r="A466" s="1" t="s">
        <v>512</v>
      </c>
    </row>
    <row r="467" ht="12.75" customHeight="1"/>
    <row r="468" ht="12.75" customHeight="1">
      <c r="A468" s="1" t="s">
        <v>361</v>
      </c>
    </row>
    <row r="469" ht="12.75" customHeight="1">
      <c r="A469" s="1" t="s">
        <v>490</v>
      </c>
    </row>
    <row r="470" ht="12.75" customHeight="1">
      <c r="A470" s="1" t="s">
        <v>491</v>
      </c>
    </row>
    <row r="471" ht="12.75" customHeight="1"/>
    <row r="472" ht="12.75" customHeight="1">
      <c r="A472" s="1" t="s">
        <v>362</v>
      </c>
    </row>
    <row r="473" ht="12.75" customHeight="1">
      <c r="A473" s="1" t="s">
        <v>513</v>
      </c>
    </row>
    <row r="474" ht="12.75" customHeight="1">
      <c r="A474" s="1" t="s">
        <v>514</v>
      </c>
    </row>
    <row r="475" ht="12.75" customHeight="1"/>
    <row r="476" ht="12.75" customHeight="1">
      <c r="A476" s="1" t="s">
        <v>363</v>
      </c>
    </row>
    <row r="477" ht="12.75" customHeight="1">
      <c r="A477" s="1" t="s">
        <v>515</v>
      </c>
    </row>
    <row r="478" ht="12.75" customHeight="1">
      <c r="A478" s="1" t="s">
        <v>516</v>
      </c>
    </row>
    <row r="479" ht="12.75" customHeight="1">
      <c r="A479" s="1" t="s">
        <v>496</v>
      </c>
    </row>
    <row r="480" ht="12.75" customHeight="1">
      <c r="A480" s="1" t="s">
        <v>497</v>
      </c>
    </row>
    <row r="481" ht="12.75" customHeight="1">
      <c r="A481" s="1" t="s">
        <v>498</v>
      </c>
    </row>
    <row r="482" ht="12.75" customHeight="1">
      <c r="A482" s="1" t="s">
        <v>499</v>
      </c>
    </row>
    <row r="483" ht="12.75" customHeight="1">
      <c r="A483" s="1" t="s">
        <v>500</v>
      </c>
    </row>
    <row r="484" ht="12.75" customHeight="1">
      <c r="A484" s="1" t="s">
        <v>501</v>
      </c>
    </row>
    <row r="485" ht="12.75" customHeight="1"/>
    <row r="486" ht="12.75" customHeight="1">
      <c r="A486" s="1" t="s">
        <v>419</v>
      </c>
    </row>
    <row r="487" ht="12.75" customHeight="1">
      <c r="A487" s="1" t="s">
        <v>502</v>
      </c>
    </row>
    <row r="488" ht="12.75" customHeight="1">
      <c r="A488" s="1" t="s">
        <v>503</v>
      </c>
    </row>
    <row r="489" ht="12.75" customHeight="1">
      <c r="A489" s="1" t="s">
        <v>504</v>
      </c>
    </row>
    <row r="490" ht="12.75" customHeight="1"/>
    <row r="491" ht="12.75" customHeight="1">
      <c r="A491" s="1" t="s">
        <v>423</v>
      </c>
    </row>
    <row r="492" ht="12.75" customHeight="1">
      <c r="A492" s="1" t="s">
        <v>505</v>
      </c>
    </row>
    <row r="493" ht="12.75" customHeight="1">
      <c r="A493" s="1" t="s">
        <v>506</v>
      </c>
    </row>
    <row r="494" ht="12.75" customHeight="1">
      <c r="A494" s="1" t="s">
        <v>507</v>
      </c>
    </row>
    <row r="495" ht="12.75" customHeight="1">
      <c r="A495" s="1" t="s">
        <v>508</v>
      </c>
    </row>
    <row r="496" ht="12.75" customHeight="1">
      <c r="A496" s="1" t="s">
        <v>509</v>
      </c>
    </row>
    <row r="497" ht="12.75" customHeight="1">
      <c r="A497" s="1" t="s">
        <v>517</v>
      </c>
    </row>
    <row r="498" ht="12.75" customHeight="1">
      <c r="A498" s="1" t="s">
        <v>484</v>
      </c>
    </row>
    <row r="499" ht="12.75" customHeight="1">
      <c r="A499" s="1" t="s">
        <v>485</v>
      </c>
    </row>
    <row r="500" ht="12.75" customHeight="1"/>
    <row r="501" ht="12.75" customHeight="1">
      <c r="A501" s="1" t="s">
        <v>360</v>
      </c>
    </row>
    <row r="502" ht="12.75" customHeight="1">
      <c r="A502" s="1" t="s">
        <v>486</v>
      </c>
    </row>
    <row r="503" ht="12.75" customHeight="1">
      <c r="A503" s="1" t="s">
        <v>487</v>
      </c>
    </row>
    <row r="504" ht="12.75" customHeight="1">
      <c r="A504" s="1" t="s">
        <v>518</v>
      </c>
    </row>
    <row r="505" ht="12.75" customHeight="1">
      <c r="A505" s="1" t="s">
        <v>519</v>
      </c>
    </row>
    <row r="506" ht="12.75" customHeight="1"/>
    <row r="507" ht="12.75" customHeight="1">
      <c r="A507" s="1" t="s">
        <v>361</v>
      </c>
    </row>
    <row r="508" ht="12.75" customHeight="1">
      <c r="A508" s="1" t="s">
        <v>490</v>
      </c>
    </row>
    <row r="509" ht="12.75" customHeight="1">
      <c r="A509" s="1" t="s">
        <v>491</v>
      </c>
    </row>
    <row r="510" ht="12.75" customHeight="1"/>
    <row r="511" ht="12.75" customHeight="1">
      <c r="A511" s="1" t="s">
        <v>362</v>
      </c>
    </row>
    <row r="512" ht="12.75" customHeight="1">
      <c r="A512" s="1" t="s">
        <v>520</v>
      </c>
    </row>
    <row r="513" ht="12.75" customHeight="1">
      <c r="A513" s="1" t="s">
        <v>521</v>
      </c>
    </row>
    <row r="514" ht="12.75" customHeight="1"/>
    <row r="515" ht="12.75" customHeight="1">
      <c r="A515" s="1" t="s">
        <v>363</v>
      </c>
    </row>
    <row r="516" ht="12.75" customHeight="1">
      <c r="A516" s="1" t="s">
        <v>522</v>
      </c>
    </row>
    <row r="517" ht="12.75" customHeight="1">
      <c r="A517" s="1" t="s">
        <v>523</v>
      </c>
    </row>
    <row r="518" ht="12.75" customHeight="1">
      <c r="A518" s="1" t="s">
        <v>496</v>
      </c>
    </row>
    <row r="519" ht="12.75" customHeight="1">
      <c r="A519" s="1" t="s">
        <v>497</v>
      </c>
    </row>
    <row r="520" ht="12.75" customHeight="1">
      <c r="A520" s="1" t="s">
        <v>498</v>
      </c>
    </row>
    <row r="521" ht="12.75" customHeight="1">
      <c r="A521" s="1" t="s">
        <v>499</v>
      </c>
    </row>
    <row r="522" ht="12.75" customHeight="1">
      <c r="A522" s="1" t="s">
        <v>500</v>
      </c>
    </row>
    <row r="523" ht="12.75" customHeight="1">
      <c r="A523" s="1" t="s">
        <v>501</v>
      </c>
    </row>
    <row r="524" ht="12.75" customHeight="1"/>
    <row r="525" ht="12.75" customHeight="1">
      <c r="A525" s="1" t="s">
        <v>419</v>
      </c>
    </row>
    <row r="526" ht="12.75" customHeight="1">
      <c r="A526" s="1" t="s">
        <v>502</v>
      </c>
    </row>
    <row r="527" ht="12.75" customHeight="1">
      <c r="A527" s="1" t="s">
        <v>503</v>
      </c>
    </row>
    <row r="528" ht="12.75" customHeight="1">
      <c r="A528" s="1" t="s">
        <v>504</v>
      </c>
    </row>
    <row r="529" ht="12.75" customHeight="1"/>
    <row r="530" ht="12.75" customHeight="1">
      <c r="A530" s="1" t="s">
        <v>423</v>
      </c>
    </row>
    <row r="531" ht="12.75" customHeight="1">
      <c r="A531" s="1" t="s">
        <v>505</v>
      </c>
    </row>
    <row r="532" ht="12.75" customHeight="1">
      <c r="A532" s="1" t="s">
        <v>506</v>
      </c>
    </row>
    <row r="533" ht="12.75" customHeight="1">
      <c r="A533" s="1" t="s">
        <v>507</v>
      </c>
    </row>
    <row r="534" ht="12.75" customHeight="1">
      <c r="A534" s="1" t="s">
        <v>508</v>
      </c>
    </row>
    <row r="535" ht="12.75" customHeight="1">
      <c r="A535" s="1" t="s">
        <v>509</v>
      </c>
    </row>
    <row r="536" ht="12.75" customHeight="1">
      <c r="A536" s="1" t="s">
        <v>524</v>
      </c>
    </row>
    <row r="537" ht="12.75" customHeight="1">
      <c r="A537" s="1" t="s">
        <v>484</v>
      </c>
    </row>
    <row r="538" ht="12.75" customHeight="1">
      <c r="A538" s="1" t="s">
        <v>485</v>
      </c>
    </row>
    <row r="539" ht="12.75" customHeight="1"/>
    <row r="540" ht="12.75" customHeight="1">
      <c r="A540" s="1" t="s">
        <v>360</v>
      </c>
    </row>
    <row r="541" ht="12.75" customHeight="1">
      <c r="A541" s="1" t="s">
        <v>486</v>
      </c>
    </row>
    <row r="542" ht="12.75" customHeight="1">
      <c r="A542" s="1" t="s">
        <v>487</v>
      </c>
    </row>
    <row r="543" ht="12.75" customHeight="1">
      <c r="A543" s="1" t="s">
        <v>525</v>
      </c>
    </row>
    <row r="544" ht="12.75" customHeight="1">
      <c r="A544" s="1" t="s">
        <v>526</v>
      </c>
    </row>
    <row r="545" ht="12.75" customHeight="1"/>
    <row r="546" ht="12.75" customHeight="1">
      <c r="A546" s="1" t="s">
        <v>361</v>
      </c>
    </row>
    <row r="547" ht="12.75" customHeight="1">
      <c r="A547" s="1" t="s">
        <v>490</v>
      </c>
    </row>
    <row r="548" ht="12.75" customHeight="1">
      <c r="A548" s="1" t="s">
        <v>491</v>
      </c>
    </row>
    <row r="549" ht="12.75" customHeight="1"/>
    <row r="550" ht="12.75" customHeight="1">
      <c r="A550" s="1" t="s">
        <v>362</v>
      </c>
    </row>
    <row r="551" ht="12.75" customHeight="1">
      <c r="A551" s="1" t="s">
        <v>527</v>
      </c>
    </row>
    <row r="552" ht="12.75" customHeight="1">
      <c r="A552" s="1" t="s">
        <v>528</v>
      </c>
    </row>
    <row r="553" ht="12.75" customHeight="1"/>
    <row r="554" ht="12.75" customHeight="1">
      <c r="A554" s="1" t="s">
        <v>363</v>
      </c>
    </row>
    <row r="555" ht="12.75" customHeight="1">
      <c r="A555" s="1" t="s">
        <v>529</v>
      </c>
    </row>
    <row r="556" ht="12.75" customHeight="1">
      <c r="A556" s="1" t="s">
        <v>530</v>
      </c>
    </row>
    <row r="557" ht="12.75" customHeight="1">
      <c r="A557" s="1" t="s">
        <v>496</v>
      </c>
    </row>
    <row r="558" ht="12.75" customHeight="1">
      <c r="A558" s="1" t="s">
        <v>497</v>
      </c>
    </row>
    <row r="559" ht="12.75" customHeight="1">
      <c r="A559" s="1" t="s">
        <v>498</v>
      </c>
    </row>
    <row r="560" ht="12.75" customHeight="1">
      <c r="A560" s="1" t="s">
        <v>499</v>
      </c>
    </row>
    <row r="561" ht="12.75" customHeight="1">
      <c r="A561" s="1" t="s">
        <v>500</v>
      </c>
    </row>
    <row r="562" ht="12.75" customHeight="1">
      <c r="A562" s="1" t="s">
        <v>501</v>
      </c>
    </row>
    <row r="563" ht="12.75" customHeight="1"/>
    <row r="564" ht="12.75" customHeight="1">
      <c r="A564" s="1" t="s">
        <v>419</v>
      </c>
    </row>
    <row r="565" ht="12.75" customHeight="1">
      <c r="A565" s="1" t="s">
        <v>502</v>
      </c>
    </row>
    <row r="566" ht="12.75" customHeight="1">
      <c r="A566" s="1" t="s">
        <v>503</v>
      </c>
    </row>
    <row r="567" ht="12.75" customHeight="1">
      <c r="A567" s="1" t="s">
        <v>504</v>
      </c>
    </row>
    <row r="568" ht="12.75" customHeight="1"/>
    <row r="569" ht="12.75" customHeight="1">
      <c r="A569" s="1" t="s">
        <v>423</v>
      </c>
    </row>
    <row r="570" ht="12.75" customHeight="1">
      <c r="A570" s="1" t="s">
        <v>505</v>
      </c>
    </row>
    <row r="571" ht="12.75" customHeight="1">
      <c r="A571" s="1" t="s">
        <v>506</v>
      </c>
    </row>
    <row r="572" ht="12.75" customHeight="1">
      <c r="A572" s="1" t="s">
        <v>507</v>
      </c>
    </row>
    <row r="573" ht="12.75" customHeight="1">
      <c r="A573" s="1" t="s">
        <v>508</v>
      </c>
    </row>
    <row r="574" ht="12.75" customHeight="1">
      <c r="A574" s="1" t="s">
        <v>509</v>
      </c>
    </row>
    <row r="575" ht="12.75" customHeight="1">
      <c r="A575" s="1" t="s">
        <v>531</v>
      </c>
    </row>
    <row r="576" ht="12.75" customHeight="1">
      <c r="A576" s="1" t="s">
        <v>532</v>
      </c>
    </row>
    <row r="577" ht="12.75" customHeight="1">
      <c r="A577" s="1" t="s">
        <v>533</v>
      </c>
    </row>
    <row r="578" ht="12.75" customHeight="1"/>
    <row r="579" ht="12.75" customHeight="1">
      <c r="A579" s="1" t="s">
        <v>360</v>
      </c>
    </row>
    <row r="580" ht="12.75" customHeight="1">
      <c r="A580" s="1" t="s">
        <v>534</v>
      </c>
    </row>
    <row r="581" ht="12.75" customHeight="1">
      <c r="A581" s="1" t="s">
        <v>535</v>
      </c>
    </row>
    <row r="582" ht="12.75" customHeight="1">
      <c r="A582" s="1" t="s">
        <v>536</v>
      </c>
    </row>
    <row r="583" ht="12.75" customHeight="1">
      <c r="A583" s="1" t="s">
        <v>537</v>
      </c>
    </row>
    <row r="584" ht="12.75" customHeight="1"/>
    <row r="585" ht="12.75" customHeight="1">
      <c r="A585" s="1" t="s">
        <v>361</v>
      </c>
    </row>
    <row r="586" ht="12.75" customHeight="1">
      <c r="A586" s="1" t="s">
        <v>538</v>
      </c>
    </row>
    <row r="587" ht="12.75" customHeight="1">
      <c r="A587" s="1" t="s">
        <v>539</v>
      </c>
    </row>
    <row r="588" ht="12.75" customHeight="1"/>
    <row r="589" ht="12.75" customHeight="1">
      <c r="A589" s="1" t="s">
        <v>362</v>
      </c>
    </row>
    <row r="590" ht="12.75" customHeight="1">
      <c r="A590" s="1" t="s">
        <v>540</v>
      </c>
    </row>
    <row r="591" ht="12.75" customHeight="1">
      <c r="A591" s="1" t="s">
        <v>541</v>
      </c>
    </row>
    <row r="592" ht="12.75" customHeight="1"/>
    <row r="593" ht="12.75" customHeight="1">
      <c r="A593" s="1" t="s">
        <v>363</v>
      </c>
    </row>
    <row r="594" ht="12.75" customHeight="1">
      <c r="A594" s="1" t="s">
        <v>542</v>
      </c>
    </row>
    <row r="595" ht="12.75" customHeight="1">
      <c r="A595" s="1" t="s">
        <v>543</v>
      </c>
    </row>
    <row r="596" ht="12.75" customHeight="1">
      <c r="A596" s="1" t="s">
        <v>544</v>
      </c>
    </row>
    <row r="597" ht="12.75" customHeight="1">
      <c r="A597" s="1" t="s">
        <v>545</v>
      </c>
    </row>
    <row r="598" ht="12.75" customHeight="1">
      <c r="A598" s="1" t="s">
        <v>546</v>
      </c>
    </row>
    <row r="599" ht="12.75" customHeight="1">
      <c r="A599" s="1" t="s">
        <v>547</v>
      </c>
    </row>
    <row r="600" ht="12.75" customHeight="1">
      <c r="A600" s="1" t="s">
        <v>548</v>
      </c>
    </row>
    <row r="601" ht="12.75" customHeight="1">
      <c r="A601" s="1" t="s">
        <v>549</v>
      </c>
    </row>
    <row r="602" ht="12.75" customHeight="1"/>
    <row r="603" ht="12.75" customHeight="1">
      <c r="A603" s="1" t="s">
        <v>419</v>
      </c>
    </row>
    <row r="604" ht="12.75" customHeight="1">
      <c r="A604" s="1" t="s">
        <v>550</v>
      </c>
    </row>
    <row r="605" ht="12.75" customHeight="1">
      <c r="A605" s="1" t="s">
        <v>551</v>
      </c>
    </row>
    <row r="606" ht="12.75" customHeight="1">
      <c r="A606" s="1" t="s">
        <v>552</v>
      </c>
    </row>
    <row r="607" ht="12.75" customHeight="1"/>
    <row r="608" ht="12.75" customHeight="1">
      <c r="A608" s="1" t="s">
        <v>423</v>
      </c>
    </row>
    <row r="609" ht="12.75" customHeight="1">
      <c r="A609" s="1" t="s">
        <v>553</v>
      </c>
    </row>
    <row r="610" ht="12.75" customHeight="1">
      <c r="A610" s="1" t="s">
        <v>554</v>
      </c>
    </row>
    <row r="611" ht="12.75" customHeight="1">
      <c r="A611" s="1" t="s">
        <v>555</v>
      </c>
    </row>
    <row r="612" ht="12.75" customHeight="1">
      <c r="A612" s="1" t="s">
        <v>556</v>
      </c>
    </row>
    <row r="613" ht="12.75" customHeight="1">
      <c r="A613" s="1" t="s">
        <v>557</v>
      </c>
    </row>
    <row r="614" ht="12.75" customHeight="1">
      <c r="A614" s="1" t="s">
        <v>558</v>
      </c>
    </row>
    <row r="615" ht="12.75" customHeight="1">
      <c r="A615" s="1" t="s">
        <v>532</v>
      </c>
    </row>
    <row r="616" ht="12.75" customHeight="1">
      <c r="A616" s="1" t="s">
        <v>533</v>
      </c>
    </row>
    <row r="617" ht="12.75" customHeight="1"/>
    <row r="618" ht="12.75" customHeight="1">
      <c r="A618" s="1" t="s">
        <v>360</v>
      </c>
    </row>
    <row r="619" ht="12.75" customHeight="1">
      <c r="A619" s="1" t="s">
        <v>534</v>
      </c>
    </row>
    <row r="620" ht="12.75" customHeight="1">
      <c r="A620" s="1" t="s">
        <v>535</v>
      </c>
    </row>
    <row r="621" ht="12.75" customHeight="1">
      <c r="A621" s="1" t="s">
        <v>536</v>
      </c>
    </row>
    <row r="622" ht="12.75" customHeight="1">
      <c r="A622" s="1" t="s">
        <v>537</v>
      </c>
    </row>
    <row r="623" ht="12.75" customHeight="1"/>
    <row r="624" ht="12.75" customHeight="1">
      <c r="A624" s="1" t="s">
        <v>361</v>
      </c>
    </row>
    <row r="625" ht="12.75" customHeight="1">
      <c r="A625" s="1" t="s">
        <v>538</v>
      </c>
    </row>
    <row r="626" ht="12.75" customHeight="1">
      <c r="A626" s="1" t="s">
        <v>539</v>
      </c>
    </row>
    <row r="627" ht="12.75" customHeight="1"/>
    <row r="628" ht="12.75" customHeight="1">
      <c r="A628" s="1" t="s">
        <v>362</v>
      </c>
    </row>
    <row r="629" ht="12.75" customHeight="1">
      <c r="A629" s="1" t="s">
        <v>540</v>
      </c>
    </row>
    <row r="630" ht="12.75" customHeight="1">
      <c r="A630" s="1" t="s">
        <v>541</v>
      </c>
    </row>
    <row r="631" ht="12.75" customHeight="1"/>
    <row r="632" ht="12.75" customHeight="1">
      <c r="A632" s="1" t="s">
        <v>363</v>
      </c>
    </row>
    <row r="633" ht="12.75" customHeight="1">
      <c r="A633" s="1" t="s">
        <v>542</v>
      </c>
    </row>
    <row r="634" ht="12.75" customHeight="1">
      <c r="A634" s="1" t="s">
        <v>559</v>
      </c>
    </row>
    <row r="635" ht="12.75" customHeight="1">
      <c r="A635" s="1" t="s">
        <v>560</v>
      </c>
    </row>
    <row r="636" ht="12.75" customHeight="1">
      <c r="A636" s="1" t="s">
        <v>532</v>
      </c>
    </row>
    <row r="637" ht="12.75" customHeight="1">
      <c r="A637" s="1" t="s">
        <v>533</v>
      </c>
    </row>
    <row r="638" ht="12.75" customHeight="1"/>
    <row r="639" ht="12.75" customHeight="1">
      <c r="A639" s="1" t="s">
        <v>360</v>
      </c>
    </row>
    <row r="640" ht="12.75" customHeight="1">
      <c r="A640" s="1" t="s">
        <v>534</v>
      </c>
    </row>
    <row r="641" ht="12.75" customHeight="1">
      <c r="A641" s="1" t="s">
        <v>535</v>
      </c>
    </row>
    <row r="642" ht="12.75" customHeight="1">
      <c r="A642" s="1" t="s">
        <v>536</v>
      </c>
    </row>
    <row r="643" ht="12.75" customHeight="1">
      <c r="A643" s="1" t="s">
        <v>537</v>
      </c>
    </row>
    <row r="644" ht="12.75" customHeight="1"/>
    <row r="645" ht="12.75" customHeight="1">
      <c r="A645" s="1" t="s">
        <v>361</v>
      </c>
    </row>
    <row r="646" ht="12.75" customHeight="1">
      <c r="A646" s="1" t="s">
        <v>538</v>
      </c>
    </row>
    <row r="647" ht="12.75" customHeight="1">
      <c r="A647" s="1" t="s">
        <v>539</v>
      </c>
    </row>
    <row r="648" ht="12.75" customHeight="1"/>
    <row r="649" ht="12.75" customHeight="1">
      <c r="A649" s="1" t="s">
        <v>362</v>
      </c>
    </row>
    <row r="650" ht="12.75" customHeight="1">
      <c r="A650" s="1" t="s">
        <v>540</v>
      </c>
    </row>
    <row r="651" ht="12.75" customHeight="1">
      <c r="A651" s="1" t="s">
        <v>541</v>
      </c>
    </row>
    <row r="652" ht="12.75" customHeight="1"/>
    <row r="653" ht="12.75" customHeight="1">
      <c r="A653" s="1" t="s">
        <v>363</v>
      </c>
    </row>
    <row r="654" ht="12.75" customHeight="1">
      <c r="A654" s="1" t="s">
        <v>542</v>
      </c>
    </row>
    <row r="655" ht="12.75" customHeight="1">
      <c r="A655" s="1" t="s">
        <v>543</v>
      </c>
    </row>
    <row r="656" ht="12.75" customHeight="1">
      <c r="A656" s="1" t="s">
        <v>544</v>
      </c>
    </row>
    <row r="657" ht="12.75" customHeight="1">
      <c r="A657" s="1" t="s">
        <v>545</v>
      </c>
    </row>
    <row r="658" ht="12.75" customHeight="1">
      <c r="A658" s="1" t="s">
        <v>546</v>
      </c>
    </row>
    <row r="659" ht="12.75" customHeight="1">
      <c r="A659" s="1" t="s">
        <v>547</v>
      </c>
    </row>
    <row r="660" ht="12.75" customHeight="1">
      <c r="A660" s="1" t="s">
        <v>548</v>
      </c>
    </row>
    <row r="661" ht="12.75" customHeight="1">
      <c r="A661" s="1" t="s">
        <v>549</v>
      </c>
    </row>
    <row r="662" ht="12.75" customHeight="1"/>
    <row r="663" ht="12.75" customHeight="1">
      <c r="A663" s="1" t="s">
        <v>419</v>
      </c>
    </row>
    <row r="664" ht="12.75" customHeight="1">
      <c r="A664" s="1" t="s">
        <v>550</v>
      </c>
    </row>
    <row r="665" ht="12.75" customHeight="1">
      <c r="A665" s="1" t="s">
        <v>551</v>
      </c>
    </row>
    <row r="666" ht="12.75" customHeight="1">
      <c r="A666" s="1" t="s">
        <v>552</v>
      </c>
    </row>
    <row r="667" ht="12.75" customHeight="1"/>
    <row r="668" ht="12.75" customHeight="1">
      <c r="A668" s="1" t="s">
        <v>423</v>
      </c>
    </row>
    <row r="669" ht="12.75" customHeight="1">
      <c r="A669" s="1" t="s">
        <v>553</v>
      </c>
    </row>
    <row r="670" ht="12.75" customHeight="1">
      <c r="A670" s="1" t="s">
        <v>554</v>
      </c>
    </row>
    <row r="671" ht="12.75" customHeight="1">
      <c r="A671" s="1" t="s">
        <v>555</v>
      </c>
    </row>
    <row r="672" ht="12.75" customHeight="1">
      <c r="A672" s="1" t="s">
        <v>556</v>
      </c>
    </row>
    <row r="673" ht="12.75" customHeight="1">
      <c r="A673" s="1" t="s">
        <v>557</v>
      </c>
    </row>
    <row r="674" ht="12.75" customHeight="1">
      <c r="A674" s="1" t="s">
        <v>561</v>
      </c>
    </row>
    <row r="675" ht="12.75" customHeight="1">
      <c r="A675" s="1" t="s">
        <v>562</v>
      </c>
    </row>
    <row r="676" ht="12.75" customHeight="1">
      <c r="A676" s="1" t="s">
        <v>563</v>
      </c>
    </row>
    <row r="677" ht="12.75" customHeight="1"/>
    <row r="678" ht="12.75" customHeight="1">
      <c r="A678" s="1" t="s">
        <v>360</v>
      </c>
    </row>
    <row r="679" ht="12.75" customHeight="1">
      <c r="A679" s="1" t="s">
        <v>564</v>
      </c>
    </row>
    <row r="680" ht="12.75" customHeight="1">
      <c r="A680" s="1" t="s">
        <v>565</v>
      </c>
    </row>
    <row r="681" ht="12.75" customHeight="1">
      <c r="A681" s="1" t="s">
        <v>566</v>
      </c>
    </row>
    <row r="682" ht="12.75" customHeight="1">
      <c r="A682" s="1" t="s">
        <v>567</v>
      </c>
    </row>
    <row r="683" ht="12.75" customHeight="1"/>
    <row r="684" ht="12.75" customHeight="1">
      <c r="A684" s="1" t="s">
        <v>361</v>
      </c>
    </row>
    <row r="685" ht="12.75" customHeight="1">
      <c r="A685" s="1" t="s">
        <v>568</v>
      </c>
    </row>
    <row r="686" ht="12.75" customHeight="1">
      <c r="A686" s="1" t="s">
        <v>569</v>
      </c>
    </row>
    <row r="687" ht="12.75" customHeight="1"/>
    <row r="688" ht="12.75" customHeight="1">
      <c r="A688" s="1" t="s">
        <v>362</v>
      </c>
    </row>
    <row r="689" ht="12.75" customHeight="1">
      <c r="A689" s="1" t="s">
        <v>570</v>
      </c>
    </row>
    <row r="690" ht="12.75" customHeight="1">
      <c r="A690" s="1" t="s">
        <v>571</v>
      </c>
    </row>
    <row r="691" ht="12.75" customHeight="1"/>
    <row r="692" ht="12.75" customHeight="1">
      <c r="A692" s="1" t="s">
        <v>363</v>
      </c>
    </row>
    <row r="693" ht="12.75" customHeight="1">
      <c r="A693" s="1" t="s">
        <v>572</v>
      </c>
    </row>
    <row r="694" ht="12.75" customHeight="1">
      <c r="A694" s="1" t="s">
        <v>573</v>
      </c>
    </row>
    <row r="695" ht="12.75" customHeight="1">
      <c r="A695" s="1" t="s">
        <v>574</v>
      </c>
    </row>
    <row r="696" ht="12.75" customHeight="1">
      <c r="A696" s="1" t="s">
        <v>562</v>
      </c>
    </row>
    <row r="697" ht="12.75" customHeight="1">
      <c r="A697" s="1" t="s">
        <v>563</v>
      </c>
    </row>
    <row r="698" ht="12.75" customHeight="1"/>
    <row r="699" ht="12.75" customHeight="1">
      <c r="A699" s="1" t="s">
        <v>360</v>
      </c>
    </row>
    <row r="700" ht="12.75" customHeight="1">
      <c r="A700" s="1" t="s">
        <v>564</v>
      </c>
    </row>
    <row r="701" ht="12.75" customHeight="1">
      <c r="A701" s="1" t="s">
        <v>565</v>
      </c>
    </row>
    <row r="702" ht="12.75" customHeight="1">
      <c r="A702" s="1" t="s">
        <v>566</v>
      </c>
    </row>
    <row r="703" ht="12.75" customHeight="1">
      <c r="A703" s="1" t="s">
        <v>567</v>
      </c>
    </row>
    <row r="704" ht="12.75" customHeight="1"/>
    <row r="705" ht="12.75" customHeight="1">
      <c r="A705" s="1" t="s">
        <v>361</v>
      </c>
    </row>
    <row r="706" ht="12.75" customHeight="1">
      <c r="A706" s="1" t="s">
        <v>568</v>
      </c>
    </row>
    <row r="707" ht="12.75" customHeight="1">
      <c r="A707" s="1" t="s">
        <v>569</v>
      </c>
    </row>
    <row r="708" ht="12.75" customHeight="1"/>
    <row r="709" ht="12.75" customHeight="1">
      <c r="A709" s="1" t="s">
        <v>362</v>
      </c>
    </row>
    <row r="710" ht="12.75" customHeight="1">
      <c r="A710" s="1" t="s">
        <v>570</v>
      </c>
    </row>
    <row r="711" ht="12.75" customHeight="1">
      <c r="A711" s="1" t="s">
        <v>571</v>
      </c>
    </row>
    <row r="712" ht="12.75" customHeight="1"/>
    <row r="713" ht="12.75" customHeight="1">
      <c r="A713" s="1" t="s">
        <v>363</v>
      </c>
    </row>
    <row r="714" ht="12.75" customHeight="1">
      <c r="A714" s="1" t="s">
        <v>572</v>
      </c>
    </row>
    <row r="715" ht="12.75" customHeight="1">
      <c r="A715" s="1" t="s">
        <v>575</v>
      </c>
    </row>
    <row r="716" ht="12.75" customHeight="1">
      <c r="A716" s="1" t="s">
        <v>576</v>
      </c>
    </row>
    <row r="717" ht="12.75" customHeight="1">
      <c r="A717" s="1" t="s">
        <v>577</v>
      </c>
    </row>
    <row r="718" ht="12.75" customHeight="1">
      <c r="A718" s="1" t="s">
        <v>578</v>
      </c>
    </row>
    <row r="719" ht="12.75" customHeight="1">
      <c r="A719" s="1" t="s">
        <v>579</v>
      </c>
    </row>
    <row r="720" ht="12.75" customHeight="1">
      <c r="A720" s="1" t="s">
        <v>580</v>
      </c>
    </row>
    <row r="721" ht="12.75" customHeight="1">
      <c r="A721" s="1" t="s">
        <v>581</v>
      </c>
    </row>
    <row r="722" ht="12.75" customHeight="1">
      <c r="A722" s="1" t="s">
        <v>582</v>
      </c>
    </row>
    <row r="723" ht="12.75" customHeight="1"/>
    <row r="724" ht="12.75" customHeight="1">
      <c r="A724" s="1" t="s">
        <v>360</v>
      </c>
    </row>
    <row r="725" ht="12.75" customHeight="1">
      <c r="A725" s="1" t="s">
        <v>583</v>
      </c>
    </row>
    <row r="726" ht="12.75" customHeight="1">
      <c r="A726" s="1" t="s">
        <v>584</v>
      </c>
    </row>
    <row r="727" ht="12.75" customHeight="1">
      <c r="A727" s="1" t="s">
        <v>585</v>
      </c>
    </row>
    <row r="728" ht="12.75" customHeight="1">
      <c r="A728" s="1" t="s">
        <v>586</v>
      </c>
    </row>
    <row r="729" ht="12.75" customHeight="1"/>
    <row r="730" ht="12.75" customHeight="1">
      <c r="A730" s="1" t="s">
        <v>361</v>
      </c>
    </row>
    <row r="731" ht="12.75" customHeight="1">
      <c r="A731" s="1" t="s">
        <v>587</v>
      </c>
    </row>
    <row r="732" ht="12.75" customHeight="1">
      <c r="A732" s="1" t="s">
        <v>588</v>
      </c>
    </row>
    <row r="733" ht="12.75" customHeight="1"/>
    <row r="734" ht="12.75" customHeight="1">
      <c r="A734" s="1" t="s">
        <v>362</v>
      </c>
    </row>
    <row r="735" ht="12.75" customHeight="1">
      <c r="A735" s="1" t="s">
        <v>589</v>
      </c>
    </row>
    <row r="736" ht="12.75" customHeight="1">
      <c r="A736" s="1" t="s">
        <v>590</v>
      </c>
    </row>
    <row r="737" ht="12.75" customHeight="1"/>
    <row r="738" ht="12.75" customHeight="1">
      <c r="A738" s="1" t="s">
        <v>363</v>
      </c>
    </row>
    <row r="739" ht="12.75" customHeight="1">
      <c r="A739" s="1" t="s">
        <v>591</v>
      </c>
    </row>
    <row r="740" ht="12.75" customHeight="1">
      <c r="A740" s="1" t="s">
        <v>592</v>
      </c>
    </row>
    <row r="741" ht="12.75" customHeight="1">
      <c r="A741" s="1" t="s">
        <v>593</v>
      </c>
    </row>
    <row r="742" ht="12.75" customHeight="1">
      <c r="A742" s="1" t="s">
        <v>581</v>
      </c>
    </row>
    <row r="743" ht="12.75" customHeight="1">
      <c r="A743" s="1" t="s">
        <v>582</v>
      </c>
    </row>
    <row r="744" ht="12.75" customHeight="1"/>
    <row r="745" ht="12.75" customHeight="1">
      <c r="A745" s="1" t="s">
        <v>360</v>
      </c>
    </row>
    <row r="746" ht="12.75" customHeight="1">
      <c r="A746" s="1" t="s">
        <v>583</v>
      </c>
    </row>
    <row r="747" ht="12.75" customHeight="1">
      <c r="A747" s="1" t="s">
        <v>584</v>
      </c>
    </row>
    <row r="748" ht="12.75" customHeight="1">
      <c r="A748" s="1" t="s">
        <v>585</v>
      </c>
    </row>
    <row r="749" ht="12.75" customHeight="1">
      <c r="A749" s="1" t="s">
        <v>586</v>
      </c>
    </row>
    <row r="750" ht="12.75" customHeight="1"/>
    <row r="751" ht="12.75" customHeight="1">
      <c r="A751" s="1" t="s">
        <v>361</v>
      </c>
    </row>
    <row r="752" ht="12.75" customHeight="1">
      <c r="A752" s="1" t="s">
        <v>587</v>
      </c>
    </row>
    <row r="753" ht="12.75" customHeight="1">
      <c r="A753" s="1" t="s">
        <v>588</v>
      </c>
    </row>
    <row r="754" ht="12.75" customHeight="1"/>
    <row r="755" ht="12.75" customHeight="1">
      <c r="A755" s="1" t="s">
        <v>362</v>
      </c>
    </row>
    <row r="756" ht="12.75" customHeight="1">
      <c r="A756" s="1" t="s">
        <v>589</v>
      </c>
    </row>
    <row r="757" ht="12.75" customHeight="1">
      <c r="A757" s="1" t="s">
        <v>590</v>
      </c>
    </row>
    <row r="758" ht="12.75" customHeight="1"/>
    <row r="759" ht="12.75" customHeight="1">
      <c r="A759" s="1" t="s">
        <v>363</v>
      </c>
    </row>
    <row r="760" ht="12.75" customHeight="1">
      <c r="A760" s="1" t="s">
        <v>591</v>
      </c>
    </row>
    <row r="761" ht="12.75" customHeight="1">
      <c r="A761" s="1" t="s">
        <v>594</v>
      </c>
    </row>
    <row r="762" ht="12.75" customHeight="1">
      <c r="A762" s="1" t="s">
        <v>595</v>
      </c>
    </row>
    <row r="763" ht="12.75" customHeight="1">
      <c r="A763" s="1" t="s">
        <v>581</v>
      </c>
    </row>
    <row r="764" ht="12.75" customHeight="1">
      <c r="A764" s="1" t="s">
        <v>582</v>
      </c>
    </row>
    <row r="765" ht="12.75" customHeight="1"/>
    <row r="766" ht="12.75" customHeight="1">
      <c r="A766" s="1" t="s">
        <v>360</v>
      </c>
    </row>
    <row r="767" ht="12.75" customHeight="1">
      <c r="A767" s="1" t="s">
        <v>583</v>
      </c>
    </row>
    <row r="768" ht="12.75" customHeight="1">
      <c r="A768" s="1" t="s">
        <v>584</v>
      </c>
    </row>
    <row r="769" ht="12.75" customHeight="1">
      <c r="A769" s="1" t="s">
        <v>585</v>
      </c>
    </row>
    <row r="770" ht="12.75" customHeight="1">
      <c r="A770" s="1" t="s">
        <v>586</v>
      </c>
    </row>
    <row r="771" ht="12.75" customHeight="1"/>
    <row r="772" ht="12.75" customHeight="1">
      <c r="A772" s="1" t="s">
        <v>361</v>
      </c>
    </row>
    <row r="773" ht="12.75" customHeight="1">
      <c r="A773" s="1" t="s">
        <v>587</v>
      </c>
    </row>
    <row r="774" ht="12.75" customHeight="1">
      <c r="A774" s="1" t="s">
        <v>588</v>
      </c>
    </row>
    <row r="775" ht="12.75" customHeight="1"/>
    <row r="776" ht="12.75" customHeight="1">
      <c r="A776" s="1" t="s">
        <v>362</v>
      </c>
    </row>
    <row r="777" ht="12.75" customHeight="1">
      <c r="A777" s="1" t="s">
        <v>589</v>
      </c>
    </row>
    <row r="778" ht="12.75" customHeight="1">
      <c r="A778" s="1" t="s">
        <v>590</v>
      </c>
    </row>
    <row r="779" ht="12.75" customHeight="1"/>
    <row r="780" ht="12.75" customHeight="1">
      <c r="A780" s="1" t="s">
        <v>363</v>
      </c>
    </row>
    <row r="781" ht="12.75" customHeight="1">
      <c r="A781" s="1" t="s">
        <v>591</v>
      </c>
    </row>
    <row r="782" ht="12.75" customHeight="1">
      <c r="A782" s="1" t="s">
        <v>594</v>
      </c>
    </row>
    <row r="783" ht="12.75" customHeight="1">
      <c r="A783" s="1" t="s">
        <v>596</v>
      </c>
    </row>
    <row r="784" ht="12.75" customHeight="1">
      <c r="A784" s="1" t="s">
        <v>581</v>
      </c>
    </row>
    <row r="785" ht="12.75" customHeight="1">
      <c r="A785" s="1" t="s">
        <v>582</v>
      </c>
    </row>
    <row r="786" ht="12.75" customHeight="1"/>
    <row r="787" ht="12.75" customHeight="1">
      <c r="A787" s="1" t="s">
        <v>360</v>
      </c>
    </row>
    <row r="788" ht="12.75" customHeight="1">
      <c r="A788" s="1" t="s">
        <v>583</v>
      </c>
    </row>
    <row r="789" ht="12.75" customHeight="1">
      <c r="A789" s="1" t="s">
        <v>584</v>
      </c>
    </row>
    <row r="790" ht="12.75" customHeight="1">
      <c r="A790" s="1" t="s">
        <v>585</v>
      </c>
    </row>
    <row r="791" ht="12.75" customHeight="1">
      <c r="A791" s="1" t="s">
        <v>586</v>
      </c>
    </row>
    <row r="792" ht="12.75" customHeight="1"/>
    <row r="793" ht="12.75" customHeight="1">
      <c r="A793" s="1" t="s">
        <v>361</v>
      </c>
    </row>
    <row r="794" ht="12.75" customHeight="1">
      <c r="A794" s="1" t="s">
        <v>587</v>
      </c>
    </row>
    <row r="795" ht="12.75" customHeight="1">
      <c r="A795" s="1" t="s">
        <v>588</v>
      </c>
    </row>
    <row r="796" ht="12.75" customHeight="1"/>
    <row r="797" ht="12.75" customHeight="1">
      <c r="A797" s="1" t="s">
        <v>362</v>
      </c>
    </row>
    <row r="798" ht="12.75" customHeight="1">
      <c r="A798" s="1" t="s">
        <v>589</v>
      </c>
    </row>
    <row r="799" ht="12.75" customHeight="1">
      <c r="A799" s="1" t="s">
        <v>590</v>
      </c>
    </row>
    <row r="800" ht="12.75" customHeight="1"/>
    <row r="801" ht="12.75" customHeight="1">
      <c r="A801" s="1" t="s">
        <v>363</v>
      </c>
    </row>
    <row r="802" ht="12.75" customHeight="1">
      <c r="A802" s="1" t="s">
        <v>591</v>
      </c>
    </row>
    <row r="803" ht="12.75" customHeight="1">
      <c r="A803" s="1" t="s">
        <v>597</v>
      </c>
    </row>
    <row r="804" ht="12.75" customHeight="1">
      <c r="A804" s="1" t="s">
        <v>598</v>
      </c>
    </row>
    <row r="805" ht="12.75" customHeight="1">
      <c r="A805" s="1" t="s">
        <v>599</v>
      </c>
    </row>
    <row r="806" ht="12.75" customHeight="1">
      <c r="A806" s="1" t="s">
        <v>600</v>
      </c>
    </row>
    <row r="807" ht="12.75" customHeight="1">
      <c r="A807" s="1" t="s">
        <v>601</v>
      </c>
    </row>
    <row r="808" ht="12.75" customHeight="1">
      <c r="A808" s="1" t="s">
        <v>602</v>
      </c>
    </row>
    <row r="809" ht="12.75" customHeight="1">
      <c r="A809" s="1" t="s">
        <v>603</v>
      </c>
    </row>
    <row r="810" ht="12.75" customHeight="1"/>
    <row r="811" ht="12.75" customHeight="1">
      <c r="A811" s="1" t="s">
        <v>419</v>
      </c>
    </row>
    <row r="812" ht="12.75" customHeight="1">
      <c r="A812" s="1" t="s">
        <v>604</v>
      </c>
    </row>
    <row r="813" ht="12.75" customHeight="1">
      <c r="A813" s="1" t="s">
        <v>605</v>
      </c>
    </row>
    <row r="814" ht="12.75" customHeight="1">
      <c r="A814" s="1" t="s">
        <v>606</v>
      </c>
    </row>
    <row r="815" ht="12.75" customHeight="1"/>
    <row r="816" ht="12.75" customHeight="1">
      <c r="A816" s="1" t="s">
        <v>423</v>
      </c>
    </row>
    <row r="817" ht="12.75" customHeight="1">
      <c r="A817" s="1" t="s">
        <v>607</v>
      </c>
    </row>
    <row r="818" ht="12.75" customHeight="1">
      <c r="A818" s="1" t="s">
        <v>608</v>
      </c>
    </row>
    <row r="819" ht="12.75" customHeight="1">
      <c r="A819" s="1" t="s">
        <v>609</v>
      </c>
    </row>
    <row r="820" ht="12.75" customHeight="1">
      <c r="A820" s="1" t="s">
        <v>610</v>
      </c>
    </row>
    <row r="821" ht="12.75" customHeight="1">
      <c r="A821" s="1" t="s">
        <v>611</v>
      </c>
    </row>
    <row r="822" ht="12.75" customHeight="1">
      <c r="A822" s="1" t="s">
        <v>612</v>
      </c>
    </row>
    <row r="823" ht="12.75" customHeight="1">
      <c r="A823" s="1" t="s">
        <v>581</v>
      </c>
    </row>
    <row r="824" ht="12.75" customHeight="1">
      <c r="A824" s="1" t="s">
        <v>582</v>
      </c>
    </row>
    <row r="825" ht="12.75" customHeight="1"/>
    <row r="826" ht="12.75" customHeight="1">
      <c r="A826" s="1" t="s">
        <v>360</v>
      </c>
    </row>
    <row r="827" ht="12.75" customHeight="1">
      <c r="A827" s="1" t="s">
        <v>583</v>
      </c>
    </row>
    <row r="828" ht="12.75" customHeight="1">
      <c r="A828" s="1" t="s">
        <v>584</v>
      </c>
    </row>
    <row r="829" ht="12.75" customHeight="1">
      <c r="A829" s="1" t="s">
        <v>585</v>
      </c>
    </row>
    <row r="830" ht="12.75" customHeight="1">
      <c r="A830" s="1" t="s">
        <v>586</v>
      </c>
    </row>
    <row r="831" ht="12.75" customHeight="1"/>
    <row r="832" ht="12.75" customHeight="1">
      <c r="A832" s="1" t="s">
        <v>361</v>
      </c>
    </row>
    <row r="833" ht="12.75" customHeight="1">
      <c r="A833" s="1" t="s">
        <v>587</v>
      </c>
    </row>
    <row r="834" ht="12.75" customHeight="1">
      <c r="A834" s="1" t="s">
        <v>588</v>
      </c>
    </row>
    <row r="835" ht="12.75" customHeight="1"/>
    <row r="836" ht="12.75" customHeight="1">
      <c r="A836" s="1" t="s">
        <v>362</v>
      </c>
    </row>
    <row r="837" ht="12.75" customHeight="1">
      <c r="A837" s="1" t="s">
        <v>589</v>
      </c>
    </row>
    <row r="838" ht="12.75" customHeight="1">
      <c r="A838" s="1" t="s">
        <v>590</v>
      </c>
    </row>
    <row r="839" ht="12.75" customHeight="1"/>
    <row r="840" ht="12.75" customHeight="1">
      <c r="A840" s="1" t="s">
        <v>363</v>
      </c>
    </row>
    <row r="841" ht="12.75" customHeight="1">
      <c r="A841" s="1" t="s">
        <v>591</v>
      </c>
    </row>
    <row r="842" ht="12.75" customHeight="1">
      <c r="A842" s="1" t="s">
        <v>597</v>
      </c>
    </row>
    <row r="843" ht="12.75" customHeight="1">
      <c r="A843" s="1" t="s">
        <v>598</v>
      </c>
    </row>
    <row r="844" ht="12.75" customHeight="1">
      <c r="A844" s="1" t="s">
        <v>599</v>
      </c>
    </row>
    <row r="845" ht="12.75" customHeight="1">
      <c r="A845" s="1" t="s">
        <v>600</v>
      </c>
    </row>
    <row r="846" ht="12.75" customHeight="1">
      <c r="A846" s="1" t="s">
        <v>601</v>
      </c>
    </row>
    <row r="847" ht="12.75" customHeight="1">
      <c r="A847" s="1" t="s">
        <v>602</v>
      </c>
    </row>
    <row r="848" ht="12.75" customHeight="1">
      <c r="A848" s="1" t="s">
        <v>603</v>
      </c>
    </row>
    <row r="849" ht="12.75" customHeight="1"/>
    <row r="850" ht="12.75" customHeight="1">
      <c r="A850" s="1" t="s">
        <v>419</v>
      </c>
    </row>
    <row r="851" ht="12.75" customHeight="1">
      <c r="A851" s="1" t="s">
        <v>604</v>
      </c>
    </row>
    <row r="852" ht="12.75" customHeight="1">
      <c r="A852" s="1" t="s">
        <v>605</v>
      </c>
    </row>
    <row r="853" ht="12.75" customHeight="1">
      <c r="A853" s="1" t="s">
        <v>606</v>
      </c>
    </row>
    <row r="854" ht="12.75" customHeight="1"/>
    <row r="855" ht="12.75" customHeight="1">
      <c r="A855" s="1" t="s">
        <v>423</v>
      </c>
    </row>
    <row r="856" ht="12.75" customHeight="1">
      <c r="A856" s="1" t="s">
        <v>607</v>
      </c>
    </row>
    <row r="857" ht="12.75" customHeight="1">
      <c r="A857" s="1" t="s">
        <v>608</v>
      </c>
    </row>
    <row r="858" ht="12.75" customHeight="1">
      <c r="A858" s="1" t="s">
        <v>609</v>
      </c>
    </row>
    <row r="859" ht="12.75" customHeight="1">
      <c r="A859" s="1" t="s">
        <v>610</v>
      </c>
    </row>
    <row r="860" ht="12.75" customHeight="1">
      <c r="A860" s="1" t="s">
        <v>611</v>
      </c>
    </row>
    <row r="861" ht="12.75" customHeight="1">
      <c r="A861" s="1" t="s">
        <v>613</v>
      </c>
    </row>
    <row r="862" ht="12.75" customHeight="1">
      <c r="A862" s="1" t="s">
        <v>614</v>
      </c>
    </row>
    <row r="863" ht="12.75" customHeight="1">
      <c r="A863" s="1" t="s">
        <v>615</v>
      </c>
    </row>
    <row r="864" ht="12.75" customHeight="1"/>
    <row r="865" ht="12.75" customHeight="1">
      <c r="A865" s="1" t="s">
        <v>360</v>
      </c>
    </row>
    <row r="866" ht="12.75" customHeight="1">
      <c r="A866" s="1" t="s">
        <v>616</v>
      </c>
    </row>
    <row r="867" ht="12.75" customHeight="1">
      <c r="A867" s="1" t="s">
        <v>617</v>
      </c>
    </row>
    <row r="868" ht="12.75" customHeight="1">
      <c r="A868" s="1" t="s">
        <v>618</v>
      </c>
    </row>
    <row r="869" ht="12.75" customHeight="1">
      <c r="A869" s="1" t="s">
        <v>619</v>
      </c>
    </row>
    <row r="870" ht="12.75" customHeight="1"/>
    <row r="871" ht="12.75" customHeight="1">
      <c r="A871" s="1" t="s">
        <v>361</v>
      </c>
    </row>
    <row r="872" ht="12.75" customHeight="1">
      <c r="A872" s="1" t="s">
        <v>620</v>
      </c>
    </row>
    <row r="873" ht="12.75" customHeight="1">
      <c r="A873" s="1" t="s">
        <v>621</v>
      </c>
    </row>
    <row r="874" ht="12.75" customHeight="1"/>
    <row r="875" ht="12.75" customHeight="1">
      <c r="A875" s="1" t="s">
        <v>362</v>
      </c>
    </row>
    <row r="876" ht="12.75" customHeight="1">
      <c r="A876" s="1" t="s">
        <v>622</v>
      </c>
    </row>
    <row r="877" ht="12.75" customHeight="1">
      <c r="A877" s="1" t="s">
        <v>623</v>
      </c>
    </row>
    <row r="878" ht="12.75" customHeight="1"/>
    <row r="879" ht="12.75" customHeight="1">
      <c r="A879" s="1" t="s">
        <v>363</v>
      </c>
    </row>
    <row r="880" ht="12.75" customHeight="1">
      <c r="A880" s="1" t="s">
        <v>624</v>
      </c>
    </row>
    <row r="881" ht="12.75" customHeight="1">
      <c r="A881" s="1" t="s">
        <v>625</v>
      </c>
    </row>
    <row r="882" ht="12.75" customHeight="1">
      <c r="A882" s="1" t="s">
        <v>626</v>
      </c>
    </row>
    <row r="883" ht="12.75" customHeight="1">
      <c r="A883" s="1" t="s">
        <v>614</v>
      </c>
    </row>
    <row r="884" ht="12.75" customHeight="1">
      <c r="A884" s="1" t="s">
        <v>615</v>
      </c>
    </row>
    <row r="885" ht="12.75" customHeight="1"/>
    <row r="886" ht="12.75" customHeight="1">
      <c r="A886" s="1" t="s">
        <v>360</v>
      </c>
    </row>
    <row r="887" ht="12.75" customHeight="1">
      <c r="A887" s="1" t="s">
        <v>616</v>
      </c>
    </row>
    <row r="888" ht="12.75" customHeight="1">
      <c r="A888" s="1" t="s">
        <v>617</v>
      </c>
    </row>
    <row r="889" ht="12.75" customHeight="1">
      <c r="A889" s="1" t="s">
        <v>618</v>
      </c>
    </row>
    <row r="890" ht="12.75" customHeight="1">
      <c r="A890" s="1" t="s">
        <v>619</v>
      </c>
    </row>
    <row r="891" ht="12.75" customHeight="1"/>
    <row r="892" ht="12.75" customHeight="1">
      <c r="A892" s="1" t="s">
        <v>361</v>
      </c>
    </row>
    <row r="893" ht="12.75" customHeight="1">
      <c r="A893" s="1" t="s">
        <v>620</v>
      </c>
    </row>
    <row r="894" ht="12.75" customHeight="1">
      <c r="A894" s="1" t="s">
        <v>621</v>
      </c>
    </row>
    <row r="895" ht="12.75" customHeight="1"/>
    <row r="896" ht="12.75" customHeight="1">
      <c r="A896" s="1" t="s">
        <v>362</v>
      </c>
    </row>
    <row r="897" ht="12.75" customHeight="1">
      <c r="A897" s="1" t="s">
        <v>622</v>
      </c>
    </row>
    <row r="898" ht="12.75" customHeight="1">
      <c r="A898" s="1" t="s">
        <v>623</v>
      </c>
    </row>
    <row r="899" ht="12.75" customHeight="1"/>
    <row r="900" ht="12.75" customHeight="1">
      <c r="A900" s="1" t="s">
        <v>363</v>
      </c>
    </row>
    <row r="901" ht="12.75" customHeight="1">
      <c r="A901" s="1" t="s">
        <v>624</v>
      </c>
    </row>
    <row r="902" ht="12.75" customHeight="1">
      <c r="A902" s="1" t="s">
        <v>625</v>
      </c>
    </row>
    <row r="903" ht="12.75" customHeight="1">
      <c r="A903" s="1" t="s">
        <v>627</v>
      </c>
    </row>
    <row r="904" ht="12.75" customHeight="1">
      <c r="A904" s="1" t="s">
        <v>614</v>
      </c>
    </row>
    <row r="905" ht="12.75" customHeight="1">
      <c r="A905" s="1" t="s">
        <v>615</v>
      </c>
    </row>
    <row r="906" ht="12.75" customHeight="1"/>
    <row r="907" ht="12.75" customHeight="1">
      <c r="A907" s="1" t="s">
        <v>360</v>
      </c>
    </row>
    <row r="908" ht="12.75" customHeight="1">
      <c r="A908" s="1" t="s">
        <v>616</v>
      </c>
    </row>
    <row r="909" ht="12.75" customHeight="1">
      <c r="A909" s="1" t="s">
        <v>617</v>
      </c>
    </row>
    <row r="910" ht="12.75" customHeight="1">
      <c r="A910" s="1" t="s">
        <v>618</v>
      </c>
    </row>
    <row r="911" ht="12.75" customHeight="1">
      <c r="A911" s="1" t="s">
        <v>619</v>
      </c>
    </row>
    <row r="912" ht="12.75" customHeight="1"/>
    <row r="913" ht="12.75" customHeight="1">
      <c r="A913" s="1" t="s">
        <v>361</v>
      </c>
    </row>
    <row r="914" ht="12.75" customHeight="1">
      <c r="A914" s="1" t="s">
        <v>620</v>
      </c>
    </row>
    <row r="915" ht="12.75" customHeight="1">
      <c r="A915" s="1" t="s">
        <v>621</v>
      </c>
    </row>
    <row r="916" ht="12.75" customHeight="1"/>
    <row r="917" ht="12.75" customHeight="1">
      <c r="A917" s="1" t="s">
        <v>362</v>
      </c>
    </row>
    <row r="918" ht="12.75" customHeight="1">
      <c r="A918" s="1" t="s">
        <v>622</v>
      </c>
    </row>
    <row r="919" ht="12.75" customHeight="1">
      <c r="A919" s="1" t="s">
        <v>623</v>
      </c>
    </row>
    <row r="920" ht="12.75" customHeight="1"/>
    <row r="921" ht="12.75" customHeight="1">
      <c r="A921" s="1" t="s">
        <v>363</v>
      </c>
    </row>
    <row r="922" ht="12.75" customHeight="1">
      <c r="A922" s="1" t="s">
        <v>624</v>
      </c>
    </row>
    <row r="923" ht="12.75" customHeight="1">
      <c r="A923" s="1" t="s">
        <v>625</v>
      </c>
    </row>
    <row r="924" ht="12.75" customHeight="1">
      <c r="A924" s="1" t="s">
        <v>628</v>
      </c>
    </row>
    <row r="925" ht="12.75" customHeight="1">
      <c r="A925" s="1" t="s">
        <v>614</v>
      </c>
    </row>
    <row r="926" ht="12.75" customHeight="1">
      <c r="A926" s="1" t="s">
        <v>615</v>
      </c>
    </row>
    <row r="927" ht="12.75" customHeight="1"/>
    <row r="928" ht="12.75" customHeight="1">
      <c r="A928" s="1" t="s">
        <v>360</v>
      </c>
    </row>
    <row r="929" ht="12.75" customHeight="1">
      <c r="A929" s="1" t="s">
        <v>616</v>
      </c>
    </row>
    <row r="930" ht="12.75" customHeight="1">
      <c r="A930" s="1" t="s">
        <v>617</v>
      </c>
    </row>
    <row r="931" ht="12.75" customHeight="1">
      <c r="A931" s="1" t="s">
        <v>618</v>
      </c>
    </row>
    <row r="932" ht="12.75" customHeight="1">
      <c r="A932" s="1" t="s">
        <v>619</v>
      </c>
    </row>
    <row r="933" ht="12.75" customHeight="1"/>
    <row r="934" ht="12.75" customHeight="1">
      <c r="A934" s="1" t="s">
        <v>361</v>
      </c>
    </row>
    <row r="935" ht="12.75" customHeight="1">
      <c r="A935" s="1" t="s">
        <v>620</v>
      </c>
    </row>
    <row r="936" ht="12.75" customHeight="1">
      <c r="A936" s="1" t="s">
        <v>621</v>
      </c>
    </row>
    <row r="937" ht="12.75" customHeight="1"/>
    <row r="938" ht="12.75" customHeight="1">
      <c r="A938" s="1" t="s">
        <v>362</v>
      </c>
    </row>
    <row r="939" ht="12.75" customHeight="1">
      <c r="A939" s="1" t="s">
        <v>622</v>
      </c>
    </row>
    <row r="940" ht="12.75" customHeight="1">
      <c r="A940" s="1" t="s">
        <v>623</v>
      </c>
    </row>
    <row r="941" ht="12.75" customHeight="1"/>
    <row r="942" ht="12.75" customHeight="1">
      <c r="A942" s="1" t="s">
        <v>363</v>
      </c>
    </row>
    <row r="943" ht="12.75" customHeight="1">
      <c r="A943" s="1" t="s">
        <v>624</v>
      </c>
    </row>
    <row r="944" ht="12.75" customHeight="1">
      <c r="A944" s="1" t="s">
        <v>625</v>
      </c>
    </row>
    <row r="945" ht="12.75" customHeight="1">
      <c r="A945" s="1" t="s">
        <v>629</v>
      </c>
    </row>
    <row r="946" ht="12.75" customHeight="1">
      <c r="A946" s="1" t="s">
        <v>614</v>
      </c>
    </row>
    <row r="947" ht="12.75" customHeight="1">
      <c r="A947" s="1" t="s">
        <v>615</v>
      </c>
    </row>
    <row r="948" ht="12.75" customHeight="1"/>
    <row r="949" ht="12.75" customHeight="1">
      <c r="A949" s="1" t="s">
        <v>360</v>
      </c>
    </row>
    <row r="950" ht="12.75" customHeight="1">
      <c r="A950" s="1" t="s">
        <v>616</v>
      </c>
    </row>
    <row r="951" ht="12.75" customHeight="1">
      <c r="A951" s="1" t="s">
        <v>617</v>
      </c>
    </row>
    <row r="952" ht="12.75" customHeight="1">
      <c r="A952" s="1" t="s">
        <v>618</v>
      </c>
    </row>
    <row r="953" ht="12.75" customHeight="1">
      <c r="A953" s="1" t="s">
        <v>619</v>
      </c>
    </row>
    <row r="954" ht="12.75" customHeight="1"/>
    <row r="955" ht="12.75" customHeight="1">
      <c r="A955" s="1" t="s">
        <v>361</v>
      </c>
    </row>
    <row r="956" ht="12.75" customHeight="1">
      <c r="A956" s="1" t="s">
        <v>620</v>
      </c>
    </row>
    <row r="957" ht="12.75" customHeight="1">
      <c r="A957" s="1" t="s">
        <v>621</v>
      </c>
    </row>
    <row r="958" ht="12.75" customHeight="1"/>
    <row r="959" ht="12.75" customHeight="1">
      <c r="A959" s="1" t="s">
        <v>362</v>
      </c>
    </row>
    <row r="960" ht="12.75" customHeight="1">
      <c r="A960" s="1" t="s">
        <v>622</v>
      </c>
    </row>
    <row r="961" ht="12.75" customHeight="1">
      <c r="A961" s="1" t="s">
        <v>623</v>
      </c>
    </row>
    <row r="962" ht="12.75" customHeight="1"/>
    <row r="963" ht="12.75" customHeight="1">
      <c r="A963" s="1" t="s">
        <v>363</v>
      </c>
    </row>
    <row r="964" ht="12.75" customHeight="1">
      <c r="A964" s="1" t="s">
        <v>630</v>
      </c>
    </row>
    <row r="965" ht="12.75" customHeight="1">
      <c r="A965" s="1" t="s">
        <v>625</v>
      </c>
    </row>
    <row r="966" ht="12.75" customHeight="1">
      <c r="A966" s="1" t="s">
        <v>631</v>
      </c>
    </row>
    <row r="967" ht="12.75" customHeight="1">
      <c r="A967" s="1" t="s">
        <v>632</v>
      </c>
    </row>
    <row r="968" ht="12.75" customHeight="1">
      <c r="A968" s="1" t="s">
        <v>633</v>
      </c>
    </row>
    <row r="969" ht="12.75" customHeight="1"/>
    <row r="970" ht="12.75" customHeight="1">
      <c r="A970" s="1" t="s">
        <v>360</v>
      </c>
    </row>
    <row r="971" ht="12.75" customHeight="1">
      <c r="A971" s="1" t="s">
        <v>634</v>
      </c>
    </row>
    <row r="972" ht="12.75" customHeight="1">
      <c r="A972" s="1" t="s">
        <v>635</v>
      </c>
    </row>
    <row r="973" ht="12.75" customHeight="1">
      <c r="A973" s="1" t="s">
        <v>636</v>
      </c>
    </row>
    <row r="974" ht="12.75" customHeight="1">
      <c r="A974" s="1" t="s">
        <v>637</v>
      </c>
    </row>
    <row r="975" ht="12.75" customHeight="1"/>
    <row r="976" ht="12.75" customHeight="1">
      <c r="A976" s="1" t="s">
        <v>361</v>
      </c>
    </row>
    <row r="977" ht="12.75" customHeight="1">
      <c r="A977" s="1" t="s">
        <v>638</v>
      </c>
    </row>
    <row r="978" ht="12.75" customHeight="1">
      <c r="A978" s="1" t="s">
        <v>639</v>
      </c>
    </row>
    <row r="979" ht="12.75" customHeight="1"/>
    <row r="980" ht="12.75" customHeight="1">
      <c r="A980" s="1" t="s">
        <v>362</v>
      </c>
    </row>
    <row r="981" ht="12.75" customHeight="1">
      <c r="A981" s="1" t="s">
        <v>640</v>
      </c>
    </row>
    <row r="982" ht="12.75" customHeight="1">
      <c r="A982" s="1" t="s">
        <v>641</v>
      </c>
    </row>
    <row r="983" ht="12.75" customHeight="1"/>
    <row r="984" ht="12.75" customHeight="1">
      <c r="A984" s="1" t="s">
        <v>363</v>
      </c>
    </row>
    <row r="985" ht="12.75" customHeight="1">
      <c r="A985" s="1" t="s">
        <v>642</v>
      </c>
    </row>
    <row r="986" ht="12.75" customHeight="1">
      <c r="A986" s="1" t="s">
        <v>643</v>
      </c>
    </row>
    <row r="987" ht="12.75" customHeight="1">
      <c r="A987" s="1" t="s">
        <v>644</v>
      </c>
    </row>
    <row r="988" ht="12.75" customHeight="1">
      <c r="A988" s="1" t="s">
        <v>645</v>
      </c>
    </row>
    <row r="989" ht="12.75" customHeight="1">
      <c r="A989" s="1" t="s">
        <v>646</v>
      </c>
    </row>
    <row r="990" ht="12.75" customHeight="1"/>
    <row r="991" ht="12.75" customHeight="1">
      <c r="A991" s="1" t="s">
        <v>360</v>
      </c>
    </row>
    <row r="992" ht="12.75" customHeight="1">
      <c r="A992" s="1" t="s">
        <v>647</v>
      </c>
    </row>
    <row r="993" ht="12.75" customHeight="1">
      <c r="A993" s="1" t="s">
        <v>648</v>
      </c>
    </row>
    <row r="994" ht="12.75" customHeight="1">
      <c r="A994" s="1" t="s">
        <v>649</v>
      </c>
    </row>
    <row r="995" ht="12.75" customHeight="1">
      <c r="A995" s="1" t="s">
        <v>650</v>
      </c>
    </row>
    <row r="996" ht="12.75" customHeight="1"/>
    <row r="997" ht="12.75" customHeight="1">
      <c r="A997" s="1" t="s">
        <v>361</v>
      </c>
    </row>
    <row r="998" ht="12.75" customHeight="1">
      <c r="A998" s="1" t="s">
        <v>651</v>
      </c>
    </row>
    <row r="999" ht="12.75" customHeight="1">
      <c r="A999" s="1" t="s">
        <v>652</v>
      </c>
    </row>
    <row r="1000" ht="12.75" customHeight="1"/>
    <row r="1001" ht="12.75" customHeight="1">
      <c r="A1001" s="1" t="s">
        <v>362</v>
      </c>
    </row>
    <row r="1002" ht="12.75" customHeight="1">
      <c r="A1002" s="1" t="s">
        <v>653</v>
      </c>
    </row>
    <row r="1003" ht="12.75" customHeight="1">
      <c r="A1003" s="1" t="s">
        <v>654</v>
      </c>
    </row>
    <row r="1004" ht="12.75" customHeight="1"/>
    <row r="1005" ht="12.75" customHeight="1">
      <c r="A1005" s="1" t="s">
        <v>363</v>
      </c>
    </row>
    <row r="1006" ht="12.75" customHeight="1">
      <c r="A1006" s="1" t="s">
        <v>655</v>
      </c>
    </row>
    <row r="1007" ht="12.75" customHeight="1">
      <c r="A1007" s="1" t="s">
        <v>656</v>
      </c>
    </row>
    <row r="1008" ht="12.75" customHeight="1">
      <c r="A1008" s="1" t="s">
        <v>576</v>
      </c>
    </row>
    <row r="1009" ht="12.75" customHeight="1">
      <c r="A1009" s="1" t="s">
        <v>577</v>
      </c>
    </row>
    <row r="1010" ht="12.75" customHeight="1">
      <c r="A1010" s="1" t="s">
        <v>578</v>
      </c>
    </row>
    <row r="1011" ht="12.75" customHeight="1">
      <c r="A1011" s="1" t="s">
        <v>579</v>
      </c>
    </row>
    <row r="1012" ht="12.75" customHeight="1">
      <c r="A1012" s="1" t="s">
        <v>657</v>
      </c>
    </row>
    <row r="1013" ht="12.75" customHeight="1">
      <c r="A1013" s="1" t="s">
        <v>658</v>
      </c>
    </row>
    <row r="1014" ht="12.75" customHeight="1">
      <c r="A1014" s="1" t="s">
        <v>649</v>
      </c>
    </row>
    <row r="1015" ht="12.75" customHeight="1"/>
    <row r="1016" ht="12.75" customHeight="1">
      <c r="A1016" s="1" t="s">
        <v>360</v>
      </c>
    </row>
    <row r="1017" ht="12.75" customHeight="1">
      <c r="A1017" s="1" t="s">
        <v>659</v>
      </c>
    </row>
    <row r="1018" ht="12.75" customHeight="1">
      <c r="A1018" s="1" t="s">
        <v>660</v>
      </c>
    </row>
    <row r="1019" ht="12.75" customHeight="1">
      <c r="A1019" s="1" t="s">
        <v>661</v>
      </c>
    </row>
    <row r="1020" ht="12.75" customHeight="1">
      <c r="A1020" s="1" t="s">
        <v>662</v>
      </c>
    </row>
    <row r="1021" ht="12.75" customHeight="1"/>
    <row r="1022" ht="12.75" customHeight="1">
      <c r="A1022" s="1" t="s">
        <v>361</v>
      </c>
    </row>
    <row r="1023" ht="12.75" customHeight="1">
      <c r="A1023" s="1" t="s">
        <v>663</v>
      </c>
    </row>
    <row r="1024" ht="12.75" customHeight="1">
      <c r="A1024" s="1" t="s">
        <v>664</v>
      </c>
    </row>
    <row r="1025" ht="12.75" customHeight="1"/>
    <row r="1026" ht="12.75" customHeight="1">
      <c r="A1026" s="1" t="s">
        <v>362</v>
      </c>
    </row>
    <row r="1027" ht="12.75" customHeight="1">
      <c r="A1027" s="1" t="s">
        <v>665</v>
      </c>
    </row>
    <row r="1028" ht="12.75" customHeight="1">
      <c r="A1028" s="1" t="s">
        <v>666</v>
      </c>
    </row>
    <row r="1029" ht="12.75" customHeight="1"/>
    <row r="1030" ht="12.75" customHeight="1">
      <c r="A1030" s="1" t="s">
        <v>363</v>
      </c>
    </row>
    <row r="1031" ht="12.75" customHeight="1">
      <c r="A1031" s="1" t="s">
        <v>665</v>
      </c>
    </row>
    <row r="1032" ht="12.75" customHeight="1">
      <c r="A1032" s="1" t="s">
        <v>667</v>
      </c>
    </row>
    <row r="1033" ht="12.75" customHeight="1">
      <c r="A1033" s="1" t="s">
        <v>668</v>
      </c>
    </row>
    <row r="1034" ht="12.75" customHeight="1">
      <c r="A1034" s="1" t="s">
        <v>669</v>
      </c>
    </row>
    <row r="1035" ht="12.75" customHeight="1">
      <c r="A1035" s="1" t="s">
        <v>670</v>
      </c>
    </row>
    <row r="1036" ht="12.75" customHeight="1"/>
    <row r="1037" ht="12.75" customHeight="1">
      <c r="A1037" s="1" t="s">
        <v>360</v>
      </c>
    </row>
    <row r="1038" ht="12.75" customHeight="1">
      <c r="A1038" s="1" t="s">
        <v>671</v>
      </c>
    </row>
    <row r="1039" ht="12.75" customHeight="1">
      <c r="A1039" s="1" t="s">
        <v>672</v>
      </c>
    </row>
    <row r="1040" ht="12.75" customHeight="1">
      <c r="A1040" s="1" t="s">
        <v>673</v>
      </c>
    </row>
    <row r="1041" ht="12.75" customHeight="1">
      <c r="A1041" s="1" t="s">
        <v>674</v>
      </c>
    </row>
    <row r="1042" ht="12.75" customHeight="1"/>
    <row r="1043" ht="12.75" customHeight="1">
      <c r="A1043" s="1" t="s">
        <v>361</v>
      </c>
    </row>
    <row r="1044" ht="12.75" customHeight="1">
      <c r="A1044" s="1" t="s">
        <v>675</v>
      </c>
    </row>
    <row r="1045" ht="12.75" customHeight="1">
      <c r="A1045" s="1" t="s">
        <v>675</v>
      </c>
    </row>
    <row r="1046" ht="12.75" customHeight="1"/>
    <row r="1047" ht="12.75" customHeight="1">
      <c r="A1047" s="1" t="s">
        <v>362</v>
      </c>
    </row>
    <row r="1048" ht="12.75" customHeight="1">
      <c r="A1048" s="1" t="s">
        <v>676</v>
      </c>
    </row>
    <row r="1049" ht="12.75" customHeight="1">
      <c r="A1049" s="1" t="s">
        <v>676</v>
      </c>
    </row>
    <row r="1050" ht="12.75" customHeight="1"/>
    <row r="1051" ht="12.75" customHeight="1">
      <c r="A1051" s="1" t="s">
        <v>363</v>
      </c>
    </row>
    <row r="1052" ht="12.75" customHeight="1">
      <c r="A1052" s="1" t="s">
        <v>676</v>
      </c>
    </row>
    <row r="1053" ht="12.75" customHeight="1">
      <c r="A1053" s="1" t="s">
        <v>677</v>
      </c>
    </row>
    <row r="1054" ht="12.75" customHeight="1">
      <c r="A1054" s="1" t="s">
        <v>576</v>
      </c>
    </row>
    <row r="1055" ht="12.75" customHeight="1">
      <c r="A1055" s="1" t="s">
        <v>577</v>
      </c>
    </row>
    <row r="1056" ht="12.75" customHeight="1">
      <c r="A1056" s="1" t="s">
        <v>578</v>
      </c>
    </row>
    <row r="1057" ht="12.75" customHeight="1">
      <c r="A1057" s="1" t="s">
        <v>579</v>
      </c>
    </row>
    <row r="1058" ht="12.75" customHeight="1">
      <c r="A1058" s="1" t="s">
        <v>678</v>
      </c>
    </row>
    <row r="1059" ht="12.75" customHeight="1">
      <c r="A1059" s="1" t="s">
        <v>658</v>
      </c>
    </row>
    <row r="1060" ht="12.75" customHeight="1">
      <c r="A1060" s="1" t="s">
        <v>649</v>
      </c>
    </row>
    <row r="1061" ht="12.75" customHeight="1"/>
    <row r="1062" ht="12.75" customHeight="1">
      <c r="A1062" s="1" t="s">
        <v>360</v>
      </c>
    </row>
    <row r="1063" ht="12.75" customHeight="1">
      <c r="A1063" s="1" t="s">
        <v>659</v>
      </c>
    </row>
    <row r="1064" ht="12.75" customHeight="1">
      <c r="A1064" s="1" t="s">
        <v>660</v>
      </c>
    </row>
    <row r="1065" ht="12.75" customHeight="1">
      <c r="A1065" s="1" t="s">
        <v>661</v>
      </c>
    </row>
    <row r="1066" ht="12.75" customHeight="1">
      <c r="A1066" s="1" t="s">
        <v>662</v>
      </c>
    </row>
    <row r="1067" ht="12.75" customHeight="1"/>
    <row r="1068" ht="12.75" customHeight="1">
      <c r="A1068" s="1" t="s">
        <v>361</v>
      </c>
    </row>
    <row r="1069" ht="12.75" customHeight="1">
      <c r="A1069" s="1" t="s">
        <v>663</v>
      </c>
    </row>
    <row r="1070" ht="12.75" customHeight="1">
      <c r="A1070" s="1" t="s">
        <v>664</v>
      </c>
    </row>
    <row r="1071" ht="12.75" customHeight="1"/>
    <row r="1072" ht="12.75" customHeight="1">
      <c r="A1072" s="1" t="s">
        <v>362</v>
      </c>
    </row>
    <row r="1073" ht="12.75" customHeight="1">
      <c r="A1073" s="1" t="s">
        <v>665</v>
      </c>
    </row>
    <row r="1074" ht="12.75" customHeight="1">
      <c r="A1074" s="1" t="s">
        <v>666</v>
      </c>
    </row>
    <row r="1075" ht="12.75" customHeight="1"/>
    <row r="1076" ht="12.75" customHeight="1">
      <c r="A1076" s="1" t="s">
        <v>363</v>
      </c>
    </row>
    <row r="1077" ht="12.75" customHeight="1">
      <c r="A1077" s="1" t="s">
        <v>665</v>
      </c>
    </row>
    <row r="1078" ht="12.75" customHeight="1">
      <c r="A1078" s="1" t="s">
        <v>667</v>
      </c>
    </row>
    <row r="1079" ht="12.75" customHeight="1">
      <c r="A1079" s="1" t="s">
        <v>679</v>
      </c>
    </row>
    <row r="1080" ht="12.75" customHeight="1">
      <c r="A1080" s="1" t="s">
        <v>680</v>
      </c>
    </row>
    <row r="1081" ht="12.75" customHeight="1">
      <c r="A1081" s="1" t="s">
        <v>681</v>
      </c>
    </row>
    <row r="1082" ht="12.75" customHeight="1"/>
    <row r="1083" ht="12.75" customHeight="1">
      <c r="A1083" s="1" t="s">
        <v>360</v>
      </c>
    </row>
    <row r="1084" ht="12.75" customHeight="1">
      <c r="A1084" s="1" t="s">
        <v>672</v>
      </c>
    </row>
    <row r="1085" ht="12.75" customHeight="1">
      <c r="A1085" s="1" t="s">
        <v>682</v>
      </c>
    </row>
    <row r="1086" ht="12.75" customHeight="1">
      <c r="A1086" s="1" t="s">
        <v>674</v>
      </c>
    </row>
    <row r="1087" ht="12.75" customHeight="1">
      <c r="A1087" s="1" t="s">
        <v>670</v>
      </c>
    </row>
    <row r="1088" ht="12.75" customHeight="1"/>
    <row r="1089" ht="12.75" customHeight="1">
      <c r="A1089" s="1" t="s">
        <v>361</v>
      </c>
    </row>
    <row r="1090" ht="12.75" customHeight="1">
      <c r="A1090" s="1" t="s">
        <v>683</v>
      </c>
    </row>
    <row r="1091" ht="12.75" customHeight="1">
      <c r="A1091" s="1" t="s">
        <v>676</v>
      </c>
    </row>
    <row r="1092" ht="12.75" customHeight="1"/>
    <row r="1093" ht="12.75" customHeight="1">
      <c r="A1093" s="1" t="s">
        <v>362</v>
      </c>
    </row>
    <row r="1094" ht="12.75" customHeight="1">
      <c r="A1094" s="1" t="s">
        <v>684</v>
      </c>
    </row>
    <row r="1095" ht="12.75" customHeight="1">
      <c r="A1095" s="1" t="s">
        <v>685</v>
      </c>
    </row>
    <row r="1096" ht="12.75" customHeight="1"/>
    <row r="1097" ht="12.75" customHeight="1">
      <c r="A1097" s="1" t="s">
        <v>363</v>
      </c>
    </row>
    <row r="1098" ht="12.75" customHeight="1">
      <c r="A1098" s="1" t="s">
        <v>684</v>
      </c>
    </row>
    <row r="1099" ht="12.75" customHeight="1">
      <c r="A1099" s="1" t="s">
        <v>686</v>
      </c>
    </row>
    <row r="1100" ht="12.75" customHeight="1">
      <c r="A1100" s="1" t="s">
        <v>687</v>
      </c>
    </row>
    <row r="1101" ht="12.75" customHeight="1">
      <c r="A1101" s="1" t="s">
        <v>688</v>
      </c>
    </row>
    <row r="1102" ht="12.75" customHeight="1">
      <c r="A1102" s="1" t="s">
        <v>689</v>
      </c>
    </row>
    <row r="1103" ht="12.75" customHeight="1">
      <c r="A1103" s="1" t="s">
        <v>690</v>
      </c>
    </row>
    <row r="1104" ht="12.75" customHeight="1">
      <c r="A1104" s="1" t="s">
        <v>691</v>
      </c>
    </row>
    <row r="1105" ht="12.75" customHeight="1">
      <c r="A1105" s="1" t="s">
        <v>692</v>
      </c>
    </row>
    <row r="1106" ht="12.75" customHeight="1">
      <c r="A1106" s="1" t="s">
        <v>693</v>
      </c>
    </row>
    <row r="1107" ht="12.75" customHeight="1"/>
    <row r="1108" ht="12.75" customHeight="1">
      <c r="A1108" s="1" t="s">
        <v>360</v>
      </c>
    </row>
    <row r="1109" ht="12.75" customHeight="1">
      <c r="A1109" s="1" t="s">
        <v>682</v>
      </c>
    </row>
    <row r="1110" ht="12.75" customHeight="1">
      <c r="A1110" s="1" t="s">
        <v>684</v>
      </c>
    </row>
    <row r="1111" ht="12.75" customHeight="1">
      <c r="A1111" s="1" t="s">
        <v>694</v>
      </c>
    </row>
    <row r="1112" ht="12.75" customHeight="1">
      <c r="A1112" s="1" t="s">
        <v>695</v>
      </c>
    </row>
    <row r="1113" ht="12.75" customHeight="1"/>
    <row r="1114" ht="12.75" customHeight="1">
      <c r="A1114" s="1" t="s">
        <v>361</v>
      </c>
    </row>
    <row r="1115" ht="12.75" customHeight="1">
      <c r="A1115" s="1" t="s">
        <v>696</v>
      </c>
    </row>
    <row r="1116" ht="12.75" customHeight="1">
      <c r="A1116" s="1" t="s">
        <v>697</v>
      </c>
    </row>
    <row r="1117" ht="12.75" customHeight="1"/>
    <row r="1118" ht="12.75" customHeight="1">
      <c r="A1118" s="1" t="s">
        <v>362</v>
      </c>
    </row>
    <row r="1119" ht="12.75" customHeight="1">
      <c r="A1119" s="1" t="s">
        <v>696</v>
      </c>
    </row>
    <row r="1120" ht="12.75" customHeight="1">
      <c r="A1120" s="1" t="s">
        <v>698</v>
      </c>
    </row>
    <row r="1121" ht="12.75" customHeight="1"/>
    <row r="1122" ht="12.75" customHeight="1">
      <c r="A1122" s="1" t="s">
        <v>363</v>
      </c>
    </row>
    <row r="1123" ht="12.75" customHeight="1">
      <c r="A1123" s="1" t="s">
        <v>696</v>
      </c>
    </row>
    <row r="1124" ht="12.75" customHeight="1">
      <c r="A1124" s="1" t="s">
        <v>699</v>
      </c>
    </row>
    <row r="1125" ht="12.75" customHeight="1">
      <c r="A1125" s="1" t="s">
        <v>687</v>
      </c>
    </row>
    <row r="1126" ht="12.75" customHeight="1">
      <c r="A1126" s="1" t="s">
        <v>688</v>
      </c>
    </row>
    <row r="1127" ht="12.75" customHeight="1">
      <c r="A1127" s="1" t="s">
        <v>689</v>
      </c>
    </row>
    <row r="1128" ht="12.75" customHeight="1">
      <c r="A1128" s="1" t="s">
        <v>690</v>
      </c>
    </row>
    <row r="1129" ht="12.75" customHeight="1">
      <c r="A1129" s="1" t="s">
        <v>700</v>
      </c>
    </row>
    <row r="1130" ht="12.75" customHeight="1">
      <c r="A1130" s="1" t="s">
        <v>701</v>
      </c>
    </row>
    <row r="1131" ht="12.75" customHeight="1">
      <c r="A1131" s="1" t="s">
        <v>695</v>
      </c>
    </row>
    <row r="1132" ht="12.75" customHeight="1"/>
    <row r="1133" ht="12.75" customHeight="1">
      <c r="A1133" s="1" t="s">
        <v>360</v>
      </c>
    </row>
    <row r="1134" ht="12.75" customHeight="1">
      <c r="A1134" s="1" t="s">
        <v>696</v>
      </c>
    </row>
    <row r="1135" ht="12.75" customHeight="1">
      <c r="A1135" s="1" t="s">
        <v>694</v>
      </c>
    </row>
    <row r="1136" ht="12.75" customHeight="1">
      <c r="A1136" s="1" t="s">
        <v>697</v>
      </c>
    </row>
    <row r="1137" ht="12.75" customHeight="1">
      <c r="A1137" s="1" t="s">
        <v>698</v>
      </c>
    </row>
    <row r="1138" ht="12.75" customHeight="1"/>
    <row r="1139" ht="12.75" customHeight="1">
      <c r="A1139" s="1" t="s">
        <v>361</v>
      </c>
    </row>
    <row r="1140" ht="12.75" customHeight="1">
      <c r="A1140" s="1" t="s">
        <v>702</v>
      </c>
    </row>
    <row r="1141" ht="12.75" customHeight="1">
      <c r="A1141" s="1" t="s">
        <v>703</v>
      </c>
    </row>
    <row r="1142" ht="12.75" customHeight="1"/>
    <row r="1143" ht="12.75" customHeight="1">
      <c r="A1143" s="1" t="s">
        <v>362</v>
      </c>
    </row>
    <row r="1144" ht="12.75" customHeight="1">
      <c r="A1144" s="1" t="s">
        <v>702</v>
      </c>
    </row>
    <row r="1145" ht="12.75" customHeight="1">
      <c r="A1145" s="1" t="s">
        <v>704</v>
      </c>
    </row>
    <row r="1146" ht="12.75" customHeight="1"/>
    <row r="1147" ht="12.75" customHeight="1">
      <c r="A1147" s="1" t="s">
        <v>363</v>
      </c>
    </row>
    <row r="1148" ht="12.75" customHeight="1">
      <c r="A1148" s="1" t="s">
        <v>702</v>
      </c>
    </row>
    <row r="1149" ht="12.75" customHeight="1">
      <c r="A1149" s="1" t="s">
        <v>705</v>
      </c>
    </row>
    <row r="1150" ht="12.75" customHeight="1">
      <c r="A1150" s="1" t="s">
        <v>687</v>
      </c>
    </row>
    <row r="1151" ht="12.75" customHeight="1">
      <c r="A1151" s="1" t="s">
        <v>688</v>
      </c>
    </row>
    <row r="1152" ht="12.75" customHeight="1">
      <c r="A1152" s="1" t="s">
        <v>689</v>
      </c>
    </row>
    <row r="1153" ht="12.75" customHeight="1">
      <c r="A1153" s="1" t="s">
        <v>690</v>
      </c>
    </row>
    <row r="1154" ht="12.75" customHeight="1">
      <c r="A1154" s="1" t="s">
        <v>706</v>
      </c>
    </row>
    <row r="1155" ht="12.75" customHeight="1">
      <c r="A1155" s="1" t="s">
        <v>707</v>
      </c>
    </row>
    <row r="1156" ht="12.75" customHeight="1">
      <c r="A1156" s="1" t="s">
        <v>697</v>
      </c>
    </row>
    <row r="1157" ht="12.75" customHeight="1"/>
    <row r="1158" ht="12.75" customHeight="1">
      <c r="A1158" s="1" t="s">
        <v>360</v>
      </c>
    </row>
    <row r="1159" ht="12.75" customHeight="1">
      <c r="A1159" s="1" t="s">
        <v>698</v>
      </c>
    </row>
    <row r="1160" ht="12.75" customHeight="1">
      <c r="A1160" s="1" t="s">
        <v>703</v>
      </c>
    </row>
    <row r="1161" ht="12.75" customHeight="1">
      <c r="A1161" s="1" t="s">
        <v>694</v>
      </c>
    </row>
    <row r="1162" ht="12.75" customHeight="1">
      <c r="A1162" s="1" t="s">
        <v>704</v>
      </c>
    </row>
    <row r="1163" ht="12.75" customHeight="1"/>
    <row r="1164" ht="12.75" customHeight="1">
      <c r="A1164" s="1" t="s">
        <v>361</v>
      </c>
    </row>
    <row r="1165" ht="12.75" customHeight="1">
      <c r="A1165" s="1" t="s">
        <v>708</v>
      </c>
    </row>
    <row r="1166" ht="12.75" customHeight="1">
      <c r="A1166" s="1" t="s">
        <v>709</v>
      </c>
    </row>
    <row r="1167" ht="12.75" customHeight="1"/>
    <row r="1168" ht="12.75" customHeight="1">
      <c r="A1168" s="1" t="s">
        <v>362</v>
      </c>
    </row>
    <row r="1169" ht="12.75" customHeight="1">
      <c r="A1169" s="1" t="s">
        <v>710</v>
      </c>
    </row>
    <row r="1170" ht="12.75" customHeight="1">
      <c r="A1170" s="1" t="s">
        <v>711</v>
      </c>
    </row>
    <row r="1171" ht="12.75" customHeight="1"/>
    <row r="1172" ht="12.75" customHeight="1">
      <c r="A1172" s="1" t="s">
        <v>363</v>
      </c>
    </row>
    <row r="1173" ht="12.75" customHeight="1">
      <c r="A1173" s="1" t="s">
        <v>710</v>
      </c>
    </row>
    <row r="1174" ht="12.75" customHeight="1">
      <c r="A1174" s="1" t="s">
        <v>712</v>
      </c>
    </row>
    <row r="1175" ht="12.75" customHeight="1">
      <c r="A1175" s="1" t="s">
        <v>713</v>
      </c>
    </row>
    <row r="1176" ht="12.75" customHeight="1">
      <c r="A1176" s="1" t="s">
        <v>714</v>
      </c>
    </row>
    <row r="1177" ht="12.75" customHeight="1">
      <c r="A1177" s="1" t="s">
        <v>715</v>
      </c>
    </row>
    <row r="1178" ht="12.75" customHeight="1">
      <c r="A1178" s="1" t="s">
        <v>716</v>
      </c>
    </row>
    <row r="1179" ht="12.75" customHeight="1">
      <c r="A1179" s="1" t="s">
        <v>717</v>
      </c>
    </row>
    <row r="1180" ht="12.75" customHeight="1">
      <c r="A1180" s="1" t="s">
        <v>701</v>
      </c>
    </row>
    <row r="1181" ht="12.75" customHeight="1">
      <c r="A1181" s="1" t="s">
        <v>695</v>
      </c>
    </row>
    <row r="1182" ht="12.75" customHeight="1"/>
    <row r="1183" ht="12.75" customHeight="1">
      <c r="A1183" s="1" t="s">
        <v>360</v>
      </c>
    </row>
    <row r="1184" ht="12.75" customHeight="1">
      <c r="A1184" s="1" t="s">
        <v>696</v>
      </c>
    </row>
    <row r="1185" ht="12.75" customHeight="1">
      <c r="A1185" s="1" t="s">
        <v>694</v>
      </c>
    </row>
    <row r="1186" ht="12.75" customHeight="1">
      <c r="A1186" s="1" t="s">
        <v>697</v>
      </c>
    </row>
    <row r="1187" ht="12.75" customHeight="1">
      <c r="A1187" s="1" t="s">
        <v>698</v>
      </c>
    </row>
    <row r="1188" ht="12.75" customHeight="1"/>
    <row r="1189" ht="12.75" customHeight="1">
      <c r="A1189" s="1" t="s">
        <v>361</v>
      </c>
    </row>
    <row r="1190" ht="12.75" customHeight="1">
      <c r="A1190" s="1" t="s">
        <v>702</v>
      </c>
    </row>
    <row r="1191" ht="12.75" customHeight="1">
      <c r="A1191" s="1" t="s">
        <v>703</v>
      </c>
    </row>
    <row r="1192" ht="12.75" customHeight="1"/>
    <row r="1193" ht="12.75" customHeight="1">
      <c r="A1193" s="1" t="s">
        <v>362</v>
      </c>
    </row>
    <row r="1194" ht="12.75" customHeight="1">
      <c r="A1194" s="1" t="s">
        <v>702</v>
      </c>
    </row>
    <row r="1195" ht="12.75" customHeight="1">
      <c r="A1195" s="1" t="s">
        <v>704</v>
      </c>
    </row>
    <row r="1196" ht="12.75" customHeight="1"/>
    <row r="1197" ht="12.75" customHeight="1">
      <c r="A1197" s="1" t="s">
        <v>363</v>
      </c>
    </row>
    <row r="1198" ht="12.75" customHeight="1">
      <c r="A1198" s="1" t="s">
        <v>702</v>
      </c>
    </row>
    <row r="1199" ht="12.75" customHeight="1">
      <c r="A1199" s="1" t="s">
        <v>705</v>
      </c>
    </row>
    <row r="1200" ht="12.75" customHeight="1">
      <c r="A1200" s="1" t="s">
        <v>687</v>
      </c>
    </row>
    <row r="1201" ht="12.75" customHeight="1">
      <c r="A1201" s="1" t="s">
        <v>688</v>
      </c>
    </row>
    <row r="1202" ht="12.75" customHeight="1">
      <c r="A1202" s="1" t="s">
        <v>689</v>
      </c>
    </row>
    <row r="1203" ht="12.75" customHeight="1">
      <c r="A1203" s="1" t="s">
        <v>690</v>
      </c>
    </row>
    <row r="1204" ht="12.75" customHeight="1">
      <c r="A1204" s="1" t="s">
        <v>718</v>
      </c>
    </row>
    <row r="1205" ht="12.75" customHeight="1">
      <c r="A1205" s="1" t="s">
        <v>692</v>
      </c>
    </row>
    <row r="1206" ht="12.75" customHeight="1">
      <c r="A1206" s="1" t="s">
        <v>693</v>
      </c>
    </row>
    <row r="1207" ht="12.75" customHeight="1"/>
    <row r="1208" ht="12.75" customHeight="1">
      <c r="A1208" s="1" t="s">
        <v>360</v>
      </c>
    </row>
    <row r="1209" ht="12.75" customHeight="1">
      <c r="A1209" s="1" t="s">
        <v>682</v>
      </c>
    </row>
    <row r="1210" ht="12.75" customHeight="1">
      <c r="A1210" s="1" t="s">
        <v>684</v>
      </c>
    </row>
    <row r="1211" ht="12.75" customHeight="1">
      <c r="A1211" s="1" t="s">
        <v>694</v>
      </c>
    </row>
    <row r="1212" ht="12.75" customHeight="1">
      <c r="A1212" s="1" t="s">
        <v>695</v>
      </c>
    </row>
    <row r="1213" ht="12.75" customHeight="1"/>
    <row r="1214" ht="12.75" customHeight="1">
      <c r="A1214" s="1" t="s">
        <v>361</v>
      </c>
    </row>
    <row r="1215" ht="12.75" customHeight="1">
      <c r="A1215" s="1" t="s">
        <v>696</v>
      </c>
    </row>
    <row r="1216" ht="12.75" customHeight="1">
      <c r="A1216" s="1" t="s">
        <v>697</v>
      </c>
    </row>
    <row r="1217" ht="12.75" customHeight="1"/>
    <row r="1218" ht="12.75" customHeight="1">
      <c r="A1218" s="1" t="s">
        <v>362</v>
      </c>
    </row>
    <row r="1219" ht="12.75" customHeight="1">
      <c r="A1219" s="1" t="s">
        <v>696</v>
      </c>
    </row>
    <row r="1220" ht="12.75" customHeight="1">
      <c r="A1220" s="1" t="s">
        <v>698</v>
      </c>
    </row>
    <row r="1221" ht="12.75" customHeight="1"/>
    <row r="1222" ht="12.75" customHeight="1">
      <c r="A1222" s="1" t="s">
        <v>363</v>
      </c>
    </row>
    <row r="1223" ht="12.75" customHeight="1">
      <c r="A1223" s="1" t="s">
        <v>696</v>
      </c>
    </row>
    <row r="1224" ht="12.75" customHeight="1">
      <c r="A1224" s="1" t="s">
        <v>699</v>
      </c>
    </row>
    <row r="1225" ht="12.75" customHeight="1">
      <c r="A1225" s="1" t="s">
        <v>687</v>
      </c>
    </row>
    <row r="1226" ht="12.75" customHeight="1">
      <c r="A1226" s="1" t="s">
        <v>688</v>
      </c>
    </row>
    <row r="1227" ht="12.75" customHeight="1">
      <c r="A1227" s="1" t="s">
        <v>689</v>
      </c>
    </row>
    <row r="1228" ht="12.75" customHeight="1">
      <c r="A1228" s="1" t="s">
        <v>690</v>
      </c>
    </row>
    <row r="1229" ht="12.75" customHeight="1">
      <c r="A1229" s="1" t="s">
        <v>719</v>
      </c>
    </row>
    <row r="1230" ht="12.75" customHeight="1">
      <c r="A1230" s="1" t="s">
        <v>720</v>
      </c>
    </row>
    <row r="1231" ht="12.75" customHeight="1">
      <c r="A1231" s="1" t="s">
        <v>721</v>
      </c>
    </row>
    <row r="1232" ht="12.75" customHeight="1"/>
    <row r="1233" ht="12.75" customHeight="1">
      <c r="A1233" s="1" t="s">
        <v>360</v>
      </c>
    </row>
    <row r="1234" ht="12.75" customHeight="1">
      <c r="A1234" s="1" t="s">
        <v>722</v>
      </c>
    </row>
    <row r="1235" ht="12.75" customHeight="1">
      <c r="A1235" s="1" t="s">
        <v>723</v>
      </c>
    </row>
    <row r="1236" ht="12.75" customHeight="1">
      <c r="A1236" s="1" t="s">
        <v>724</v>
      </c>
    </row>
    <row r="1237" ht="12.75" customHeight="1">
      <c r="A1237" s="1" t="s">
        <v>725</v>
      </c>
    </row>
    <row r="1238" ht="12.75" customHeight="1"/>
    <row r="1239" ht="12.75" customHeight="1">
      <c r="A1239" s="1" t="s">
        <v>361</v>
      </c>
    </row>
    <row r="1240" ht="12.75" customHeight="1">
      <c r="A1240" s="1" t="s">
        <v>726</v>
      </c>
    </row>
    <row r="1241" ht="12.75" customHeight="1">
      <c r="A1241" s="1" t="s">
        <v>727</v>
      </c>
    </row>
    <row r="1242" ht="12.75" customHeight="1"/>
    <row r="1243" ht="12.75" customHeight="1">
      <c r="A1243" s="1" t="s">
        <v>362</v>
      </c>
    </row>
    <row r="1244" ht="12.75" customHeight="1">
      <c r="A1244" s="1" t="s">
        <v>728</v>
      </c>
    </row>
    <row r="1245" ht="12.75" customHeight="1">
      <c r="A1245" s="1" t="s">
        <v>729</v>
      </c>
    </row>
    <row r="1246" ht="12.75" customHeight="1"/>
    <row r="1247" ht="12.75" customHeight="1">
      <c r="A1247" s="1" t="s">
        <v>363</v>
      </c>
    </row>
    <row r="1248" ht="12.75" customHeight="1">
      <c r="A1248" s="1" t="s">
        <v>730</v>
      </c>
    </row>
    <row r="1249" ht="12.75" customHeight="1">
      <c r="A1249" s="1" t="s">
        <v>731</v>
      </c>
    </row>
    <row r="1250" ht="12.75" customHeight="1">
      <c r="A1250" s="1" t="s">
        <v>732</v>
      </c>
    </row>
    <row r="1251" ht="12.75" customHeight="1">
      <c r="A1251" s="1" t="s">
        <v>733</v>
      </c>
    </row>
    <row r="1252" ht="12.75" customHeight="1">
      <c r="A1252" s="1" t="s">
        <v>734</v>
      </c>
    </row>
    <row r="1253" ht="12.75" customHeight="1">
      <c r="A1253" s="1" t="s">
        <v>735</v>
      </c>
    </row>
    <row r="1254" ht="12.75" customHeight="1">
      <c r="A1254" s="1" t="s">
        <v>417</v>
      </c>
    </row>
    <row r="1255" ht="12.75" customHeight="1">
      <c r="A1255" s="1" t="s">
        <v>418</v>
      </c>
    </row>
    <row r="1256" ht="12.75" customHeight="1"/>
    <row r="1257" ht="12.75" customHeight="1">
      <c r="A1257" s="1" t="s">
        <v>419</v>
      </c>
    </row>
    <row r="1258" ht="12.75" customHeight="1">
      <c r="A1258" s="1" t="s">
        <v>736</v>
      </c>
    </row>
    <row r="1259" ht="12.75" customHeight="1">
      <c r="A1259" s="1" t="s">
        <v>421</v>
      </c>
    </row>
    <row r="1260" ht="12.75" customHeight="1">
      <c r="A1260" s="1" t="s">
        <v>737</v>
      </c>
    </row>
    <row r="1261" ht="12.75" customHeight="1"/>
    <row r="1262" ht="12.75" customHeight="1">
      <c r="A1262" s="1" t="s">
        <v>423</v>
      </c>
    </row>
    <row r="1263" ht="12.75" customHeight="1">
      <c r="A1263" s="1" t="s">
        <v>738</v>
      </c>
    </row>
    <row r="1264" ht="12.75" customHeight="1">
      <c r="A1264" s="1" t="s">
        <v>739</v>
      </c>
    </row>
    <row r="1265" ht="12.75" customHeight="1">
      <c r="A1265" s="1" t="s">
        <v>426</v>
      </c>
    </row>
    <row r="1266" ht="12.75" customHeight="1">
      <c r="A1266" s="1" t="s">
        <v>740</v>
      </c>
    </row>
    <row r="1267" ht="12.75" customHeight="1">
      <c r="A1267" s="1" t="s">
        <v>428</v>
      </c>
    </row>
    <row r="1268" ht="12.75" customHeight="1">
      <c r="A1268" s="1" t="s">
        <v>741</v>
      </c>
    </row>
    <row r="1269" ht="12.75" customHeight="1">
      <c r="A1269" s="1" t="s">
        <v>742</v>
      </c>
    </row>
    <row r="1270" ht="12.75" customHeight="1">
      <c r="A1270" s="1" t="s">
        <v>743</v>
      </c>
    </row>
    <row r="1271" ht="12.75" customHeight="1"/>
    <row r="1272" ht="12.75" customHeight="1">
      <c r="A1272" s="1" t="s">
        <v>360</v>
      </c>
    </row>
    <row r="1273" ht="12.75" customHeight="1">
      <c r="A1273" s="1" t="s">
        <v>744</v>
      </c>
    </row>
    <row r="1274" ht="12.75" customHeight="1">
      <c r="A1274" s="1" t="s">
        <v>745</v>
      </c>
    </row>
    <row r="1275" ht="12.75" customHeight="1">
      <c r="A1275" s="1" t="s">
        <v>746</v>
      </c>
    </row>
    <row r="1276" ht="12.75" customHeight="1">
      <c r="A1276" s="1" t="s">
        <v>747</v>
      </c>
    </row>
    <row r="1277" ht="12.75" customHeight="1"/>
    <row r="1278" ht="12.75" customHeight="1">
      <c r="A1278" s="1" t="s">
        <v>361</v>
      </c>
    </row>
    <row r="1279" ht="12.75" customHeight="1">
      <c r="A1279" s="1" t="s">
        <v>748</v>
      </c>
    </row>
    <row r="1280" ht="12.75" customHeight="1">
      <c r="A1280" s="1" t="s">
        <v>749</v>
      </c>
    </row>
    <row r="1281" ht="12.75" customHeight="1"/>
    <row r="1282" ht="12.75" customHeight="1">
      <c r="A1282" s="1" t="s">
        <v>362</v>
      </c>
    </row>
    <row r="1283" ht="12.75" customHeight="1">
      <c r="A1283" s="1" t="s">
        <v>750</v>
      </c>
    </row>
    <row r="1284" ht="12.75" customHeight="1">
      <c r="A1284" s="1" t="s">
        <v>751</v>
      </c>
    </row>
    <row r="1285" ht="12.75" customHeight="1"/>
    <row r="1286" ht="12.75" customHeight="1">
      <c r="A1286" s="1" t="s">
        <v>363</v>
      </c>
    </row>
    <row r="1287" ht="12.75" customHeight="1">
      <c r="A1287" s="1" t="s">
        <v>750</v>
      </c>
    </row>
    <row r="1288" ht="12.75" customHeight="1">
      <c r="A1288" s="1" t="s">
        <v>752</v>
      </c>
    </row>
    <row r="1289" ht="12.75" customHeight="1">
      <c r="A1289" s="1" t="s">
        <v>753</v>
      </c>
    </row>
    <row r="1290" ht="12.75" customHeight="1">
      <c r="A1290" s="1" t="s">
        <v>754</v>
      </c>
    </row>
    <row r="1291" ht="12.75" customHeight="1">
      <c r="A1291" s="1" t="s">
        <v>755</v>
      </c>
    </row>
    <row r="1292" ht="12.75" customHeight="1">
      <c r="A1292" s="1" t="s">
        <v>756</v>
      </c>
    </row>
    <row r="1293" ht="12.75" customHeight="1">
      <c r="A1293" s="1" t="s">
        <v>417</v>
      </c>
    </row>
    <row r="1294" ht="12.75" customHeight="1">
      <c r="A1294" s="1" t="s">
        <v>418</v>
      </c>
    </row>
    <row r="1295" ht="12.75" customHeight="1"/>
    <row r="1296" ht="12.75" customHeight="1">
      <c r="A1296" s="1" t="s">
        <v>419</v>
      </c>
    </row>
    <row r="1297" ht="12.75" customHeight="1">
      <c r="A1297" s="1" t="s">
        <v>737</v>
      </c>
    </row>
    <row r="1298" ht="12.75" customHeight="1">
      <c r="A1298" s="1" t="s">
        <v>421</v>
      </c>
    </row>
    <row r="1299" ht="12.75" customHeight="1">
      <c r="A1299" s="1" t="s">
        <v>736</v>
      </c>
    </row>
    <row r="1300" ht="12.75" customHeight="1"/>
    <row r="1301" ht="12.75" customHeight="1">
      <c r="A1301" s="1" t="s">
        <v>423</v>
      </c>
    </row>
    <row r="1302" ht="12.75" customHeight="1">
      <c r="A1302" s="1" t="s">
        <v>757</v>
      </c>
    </row>
    <row r="1303" ht="12.75" customHeight="1">
      <c r="A1303" s="1" t="s">
        <v>758</v>
      </c>
    </row>
    <row r="1304" ht="12.75" customHeight="1">
      <c r="A1304" s="1" t="s">
        <v>426</v>
      </c>
    </row>
    <row r="1305" ht="12.75" customHeight="1">
      <c r="A1305" s="1" t="s">
        <v>740</v>
      </c>
    </row>
    <row r="1306" ht="12.75" customHeight="1">
      <c r="A1306" s="1" t="s">
        <v>428</v>
      </c>
    </row>
    <row r="1307" ht="12.75" customHeight="1">
      <c r="A1307" s="1" t="s">
        <v>759</v>
      </c>
    </row>
    <row r="1308" ht="12.75" customHeight="1">
      <c r="A1308" s="1" t="s">
        <v>760</v>
      </c>
    </row>
    <row r="1309" ht="12.75" customHeight="1">
      <c r="A1309" s="1" t="s">
        <v>743</v>
      </c>
    </row>
    <row r="1310" ht="12.75" customHeight="1"/>
    <row r="1311" ht="12.75" customHeight="1">
      <c r="A1311" s="1" t="s">
        <v>360</v>
      </c>
    </row>
    <row r="1312" ht="12.75" customHeight="1">
      <c r="A1312" s="1" t="s">
        <v>744</v>
      </c>
    </row>
    <row r="1313" ht="12.75" customHeight="1">
      <c r="A1313" s="1" t="s">
        <v>761</v>
      </c>
    </row>
    <row r="1314" ht="12.75" customHeight="1">
      <c r="A1314" s="1" t="s">
        <v>746</v>
      </c>
    </row>
    <row r="1315" ht="12.75" customHeight="1">
      <c r="A1315" s="1" t="s">
        <v>762</v>
      </c>
    </row>
    <row r="1316" ht="12.75" customHeight="1"/>
    <row r="1317" ht="12.75" customHeight="1">
      <c r="A1317" s="1" t="s">
        <v>361</v>
      </c>
    </row>
    <row r="1318" ht="12.75" customHeight="1">
      <c r="A1318" s="1" t="s">
        <v>763</v>
      </c>
    </row>
    <row r="1319" ht="12.75" customHeight="1">
      <c r="A1319" s="1" t="s">
        <v>764</v>
      </c>
    </row>
    <row r="1320" ht="12.75" customHeight="1"/>
    <row r="1321" ht="12.75" customHeight="1">
      <c r="A1321" s="1" t="s">
        <v>362</v>
      </c>
    </row>
    <row r="1322" ht="12.75" customHeight="1">
      <c r="A1322" s="1" t="s">
        <v>750</v>
      </c>
    </row>
    <row r="1323" ht="12.75" customHeight="1">
      <c r="A1323" s="1" t="s">
        <v>765</v>
      </c>
    </row>
    <row r="1324" ht="12.75" customHeight="1"/>
    <row r="1325" ht="12.75" customHeight="1">
      <c r="A1325" s="1" t="s">
        <v>363</v>
      </c>
    </row>
    <row r="1326" ht="12.75" customHeight="1">
      <c r="A1326" s="1" t="s">
        <v>750</v>
      </c>
    </row>
    <row r="1327" ht="12.75" customHeight="1">
      <c r="A1327" s="1" t="s">
        <v>766</v>
      </c>
    </row>
    <row r="1328" ht="12.75" customHeight="1">
      <c r="A1328" s="1" t="s">
        <v>767</v>
      </c>
    </row>
    <row r="1329" ht="12.75" customHeight="1">
      <c r="A1329" s="1" t="s">
        <v>760</v>
      </c>
    </row>
    <row r="1330" ht="12.75" customHeight="1">
      <c r="A1330" s="1" t="s">
        <v>743</v>
      </c>
    </row>
    <row r="1331" ht="12.75" customHeight="1"/>
    <row r="1332" ht="12.75" customHeight="1">
      <c r="A1332" s="1" t="s">
        <v>360</v>
      </c>
    </row>
    <row r="1333" ht="12.75" customHeight="1">
      <c r="A1333" s="1" t="s">
        <v>744</v>
      </c>
    </row>
    <row r="1334" ht="12.75" customHeight="1">
      <c r="A1334" s="1" t="s">
        <v>761</v>
      </c>
    </row>
    <row r="1335" ht="12.75" customHeight="1">
      <c r="A1335" s="1" t="s">
        <v>746</v>
      </c>
    </row>
    <row r="1336" ht="12.75" customHeight="1">
      <c r="A1336" s="1" t="s">
        <v>762</v>
      </c>
    </row>
    <row r="1337" ht="12.75" customHeight="1"/>
    <row r="1338" ht="12.75" customHeight="1">
      <c r="A1338" s="1" t="s">
        <v>361</v>
      </c>
    </row>
    <row r="1339" ht="12.75" customHeight="1">
      <c r="A1339" s="1" t="s">
        <v>763</v>
      </c>
    </row>
    <row r="1340" ht="12.75" customHeight="1">
      <c r="A1340" s="1" t="s">
        <v>764</v>
      </c>
    </row>
    <row r="1341" ht="12.75" customHeight="1"/>
    <row r="1342" ht="12.75" customHeight="1">
      <c r="A1342" s="1" t="s">
        <v>362</v>
      </c>
    </row>
    <row r="1343" ht="12.75" customHeight="1">
      <c r="A1343" s="1" t="s">
        <v>750</v>
      </c>
    </row>
    <row r="1344" ht="12.75" customHeight="1">
      <c r="A1344" s="1" t="s">
        <v>765</v>
      </c>
    </row>
    <row r="1345" ht="12.75" customHeight="1"/>
    <row r="1346" ht="12.75" customHeight="1">
      <c r="A1346" s="1" t="s">
        <v>363</v>
      </c>
    </row>
    <row r="1347" ht="12.75" customHeight="1">
      <c r="A1347" s="1" t="s">
        <v>750</v>
      </c>
    </row>
    <row r="1348" ht="12.75" customHeight="1">
      <c r="A1348" s="1" t="s">
        <v>766</v>
      </c>
    </row>
    <row r="1349" ht="12.75" customHeight="1">
      <c r="A1349" s="1" t="s">
        <v>768</v>
      </c>
    </row>
    <row r="1350" ht="12.75" customHeight="1">
      <c r="A1350" s="1" t="s">
        <v>742</v>
      </c>
    </row>
    <row r="1351" ht="12.75" customHeight="1">
      <c r="A1351" s="1" t="s">
        <v>743</v>
      </c>
    </row>
    <row r="1352" ht="12.75" customHeight="1"/>
    <row r="1353" ht="12.75" customHeight="1">
      <c r="A1353" s="1" t="s">
        <v>360</v>
      </c>
    </row>
    <row r="1354" ht="12.75" customHeight="1">
      <c r="A1354" s="1" t="s">
        <v>744</v>
      </c>
    </row>
    <row r="1355" ht="12.75" customHeight="1">
      <c r="A1355" s="1" t="s">
        <v>745</v>
      </c>
    </row>
    <row r="1356" ht="12.75" customHeight="1">
      <c r="A1356" s="1" t="s">
        <v>746</v>
      </c>
    </row>
    <row r="1357" ht="12.75" customHeight="1">
      <c r="A1357" s="1" t="s">
        <v>747</v>
      </c>
    </row>
    <row r="1358" ht="12.75" customHeight="1"/>
    <row r="1359" ht="12.75" customHeight="1">
      <c r="A1359" s="1" t="s">
        <v>361</v>
      </c>
    </row>
    <row r="1360" ht="12.75" customHeight="1">
      <c r="A1360" s="1" t="s">
        <v>748</v>
      </c>
    </row>
    <row r="1361" ht="12.75" customHeight="1">
      <c r="A1361" s="1" t="s">
        <v>749</v>
      </c>
    </row>
    <row r="1362" ht="12.75" customHeight="1"/>
    <row r="1363" ht="12.75" customHeight="1">
      <c r="A1363" s="1" t="s">
        <v>362</v>
      </c>
    </row>
    <row r="1364" ht="12.75" customHeight="1">
      <c r="A1364" s="1" t="s">
        <v>750</v>
      </c>
    </row>
    <row r="1365" ht="12.75" customHeight="1">
      <c r="A1365" s="1" t="s">
        <v>751</v>
      </c>
    </row>
    <row r="1366" ht="12.75" customHeight="1"/>
    <row r="1367" ht="12.75" customHeight="1">
      <c r="A1367" s="1" t="s">
        <v>363</v>
      </c>
    </row>
    <row r="1368" ht="12.75" customHeight="1">
      <c r="A1368" s="1" t="s">
        <v>750</v>
      </c>
    </row>
    <row r="1369" ht="12.75" customHeight="1">
      <c r="A1369" s="1" t="s">
        <v>769</v>
      </c>
    </row>
    <row r="1370" ht="12.75" customHeight="1">
      <c r="A1370" s="1" t="s">
        <v>770</v>
      </c>
    </row>
    <row r="1371" ht="12.75" customHeight="1">
      <c r="A1371" s="1" t="s">
        <v>771</v>
      </c>
    </row>
    <row r="1372" ht="12.75" customHeight="1">
      <c r="A1372" s="1" t="s">
        <v>772</v>
      </c>
    </row>
    <row r="1373" ht="12.75" customHeight="1">
      <c r="A1373" s="1" t="s">
        <v>773</v>
      </c>
    </row>
    <row r="1374" ht="12.75" customHeight="1">
      <c r="A1374" s="1" t="s">
        <v>417</v>
      </c>
    </row>
    <row r="1375" ht="12.75" customHeight="1">
      <c r="A1375" s="1" t="s">
        <v>418</v>
      </c>
    </row>
    <row r="1376" ht="12.75" customHeight="1"/>
    <row r="1377" ht="12.75" customHeight="1">
      <c r="A1377" s="1" t="s">
        <v>419</v>
      </c>
    </row>
    <row r="1378" ht="12.75" customHeight="1">
      <c r="A1378" s="1" t="s">
        <v>420</v>
      </c>
    </row>
    <row r="1379" ht="12.75" customHeight="1">
      <c r="A1379" s="1" t="s">
        <v>421</v>
      </c>
    </row>
    <row r="1380" ht="12.75" customHeight="1">
      <c r="A1380" s="1" t="s">
        <v>420</v>
      </c>
    </row>
    <row r="1381" ht="12.75" customHeight="1"/>
    <row r="1382" ht="12.75" customHeight="1">
      <c r="A1382" s="1" t="s">
        <v>423</v>
      </c>
    </row>
    <row r="1383" ht="12.75" customHeight="1">
      <c r="A1383" s="1" t="s">
        <v>424</v>
      </c>
    </row>
    <row r="1384" ht="12.75" customHeight="1">
      <c r="A1384" s="1" t="s">
        <v>425</v>
      </c>
    </row>
    <row r="1385" ht="12.75" customHeight="1">
      <c r="A1385" s="1" t="s">
        <v>426</v>
      </c>
    </row>
    <row r="1386" ht="12.75" customHeight="1">
      <c r="A1386" s="1" t="s">
        <v>774</v>
      </c>
    </row>
    <row r="1387" ht="12.75" customHeight="1">
      <c r="A1387" s="1" t="s">
        <v>428</v>
      </c>
    </row>
    <row r="1388" ht="12.75" customHeight="1">
      <c r="A1388" s="1" t="s">
        <v>775</v>
      </c>
    </row>
    <row r="1389" ht="12.75" customHeight="1">
      <c r="A1389" s="1" t="s">
        <v>776</v>
      </c>
    </row>
    <row r="1390" ht="12.75" customHeight="1">
      <c r="A1390" s="1" t="s">
        <v>777</v>
      </c>
    </row>
    <row r="1391" ht="12.75" customHeight="1"/>
    <row r="1392" ht="12.75" customHeight="1">
      <c r="A1392" s="1" t="s">
        <v>360</v>
      </c>
    </row>
    <row r="1393" ht="12.75" customHeight="1">
      <c r="A1393" s="1" t="s">
        <v>778</v>
      </c>
    </row>
    <row r="1394" ht="12.75" customHeight="1">
      <c r="A1394" s="1" t="s">
        <v>779</v>
      </c>
    </row>
    <row r="1395" ht="12.75" customHeight="1">
      <c r="A1395" s="1" t="s">
        <v>780</v>
      </c>
    </row>
    <row r="1396" ht="12.75" customHeight="1">
      <c r="A1396" s="1" t="s">
        <v>781</v>
      </c>
    </row>
    <row r="1397" ht="12.75" customHeight="1"/>
    <row r="1398" ht="12.75" customHeight="1">
      <c r="A1398" s="1" t="s">
        <v>361</v>
      </c>
    </row>
    <row r="1399" ht="12.75" customHeight="1">
      <c r="A1399" s="1" t="s">
        <v>782</v>
      </c>
    </row>
    <row r="1400" ht="12.75" customHeight="1">
      <c r="A1400" s="1" t="s">
        <v>783</v>
      </c>
    </row>
    <row r="1401" ht="12.75" customHeight="1"/>
    <row r="1402" ht="12.75" customHeight="1">
      <c r="A1402" s="1" t="s">
        <v>362</v>
      </c>
    </row>
    <row r="1403" ht="12.75" customHeight="1">
      <c r="A1403" s="1" t="s">
        <v>784</v>
      </c>
    </row>
    <row r="1404" ht="12.75" customHeight="1">
      <c r="A1404" s="1" t="s">
        <v>785</v>
      </c>
    </row>
    <row r="1405" ht="12.75" customHeight="1"/>
    <row r="1406" ht="12.75" customHeight="1">
      <c r="A1406" s="1" t="s">
        <v>363</v>
      </c>
    </row>
    <row r="1407" ht="12.75" customHeight="1">
      <c r="A1407" s="1" t="s">
        <v>786</v>
      </c>
    </row>
    <row r="1408" ht="12.75" customHeight="1">
      <c r="A1408" s="1" t="s">
        <v>787</v>
      </c>
    </row>
    <row r="1409" ht="12.75" customHeight="1">
      <c r="A1409" s="1" t="s">
        <v>788</v>
      </c>
    </row>
    <row r="1410" ht="12.75" customHeight="1">
      <c r="A1410" s="1" t="s">
        <v>789</v>
      </c>
    </row>
    <row r="1411" ht="12.75" customHeight="1">
      <c r="A1411" s="1" t="s">
        <v>790</v>
      </c>
    </row>
    <row r="1412" ht="12.75" customHeight="1"/>
    <row r="1413" ht="12.75" customHeight="1">
      <c r="A1413" s="1" t="s">
        <v>360</v>
      </c>
    </row>
    <row r="1414" ht="12.75" customHeight="1">
      <c r="A1414" s="1" t="s">
        <v>791</v>
      </c>
    </row>
    <row r="1415" ht="12.75" customHeight="1">
      <c r="A1415" s="1" t="s">
        <v>792</v>
      </c>
    </row>
    <row r="1416" ht="12.75" customHeight="1">
      <c r="A1416" s="1" t="s">
        <v>793</v>
      </c>
    </row>
    <row r="1417" ht="12.75" customHeight="1">
      <c r="A1417" s="1" t="s">
        <v>794</v>
      </c>
    </row>
    <row r="1418" ht="12.75" customHeight="1"/>
    <row r="1419" ht="12.75" customHeight="1">
      <c r="A1419" s="1" t="s">
        <v>361</v>
      </c>
    </row>
    <row r="1420" ht="12.75" customHeight="1">
      <c r="A1420" s="1" t="s">
        <v>795</v>
      </c>
    </row>
    <row r="1421" ht="12.75" customHeight="1">
      <c r="A1421" s="1" t="s">
        <v>796</v>
      </c>
    </row>
    <row r="1422" ht="12.75" customHeight="1"/>
    <row r="1423" ht="12.75" customHeight="1">
      <c r="A1423" s="1" t="s">
        <v>362</v>
      </c>
    </row>
    <row r="1424" ht="12.75" customHeight="1">
      <c r="A1424" s="1" t="s">
        <v>797</v>
      </c>
    </row>
    <row r="1425" ht="12.75" customHeight="1">
      <c r="A1425" s="1" t="s">
        <v>798</v>
      </c>
    </row>
    <row r="1426" ht="12.75" customHeight="1"/>
    <row r="1427" ht="12.75" customHeight="1">
      <c r="A1427" s="1" t="s">
        <v>363</v>
      </c>
    </row>
    <row r="1428" ht="12.75" customHeight="1">
      <c r="A1428" s="1" t="s">
        <v>799</v>
      </c>
    </row>
    <row r="1429" ht="12.75" customHeight="1">
      <c r="A1429" s="1" t="s">
        <v>800</v>
      </c>
    </row>
    <row r="1430" ht="12.75" customHeight="1">
      <c r="A1430" s="1" t="s">
        <v>801</v>
      </c>
    </row>
    <row r="1431" ht="12.75" customHeight="1">
      <c r="A1431" s="1" t="s">
        <v>789</v>
      </c>
    </row>
    <row r="1432" ht="12.75" customHeight="1">
      <c r="A1432" s="1" t="s">
        <v>790</v>
      </c>
    </row>
    <row r="1433" ht="12.75" customHeight="1"/>
    <row r="1434" ht="12.75" customHeight="1">
      <c r="A1434" s="1" t="s">
        <v>360</v>
      </c>
    </row>
    <row r="1435" ht="12.75" customHeight="1">
      <c r="A1435" s="1" t="s">
        <v>791</v>
      </c>
    </row>
    <row r="1436" ht="12.75" customHeight="1">
      <c r="A1436" s="1" t="s">
        <v>792</v>
      </c>
    </row>
    <row r="1437" ht="12.75" customHeight="1">
      <c r="A1437" s="1" t="s">
        <v>793</v>
      </c>
    </row>
    <row r="1438" ht="12.75" customHeight="1">
      <c r="A1438" s="1" t="s">
        <v>794</v>
      </c>
    </row>
    <row r="1439" ht="12.75" customHeight="1"/>
    <row r="1440" ht="12.75" customHeight="1">
      <c r="A1440" s="1" t="s">
        <v>361</v>
      </c>
    </row>
    <row r="1441" ht="12.75" customHeight="1">
      <c r="A1441" s="1" t="s">
        <v>795</v>
      </c>
    </row>
    <row r="1442" ht="12.75" customHeight="1">
      <c r="A1442" s="1" t="s">
        <v>796</v>
      </c>
    </row>
    <row r="1443" ht="12.75" customHeight="1"/>
    <row r="1444" ht="12.75" customHeight="1">
      <c r="A1444" s="1" t="s">
        <v>362</v>
      </c>
    </row>
    <row r="1445" ht="12.75" customHeight="1">
      <c r="A1445" s="1" t="s">
        <v>797</v>
      </c>
    </row>
    <row r="1446" ht="12.75" customHeight="1">
      <c r="A1446" s="1" t="s">
        <v>798</v>
      </c>
    </row>
    <row r="1447" ht="12.75" customHeight="1"/>
    <row r="1448" ht="12.75" customHeight="1">
      <c r="A1448" s="1" t="s">
        <v>363</v>
      </c>
    </row>
    <row r="1449" ht="12.75" customHeight="1">
      <c r="A1449" s="1" t="s">
        <v>799</v>
      </c>
    </row>
    <row r="1450" ht="12.75" customHeight="1">
      <c r="A1450" s="1" t="s">
        <v>800</v>
      </c>
    </row>
    <row r="1451" ht="12.75" customHeight="1">
      <c r="A1451" s="1" t="s">
        <v>802</v>
      </c>
    </row>
    <row r="1452" ht="12.75" customHeight="1">
      <c r="A1452" s="1" t="s">
        <v>789</v>
      </c>
    </row>
    <row r="1453" ht="12.75" customHeight="1">
      <c r="A1453" s="1" t="s">
        <v>790</v>
      </c>
    </row>
    <row r="1454" ht="12.75" customHeight="1"/>
    <row r="1455" ht="12.75" customHeight="1">
      <c r="A1455" s="1" t="s">
        <v>360</v>
      </c>
    </row>
    <row r="1456" ht="12.75" customHeight="1">
      <c r="A1456" s="1" t="s">
        <v>791</v>
      </c>
    </row>
    <row r="1457" ht="12.75" customHeight="1">
      <c r="A1457" s="1" t="s">
        <v>792</v>
      </c>
    </row>
    <row r="1458" ht="12.75" customHeight="1">
      <c r="A1458" s="1" t="s">
        <v>793</v>
      </c>
    </row>
    <row r="1459" ht="12.75" customHeight="1">
      <c r="A1459" s="1" t="s">
        <v>794</v>
      </c>
    </row>
    <row r="1460" ht="12.75" customHeight="1"/>
    <row r="1461" ht="12.75" customHeight="1">
      <c r="A1461" s="1" t="s">
        <v>361</v>
      </c>
    </row>
    <row r="1462" ht="12.75" customHeight="1">
      <c r="A1462" s="1" t="s">
        <v>795</v>
      </c>
    </row>
    <row r="1463" ht="12.75" customHeight="1">
      <c r="A1463" s="1" t="s">
        <v>796</v>
      </c>
    </row>
    <row r="1464" ht="12.75" customHeight="1"/>
    <row r="1465" ht="12.75" customHeight="1">
      <c r="A1465" s="1" t="s">
        <v>362</v>
      </c>
    </row>
    <row r="1466" ht="12.75" customHeight="1">
      <c r="A1466" s="1" t="s">
        <v>797</v>
      </c>
    </row>
    <row r="1467" ht="12.75" customHeight="1">
      <c r="A1467" s="1" t="s">
        <v>798</v>
      </c>
    </row>
    <row r="1468" ht="12.75" customHeight="1"/>
    <row r="1469" ht="12.75" customHeight="1">
      <c r="A1469" s="1" t="s">
        <v>363</v>
      </c>
    </row>
    <row r="1470" ht="12.75" customHeight="1">
      <c r="A1470" s="1" t="s">
        <v>799</v>
      </c>
    </row>
    <row r="1471" ht="12.75" customHeight="1">
      <c r="A1471" s="1" t="s">
        <v>800</v>
      </c>
    </row>
    <row r="1472" ht="12.75" customHeight="1">
      <c r="A1472" s="1" t="s">
        <v>803</v>
      </c>
    </row>
    <row r="1473" ht="12.75" customHeight="1">
      <c r="A1473" s="1" t="s">
        <v>789</v>
      </c>
    </row>
    <row r="1474" ht="12.75" customHeight="1">
      <c r="A1474" s="1" t="s">
        <v>790</v>
      </c>
    </row>
    <row r="1475" ht="12.75" customHeight="1"/>
    <row r="1476" ht="12.75" customHeight="1">
      <c r="A1476" s="1" t="s">
        <v>360</v>
      </c>
    </row>
    <row r="1477" ht="12.75" customHeight="1">
      <c r="A1477" s="1" t="s">
        <v>791</v>
      </c>
    </row>
    <row r="1478" ht="12.75" customHeight="1">
      <c r="A1478" s="1" t="s">
        <v>792</v>
      </c>
    </row>
    <row r="1479" ht="12.75" customHeight="1">
      <c r="A1479" s="1" t="s">
        <v>793</v>
      </c>
    </row>
    <row r="1480" ht="12.75" customHeight="1">
      <c r="A1480" s="1" t="s">
        <v>794</v>
      </c>
    </row>
    <row r="1481" ht="12.75" customHeight="1"/>
    <row r="1482" ht="12.75" customHeight="1">
      <c r="A1482" s="1" t="s">
        <v>361</v>
      </c>
    </row>
    <row r="1483" ht="12.75" customHeight="1">
      <c r="A1483" s="1" t="s">
        <v>795</v>
      </c>
    </row>
    <row r="1484" ht="12.75" customHeight="1">
      <c r="A1484" s="1" t="s">
        <v>796</v>
      </c>
    </row>
    <row r="1485" ht="12.75" customHeight="1"/>
    <row r="1486" ht="12.75" customHeight="1">
      <c r="A1486" s="1" t="s">
        <v>362</v>
      </c>
    </row>
    <row r="1487" ht="12.75" customHeight="1">
      <c r="A1487" s="1" t="s">
        <v>797</v>
      </c>
    </row>
    <row r="1488" ht="12.75" customHeight="1">
      <c r="A1488" s="1" t="s">
        <v>798</v>
      </c>
    </row>
    <row r="1489" ht="12.75" customHeight="1"/>
    <row r="1490" ht="12.75" customHeight="1">
      <c r="A1490" s="1" t="s">
        <v>363</v>
      </c>
    </row>
    <row r="1491" ht="12.75" customHeight="1">
      <c r="A1491" s="1" t="s">
        <v>799</v>
      </c>
    </row>
    <row r="1492" ht="12.75" customHeight="1">
      <c r="A1492" s="1" t="s">
        <v>800</v>
      </c>
    </row>
    <row r="1493" ht="12.75" customHeight="1">
      <c r="A1493" s="1" t="s">
        <v>804</v>
      </c>
    </row>
    <row r="1494" ht="12.75" customHeight="1">
      <c r="A1494" s="1" t="s">
        <v>789</v>
      </c>
    </row>
    <row r="1495" ht="12.75" customHeight="1">
      <c r="A1495" s="1" t="s">
        <v>790</v>
      </c>
    </row>
    <row r="1496" ht="12.75" customHeight="1"/>
    <row r="1497" ht="12.75" customHeight="1">
      <c r="A1497" s="1" t="s">
        <v>360</v>
      </c>
    </row>
    <row r="1498" ht="12.75" customHeight="1">
      <c r="A1498" s="1" t="s">
        <v>791</v>
      </c>
    </row>
    <row r="1499" ht="12.75" customHeight="1">
      <c r="A1499" s="1" t="s">
        <v>792</v>
      </c>
    </row>
    <row r="1500" ht="12.75" customHeight="1">
      <c r="A1500" s="1" t="s">
        <v>793</v>
      </c>
    </row>
    <row r="1501" ht="12.75" customHeight="1">
      <c r="A1501" s="1" t="s">
        <v>794</v>
      </c>
    </row>
    <row r="1502" ht="12.75" customHeight="1"/>
    <row r="1503" ht="12.75" customHeight="1">
      <c r="A1503" s="1" t="s">
        <v>361</v>
      </c>
    </row>
    <row r="1504" ht="12.75" customHeight="1">
      <c r="A1504" s="1" t="s">
        <v>795</v>
      </c>
    </row>
    <row r="1505" ht="12.75" customHeight="1">
      <c r="A1505" s="1" t="s">
        <v>796</v>
      </c>
    </row>
    <row r="1506" ht="12.75" customHeight="1"/>
    <row r="1507" ht="12.75" customHeight="1">
      <c r="A1507" s="1" t="s">
        <v>362</v>
      </c>
    </row>
    <row r="1508" ht="12.75" customHeight="1">
      <c r="A1508" s="1" t="s">
        <v>797</v>
      </c>
    </row>
    <row r="1509" ht="12.75" customHeight="1">
      <c r="A1509" s="1" t="s">
        <v>798</v>
      </c>
    </row>
    <row r="1510" ht="12.75" customHeight="1"/>
    <row r="1511" ht="12.75" customHeight="1">
      <c r="A1511" s="1" t="s">
        <v>363</v>
      </c>
    </row>
    <row r="1512" ht="12.75" customHeight="1">
      <c r="A1512" s="1" t="s">
        <v>799</v>
      </c>
    </row>
    <row r="1513" ht="12.75" customHeight="1">
      <c r="A1513" s="1" t="s">
        <v>800</v>
      </c>
    </row>
    <row r="1514" ht="12.75" customHeight="1">
      <c r="A1514" s="1" t="s">
        <v>805</v>
      </c>
    </row>
    <row r="1515" ht="12.75" customHeight="1">
      <c r="A1515" s="1" t="s">
        <v>789</v>
      </c>
    </row>
    <row r="1516" ht="12.75" customHeight="1">
      <c r="A1516" s="1" t="s">
        <v>790</v>
      </c>
    </row>
    <row r="1517" ht="12.75" customHeight="1"/>
    <row r="1518" ht="12.75" customHeight="1">
      <c r="A1518" s="1" t="s">
        <v>360</v>
      </c>
    </row>
    <row r="1519" ht="12.75" customHeight="1">
      <c r="A1519" s="1" t="s">
        <v>791</v>
      </c>
    </row>
    <row r="1520" ht="12.75" customHeight="1">
      <c r="A1520" s="1" t="s">
        <v>792</v>
      </c>
    </row>
    <row r="1521" ht="12.75" customHeight="1">
      <c r="A1521" s="1" t="s">
        <v>793</v>
      </c>
    </row>
    <row r="1522" ht="12.75" customHeight="1">
      <c r="A1522" s="1" t="s">
        <v>794</v>
      </c>
    </row>
    <row r="1523" ht="12.75" customHeight="1"/>
    <row r="1524" ht="12.75" customHeight="1">
      <c r="A1524" s="1" t="s">
        <v>361</v>
      </c>
    </row>
    <row r="1525" ht="12.75" customHeight="1">
      <c r="A1525" s="1" t="s">
        <v>795</v>
      </c>
    </row>
    <row r="1526" ht="12.75" customHeight="1">
      <c r="A1526" s="1" t="s">
        <v>796</v>
      </c>
    </row>
    <row r="1527" ht="12.75" customHeight="1"/>
    <row r="1528" ht="12.75" customHeight="1">
      <c r="A1528" s="1" t="s">
        <v>362</v>
      </c>
    </row>
    <row r="1529" ht="12.75" customHeight="1">
      <c r="A1529" s="1" t="s">
        <v>797</v>
      </c>
    </row>
    <row r="1530" ht="12.75" customHeight="1">
      <c r="A1530" s="1" t="s">
        <v>798</v>
      </c>
    </row>
    <row r="1531" ht="12.75" customHeight="1"/>
    <row r="1532" ht="12.75" customHeight="1">
      <c r="A1532" s="1" t="s">
        <v>363</v>
      </c>
    </row>
    <row r="1533" ht="12.75" customHeight="1">
      <c r="A1533" s="1" t="s">
        <v>799</v>
      </c>
    </row>
    <row r="1534" ht="12.75" customHeight="1">
      <c r="A1534" s="1" t="s">
        <v>800</v>
      </c>
    </row>
    <row r="1535" ht="12.75" customHeight="1">
      <c r="A1535" s="1" t="s">
        <v>806</v>
      </c>
    </row>
    <row r="1536" ht="12.75" customHeight="1">
      <c r="A1536" s="1" t="s">
        <v>789</v>
      </c>
    </row>
    <row r="1537" ht="12.75" customHeight="1">
      <c r="A1537" s="1" t="s">
        <v>790</v>
      </c>
    </row>
    <row r="1538" ht="12.75" customHeight="1"/>
    <row r="1539" ht="12.75" customHeight="1">
      <c r="A1539" s="1" t="s">
        <v>360</v>
      </c>
    </row>
    <row r="1540" ht="12.75" customHeight="1">
      <c r="A1540" s="1" t="s">
        <v>791</v>
      </c>
    </row>
    <row r="1541" ht="12.75" customHeight="1">
      <c r="A1541" s="1" t="s">
        <v>792</v>
      </c>
    </row>
    <row r="1542" ht="12.75" customHeight="1">
      <c r="A1542" s="1" t="s">
        <v>793</v>
      </c>
    </row>
    <row r="1543" ht="12.75" customHeight="1">
      <c r="A1543" s="1" t="s">
        <v>794</v>
      </c>
    </row>
    <row r="1544" ht="12.75" customHeight="1"/>
    <row r="1545" ht="12.75" customHeight="1">
      <c r="A1545" s="1" t="s">
        <v>361</v>
      </c>
    </row>
    <row r="1546" ht="12.75" customHeight="1">
      <c r="A1546" s="1" t="s">
        <v>795</v>
      </c>
    </row>
    <row r="1547" ht="12.75" customHeight="1">
      <c r="A1547" s="1" t="s">
        <v>796</v>
      </c>
    </row>
    <row r="1548" ht="12.75" customHeight="1"/>
    <row r="1549" ht="12.75" customHeight="1">
      <c r="A1549" s="1" t="s">
        <v>362</v>
      </c>
    </row>
    <row r="1550" ht="12.75" customHeight="1">
      <c r="A1550" s="1" t="s">
        <v>797</v>
      </c>
    </row>
    <row r="1551" ht="12.75" customHeight="1">
      <c r="A1551" s="1" t="s">
        <v>798</v>
      </c>
    </row>
    <row r="1552" ht="12.75" customHeight="1"/>
    <row r="1553" ht="12.75" customHeight="1">
      <c r="A1553" s="1" t="s">
        <v>363</v>
      </c>
    </row>
    <row r="1554" ht="12.75" customHeight="1">
      <c r="A1554" s="1" t="s">
        <v>799</v>
      </c>
    </row>
    <row r="1555" ht="12.75" customHeight="1">
      <c r="A1555" s="1" t="s">
        <v>800</v>
      </c>
    </row>
    <row r="1556" ht="12.75" customHeight="1">
      <c r="A1556" s="1" t="s">
        <v>807</v>
      </c>
    </row>
    <row r="1557" ht="12.75" customHeight="1">
      <c r="A1557" s="1" t="s">
        <v>789</v>
      </c>
    </row>
    <row r="1558" ht="12.75" customHeight="1">
      <c r="A1558" s="1" t="s">
        <v>790</v>
      </c>
    </row>
    <row r="1559" ht="12.75" customHeight="1"/>
    <row r="1560" ht="12.75" customHeight="1">
      <c r="A1560" s="1" t="s">
        <v>360</v>
      </c>
    </row>
    <row r="1561" ht="12.75" customHeight="1">
      <c r="A1561" s="1" t="s">
        <v>791</v>
      </c>
    </row>
    <row r="1562" ht="12.75" customHeight="1">
      <c r="A1562" s="1" t="s">
        <v>792</v>
      </c>
    </row>
    <row r="1563" ht="12.75" customHeight="1">
      <c r="A1563" s="1" t="s">
        <v>793</v>
      </c>
    </row>
    <row r="1564" ht="12.75" customHeight="1">
      <c r="A1564" s="1" t="s">
        <v>794</v>
      </c>
    </row>
    <row r="1565" ht="12.75" customHeight="1"/>
    <row r="1566" ht="12.75" customHeight="1">
      <c r="A1566" s="1" t="s">
        <v>361</v>
      </c>
    </row>
    <row r="1567" ht="12.75" customHeight="1">
      <c r="A1567" s="1" t="s">
        <v>795</v>
      </c>
    </row>
    <row r="1568" ht="12.75" customHeight="1">
      <c r="A1568" s="1" t="s">
        <v>796</v>
      </c>
    </row>
    <row r="1569" ht="12.75" customHeight="1"/>
    <row r="1570" ht="12.75" customHeight="1">
      <c r="A1570" s="1" t="s">
        <v>362</v>
      </c>
    </row>
    <row r="1571" ht="12.75" customHeight="1">
      <c r="A1571" s="1" t="s">
        <v>797</v>
      </c>
    </row>
    <row r="1572" ht="12.75" customHeight="1">
      <c r="A1572" s="1" t="s">
        <v>798</v>
      </c>
    </row>
    <row r="1573" ht="12.75" customHeight="1"/>
    <row r="1574" ht="12.75" customHeight="1">
      <c r="A1574" s="1" t="s">
        <v>363</v>
      </c>
    </row>
    <row r="1575" ht="12.75" customHeight="1">
      <c r="A1575" s="1" t="s">
        <v>799</v>
      </c>
    </row>
    <row r="1576" ht="12.75" customHeight="1">
      <c r="A1576" s="1" t="s">
        <v>800</v>
      </c>
    </row>
    <row r="1577" ht="12.75" customHeight="1">
      <c r="A1577" s="1" t="s">
        <v>808</v>
      </c>
    </row>
    <row r="1578" ht="12.75" customHeight="1">
      <c r="A1578" s="1" t="s">
        <v>789</v>
      </c>
    </row>
    <row r="1579" ht="12.75" customHeight="1">
      <c r="A1579" s="1" t="s">
        <v>790</v>
      </c>
    </row>
    <row r="1580" ht="12.75" customHeight="1"/>
    <row r="1581" ht="12.75" customHeight="1">
      <c r="A1581" s="1" t="s">
        <v>360</v>
      </c>
    </row>
    <row r="1582" ht="12.75" customHeight="1">
      <c r="A1582" s="1" t="s">
        <v>791</v>
      </c>
    </row>
    <row r="1583" ht="12.75" customHeight="1">
      <c r="A1583" s="1" t="s">
        <v>792</v>
      </c>
    </row>
    <row r="1584" ht="12.75" customHeight="1">
      <c r="A1584" s="1" t="s">
        <v>793</v>
      </c>
    </row>
    <row r="1585" ht="12.75" customHeight="1">
      <c r="A1585" s="1" t="s">
        <v>794</v>
      </c>
    </row>
    <row r="1586" ht="12.75" customHeight="1"/>
    <row r="1587" ht="12.75" customHeight="1">
      <c r="A1587" s="1" t="s">
        <v>361</v>
      </c>
    </row>
    <row r="1588" ht="12.75" customHeight="1">
      <c r="A1588" s="1" t="s">
        <v>795</v>
      </c>
    </row>
    <row r="1589" ht="12.75" customHeight="1">
      <c r="A1589" s="1" t="s">
        <v>796</v>
      </c>
    </row>
    <row r="1590" ht="12.75" customHeight="1"/>
    <row r="1591" ht="12.75" customHeight="1">
      <c r="A1591" s="1" t="s">
        <v>362</v>
      </c>
    </row>
    <row r="1592" ht="12.75" customHeight="1">
      <c r="A1592" s="1" t="s">
        <v>797</v>
      </c>
    </row>
    <row r="1593" ht="12.75" customHeight="1">
      <c r="A1593" s="1" t="s">
        <v>798</v>
      </c>
    </row>
    <row r="1594" ht="12.75" customHeight="1"/>
    <row r="1595" ht="12.75" customHeight="1">
      <c r="A1595" s="1" t="s">
        <v>363</v>
      </c>
    </row>
    <row r="1596" ht="12.75" customHeight="1">
      <c r="A1596" s="1" t="s">
        <v>799</v>
      </c>
    </row>
    <row r="1597" ht="12.75" customHeight="1">
      <c r="A1597" s="1" t="s">
        <v>800</v>
      </c>
    </row>
    <row r="1598" ht="12.75" customHeight="1">
      <c r="A1598" s="1" t="s">
        <v>809</v>
      </c>
    </row>
    <row r="1599" ht="12.75" customHeight="1">
      <c r="A1599" s="1" t="s">
        <v>789</v>
      </c>
    </row>
    <row r="1600" ht="12.75" customHeight="1">
      <c r="A1600" s="1" t="s">
        <v>790</v>
      </c>
    </row>
    <row r="1601" ht="12.75" customHeight="1"/>
    <row r="1602" ht="12.75" customHeight="1">
      <c r="A1602" s="1" t="s">
        <v>360</v>
      </c>
    </row>
    <row r="1603" ht="12.75" customHeight="1">
      <c r="A1603" s="1" t="s">
        <v>791</v>
      </c>
    </row>
    <row r="1604" ht="12.75" customHeight="1">
      <c r="A1604" s="1" t="s">
        <v>792</v>
      </c>
    </row>
    <row r="1605" ht="12.75" customHeight="1">
      <c r="A1605" s="1" t="s">
        <v>793</v>
      </c>
    </row>
    <row r="1606" ht="12.75" customHeight="1">
      <c r="A1606" s="1" t="s">
        <v>794</v>
      </c>
    </row>
    <row r="1607" ht="12.75" customHeight="1"/>
    <row r="1608" ht="12.75" customHeight="1">
      <c r="A1608" s="1" t="s">
        <v>361</v>
      </c>
    </row>
    <row r="1609" ht="12.75" customHeight="1">
      <c r="A1609" s="1" t="s">
        <v>795</v>
      </c>
    </row>
    <row r="1610" ht="12.75" customHeight="1">
      <c r="A1610" s="1" t="s">
        <v>796</v>
      </c>
    </row>
    <row r="1611" ht="12.75" customHeight="1"/>
    <row r="1612" ht="12.75" customHeight="1">
      <c r="A1612" s="1" t="s">
        <v>362</v>
      </c>
    </row>
    <row r="1613" ht="12.75" customHeight="1">
      <c r="A1613" s="1" t="s">
        <v>797</v>
      </c>
    </row>
    <row r="1614" ht="12.75" customHeight="1">
      <c r="A1614" s="1" t="s">
        <v>798</v>
      </c>
    </row>
    <row r="1615" ht="12.75" customHeight="1"/>
    <row r="1616" ht="12.75" customHeight="1">
      <c r="A1616" s="1" t="s">
        <v>363</v>
      </c>
    </row>
    <row r="1617" ht="12.75" customHeight="1">
      <c r="A1617" s="1" t="s">
        <v>799</v>
      </c>
    </row>
    <row r="1618" ht="12.75" customHeight="1">
      <c r="A1618" s="1" t="s">
        <v>800</v>
      </c>
    </row>
    <row r="1619" ht="12.75" customHeight="1">
      <c r="A1619" s="1" t="s">
        <v>810</v>
      </c>
    </row>
    <row r="1620" ht="12.75" customHeight="1">
      <c r="A1620" s="1" t="s">
        <v>789</v>
      </c>
    </row>
    <row r="1621" ht="12.75" customHeight="1">
      <c r="A1621" s="1" t="s">
        <v>790</v>
      </c>
    </row>
    <row r="1622" ht="12.75" customHeight="1"/>
    <row r="1623" ht="12.75" customHeight="1">
      <c r="A1623" s="1" t="s">
        <v>360</v>
      </c>
    </row>
    <row r="1624" ht="12.75" customHeight="1">
      <c r="A1624" s="1" t="s">
        <v>791</v>
      </c>
    </row>
    <row r="1625" ht="12.75" customHeight="1">
      <c r="A1625" s="1" t="s">
        <v>792</v>
      </c>
    </row>
    <row r="1626" ht="12.75" customHeight="1">
      <c r="A1626" s="1" t="s">
        <v>793</v>
      </c>
    </row>
    <row r="1627" ht="12.75" customHeight="1">
      <c r="A1627" s="1" t="s">
        <v>811</v>
      </c>
    </row>
    <row r="1628" ht="12.75" customHeight="1"/>
    <row r="1629" ht="12.75" customHeight="1">
      <c r="A1629" s="1" t="s">
        <v>361</v>
      </c>
    </row>
    <row r="1630" ht="12.75" customHeight="1">
      <c r="A1630" s="1" t="s">
        <v>812</v>
      </c>
    </row>
    <row r="1631" ht="12.75" customHeight="1">
      <c r="A1631" s="1" t="s">
        <v>796</v>
      </c>
    </row>
    <row r="1632" ht="12.75" customHeight="1"/>
    <row r="1633" ht="12.75" customHeight="1">
      <c r="A1633" s="1" t="s">
        <v>362</v>
      </c>
    </row>
    <row r="1634" ht="12.75" customHeight="1">
      <c r="A1634" s="1" t="s">
        <v>797</v>
      </c>
    </row>
    <row r="1635" ht="12.75" customHeight="1">
      <c r="A1635" s="1" t="s">
        <v>798</v>
      </c>
    </row>
    <row r="1636" ht="12.75" customHeight="1"/>
    <row r="1637" ht="12.75" customHeight="1">
      <c r="A1637" s="1" t="s">
        <v>363</v>
      </c>
    </row>
    <row r="1638" ht="12.75" customHeight="1">
      <c r="A1638" s="1" t="s">
        <v>799</v>
      </c>
    </row>
    <row r="1639" ht="12.75" customHeight="1">
      <c r="A1639" s="1" t="s">
        <v>800</v>
      </c>
    </row>
    <row r="1640" ht="12.75" customHeight="1">
      <c r="A1640" s="1" t="s">
        <v>813</v>
      </c>
    </row>
    <row r="1641" ht="12.75" customHeight="1">
      <c r="A1641" s="1" t="s">
        <v>789</v>
      </c>
    </row>
    <row r="1642" ht="12.75" customHeight="1">
      <c r="A1642" s="1" t="s">
        <v>790</v>
      </c>
    </row>
    <row r="1643" ht="12.75" customHeight="1"/>
    <row r="1644" ht="12.75" customHeight="1">
      <c r="A1644" s="1" t="s">
        <v>360</v>
      </c>
    </row>
    <row r="1645" ht="12.75" customHeight="1">
      <c r="A1645" s="1" t="s">
        <v>791</v>
      </c>
    </row>
    <row r="1646" ht="12.75" customHeight="1">
      <c r="A1646" s="1" t="s">
        <v>792</v>
      </c>
    </row>
    <row r="1647" ht="12.75" customHeight="1">
      <c r="A1647" s="1" t="s">
        <v>793</v>
      </c>
    </row>
    <row r="1648" ht="12.75" customHeight="1">
      <c r="A1648" s="1" t="s">
        <v>811</v>
      </c>
    </row>
    <row r="1649" ht="12.75" customHeight="1"/>
    <row r="1650" ht="12.75" customHeight="1">
      <c r="A1650" s="1" t="s">
        <v>361</v>
      </c>
    </row>
    <row r="1651" ht="12.75" customHeight="1">
      <c r="A1651" s="1" t="s">
        <v>812</v>
      </c>
    </row>
    <row r="1652" ht="12.75" customHeight="1">
      <c r="A1652" s="1" t="s">
        <v>796</v>
      </c>
    </row>
    <row r="1653" ht="12.75" customHeight="1"/>
    <row r="1654" ht="12.75" customHeight="1">
      <c r="A1654" s="1" t="s">
        <v>362</v>
      </c>
    </row>
    <row r="1655" ht="12.75" customHeight="1">
      <c r="A1655" s="1" t="s">
        <v>797</v>
      </c>
    </row>
    <row r="1656" ht="12.75" customHeight="1">
      <c r="A1656" s="1" t="s">
        <v>798</v>
      </c>
    </row>
    <row r="1657" ht="12.75" customHeight="1"/>
    <row r="1658" ht="12.75" customHeight="1">
      <c r="A1658" s="1" t="s">
        <v>363</v>
      </c>
    </row>
    <row r="1659" ht="12.75" customHeight="1">
      <c r="A1659" s="1" t="s">
        <v>799</v>
      </c>
    </row>
    <row r="1660" ht="12.75" customHeight="1">
      <c r="A1660" s="1" t="s">
        <v>800</v>
      </c>
    </row>
    <row r="1661" ht="12.75" customHeight="1">
      <c r="A1661" s="1" t="s">
        <v>814</v>
      </c>
    </row>
    <row r="1662" ht="12.75" customHeight="1">
      <c r="A1662" s="1" t="s">
        <v>789</v>
      </c>
    </row>
    <row r="1663" ht="12.75" customHeight="1">
      <c r="A1663" s="1" t="s">
        <v>790</v>
      </c>
    </row>
    <row r="1664" ht="12.75" customHeight="1"/>
    <row r="1665" ht="12.75" customHeight="1">
      <c r="A1665" s="1" t="s">
        <v>360</v>
      </c>
    </row>
    <row r="1666" ht="12.75" customHeight="1">
      <c r="A1666" s="1" t="s">
        <v>791</v>
      </c>
    </row>
    <row r="1667" ht="12.75" customHeight="1">
      <c r="A1667" s="1" t="s">
        <v>792</v>
      </c>
    </row>
    <row r="1668" ht="12.75" customHeight="1">
      <c r="A1668" s="1" t="s">
        <v>793</v>
      </c>
    </row>
    <row r="1669" ht="12.75" customHeight="1">
      <c r="A1669" s="1" t="s">
        <v>811</v>
      </c>
    </row>
    <row r="1670" ht="12.75" customHeight="1"/>
    <row r="1671" ht="12.75" customHeight="1">
      <c r="A1671" s="1" t="s">
        <v>361</v>
      </c>
    </row>
    <row r="1672" ht="12.75" customHeight="1">
      <c r="A1672" s="1" t="s">
        <v>812</v>
      </c>
    </row>
    <row r="1673" ht="12.75" customHeight="1">
      <c r="A1673" s="1" t="s">
        <v>796</v>
      </c>
    </row>
    <row r="1674" ht="12.75" customHeight="1"/>
    <row r="1675" ht="12.75" customHeight="1">
      <c r="A1675" s="1" t="s">
        <v>362</v>
      </c>
    </row>
    <row r="1676" ht="12.75" customHeight="1">
      <c r="A1676" s="1" t="s">
        <v>797</v>
      </c>
    </row>
    <row r="1677" ht="12.75" customHeight="1">
      <c r="A1677" s="1" t="s">
        <v>798</v>
      </c>
    </row>
    <row r="1678" ht="12.75" customHeight="1"/>
    <row r="1679" ht="12.75" customHeight="1">
      <c r="A1679" s="1" t="s">
        <v>363</v>
      </c>
    </row>
    <row r="1680" ht="12.75" customHeight="1">
      <c r="A1680" s="1" t="s">
        <v>799</v>
      </c>
    </row>
    <row r="1681" ht="12.75" customHeight="1">
      <c r="A1681" s="1" t="s">
        <v>800</v>
      </c>
    </row>
    <row r="1682" ht="12.75" customHeight="1">
      <c r="A1682" s="1" t="s">
        <v>815</v>
      </c>
    </row>
    <row r="1683" ht="12.75" customHeight="1">
      <c r="A1683" s="1" t="s">
        <v>789</v>
      </c>
    </row>
    <row r="1684" ht="12.75" customHeight="1">
      <c r="A1684" s="1" t="s">
        <v>790</v>
      </c>
    </row>
    <row r="1685" ht="12.75" customHeight="1"/>
    <row r="1686" ht="12.75" customHeight="1">
      <c r="A1686" s="1" t="s">
        <v>360</v>
      </c>
    </row>
    <row r="1687" ht="12.75" customHeight="1">
      <c r="A1687" s="1" t="s">
        <v>791</v>
      </c>
    </row>
    <row r="1688" ht="12.75" customHeight="1">
      <c r="A1688" s="1" t="s">
        <v>792</v>
      </c>
    </row>
    <row r="1689" ht="12.75" customHeight="1">
      <c r="A1689" s="1" t="s">
        <v>793</v>
      </c>
    </row>
    <row r="1690" ht="12.75" customHeight="1">
      <c r="A1690" s="1" t="s">
        <v>811</v>
      </c>
    </row>
    <row r="1691" ht="12.75" customHeight="1"/>
    <row r="1692" ht="12.75" customHeight="1">
      <c r="A1692" s="1" t="s">
        <v>361</v>
      </c>
    </row>
    <row r="1693" ht="12.75" customHeight="1">
      <c r="A1693" s="1" t="s">
        <v>812</v>
      </c>
    </row>
    <row r="1694" ht="12.75" customHeight="1">
      <c r="A1694" s="1" t="s">
        <v>796</v>
      </c>
    </row>
    <row r="1695" ht="12.75" customHeight="1"/>
    <row r="1696" ht="12.75" customHeight="1">
      <c r="A1696" s="1" t="s">
        <v>362</v>
      </c>
    </row>
    <row r="1697" ht="12.75" customHeight="1">
      <c r="A1697" s="1" t="s">
        <v>797</v>
      </c>
    </row>
    <row r="1698" ht="12.75" customHeight="1">
      <c r="A1698" s="1" t="s">
        <v>798</v>
      </c>
    </row>
    <row r="1699" ht="12.75" customHeight="1"/>
    <row r="1700" ht="12.75" customHeight="1">
      <c r="A1700" s="1" t="s">
        <v>363</v>
      </c>
    </row>
    <row r="1701" ht="12.75" customHeight="1">
      <c r="A1701" s="1" t="s">
        <v>799</v>
      </c>
    </row>
    <row r="1702" ht="12.75" customHeight="1">
      <c r="A1702" s="1" t="s">
        <v>800</v>
      </c>
    </row>
    <row r="1703" ht="12.75" customHeight="1">
      <c r="A1703" s="1" t="s">
        <v>816</v>
      </c>
    </row>
    <row r="1704" ht="12.75" customHeight="1">
      <c r="A1704" s="1" t="s">
        <v>817</v>
      </c>
    </row>
    <row r="1705" ht="12.75" customHeight="1">
      <c r="A1705" s="1" t="s">
        <v>818</v>
      </c>
    </row>
    <row r="1706" ht="12.75" customHeight="1"/>
    <row r="1707" ht="12.75" customHeight="1">
      <c r="A1707" s="1" t="s">
        <v>360</v>
      </c>
    </row>
    <row r="1708" ht="12.75" customHeight="1">
      <c r="A1708" s="1" t="s">
        <v>819</v>
      </c>
    </row>
    <row r="1709" ht="12.75" customHeight="1">
      <c r="A1709" s="1" t="s">
        <v>820</v>
      </c>
    </row>
    <row r="1710" ht="12.75" customHeight="1">
      <c r="A1710" s="1" t="s">
        <v>660</v>
      </c>
    </row>
    <row r="1711" ht="12.75" customHeight="1">
      <c r="A1711" s="1" t="s">
        <v>821</v>
      </c>
    </row>
    <row r="1712" ht="12.75" customHeight="1"/>
    <row r="1713" ht="12.75" customHeight="1">
      <c r="A1713" s="1" t="s">
        <v>361</v>
      </c>
    </row>
    <row r="1714" ht="12.75" customHeight="1">
      <c r="A1714" s="1" t="s">
        <v>822</v>
      </c>
    </row>
    <row r="1715" ht="12.75" customHeight="1">
      <c r="A1715" s="1" t="s">
        <v>823</v>
      </c>
    </row>
    <row r="1716" ht="12.75" customHeight="1"/>
    <row r="1717" ht="12.75" customHeight="1">
      <c r="A1717" s="1" t="s">
        <v>362</v>
      </c>
    </row>
    <row r="1718" ht="12.75" customHeight="1">
      <c r="A1718" s="1" t="s">
        <v>824</v>
      </c>
    </row>
    <row r="1719" ht="12.75" customHeight="1">
      <c r="A1719" s="1" t="s">
        <v>825</v>
      </c>
    </row>
    <row r="1720" ht="12.75" customHeight="1"/>
    <row r="1721" ht="12.75" customHeight="1">
      <c r="A1721" s="1" t="s">
        <v>363</v>
      </c>
    </row>
    <row r="1722" ht="12.75" customHeight="1">
      <c r="A1722" s="1" t="s">
        <v>826</v>
      </c>
    </row>
    <row r="1723" ht="12.75" customHeight="1">
      <c r="A1723" s="1" t="s">
        <v>827</v>
      </c>
    </row>
    <row r="1724" ht="12.75" customHeight="1">
      <c r="A1724" s="1" t="s">
        <v>770</v>
      </c>
    </row>
    <row r="1725" ht="12.75" customHeight="1">
      <c r="A1725" s="1" t="s">
        <v>828</v>
      </c>
    </row>
    <row r="1726" ht="12.75" customHeight="1">
      <c r="A1726" s="1" t="s">
        <v>829</v>
      </c>
    </row>
    <row r="1727" ht="12.75" customHeight="1">
      <c r="A1727" s="1" t="s">
        <v>830</v>
      </c>
    </row>
    <row r="1728" ht="12.75" customHeight="1">
      <c r="A1728" s="1" t="s">
        <v>576</v>
      </c>
    </row>
    <row r="1729" ht="12.75" customHeight="1">
      <c r="A1729" s="1" t="s">
        <v>577</v>
      </c>
    </row>
    <row r="1730" ht="12.75" customHeight="1">
      <c r="A1730" s="1" t="s">
        <v>578</v>
      </c>
    </row>
    <row r="1731" ht="12.75" customHeight="1">
      <c r="A1731" s="1" t="s">
        <v>831</v>
      </c>
    </row>
    <row r="1732" ht="12.75" customHeight="1">
      <c r="A1732" s="1" t="s">
        <v>417</v>
      </c>
    </row>
    <row r="1733" ht="12.75" customHeight="1">
      <c r="A1733" s="1" t="s">
        <v>418</v>
      </c>
    </row>
    <row r="1734" ht="12.75" customHeight="1"/>
    <row r="1735" ht="12.75" customHeight="1">
      <c r="A1735" s="1" t="s">
        <v>419</v>
      </c>
    </row>
    <row r="1736" ht="12.75" customHeight="1">
      <c r="A1736" s="1" t="s">
        <v>420</v>
      </c>
    </row>
    <row r="1737" ht="12.75" customHeight="1">
      <c r="A1737" s="1" t="s">
        <v>421</v>
      </c>
    </row>
    <row r="1738" ht="12.75" customHeight="1">
      <c r="A1738" s="1" t="s">
        <v>420</v>
      </c>
    </row>
    <row r="1739" ht="12.75" customHeight="1"/>
    <row r="1740" ht="12.75" customHeight="1">
      <c r="A1740" s="1" t="s">
        <v>423</v>
      </c>
    </row>
    <row r="1741" ht="12.75" customHeight="1">
      <c r="A1741" s="1" t="s">
        <v>424</v>
      </c>
    </row>
    <row r="1742" ht="12.75" customHeight="1">
      <c r="A1742" s="1" t="s">
        <v>424</v>
      </c>
    </row>
    <row r="1743" ht="12.75" customHeight="1">
      <c r="A1743" s="1" t="s">
        <v>426</v>
      </c>
    </row>
    <row r="1744" ht="12.75" customHeight="1">
      <c r="A1744" s="1" t="s">
        <v>774</v>
      </c>
    </row>
    <row r="1745" ht="12.75" customHeight="1">
      <c r="A1745" s="1" t="s">
        <v>428</v>
      </c>
    </row>
    <row r="1746" ht="12.75" customHeight="1">
      <c r="A1746" s="1" t="s">
        <v>832</v>
      </c>
    </row>
    <row r="1747" ht="12.75" customHeight="1">
      <c r="A1747" s="1" t="s">
        <v>817</v>
      </c>
    </row>
    <row r="1748" ht="12.75" customHeight="1">
      <c r="A1748" s="1" t="s">
        <v>833</v>
      </c>
    </row>
    <row r="1749" ht="12.75" customHeight="1"/>
    <row r="1750" ht="12.75" customHeight="1">
      <c r="A1750" s="1" t="s">
        <v>360</v>
      </c>
    </row>
    <row r="1751" ht="12.75" customHeight="1">
      <c r="A1751" s="1" t="s">
        <v>834</v>
      </c>
    </row>
    <row r="1752" ht="12.75" customHeight="1">
      <c r="A1752" s="1" t="s">
        <v>835</v>
      </c>
    </row>
    <row r="1753" ht="12.75" customHeight="1">
      <c r="A1753" s="1" t="s">
        <v>819</v>
      </c>
    </row>
    <row r="1754" ht="12.75" customHeight="1">
      <c r="A1754" s="1" t="s">
        <v>821</v>
      </c>
    </row>
    <row r="1755" ht="12.75" customHeight="1"/>
    <row r="1756" ht="12.75" customHeight="1">
      <c r="A1756" s="1" t="s">
        <v>361</v>
      </c>
    </row>
    <row r="1757" ht="12.75" customHeight="1">
      <c r="A1757" s="1" t="s">
        <v>646</v>
      </c>
    </row>
    <row r="1758" ht="12.75" customHeight="1">
      <c r="A1758" s="1" t="s">
        <v>727</v>
      </c>
    </row>
    <row r="1759" ht="12.75" customHeight="1"/>
    <row r="1760" ht="12.75" customHeight="1">
      <c r="A1760" s="1" t="s">
        <v>362</v>
      </c>
    </row>
    <row r="1761" ht="12.75" customHeight="1">
      <c r="A1761" s="1" t="s">
        <v>652</v>
      </c>
    </row>
    <row r="1762" ht="12.75" customHeight="1">
      <c r="A1762" s="1" t="s">
        <v>825</v>
      </c>
    </row>
    <row r="1763" ht="12.75" customHeight="1"/>
    <row r="1764" ht="12.75" customHeight="1">
      <c r="A1764" s="1" t="s">
        <v>363</v>
      </c>
    </row>
    <row r="1765" ht="12.75" customHeight="1">
      <c r="A1765" s="1" t="s">
        <v>652</v>
      </c>
    </row>
    <row r="1766" ht="12.75" customHeight="1">
      <c r="A1766" s="1" t="s">
        <v>827</v>
      </c>
    </row>
    <row r="1767" ht="12.75" customHeight="1">
      <c r="A1767" s="1" t="s">
        <v>770</v>
      </c>
    </row>
    <row r="1768" ht="12.75" customHeight="1">
      <c r="A1768" s="1" t="s">
        <v>828</v>
      </c>
    </row>
    <row r="1769" ht="12.75" customHeight="1">
      <c r="A1769" s="1" t="s">
        <v>829</v>
      </c>
    </row>
    <row r="1770" ht="12.75" customHeight="1">
      <c r="A1770" s="1" t="s">
        <v>836</v>
      </c>
    </row>
    <row r="1771" ht="12.75" customHeight="1">
      <c r="A1771" s="1" t="s">
        <v>417</v>
      </c>
    </row>
    <row r="1772" ht="12.75" customHeight="1">
      <c r="A1772" s="1" t="s">
        <v>418</v>
      </c>
    </row>
    <row r="1773" ht="12.75" customHeight="1"/>
    <row r="1774" ht="12.75" customHeight="1">
      <c r="A1774" s="1" t="s">
        <v>419</v>
      </c>
    </row>
    <row r="1775" ht="12.75" customHeight="1">
      <c r="A1775" s="1" t="s">
        <v>420</v>
      </c>
    </row>
    <row r="1776" ht="12.75" customHeight="1">
      <c r="A1776" s="1" t="s">
        <v>421</v>
      </c>
    </row>
    <row r="1777" ht="12.75" customHeight="1">
      <c r="A1777" s="1" t="s">
        <v>420</v>
      </c>
    </row>
    <row r="1778" ht="12.75" customHeight="1"/>
    <row r="1779" ht="12.75" customHeight="1">
      <c r="A1779" s="1" t="s">
        <v>423</v>
      </c>
    </row>
    <row r="1780" ht="12.75" customHeight="1">
      <c r="A1780" s="1" t="s">
        <v>424</v>
      </c>
    </row>
    <row r="1781" ht="12.75" customHeight="1">
      <c r="A1781" s="1" t="s">
        <v>424</v>
      </c>
    </row>
    <row r="1782" ht="12.75" customHeight="1">
      <c r="A1782" s="1" t="s">
        <v>426</v>
      </c>
    </row>
    <row r="1783" ht="12.75" customHeight="1">
      <c r="A1783" s="1" t="s">
        <v>774</v>
      </c>
    </row>
    <row r="1784" ht="12.75" customHeight="1">
      <c r="A1784" s="1" t="s">
        <v>428</v>
      </c>
    </row>
    <row r="1785" ht="12.75" customHeight="1">
      <c r="A1785" s="1" t="s">
        <v>837</v>
      </c>
    </row>
    <row r="1786" ht="12.75" customHeight="1">
      <c r="A1786" s="1" t="s">
        <v>838</v>
      </c>
    </row>
    <row r="1787" ht="12.75" customHeight="1">
      <c r="A1787" s="1" t="s">
        <v>723</v>
      </c>
    </row>
    <row r="1788" ht="12.75" customHeight="1"/>
    <row r="1789" ht="12.75" customHeight="1">
      <c r="A1789" s="1" t="s">
        <v>360</v>
      </c>
    </row>
    <row r="1790" ht="12.75" customHeight="1">
      <c r="A1790" s="1" t="s">
        <v>839</v>
      </c>
    </row>
    <row r="1791" ht="12.75" customHeight="1">
      <c r="A1791" s="1" t="s">
        <v>840</v>
      </c>
    </row>
    <row r="1792" ht="12.75" customHeight="1">
      <c r="A1792" s="1" t="s">
        <v>819</v>
      </c>
    </row>
    <row r="1793" ht="12.75" customHeight="1">
      <c r="A1793" s="1" t="s">
        <v>821</v>
      </c>
    </row>
    <row r="1794" ht="12.75" customHeight="1"/>
    <row r="1795" ht="12.75" customHeight="1">
      <c r="A1795" s="1" t="s">
        <v>361</v>
      </c>
    </row>
    <row r="1796" ht="12.75" customHeight="1">
      <c r="A1796" s="1" t="s">
        <v>841</v>
      </c>
    </row>
    <row r="1797" ht="12.75" customHeight="1">
      <c r="A1797" s="1" t="s">
        <v>727</v>
      </c>
    </row>
    <row r="1798" ht="12.75" customHeight="1"/>
    <row r="1799" ht="12.75" customHeight="1">
      <c r="A1799" s="1" t="s">
        <v>362</v>
      </c>
    </row>
    <row r="1800" ht="12.75" customHeight="1">
      <c r="A1800" s="1" t="s">
        <v>842</v>
      </c>
    </row>
    <row r="1801" ht="12.75" customHeight="1">
      <c r="A1801" s="1" t="s">
        <v>825</v>
      </c>
    </row>
    <row r="1802" ht="12.75" customHeight="1"/>
    <row r="1803" ht="12.75" customHeight="1">
      <c r="A1803" s="1" t="s">
        <v>363</v>
      </c>
    </row>
    <row r="1804" ht="12.75" customHeight="1">
      <c r="A1804" s="1" t="s">
        <v>843</v>
      </c>
    </row>
    <row r="1805" ht="12.75" customHeight="1">
      <c r="A1805" s="1" t="s">
        <v>844</v>
      </c>
    </row>
    <row r="1806" ht="12.75" customHeight="1">
      <c r="A1806" s="1" t="s">
        <v>732</v>
      </c>
    </row>
    <row r="1807" ht="12.75" customHeight="1">
      <c r="A1807" s="1" t="s">
        <v>733</v>
      </c>
    </row>
    <row r="1808" ht="12.75" customHeight="1">
      <c r="A1808" s="1" t="s">
        <v>734</v>
      </c>
    </row>
    <row r="1809" ht="12.75" customHeight="1">
      <c r="A1809" s="1" t="s">
        <v>735</v>
      </c>
    </row>
    <row r="1810" ht="12.75" customHeight="1">
      <c r="A1810" s="1" t="s">
        <v>417</v>
      </c>
    </row>
    <row r="1811" ht="12.75" customHeight="1">
      <c r="A1811" s="1" t="s">
        <v>418</v>
      </c>
    </row>
    <row r="1812" ht="12.75" customHeight="1"/>
    <row r="1813" ht="12.75" customHeight="1">
      <c r="A1813" s="1" t="s">
        <v>419</v>
      </c>
    </row>
    <row r="1814" ht="12.75" customHeight="1">
      <c r="A1814" s="1" t="s">
        <v>737</v>
      </c>
    </row>
    <row r="1815" ht="12.75" customHeight="1">
      <c r="A1815" s="1" t="s">
        <v>421</v>
      </c>
    </row>
    <row r="1816" ht="12.75" customHeight="1">
      <c r="A1816" s="1" t="s">
        <v>736</v>
      </c>
    </row>
    <row r="1817" ht="12.75" customHeight="1"/>
    <row r="1818" ht="12.75" customHeight="1">
      <c r="A1818" s="1" t="s">
        <v>423</v>
      </c>
    </row>
    <row r="1819" ht="12.75" customHeight="1">
      <c r="A1819" s="1" t="s">
        <v>757</v>
      </c>
    </row>
    <row r="1820" ht="12.75" customHeight="1">
      <c r="A1820" s="1" t="s">
        <v>758</v>
      </c>
    </row>
    <row r="1821" ht="12.75" customHeight="1">
      <c r="A1821" s="1" t="s">
        <v>426</v>
      </c>
    </row>
    <row r="1822" ht="12.75" customHeight="1">
      <c r="A1822" s="1" t="s">
        <v>740</v>
      </c>
    </row>
    <row r="1823" ht="12.75" customHeight="1">
      <c r="A1823" s="1" t="s">
        <v>428</v>
      </c>
    </row>
    <row r="1824" ht="12.75" customHeight="1">
      <c r="A1824" s="1" t="s">
        <v>845</v>
      </c>
    </row>
    <row r="1825" ht="12.75" customHeight="1">
      <c r="A1825" s="1" t="s">
        <v>846</v>
      </c>
    </row>
    <row r="1826" ht="12.75" customHeight="1">
      <c r="A1826" s="1" t="s">
        <v>847</v>
      </c>
    </row>
    <row r="1827" ht="12.75" customHeight="1"/>
    <row r="1828" ht="12.75" customHeight="1">
      <c r="A1828" s="1" t="s">
        <v>360</v>
      </c>
    </row>
    <row r="1829" ht="12.75" customHeight="1">
      <c r="A1829" s="1" t="s">
        <v>848</v>
      </c>
    </row>
    <row r="1830" ht="12.75" customHeight="1">
      <c r="A1830" s="1" t="s">
        <v>840</v>
      </c>
    </row>
    <row r="1831" ht="12.75" customHeight="1">
      <c r="A1831" s="1" t="s">
        <v>849</v>
      </c>
    </row>
    <row r="1832" ht="12.75" customHeight="1">
      <c r="A1832" s="1" t="s">
        <v>821</v>
      </c>
    </row>
    <row r="1833" ht="12.75" customHeight="1"/>
    <row r="1834" ht="12.75" customHeight="1">
      <c r="A1834" s="1" t="s">
        <v>361</v>
      </c>
    </row>
    <row r="1835" ht="12.75" customHeight="1">
      <c r="A1835" s="1" t="s">
        <v>724</v>
      </c>
    </row>
    <row r="1836" ht="12.75" customHeight="1">
      <c r="A1836" s="1" t="s">
        <v>727</v>
      </c>
    </row>
    <row r="1837" ht="12.75" customHeight="1"/>
    <row r="1838" ht="12.75" customHeight="1">
      <c r="A1838" s="1" t="s">
        <v>362</v>
      </c>
    </row>
    <row r="1839" ht="12.75" customHeight="1">
      <c r="A1839" s="1" t="s">
        <v>850</v>
      </c>
    </row>
    <row r="1840" ht="12.75" customHeight="1">
      <c r="A1840" s="1" t="s">
        <v>825</v>
      </c>
    </row>
    <row r="1841" ht="12.75" customHeight="1"/>
    <row r="1842" ht="12.75" customHeight="1">
      <c r="A1842" s="1" t="s">
        <v>363</v>
      </c>
    </row>
    <row r="1843" ht="12.75" customHeight="1">
      <c r="A1843" s="1" t="s">
        <v>851</v>
      </c>
    </row>
    <row r="1844" ht="12.75" customHeight="1">
      <c r="A1844" s="1" t="s">
        <v>827</v>
      </c>
    </row>
    <row r="1845" ht="12.75" customHeight="1">
      <c r="A1845" s="1" t="s">
        <v>770</v>
      </c>
    </row>
    <row r="1846" ht="12.75" customHeight="1">
      <c r="A1846" s="1" t="s">
        <v>828</v>
      </c>
    </row>
    <row r="1847" ht="12.75" customHeight="1">
      <c r="A1847" s="1" t="s">
        <v>829</v>
      </c>
    </row>
    <row r="1848" ht="12.75" customHeight="1">
      <c r="A1848" s="1" t="s">
        <v>836</v>
      </c>
    </row>
    <row r="1849" ht="12.75" customHeight="1">
      <c r="A1849" s="1" t="s">
        <v>417</v>
      </c>
    </row>
    <row r="1850" ht="12.75" customHeight="1">
      <c r="A1850" s="1" t="s">
        <v>418</v>
      </c>
    </row>
    <row r="1851" ht="12.75" customHeight="1"/>
    <row r="1852" ht="12.75" customHeight="1">
      <c r="A1852" s="1" t="s">
        <v>419</v>
      </c>
    </row>
    <row r="1853" ht="12.75" customHeight="1">
      <c r="A1853" s="1" t="s">
        <v>420</v>
      </c>
    </row>
    <row r="1854" ht="12.75" customHeight="1">
      <c r="A1854" s="1" t="s">
        <v>421</v>
      </c>
    </row>
    <row r="1855" ht="12.75" customHeight="1">
      <c r="A1855" s="1" t="s">
        <v>420</v>
      </c>
    </row>
    <row r="1856" ht="12.75" customHeight="1"/>
    <row r="1857" ht="12.75" customHeight="1">
      <c r="A1857" s="1" t="s">
        <v>423</v>
      </c>
    </row>
    <row r="1858" ht="12.75" customHeight="1">
      <c r="A1858" s="1" t="s">
        <v>424</v>
      </c>
    </row>
    <row r="1859" ht="12.75" customHeight="1">
      <c r="A1859" s="1" t="s">
        <v>424</v>
      </c>
    </row>
    <row r="1860" ht="12.75" customHeight="1">
      <c r="A1860" s="1" t="s">
        <v>426</v>
      </c>
    </row>
    <row r="1861" ht="12.75" customHeight="1">
      <c r="A1861" s="1" t="s">
        <v>774</v>
      </c>
    </row>
    <row r="1862" ht="12.75" customHeight="1">
      <c r="A1862" s="1" t="s">
        <v>428</v>
      </c>
    </row>
    <row r="1863" ht="12.75" customHeight="1">
      <c r="A1863" s="1" t="s">
        <v>852</v>
      </c>
    </row>
    <row r="1864" ht="12.75" customHeight="1">
      <c r="A1864" s="1" t="s">
        <v>853</v>
      </c>
    </row>
    <row r="1865" ht="12.75" customHeight="1">
      <c r="A1865" s="1" t="s">
        <v>854</v>
      </c>
    </row>
    <row r="1866" ht="12.75" customHeight="1"/>
    <row r="1867" ht="12.75" customHeight="1">
      <c r="A1867" s="1" t="s">
        <v>360</v>
      </c>
    </row>
    <row r="1868" ht="12.75" customHeight="1">
      <c r="A1868" s="1" t="s">
        <v>855</v>
      </c>
    </row>
    <row r="1869" ht="12.75" customHeight="1">
      <c r="A1869" s="1" t="s">
        <v>855</v>
      </c>
    </row>
    <row r="1870" ht="12.75" customHeight="1">
      <c r="A1870" s="1" t="s">
        <v>856</v>
      </c>
    </row>
    <row r="1871" ht="12.75" customHeight="1">
      <c r="A1871" s="1" t="s">
        <v>856</v>
      </c>
    </row>
    <row r="1872" ht="12.75" customHeight="1"/>
    <row r="1873" ht="12.75" customHeight="1">
      <c r="A1873" s="1" t="s">
        <v>361</v>
      </c>
    </row>
    <row r="1874" ht="12.75" customHeight="1">
      <c r="A1874" s="1" t="s">
        <v>857</v>
      </c>
    </row>
    <row r="1875" ht="12.75" customHeight="1">
      <c r="A1875" s="1" t="s">
        <v>858</v>
      </c>
    </row>
    <row r="1876" ht="12.75" customHeight="1"/>
    <row r="1877" ht="12.75" customHeight="1">
      <c r="A1877" s="1" t="s">
        <v>362</v>
      </c>
    </row>
    <row r="1878" ht="12.75" customHeight="1">
      <c r="A1878" s="1" t="s">
        <v>857</v>
      </c>
    </row>
    <row r="1879" ht="12.75" customHeight="1">
      <c r="A1879" s="1" t="s">
        <v>858</v>
      </c>
    </row>
    <row r="1880" ht="12.75" customHeight="1"/>
    <row r="1881" ht="12.75" customHeight="1">
      <c r="A1881" s="1" t="s">
        <v>363</v>
      </c>
    </row>
    <row r="1882" ht="12.75" customHeight="1">
      <c r="A1882" s="1" t="s">
        <v>859</v>
      </c>
    </row>
    <row r="1883" ht="12.75" customHeight="1">
      <c r="A1883" s="1" t="s">
        <v>860</v>
      </c>
    </row>
    <row r="1884" ht="12.75" customHeight="1">
      <c r="A1884" s="1" t="s">
        <v>861</v>
      </c>
    </row>
    <row r="1885" ht="12.75" customHeight="1">
      <c r="A1885" s="1" t="s">
        <v>862</v>
      </c>
    </row>
    <row r="1886" ht="12.75" customHeight="1">
      <c r="A1886" s="1" t="s">
        <v>828</v>
      </c>
    </row>
    <row r="1887" ht="12.75" customHeight="1">
      <c r="A1887" s="1" t="s">
        <v>829</v>
      </c>
    </row>
    <row r="1888" ht="12.75" customHeight="1">
      <c r="A1888" s="1" t="s">
        <v>836</v>
      </c>
    </row>
    <row r="1889" ht="12.75" customHeight="1">
      <c r="A1889" s="1" t="s">
        <v>417</v>
      </c>
    </row>
    <row r="1890" ht="12.75" customHeight="1">
      <c r="A1890" s="1" t="s">
        <v>418</v>
      </c>
    </row>
    <row r="1891" ht="12.75" customHeight="1"/>
    <row r="1892" ht="12.75" customHeight="1">
      <c r="A1892" s="1" t="s">
        <v>419</v>
      </c>
    </row>
    <row r="1893" ht="12.75" customHeight="1">
      <c r="A1893" s="1" t="s">
        <v>420</v>
      </c>
    </row>
    <row r="1894" ht="12.75" customHeight="1">
      <c r="A1894" s="1" t="s">
        <v>421</v>
      </c>
    </row>
    <row r="1895" ht="12.75" customHeight="1">
      <c r="A1895" s="1" t="s">
        <v>420</v>
      </c>
    </row>
    <row r="1896" ht="12.75" customHeight="1"/>
    <row r="1897" ht="12.75" customHeight="1">
      <c r="A1897" s="1" t="s">
        <v>423</v>
      </c>
    </row>
    <row r="1898" ht="12.75" customHeight="1">
      <c r="A1898" s="1" t="s">
        <v>424</v>
      </c>
    </row>
    <row r="1899" ht="12.75" customHeight="1">
      <c r="A1899" s="1" t="s">
        <v>863</v>
      </c>
    </row>
    <row r="1900" ht="12.75" customHeight="1">
      <c r="A1900" s="1" t="s">
        <v>426</v>
      </c>
    </row>
    <row r="1901" ht="12.75" customHeight="1">
      <c r="A1901" s="1" t="s">
        <v>774</v>
      </c>
    </row>
    <row r="1902" ht="12.75" customHeight="1">
      <c r="A1902" s="1" t="s">
        <v>428</v>
      </c>
    </row>
    <row r="1903" ht="12.75" customHeight="1">
      <c r="A1903" s="1" t="s">
        <v>864</v>
      </c>
    </row>
    <row r="1904" ht="12.75" customHeight="1">
      <c r="A1904" s="1" t="s">
        <v>862</v>
      </c>
    </row>
    <row r="1905" ht="12.75" customHeight="1">
      <c r="A1905" s="1" t="s">
        <v>828</v>
      </c>
    </row>
    <row r="1906" ht="12.75" customHeight="1">
      <c r="A1906" s="1" t="s">
        <v>829</v>
      </c>
    </row>
    <row r="1907" ht="12.75" customHeight="1">
      <c r="A1907" s="1" t="s">
        <v>836</v>
      </c>
    </row>
    <row r="1908" ht="12.75" customHeight="1">
      <c r="A1908" s="1" t="s">
        <v>417</v>
      </c>
    </row>
    <row r="1909" ht="12.75" customHeight="1">
      <c r="A1909" s="1" t="s">
        <v>418</v>
      </c>
    </row>
    <row r="1910" ht="12.75" customHeight="1"/>
    <row r="1911" ht="12.75" customHeight="1">
      <c r="A1911" s="1" t="s">
        <v>419</v>
      </c>
    </row>
    <row r="1912" ht="12.75" customHeight="1">
      <c r="A1912" s="1" t="s">
        <v>420</v>
      </c>
    </row>
    <row r="1913" ht="12.75" customHeight="1">
      <c r="A1913" s="1" t="s">
        <v>421</v>
      </c>
    </row>
    <row r="1914" ht="12.75" customHeight="1">
      <c r="A1914" s="1" t="s">
        <v>420</v>
      </c>
    </row>
    <row r="1915" ht="12.75" customHeight="1"/>
    <row r="1916" ht="12.75" customHeight="1">
      <c r="A1916" s="1" t="s">
        <v>423</v>
      </c>
    </row>
    <row r="1917" ht="12.75" customHeight="1">
      <c r="A1917" s="1" t="s">
        <v>424</v>
      </c>
    </row>
    <row r="1918" ht="12.75" customHeight="1">
      <c r="A1918" s="1" t="s">
        <v>863</v>
      </c>
    </row>
    <row r="1919" ht="12.75" customHeight="1">
      <c r="A1919" s="1" t="s">
        <v>426</v>
      </c>
    </row>
    <row r="1920" ht="12.75" customHeight="1">
      <c r="A1920" s="1" t="s">
        <v>774</v>
      </c>
    </row>
    <row r="1921" ht="12.75" customHeight="1">
      <c r="A1921" s="1" t="s">
        <v>428</v>
      </c>
    </row>
    <row r="1922" ht="12.75" customHeight="1">
      <c r="A1922" s="1" t="s">
        <v>865</v>
      </c>
    </row>
    <row r="1923" ht="12.75" customHeight="1">
      <c r="A1923" s="1" t="s">
        <v>866</v>
      </c>
    </row>
    <row r="1924" ht="12.75" customHeight="1">
      <c r="A1924" s="1" t="s">
        <v>867</v>
      </c>
    </row>
    <row r="1925" ht="12.75" customHeight="1"/>
    <row r="1926" ht="12.75" customHeight="1">
      <c r="A1926" s="1" t="s">
        <v>360</v>
      </c>
    </row>
    <row r="1927" ht="12.75" customHeight="1">
      <c r="A1927" s="1" t="s">
        <v>868</v>
      </c>
    </row>
    <row r="1928" ht="12.75" customHeight="1">
      <c r="A1928" s="1" t="s">
        <v>869</v>
      </c>
    </row>
    <row r="1929" ht="12.75" customHeight="1">
      <c r="A1929" s="1" t="s">
        <v>870</v>
      </c>
    </row>
    <row r="1930" ht="12.75" customHeight="1">
      <c r="A1930" s="1" t="s">
        <v>871</v>
      </c>
    </row>
    <row r="1931" ht="12.75" customHeight="1"/>
    <row r="1932" ht="12.75" customHeight="1">
      <c r="A1932" s="1" t="s">
        <v>361</v>
      </c>
    </row>
    <row r="1933" ht="12.75" customHeight="1">
      <c r="A1933" s="1" t="s">
        <v>872</v>
      </c>
    </row>
    <row r="1934" ht="12.75" customHeight="1">
      <c r="A1934" s="1" t="s">
        <v>749</v>
      </c>
    </row>
    <row r="1935" ht="12.75" customHeight="1"/>
    <row r="1936" ht="12.75" customHeight="1">
      <c r="A1936" s="1" t="s">
        <v>362</v>
      </c>
    </row>
    <row r="1937" ht="12.75" customHeight="1">
      <c r="A1937" s="1" t="s">
        <v>873</v>
      </c>
    </row>
    <row r="1938" ht="12.75" customHeight="1">
      <c r="A1938" s="1" t="s">
        <v>874</v>
      </c>
    </row>
    <row r="1939" ht="12.75" customHeight="1"/>
    <row r="1940" ht="12.75" customHeight="1">
      <c r="A1940" s="1" t="s">
        <v>363</v>
      </c>
    </row>
    <row r="1941" ht="12.75" customHeight="1">
      <c r="A1941" s="1" t="s">
        <v>873</v>
      </c>
    </row>
    <row r="1942" ht="12.75" customHeight="1">
      <c r="A1942" s="1" t="s">
        <v>875</v>
      </c>
    </row>
    <row r="1943" ht="12.75" customHeight="1">
      <c r="A1943" s="1" t="s">
        <v>862</v>
      </c>
    </row>
    <row r="1944" ht="12.75" customHeight="1">
      <c r="A1944" s="1" t="s">
        <v>828</v>
      </c>
    </row>
    <row r="1945" ht="12.75" customHeight="1">
      <c r="A1945" s="1" t="s">
        <v>829</v>
      </c>
    </row>
    <row r="1946" ht="12.75" customHeight="1">
      <c r="A1946" s="1" t="s">
        <v>836</v>
      </c>
    </row>
    <row r="1947" ht="12.75" customHeight="1">
      <c r="A1947" s="1" t="s">
        <v>417</v>
      </c>
    </row>
    <row r="1948" ht="12.75" customHeight="1">
      <c r="A1948" s="1" t="s">
        <v>418</v>
      </c>
    </row>
    <row r="1949" ht="12.75" customHeight="1"/>
    <row r="1950" ht="12.75" customHeight="1">
      <c r="A1950" s="1" t="s">
        <v>419</v>
      </c>
    </row>
    <row r="1951" ht="12.75" customHeight="1">
      <c r="A1951" s="1" t="s">
        <v>420</v>
      </c>
    </row>
    <row r="1952" ht="12.75" customHeight="1">
      <c r="A1952" s="1" t="s">
        <v>421</v>
      </c>
    </row>
    <row r="1953" ht="12.75" customHeight="1">
      <c r="A1953" s="1" t="s">
        <v>420</v>
      </c>
    </row>
    <row r="1954" ht="12.75" customHeight="1"/>
    <row r="1955" ht="12.75" customHeight="1">
      <c r="A1955" s="1" t="s">
        <v>423</v>
      </c>
    </row>
    <row r="1956" ht="12.75" customHeight="1">
      <c r="A1956" s="1" t="s">
        <v>424</v>
      </c>
    </row>
    <row r="1957" ht="12.75" customHeight="1">
      <c r="A1957" s="1" t="s">
        <v>863</v>
      </c>
    </row>
    <row r="1958" ht="12.75" customHeight="1">
      <c r="A1958" s="1" t="s">
        <v>426</v>
      </c>
    </row>
    <row r="1959" ht="12.75" customHeight="1">
      <c r="A1959" s="1" t="s">
        <v>774</v>
      </c>
    </row>
    <row r="1960" ht="12.75" customHeight="1">
      <c r="A1960" s="1" t="s">
        <v>428</v>
      </c>
    </row>
    <row r="1961" ht="12.75" customHeight="1">
      <c r="A1961" s="1" t="s">
        <v>876</v>
      </c>
    </row>
    <row r="1962" ht="12.75" customHeight="1">
      <c r="A1962" s="1" t="s">
        <v>877</v>
      </c>
    </row>
    <row r="1963" ht="12.75" customHeight="1">
      <c r="A1963" s="1" t="s">
        <v>878</v>
      </c>
    </row>
    <row r="1964" ht="12.75" customHeight="1"/>
    <row r="1965" ht="12.75" customHeight="1">
      <c r="A1965" s="1" t="s">
        <v>360</v>
      </c>
    </row>
    <row r="1966" ht="12.75" customHeight="1">
      <c r="A1966" s="1" t="s">
        <v>879</v>
      </c>
    </row>
    <row r="1967" ht="12.75" customHeight="1">
      <c r="A1967" s="1" t="s">
        <v>880</v>
      </c>
    </row>
    <row r="1968" ht="12.75" customHeight="1">
      <c r="A1968" s="1" t="s">
        <v>869</v>
      </c>
    </row>
    <row r="1969" ht="12.75" customHeight="1">
      <c r="A1969" s="1" t="s">
        <v>878</v>
      </c>
    </row>
    <row r="1970" ht="12.75" customHeight="1"/>
    <row r="1971" ht="12.75" customHeight="1">
      <c r="A1971" s="1" t="s">
        <v>361</v>
      </c>
    </row>
    <row r="1972" ht="12.75" customHeight="1">
      <c r="A1972" s="1" t="s">
        <v>881</v>
      </c>
    </row>
    <row r="1973" ht="12.75" customHeight="1">
      <c r="A1973" s="1" t="s">
        <v>882</v>
      </c>
    </row>
    <row r="1974" ht="12.75" customHeight="1"/>
    <row r="1975" ht="12.75" customHeight="1">
      <c r="A1975" s="1" t="s">
        <v>362</v>
      </c>
    </row>
    <row r="1976" ht="12.75" customHeight="1">
      <c r="A1976" s="1" t="s">
        <v>879</v>
      </c>
    </row>
    <row r="1977" ht="12.75" customHeight="1">
      <c r="A1977" s="1" t="s">
        <v>880</v>
      </c>
    </row>
    <row r="1978" ht="12.75" customHeight="1"/>
    <row r="1979" ht="12.75" customHeight="1">
      <c r="A1979" s="1" t="s">
        <v>363</v>
      </c>
    </row>
    <row r="1980" ht="12.75" customHeight="1">
      <c r="A1980" s="1" t="s">
        <v>879</v>
      </c>
    </row>
    <row r="1981" ht="12.75" customHeight="1">
      <c r="A1981" s="1" t="s">
        <v>883</v>
      </c>
    </row>
    <row r="1982" ht="12.75" customHeight="1">
      <c r="A1982" s="1" t="s">
        <v>862</v>
      </c>
    </row>
    <row r="1983" ht="12.75" customHeight="1">
      <c r="A1983" s="1" t="s">
        <v>828</v>
      </c>
    </row>
    <row r="1984" ht="12.75" customHeight="1">
      <c r="A1984" s="1" t="s">
        <v>829</v>
      </c>
    </row>
    <row r="1985" ht="12.75" customHeight="1">
      <c r="A1985" s="1" t="s">
        <v>836</v>
      </c>
    </row>
    <row r="1986" ht="12.75" customHeight="1">
      <c r="A1986" s="1" t="s">
        <v>417</v>
      </c>
    </row>
    <row r="1987" ht="12.75" customHeight="1">
      <c r="A1987" s="1" t="s">
        <v>418</v>
      </c>
    </row>
    <row r="1988" ht="12.75" customHeight="1"/>
    <row r="1989" ht="12.75" customHeight="1">
      <c r="A1989" s="1" t="s">
        <v>419</v>
      </c>
    </row>
    <row r="1990" ht="12.75" customHeight="1">
      <c r="A1990" s="1" t="s">
        <v>420</v>
      </c>
    </row>
    <row r="1991" ht="12.75" customHeight="1">
      <c r="A1991" s="1" t="s">
        <v>421</v>
      </c>
    </row>
    <row r="1992" ht="12.75" customHeight="1">
      <c r="A1992" s="1" t="s">
        <v>420</v>
      </c>
    </row>
    <row r="1993" ht="12.75" customHeight="1"/>
    <row r="1994" ht="12.75" customHeight="1">
      <c r="A1994" s="1" t="s">
        <v>423</v>
      </c>
    </row>
    <row r="1995" ht="12.75" customHeight="1">
      <c r="A1995" s="1" t="s">
        <v>424</v>
      </c>
    </row>
    <row r="1996" ht="12.75" customHeight="1">
      <c r="A1996" s="1" t="s">
        <v>863</v>
      </c>
    </row>
    <row r="1997" ht="12.75" customHeight="1">
      <c r="A1997" s="1" t="s">
        <v>426</v>
      </c>
    </row>
    <row r="1998" ht="12.75" customHeight="1">
      <c r="A1998" s="1" t="s">
        <v>774</v>
      </c>
    </row>
    <row r="1999" ht="12.75" customHeight="1">
      <c r="A1999" s="1" t="s">
        <v>428</v>
      </c>
    </row>
    <row r="2000" ht="12.75" customHeight="1">
      <c r="A2000" s="1" t="s">
        <v>884</v>
      </c>
    </row>
    <row r="2001" ht="12.75" customHeight="1">
      <c r="A2001" s="1" t="s">
        <v>770</v>
      </c>
    </row>
    <row r="2002" ht="12.75" customHeight="1">
      <c r="A2002" s="1" t="s">
        <v>828</v>
      </c>
    </row>
    <row r="2003" ht="12.75" customHeight="1">
      <c r="A2003" s="1" t="s">
        <v>829</v>
      </c>
    </row>
    <row r="2004" ht="12.75" customHeight="1">
      <c r="A2004" s="1" t="s">
        <v>836</v>
      </c>
    </row>
    <row r="2005" ht="12.75" customHeight="1">
      <c r="A2005" s="1" t="s">
        <v>417</v>
      </c>
    </row>
    <row r="2006" ht="12.75" customHeight="1">
      <c r="A2006" s="1" t="s">
        <v>418</v>
      </c>
    </row>
    <row r="2007" ht="12.75" customHeight="1"/>
    <row r="2008" ht="12.75" customHeight="1">
      <c r="A2008" s="1" t="s">
        <v>419</v>
      </c>
    </row>
    <row r="2009" ht="12.75" customHeight="1">
      <c r="A2009" s="1" t="s">
        <v>420</v>
      </c>
    </row>
    <row r="2010" ht="12.75" customHeight="1">
      <c r="A2010" s="1" t="s">
        <v>421</v>
      </c>
    </row>
    <row r="2011" ht="12.75" customHeight="1">
      <c r="A2011" s="1" t="s">
        <v>420</v>
      </c>
    </row>
    <row r="2012" ht="12.75" customHeight="1"/>
    <row r="2013" ht="12.75" customHeight="1">
      <c r="A2013" s="1" t="s">
        <v>423</v>
      </c>
    </row>
    <row r="2014" ht="12.75" customHeight="1">
      <c r="A2014" s="1" t="s">
        <v>424</v>
      </c>
    </row>
    <row r="2015" ht="12.75" customHeight="1">
      <c r="A2015" s="1" t="s">
        <v>863</v>
      </c>
    </row>
    <row r="2016" ht="12.75" customHeight="1">
      <c r="A2016" s="1" t="s">
        <v>426</v>
      </c>
    </row>
    <row r="2017" ht="12.75" customHeight="1">
      <c r="A2017" s="1" t="s">
        <v>774</v>
      </c>
    </row>
    <row r="2018" ht="12.75" customHeight="1">
      <c r="A2018" s="1" t="s">
        <v>428</v>
      </c>
    </row>
    <row r="2019" ht="12.75" customHeight="1">
      <c r="A2019" s="1" t="s">
        <v>885</v>
      </c>
    </row>
    <row r="2020" ht="12.75" customHeight="1">
      <c r="A2020" s="1" t="s">
        <v>770</v>
      </c>
    </row>
    <row r="2021" ht="12.75" customHeight="1">
      <c r="A2021" s="1" t="s">
        <v>828</v>
      </c>
    </row>
    <row r="2022" ht="12.75" customHeight="1">
      <c r="A2022" s="1" t="s">
        <v>829</v>
      </c>
    </row>
    <row r="2023" ht="12.75" customHeight="1">
      <c r="A2023" s="1" t="s">
        <v>836</v>
      </c>
    </row>
    <row r="2024" ht="12.75" customHeight="1">
      <c r="A2024" s="1" t="s">
        <v>417</v>
      </c>
    </row>
    <row r="2025" ht="12.75" customHeight="1">
      <c r="A2025" s="1" t="s">
        <v>418</v>
      </c>
    </row>
    <row r="2026" ht="12.75" customHeight="1"/>
    <row r="2027" ht="12.75" customHeight="1">
      <c r="A2027" s="1" t="s">
        <v>419</v>
      </c>
    </row>
    <row r="2028" ht="12.75" customHeight="1">
      <c r="A2028" s="1" t="s">
        <v>420</v>
      </c>
    </row>
    <row r="2029" ht="12.75" customHeight="1">
      <c r="A2029" s="1" t="s">
        <v>421</v>
      </c>
    </row>
    <row r="2030" ht="12.75" customHeight="1">
      <c r="A2030" s="1" t="s">
        <v>420</v>
      </c>
    </row>
    <row r="2031" ht="12.75" customHeight="1"/>
    <row r="2032" ht="12.75" customHeight="1">
      <c r="A2032" s="1" t="s">
        <v>423</v>
      </c>
    </row>
    <row r="2033" ht="12.75" customHeight="1">
      <c r="A2033" s="1" t="s">
        <v>424</v>
      </c>
    </row>
    <row r="2034" ht="12.75" customHeight="1">
      <c r="A2034" s="1" t="s">
        <v>863</v>
      </c>
    </row>
    <row r="2035" ht="12.75" customHeight="1">
      <c r="A2035" s="1" t="s">
        <v>426</v>
      </c>
    </row>
    <row r="2036" ht="12.75" customHeight="1">
      <c r="A2036" s="1" t="s">
        <v>774</v>
      </c>
    </row>
    <row r="2037" ht="12.75" customHeight="1">
      <c r="A2037" s="1" t="s">
        <v>428</v>
      </c>
    </row>
    <row r="2038" ht="12.75" customHeight="1">
      <c r="A2038" s="1" t="s">
        <v>886</v>
      </c>
    </row>
    <row r="2039" ht="12.75" customHeight="1">
      <c r="A2039" s="1" t="s">
        <v>887</v>
      </c>
    </row>
    <row r="2040" ht="12.75" customHeight="1">
      <c r="A2040" s="1" t="s">
        <v>867</v>
      </c>
    </row>
    <row r="2041" ht="12.75" customHeight="1"/>
    <row r="2042" ht="12.75" customHeight="1">
      <c r="A2042" s="1" t="s">
        <v>360</v>
      </c>
    </row>
    <row r="2043" ht="12.75" customHeight="1">
      <c r="A2043" s="1" t="s">
        <v>888</v>
      </c>
    </row>
    <row r="2044" ht="12.75" customHeight="1">
      <c r="A2044" s="1" t="s">
        <v>889</v>
      </c>
    </row>
    <row r="2045" ht="12.75" customHeight="1">
      <c r="A2045" s="1" t="s">
        <v>870</v>
      </c>
    </row>
    <row r="2046" ht="12.75" customHeight="1">
      <c r="A2046" s="1" t="s">
        <v>871</v>
      </c>
    </row>
    <row r="2047" ht="12.75" customHeight="1"/>
    <row r="2048" ht="12.75" customHeight="1">
      <c r="A2048" s="1" t="s">
        <v>361</v>
      </c>
    </row>
    <row r="2049" ht="12.75" customHeight="1">
      <c r="A2049" s="1" t="s">
        <v>890</v>
      </c>
    </row>
    <row r="2050" ht="12.75" customHeight="1">
      <c r="A2050" s="1" t="s">
        <v>749</v>
      </c>
    </row>
    <row r="2051" ht="12.75" customHeight="1"/>
    <row r="2052" ht="12.75" customHeight="1">
      <c r="A2052" s="1" t="s">
        <v>362</v>
      </c>
    </row>
    <row r="2053" ht="12.75" customHeight="1">
      <c r="A2053" s="1" t="s">
        <v>891</v>
      </c>
    </row>
    <row r="2054" ht="12.75" customHeight="1">
      <c r="A2054" s="1" t="s">
        <v>874</v>
      </c>
    </row>
    <row r="2055" ht="12.75" customHeight="1"/>
    <row r="2056" ht="12.75" customHeight="1">
      <c r="A2056" s="1" t="s">
        <v>363</v>
      </c>
    </row>
    <row r="2057" ht="12.75" customHeight="1">
      <c r="A2057" s="1" t="s">
        <v>891</v>
      </c>
    </row>
    <row r="2058" ht="12.75" customHeight="1">
      <c r="A2058" s="1" t="s">
        <v>892</v>
      </c>
    </row>
    <row r="2059" ht="12.75" customHeight="1">
      <c r="A2059" s="1" t="s">
        <v>770</v>
      </c>
    </row>
    <row r="2060" ht="12.75" customHeight="1">
      <c r="A2060" s="1" t="s">
        <v>828</v>
      </c>
    </row>
    <row r="2061" ht="12.75" customHeight="1">
      <c r="A2061" s="1" t="s">
        <v>829</v>
      </c>
    </row>
    <row r="2062" ht="12.75" customHeight="1">
      <c r="A2062" s="1" t="s">
        <v>836</v>
      </c>
    </row>
    <row r="2063" ht="12.75" customHeight="1">
      <c r="A2063" s="1" t="s">
        <v>417</v>
      </c>
    </row>
    <row r="2064" ht="12.75" customHeight="1">
      <c r="A2064" s="1" t="s">
        <v>418</v>
      </c>
    </row>
    <row r="2065" ht="12.75" customHeight="1"/>
    <row r="2066" ht="12.75" customHeight="1">
      <c r="A2066" s="1" t="s">
        <v>419</v>
      </c>
    </row>
    <row r="2067" ht="12.75" customHeight="1">
      <c r="A2067" s="1" t="s">
        <v>420</v>
      </c>
    </row>
    <row r="2068" ht="12.75" customHeight="1">
      <c r="A2068" s="1" t="s">
        <v>421</v>
      </c>
    </row>
    <row r="2069" ht="12.75" customHeight="1">
      <c r="A2069" s="1" t="s">
        <v>420</v>
      </c>
    </row>
    <row r="2070" ht="12.75" customHeight="1"/>
    <row r="2071" ht="12.75" customHeight="1">
      <c r="A2071" s="1" t="s">
        <v>423</v>
      </c>
    </row>
    <row r="2072" ht="12.75" customHeight="1">
      <c r="A2072" s="1" t="s">
        <v>424</v>
      </c>
    </row>
    <row r="2073" ht="12.75" customHeight="1">
      <c r="A2073" s="1" t="s">
        <v>863</v>
      </c>
    </row>
    <row r="2074" ht="12.75" customHeight="1">
      <c r="A2074" s="1" t="s">
        <v>426</v>
      </c>
    </row>
    <row r="2075" ht="12.75" customHeight="1">
      <c r="A2075" s="1" t="s">
        <v>774</v>
      </c>
    </row>
    <row r="2076" ht="12.75" customHeight="1">
      <c r="A2076" s="1" t="s">
        <v>428</v>
      </c>
    </row>
    <row r="2077" ht="12.75" customHeight="1">
      <c r="A2077" s="1" t="s">
        <v>893</v>
      </c>
    </row>
    <row r="2078" ht="12.75" customHeight="1">
      <c r="A2078" s="1" t="s">
        <v>894</v>
      </c>
    </row>
    <row r="2079" ht="12.75" customHeight="1">
      <c r="A2079" s="1" t="s">
        <v>895</v>
      </c>
    </row>
    <row r="2080" ht="12.75" customHeight="1"/>
    <row r="2081" ht="12.75" customHeight="1">
      <c r="A2081" s="1" t="s">
        <v>360</v>
      </c>
    </row>
    <row r="2082" ht="12.75" customHeight="1">
      <c r="A2082" s="1" t="s">
        <v>896</v>
      </c>
    </row>
    <row r="2083" ht="12.75" customHeight="1">
      <c r="A2083" s="1" t="s">
        <v>897</v>
      </c>
    </row>
    <row r="2084" ht="12.75" customHeight="1">
      <c r="A2084" s="1" t="s">
        <v>898</v>
      </c>
    </row>
    <row r="2085" ht="12.75" customHeight="1">
      <c r="A2085" s="1" t="s">
        <v>899</v>
      </c>
    </row>
    <row r="2086" ht="12.75" customHeight="1"/>
    <row r="2087" ht="12.75" customHeight="1">
      <c r="A2087" s="1" t="s">
        <v>361</v>
      </c>
    </row>
    <row r="2088" ht="12.75" customHeight="1">
      <c r="A2088" s="1" t="s">
        <v>900</v>
      </c>
    </row>
    <row r="2089" ht="12.75" customHeight="1">
      <c r="A2089" s="1" t="s">
        <v>749</v>
      </c>
    </row>
    <row r="2090" ht="12.75" customHeight="1"/>
    <row r="2091" ht="12.75" customHeight="1">
      <c r="A2091" s="1" t="s">
        <v>362</v>
      </c>
    </row>
    <row r="2092" ht="12.75" customHeight="1">
      <c r="A2092" s="1" t="s">
        <v>901</v>
      </c>
    </row>
    <row r="2093" ht="12.75" customHeight="1">
      <c r="A2093" s="1" t="s">
        <v>902</v>
      </c>
    </row>
    <row r="2094" ht="12.75" customHeight="1"/>
    <row r="2095" ht="12.75" customHeight="1">
      <c r="A2095" s="1" t="s">
        <v>363</v>
      </c>
    </row>
    <row r="2096" ht="12.75" customHeight="1">
      <c r="A2096" s="1" t="s">
        <v>901</v>
      </c>
    </row>
    <row r="2097" ht="12.75" customHeight="1">
      <c r="A2097" s="1" t="s">
        <v>903</v>
      </c>
    </row>
    <row r="2098" ht="12.75" customHeight="1">
      <c r="A2098" s="1" t="s">
        <v>904</v>
      </c>
    </row>
    <row r="2099" ht="12.75" customHeight="1">
      <c r="A2099" s="1" t="s">
        <v>905</v>
      </c>
    </row>
    <row r="2100" ht="12.75" customHeight="1">
      <c r="A2100" s="1" t="s">
        <v>906</v>
      </c>
    </row>
    <row r="2101" ht="12.75" customHeight="1">
      <c r="A2101" s="1" t="s">
        <v>907</v>
      </c>
    </row>
    <row r="2102" ht="12.75" customHeight="1">
      <c r="A2102" s="1" t="s">
        <v>417</v>
      </c>
    </row>
    <row r="2103" ht="12.75" customHeight="1">
      <c r="A2103" s="1" t="s">
        <v>418</v>
      </c>
    </row>
    <row r="2104" ht="12.75" customHeight="1"/>
    <row r="2105" ht="12.75" customHeight="1">
      <c r="A2105" s="1" t="s">
        <v>419</v>
      </c>
    </row>
    <row r="2106" ht="12.75" customHeight="1">
      <c r="A2106" s="1" t="s">
        <v>737</v>
      </c>
    </row>
    <row r="2107" ht="12.75" customHeight="1">
      <c r="A2107" s="1" t="s">
        <v>421</v>
      </c>
    </row>
    <row r="2108" ht="12.75" customHeight="1">
      <c r="A2108" s="1" t="s">
        <v>736</v>
      </c>
    </row>
    <row r="2109" ht="12.75" customHeight="1"/>
    <row r="2110" ht="12.75" customHeight="1">
      <c r="A2110" s="1" t="s">
        <v>423</v>
      </c>
    </row>
    <row r="2111" ht="12.75" customHeight="1">
      <c r="A2111" s="1" t="s">
        <v>757</v>
      </c>
    </row>
    <row r="2112" ht="12.75" customHeight="1">
      <c r="A2112" s="1" t="s">
        <v>758</v>
      </c>
    </row>
    <row r="2113" ht="12.75" customHeight="1">
      <c r="A2113" s="1" t="s">
        <v>426</v>
      </c>
    </row>
    <row r="2114" ht="12.75" customHeight="1">
      <c r="A2114" s="1" t="s">
        <v>740</v>
      </c>
    </row>
    <row r="2115" ht="12.75" customHeight="1">
      <c r="A2115" s="1" t="s">
        <v>428</v>
      </c>
    </row>
    <row r="2116" ht="12.75" customHeight="1">
      <c r="A2116" s="1" t="s">
        <v>908</v>
      </c>
    </row>
    <row r="2117" ht="12.75" customHeight="1">
      <c r="A2117" s="1" t="s">
        <v>770</v>
      </c>
    </row>
    <row r="2118" ht="12.75" customHeight="1">
      <c r="A2118" s="1" t="s">
        <v>909</v>
      </c>
    </row>
    <row r="2119" ht="12.75" customHeight="1">
      <c r="A2119" s="1" t="s">
        <v>829</v>
      </c>
    </row>
    <row r="2120" ht="12.75" customHeight="1">
      <c r="A2120" s="1" t="s">
        <v>836</v>
      </c>
    </row>
    <row r="2121" ht="12.75" customHeight="1">
      <c r="A2121" s="1" t="s">
        <v>417</v>
      </c>
    </row>
    <row r="2122" ht="12.75" customHeight="1">
      <c r="A2122" s="1" t="s">
        <v>418</v>
      </c>
    </row>
    <row r="2123" ht="12.75" customHeight="1"/>
    <row r="2124" ht="12.75" customHeight="1">
      <c r="A2124" s="1" t="s">
        <v>419</v>
      </c>
    </row>
    <row r="2125" ht="12.75" customHeight="1">
      <c r="A2125" s="1" t="s">
        <v>420</v>
      </c>
    </row>
    <row r="2126" ht="12.75" customHeight="1">
      <c r="A2126" s="1" t="s">
        <v>421</v>
      </c>
    </row>
    <row r="2127" ht="12.75" customHeight="1">
      <c r="A2127" s="1" t="s">
        <v>420</v>
      </c>
    </row>
    <row r="2128" ht="12.75" customHeight="1"/>
    <row r="2129" ht="12.75" customHeight="1">
      <c r="A2129" s="1" t="s">
        <v>423</v>
      </c>
    </row>
    <row r="2130" ht="12.75" customHeight="1">
      <c r="A2130" s="1" t="s">
        <v>424</v>
      </c>
    </row>
    <row r="2131" ht="12.75" customHeight="1">
      <c r="A2131" s="1" t="s">
        <v>863</v>
      </c>
    </row>
    <row r="2132" ht="12.75" customHeight="1">
      <c r="A2132" s="1" t="s">
        <v>426</v>
      </c>
    </row>
    <row r="2133" ht="12.75" customHeight="1">
      <c r="A2133" s="1" t="s">
        <v>774</v>
      </c>
    </row>
    <row r="2134" ht="12.75" customHeight="1">
      <c r="A2134" s="1" t="s">
        <v>428</v>
      </c>
    </row>
    <row r="2135" ht="12.75" customHeight="1">
      <c r="A2135" s="1" t="s">
        <v>910</v>
      </c>
    </row>
    <row r="2136" ht="12.75" customHeight="1">
      <c r="A2136" s="1" t="s">
        <v>887</v>
      </c>
    </row>
    <row r="2137" ht="12.75" customHeight="1">
      <c r="A2137" s="1" t="s">
        <v>867</v>
      </c>
    </row>
    <row r="2138" ht="12.75" customHeight="1"/>
    <row r="2139" ht="12.75" customHeight="1">
      <c r="A2139" s="1" t="s">
        <v>360</v>
      </c>
    </row>
    <row r="2140" ht="12.75" customHeight="1">
      <c r="A2140" s="1" t="s">
        <v>911</v>
      </c>
    </row>
    <row r="2141" ht="12.75" customHeight="1">
      <c r="A2141" s="1" t="s">
        <v>889</v>
      </c>
    </row>
    <row r="2142" ht="12.75" customHeight="1">
      <c r="A2142" s="1" t="s">
        <v>870</v>
      </c>
    </row>
    <row r="2143" ht="12.75" customHeight="1">
      <c r="A2143" s="1" t="s">
        <v>871</v>
      </c>
    </row>
    <row r="2144" ht="12.75" customHeight="1"/>
    <row r="2145" ht="12.75" customHeight="1">
      <c r="A2145" s="1" t="s">
        <v>361</v>
      </c>
    </row>
    <row r="2146" ht="12.75" customHeight="1">
      <c r="A2146" s="1" t="s">
        <v>891</v>
      </c>
    </row>
    <row r="2147" ht="12.75" customHeight="1">
      <c r="A2147" s="1" t="s">
        <v>749</v>
      </c>
    </row>
    <row r="2148" ht="12.75" customHeight="1"/>
    <row r="2149" ht="12.75" customHeight="1">
      <c r="A2149" s="1" t="s">
        <v>362</v>
      </c>
    </row>
    <row r="2150" ht="12.75" customHeight="1">
      <c r="A2150" s="1" t="s">
        <v>912</v>
      </c>
    </row>
    <row r="2151" ht="12.75" customHeight="1">
      <c r="A2151" s="1" t="s">
        <v>874</v>
      </c>
    </row>
    <row r="2152" ht="12.75" customHeight="1"/>
    <row r="2153" ht="12.75" customHeight="1">
      <c r="A2153" s="1" t="s">
        <v>363</v>
      </c>
    </row>
    <row r="2154" ht="12.75" customHeight="1">
      <c r="A2154" s="1" t="s">
        <v>912</v>
      </c>
    </row>
    <row r="2155" ht="12.75" customHeight="1">
      <c r="A2155" s="1" t="s">
        <v>913</v>
      </c>
    </row>
    <row r="2156" ht="12.75" customHeight="1">
      <c r="A2156" s="1" t="s">
        <v>914</v>
      </c>
    </row>
    <row r="2157" ht="12.75" customHeight="1">
      <c r="A2157" s="1" t="s">
        <v>915</v>
      </c>
    </row>
    <row r="2158" ht="12.75" customHeight="1">
      <c r="A2158" s="1" t="s">
        <v>912</v>
      </c>
    </row>
    <row r="2159" ht="12.75" customHeight="1"/>
    <row r="2160" ht="12.75" customHeight="1">
      <c r="A2160" s="1" t="s">
        <v>360</v>
      </c>
    </row>
    <row r="2161" ht="12.75" customHeight="1">
      <c r="A2161" s="1" t="s">
        <v>916</v>
      </c>
    </row>
    <row r="2162" ht="12.75" customHeight="1">
      <c r="A2162" s="1" t="s">
        <v>891</v>
      </c>
    </row>
    <row r="2163" ht="12.75" customHeight="1">
      <c r="A2163" s="1" t="s">
        <v>917</v>
      </c>
    </row>
    <row r="2164" ht="12.75" customHeight="1">
      <c r="A2164" s="1" t="s">
        <v>899</v>
      </c>
    </row>
    <row r="2165" ht="12.75" customHeight="1"/>
    <row r="2166" ht="12.75" customHeight="1">
      <c r="A2166" s="1" t="s">
        <v>361</v>
      </c>
    </row>
    <row r="2167" ht="12.75" customHeight="1">
      <c r="A2167" s="1" t="s">
        <v>918</v>
      </c>
    </row>
    <row r="2168" ht="12.75" customHeight="1">
      <c r="A2168" s="1" t="s">
        <v>891</v>
      </c>
    </row>
    <row r="2169" ht="12.75" customHeight="1"/>
    <row r="2170" ht="12.75" customHeight="1">
      <c r="A2170" s="1" t="s">
        <v>362</v>
      </c>
    </row>
    <row r="2171" ht="12.75" customHeight="1">
      <c r="A2171" s="1" t="s">
        <v>919</v>
      </c>
    </row>
    <row r="2172" ht="12.75" customHeight="1">
      <c r="A2172" s="1" t="s">
        <v>902</v>
      </c>
    </row>
    <row r="2173" ht="12.75" customHeight="1"/>
    <row r="2174" ht="12.75" customHeight="1">
      <c r="A2174" s="1" t="s">
        <v>363</v>
      </c>
    </row>
    <row r="2175" ht="12.75" customHeight="1">
      <c r="A2175" s="1" t="s">
        <v>920</v>
      </c>
    </row>
    <row r="2176" ht="12.75" customHeight="1">
      <c r="A2176" s="1" t="s">
        <v>921</v>
      </c>
    </row>
    <row r="2177" ht="12.75" customHeight="1">
      <c r="A2177" s="1" t="s">
        <v>687</v>
      </c>
    </row>
    <row r="2178" ht="12.75" customHeight="1">
      <c r="A2178" s="1" t="s">
        <v>688</v>
      </c>
    </row>
    <row r="2179" ht="12.75" customHeight="1">
      <c r="A2179" s="1" t="s">
        <v>689</v>
      </c>
    </row>
    <row r="2180" ht="12.75" customHeight="1">
      <c r="A2180" s="1" t="s">
        <v>690</v>
      </c>
    </row>
    <row r="2181" ht="12.75" customHeight="1">
      <c r="A2181" s="1" t="s">
        <v>922</v>
      </c>
    </row>
    <row r="2182" ht="12.75" customHeight="1">
      <c r="A2182" s="1" t="s">
        <v>770</v>
      </c>
    </row>
    <row r="2183" ht="12.75" customHeight="1">
      <c r="A2183" s="1" t="s">
        <v>909</v>
      </c>
    </row>
    <row r="2184" ht="12.75" customHeight="1">
      <c r="A2184" s="1" t="s">
        <v>829</v>
      </c>
    </row>
    <row r="2185" ht="12.75" customHeight="1">
      <c r="A2185" s="1" t="s">
        <v>836</v>
      </c>
    </row>
    <row r="2186" ht="12.75" customHeight="1">
      <c r="A2186" s="1" t="s">
        <v>417</v>
      </c>
    </row>
    <row r="2187" ht="12.75" customHeight="1">
      <c r="A2187" s="1" t="s">
        <v>418</v>
      </c>
    </row>
    <row r="2188" ht="12.75" customHeight="1"/>
    <row r="2189" ht="12.75" customHeight="1">
      <c r="A2189" s="1" t="s">
        <v>419</v>
      </c>
    </row>
    <row r="2190" ht="12.75" customHeight="1">
      <c r="A2190" s="1" t="s">
        <v>420</v>
      </c>
    </row>
    <row r="2191" ht="12.75" customHeight="1">
      <c r="A2191" s="1" t="s">
        <v>421</v>
      </c>
    </row>
    <row r="2192" ht="12.75" customHeight="1">
      <c r="A2192" s="1" t="s">
        <v>420</v>
      </c>
    </row>
    <row r="2193" ht="12.75" customHeight="1"/>
    <row r="2194" ht="12.75" customHeight="1">
      <c r="A2194" s="1" t="s">
        <v>423</v>
      </c>
    </row>
    <row r="2195" ht="12.75" customHeight="1">
      <c r="A2195" s="1" t="s">
        <v>424</v>
      </c>
    </row>
    <row r="2196" ht="12.75" customHeight="1">
      <c r="A2196" s="1" t="s">
        <v>863</v>
      </c>
    </row>
    <row r="2197" ht="12.75" customHeight="1">
      <c r="A2197" s="1" t="s">
        <v>426</v>
      </c>
    </row>
    <row r="2198" ht="12.75" customHeight="1">
      <c r="A2198" s="1" t="s">
        <v>774</v>
      </c>
    </row>
    <row r="2199" ht="12.75" customHeight="1">
      <c r="A2199" s="1" t="s">
        <v>428</v>
      </c>
    </row>
    <row r="2200" ht="12.75" customHeight="1">
      <c r="A2200" s="1" t="s">
        <v>923</v>
      </c>
    </row>
    <row r="2201" ht="12.75" customHeight="1">
      <c r="A2201" s="1" t="s">
        <v>924</v>
      </c>
    </row>
    <row r="2202" ht="12.75" customHeight="1">
      <c r="A2202" s="1" t="s">
        <v>925</v>
      </c>
    </row>
    <row r="2203" ht="12.75" customHeight="1"/>
    <row r="2204" ht="12.75" customHeight="1">
      <c r="A2204" s="1" t="s">
        <v>360</v>
      </c>
    </row>
    <row r="2205" ht="12.75" customHeight="1">
      <c r="A2205" s="1" t="s">
        <v>926</v>
      </c>
    </row>
    <row r="2206" ht="12.75" customHeight="1">
      <c r="A2206" s="1" t="s">
        <v>926</v>
      </c>
    </row>
    <row r="2207" ht="12.75" customHeight="1">
      <c r="A2207" s="1" t="s">
        <v>927</v>
      </c>
    </row>
    <row r="2208" ht="12.75" customHeight="1">
      <c r="A2208" s="1" t="s">
        <v>927</v>
      </c>
    </row>
    <row r="2209" ht="12.75" customHeight="1"/>
    <row r="2210" ht="12.75" customHeight="1">
      <c r="A2210" s="1" t="s">
        <v>361</v>
      </c>
    </row>
    <row r="2211" ht="12.75" customHeight="1">
      <c r="A2211" s="1" t="s">
        <v>928</v>
      </c>
    </row>
    <row r="2212" ht="12.75" customHeight="1">
      <c r="A2212" s="1" t="s">
        <v>928</v>
      </c>
    </row>
    <row r="2213" ht="12.75" customHeight="1"/>
    <row r="2214" ht="12.75" customHeight="1">
      <c r="A2214" s="1" t="s">
        <v>362</v>
      </c>
    </row>
    <row r="2215" ht="12.75" customHeight="1">
      <c r="A2215" s="1" t="s">
        <v>929</v>
      </c>
    </row>
    <row r="2216" ht="12.75" customHeight="1">
      <c r="A2216" s="1" t="s">
        <v>929</v>
      </c>
    </row>
    <row r="2217" ht="12.75" customHeight="1"/>
    <row r="2218" ht="12.75" customHeight="1">
      <c r="A2218" s="1" t="s">
        <v>363</v>
      </c>
    </row>
    <row r="2219" ht="12.75" customHeight="1">
      <c r="A2219" s="1" t="s">
        <v>930</v>
      </c>
    </row>
    <row r="2220" ht="12.75" customHeight="1">
      <c r="A2220" s="1" t="s">
        <v>931</v>
      </c>
    </row>
    <row r="2221" ht="12.75" customHeight="1">
      <c r="A2221" s="1" t="s">
        <v>932</v>
      </c>
    </row>
    <row r="2222" ht="12.75" customHeight="1">
      <c r="A2222" s="1" t="s">
        <v>933</v>
      </c>
    </row>
    <row r="2223" ht="12.75" customHeight="1">
      <c r="A2223" s="1" t="s">
        <v>934</v>
      </c>
    </row>
    <row r="2224" ht="12.75" customHeight="1"/>
    <row r="2225" ht="12.75" customHeight="1">
      <c r="A2225" s="1" t="s">
        <v>360</v>
      </c>
    </row>
    <row r="2226" ht="12.75" customHeight="1">
      <c r="A2226" s="1" t="s">
        <v>935</v>
      </c>
    </row>
    <row r="2227" ht="12.75" customHeight="1">
      <c r="A2227" s="1" t="s">
        <v>936</v>
      </c>
    </row>
    <row r="2228" ht="12.75" customHeight="1">
      <c r="A2228" s="1" t="s">
        <v>936</v>
      </c>
    </row>
    <row r="2229" ht="12.75" customHeight="1">
      <c r="A2229" s="1" t="s">
        <v>935</v>
      </c>
    </row>
    <row r="2230" ht="12.75" customHeight="1"/>
    <row r="2231" ht="12.75" customHeight="1">
      <c r="A2231" s="1" t="s">
        <v>361</v>
      </c>
    </row>
    <row r="2232" ht="12.75" customHeight="1">
      <c r="A2232" s="1" t="s">
        <v>937</v>
      </c>
    </row>
    <row r="2233" ht="12.75" customHeight="1">
      <c r="A2233" s="1" t="s">
        <v>938</v>
      </c>
    </row>
    <row r="2234" ht="12.75" customHeight="1"/>
    <row r="2235" ht="12.75" customHeight="1">
      <c r="A2235" s="1" t="s">
        <v>362</v>
      </c>
    </row>
    <row r="2236" ht="12.75" customHeight="1">
      <c r="A2236" s="1" t="s">
        <v>939</v>
      </c>
    </row>
    <row r="2237" ht="12.75" customHeight="1">
      <c r="A2237" s="1" t="s">
        <v>940</v>
      </c>
    </row>
    <row r="2238" ht="12.75" customHeight="1"/>
    <row r="2239" ht="12.75" customHeight="1">
      <c r="A2239" s="1" t="s">
        <v>363</v>
      </c>
    </row>
    <row r="2240" ht="12.75" customHeight="1">
      <c r="A2240" s="1" t="s">
        <v>941</v>
      </c>
    </row>
    <row r="2241" ht="12.75" customHeight="1">
      <c r="A2241" s="1" t="s">
        <v>942</v>
      </c>
    </row>
    <row r="2242" ht="12.75" customHeight="1">
      <c r="A2242" s="1" t="s">
        <v>943</v>
      </c>
    </row>
    <row r="2243" ht="12.75" customHeight="1">
      <c r="A2243" s="1" t="s">
        <v>944</v>
      </c>
    </row>
    <row r="2244" ht="12.75" customHeight="1">
      <c r="A2244" s="1" t="s">
        <v>945</v>
      </c>
    </row>
    <row r="2245" ht="12.75" customHeight="1"/>
    <row r="2246" ht="12.75" customHeight="1">
      <c r="A2246" s="1" t="s">
        <v>360</v>
      </c>
    </row>
    <row r="2247" ht="12.75" customHeight="1">
      <c r="A2247" s="1" t="s">
        <v>946</v>
      </c>
    </row>
    <row r="2248" ht="12.75" customHeight="1">
      <c r="A2248" s="1" t="s">
        <v>947</v>
      </c>
    </row>
    <row r="2249" ht="12.75" customHeight="1">
      <c r="A2249" s="1" t="s">
        <v>948</v>
      </c>
    </row>
    <row r="2250" ht="12.75" customHeight="1">
      <c r="A2250" s="1" t="s">
        <v>949</v>
      </c>
    </row>
    <row r="2251" ht="12.75" customHeight="1"/>
    <row r="2252" ht="12.75" customHeight="1">
      <c r="A2252" s="1" t="s">
        <v>361</v>
      </c>
    </row>
    <row r="2253" ht="12.75" customHeight="1">
      <c r="A2253" s="1" t="s">
        <v>950</v>
      </c>
    </row>
    <row r="2254" ht="12.75" customHeight="1">
      <c r="A2254" s="1" t="s">
        <v>951</v>
      </c>
    </row>
    <row r="2255" ht="12.75" customHeight="1"/>
    <row r="2256" ht="12.75" customHeight="1">
      <c r="A2256" s="1" t="s">
        <v>362</v>
      </c>
    </row>
    <row r="2257" ht="12.75" customHeight="1">
      <c r="A2257" s="1" t="s">
        <v>952</v>
      </c>
    </row>
    <row r="2258" ht="12.75" customHeight="1">
      <c r="A2258" s="1" t="s">
        <v>952</v>
      </c>
    </row>
    <row r="2259" ht="12.75" customHeight="1"/>
    <row r="2260" ht="12.75" customHeight="1">
      <c r="A2260" s="1" t="s">
        <v>363</v>
      </c>
    </row>
    <row r="2261" ht="12.75" customHeight="1">
      <c r="A2261" s="1" t="s">
        <v>953</v>
      </c>
    </row>
    <row r="2262" ht="12.75" customHeight="1">
      <c r="A2262" s="1" t="s">
        <v>954</v>
      </c>
    </row>
    <row r="2263" ht="12.75" customHeight="1">
      <c r="A2263" s="1" t="s">
        <v>955</v>
      </c>
    </row>
    <row r="2264" ht="12.75" customHeight="1">
      <c r="A2264" s="1" t="s">
        <v>956</v>
      </c>
    </row>
    <row r="2265" ht="12.75" customHeight="1">
      <c r="A2265" s="1" t="s">
        <v>957</v>
      </c>
    </row>
    <row r="2266" ht="12.75" customHeight="1"/>
    <row r="2267" ht="12.75" customHeight="1">
      <c r="A2267" s="1" t="s">
        <v>360</v>
      </c>
    </row>
    <row r="2268" ht="12.75" customHeight="1">
      <c r="A2268" s="1" t="s">
        <v>958</v>
      </c>
    </row>
    <row r="2269" ht="12.75" customHeight="1">
      <c r="A2269" s="1" t="s">
        <v>959</v>
      </c>
    </row>
    <row r="2270" ht="12.75" customHeight="1">
      <c r="A2270" s="1" t="s">
        <v>960</v>
      </c>
    </row>
    <row r="2271" ht="12.75" customHeight="1">
      <c r="A2271" s="1" t="s">
        <v>961</v>
      </c>
    </row>
    <row r="2272" ht="12.75" customHeight="1"/>
    <row r="2273" ht="12.75" customHeight="1">
      <c r="A2273" s="1" t="s">
        <v>361</v>
      </c>
    </row>
    <row r="2274" ht="12.75" customHeight="1">
      <c r="A2274" s="1" t="s">
        <v>962</v>
      </c>
    </row>
    <row r="2275" ht="12.75" customHeight="1">
      <c r="A2275" s="1" t="s">
        <v>963</v>
      </c>
    </row>
    <row r="2276" ht="12.75" customHeight="1"/>
    <row r="2277" ht="12.75" customHeight="1">
      <c r="A2277" s="1" t="s">
        <v>362</v>
      </c>
    </row>
    <row r="2278" ht="12.75" customHeight="1">
      <c r="A2278" s="1" t="s">
        <v>964</v>
      </c>
    </row>
    <row r="2279" ht="12.75" customHeight="1">
      <c r="A2279" s="1" t="s">
        <v>965</v>
      </c>
    </row>
    <row r="2280" ht="12.75" customHeight="1"/>
    <row r="2281" ht="12.75" customHeight="1">
      <c r="A2281" s="1" t="s">
        <v>363</v>
      </c>
    </row>
    <row r="2282" ht="12.75" customHeight="1">
      <c r="A2282" s="1" t="s">
        <v>966</v>
      </c>
    </row>
    <row r="2283" ht="12.75" customHeight="1">
      <c r="A2283" s="1" t="s">
        <v>967</v>
      </c>
    </row>
    <row r="2284" ht="12.75" customHeight="1">
      <c r="A2284" s="1" t="s">
        <v>968</v>
      </c>
    </row>
    <row r="2285" ht="12.75" customHeight="1">
      <c r="A2285" s="1" t="s">
        <v>969</v>
      </c>
    </row>
    <row r="2286" ht="12.75" customHeight="1">
      <c r="A2286" s="1" t="s">
        <v>498</v>
      </c>
    </row>
    <row r="2287" ht="12.75" customHeight="1">
      <c r="A2287" s="1" t="s">
        <v>499</v>
      </c>
    </row>
    <row r="2288" ht="12.75" customHeight="1">
      <c r="A2288" s="1" t="s">
        <v>500</v>
      </c>
    </row>
    <row r="2289" ht="12.75" customHeight="1">
      <c r="A2289" s="1" t="s">
        <v>970</v>
      </c>
    </row>
    <row r="2290" ht="12.75" customHeight="1"/>
    <row r="2291" ht="12.75" customHeight="1">
      <c r="A2291" s="1" t="s">
        <v>419</v>
      </c>
    </row>
    <row r="2292" ht="12.75" customHeight="1">
      <c r="A2292" s="1" t="s">
        <v>971</v>
      </c>
    </row>
    <row r="2293" ht="12.75" customHeight="1">
      <c r="A2293" s="1" t="s">
        <v>605</v>
      </c>
    </row>
    <row r="2294" ht="12.75" customHeight="1">
      <c r="A2294" s="1" t="s">
        <v>972</v>
      </c>
    </row>
    <row r="2295" ht="12.75" customHeight="1"/>
    <row r="2296" ht="12.75" customHeight="1">
      <c r="A2296" s="1" t="s">
        <v>423</v>
      </c>
    </row>
    <row r="2297" ht="12.75" customHeight="1">
      <c r="A2297" s="1" t="s">
        <v>973</v>
      </c>
    </row>
    <row r="2298" ht="12.75" customHeight="1">
      <c r="A2298" s="1" t="s">
        <v>974</v>
      </c>
    </row>
    <row r="2299" ht="12.75" customHeight="1">
      <c r="A2299" s="1" t="s">
        <v>975</v>
      </c>
    </row>
    <row r="2300" ht="12.75" customHeight="1">
      <c r="A2300" s="1" t="s">
        <v>976</v>
      </c>
    </row>
    <row r="2301" ht="12.75" customHeight="1">
      <c r="A2301" s="1" t="s">
        <v>977</v>
      </c>
    </row>
    <row r="2302" ht="12.75" customHeight="1">
      <c r="A2302" s="1" t="s">
        <v>978</v>
      </c>
    </row>
    <row r="2303" ht="12.75" customHeight="1">
      <c r="A2303" s="1" t="s">
        <v>979</v>
      </c>
    </row>
    <row r="2304" ht="12.75" customHeight="1">
      <c r="A2304" s="1" t="s">
        <v>980</v>
      </c>
    </row>
    <row r="2305" ht="12.75" customHeight="1"/>
    <row r="2306" ht="12.75" customHeight="1">
      <c r="A2306" s="1" t="s">
        <v>360</v>
      </c>
    </row>
    <row r="2307" ht="12.75" customHeight="1">
      <c r="A2307" s="1" t="s">
        <v>981</v>
      </c>
    </row>
    <row r="2308" ht="12.75" customHeight="1">
      <c r="A2308" s="1" t="s">
        <v>982</v>
      </c>
    </row>
    <row r="2309" ht="12.75" customHeight="1">
      <c r="A2309" s="1" t="s">
        <v>983</v>
      </c>
    </row>
    <row r="2310" ht="12.75" customHeight="1">
      <c r="A2310" s="1" t="s">
        <v>984</v>
      </c>
    </row>
    <row r="2311" ht="12.75" customHeight="1"/>
    <row r="2312" ht="12.75" customHeight="1">
      <c r="A2312" s="1" t="s">
        <v>361</v>
      </c>
    </row>
    <row r="2313" ht="12.75" customHeight="1">
      <c r="A2313" s="1" t="s">
        <v>985</v>
      </c>
    </row>
    <row r="2314" ht="12.75" customHeight="1">
      <c r="A2314" s="1" t="s">
        <v>986</v>
      </c>
    </row>
    <row r="2315" ht="12.75" customHeight="1"/>
    <row r="2316" ht="12.75" customHeight="1">
      <c r="A2316" s="1" t="s">
        <v>362</v>
      </c>
    </row>
    <row r="2317" ht="12.75" customHeight="1">
      <c r="A2317" s="1" t="s">
        <v>987</v>
      </c>
    </row>
    <row r="2318" ht="12.75" customHeight="1">
      <c r="A2318" s="1" t="s">
        <v>988</v>
      </c>
    </row>
    <row r="2319" ht="12.75" customHeight="1"/>
    <row r="2320" ht="12.75" customHeight="1">
      <c r="A2320" s="1" t="s">
        <v>363</v>
      </c>
    </row>
    <row r="2321" ht="12.75" customHeight="1">
      <c r="A2321" s="1" t="s">
        <v>989</v>
      </c>
    </row>
    <row r="2322" ht="12.75" customHeight="1">
      <c r="A2322" s="1" t="s">
        <v>990</v>
      </c>
    </row>
    <row r="2323" ht="12.75" customHeight="1">
      <c r="A2323" s="1" t="s">
        <v>991</v>
      </c>
    </row>
    <row r="2324" ht="12.75" customHeight="1">
      <c r="A2324" s="1" t="s">
        <v>979</v>
      </c>
    </row>
    <row r="2325" ht="12.75" customHeight="1">
      <c r="A2325" s="1" t="s">
        <v>980</v>
      </c>
    </row>
    <row r="2326" ht="12.75" customHeight="1"/>
    <row r="2327" ht="12.75" customHeight="1">
      <c r="A2327" s="1" t="s">
        <v>360</v>
      </c>
    </row>
    <row r="2328" ht="12.75" customHeight="1">
      <c r="A2328" s="1" t="s">
        <v>981</v>
      </c>
    </row>
    <row r="2329" ht="12.75" customHeight="1">
      <c r="A2329" s="1" t="s">
        <v>982</v>
      </c>
    </row>
    <row r="2330" ht="12.75" customHeight="1">
      <c r="A2330" s="1" t="s">
        <v>983</v>
      </c>
    </row>
    <row r="2331" ht="12.75" customHeight="1">
      <c r="A2331" s="1" t="s">
        <v>984</v>
      </c>
    </row>
    <row r="2332" ht="12.75" customHeight="1"/>
    <row r="2333" ht="12.75" customHeight="1">
      <c r="A2333" s="1" t="s">
        <v>361</v>
      </c>
    </row>
    <row r="2334" ht="12.75" customHeight="1">
      <c r="A2334" s="1" t="s">
        <v>985</v>
      </c>
    </row>
    <row r="2335" ht="12.75" customHeight="1">
      <c r="A2335" s="1" t="s">
        <v>986</v>
      </c>
    </row>
    <row r="2336" ht="12.75" customHeight="1"/>
    <row r="2337" ht="12.75" customHeight="1">
      <c r="A2337" s="1" t="s">
        <v>362</v>
      </c>
    </row>
    <row r="2338" ht="12.75" customHeight="1">
      <c r="A2338" s="1" t="s">
        <v>987</v>
      </c>
    </row>
    <row r="2339" ht="12.75" customHeight="1">
      <c r="A2339" s="1" t="s">
        <v>988</v>
      </c>
    </row>
    <row r="2340" ht="12.75" customHeight="1"/>
    <row r="2341" ht="12.75" customHeight="1">
      <c r="A2341" s="1" t="s">
        <v>363</v>
      </c>
    </row>
    <row r="2342" ht="12.75" customHeight="1">
      <c r="A2342" s="1" t="s">
        <v>989</v>
      </c>
    </row>
    <row r="2343" ht="12.75" customHeight="1">
      <c r="A2343" s="1" t="s">
        <v>992</v>
      </c>
    </row>
    <row r="2344" ht="12.75" customHeight="1">
      <c r="A2344" s="1" t="s">
        <v>993</v>
      </c>
    </row>
    <row r="2345" ht="12.75" customHeight="1">
      <c r="A2345" s="1" t="s">
        <v>969</v>
      </c>
    </row>
    <row r="2346" ht="12.75" customHeight="1">
      <c r="A2346" s="1" t="s">
        <v>498</v>
      </c>
    </row>
    <row r="2347" ht="12.75" customHeight="1">
      <c r="A2347" s="1" t="s">
        <v>994</v>
      </c>
    </row>
    <row r="2348" ht="12.75" customHeight="1">
      <c r="A2348" s="1" t="s">
        <v>500</v>
      </c>
    </row>
    <row r="2349" ht="12.75" customHeight="1">
      <c r="A2349" s="1" t="s">
        <v>970</v>
      </c>
    </row>
    <row r="2350" ht="12.75" customHeight="1"/>
    <row r="2351" ht="12.75" customHeight="1">
      <c r="A2351" s="1" t="s">
        <v>419</v>
      </c>
    </row>
    <row r="2352" ht="12.75" customHeight="1">
      <c r="A2352" s="1" t="s">
        <v>995</v>
      </c>
    </row>
    <row r="2353" ht="12.75" customHeight="1">
      <c r="A2353" s="1" t="s">
        <v>504</v>
      </c>
    </row>
    <row r="2354" ht="12.75" customHeight="1">
      <c r="A2354" s="1" t="s">
        <v>972</v>
      </c>
    </row>
    <row r="2355" ht="12.75" customHeight="1"/>
    <row r="2356" ht="12.75" customHeight="1">
      <c r="A2356" s="1" t="s">
        <v>423</v>
      </c>
    </row>
    <row r="2357" ht="12.75" customHeight="1">
      <c r="A2357" s="1" t="s">
        <v>505</v>
      </c>
    </row>
    <row r="2358" ht="12.75" customHeight="1">
      <c r="A2358" s="1" t="s">
        <v>506</v>
      </c>
    </row>
    <row r="2359" ht="12.75" customHeight="1">
      <c r="A2359" s="1" t="s">
        <v>996</v>
      </c>
    </row>
    <row r="2360" ht="12.75" customHeight="1">
      <c r="A2360" s="1" t="s">
        <v>997</v>
      </c>
    </row>
    <row r="2361" ht="12.75" customHeight="1">
      <c r="A2361" s="1" t="s">
        <v>998</v>
      </c>
    </row>
    <row r="2362" ht="12.75" customHeight="1">
      <c r="A2362" s="1" t="s">
        <v>999</v>
      </c>
    </row>
    <row r="2363" ht="12.75" customHeight="1">
      <c r="A2363" s="1" t="s">
        <v>1000</v>
      </c>
    </row>
    <row r="2364" ht="12.75" customHeight="1">
      <c r="A2364" s="1" t="s">
        <v>1001</v>
      </c>
    </row>
    <row r="2365" ht="12.75" customHeight="1"/>
    <row r="2366" ht="12.75" customHeight="1">
      <c r="A2366" s="1" t="s">
        <v>360</v>
      </c>
    </row>
    <row r="2367" ht="12.75" customHeight="1">
      <c r="A2367" s="1" t="s">
        <v>1002</v>
      </c>
    </row>
    <row r="2368" ht="12.75" customHeight="1">
      <c r="A2368" s="1" t="s">
        <v>1003</v>
      </c>
    </row>
    <row r="2369" ht="12.75" customHeight="1">
      <c r="A2369" s="1" t="s">
        <v>1004</v>
      </c>
    </row>
    <row r="2370" ht="12.75" customHeight="1">
      <c r="A2370" s="1" t="s">
        <v>1005</v>
      </c>
    </row>
    <row r="2371" ht="12.75" customHeight="1"/>
    <row r="2372" ht="12.75" customHeight="1">
      <c r="A2372" s="1" t="s">
        <v>361</v>
      </c>
    </row>
    <row r="2373" ht="12.75" customHeight="1">
      <c r="A2373" s="1" t="s">
        <v>1006</v>
      </c>
    </row>
    <row r="2374" ht="12.75" customHeight="1">
      <c r="A2374" s="1" t="s">
        <v>1007</v>
      </c>
    </row>
    <row r="2375" ht="12.75" customHeight="1"/>
    <row r="2376" ht="12.75" customHeight="1">
      <c r="A2376" s="1" t="s">
        <v>362</v>
      </c>
    </row>
    <row r="2377" ht="12.75" customHeight="1">
      <c r="A2377" s="1" t="s">
        <v>1008</v>
      </c>
    </row>
    <row r="2378" ht="12.75" customHeight="1">
      <c r="A2378" s="1" t="s">
        <v>1009</v>
      </c>
    </row>
    <row r="2379" ht="12.75" customHeight="1"/>
    <row r="2380" ht="12.75" customHeight="1">
      <c r="A2380" s="1" t="s">
        <v>363</v>
      </c>
    </row>
    <row r="2381" ht="12.75" customHeight="1">
      <c r="A2381" s="1" t="s">
        <v>1010</v>
      </c>
    </row>
    <row r="2382" ht="12.75" customHeight="1">
      <c r="A2382" s="1" t="s">
        <v>1011</v>
      </c>
    </row>
    <row r="2383" ht="12.75" customHeight="1">
      <c r="A2383" s="1" t="s">
        <v>1012</v>
      </c>
    </row>
    <row r="2384" ht="12.75" customHeight="1">
      <c r="A2384" s="1" t="s">
        <v>1013</v>
      </c>
    </row>
    <row r="2385" ht="12.75" customHeight="1">
      <c r="A2385" s="1" t="s">
        <v>1014</v>
      </c>
    </row>
    <row r="2386" ht="12.75" customHeight="1"/>
    <row r="2387" ht="12.75" customHeight="1">
      <c r="A2387" s="1" t="s">
        <v>360</v>
      </c>
    </row>
    <row r="2388" ht="12.75" customHeight="1">
      <c r="A2388" s="1" t="s">
        <v>1015</v>
      </c>
    </row>
    <row r="2389" ht="12.75" customHeight="1">
      <c r="A2389" s="1" t="s">
        <v>1016</v>
      </c>
    </row>
    <row r="2390" ht="12.75" customHeight="1">
      <c r="A2390" s="1" t="s">
        <v>1017</v>
      </c>
    </row>
    <row r="2391" ht="12.75" customHeight="1">
      <c r="A2391" s="1" t="s">
        <v>1018</v>
      </c>
    </row>
    <row r="2392" ht="12.75" customHeight="1"/>
    <row r="2393" ht="12.75" customHeight="1">
      <c r="A2393" s="1" t="s">
        <v>361</v>
      </c>
    </row>
    <row r="2394" ht="12.75" customHeight="1">
      <c r="A2394" s="1" t="s">
        <v>1019</v>
      </c>
    </row>
    <row r="2395" ht="12.75" customHeight="1">
      <c r="A2395" s="1" t="s">
        <v>1020</v>
      </c>
    </row>
    <row r="2396" ht="12.75" customHeight="1"/>
    <row r="2397" ht="12.75" customHeight="1">
      <c r="A2397" s="1" t="s">
        <v>362</v>
      </c>
    </row>
    <row r="2398" ht="12.75" customHeight="1">
      <c r="A2398" s="1" t="s">
        <v>1021</v>
      </c>
    </row>
    <row r="2399" ht="12.75" customHeight="1">
      <c r="A2399" s="1" t="s">
        <v>1022</v>
      </c>
    </row>
    <row r="2400" ht="12.75" customHeight="1"/>
    <row r="2401" ht="12.75" customHeight="1">
      <c r="A2401" s="1" t="s">
        <v>363</v>
      </c>
    </row>
    <row r="2402" ht="12.75" customHeight="1">
      <c r="A2402" s="1" t="s">
        <v>1023</v>
      </c>
    </row>
    <row r="2403" ht="12.75" customHeight="1">
      <c r="A2403" s="1" t="s">
        <v>1024</v>
      </c>
    </row>
    <row r="2404" ht="12.75" customHeight="1">
      <c r="A2404" s="1" t="s">
        <v>1025</v>
      </c>
    </row>
    <row r="2405" ht="12.75" customHeight="1">
      <c r="A2405" s="1" t="s">
        <v>1026</v>
      </c>
    </row>
    <row r="2406" ht="12.75" customHeight="1">
      <c r="A2406" s="1" t="s">
        <v>1027</v>
      </c>
    </row>
    <row r="2407" ht="12.75" customHeight="1"/>
    <row r="2408" ht="12.75" customHeight="1">
      <c r="A2408" s="1" t="s">
        <v>360</v>
      </c>
    </row>
    <row r="2409" ht="12.75" customHeight="1">
      <c r="A2409" s="1" t="s">
        <v>1028</v>
      </c>
    </row>
    <row r="2410" ht="12.75" customHeight="1">
      <c r="A2410" s="1" t="s">
        <v>1029</v>
      </c>
    </row>
    <row r="2411" ht="12.75" customHeight="1">
      <c r="A2411" s="1" t="s">
        <v>1030</v>
      </c>
    </row>
    <row r="2412" ht="12.75" customHeight="1">
      <c r="A2412" s="1" t="s">
        <v>1031</v>
      </c>
    </row>
    <row r="2413" ht="12.75" customHeight="1"/>
    <row r="2414" ht="12.75" customHeight="1">
      <c r="A2414" s="1" t="s">
        <v>361</v>
      </c>
    </row>
    <row r="2415" ht="12.75" customHeight="1">
      <c r="A2415" s="1" t="s">
        <v>1032</v>
      </c>
    </row>
    <row r="2416" ht="12.75" customHeight="1">
      <c r="A2416" s="1" t="s">
        <v>1033</v>
      </c>
    </row>
    <row r="2417" ht="12.75" customHeight="1"/>
    <row r="2418" ht="12.75" customHeight="1">
      <c r="A2418" s="1" t="s">
        <v>362</v>
      </c>
    </row>
    <row r="2419" ht="12.75" customHeight="1">
      <c r="A2419" s="1" t="s">
        <v>1034</v>
      </c>
    </row>
    <row r="2420" ht="12.75" customHeight="1">
      <c r="A2420" s="1" t="s">
        <v>1035</v>
      </c>
    </row>
    <row r="2421" ht="12.75" customHeight="1"/>
    <row r="2422" ht="12.75" customHeight="1">
      <c r="A2422" s="1" t="s">
        <v>363</v>
      </c>
    </row>
    <row r="2423" ht="12.75" customHeight="1">
      <c r="A2423" s="1" t="s">
        <v>1036</v>
      </c>
    </row>
    <row r="2424" ht="12.75" customHeight="1">
      <c r="A2424" s="1" t="s">
        <v>1037</v>
      </c>
    </row>
    <row r="2425" ht="12.75" customHeight="1">
      <c r="A2425" s="1" t="s">
        <v>1038</v>
      </c>
    </row>
    <row r="2426" ht="12.75" customHeight="1">
      <c r="A2426" s="1" t="s">
        <v>1039</v>
      </c>
    </row>
    <row r="2427" ht="12.75" customHeight="1">
      <c r="A2427" s="1" t="s">
        <v>1040</v>
      </c>
    </row>
    <row r="2428" ht="12.75" customHeight="1"/>
    <row r="2429" ht="12.75" customHeight="1">
      <c r="A2429" s="1" t="s">
        <v>360</v>
      </c>
    </row>
    <row r="2430" ht="12.75" customHeight="1">
      <c r="A2430" s="1" t="s">
        <v>1041</v>
      </c>
    </row>
    <row r="2431" ht="12.75" customHeight="1">
      <c r="A2431" s="1" t="s">
        <v>1042</v>
      </c>
    </row>
    <row r="2432" ht="12.75" customHeight="1">
      <c r="A2432" s="1" t="s">
        <v>1043</v>
      </c>
    </row>
    <row r="2433" ht="12.75" customHeight="1">
      <c r="A2433" s="1" t="s">
        <v>1044</v>
      </c>
    </row>
    <row r="2434" ht="12.75" customHeight="1"/>
    <row r="2435" ht="12.75" customHeight="1">
      <c r="A2435" s="1" t="s">
        <v>361</v>
      </c>
    </row>
    <row r="2436" ht="12.75" customHeight="1">
      <c r="A2436" s="1" t="s">
        <v>1045</v>
      </c>
    </row>
    <row r="2437" ht="12.75" customHeight="1">
      <c r="A2437" s="1" t="s">
        <v>1046</v>
      </c>
    </row>
    <row r="2438" ht="12.75" customHeight="1"/>
    <row r="2439" ht="12.75" customHeight="1">
      <c r="A2439" s="1" t="s">
        <v>362</v>
      </c>
    </row>
    <row r="2440" ht="12.75" customHeight="1">
      <c r="A2440" s="1" t="s">
        <v>1047</v>
      </c>
    </row>
    <row r="2441" ht="12.75" customHeight="1">
      <c r="A2441" s="1" t="s">
        <v>1048</v>
      </c>
    </row>
    <row r="2442" ht="12.75" customHeight="1"/>
    <row r="2443" ht="12.75" customHeight="1">
      <c r="A2443" s="1" t="s">
        <v>363</v>
      </c>
    </row>
    <row r="2444" ht="12.75" customHeight="1">
      <c r="A2444" s="1" t="s">
        <v>1049</v>
      </c>
    </row>
    <row r="2445" ht="12.75" customHeight="1">
      <c r="A2445" s="1" t="s">
        <v>1050</v>
      </c>
    </row>
    <row r="2446" ht="12.75" customHeight="1">
      <c r="A2446" s="1" t="s">
        <v>1051</v>
      </c>
    </row>
    <row r="2447" ht="12.75" customHeight="1">
      <c r="A2447" s="1" t="s">
        <v>600</v>
      </c>
    </row>
    <row r="2448" ht="12.75" customHeight="1">
      <c r="A2448" s="1" t="s">
        <v>1052</v>
      </c>
    </row>
    <row r="2449" ht="12.75" customHeight="1">
      <c r="A2449" s="1" t="s">
        <v>499</v>
      </c>
    </row>
    <row r="2450" ht="12.75" customHeight="1">
      <c r="A2450" s="1" t="s">
        <v>602</v>
      </c>
    </row>
    <row r="2451" ht="12.75" customHeight="1">
      <c r="A2451" s="1" t="s">
        <v>1053</v>
      </c>
    </row>
    <row r="2452" ht="12.75" customHeight="1"/>
    <row r="2453" ht="12.75" customHeight="1">
      <c r="A2453" s="1" t="s">
        <v>419</v>
      </c>
    </row>
    <row r="2454" ht="12.75" customHeight="1">
      <c r="A2454" s="1" t="s">
        <v>1054</v>
      </c>
    </row>
    <row r="2455" ht="12.75" customHeight="1">
      <c r="A2455" s="1" t="s">
        <v>1055</v>
      </c>
    </row>
    <row r="2456" ht="12.75" customHeight="1">
      <c r="A2456" s="1" t="s">
        <v>972</v>
      </c>
    </row>
    <row r="2457" ht="12.75" customHeight="1"/>
    <row r="2458" ht="12.75" customHeight="1">
      <c r="A2458" s="1" t="s">
        <v>423</v>
      </c>
    </row>
    <row r="2459" ht="12.75" customHeight="1">
      <c r="A2459" s="1" t="s">
        <v>1056</v>
      </c>
    </row>
    <row r="2460" ht="12.75" customHeight="1">
      <c r="A2460" s="1" t="s">
        <v>1057</v>
      </c>
    </row>
    <row r="2461" ht="12.75" customHeight="1">
      <c r="A2461" s="1" t="s">
        <v>1058</v>
      </c>
    </row>
    <row r="2462" ht="12.75" customHeight="1">
      <c r="A2462" s="1" t="s">
        <v>1059</v>
      </c>
    </row>
    <row r="2463" ht="12.75" customHeight="1">
      <c r="A2463" s="1" t="s">
        <v>1060</v>
      </c>
    </row>
    <row r="2464" ht="12.75" customHeight="1">
      <c r="A2464" s="1" t="s">
        <v>1061</v>
      </c>
    </row>
    <row r="2465" ht="12.75" customHeight="1">
      <c r="A2465" s="1" t="s">
        <v>1062</v>
      </c>
    </row>
    <row r="2466" ht="12.75" customHeight="1">
      <c r="A2466" s="1" t="s">
        <v>1063</v>
      </c>
    </row>
    <row r="2467" ht="12.75" customHeight="1"/>
    <row r="2468" ht="12.75" customHeight="1">
      <c r="A2468" s="1" t="s">
        <v>360</v>
      </c>
    </row>
    <row r="2469" ht="12.75" customHeight="1">
      <c r="A2469" s="1" t="s">
        <v>1064</v>
      </c>
    </row>
    <row r="2470" ht="12.75" customHeight="1">
      <c r="A2470" s="1" t="s">
        <v>1065</v>
      </c>
    </row>
    <row r="2471" ht="12.75" customHeight="1">
      <c r="A2471" s="1" t="s">
        <v>1066</v>
      </c>
    </row>
    <row r="2472" ht="12.75" customHeight="1">
      <c r="A2472" s="1" t="s">
        <v>1067</v>
      </c>
    </row>
    <row r="2473" ht="12.75" customHeight="1"/>
    <row r="2474" ht="12.75" customHeight="1">
      <c r="A2474" s="1" t="s">
        <v>361</v>
      </c>
    </row>
    <row r="2475" ht="12.75" customHeight="1">
      <c r="A2475" s="1" t="s">
        <v>1068</v>
      </c>
    </row>
    <row r="2476" ht="12.75" customHeight="1">
      <c r="A2476" s="1" t="s">
        <v>1069</v>
      </c>
    </row>
    <row r="2477" ht="12.75" customHeight="1"/>
    <row r="2478" ht="12.75" customHeight="1">
      <c r="A2478" s="1" t="s">
        <v>362</v>
      </c>
    </row>
    <row r="2479" ht="12.75" customHeight="1">
      <c r="A2479" s="1" t="s">
        <v>1070</v>
      </c>
    </row>
    <row r="2480" ht="12.75" customHeight="1">
      <c r="A2480" s="1" t="s">
        <v>1071</v>
      </c>
    </row>
    <row r="2481" ht="12.75" customHeight="1"/>
    <row r="2482" ht="12.75" customHeight="1">
      <c r="A2482" s="1" t="s">
        <v>363</v>
      </c>
    </row>
    <row r="2483" ht="12.75" customHeight="1">
      <c r="A2483" s="1" t="s">
        <v>1072</v>
      </c>
    </row>
    <row r="2484" ht="12.75" customHeight="1">
      <c r="A2484" s="1" t="s">
        <v>1073</v>
      </c>
    </row>
    <row r="2485" ht="12.75" customHeight="1">
      <c r="A2485" s="1" t="s">
        <v>1051</v>
      </c>
    </row>
    <row r="2486" ht="12.75" customHeight="1">
      <c r="A2486" s="1" t="s">
        <v>600</v>
      </c>
    </row>
    <row r="2487" ht="12.75" customHeight="1">
      <c r="A2487" s="1" t="s">
        <v>1052</v>
      </c>
    </row>
    <row r="2488" ht="12.75" customHeight="1">
      <c r="A2488" s="1" t="s">
        <v>1074</v>
      </c>
    </row>
    <row r="2489" ht="12.75" customHeight="1">
      <c r="A2489" s="1" t="s">
        <v>500</v>
      </c>
    </row>
    <row r="2490" ht="12.75" customHeight="1">
      <c r="A2490" s="1" t="s">
        <v>970</v>
      </c>
    </row>
    <row r="2491" ht="12.75" customHeight="1"/>
    <row r="2492" ht="12.75" customHeight="1">
      <c r="A2492" s="1" t="s">
        <v>419</v>
      </c>
    </row>
    <row r="2493" ht="12.75" customHeight="1">
      <c r="A2493" s="1" t="s">
        <v>1054</v>
      </c>
    </row>
    <row r="2494" ht="12.75" customHeight="1">
      <c r="A2494" s="1" t="s">
        <v>1075</v>
      </c>
    </row>
    <row r="2495" ht="12.75" customHeight="1">
      <c r="A2495" s="1" t="s">
        <v>1076</v>
      </c>
    </row>
    <row r="2496" ht="12.75" customHeight="1"/>
    <row r="2497" ht="12.75" customHeight="1">
      <c r="A2497" s="1" t="s">
        <v>423</v>
      </c>
    </row>
    <row r="2498" ht="12.75" customHeight="1">
      <c r="A2498" s="1" t="s">
        <v>604</v>
      </c>
    </row>
    <row r="2499" ht="12.75" customHeight="1">
      <c r="A2499" s="1" t="s">
        <v>974</v>
      </c>
    </row>
    <row r="2500" ht="12.75" customHeight="1">
      <c r="A2500" s="1" t="s">
        <v>1077</v>
      </c>
    </row>
    <row r="2501" ht="12.75" customHeight="1">
      <c r="A2501" s="1" t="s">
        <v>1078</v>
      </c>
    </row>
    <row r="2502" ht="12.75" customHeight="1">
      <c r="A2502" s="1" t="s">
        <v>1079</v>
      </c>
    </row>
    <row r="2503" ht="12.75" customHeight="1">
      <c r="A2503" s="1" t="s">
        <v>1080</v>
      </c>
    </row>
    <row r="2504" ht="12.75" customHeight="1">
      <c r="A2504" s="1" t="s">
        <v>1081</v>
      </c>
    </row>
    <row r="2505" ht="12.75" customHeight="1">
      <c r="A2505" s="1" t="s">
        <v>1082</v>
      </c>
    </row>
    <row r="2506" ht="12.75" customHeight="1"/>
    <row r="2507" ht="12.75" customHeight="1">
      <c r="A2507" s="1" t="s">
        <v>360</v>
      </c>
    </row>
    <row r="2508" ht="12.75" customHeight="1">
      <c r="A2508" s="1" t="s">
        <v>1083</v>
      </c>
    </row>
    <row r="2509" ht="12.75" customHeight="1">
      <c r="A2509" s="1" t="s">
        <v>1084</v>
      </c>
    </row>
    <row r="2510" ht="12.75" customHeight="1">
      <c r="A2510" s="1" t="s">
        <v>1085</v>
      </c>
    </row>
    <row r="2511" ht="12.75" customHeight="1">
      <c r="A2511" s="1" t="s">
        <v>1086</v>
      </c>
    </row>
    <row r="2512" ht="12.75" customHeight="1"/>
    <row r="2513" ht="12.75" customHeight="1">
      <c r="A2513" s="1" t="s">
        <v>361</v>
      </c>
    </row>
    <row r="2514" ht="12.75" customHeight="1">
      <c r="A2514" s="1" t="s">
        <v>1087</v>
      </c>
    </row>
    <row r="2515" ht="12.75" customHeight="1">
      <c r="A2515" s="1" t="s">
        <v>1088</v>
      </c>
    </row>
    <row r="2516" ht="12.75" customHeight="1"/>
    <row r="2517" ht="12.75" customHeight="1">
      <c r="A2517" s="1" t="s">
        <v>362</v>
      </c>
    </row>
    <row r="2518" ht="12.75" customHeight="1">
      <c r="A2518" s="1" t="s">
        <v>1089</v>
      </c>
    </row>
    <row r="2519" ht="12.75" customHeight="1">
      <c r="A2519" s="1" t="s">
        <v>1090</v>
      </c>
    </row>
    <row r="2520" ht="12.75" customHeight="1"/>
    <row r="2521" ht="12.75" customHeight="1">
      <c r="A2521" s="1" t="s">
        <v>363</v>
      </c>
    </row>
    <row r="2522" ht="12.75" customHeight="1">
      <c r="A2522" s="1" t="s">
        <v>1091</v>
      </c>
    </row>
    <row r="2523" ht="12.75" customHeight="1">
      <c r="A2523" s="1" t="s">
        <v>1092</v>
      </c>
    </row>
    <row r="2524" ht="12.75" customHeight="1">
      <c r="A2524" s="1" t="s">
        <v>1051</v>
      </c>
    </row>
    <row r="2525" ht="12.75" customHeight="1">
      <c r="A2525" s="1" t="s">
        <v>600</v>
      </c>
    </row>
    <row r="2526" ht="12.75" customHeight="1">
      <c r="A2526" s="1" t="s">
        <v>1052</v>
      </c>
    </row>
    <row r="2527" ht="12.75" customHeight="1">
      <c r="A2527" s="1" t="s">
        <v>1093</v>
      </c>
    </row>
    <row r="2528" ht="12.75" customHeight="1">
      <c r="A2528" s="1" t="s">
        <v>500</v>
      </c>
    </row>
    <row r="2529" ht="12.75" customHeight="1">
      <c r="A2529" s="1" t="s">
        <v>970</v>
      </c>
    </row>
    <row r="2530" ht="12.75" customHeight="1"/>
    <row r="2531" ht="12.75" customHeight="1">
      <c r="A2531" s="1" t="s">
        <v>419</v>
      </c>
    </row>
    <row r="2532" ht="12.75" customHeight="1">
      <c r="A2532" s="1" t="s">
        <v>1054</v>
      </c>
    </row>
    <row r="2533" ht="12.75" customHeight="1">
      <c r="A2533" s="1" t="s">
        <v>605</v>
      </c>
    </row>
    <row r="2534" ht="12.75" customHeight="1">
      <c r="A2534" s="1" t="s">
        <v>972</v>
      </c>
    </row>
    <row r="2535" ht="12.75" customHeight="1"/>
    <row r="2536" ht="12.75" customHeight="1">
      <c r="A2536" s="1" t="s">
        <v>423</v>
      </c>
    </row>
    <row r="2537" ht="12.75" customHeight="1">
      <c r="A2537" s="1" t="s">
        <v>1056</v>
      </c>
    </row>
    <row r="2538" ht="12.75" customHeight="1">
      <c r="A2538" s="1" t="s">
        <v>974</v>
      </c>
    </row>
    <row r="2539" ht="12.75" customHeight="1">
      <c r="A2539" s="1" t="s">
        <v>975</v>
      </c>
    </row>
    <row r="2540" ht="12.75" customHeight="1">
      <c r="A2540" s="1" t="s">
        <v>976</v>
      </c>
    </row>
    <row r="2541" ht="12.75" customHeight="1">
      <c r="A2541" s="1" t="s">
        <v>1060</v>
      </c>
    </row>
    <row r="2542" ht="12.75" customHeight="1">
      <c r="A2542" s="1" t="s">
        <v>1094</v>
      </c>
    </row>
    <row r="2543" ht="12.75" customHeight="1">
      <c r="A2543" s="1" t="s">
        <v>1095</v>
      </c>
    </row>
    <row r="2544" ht="12.75" customHeight="1">
      <c r="A2544" s="1" t="s">
        <v>1096</v>
      </c>
    </row>
    <row r="2545" ht="12.75" customHeight="1"/>
    <row r="2546" ht="12.75" customHeight="1">
      <c r="A2546" s="1" t="s">
        <v>360</v>
      </c>
    </row>
    <row r="2547" ht="12.75" customHeight="1">
      <c r="A2547" s="1" t="s">
        <v>1097</v>
      </c>
    </row>
    <row r="2548" ht="12.75" customHeight="1">
      <c r="A2548" s="1" t="s">
        <v>1098</v>
      </c>
    </row>
    <row r="2549" ht="12.75" customHeight="1">
      <c r="A2549" s="1" t="s">
        <v>1099</v>
      </c>
    </row>
    <row r="2550" ht="12.75" customHeight="1">
      <c r="A2550" s="1" t="s">
        <v>1100</v>
      </c>
    </row>
    <row r="2551" ht="12.75" customHeight="1"/>
    <row r="2552" ht="12.75" customHeight="1">
      <c r="A2552" s="1" t="s">
        <v>361</v>
      </c>
    </row>
    <row r="2553" ht="12.75" customHeight="1">
      <c r="A2553" s="1" t="s">
        <v>1101</v>
      </c>
    </row>
    <row r="2554" ht="12.75" customHeight="1">
      <c r="A2554" s="1" t="s">
        <v>1102</v>
      </c>
    </row>
    <row r="2555" ht="12.75" customHeight="1"/>
    <row r="2556" ht="12.75" customHeight="1">
      <c r="A2556" s="1" t="s">
        <v>362</v>
      </c>
    </row>
    <row r="2557" ht="12.75" customHeight="1">
      <c r="A2557" s="1" t="s">
        <v>1103</v>
      </c>
    </row>
    <row r="2558" ht="12.75" customHeight="1">
      <c r="A2558" s="1" t="s">
        <v>1104</v>
      </c>
    </row>
    <row r="2559" ht="12.75" customHeight="1"/>
    <row r="2560" ht="12.75" customHeight="1">
      <c r="A2560" s="1" t="s">
        <v>363</v>
      </c>
    </row>
    <row r="2561" ht="12.75" customHeight="1">
      <c r="A2561" s="1" t="s">
        <v>1105</v>
      </c>
    </row>
    <row r="2562" ht="12.75" customHeight="1">
      <c r="A2562" s="1" t="s">
        <v>1092</v>
      </c>
    </row>
    <row r="2563" ht="12.75" customHeight="1">
      <c r="A2563" s="1" t="s">
        <v>1051</v>
      </c>
    </row>
    <row r="2564" ht="12.75" customHeight="1">
      <c r="A2564" s="1" t="s">
        <v>600</v>
      </c>
    </row>
    <row r="2565" ht="12.75" customHeight="1">
      <c r="A2565" s="1" t="s">
        <v>1052</v>
      </c>
    </row>
    <row r="2566" ht="12.75" customHeight="1">
      <c r="A2566" s="1" t="s">
        <v>1074</v>
      </c>
    </row>
    <row r="2567" ht="12.75" customHeight="1">
      <c r="A2567" s="1" t="s">
        <v>500</v>
      </c>
    </row>
    <row r="2568" ht="12.75" customHeight="1">
      <c r="A2568" s="1" t="s">
        <v>970</v>
      </c>
    </row>
    <row r="2569" ht="12.75" customHeight="1"/>
    <row r="2570" ht="12.75" customHeight="1">
      <c r="A2570" s="1" t="s">
        <v>419</v>
      </c>
    </row>
    <row r="2571" ht="12.75" customHeight="1">
      <c r="A2571" s="1" t="s">
        <v>1054</v>
      </c>
    </row>
    <row r="2572" ht="12.75" customHeight="1">
      <c r="A2572" s="1" t="s">
        <v>605</v>
      </c>
    </row>
    <row r="2573" ht="12.75" customHeight="1">
      <c r="A2573" s="1" t="s">
        <v>972</v>
      </c>
    </row>
    <row r="2574" ht="12.75" customHeight="1"/>
    <row r="2575" ht="12.75" customHeight="1">
      <c r="A2575" s="1" t="s">
        <v>423</v>
      </c>
    </row>
    <row r="2576" ht="12.75" customHeight="1">
      <c r="A2576" s="1" t="s">
        <v>1056</v>
      </c>
    </row>
    <row r="2577" ht="12.75" customHeight="1">
      <c r="A2577" s="1" t="s">
        <v>974</v>
      </c>
    </row>
    <row r="2578" ht="12.75" customHeight="1">
      <c r="A2578" s="1" t="s">
        <v>975</v>
      </c>
    </row>
    <row r="2579" ht="12.75" customHeight="1">
      <c r="A2579" s="1" t="s">
        <v>976</v>
      </c>
    </row>
    <row r="2580" ht="12.75" customHeight="1">
      <c r="A2580" s="1" t="s">
        <v>1060</v>
      </c>
    </row>
    <row r="2581" ht="12.75" customHeight="1">
      <c r="A2581" s="1" t="s">
        <v>1106</v>
      </c>
    </row>
    <row r="2582" ht="12.75" customHeight="1">
      <c r="A2582" s="1" t="s">
        <v>1107</v>
      </c>
    </row>
    <row r="2583" ht="12.75" customHeight="1">
      <c r="A2583" s="1" t="s">
        <v>1108</v>
      </c>
    </row>
    <row r="2584" ht="12.75" customHeight="1"/>
    <row r="2585" ht="12.75" customHeight="1">
      <c r="A2585" s="1" t="s">
        <v>360</v>
      </c>
    </row>
    <row r="2586" ht="12.75" customHeight="1">
      <c r="A2586" s="1" t="s">
        <v>1109</v>
      </c>
    </row>
    <row r="2587" ht="12.75" customHeight="1">
      <c r="A2587" s="1" t="s">
        <v>1110</v>
      </c>
    </row>
    <row r="2588" ht="12.75" customHeight="1">
      <c r="A2588" s="1" t="s">
        <v>1111</v>
      </c>
    </row>
    <row r="2589" ht="12.75" customHeight="1">
      <c r="A2589" s="1" t="s">
        <v>1112</v>
      </c>
    </row>
    <row r="2590" ht="12.75" customHeight="1"/>
    <row r="2591" ht="12.75" customHeight="1">
      <c r="A2591" s="1" t="s">
        <v>361</v>
      </c>
    </row>
    <row r="2592" ht="12.75" customHeight="1">
      <c r="A2592" s="1" t="s">
        <v>1113</v>
      </c>
    </row>
    <row r="2593" ht="12.75" customHeight="1">
      <c r="A2593" s="1" t="s">
        <v>1114</v>
      </c>
    </row>
    <row r="2594" ht="12.75" customHeight="1"/>
    <row r="2595" ht="12.75" customHeight="1">
      <c r="A2595" s="1" t="s">
        <v>362</v>
      </c>
    </row>
    <row r="2596" ht="12.75" customHeight="1">
      <c r="A2596" s="1" t="s">
        <v>1115</v>
      </c>
    </row>
    <row r="2597" ht="12.75" customHeight="1">
      <c r="A2597" s="1" t="s">
        <v>1116</v>
      </c>
    </row>
    <row r="2598" ht="12.75" customHeight="1"/>
    <row r="2599" ht="12.75" customHeight="1">
      <c r="A2599" s="1" t="s">
        <v>363</v>
      </c>
    </row>
    <row r="2600" ht="12.75" customHeight="1">
      <c r="A2600" s="1" t="s">
        <v>1117</v>
      </c>
    </row>
    <row r="2601" ht="12.75" customHeight="1">
      <c r="A2601" s="1" t="s">
        <v>1118</v>
      </c>
    </row>
    <row r="2602" ht="12.75" customHeight="1">
      <c r="A2602" s="1" t="s">
        <v>1119</v>
      </c>
    </row>
    <row r="2603" ht="12.75" customHeight="1">
      <c r="A2603" s="1" t="s">
        <v>1120</v>
      </c>
    </row>
    <row r="2604" ht="12.75" customHeight="1">
      <c r="A2604" s="1" t="s">
        <v>1121</v>
      </c>
    </row>
    <row r="2605" ht="12.75" customHeight="1"/>
    <row r="2606" ht="12.75" customHeight="1">
      <c r="A2606" s="1" t="s">
        <v>360</v>
      </c>
    </row>
    <row r="2607" ht="12.75" customHeight="1">
      <c r="A2607" s="1" t="s">
        <v>1122</v>
      </c>
    </row>
    <row r="2608" ht="12.75" customHeight="1">
      <c r="A2608" s="1" t="s">
        <v>1123</v>
      </c>
    </row>
    <row r="2609" ht="12.75" customHeight="1">
      <c r="A2609" s="1" t="s">
        <v>1124</v>
      </c>
    </row>
    <row r="2610" ht="12.75" customHeight="1">
      <c r="A2610" s="1" t="s">
        <v>1125</v>
      </c>
    </row>
    <row r="2611" ht="12.75" customHeight="1"/>
    <row r="2612" ht="12.75" customHeight="1">
      <c r="A2612" s="1" t="s">
        <v>361</v>
      </c>
    </row>
    <row r="2613" ht="12.75" customHeight="1">
      <c r="A2613" s="1" t="s">
        <v>1126</v>
      </c>
    </row>
    <row r="2614" ht="12.75" customHeight="1">
      <c r="A2614" s="1" t="s">
        <v>1127</v>
      </c>
    </row>
    <row r="2615" ht="12.75" customHeight="1"/>
    <row r="2616" ht="12.75" customHeight="1">
      <c r="A2616" s="1" t="s">
        <v>362</v>
      </c>
    </row>
    <row r="2617" ht="12.75" customHeight="1">
      <c r="A2617" s="1" t="s">
        <v>1128</v>
      </c>
    </row>
    <row r="2618" ht="12.75" customHeight="1">
      <c r="A2618" s="1" t="s">
        <v>1129</v>
      </c>
    </row>
    <row r="2619" ht="12.75" customHeight="1"/>
    <row r="2620" ht="12.75" customHeight="1">
      <c r="A2620" s="1" t="s">
        <v>363</v>
      </c>
    </row>
    <row r="2621" ht="12.75" customHeight="1">
      <c r="A2621" s="1" t="s">
        <v>1130</v>
      </c>
    </row>
    <row r="2622" ht="12.75" customHeight="1">
      <c r="A2622" s="1" t="s">
        <v>1118</v>
      </c>
    </row>
    <row r="2623" ht="12.75" customHeight="1">
      <c r="A2623" s="1" t="s">
        <v>1131</v>
      </c>
    </row>
    <row r="2624" ht="12.75" customHeight="1">
      <c r="A2624" s="1" t="s">
        <v>1132</v>
      </c>
    </row>
    <row r="2625" ht="12.75" customHeight="1">
      <c r="A2625" s="1" t="s">
        <v>1082</v>
      </c>
    </row>
    <row r="2626" ht="12.75" customHeight="1"/>
    <row r="2627" ht="12.75" customHeight="1">
      <c r="A2627" s="1" t="s">
        <v>360</v>
      </c>
    </row>
    <row r="2628" ht="12.75" customHeight="1">
      <c r="A2628" s="1" t="s">
        <v>1133</v>
      </c>
    </row>
    <row r="2629" ht="12.75" customHeight="1">
      <c r="A2629" s="1" t="s">
        <v>1084</v>
      </c>
    </row>
    <row r="2630" ht="12.75" customHeight="1">
      <c r="A2630" s="1" t="s">
        <v>1085</v>
      </c>
    </row>
    <row r="2631" ht="12.75" customHeight="1">
      <c r="A2631" s="1" t="s">
        <v>1134</v>
      </c>
    </row>
    <row r="2632" ht="12.75" customHeight="1"/>
    <row r="2633" ht="12.75" customHeight="1">
      <c r="A2633" s="1" t="s">
        <v>361</v>
      </c>
    </row>
    <row r="2634" ht="12.75" customHeight="1">
      <c r="A2634" s="1" t="s">
        <v>1135</v>
      </c>
    </row>
    <row r="2635" ht="12.75" customHeight="1">
      <c r="A2635" s="1" t="s">
        <v>1136</v>
      </c>
    </row>
    <row r="2636" ht="12.75" customHeight="1"/>
    <row r="2637" ht="12.75" customHeight="1">
      <c r="A2637" s="1" t="s">
        <v>362</v>
      </c>
    </row>
    <row r="2638" ht="12.75" customHeight="1">
      <c r="A2638" s="1" t="s">
        <v>1089</v>
      </c>
    </row>
    <row r="2639" ht="12.75" customHeight="1">
      <c r="A2639" s="1" t="s">
        <v>1137</v>
      </c>
    </row>
    <row r="2640" ht="12.75" customHeight="1"/>
    <row r="2641" ht="12.75" customHeight="1">
      <c r="A2641" s="1" t="s">
        <v>363</v>
      </c>
    </row>
    <row r="2642" ht="12.75" customHeight="1">
      <c r="A2642" s="1" t="s">
        <v>1138</v>
      </c>
    </row>
    <row r="2643" ht="12.75" customHeight="1">
      <c r="A2643" s="1" t="s">
        <v>1139</v>
      </c>
    </row>
    <row r="2644" ht="12.75" customHeight="1">
      <c r="A2644" s="1" t="s">
        <v>1140</v>
      </c>
    </row>
    <row r="2645" ht="12.75" customHeight="1">
      <c r="A2645" s="1" t="s">
        <v>1141</v>
      </c>
    </row>
    <row r="2646" ht="12.75" customHeight="1">
      <c r="A2646" s="1" t="s">
        <v>1096</v>
      </c>
    </row>
    <row r="2647" ht="12.75" customHeight="1"/>
    <row r="2648" ht="12.75" customHeight="1">
      <c r="A2648" s="1" t="s">
        <v>360</v>
      </c>
    </row>
    <row r="2649" ht="12.75" customHeight="1">
      <c r="A2649" s="1" t="s">
        <v>1142</v>
      </c>
    </row>
    <row r="2650" ht="12.75" customHeight="1">
      <c r="A2650" s="1" t="s">
        <v>1143</v>
      </c>
    </row>
    <row r="2651" ht="12.75" customHeight="1">
      <c r="A2651" s="1" t="s">
        <v>1099</v>
      </c>
    </row>
    <row r="2652" ht="12.75" customHeight="1">
      <c r="A2652" s="1" t="s">
        <v>1144</v>
      </c>
    </row>
    <row r="2653" ht="12.75" customHeight="1"/>
    <row r="2654" ht="12.75" customHeight="1">
      <c r="A2654" s="1" t="s">
        <v>361</v>
      </c>
    </row>
    <row r="2655" ht="12.75" customHeight="1">
      <c r="A2655" s="1" t="s">
        <v>1145</v>
      </c>
    </row>
    <row r="2656" ht="12.75" customHeight="1">
      <c r="A2656" s="1" t="s">
        <v>1146</v>
      </c>
    </row>
    <row r="2657" ht="12.75" customHeight="1"/>
    <row r="2658" ht="12.75" customHeight="1">
      <c r="A2658" s="1" t="s">
        <v>362</v>
      </c>
    </row>
    <row r="2659" ht="12.75" customHeight="1">
      <c r="A2659" s="1" t="s">
        <v>1103</v>
      </c>
    </row>
    <row r="2660" ht="12.75" customHeight="1">
      <c r="A2660" s="1" t="s">
        <v>1147</v>
      </c>
    </row>
    <row r="2661" ht="12.75" customHeight="1"/>
    <row r="2662" ht="12.75" customHeight="1">
      <c r="A2662" s="1" t="s">
        <v>363</v>
      </c>
    </row>
    <row r="2663" ht="12.75" customHeight="1">
      <c r="A2663" s="1" t="s">
        <v>1148</v>
      </c>
    </row>
    <row r="2664" ht="12.75" customHeight="1">
      <c r="A2664" s="1" t="s">
        <v>1139</v>
      </c>
    </row>
    <row r="2665" ht="12.75" customHeight="1">
      <c r="A2665" s="1" t="s">
        <v>1149</v>
      </c>
    </row>
    <row r="2666" ht="12.75" customHeight="1">
      <c r="A2666" s="1" t="s">
        <v>1150</v>
      </c>
    </row>
    <row r="2667" ht="12.75" customHeight="1">
      <c r="A2667" s="1" t="s">
        <v>1108</v>
      </c>
    </row>
    <row r="2668" ht="12.75" customHeight="1"/>
    <row r="2669" ht="12.75" customHeight="1">
      <c r="A2669" s="1" t="s">
        <v>360</v>
      </c>
    </row>
    <row r="2670" ht="12.75" customHeight="1">
      <c r="A2670" s="1" t="s">
        <v>1151</v>
      </c>
    </row>
    <row r="2671" ht="12.75" customHeight="1">
      <c r="A2671" s="1" t="s">
        <v>1110</v>
      </c>
    </row>
    <row r="2672" ht="12.75" customHeight="1">
      <c r="A2672" s="1" t="s">
        <v>1111</v>
      </c>
    </row>
    <row r="2673" ht="12.75" customHeight="1">
      <c r="A2673" s="1" t="s">
        <v>1152</v>
      </c>
    </row>
    <row r="2674" ht="12.75" customHeight="1"/>
    <row r="2675" ht="12.75" customHeight="1">
      <c r="A2675" s="1" t="s">
        <v>361</v>
      </c>
    </row>
    <row r="2676" ht="12.75" customHeight="1">
      <c r="A2676" s="1" t="s">
        <v>1153</v>
      </c>
    </row>
    <row r="2677" ht="12.75" customHeight="1">
      <c r="A2677" s="1" t="s">
        <v>1154</v>
      </c>
    </row>
    <row r="2678" ht="12.75" customHeight="1"/>
    <row r="2679" ht="12.75" customHeight="1">
      <c r="A2679" s="1" t="s">
        <v>362</v>
      </c>
    </row>
    <row r="2680" ht="12.75" customHeight="1">
      <c r="A2680" s="1" t="s">
        <v>1155</v>
      </c>
    </row>
    <row r="2681" ht="12.75" customHeight="1">
      <c r="A2681" s="1" t="s">
        <v>1156</v>
      </c>
    </row>
    <row r="2682" ht="12.75" customHeight="1"/>
    <row r="2683" ht="12.75" customHeight="1">
      <c r="A2683" s="1" t="s">
        <v>363</v>
      </c>
    </row>
    <row r="2684" ht="12.75" customHeight="1">
      <c r="A2684" s="1" t="s">
        <v>1157</v>
      </c>
    </row>
    <row r="2685" ht="12.75" customHeight="1">
      <c r="A2685" s="1" t="s">
        <v>1139</v>
      </c>
    </row>
    <row r="2686" ht="12.75" customHeight="1">
      <c r="A2686" s="1" t="s">
        <v>1158</v>
      </c>
    </row>
    <row r="2687" ht="12.75" customHeight="1">
      <c r="A2687" s="1" t="s">
        <v>1051</v>
      </c>
    </row>
    <row r="2688" ht="12.75" customHeight="1">
      <c r="A2688" s="1" t="s">
        <v>1052</v>
      </c>
    </row>
    <row r="2689" ht="12.75" customHeight="1">
      <c r="A2689" s="1" t="s">
        <v>600</v>
      </c>
    </row>
    <row r="2690" ht="12.75" customHeight="1">
      <c r="A2690" s="1" t="s">
        <v>1074</v>
      </c>
    </row>
    <row r="2691" ht="12.75" customHeight="1">
      <c r="A2691" s="1" t="s">
        <v>1159</v>
      </c>
    </row>
    <row r="2692" ht="12.75" customHeight="1">
      <c r="A2692" s="1" t="s">
        <v>1160</v>
      </c>
    </row>
    <row r="2693" ht="12.75" customHeight="1"/>
    <row r="2694" ht="12.75" customHeight="1">
      <c r="A2694" s="1" t="s">
        <v>419</v>
      </c>
    </row>
    <row r="2695" ht="12.75" customHeight="1">
      <c r="A2695" s="1" t="s">
        <v>604</v>
      </c>
    </row>
    <row r="2696" ht="12.75" customHeight="1">
      <c r="A2696" s="1" t="s">
        <v>605</v>
      </c>
    </row>
    <row r="2697" ht="12.75" customHeight="1">
      <c r="A2697" s="1" t="s">
        <v>606</v>
      </c>
    </row>
    <row r="2698" ht="12.75" customHeight="1"/>
    <row r="2699" ht="12.75" customHeight="1">
      <c r="A2699" s="1" t="s">
        <v>423</v>
      </c>
    </row>
    <row r="2700" ht="12.75" customHeight="1">
      <c r="A2700" s="1" t="s">
        <v>607</v>
      </c>
    </row>
    <row r="2701" ht="12.75" customHeight="1">
      <c r="A2701" s="1" t="s">
        <v>1161</v>
      </c>
    </row>
    <row r="2702" ht="12.75" customHeight="1">
      <c r="A2702" s="1" t="s">
        <v>609</v>
      </c>
    </row>
    <row r="2703" ht="12.75" customHeight="1">
      <c r="A2703" s="1" t="s">
        <v>610</v>
      </c>
    </row>
    <row r="2704" ht="12.75" customHeight="1">
      <c r="A2704" s="1" t="s">
        <v>611</v>
      </c>
    </row>
    <row r="2705" ht="12.75" customHeight="1">
      <c r="A2705" s="1" t="s">
        <v>1162</v>
      </c>
    </row>
    <row r="2706" ht="12.75" customHeight="1">
      <c r="A2706" s="1" t="s">
        <v>1051</v>
      </c>
    </row>
    <row r="2707" ht="12.75" customHeight="1">
      <c r="A2707" s="1" t="s">
        <v>1052</v>
      </c>
    </row>
    <row r="2708" ht="12.75" customHeight="1">
      <c r="A2708" s="1" t="s">
        <v>600</v>
      </c>
    </row>
    <row r="2709" ht="12.75" customHeight="1">
      <c r="A2709" s="1" t="s">
        <v>1074</v>
      </c>
    </row>
    <row r="2710" ht="12.75" customHeight="1">
      <c r="A2710" s="1" t="s">
        <v>1159</v>
      </c>
    </row>
    <row r="2711" ht="12.75" customHeight="1">
      <c r="A2711" s="1" t="s">
        <v>1160</v>
      </c>
    </row>
    <row r="2712" ht="12.75" customHeight="1"/>
    <row r="2713" ht="12.75" customHeight="1">
      <c r="A2713" s="1" t="s">
        <v>419</v>
      </c>
    </row>
    <row r="2714" ht="12.75" customHeight="1">
      <c r="A2714" s="1" t="s">
        <v>604</v>
      </c>
    </row>
    <row r="2715" ht="12.75" customHeight="1">
      <c r="A2715" s="1" t="s">
        <v>605</v>
      </c>
    </row>
    <row r="2716" ht="12.75" customHeight="1">
      <c r="A2716" s="1" t="s">
        <v>606</v>
      </c>
    </row>
    <row r="2717" ht="12.75" customHeight="1"/>
    <row r="2718" ht="12.75" customHeight="1">
      <c r="A2718" s="1" t="s">
        <v>423</v>
      </c>
    </row>
    <row r="2719" ht="12.75" customHeight="1">
      <c r="A2719" s="1" t="s">
        <v>607</v>
      </c>
    </row>
    <row r="2720" ht="12.75" customHeight="1">
      <c r="A2720" s="1" t="s">
        <v>1161</v>
      </c>
    </row>
    <row r="2721" ht="12.75" customHeight="1">
      <c r="A2721" s="1" t="s">
        <v>609</v>
      </c>
    </row>
    <row r="2722" ht="12.75" customHeight="1">
      <c r="A2722" s="1" t="s">
        <v>610</v>
      </c>
    </row>
    <row r="2723" ht="12.75" customHeight="1">
      <c r="A2723" s="1" t="s">
        <v>611</v>
      </c>
    </row>
    <row r="2724" ht="12.75" customHeight="1">
      <c r="A2724" s="1" t="s">
        <v>1163</v>
      </c>
    </row>
    <row r="2725" ht="12.75" customHeight="1">
      <c r="A2725" s="1" t="s">
        <v>1164</v>
      </c>
    </row>
    <row r="2726" ht="12.75" customHeight="1">
      <c r="A2726" s="1" t="s">
        <v>1165</v>
      </c>
    </row>
    <row r="2727" ht="12.75" customHeight="1"/>
    <row r="2728" ht="12.75" customHeight="1">
      <c r="A2728" s="1" t="s">
        <v>360</v>
      </c>
    </row>
    <row r="2729" ht="12.75" customHeight="1">
      <c r="A2729" s="1" t="s">
        <v>1166</v>
      </c>
    </row>
    <row r="2730" ht="12.75" customHeight="1">
      <c r="A2730" s="1" t="s">
        <v>1167</v>
      </c>
    </row>
    <row r="2731" ht="12.75" customHeight="1">
      <c r="A2731" s="1" t="s">
        <v>1168</v>
      </c>
    </row>
    <row r="2732" ht="12.75" customHeight="1">
      <c r="A2732" s="1" t="s">
        <v>1169</v>
      </c>
    </row>
    <row r="2733" ht="12.75" customHeight="1"/>
    <row r="2734" ht="12.75" customHeight="1">
      <c r="A2734" s="1" t="s">
        <v>361</v>
      </c>
    </row>
    <row r="2735" ht="12.75" customHeight="1">
      <c r="A2735" s="1" t="s">
        <v>1170</v>
      </c>
    </row>
    <row r="2736" ht="12.75" customHeight="1">
      <c r="A2736" s="1" t="s">
        <v>1171</v>
      </c>
    </row>
    <row r="2737" ht="12.75" customHeight="1"/>
    <row r="2738" ht="12.75" customHeight="1">
      <c r="A2738" s="1" t="s">
        <v>362</v>
      </c>
    </row>
    <row r="2739" ht="12.75" customHeight="1">
      <c r="A2739" s="1" t="s">
        <v>1172</v>
      </c>
    </row>
    <row r="2740" ht="12.75" customHeight="1">
      <c r="A2740" s="1" t="s">
        <v>1173</v>
      </c>
    </row>
    <row r="2741" ht="12.75" customHeight="1"/>
    <row r="2742" ht="12.75" customHeight="1">
      <c r="A2742" s="1" t="s">
        <v>363</v>
      </c>
    </row>
    <row r="2743" ht="12.75" customHeight="1">
      <c r="A2743" s="1" t="s">
        <v>1174</v>
      </c>
    </row>
    <row r="2744" ht="12.75" customHeight="1">
      <c r="A2744" s="1" t="s">
        <v>1175</v>
      </c>
    </row>
    <row r="2745" ht="12.75" customHeight="1">
      <c r="A2745" s="1" t="s">
        <v>1051</v>
      </c>
    </row>
    <row r="2746" ht="12.75" customHeight="1">
      <c r="A2746" s="1" t="s">
        <v>1052</v>
      </c>
    </row>
    <row r="2747" ht="12.75" customHeight="1">
      <c r="A2747" s="1" t="s">
        <v>600</v>
      </c>
    </row>
    <row r="2748" ht="12.75" customHeight="1">
      <c r="A2748" s="1" t="s">
        <v>1074</v>
      </c>
    </row>
    <row r="2749" ht="12.75" customHeight="1">
      <c r="A2749" s="1" t="s">
        <v>1159</v>
      </c>
    </row>
    <row r="2750" ht="12.75" customHeight="1">
      <c r="A2750" s="1" t="s">
        <v>1160</v>
      </c>
    </row>
    <row r="2751" ht="12.75" customHeight="1"/>
    <row r="2752" ht="12.75" customHeight="1">
      <c r="A2752" s="1" t="s">
        <v>419</v>
      </c>
    </row>
    <row r="2753" ht="12.75" customHeight="1">
      <c r="A2753" s="1" t="s">
        <v>604</v>
      </c>
    </row>
    <row r="2754" ht="12.75" customHeight="1">
      <c r="A2754" s="1" t="s">
        <v>605</v>
      </c>
    </row>
    <row r="2755" ht="12.75" customHeight="1">
      <c r="A2755" s="1" t="s">
        <v>606</v>
      </c>
    </row>
    <row r="2756" ht="12.75" customHeight="1"/>
    <row r="2757" ht="12.75" customHeight="1">
      <c r="A2757" s="1" t="s">
        <v>423</v>
      </c>
    </row>
    <row r="2758" ht="12.75" customHeight="1">
      <c r="A2758" s="1" t="s">
        <v>607</v>
      </c>
    </row>
    <row r="2759" ht="12.75" customHeight="1">
      <c r="A2759" s="1" t="s">
        <v>1161</v>
      </c>
    </row>
    <row r="2760" ht="12.75" customHeight="1">
      <c r="A2760" s="1" t="s">
        <v>609</v>
      </c>
    </row>
    <row r="2761" ht="12.75" customHeight="1">
      <c r="A2761" s="1" t="s">
        <v>610</v>
      </c>
    </row>
    <row r="2762" ht="12.75" customHeight="1">
      <c r="A2762" s="1" t="s">
        <v>611</v>
      </c>
    </row>
    <row r="2763" ht="12.75" customHeight="1">
      <c r="A2763" s="1" t="s">
        <v>1176</v>
      </c>
    </row>
    <row r="2764" ht="12.75" customHeight="1">
      <c r="A2764" s="1" t="s">
        <v>1164</v>
      </c>
    </row>
    <row r="2765" ht="12.75" customHeight="1">
      <c r="A2765" s="1" t="s">
        <v>1165</v>
      </c>
    </row>
    <row r="2766" ht="12.75" customHeight="1"/>
    <row r="2767" ht="12.75" customHeight="1">
      <c r="A2767" s="1" t="s">
        <v>360</v>
      </c>
    </row>
    <row r="2768" ht="12.75" customHeight="1">
      <c r="A2768" s="1" t="s">
        <v>1166</v>
      </c>
    </row>
    <row r="2769" ht="12.75" customHeight="1">
      <c r="A2769" s="1" t="s">
        <v>1167</v>
      </c>
    </row>
    <row r="2770" ht="12.75" customHeight="1">
      <c r="A2770" s="1" t="s">
        <v>1168</v>
      </c>
    </row>
    <row r="2771" ht="12.75" customHeight="1">
      <c r="A2771" s="1" t="s">
        <v>1169</v>
      </c>
    </row>
    <row r="2772" ht="12.75" customHeight="1"/>
    <row r="2773" ht="12.75" customHeight="1">
      <c r="A2773" s="1" t="s">
        <v>361</v>
      </c>
    </row>
    <row r="2774" ht="12.75" customHeight="1">
      <c r="A2774" s="1" t="s">
        <v>1170</v>
      </c>
    </row>
    <row r="2775" ht="12.75" customHeight="1">
      <c r="A2775" s="1" t="s">
        <v>1171</v>
      </c>
    </row>
    <row r="2776" ht="12.75" customHeight="1"/>
    <row r="2777" ht="12.75" customHeight="1">
      <c r="A2777" s="1" t="s">
        <v>362</v>
      </c>
    </row>
    <row r="2778" ht="12.75" customHeight="1">
      <c r="A2778" s="1" t="s">
        <v>1172</v>
      </c>
    </row>
    <row r="2779" ht="12.75" customHeight="1">
      <c r="A2779" s="1" t="s">
        <v>1173</v>
      </c>
    </row>
    <row r="2780" ht="12.75" customHeight="1"/>
    <row r="2781" ht="12.75" customHeight="1">
      <c r="A2781" s="1" t="s">
        <v>363</v>
      </c>
    </row>
    <row r="2782" ht="12.75" customHeight="1">
      <c r="A2782" s="1" t="s">
        <v>1174</v>
      </c>
    </row>
    <row r="2783" ht="12.75" customHeight="1">
      <c r="A2783" s="1" t="s">
        <v>1175</v>
      </c>
    </row>
    <row r="2784" ht="12.75" customHeight="1">
      <c r="A2784" s="1" t="s">
        <v>1051</v>
      </c>
    </row>
    <row r="2785" ht="12.75" customHeight="1">
      <c r="A2785" s="1" t="s">
        <v>1052</v>
      </c>
    </row>
    <row r="2786" ht="12.75" customHeight="1">
      <c r="A2786" s="1" t="s">
        <v>600</v>
      </c>
    </row>
    <row r="2787" ht="12.75" customHeight="1">
      <c r="A2787" s="1" t="s">
        <v>1074</v>
      </c>
    </row>
    <row r="2788" ht="12.75" customHeight="1">
      <c r="A2788" s="1" t="s">
        <v>1159</v>
      </c>
    </row>
    <row r="2789" ht="12.75" customHeight="1">
      <c r="A2789" s="1" t="s">
        <v>1160</v>
      </c>
    </row>
    <row r="2790" ht="12.75" customHeight="1"/>
    <row r="2791" ht="12.75" customHeight="1">
      <c r="A2791" s="1" t="s">
        <v>419</v>
      </c>
    </row>
    <row r="2792" ht="12.75" customHeight="1">
      <c r="A2792" s="1" t="s">
        <v>604</v>
      </c>
    </row>
    <row r="2793" ht="12.75" customHeight="1">
      <c r="A2793" s="1" t="s">
        <v>605</v>
      </c>
    </row>
    <row r="2794" ht="12.75" customHeight="1">
      <c r="A2794" s="1" t="s">
        <v>606</v>
      </c>
    </row>
    <row r="2795" ht="12.75" customHeight="1"/>
    <row r="2796" ht="12.75" customHeight="1">
      <c r="A2796" s="1" t="s">
        <v>423</v>
      </c>
    </row>
    <row r="2797" ht="12.75" customHeight="1">
      <c r="A2797" s="1" t="s">
        <v>607</v>
      </c>
    </row>
    <row r="2798" ht="12.75" customHeight="1">
      <c r="A2798" s="1" t="s">
        <v>1161</v>
      </c>
    </row>
    <row r="2799" ht="12.75" customHeight="1">
      <c r="A2799" s="1" t="s">
        <v>609</v>
      </c>
    </row>
    <row r="2800" ht="12.75" customHeight="1">
      <c r="A2800" s="1" t="s">
        <v>610</v>
      </c>
    </row>
    <row r="2801" ht="12.75" customHeight="1">
      <c r="A2801" s="1" t="s">
        <v>611</v>
      </c>
    </row>
    <row r="2802" ht="12.75" customHeight="1">
      <c r="A2802" s="1" t="s">
        <v>1177</v>
      </c>
    </row>
    <row r="2803" ht="12.75" customHeight="1">
      <c r="A2803" s="1" t="s">
        <v>1178</v>
      </c>
    </row>
    <row r="2804" ht="12.75" customHeight="1">
      <c r="A2804" s="1" t="s">
        <v>1179</v>
      </c>
    </row>
    <row r="2805" ht="12.75" customHeight="1"/>
    <row r="2806" ht="12.75" customHeight="1">
      <c r="A2806" s="1" t="s">
        <v>360</v>
      </c>
    </row>
    <row r="2807" ht="12.75" customHeight="1">
      <c r="A2807" s="1" t="s">
        <v>1180</v>
      </c>
    </row>
    <row r="2808" ht="12.75" customHeight="1">
      <c r="A2808" s="1" t="s">
        <v>1181</v>
      </c>
    </row>
    <row r="2809" ht="12.75" customHeight="1">
      <c r="A2809" s="1" t="s">
        <v>1182</v>
      </c>
    </row>
    <row r="2810" ht="12.75" customHeight="1">
      <c r="A2810" s="1" t="s">
        <v>1183</v>
      </c>
    </row>
    <row r="2811" ht="12.75" customHeight="1"/>
    <row r="2812" ht="12.75" customHeight="1">
      <c r="A2812" s="1" t="s">
        <v>361</v>
      </c>
    </row>
    <row r="2813" ht="12.75" customHeight="1">
      <c r="A2813" s="1" t="s">
        <v>1184</v>
      </c>
    </row>
    <row r="2814" ht="12.75" customHeight="1">
      <c r="A2814" s="1" t="s">
        <v>1185</v>
      </c>
    </row>
    <row r="2815" ht="12.75" customHeight="1"/>
    <row r="2816" ht="12.75" customHeight="1">
      <c r="A2816" s="1" t="s">
        <v>362</v>
      </c>
    </row>
    <row r="2817" ht="12.75" customHeight="1">
      <c r="A2817" s="1" t="s">
        <v>1186</v>
      </c>
    </row>
    <row r="2818" ht="12.75" customHeight="1">
      <c r="A2818" s="1" t="s">
        <v>1187</v>
      </c>
    </row>
    <row r="2819" ht="12.75" customHeight="1"/>
    <row r="2820" ht="12.75" customHeight="1">
      <c r="A2820" s="1" t="s">
        <v>363</v>
      </c>
    </row>
    <row r="2821" ht="12.75" customHeight="1">
      <c r="A2821" s="1" t="s">
        <v>1188</v>
      </c>
    </row>
    <row r="2822" ht="12.75" customHeight="1">
      <c r="A2822" s="1" t="s">
        <v>1189</v>
      </c>
    </row>
    <row r="2823" ht="12.75" customHeight="1">
      <c r="A2823" s="1" t="s">
        <v>1190</v>
      </c>
    </row>
    <row r="2824" ht="12.75" customHeight="1">
      <c r="A2824" s="1" t="s">
        <v>1191</v>
      </c>
    </row>
    <row r="2825" ht="12.75" customHeight="1">
      <c r="A2825" s="1" t="s">
        <v>1192</v>
      </c>
    </row>
    <row r="2826" ht="12.75" customHeight="1">
      <c r="A2826" s="1" t="s">
        <v>1193</v>
      </c>
    </row>
    <row r="2827" ht="12.75" customHeight="1">
      <c r="A2827" s="1" t="s">
        <v>500</v>
      </c>
    </row>
    <row r="2828" ht="12.75" customHeight="1">
      <c r="A2828" s="1" t="s">
        <v>501</v>
      </c>
    </row>
    <row r="2829" ht="12.75" customHeight="1"/>
    <row r="2830" ht="12.75" customHeight="1">
      <c r="A2830" s="1" t="s">
        <v>419</v>
      </c>
    </row>
    <row r="2831" ht="12.75" customHeight="1">
      <c r="A2831" s="1" t="s">
        <v>1194</v>
      </c>
    </row>
    <row r="2832" ht="12.75" customHeight="1">
      <c r="A2832" s="1" t="s">
        <v>1195</v>
      </c>
    </row>
    <row r="2833" ht="12.75" customHeight="1">
      <c r="A2833" s="1" t="s">
        <v>1196</v>
      </c>
    </row>
    <row r="2834" ht="12.75" customHeight="1"/>
    <row r="2835" ht="12.75" customHeight="1">
      <c r="A2835" s="1" t="s">
        <v>423</v>
      </c>
    </row>
    <row r="2836" ht="12.75" customHeight="1">
      <c r="A2836" s="1" t="s">
        <v>1197</v>
      </c>
    </row>
    <row r="2837" ht="12.75" customHeight="1">
      <c r="A2837" s="1" t="s">
        <v>974</v>
      </c>
    </row>
    <row r="2838" ht="12.75" customHeight="1">
      <c r="A2838" s="1" t="s">
        <v>1198</v>
      </c>
    </row>
    <row r="2839" ht="12.75" customHeight="1">
      <c r="A2839" s="1" t="s">
        <v>997</v>
      </c>
    </row>
    <row r="2840" ht="12.75" customHeight="1">
      <c r="A2840" s="1" t="s">
        <v>998</v>
      </c>
    </row>
    <row r="2841" ht="12.75" customHeight="1">
      <c r="A2841" s="1" t="s">
        <v>1199</v>
      </c>
    </row>
    <row r="2842" ht="12.75" customHeight="1">
      <c r="A2842" s="1" t="s">
        <v>1200</v>
      </c>
    </row>
    <row r="2843" ht="12.75" customHeight="1">
      <c r="A2843" s="1" t="s">
        <v>1201</v>
      </c>
    </row>
    <row r="2844" ht="12.75" customHeight="1"/>
    <row r="2845" ht="12.75" customHeight="1">
      <c r="A2845" s="1" t="s">
        <v>360</v>
      </c>
    </row>
    <row r="2846" ht="12.75" customHeight="1">
      <c r="A2846" s="1" t="s">
        <v>1202</v>
      </c>
    </row>
    <row r="2847" ht="12.75" customHeight="1">
      <c r="A2847" s="1" t="s">
        <v>1203</v>
      </c>
    </row>
    <row r="2848" ht="12.75" customHeight="1">
      <c r="A2848" s="1" t="s">
        <v>447</v>
      </c>
    </row>
    <row r="2849" ht="12.75" customHeight="1">
      <c r="A2849" s="1" t="s">
        <v>1204</v>
      </c>
    </row>
    <row r="2850" ht="12.75" customHeight="1"/>
    <row r="2851" ht="12.75" customHeight="1">
      <c r="A2851" s="1" t="s">
        <v>361</v>
      </c>
    </row>
    <row r="2852" ht="12.75" customHeight="1">
      <c r="A2852" s="1" t="s">
        <v>1205</v>
      </c>
    </row>
    <row r="2853" ht="12.75" customHeight="1">
      <c r="A2853" s="1" t="s">
        <v>1206</v>
      </c>
    </row>
    <row r="2854" ht="12.75" customHeight="1"/>
    <row r="2855" ht="12.75" customHeight="1">
      <c r="A2855" s="1" t="s">
        <v>362</v>
      </c>
    </row>
    <row r="2856" ht="12.75" customHeight="1">
      <c r="A2856" s="1" t="s">
        <v>1207</v>
      </c>
    </row>
    <row r="2857" ht="12.75" customHeight="1">
      <c r="A2857" s="1" t="s">
        <v>1208</v>
      </c>
    </row>
    <row r="2858" ht="12.75" customHeight="1"/>
    <row r="2859" ht="12.75" customHeight="1">
      <c r="A2859" s="1" t="s">
        <v>363</v>
      </c>
    </row>
    <row r="2860" ht="12.75" customHeight="1">
      <c r="A2860" s="1" t="s">
        <v>1209</v>
      </c>
    </row>
    <row r="2861" ht="12.75" customHeight="1">
      <c r="A2861" s="1" t="s">
        <v>1210</v>
      </c>
    </row>
    <row r="2862" ht="12.75" customHeight="1">
      <c r="A2862" s="1" t="s">
        <v>1211</v>
      </c>
    </row>
    <row r="2863" ht="12.75" customHeight="1">
      <c r="A2863" s="1" t="s">
        <v>1212</v>
      </c>
    </row>
    <row r="2864" ht="12.75" customHeight="1">
      <c r="A2864" s="1" t="s">
        <v>545</v>
      </c>
    </row>
    <row r="2865" ht="12.75" customHeight="1">
      <c r="A2865" s="1" t="s">
        <v>1213</v>
      </c>
    </row>
    <row r="2866" ht="12.75" customHeight="1">
      <c r="A2866" s="1" t="s">
        <v>1214</v>
      </c>
    </row>
    <row r="2867" ht="12.75" customHeight="1">
      <c r="A2867" s="1" t="s">
        <v>1215</v>
      </c>
    </row>
    <row r="2868" ht="12.75" customHeight="1"/>
    <row r="2869" ht="12.75" customHeight="1">
      <c r="A2869" s="1" t="s">
        <v>419</v>
      </c>
    </row>
    <row r="2870" ht="12.75" customHeight="1">
      <c r="A2870" s="1" t="s">
        <v>1216</v>
      </c>
    </row>
    <row r="2871" ht="12.75" customHeight="1">
      <c r="A2871" s="1" t="s">
        <v>1217</v>
      </c>
    </row>
    <row r="2872" ht="12.75" customHeight="1">
      <c r="A2872" s="1" t="s">
        <v>1218</v>
      </c>
    </row>
    <row r="2873" ht="12.75" customHeight="1"/>
    <row r="2874" ht="12.75" customHeight="1">
      <c r="A2874" s="1" t="s">
        <v>423</v>
      </c>
    </row>
    <row r="2875" ht="12.75" customHeight="1">
      <c r="A2875" s="1" t="s">
        <v>1219</v>
      </c>
    </row>
    <row r="2876" ht="12.75" customHeight="1">
      <c r="A2876" s="1" t="s">
        <v>544</v>
      </c>
    </row>
    <row r="2877" ht="12.75" customHeight="1">
      <c r="A2877" s="1" t="s">
        <v>1220</v>
      </c>
    </row>
    <row r="2878" ht="12.75" customHeight="1">
      <c r="A2878" s="1" t="s">
        <v>1221</v>
      </c>
    </row>
    <row r="2879" ht="12.75" customHeight="1">
      <c r="A2879" s="1" t="s">
        <v>1222</v>
      </c>
    </row>
    <row r="2880" ht="12.75" customHeight="1">
      <c r="A2880" s="1" t="s">
        <v>1223</v>
      </c>
    </row>
    <row r="2881" ht="12.75" customHeight="1">
      <c r="A2881" s="1" t="s">
        <v>1224</v>
      </c>
    </row>
    <row r="2882" ht="12.75" customHeight="1">
      <c r="A2882" s="1" t="s">
        <v>1225</v>
      </c>
    </row>
    <row r="2883" ht="12.75" customHeight="1"/>
    <row r="2884" ht="12.75" customHeight="1">
      <c r="A2884" s="1" t="s">
        <v>360</v>
      </c>
    </row>
    <row r="2885" ht="12.75" customHeight="1">
      <c r="A2885" s="1" t="s">
        <v>1226</v>
      </c>
    </row>
    <row r="2886" ht="12.75" customHeight="1">
      <c r="A2886" s="1" t="s">
        <v>1227</v>
      </c>
    </row>
    <row r="2887" ht="12.75" customHeight="1">
      <c r="A2887" s="1" t="s">
        <v>1228</v>
      </c>
    </row>
    <row r="2888" ht="12.75" customHeight="1">
      <c r="A2888" s="1" t="s">
        <v>1229</v>
      </c>
    </row>
    <row r="2889" ht="12.75" customHeight="1"/>
    <row r="2890" ht="12.75" customHeight="1">
      <c r="A2890" s="1" t="s">
        <v>361</v>
      </c>
    </row>
    <row r="2891" ht="12.75" customHeight="1">
      <c r="A2891" s="1" t="s">
        <v>1230</v>
      </c>
    </row>
    <row r="2892" ht="12.75" customHeight="1">
      <c r="A2892" s="1" t="s">
        <v>1231</v>
      </c>
    </row>
    <row r="2893" ht="12.75" customHeight="1"/>
    <row r="2894" ht="12.75" customHeight="1">
      <c r="A2894" s="1" t="s">
        <v>362</v>
      </c>
    </row>
    <row r="2895" ht="12.75" customHeight="1">
      <c r="A2895" s="1" t="s">
        <v>1232</v>
      </c>
    </row>
    <row r="2896" ht="12.75" customHeight="1">
      <c r="A2896" s="1" t="s">
        <v>1233</v>
      </c>
    </row>
    <row r="2897" ht="12.75" customHeight="1"/>
    <row r="2898" ht="12.75" customHeight="1">
      <c r="A2898" s="1" t="s">
        <v>363</v>
      </c>
    </row>
    <row r="2899" ht="12.75" customHeight="1">
      <c r="A2899" s="1" t="s">
        <v>1234</v>
      </c>
    </row>
    <row r="2900" ht="12.75" customHeight="1">
      <c r="A2900" s="1" t="s">
        <v>1235</v>
      </c>
    </row>
    <row r="2901" ht="12.75" customHeight="1">
      <c r="A2901" s="1" t="s">
        <v>1236</v>
      </c>
    </row>
    <row r="2902" ht="12.75" customHeight="1">
      <c r="A2902" s="1" t="s">
        <v>1237</v>
      </c>
    </row>
    <row r="2903" ht="12.75" customHeight="1">
      <c r="A2903" s="1" t="s">
        <v>1167</v>
      </c>
    </row>
    <row r="2904" ht="12.75" customHeight="1">
      <c r="A2904" s="1" t="s">
        <v>1238</v>
      </c>
    </row>
    <row r="2905" ht="12.75" customHeight="1">
      <c r="A2905" s="1" t="s">
        <v>500</v>
      </c>
    </row>
    <row r="2906" ht="12.75" customHeight="1">
      <c r="A2906" s="1" t="s">
        <v>970</v>
      </c>
    </row>
    <row r="2907" ht="12.75" customHeight="1"/>
    <row r="2908" ht="12.75" customHeight="1">
      <c r="A2908" s="1" t="s">
        <v>419</v>
      </c>
    </row>
    <row r="2909" ht="12.75" customHeight="1">
      <c r="A2909" s="1" t="s">
        <v>971</v>
      </c>
    </row>
    <row r="2910" ht="12.75" customHeight="1">
      <c r="A2910" s="1" t="s">
        <v>605</v>
      </c>
    </row>
    <row r="2911" ht="12.75" customHeight="1">
      <c r="A2911" s="1" t="s">
        <v>972</v>
      </c>
    </row>
    <row r="2912" ht="12.75" customHeight="1"/>
    <row r="2913" ht="12.75" customHeight="1">
      <c r="A2913" s="1" t="s">
        <v>423</v>
      </c>
    </row>
    <row r="2914" ht="12.75" customHeight="1">
      <c r="A2914" s="1" t="s">
        <v>973</v>
      </c>
    </row>
    <row r="2915" ht="12.75" customHeight="1">
      <c r="A2915" s="1" t="s">
        <v>974</v>
      </c>
    </row>
    <row r="2916" ht="12.75" customHeight="1">
      <c r="A2916" s="1" t="s">
        <v>975</v>
      </c>
    </row>
    <row r="2917" ht="12.75" customHeight="1">
      <c r="A2917" s="1" t="s">
        <v>976</v>
      </c>
    </row>
    <row r="2918" ht="12.75" customHeight="1">
      <c r="A2918" s="1" t="s">
        <v>977</v>
      </c>
    </row>
    <row r="2919" ht="12.75" customHeight="1">
      <c r="A2919" s="1" t="s">
        <v>1239</v>
      </c>
    </row>
    <row r="2920" ht="12.75" customHeight="1">
      <c r="A2920" s="1" t="s">
        <v>1240</v>
      </c>
    </row>
    <row r="2921" ht="12.75" customHeight="1">
      <c r="A2921" s="1" t="s">
        <v>1241</v>
      </c>
    </row>
    <row r="2922" ht="12.75" customHeight="1"/>
    <row r="2923" ht="12.75" customHeight="1">
      <c r="A2923" s="1" t="s">
        <v>360</v>
      </c>
    </row>
    <row r="2924" ht="12.75" customHeight="1">
      <c r="A2924" s="1" t="s">
        <v>1242</v>
      </c>
    </row>
    <row r="2925" ht="12.75" customHeight="1">
      <c r="A2925" s="1" t="s">
        <v>980</v>
      </c>
    </row>
    <row r="2926" ht="12.75" customHeight="1">
      <c r="A2926" s="1" t="s">
        <v>1243</v>
      </c>
    </row>
    <row r="2927" ht="12.75" customHeight="1">
      <c r="A2927" s="1" t="s">
        <v>1244</v>
      </c>
    </row>
    <row r="2928" ht="12.75" customHeight="1"/>
    <row r="2929" ht="12.75" customHeight="1">
      <c r="A2929" s="1" t="s">
        <v>361</v>
      </c>
    </row>
    <row r="2930" ht="12.75" customHeight="1">
      <c r="A2930" s="1" t="s">
        <v>1230</v>
      </c>
    </row>
    <row r="2931" ht="12.75" customHeight="1">
      <c r="A2931" s="1" t="s">
        <v>1231</v>
      </c>
    </row>
    <row r="2932" ht="12.75" customHeight="1"/>
    <row r="2933" ht="12.75" customHeight="1">
      <c r="A2933" s="1" t="s">
        <v>362</v>
      </c>
    </row>
    <row r="2934" ht="12.75" customHeight="1">
      <c r="A2934" s="1" t="s">
        <v>1232</v>
      </c>
    </row>
    <row r="2935" ht="12.75" customHeight="1">
      <c r="A2935" s="1" t="s">
        <v>1233</v>
      </c>
    </row>
    <row r="2936" ht="12.75" customHeight="1"/>
    <row r="2937" ht="12.75" customHeight="1">
      <c r="A2937" s="1" t="s">
        <v>363</v>
      </c>
    </row>
    <row r="2938" ht="12.75" customHeight="1">
      <c r="A2938" s="1" t="s">
        <v>1245</v>
      </c>
    </row>
    <row r="2939" ht="12.75" customHeight="1">
      <c r="A2939" s="1" t="s">
        <v>1246</v>
      </c>
    </row>
    <row r="2940" ht="12.75" customHeight="1">
      <c r="A2940" s="1" t="s">
        <v>1236</v>
      </c>
    </row>
    <row r="2941" ht="12.75" customHeight="1">
      <c r="A2941" s="1" t="s">
        <v>1237</v>
      </c>
    </row>
    <row r="2942" ht="12.75" customHeight="1">
      <c r="A2942" s="1" t="s">
        <v>1167</v>
      </c>
    </row>
    <row r="2943" ht="12.75" customHeight="1">
      <c r="A2943" s="1" t="s">
        <v>1238</v>
      </c>
    </row>
    <row r="2944" ht="12.75" customHeight="1">
      <c r="A2944" s="1" t="s">
        <v>500</v>
      </c>
    </row>
    <row r="2945" ht="12.75" customHeight="1">
      <c r="A2945" s="1" t="s">
        <v>970</v>
      </c>
    </row>
    <row r="2946" ht="12.75" customHeight="1"/>
    <row r="2947" ht="12.75" customHeight="1">
      <c r="A2947" s="1" t="s">
        <v>419</v>
      </c>
    </row>
    <row r="2948" ht="12.75" customHeight="1">
      <c r="A2948" s="1" t="s">
        <v>971</v>
      </c>
    </row>
    <row r="2949" ht="12.75" customHeight="1">
      <c r="A2949" s="1" t="s">
        <v>605</v>
      </c>
    </row>
    <row r="2950" ht="12.75" customHeight="1">
      <c r="A2950" s="1" t="s">
        <v>972</v>
      </c>
    </row>
    <row r="2951" ht="12.75" customHeight="1"/>
    <row r="2952" ht="12.75" customHeight="1">
      <c r="A2952" s="1" t="s">
        <v>423</v>
      </c>
    </row>
    <row r="2953" ht="12.75" customHeight="1">
      <c r="A2953" s="1" t="s">
        <v>973</v>
      </c>
    </row>
    <row r="2954" ht="12.75" customHeight="1">
      <c r="A2954" s="1" t="s">
        <v>974</v>
      </c>
    </row>
    <row r="2955" ht="12.75" customHeight="1">
      <c r="A2955" s="1" t="s">
        <v>975</v>
      </c>
    </row>
    <row r="2956" ht="12.75" customHeight="1">
      <c r="A2956" s="1" t="s">
        <v>976</v>
      </c>
    </row>
    <row r="2957" ht="12.75" customHeight="1">
      <c r="A2957" s="1" t="s">
        <v>977</v>
      </c>
    </row>
    <row r="2958" ht="12.75" customHeight="1">
      <c r="A2958" s="1" t="s">
        <v>1247</v>
      </c>
    </row>
    <row r="2959" ht="12.75" customHeight="1">
      <c r="A2959" s="1" t="s">
        <v>1051</v>
      </c>
    </row>
    <row r="2960" ht="12.75" customHeight="1">
      <c r="A2960" s="1" t="s">
        <v>600</v>
      </c>
    </row>
    <row r="2961" ht="12.75" customHeight="1">
      <c r="A2961" s="1" t="s">
        <v>1052</v>
      </c>
    </row>
    <row r="2962" ht="12.75" customHeight="1">
      <c r="A2962" s="1" t="s">
        <v>1248</v>
      </c>
    </row>
    <row r="2963" ht="12.75" customHeight="1">
      <c r="A2963" s="1" t="s">
        <v>500</v>
      </c>
    </row>
    <row r="2964" ht="12.75" customHeight="1">
      <c r="A2964" s="1" t="s">
        <v>970</v>
      </c>
    </row>
    <row r="2965" ht="12.75" customHeight="1"/>
    <row r="2966" ht="12.75" customHeight="1">
      <c r="A2966" s="1" t="s">
        <v>419</v>
      </c>
    </row>
    <row r="2967" ht="12.75" customHeight="1">
      <c r="A2967" s="1" t="s">
        <v>1054</v>
      </c>
    </row>
    <row r="2968" ht="12.75" customHeight="1">
      <c r="A2968" s="1" t="s">
        <v>605</v>
      </c>
    </row>
    <row r="2969" ht="12.75" customHeight="1">
      <c r="A2969" s="1" t="s">
        <v>1076</v>
      </c>
    </row>
    <row r="2970" ht="12.75" customHeight="1"/>
    <row r="2971" ht="12.75" customHeight="1">
      <c r="A2971" s="1" t="s">
        <v>423</v>
      </c>
    </row>
    <row r="2972" ht="12.75" customHeight="1">
      <c r="A2972" s="1" t="s">
        <v>1056</v>
      </c>
    </row>
    <row r="2973" ht="12.75" customHeight="1">
      <c r="A2973" s="1" t="s">
        <v>974</v>
      </c>
    </row>
    <row r="2974" ht="12.75" customHeight="1">
      <c r="A2974" s="1" t="s">
        <v>1077</v>
      </c>
    </row>
    <row r="2975" ht="12.75" customHeight="1">
      <c r="A2975" s="1" t="s">
        <v>976</v>
      </c>
    </row>
    <row r="2976" ht="12.75" customHeight="1">
      <c r="A2976" s="1" t="s">
        <v>1249</v>
      </c>
    </row>
    <row r="2977" ht="12.75" customHeight="1">
      <c r="A2977" s="1" t="s">
        <v>1250</v>
      </c>
    </row>
    <row r="2978" ht="12.75" customHeight="1">
      <c r="A2978" s="1" t="s">
        <v>993</v>
      </c>
    </row>
    <row r="2979" ht="12.75" customHeight="1">
      <c r="A2979" s="1" t="s">
        <v>498</v>
      </c>
    </row>
    <row r="2980" ht="12.75" customHeight="1">
      <c r="A2980" s="1" t="s">
        <v>497</v>
      </c>
    </row>
    <row r="2981" ht="12.75" customHeight="1">
      <c r="A2981" s="1" t="s">
        <v>1251</v>
      </c>
    </row>
    <row r="2982" ht="12.75" customHeight="1">
      <c r="A2982" s="1" t="s">
        <v>500</v>
      </c>
    </row>
    <row r="2983" ht="12.75" customHeight="1">
      <c r="A2983" s="1" t="s">
        <v>501</v>
      </c>
    </row>
    <row r="2984" ht="12.75" customHeight="1"/>
    <row r="2985" ht="12.75" customHeight="1">
      <c r="A2985" s="1" t="s">
        <v>419</v>
      </c>
    </row>
    <row r="2986" ht="12.75" customHeight="1">
      <c r="A2986" s="1" t="s">
        <v>1194</v>
      </c>
    </row>
    <row r="2987" ht="12.75" customHeight="1">
      <c r="A2987" s="1" t="s">
        <v>1195</v>
      </c>
    </row>
    <row r="2988" ht="12.75" customHeight="1">
      <c r="A2988" s="1" t="s">
        <v>1196</v>
      </c>
    </row>
    <row r="2989" ht="12.75" customHeight="1"/>
    <row r="2990" ht="12.75" customHeight="1">
      <c r="A2990" s="1" t="s">
        <v>423</v>
      </c>
    </row>
    <row r="2991" ht="12.75" customHeight="1">
      <c r="A2991" s="1" t="s">
        <v>1197</v>
      </c>
    </row>
    <row r="2992" ht="12.75" customHeight="1">
      <c r="A2992" s="1" t="s">
        <v>974</v>
      </c>
    </row>
    <row r="2993" ht="12.75" customHeight="1">
      <c r="A2993" s="1" t="s">
        <v>1198</v>
      </c>
    </row>
    <row r="2994" ht="12.75" customHeight="1">
      <c r="A2994" s="1" t="s">
        <v>997</v>
      </c>
    </row>
    <row r="2995" ht="12.75" customHeight="1">
      <c r="A2995" s="1" t="s">
        <v>998</v>
      </c>
    </row>
    <row r="2996" ht="12.75" customHeight="1">
      <c r="A2996" s="1" t="s">
        <v>1252</v>
      </c>
    </row>
    <row r="2997" ht="12.75" customHeight="1">
      <c r="A2997" s="1" t="s">
        <v>968</v>
      </c>
    </row>
    <row r="2998" ht="12.75" customHeight="1">
      <c r="A2998" s="1" t="s">
        <v>969</v>
      </c>
    </row>
    <row r="2999" ht="12.75" customHeight="1">
      <c r="A2999" s="1" t="s">
        <v>498</v>
      </c>
    </row>
    <row r="3000" ht="12.75" customHeight="1">
      <c r="A3000" s="1" t="s">
        <v>1253</v>
      </c>
    </row>
    <row r="3001" ht="12.75" customHeight="1">
      <c r="A3001" s="1" t="s">
        <v>500</v>
      </c>
    </row>
    <row r="3002" ht="12.75" customHeight="1">
      <c r="A3002" s="1" t="s">
        <v>970</v>
      </c>
    </row>
    <row r="3003" ht="12.75" customHeight="1"/>
    <row r="3004" ht="12.75" customHeight="1">
      <c r="A3004" s="1" t="s">
        <v>419</v>
      </c>
    </row>
    <row r="3005" ht="12.75" customHeight="1">
      <c r="A3005" s="1" t="s">
        <v>971</v>
      </c>
    </row>
    <row r="3006" ht="12.75" customHeight="1">
      <c r="A3006" s="1" t="s">
        <v>605</v>
      </c>
    </row>
    <row r="3007" ht="12.75" customHeight="1">
      <c r="A3007" s="1" t="s">
        <v>972</v>
      </c>
    </row>
    <row r="3008" ht="12.75" customHeight="1"/>
    <row r="3009" ht="12.75" customHeight="1">
      <c r="A3009" s="1" t="s">
        <v>423</v>
      </c>
    </row>
    <row r="3010" ht="12.75" customHeight="1">
      <c r="A3010" s="1" t="s">
        <v>973</v>
      </c>
    </row>
    <row r="3011" ht="12.75" customHeight="1">
      <c r="A3011" s="1" t="s">
        <v>974</v>
      </c>
    </row>
    <row r="3012" ht="12.75" customHeight="1">
      <c r="A3012" s="1" t="s">
        <v>975</v>
      </c>
    </row>
    <row r="3013" ht="12.75" customHeight="1">
      <c r="A3013" s="1" t="s">
        <v>976</v>
      </c>
    </row>
    <row r="3014" ht="12.75" customHeight="1">
      <c r="A3014" s="1" t="s">
        <v>977</v>
      </c>
    </row>
    <row r="3015" ht="12.75" customHeight="1">
      <c r="A3015" s="1" t="s">
        <v>1254</v>
      </c>
    </row>
    <row r="3016" ht="12.75" customHeight="1">
      <c r="A3016" s="1" t="s">
        <v>1051</v>
      </c>
    </row>
    <row r="3017" ht="12.75" customHeight="1">
      <c r="A3017" s="1" t="s">
        <v>600</v>
      </c>
    </row>
    <row r="3018" ht="12.75" customHeight="1">
      <c r="A3018" s="1" t="s">
        <v>1052</v>
      </c>
    </row>
    <row r="3019" ht="12.75" customHeight="1">
      <c r="A3019" s="1" t="s">
        <v>1248</v>
      </c>
    </row>
    <row r="3020" ht="12.75" customHeight="1">
      <c r="A3020" s="1" t="s">
        <v>500</v>
      </c>
    </row>
    <row r="3021" ht="12.75" customHeight="1">
      <c r="A3021" s="1" t="s">
        <v>970</v>
      </c>
    </row>
    <row r="3022" ht="12.75" customHeight="1"/>
    <row r="3023" ht="12.75" customHeight="1">
      <c r="A3023" s="1" t="s">
        <v>419</v>
      </c>
    </row>
    <row r="3024" ht="12.75" customHeight="1">
      <c r="A3024" s="1" t="s">
        <v>1054</v>
      </c>
    </row>
    <row r="3025" ht="12.75" customHeight="1">
      <c r="A3025" s="1" t="s">
        <v>1075</v>
      </c>
    </row>
    <row r="3026" ht="12.75" customHeight="1">
      <c r="A3026" s="1" t="s">
        <v>1076</v>
      </c>
    </row>
    <row r="3027" ht="12.75" customHeight="1"/>
    <row r="3028" ht="12.75" customHeight="1">
      <c r="A3028" s="1" t="s">
        <v>423</v>
      </c>
    </row>
    <row r="3029" ht="12.75" customHeight="1">
      <c r="A3029" s="1" t="s">
        <v>604</v>
      </c>
    </row>
    <row r="3030" ht="12.75" customHeight="1">
      <c r="A3030" s="1" t="s">
        <v>974</v>
      </c>
    </row>
    <row r="3031" ht="12.75" customHeight="1">
      <c r="A3031" s="1" t="s">
        <v>1077</v>
      </c>
    </row>
    <row r="3032" ht="12.75" customHeight="1">
      <c r="A3032" s="1" t="s">
        <v>1078</v>
      </c>
    </row>
    <row r="3033" ht="12.75" customHeight="1">
      <c r="A3033" s="1" t="s">
        <v>1079</v>
      </c>
    </row>
    <row r="3034" ht="12.75" customHeight="1">
      <c r="A3034" s="1" t="s">
        <v>1255</v>
      </c>
    </row>
    <row r="3035" ht="12.75" customHeight="1">
      <c r="A3035" s="1" t="s">
        <v>993</v>
      </c>
    </row>
    <row r="3036" ht="12.75" customHeight="1">
      <c r="A3036" s="1" t="s">
        <v>1256</v>
      </c>
    </row>
    <row r="3037" ht="12.75" customHeight="1">
      <c r="A3037" s="1" t="s">
        <v>498</v>
      </c>
    </row>
    <row r="3038" ht="12.75" customHeight="1">
      <c r="A3038" s="1" t="s">
        <v>1257</v>
      </c>
    </row>
    <row r="3039" ht="12.75" customHeight="1">
      <c r="A3039" s="1" t="s">
        <v>500</v>
      </c>
    </row>
    <row r="3040" ht="12.75" customHeight="1">
      <c r="A3040" s="1" t="s">
        <v>1258</v>
      </c>
    </row>
    <row r="3041" ht="12.75" customHeight="1"/>
    <row r="3042" ht="12.75" customHeight="1">
      <c r="A3042" s="1" t="s">
        <v>419</v>
      </c>
    </row>
    <row r="3043" ht="12.75" customHeight="1">
      <c r="A3043" s="1" t="s">
        <v>1194</v>
      </c>
    </row>
    <row r="3044" ht="12.75" customHeight="1">
      <c r="A3044" s="1" t="s">
        <v>1195</v>
      </c>
    </row>
    <row r="3045" ht="12.75" customHeight="1">
      <c r="A3045" s="1" t="s">
        <v>1259</v>
      </c>
    </row>
    <row r="3046" ht="12.75" customHeight="1"/>
    <row r="3047" ht="12.75" customHeight="1">
      <c r="A3047" s="1" t="s">
        <v>423</v>
      </c>
    </row>
    <row r="3048" ht="12.75" customHeight="1">
      <c r="A3048" s="1" t="s">
        <v>974</v>
      </c>
    </row>
    <row r="3049" ht="12.75" customHeight="1">
      <c r="A3049" s="1" t="s">
        <v>1260</v>
      </c>
    </row>
    <row r="3050" ht="12.75" customHeight="1">
      <c r="A3050" s="1" t="s">
        <v>1261</v>
      </c>
    </row>
    <row r="3051" ht="12.75" customHeight="1">
      <c r="A3051" s="1" t="s">
        <v>1262</v>
      </c>
    </row>
    <row r="3052" ht="12.75" customHeight="1">
      <c r="A3052" s="1" t="s">
        <v>1263</v>
      </c>
    </row>
    <row r="3053" ht="12.75" customHeight="1">
      <c r="A3053" s="1" t="s">
        <v>1264</v>
      </c>
    </row>
    <row r="3054" ht="12.75" customHeight="1">
      <c r="A3054" s="1" t="s">
        <v>968</v>
      </c>
    </row>
    <row r="3055" ht="12.75" customHeight="1">
      <c r="A3055" s="1" t="s">
        <v>969</v>
      </c>
    </row>
    <row r="3056" ht="12.75" customHeight="1">
      <c r="A3056" s="1" t="s">
        <v>498</v>
      </c>
    </row>
    <row r="3057" ht="12.75" customHeight="1">
      <c r="A3057" s="1" t="s">
        <v>1253</v>
      </c>
    </row>
    <row r="3058" ht="12.75" customHeight="1">
      <c r="A3058" s="1" t="s">
        <v>1265</v>
      </c>
    </row>
    <row r="3059" ht="12.75" customHeight="1">
      <c r="A3059" s="1" t="s">
        <v>501</v>
      </c>
    </row>
    <row r="3060" ht="12.75" customHeight="1"/>
    <row r="3061" ht="12.75" customHeight="1">
      <c r="A3061" s="1" t="s">
        <v>419</v>
      </c>
    </row>
    <row r="3062" ht="12.75" customHeight="1">
      <c r="A3062" s="1" t="s">
        <v>1266</v>
      </c>
    </row>
    <row r="3063" ht="12.75" customHeight="1">
      <c r="A3063" s="1" t="s">
        <v>503</v>
      </c>
    </row>
    <row r="3064" ht="12.75" customHeight="1">
      <c r="A3064" s="1" t="s">
        <v>504</v>
      </c>
    </row>
    <row r="3065" ht="12.75" customHeight="1"/>
    <row r="3066" ht="12.75" customHeight="1">
      <c r="A3066" s="1" t="s">
        <v>423</v>
      </c>
    </row>
    <row r="3067" ht="12.75" customHeight="1">
      <c r="A3067" s="1" t="s">
        <v>505</v>
      </c>
    </row>
    <row r="3068" ht="12.75" customHeight="1">
      <c r="A3068" s="1" t="s">
        <v>1267</v>
      </c>
    </row>
    <row r="3069" ht="12.75" customHeight="1">
      <c r="A3069" s="1" t="s">
        <v>1268</v>
      </c>
    </row>
    <row r="3070" ht="12.75" customHeight="1">
      <c r="A3070" s="1" t="s">
        <v>997</v>
      </c>
    </row>
    <row r="3071" ht="12.75" customHeight="1">
      <c r="A3071" s="1" t="s">
        <v>1269</v>
      </c>
    </row>
    <row r="3072" ht="12.75" customHeight="1">
      <c r="A3072" s="1" t="s">
        <v>1270</v>
      </c>
    </row>
    <row r="3073" ht="12.75" customHeight="1">
      <c r="A3073" s="1" t="s">
        <v>600</v>
      </c>
    </row>
    <row r="3074" ht="12.75" customHeight="1">
      <c r="A3074" s="1" t="s">
        <v>590</v>
      </c>
    </row>
    <row r="3075" ht="12.75" customHeight="1">
      <c r="A3075" s="1" t="s">
        <v>1271</v>
      </c>
    </row>
    <row r="3076" ht="12.75" customHeight="1">
      <c r="A3076" s="1" t="s">
        <v>1272</v>
      </c>
    </row>
    <row r="3077" ht="12.75" customHeight="1">
      <c r="A3077" s="1" t="s">
        <v>1273</v>
      </c>
    </row>
    <row r="3078" ht="12.75" customHeight="1">
      <c r="A3078" s="1" t="s">
        <v>1274</v>
      </c>
    </row>
    <row r="3079" ht="12.75" customHeight="1"/>
    <row r="3080" ht="12.75" customHeight="1">
      <c r="A3080" s="1" t="s">
        <v>419</v>
      </c>
    </row>
    <row r="3081" ht="12.75" customHeight="1">
      <c r="A3081" s="1" t="s">
        <v>1275</v>
      </c>
    </row>
    <row r="3082" ht="12.75" customHeight="1">
      <c r="A3082" s="1" t="s">
        <v>1276</v>
      </c>
    </row>
    <row r="3083" ht="12.75" customHeight="1">
      <c r="A3083" s="1" t="s">
        <v>1277</v>
      </c>
    </row>
    <row r="3084" ht="12.75" customHeight="1"/>
    <row r="3085" ht="12.75" customHeight="1">
      <c r="A3085" s="1" t="s">
        <v>423</v>
      </c>
    </row>
    <row r="3086" ht="12.75" customHeight="1">
      <c r="A3086" s="1" t="s">
        <v>1278</v>
      </c>
    </row>
    <row r="3087" ht="12.75" customHeight="1">
      <c r="A3087" s="1" t="s">
        <v>1279</v>
      </c>
    </row>
    <row r="3088" ht="12.75" customHeight="1">
      <c r="A3088" s="1" t="s">
        <v>1280</v>
      </c>
    </row>
    <row r="3089" ht="12.75" customHeight="1">
      <c r="A3089" s="1" t="s">
        <v>1281</v>
      </c>
    </row>
    <row r="3090" ht="12.75" customHeight="1">
      <c r="A3090" s="1" t="s">
        <v>1282</v>
      </c>
    </row>
    <row r="3091" ht="12.75" customHeight="1">
      <c r="A3091" s="1" t="s">
        <v>1283</v>
      </c>
    </row>
    <row r="3092" ht="12.75" customHeight="1">
      <c r="A3092" s="1" t="s">
        <v>770</v>
      </c>
    </row>
    <row r="3093" ht="12.75" customHeight="1">
      <c r="A3093" s="1" t="s">
        <v>828</v>
      </c>
    </row>
    <row r="3094" ht="12.75" customHeight="1">
      <c r="A3094" s="1" t="s">
        <v>829</v>
      </c>
    </row>
    <row r="3095" ht="12.75" customHeight="1">
      <c r="A3095" s="1" t="s">
        <v>1284</v>
      </c>
    </row>
    <row r="3096" ht="12.75" customHeight="1">
      <c r="A3096" s="1" t="s">
        <v>417</v>
      </c>
    </row>
    <row r="3097" ht="12.75" customHeight="1">
      <c r="A3097" s="1" t="s">
        <v>418</v>
      </c>
    </row>
    <row r="3098" ht="12.75" customHeight="1"/>
    <row r="3099" ht="12.75" customHeight="1">
      <c r="A3099" s="1" t="s">
        <v>419</v>
      </c>
    </row>
    <row r="3100" ht="12.75" customHeight="1">
      <c r="A3100" s="1" t="s">
        <v>420</v>
      </c>
    </row>
    <row r="3101" ht="12.75" customHeight="1">
      <c r="A3101" s="1" t="s">
        <v>421</v>
      </c>
    </row>
    <row r="3102" ht="12.75" customHeight="1">
      <c r="A3102" s="1" t="s">
        <v>420</v>
      </c>
    </row>
    <row r="3103" ht="12.75" customHeight="1"/>
    <row r="3104" ht="12.75" customHeight="1">
      <c r="A3104" s="1" t="s">
        <v>423</v>
      </c>
    </row>
    <row r="3105" ht="12.75" customHeight="1">
      <c r="A3105" s="1" t="s">
        <v>424</v>
      </c>
    </row>
    <row r="3106" ht="12.75" customHeight="1">
      <c r="A3106" s="1" t="s">
        <v>425</v>
      </c>
    </row>
    <row r="3107" ht="12.75" customHeight="1">
      <c r="A3107" s="1" t="s">
        <v>426</v>
      </c>
    </row>
    <row r="3108" ht="12.75" customHeight="1">
      <c r="A3108" s="1" t="s">
        <v>774</v>
      </c>
    </row>
    <row r="3109" ht="12.75" customHeight="1">
      <c r="A3109" s="1" t="s">
        <v>428</v>
      </c>
    </row>
    <row r="3110" ht="12.75" customHeight="1">
      <c r="A3110" s="1" t="s">
        <v>1285</v>
      </c>
    </row>
    <row r="3111" ht="12.75" customHeight="1">
      <c r="A3111" s="1" t="s">
        <v>753</v>
      </c>
    </row>
    <row r="3112" ht="12.75" customHeight="1">
      <c r="A3112" s="1" t="s">
        <v>905</v>
      </c>
    </row>
    <row r="3113" ht="12.75" customHeight="1">
      <c r="A3113" s="1" t="s">
        <v>905</v>
      </c>
    </row>
    <row r="3114" ht="12.75" customHeight="1">
      <c r="A3114" s="1" t="s">
        <v>1286</v>
      </c>
    </row>
    <row r="3115" ht="12.75" customHeight="1">
      <c r="A3115" s="1" t="s">
        <v>417</v>
      </c>
    </row>
    <row r="3116" ht="12.75" customHeight="1">
      <c r="A3116" s="1" t="s">
        <v>418</v>
      </c>
    </row>
    <row r="3117" ht="12.75" customHeight="1"/>
    <row r="3118" ht="12.75" customHeight="1">
      <c r="A3118" s="1" t="s">
        <v>419</v>
      </c>
    </row>
    <row r="3119" ht="12.75" customHeight="1">
      <c r="A3119" s="1" t="s">
        <v>737</v>
      </c>
    </row>
    <row r="3120" ht="12.75" customHeight="1">
      <c r="A3120" s="1" t="s">
        <v>421</v>
      </c>
    </row>
    <row r="3121" ht="12.75" customHeight="1">
      <c r="A3121" s="1" t="s">
        <v>736</v>
      </c>
    </row>
    <row r="3122" ht="12.75" customHeight="1"/>
    <row r="3123" ht="12.75" customHeight="1">
      <c r="A3123" s="1" t="s">
        <v>423</v>
      </c>
    </row>
    <row r="3124" ht="12.75" customHeight="1">
      <c r="A3124" s="1" t="s">
        <v>757</v>
      </c>
    </row>
    <row r="3125" ht="12.75" customHeight="1">
      <c r="A3125" s="1" t="s">
        <v>758</v>
      </c>
    </row>
    <row r="3126" ht="12.75" customHeight="1">
      <c r="A3126" s="1" t="s">
        <v>426</v>
      </c>
    </row>
    <row r="3127" ht="12.75" customHeight="1">
      <c r="A3127" s="1" t="s">
        <v>740</v>
      </c>
    </row>
    <row r="3128" ht="12.75" customHeight="1">
      <c r="A3128" s="1" t="s">
        <v>428</v>
      </c>
    </row>
    <row r="3129" ht="12.75" customHeight="1">
      <c r="A3129" s="1" t="s">
        <v>1287</v>
      </c>
    </row>
    <row r="3130" ht="12.75" customHeight="1">
      <c r="A3130" s="1" t="s">
        <v>862</v>
      </c>
    </row>
    <row r="3131" ht="12.75" customHeight="1">
      <c r="A3131" s="1" t="s">
        <v>828</v>
      </c>
    </row>
    <row r="3132" ht="12.75" customHeight="1">
      <c r="A3132" s="1" t="s">
        <v>829</v>
      </c>
    </row>
    <row r="3133" ht="12.75" customHeight="1">
      <c r="A3133" s="1" t="s">
        <v>1284</v>
      </c>
    </row>
    <row r="3134" ht="12.75" customHeight="1">
      <c r="A3134" s="1" t="s">
        <v>417</v>
      </c>
    </row>
    <row r="3135" ht="12.75" customHeight="1">
      <c r="A3135" s="1" t="s">
        <v>418</v>
      </c>
    </row>
    <row r="3136" ht="12.75" customHeight="1"/>
    <row r="3137" ht="12.75" customHeight="1">
      <c r="A3137" s="1" t="s">
        <v>419</v>
      </c>
    </row>
    <row r="3138" ht="12.75" customHeight="1">
      <c r="A3138" s="1" t="s">
        <v>420</v>
      </c>
    </row>
    <row r="3139" ht="12.75" customHeight="1">
      <c r="A3139" s="1" t="s">
        <v>421</v>
      </c>
    </row>
    <row r="3140" ht="12.75" customHeight="1">
      <c r="A3140" s="1" t="s">
        <v>420</v>
      </c>
    </row>
    <row r="3141" ht="12.75" customHeight="1"/>
    <row r="3142" ht="12.75" customHeight="1">
      <c r="A3142" s="1" t="s">
        <v>423</v>
      </c>
    </row>
    <row r="3143" ht="12.75" customHeight="1">
      <c r="A3143" s="1" t="s">
        <v>424</v>
      </c>
    </row>
    <row r="3144" ht="12.75" customHeight="1">
      <c r="A3144" s="1" t="s">
        <v>425</v>
      </c>
    </row>
    <row r="3145" ht="12.75" customHeight="1">
      <c r="A3145" s="1" t="s">
        <v>426</v>
      </c>
    </row>
    <row r="3146" ht="12.75" customHeight="1">
      <c r="A3146" s="1" t="s">
        <v>774</v>
      </c>
    </row>
    <row r="3147" ht="12.75" customHeight="1">
      <c r="A3147" s="1" t="s">
        <v>428</v>
      </c>
    </row>
    <row r="3148" ht="12.75" customHeight="1">
      <c r="A3148" s="1" t="s">
        <v>1288</v>
      </c>
    </row>
    <row r="3149" ht="12.75" customHeight="1">
      <c r="A3149" s="1" t="s">
        <v>1289</v>
      </c>
    </row>
    <row r="3150" ht="12.75" customHeight="1">
      <c r="A3150" s="1" t="s">
        <v>1290</v>
      </c>
    </row>
    <row r="3151" ht="12.75" customHeight="1"/>
    <row r="3152" ht="12.75" customHeight="1">
      <c r="A3152" s="1" t="s">
        <v>360</v>
      </c>
    </row>
    <row r="3153" ht="12.75" customHeight="1">
      <c r="A3153" s="1" t="s">
        <v>1291</v>
      </c>
    </row>
    <row r="3154" ht="12.75" customHeight="1">
      <c r="A3154" s="1" t="s">
        <v>1292</v>
      </c>
    </row>
    <row r="3155" ht="12.75" customHeight="1">
      <c r="A3155" s="1" t="s">
        <v>1293</v>
      </c>
    </row>
    <row r="3156" ht="12.75" customHeight="1">
      <c r="A3156" s="1" t="s">
        <v>1290</v>
      </c>
    </row>
    <row r="3157" ht="12.75" customHeight="1"/>
    <row r="3158" ht="12.75" customHeight="1">
      <c r="A3158" s="1" t="s">
        <v>361</v>
      </c>
    </row>
    <row r="3159" ht="12.75" customHeight="1">
      <c r="A3159" s="1" t="s">
        <v>1294</v>
      </c>
    </row>
    <row r="3160" ht="12.75" customHeight="1">
      <c r="A3160" s="1" t="s">
        <v>1295</v>
      </c>
    </row>
    <row r="3161" ht="12.75" customHeight="1"/>
    <row r="3162" ht="12.75" customHeight="1">
      <c r="A3162" s="1" t="s">
        <v>362</v>
      </c>
    </row>
    <row r="3163" ht="12.75" customHeight="1">
      <c r="A3163" s="1" t="s">
        <v>1291</v>
      </c>
    </row>
    <row r="3164" ht="12.75" customHeight="1">
      <c r="A3164" s="1" t="s">
        <v>1292</v>
      </c>
    </row>
    <row r="3165" ht="12.75" customHeight="1"/>
    <row r="3166" ht="12.75" customHeight="1">
      <c r="A3166" s="1" t="s">
        <v>363</v>
      </c>
    </row>
    <row r="3167" ht="12.75" customHeight="1">
      <c r="A3167" s="1" t="s">
        <v>1291</v>
      </c>
    </row>
    <row r="3168" ht="12.75" customHeight="1">
      <c r="A3168" s="1" t="s">
        <v>1296</v>
      </c>
    </row>
    <row r="3169" ht="12.75" customHeight="1">
      <c r="A3169" s="1" t="s">
        <v>1288</v>
      </c>
    </row>
    <row r="3170" ht="12.75" customHeight="1">
      <c r="A3170" s="1" t="s">
        <v>1297</v>
      </c>
    </row>
    <row r="3171" ht="12.75" customHeight="1">
      <c r="A3171" s="1" t="s">
        <v>1298</v>
      </c>
    </row>
    <row r="3172" ht="12.75" customHeight="1"/>
    <row r="3173" ht="12.75" customHeight="1">
      <c r="A3173" s="1" t="s">
        <v>360</v>
      </c>
    </row>
    <row r="3174" ht="12.75" customHeight="1">
      <c r="A3174" s="1" t="s">
        <v>1299</v>
      </c>
    </row>
    <row r="3175" ht="12.75" customHeight="1">
      <c r="A3175" s="1" t="s">
        <v>1300</v>
      </c>
    </row>
    <row r="3176" ht="12.75" customHeight="1">
      <c r="A3176" s="1" t="s">
        <v>1301</v>
      </c>
    </row>
    <row r="3177" ht="12.75" customHeight="1">
      <c r="A3177" s="1" t="s">
        <v>1298</v>
      </c>
    </row>
    <row r="3178" ht="12.75" customHeight="1"/>
    <row r="3179" ht="12.75" customHeight="1">
      <c r="A3179" s="1" t="s">
        <v>361</v>
      </c>
    </row>
    <row r="3180" ht="12.75" customHeight="1">
      <c r="A3180" s="1" t="s">
        <v>1302</v>
      </c>
    </row>
    <row r="3181" ht="12.75" customHeight="1">
      <c r="A3181" s="1" t="s">
        <v>1303</v>
      </c>
    </row>
    <row r="3182" ht="12.75" customHeight="1"/>
    <row r="3183" ht="12.75" customHeight="1">
      <c r="A3183" s="1" t="s">
        <v>362</v>
      </c>
    </row>
    <row r="3184" ht="12.75" customHeight="1">
      <c r="A3184" s="1" t="s">
        <v>1299</v>
      </c>
    </row>
    <row r="3185" ht="12.75" customHeight="1">
      <c r="A3185" s="1" t="s">
        <v>1300</v>
      </c>
    </row>
    <row r="3186" ht="12.75" customHeight="1"/>
    <row r="3187" ht="12.75" customHeight="1">
      <c r="A3187" s="1" t="s">
        <v>363</v>
      </c>
    </row>
    <row r="3188" ht="12.75" customHeight="1">
      <c r="A3188" s="1" t="s">
        <v>1299</v>
      </c>
    </row>
    <row r="3189" ht="12.75" customHeight="1">
      <c r="A3189" s="1" t="s">
        <v>1304</v>
      </c>
    </row>
    <row r="3190" ht="12.75" customHeight="1">
      <c r="A3190" s="1" t="s">
        <v>1288</v>
      </c>
    </row>
    <row r="3191" ht="12.75" customHeight="1">
      <c r="A3191" s="1" t="s">
        <v>1305</v>
      </c>
    </row>
    <row r="3192" ht="12.75" customHeight="1">
      <c r="A3192" s="1" t="s">
        <v>1306</v>
      </c>
    </row>
    <row r="3193" ht="12.75" customHeight="1"/>
    <row r="3194" ht="12.75" customHeight="1">
      <c r="A3194" s="1" t="s">
        <v>360</v>
      </c>
    </row>
    <row r="3195" ht="12.75" customHeight="1">
      <c r="A3195" s="1" t="s">
        <v>1307</v>
      </c>
    </row>
    <row r="3196" ht="12.75" customHeight="1">
      <c r="A3196" s="1" t="s">
        <v>1308</v>
      </c>
    </row>
    <row r="3197" ht="12.75" customHeight="1">
      <c r="A3197" s="1" t="s">
        <v>1309</v>
      </c>
    </row>
    <row r="3198" ht="12.75" customHeight="1">
      <c r="A3198" s="1" t="s">
        <v>1306</v>
      </c>
    </row>
    <row r="3199" ht="12.75" customHeight="1"/>
    <row r="3200" ht="12.75" customHeight="1">
      <c r="A3200" s="1" t="s">
        <v>361</v>
      </c>
    </row>
    <row r="3201" ht="12.75" customHeight="1">
      <c r="A3201" s="1" t="s">
        <v>1310</v>
      </c>
    </row>
    <row r="3202" ht="12.75" customHeight="1">
      <c r="A3202" s="1" t="s">
        <v>1311</v>
      </c>
    </row>
    <row r="3203" ht="12.75" customHeight="1"/>
    <row r="3204" ht="12.75" customHeight="1">
      <c r="A3204" s="1" t="s">
        <v>362</v>
      </c>
    </row>
    <row r="3205" ht="12.75" customHeight="1">
      <c r="A3205" s="1" t="s">
        <v>1312</v>
      </c>
    </row>
    <row r="3206" ht="12.75" customHeight="1">
      <c r="A3206" s="1" t="s">
        <v>1308</v>
      </c>
    </row>
    <row r="3207" ht="12.75" customHeight="1"/>
    <row r="3208" ht="12.75" customHeight="1">
      <c r="A3208" s="1" t="s">
        <v>363</v>
      </c>
    </row>
    <row r="3209" ht="12.75" customHeight="1">
      <c r="A3209" s="1" t="s">
        <v>1312</v>
      </c>
    </row>
    <row r="3210" ht="12.75" customHeight="1">
      <c r="A3210" s="1" t="s">
        <v>1313</v>
      </c>
    </row>
    <row r="3211" ht="12.75" customHeight="1">
      <c r="A3211" s="1" t="s">
        <v>1288</v>
      </c>
    </row>
    <row r="3212" ht="12.75" customHeight="1">
      <c r="A3212" s="1" t="s">
        <v>1314</v>
      </c>
    </row>
    <row r="3213" ht="12.75" customHeight="1">
      <c r="A3213" s="1" t="s">
        <v>1315</v>
      </c>
    </row>
    <row r="3214" ht="12.75" customHeight="1"/>
    <row r="3215" ht="12.75" customHeight="1">
      <c r="A3215" s="1" t="s">
        <v>360</v>
      </c>
    </row>
    <row r="3216" ht="12.75" customHeight="1">
      <c r="A3216" s="1" t="s">
        <v>1316</v>
      </c>
    </row>
    <row r="3217" ht="12.75" customHeight="1">
      <c r="A3217" s="1" t="s">
        <v>1317</v>
      </c>
    </row>
    <row r="3218" ht="12.75" customHeight="1">
      <c r="A3218" s="1" t="s">
        <v>1318</v>
      </c>
    </row>
    <row r="3219" ht="12.75" customHeight="1">
      <c r="A3219" s="1" t="s">
        <v>1315</v>
      </c>
    </row>
    <row r="3220" ht="12.75" customHeight="1"/>
    <row r="3221" ht="12.75" customHeight="1">
      <c r="A3221" s="1" t="s">
        <v>361</v>
      </c>
    </row>
    <row r="3222" ht="12.75" customHeight="1">
      <c r="A3222" s="1" t="s">
        <v>1319</v>
      </c>
    </row>
    <row r="3223" ht="12.75" customHeight="1">
      <c r="A3223" s="1" t="s">
        <v>1320</v>
      </c>
    </row>
    <row r="3224" ht="12.75" customHeight="1"/>
    <row r="3225" ht="12.75" customHeight="1">
      <c r="A3225" s="1" t="s">
        <v>362</v>
      </c>
    </row>
    <row r="3226" ht="12.75" customHeight="1">
      <c r="A3226" s="1" t="s">
        <v>1316</v>
      </c>
    </row>
    <row r="3227" ht="12.75" customHeight="1">
      <c r="A3227" s="1" t="s">
        <v>1317</v>
      </c>
    </row>
    <row r="3228" ht="12.75" customHeight="1"/>
    <row r="3229" ht="12.75" customHeight="1">
      <c r="A3229" s="1" t="s">
        <v>363</v>
      </c>
    </row>
    <row r="3230" ht="12.75" customHeight="1">
      <c r="A3230" s="1" t="s">
        <v>1316</v>
      </c>
    </row>
    <row r="3231" ht="12.75" customHeight="1">
      <c r="A3231" s="1" t="s">
        <v>1321</v>
      </c>
    </row>
    <row r="3232" ht="12.75" customHeight="1">
      <c r="A3232" s="1" t="s">
        <v>1288</v>
      </c>
    </row>
    <row r="3233" ht="12.75" customHeight="1">
      <c r="A3233" s="1" t="s">
        <v>1322</v>
      </c>
    </row>
    <row r="3234" ht="12.75" customHeight="1">
      <c r="A3234" s="1" t="s">
        <v>1323</v>
      </c>
    </row>
    <row r="3235" ht="12.75" customHeight="1"/>
    <row r="3236" ht="12.75" customHeight="1">
      <c r="A3236" s="1" t="s">
        <v>360</v>
      </c>
    </row>
    <row r="3237" ht="12.75" customHeight="1">
      <c r="A3237" s="1" t="s">
        <v>1324</v>
      </c>
    </row>
    <row r="3238" ht="12.75" customHeight="1">
      <c r="A3238" s="1" t="s">
        <v>1325</v>
      </c>
    </row>
    <row r="3239" ht="12.75" customHeight="1">
      <c r="A3239" s="1" t="s">
        <v>1326</v>
      </c>
    </row>
    <row r="3240" ht="12.75" customHeight="1">
      <c r="A3240" s="1" t="s">
        <v>1323</v>
      </c>
    </row>
    <row r="3241" ht="12.75" customHeight="1"/>
    <row r="3242" ht="12.75" customHeight="1">
      <c r="A3242" s="1" t="s">
        <v>361</v>
      </c>
    </row>
    <row r="3243" ht="12.75" customHeight="1">
      <c r="A3243" s="1" t="s">
        <v>1327</v>
      </c>
    </row>
    <row r="3244" ht="12.75" customHeight="1">
      <c r="A3244" s="1" t="s">
        <v>1328</v>
      </c>
    </row>
    <row r="3245" ht="12.75" customHeight="1"/>
    <row r="3246" ht="12.75" customHeight="1">
      <c r="A3246" s="1" t="s">
        <v>362</v>
      </c>
    </row>
    <row r="3247" ht="12.75" customHeight="1">
      <c r="A3247" s="1" t="s">
        <v>1324</v>
      </c>
    </row>
    <row r="3248" ht="12.75" customHeight="1">
      <c r="A3248" s="1" t="s">
        <v>1325</v>
      </c>
    </row>
    <row r="3249" ht="12.75" customHeight="1"/>
    <row r="3250" ht="12.75" customHeight="1">
      <c r="A3250" s="1" t="s">
        <v>363</v>
      </c>
    </row>
    <row r="3251" ht="12.75" customHeight="1">
      <c r="A3251" s="1" t="s">
        <v>1324</v>
      </c>
    </row>
    <row r="3252" ht="12.75" customHeight="1">
      <c r="A3252" s="1" t="s">
        <v>1329</v>
      </c>
    </row>
    <row r="3253" ht="12.75" customHeight="1">
      <c r="A3253" s="1" t="s">
        <v>1288</v>
      </c>
    </row>
    <row r="3254" ht="12.75" customHeight="1">
      <c r="A3254" s="1" t="s">
        <v>1330</v>
      </c>
    </row>
    <row r="3255" ht="12.75" customHeight="1">
      <c r="A3255" s="1" t="s">
        <v>1331</v>
      </c>
    </row>
    <row r="3256" ht="12.75" customHeight="1"/>
    <row r="3257" ht="12.75" customHeight="1">
      <c r="A3257" s="1" t="s">
        <v>360</v>
      </c>
    </row>
    <row r="3258" ht="12.75" customHeight="1">
      <c r="A3258" s="1" t="s">
        <v>1332</v>
      </c>
    </row>
    <row r="3259" ht="12.75" customHeight="1">
      <c r="A3259" s="1" t="s">
        <v>1333</v>
      </c>
    </row>
    <row r="3260" ht="12.75" customHeight="1">
      <c r="A3260" s="1" t="s">
        <v>1334</v>
      </c>
    </row>
    <row r="3261" ht="12.75" customHeight="1">
      <c r="A3261" s="1" t="s">
        <v>1331</v>
      </c>
    </row>
    <row r="3262" ht="12.75" customHeight="1"/>
    <row r="3263" ht="12.75" customHeight="1">
      <c r="A3263" s="1" t="s">
        <v>361</v>
      </c>
    </row>
    <row r="3264" ht="12.75" customHeight="1">
      <c r="A3264" s="1" t="s">
        <v>1335</v>
      </c>
    </row>
    <row r="3265" ht="12.75" customHeight="1">
      <c r="A3265" s="1" t="s">
        <v>1336</v>
      </c>
    </row>
    <row r="3266" ht="12.75" customHeight="1"/>
    <row r="3267" ht="12.75" customHeight="1">
      <c r="A3267" s="1" t="s">
        <v>362</v>
      </c>
    </row>
    <row r="3268" ht="12.75" customHeight="1">
      <c r="A3268" s="1" t="s">
        <v>1332</v>
      </c>
    </row>
    <row r="3269" ht="12.75" customHeight="1">
      <c r="A3269" s="1" t="s">
        <v>1333</v>
      </c>
    </row>
    <row r="3270" ht="12.75" customHeight="1"/>
    <row r="3271" ht="12.75" customHeight="1">
      <c r="A3271" s="1" t="s">
        <v>363</v>
      </c>
    </row>
    <row r="3272" ht="12.75" customHeight="1">
      <c r="A3272" s="1" t="s">
        <v>1332</v>
      </c>
    </row>
    <row r="3273" ht="12.75" customHeight="1">
      <c r="A3273" s="1" t="s">
        <v>1337</v>
      </c>
    </row>
    <row r="3274" ht="12.75" customHeight="1">
      <c r="A3274" s="1" t="s">
        <v>1288</v>
      </c>
    </row>
    <row r="3275" ht="12.75" customHeight="1">
      <c r="A3275" s="1" t="s">
        <v>1338</v>
      </c>
    </row>
    <row r="3276" ht="12.75" customHeight="1">
      <c r="A3276" s="1" t="s">
        <v>1339</v>
      </c>
    </row>
    <row r="3277" ht="12.75" customHeight="1"/>
    <row r="3278" ht="12.75" customHeight="1">
      <c r="A3278" s="1" t="s">
        <v>360</v>
      </c>
    </row>
    <row r="3279" ht="12.75" customHeight="1">
      <c r="A3279" s="1" t="s">
        <v>1340</v>
      </c>
    </row>
    <row r="3280" ht="12.75" customHeight="1">
      <c r="A3280" s="1" t="s">
        <v>1341</v>
      </c>
    </row>
    <row r="3281" ht="12.75" customHeight="1">
      <c r="A3281" s="1" t="s">
        <v>1342</v>
      </c>
    </row>
    <row r="3282" ht="12.75" customHeight="1">
      <c r="A3282" s="1" t="s">
        <v>1339</v>
      </c>
    </row>
    <row r="3283" ht="12.75" customHeight="1"/>
    <row r="3284" ht="12.75" customHeight="1">
      <c r="A3284" s="1" t="s">
        <v>361</v>
      </c>
    </row>
    <row r="3285" ht="12.75" customHeight="1">
      <c r="A3285" s="1" t="s">
        <v>1343</v>
      </c>
    </row>
    <row r="3286" ht="12.75" customHeight="1">
      <c r="A3286" s="1" t="s">
        <v>1344</v>
      </c>
    </row>
    <row r="3287" ht="12.75" customHeight="1"/>
    <row r="3288" ht="12.75" customHeight="1">
      <c r="A3288" s="1" t="s">
        <v>362</v>
      </c>
    </row>
    <row r="3289" ht="12.75" customHeight="1">
      <c r="A3289" s="1" t="s">
        <v>1340</v>
      </c>
    </row>
    <row r="3290" ht="12.75" customHeight="1">
      <c r="A3290" s="1" t="s">
        <v>1341</v>
      </c>
    </row>
    <row r="3291" ht="12.75" customHeight="1"/>
    <row r="3292" ht="12.75" customHeight="1">
      <c r="A3292" s="1" t="s">
        <v>363</v>
      </c>
    </row>
    <row r="3293" ht="12.75" customHeight="1">
      <c r="A3293" s="1" t="s">
        <v>1340</v>
      </c>
    </row>
    <row r="3294" ht="12.75" customHeight="1">
      <c r="A3294" s="1" t="s">
        <v>1345</v>
      </c>
    </row>
    <row r="3295" ht="12.75" customHeight="1">
      <c r="A3295" s="1" t="s">
        <v>1288</v>
      </c>
    </row>
    <row r="3296" ht="12.75" customHeight="1">
      <c r="A3296" s="1" t="s">
        <v>1346</v>
      </c>
    </row>
    <row r="3297" ht="12.75" customHeight="1">
      <c r="A3297" s="1" t="s">
        <v>1347</v>
      </c>
    </row>
    <row r="3298" ht="12.75" customHeight="1"/>
    <row r="3299" ht="12.75" customHeight="1">
      <c r="A3299" s="1" t="s">
        <v>360</v>
      </c>
    </row>
    <row r="3300" ht="12.75" customHeight="1">
      <c r="A3300" s="1" t="s">
        <v>1348</v>
      </c>
    </row>
    <row r="3301" ht="12.75" customHeight="1">
      <c r="A3301" s="1" t="s">
        <v>1349</v>
      </c>
    </row>
    <row r="3302" ht="12.75" customHeight="1">
      <c r="A3302" s="1" t="s">
        <v>1350</v>
      </c>
    </row>
    <row r="3303" ht="12.75" customHeight="1">
      <c r="A3303" s="1" t="s">
        <v>1347</v>
      </c>
    </row>
    <row r="3304" ht="12.75" customHeight="1"/>
    <row r="3305" ht="12.75" customHeight="1">
      <c r="A3305" s="1" t="s">
        <v>361</v>
      </c>
    </row>
    <row r="3306" ht="12.75" customHeight="1">
      <c r="A3306" s="1" t="s">
        <v>1351</v>
      </c>
    </row>
    <row r="3307" ht="12.75" customHeight="1">
      <c r="A3307" s="1" t="s">
        <v>1352</v>
      </c>
    </row>
    <row r="3308" ht="12.75" customHeight="1"/>
    <row r="3309" ht="12.75" customHeight="1">
      <c r="A3309" s="1" t="s">
        <v>362</v>
      </c>
    </row>
    <row r="3310" ht="12.75" customHeight="1">
      <c r="A3310" s="1" t="s">
        <v>1348</v>
      </c>
    </row>
    <row r="3311" ht="12.75" customHeight="1">
      <c r="A3311" s="1" t="s">
        <v>1349</v>
      </c>
    </row>
    <row r="3312" ht="12.75" customHeight="1"/>
    <row r="3313" ht="12.75" customHeight="1">
      <c r="A3313" s="1" t="s">
        <v>363</v>
      </c>
    </row>
    <row r="3314" ht="12.75" customHeight="1">
      <c r="A3314" s="1" t="s">
        <v>1348</v>
      </c>
    </row>
    <row r="3315" ht="12.75" customHeight="1">
      <c r="A3315" s="1" t="s">
        <v>1353</v>
      </c>
    </row>
    <row r="3316" ht="12.75" customHeight="1">
      <c r="A3316" s="1" t="s">
        <v>1288</v>
      </c>
    </row>
    <row r="3317" ht="12.75" customHeight="1">
      <c r="A3317" s="1" t="s">
        <v>1354</v>
      </c>
    </row>
    <row r="3318" ht="12.75" customHeight="1">
      <c r="A3318" s="1" t="s">
        <v>1355</v>
      </c>
    </row>
    <row r="3319" ht="12.75" customHeight="1"/>
    <row r="3320" ht="12.75" customHeight="1">
      <c r="A3320" s="1" t="s">
        <v>360</v>
      </c>
    </row>
    <row r="3321" ht="12.75" customHeight="1">
      <c r="A3321" s="1" t="s">
        <v>1356</v>
      </c>
    </row>
    <row r="3322" ht="12.75" customHeight="1">
      <c r="A3322" s="1" t="s">
        <v>1357</v>
      </c>
    </row>
    <row r="3323" ht="12.75" customHeight="1">
      <c r="A3323" s="1" t="s">
        <v>1358</v>
      </c>
    </row>
    <row r="3324" ht="12.75" customHeight="1">
      <c r="A3324" s="1" t="s">
        <v>1355</v>
      </c>
    </row>
    <row r="3325" ht="12.75" customHeight="1"/>
    <row r="3326" ht="12.75" customHeight="1">
      <c r="A3326" s="1" t="s">
        <v>361</v>
      </c>
    </row>
    <row r="3327" ht="12.75" customHeight="1">
      <c r="A3327" s="1" t="s">
        <v>1359</v>
      </c>
    </row>
    <row r="3328" ht="12.75" customHeight="1">
      <c r="A3328" s="1" t="s">
        <v>1360</v>
      </c>
    </row>
    <row r="3329" ht="12.75" customHeight="1"/>
    <row r="3330" ht="12.75" customHeight="1">
      <c r="A3330" s="1" t="s">
        <v>362</v>
      </c>
    </row>
    <row r="3331" ht="12.75" customHeight="1">
      <c r="A3331" s="1" t="s">
        <v>1356</v>
      </c>
    </row>
    <row r="3332" ht="12.75" customHeight="1">
      <c r="A3332" s="1" t="s">
        <v>1357</v>
      </c>
    </row>
    <row r="3333" ht="12.75" customHeight="1"/>
    <row r="3334" ht="12.75" customHeight="1">
      <c r="A3334" s="1" t="s">
        <v>363</v>
      </c>
    </row>
    <row r="3335" ht="12.75" customHeight="1">
      <c r="A3335" s="1" t="s">
        <v>1356</v>
      </c>
    </row>
    <row r="3336" ht="12.75" customHeight="1">
      <c r="A3336" s="1" t="s">
        <v>1361</v>
      </c>
    </row>
  </sheetData>
  <printOptions/>
  <pageMargins bottom="1.025" footer="0.0" header="0.0" left="0.7875" right="0.7875" top="1.025"/>
  <pageSetup orientation="portrait"/>
  <headerFooter>
    <oddHeader>&amp;C&amp;A</oddHeader>
    <oddFooter>&amp;CPage 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2" width="11.63"/>
    <col customWidth="1" min="13" max="13" width="42.75"/>
    <col customWidth="1" min="14" max="14" width="11.63"/>
    <col customWidth="1" min="15" max="15" width="40.88"/>
    <col customWidth="1" min="16" max="26" width="11.63"/>
  </cols>
  <sheetData>
    <row r="1" ht="12.75" customHeight="1">
      <c r="A1" s="1" t="s">
        <v>1362</v>
      </c>
      <c r="B1" s="1" t="s">
        <v>1363</v>
      </c>
      <c r="C1" s="1" t="s">
        <v>1364</v>
      </c>
      <c r="D1" s="1" t="s">
        <v>1365</v>
      </c>
      <c r="E1" s="1" t="s">
        <v>1366</v>
      </c>
      <c r="F1" s="1" t="s">
        <v>1367</v>
      </c>
      <c r="G1" s="1" t="s">
        <v>1368</v>
      </c>
      <c r="N1" s="1" t="s">
        <v>1369</v>
      </c>
      <c r="O1" s="1" t="s">
        <v>1370</v>
      </c>
    </row>
    <row r="2" ht="12.75" customHeight="1">
      <c r="A2" s="1" t="s">
        <v>1371</v>
      </c>
      <c r="B2" s="1" t="s">
        <v>1372</v>
      </c>
      <c r="C2" s="1" t="str">
        <f t="shared" ref="C2:C133" si="1">B2&amp;A2</f>
        <v>1B02</v>
      </c>
      <c r="D2" s="1" t="s">
        <v>1373</v>
      </c>
      <c r="E2" s="1" t="s">
        <v>1374</v>
      </c>
      <c r="F2" s="1" t="s">
        <v>1374</v>
      </c>
      <c r="G2" s="1" t="s">
        <v>1374</v>
      </c>
      <c r="I2" s="1" t="str">
        <f t="shared" ref="I2:I133" si="2">IF(E2&lt;&gt;"&lt;null&gt;",E2,"")</f>
        <v/>
      </c>
      <c r="J2" s="1" t="str">
        <f t="shared" ref="J2:J133" si="3">IF(I2&lt;&gt;"",C2,"")</f>
        <v/>
      </c>
      <c r="L2" s="1" t="str">
        <f t="shared" ref="L2:L133" si="4">"0x"&amp;C2</f>
        <v>0x1B02</v>
      </c>
      <c r="M2" s="1" t="str">
        <f t="shared" ref="M2:M133" si="5">VLOOKUP(L2,$N$2:$O$426,2,)</f>
        <v>Seven Island Tanoby Runis Monean Chamber</v>
      </c>
      <c r="N2" s="1" t="s">
        <v>1375</v>
      </c>
      <c r="O2" s="1" t="s">
        <v>1376</v>
      </c>
    </row>
    <row r="3" ht="12.75" customHeight="1">
      <c r="A3" s="1" t="s">
        <v>1371</v>
      </c>
      <c r="B3" s="1" t="s">
        <v>1377</v>
      </c>
      <c r="C3" s="1" t="str">
        <f t="shared" si="1"/>
        <v>1C02</v>
      </c>
      <c r="D3" s="1" t="s">
        <v>1378</v>
      </c>
      <c r="E3" s="1" t="s">
        <v>1374</v>
      </c>
      <c r="F3" s="1" t="s">
        <v>1374</v>
      </c>
      <c r="G3" s="1" t="s">
        <v>1374</v>
      </c>
      <c r="I3" s="1" t="str">
        <f t="shared" si="2"/>
        <v/>
      </c>
      <c r="J3" s="1" t="str">
        <f t="shared" si="3"/>
        <v/>
      </c>
      <c r="L3" s="1" t="str">
        <f t="shared" si="4"/>
        <v>0x1C02</v>
      </c>
      <c r="M3" s="1" t="str">
        <f t="shared" si="5"/>
        <v>Seven Island Tanoby Runis Liptoo Chamber</v>
      </c>
      <c r="N3" s="1" t="s">
        <v>1379</v>
      </c>
      <c r="O3" s="1" t="s">
        <v>1380</v>
      </c>
    </row>
    <row r="4" ht="12.75" customHeight="1">
      <c r="A4" s="1" t="s">
        <v>1371</v>
      </c>
      <c r="B4" s="1" t="s">
        <v>1381</v>
      </c>
      <c r="C4" s="1" t="str">
        <f t="shared" si="1"/>
        <v>1D02</v>
      </c>
      <c r="D4" s="1" t="s">
        <v>1382</v>
      </c>
      <c r="E4" s="1" t="s">
        <v>1374</v>
      </c>
      <c r="F4" s="1" t="s">
        <v>1374</v>
      </c>
      <c r="G4" s="1" t="s">
        <v>1374</v>
      </c>
      <c r="I4" s="1" t="str">
        <f t="shared" si="2"/>
        <v/>
      </c>
      <c r="J4" s="1" t="str">
        <f t="shared" si="3"/>
        <v/>
      </c>
      <c r="L4" s="1" t="str">
        <f t="shared" si="4"/>
        <v>0x1D02</v>
      </c>
      <c r="M4" s="1" t="str">
        <f t="shared" si="5"/>
        <v>Seven Island Tanoby Runis Weepth Chamber</v>
      </c>
      <c r="N4" s="1" t="s">
        <v>1383</v>
      </c>
      <c r="O4" s="1" t="s">
        <v>1384</v>
      </c>
    </row>
    <row r="5" ht="12.75" customHeight="1">
      <c r="A5" s="1" t="s">
        <v>1371</v>
      </c>
      <c r="B5" s="1" t="s">
        <v>1385</v>
      </c>
      <c r="C5" s="1" t="str">
        <f t="shared" si="1"/>
        <v>1E02</v>
      </c>
      <c r="D5" s="1" t="s">
        <v>1386</v>
      </c>
      <c r="E5" s="1" t="s">
        <v>1374</v>
      </c>
      <c r="F5" s="1" t="s">
        <v>1374</v>
      </c>
      <c r="G5" s="1" t="s">
        <v>1374</v>
      </c>
      <c r="I5" s="1" t="str">
        <f t="shared" si="2"/>
        <v/>
      </c>
      <c r="J5" s="1" t="str">
        <f t="shared" si="3"/>
        <v/>
      </c>
      <c r="L5" s="1" t="str">
        <f t="shared" si="4"/>
        <v>0x1E02</v>
      </c>
      <c r="M5" s="1" t="str">
        <f t="shared" si="5"/>
        <v>Seven Island Tanoby Runis Dilford Chamber</v>
      </c>
      <c r="N5" s="1" t="s">
        <v>1387</v>
      </c>
      <c r="O5" s="1" t="s">
        <v>1388</v>
      </c>
    </row>
    <row r="6" ht="12.75" customHeight="1">
      <c r="A6" s="1" t="s">
        <v>1371</v>
      </c>
      <c r="B6" s="1" t="s">
        <v>1389</v>
      </c>
      <c r="C6" s="1" t="str">
        <f t="shared" si="1"/>
        <v>1F02</v>
      </c>
      <c r="D6" s="1" t="s">
        <v>1390</v>
      </c>
      <c r="E6" s="1" t="s">
        <v>1374</v>
      </c>
      <c r="F6" s="1" t="s">
        <v>1374</v>
      </c>
      <c r="G6" s="1" t="s">
        <v>1374</v>
      </c>
      <c r="I6" s="1" t="str">
        <f t="shared" si="2"/>
        <v/>
      </c>
      <c r="J6" s="1" t="str">
        <f t="shared" si="3"/>
        <v/>
      </c>
      <c r="L6" s="1" t="str">
        <f t="shared" si="4"/>
        <v>0x1F02</v>
      </c>
      <c r="M6" s="1" t="str">
        <f t="shared" si="5"/>
        <v>Seven Island Tanoby Runis Sufib Chamber</v>
      </c>
      <c r="N6" s="1" t="s">
        <v>1391</v>
      </c>
      <c r="O6" s="1" t="s">
        <v>1392</v>
      </c>
    </row>
    <row r="7" ht="12.75" customHeight="1">
      <c r="A7" s="1" t="s">
        <v>1371</v>
      </c>
      <c r="B7" s="1" t="s">
        <v>1393</v>
      </c>
      <c r="C7" s="1" t="str">
        <f t="shared" si="1"/>
        <v>2002</v>
      </c>
      <c r="D7" s="1" t="s">
        <v>1394</v>
      </c>
      <c r="E7" s="1" t="s">
        <v>1374</v>
      </c>
      <c r="F7" s="1" t="s">
        <v>1374</v>
      </c>
      <c r="G7" s="1" t="s">
        <v>1374</v>
      </c>
      <c r="I7" s="1" t="str">
        <f t="shared" si="2"/>
        <v/>
      </c>
      <c r="J7" s="1" t="str">
        <f t="shared" si="3"/>
        <v/>
      </c>
      <c r="L7" s="1" t="str">
        <f t="shared" si="4"/>
        <v>0x2002</v>
      </c>
      <c r="M7" s="1" t="str">
        <f t="shared" si="5"/>
        <v>Seven Island Tanoby Runis Rixy Chamber</v>
      </c>
      <c r="N7" s="1" t="s">
        <v>1395</v>
      </c>
      <c r="O7" s="1" t="s">
        <v>1396</v>
      </c>
    </row>
    <row r="8" ht="12.75" customHeight="1">
      <c r="A8" s="1" t="s">
        <v>1371</v>
      </c>
      <c r="B8" s="1" t="s">
        <v>1397</v>
      </c>
      <c r="C8" s="1" t="str">
        <f t="shared" si="1"/>
        <v>2102</v>
      </c>
      <c r="D8" s="1" t="s">
        <v>1398</v>
      </c>
      <c r="E8" s="1" t="s">
        <v>1374</v>
      </c>
      <c r="F8" s="1" t="s">
        <v>1374</v>
      </c>
      <c r="G8" s="1" t="s">
        <v>1374</v>
      </c>
      <c r="I8" s="1" t="str">
        <f t="shared" si="2"/>
        <v/>
      </c>
      <c r="J8" s="1" t="str">
        <f t="shared" si="3"/>
        <v/>
      </c>
      <c r="L8" s="1" t="str">
        <f t="shared" si="4"/>
        <v>0x2102</v>
      </c>
      <c r="M8" s="1" t="str">
        <f t="shared" si="5"/>
        <v>Seven Island Tanoby Runis Viapois Chamber</v>
      </c>
      <c r="N8" s="1" t="s">
        <v>1399</v>
      </c>
      <c r="O8" s="1" t="s">
        <v>1400</v>
      </c>
    </row>
    <row r="9" ht="12.75" customHeight="1">
      <c r="A9" s="1" t="s">
        <v>1401</v>
      </c>
      <c r="B9" s="1" t="s">
        <v>1402</v>
      </c>
      <c r="C9" s="1" t="str">
        <f t="shared" si="1"/>
        <v>0001</v>
      </c>
      <c r="D9" s="1" t="s">
        <v>1403</v>
      </c>
      <c r="E9" s="1" t="s">
        <v>1374</v>
      </c>
      <c r="F9" s="1" t="s">
        <v>1374</v>
      </c>
      <c r="G9" s="1" t="s">
        <v>1374</v>
      </c>
      <c r="I9" s="1" t="str">
        <f t="shared" si="2"/>
        <v/>
      </c>
      <c r="J9" s="1" t="str">
        <f t="shared" si="3"/>
        <v/>
      </c>
      <c r="L9" s="1" t="str">
        <f t="shared" si="4"/>
        <v>0x0001</v>
      </c>
      <c r="M9" s="1" t="str">
        <f t="shared" si="5"/>
        <v>Viridian Forest</v>
      </c>
      <c r="N9" s="1" t="s">
        <v>1404</v>
      </c>
      <c r="O9" s="1" t="s">
        <v>1405</v>
      </c>
    </row>
    <row r="10" ht="12.75" customHeight="1">
      <c r="A10" s="1" t="s">
        <v>1401</v>
      </c>
      <c r="B10" s="1" t="s">
        <v>1401</v>
      </c>
      <c r="C10" s="1" t="str">
        <f t="shared" si="1"/>
        <v>0101</v>
      </c>
      <c r="D10" s="1" t="s">
        <v>1406</v>
      </c>
      <c r="E10" s="1" t="s">
        <v>1374</v>
      </c>
      <c r="F10" s="1" t="s">
        <v>1374</v>
      </c>
      <c r="G10" s="1" t="s">
        <v>1374</v>
      </c>
      <c r="I10" s="1" t="str">
        <f t="shared" si="2"/>
        <v/>
      </c>
      <c r="J10" s="1" t="str">
        <f t="shared" si="3"/>
        <v/>
      </c>
      <c r="L10" s="1" t="str">
        <f t="shared" si="4"/>
        <v>0x0101</v>
      </c>
      <c r="M10" s="1" t="str">
        <f t="shared" si="5"/>
        <v>Mt Moon 1F</v>
      </c>
      <c r="N10" s="1" t="s">
        <v>1407</v>
      </c>
      <c r="O10" s="1" t="s">
        <v>1408</v>
      </c>
    </row>
    <row r="11" ht="12.75" customHeight="1">
      <c r="A11" s="1" t="s">
        <v>1401</v>
      </c>
      <c r="B11" s="1" t="s">
        <v>1371</v>
      </c>
      <c r="C11" s="1" t="str">
        <f t="shared" si="1"/>
        <v>0201</v>
      </c>
      <c r="D11" s="1" t="s">
        <v>1409</v>
      </c>
      <c r="E11" s="1" t="s">
        <v>1374</v>
      </c>
      <c r="F11" s="1" t="s">
        <v>1374</v>
      </c>
      <c r="G11" s="1" t="s">
        <v>1374</v>
      </c>
      <c r="I11" s="1" t="str">
        <f t="shared" si="2"/>
        <v/>
      </c>
      <c r="J11" s="1" t="str">
        <f t="shared" si="3"/>
        <v/>
      </c>
      <c r="L11" s="1" t="str">
        <f t="shared" si="4"/>
        <v>0x0201</v>
      </c>
      <c r="M11" s="1" t="str">
        <f t="shared" si="5"/>
        <v>Mt Moon B1F</v>
      </c>
      <c r="N11" s="1" t="s">
        <v>1410</v>
      </c>
      <c r="O11" s="1" t="s">
        <v>1411</v>
      </c>
    </row>
    <row r="12" ht="12.75" customHeight="1">
      <c r="A12" s="1" t="s">
        <v>1401</v>
      </c>
      <c r="B12" s="1" t="s">
        <v>1412</v>
      </c>
      <c r="C12" s="1" t="str">
        <f t="shared" si="1"/>
        <v>0301</v>
      </c>
      <c r="D12" s="1" t="s">
        <v>1413</v>
      </c>
      <c r="E12" s="1" t="s">
        <v>1374</v>
      </c>
      <c r="F12" s="1" t="s">
        <v>1374</v>
      </c>
      <c r="G12" s="1" t="s">
        <v>1374</v>
      </c>
      <c r="I12" s="1" t="str">
        <f t="shared" si="2"/>
        <v/>
      </c>
      <c r="J12" s="1" t="str">
        <f t="shared" si="3"/>
        <v/>
      </c>
      <c r="L12" s="1" t="str">
        <f t="shared" si="4"/>
        <v>0x0301</v>
      </c>
      <c r="M12" s="1" t="str">
        <f t="shared" si="5"/>
        <v>Mt Moon B2F</v>
      </c>
      <c r="N12" s="1" t="s">
        <v>1414</v>
      </c>
      <c r="O12" s="1" t="s">
        <v>1415</v>
      </c>
    </row>
    <row r="13" ht="12.75" customHeight="1">
      <c r="A13" s="1" t="s">
        <v>1401</v>
      </c>
      <c r="B13" s="1" t="s">
        <v>1416</v>
      </c>
      <c r="C13" s="1" t="str">
        <f t="shared" si="1"/>
        <v>0401</v>
      </c>
      <c r="D13" s="1" t="s">
        <v>1374</v>
      </c>
      <c r="E13" s="1" t="s">
        <v>1417</v>
      </c>
      <c r="F13" s="1" t="s">
        <v>1374</v>
      </c>
      <c r="G13" s="1" t="s">
        <v>1418</v>
      </c>
      <c r="I13" s="1" t="str">
        <f t="shared" si="2"/>
        <v>&lt;3CEDE4&gt;</v>
      </c>
      <c r="J13" s="1" t="str">
        <f t="shared" si="3"/>
        <v>0401</v>
      </c>
      <c r="L13" s="1" t="str">
        <f t="shared" si="4"/>
        <v>0x0401</v>
      </c>
      <c r="M13" s="1" t="str">
        <f t="shared" si="5"/>
        <v>S.S. Anne Exterior</v>
      </c>
      <c r="N13" s="1" t="s">
        <v>1419</v>
      </c>
      <c r="O13" s="1" t="s">
        <v>1420</v>
      </c>
    </row>
    <row r="14" ht="12.75" customHeight="1">
      <c r="A14" s="1" t="s">
        <v>1401</v>
      </c>
      <c r="B14" s="1" t="s">
        <v>1421</v>
      </c>
      <c r="C14" s="1" t="str">
        <f t="shared" si="1"/>
        <v>2501</v>
      </c>
      <c r="D14" s="1" t="s">
        <v>1422</v>
      </c>
      <c r="E14" s="1" t="s">
        <v>1374</v>
      </c>
      <c r="F14" s="1" t="s">
        <v>1374</v>
      </c>
      <c r="G14" s="1" t="s">
        <v>1374</v>
      </c>
      <c r="I14" s="1" t="str">
        <f t="shared" si="2"/>
        <v/>
      </c>
      <c r="J14" s="1" t="str">
        <f t="shared" si="3"/>
        <v/>
      </c>
      <c r="L14" s="1" t="str">
        <f t="shared" si="4"/>
        <v>0x2501</v>
      </c>
      <c r="M14" s="1" t="str">
        <f t="shared" si="5"/>
        <v>Diglett's Cave B1F</v>
      </c>
      <c r="N14" s="1" t="s">
        <v>1423</v>
      </c>
      <c r="O14" s="1" t="s">
        <v>1424</v>
      </c>
    </row>
    <row r="15" ht="12.75" customHeight="1">
      <c r="A15" s="1" t="s">
        <v>1401</v>
      </c>
      <c r="B15" s="1" t="s">
        <v>1425</v>
      </c>
      <c r="C15" s="1" t="str">
        <f t="shared" si="1"/>
        <v>2701</v>
      </c>
      <c r="D15" s="1" t="s">
        <v>1426</v>
      </c>
      <c r="E15" s="1" t="s">
        <v>1374</v>
      </c>
      <c r="F15" s="1" t="s">
        <v>1374</v>
      </c>
      <c r="G15" s="1" t="s">
        <v>1374</v>
      </c>
      <c r="I15" s="1" t="str">
        <f t="shared" si="2"/>
        <v/>
      </c>
      <c r="J15" s="1" t="str">
        <f t="shared" si="3"/>
        <v/>
      </c>
      <c r="L15" s="1" t="str">
        <f t="shared" si="4"/>
        <v>0x2701</v>
      </c>
      <c r="M15" s="1" t="str">
        <f t="shared" si="5"/>
        <v>Victory Road 1F</v>
      </c>
      <c r="N15" s="1" t="s">
        <v>1427</v>
      </c>
      <c r="O15" s="1" t="s">
        <v>1428</v>
      </c>
    </row>
    <row r="16" ht="12.75" customHeight="1">
      <c r="A16" s="1" t="s">
        <v>1401</v>
      </c>
      <c r="B16" s="1" t="s">
        <v>1429</v>
      </c>
      <c r="C16" s="1" t="str">
        <f t="shared" si="1"/>
        <v>2801</v>
      </c>
      <c r="D16" s="1" t="s">
        <v>1430</v>
      </c>
      <c r="E16" s="1" t="s">
        <v>1374</v>
      </c>
      <c r="F16" s="1" t="s">
        <v>1374</v>
      </c>
      <c r="G16" s="1" t="s">
        <v>1374</v>
      </c>
      <c r="I16" s="1" t="str">
        <f t="shared" si="2"/>
        <v/>
      </c>
      <c r="J16" s="1" t="str">
        <f t="shared" si="3"/>
        <v/>
      </c>
      <c r="L16" s="1" t="str">
        <f t="shared" si="4"/>
        <v>0x2801</v>
      </c>
      <c r="M16" s="1" t="str">
        <f t="shared" si="5"/>
        <v>Victory Road 2F</v>
      </c>
      <c r="N16" s="1" t="s">
        <v>1431</v>
      </c>
      <c r="O16" s="1" t="s">
        <v>1432</v>
      </c>
    </row>
    <row r="17" ht="12.75" customHeight="1">
      <c r="A17" s="1" t="s">
        <v>1401</v>
      </c>
      <c r="B17" s="1" t="s">
        <v>1433</v>
      </c>
      <c r="C17" s="1" t="str">
        <f t="shared" si="1"/>
        <v>2901</v>
      </c>
      <c r="D17" s="1" t="s">
        <v>1434</v>
      </c>
      <c r="E17" s="1" t="s">
        <v>1374</v>
      </c>
      <c r="F17" s="1" t="s">
        <v>1374</v>
      </c>
      <c r="G17" s="1" t="s">
        <v>1374</v>
      </c>
      <c r="I17" s="1" t="str">
        <f t="shared" si="2"/>
        <v/>
      </c>
      <c r="J17" s="1" t="str">
        <f t="shared" si="3"/>
        <v/>
      </c>
      <c r="L17" s="1" t="str">
        <f t="shared" si="4"/>
        <v>0x2901</v>
      </c>
      <c r="M17" s="1" t="str">
        <f t="shared" si="5"/>
        <v>Victory Road 3F</v>
      </c>
      <c r="N17" s="1" t="s">
        <v>1435</v>
      </c>
      <c r="O17" s="1" t="s">
        <v>1436</v>
      </c>
    </row>
    <row r="18" ht="12.75" customHeight="1">
      <c r="A18" s="1" t="s">
        <v>1401</v>
      </c>
      <c r="B18" s="1" t="s">
        <v>1437</v>
      </c>
      <c r="C18" s="1" t="str">
        <f t="shared" si="1"/>
        <v>3B01</v>
      </c>
      <c r="D18" s="1" t="s">
        <v>1438</v>
      </c>
      <c r="E18" s="1" t="s">
        <v>1374</v>
      </c>
      <c r="F18" s="1" t="s">
        <v>1374</v>
      </c>
      <c r="G18" s="1" t="s">
        <v>1374</v>
      </c>
      <c r="I18" s="1" t="str">
        <f t="shared" si="2"/>
        <v/>
      </c>
      <c r="J18" s="1" t="str">
        <f t="shared" si="3"/>
        <v/>
      </c>
      <c r="L18" s="1" t="str">
        <f t="shared" si="4"/>
        <v>0x3B01</v>
      </c>
      <c r="M18" s="1" t="str">
        <f t="shared" si="5"/>
        <v>Pokémon Mansion 1F</v>
      </c>
      <c r="N18" s="1" t="s">
        <v>1439</v>
      </c>
      <c r="O18" s="1" t="s">
        <v>1440</v>
      </c>
    </row>
    <row r="19" ht="12.75" customHeight="1">
      <c r="A19" s="1" t="s">
        <v>1401</v>
      </c>
      <c r="B19" s="1" t="s">
        <v>1441</v>
      </c>
      <c r="C19" s="1" t="str">
        <f t="shared" si="1"/>
        <v>3C01</v>
      </c>
      <c r="D19" s="1" t="s">
        <v>1442</v>
      </c>
      <c r="E19" s="1" t="s">
        <v>1374</v>
      </c>
      <c r="F19" s="1" t="s">
        <v>1374</v>
      </c>
      <c r="G19" s="1" t="s">
        <v>1374</v>
      </c>
      <c r="I19" s="1" t="str">
        <f t="shared" si="2"/>
        <v/>
      </c>
      <c r="J19" s="1" t="str">
        <f t="shared" si="3"/>
        <v/>
      </c>
      <c r="L19" s="1" t="str">
        <f t="shared" si="4"/>
        <v>0x3C01</v>
      </c>
      <c r="M19" s="1" t="str">
        <f t="shared" si="5"/>
        <v>Pokémon Mansion 2F</v>
      </c>
      <c r="N19" s="1" t="s">
        <v>1443</v>
      </c>
      <c r="O19" s="1" t="s">
        <v>1444</v>
      </c>
    </row>
    <row r="20" ht="12.75" customHeight="1">
      <c r="A20" s="1" t="s">
        <v>1401</v>
      </c>
      <c r="B20" s="1" t="s">
        <v>1445</v>
      </c>
      <c r="C20" s="1" t="str">
        <f t="shared" si="1"/>
        <v>3D01</v>
      </c>
      <c r="D20" s="1" t="s">
        <v>1446</v>
      </c>
      <c r="E20" s="1" t="s">
        <v>1374</v>
      </c>
      <c r="F20" s="1" t="s">
        <v>1374</v>
      </c>
      <c r="G20" s="1" t="s">
        <v>1374</v>
      </c>
      <c r="I20" s="1" t="str">
        <f t="shared" si="2"/>
        <v/>
      </c>
      <c r="J20" s="1" t="str">
        <f t="shared" si="3"/>
        <v/>
      </c>
      <c r="L20" s="1" t="str">
        <f t="shared" si="4"/>
        <v>0x3D01</v>
      </c>
      <c r="M20" s="1" t="str">
        <f t="shared" si="5"/>
        <v>Pokémon Mansion 3F</v>
      </c>
      <c r="N20" s="1" t="s">
        <v>1447</v>
      </c>
      <c r="O20" s="1" t="s">
        <v>1448</v>
      </c>
    </row>
    <row r="21" ht="12.75" customHeight="1">
      <c r="A21" s="1" t="s">
        <v>1401</v>
      </c>
      <c r="B21" s="1" t="s">
        <v>1449</v>
      </c>
      <c r="C21" s="1" t="str">
        <f t="shared" si="1"/>
        <v>3E01</v>
      </c>
      <c r="D21" s="1" t="s">
        <v>1450</v>
      </c>
      <c r="E21" s="1" t="s">
        <v>1374</v>
      </c>
      <c r="F21" s="1" t="s">
        <v>1374</v>
      </c>
      <c r="G21" s="1" t="s">
        <v>1374</v>
      </c>
      <c r="I21" s="1" t="str">
        <f t="shared" si="2"/>
        <v/>
      </c>
      <c r="J21" s="1" t="str">
        <f t="shared" si="3"/>
        <v/>
      </c>
      <c r="L21" s="1" t="str">
        <f t="shared" si="4"/>
        <v>0x3E01</v>
      </c>
      <c r="M21" s="1" t="str">
        <f t="shared" si="5"/>
        <v>Pokémon Mansion B1F</v>
      </c>
      <c r="N21" s="1" t="s">
        <v>1451</v>
      </c>
      <c r="O21" s="1" t="s">
        <v>1452</v>
      </c>
    </row>
    <row r="22" ht="12.75" customHeight="1">
      <c r="A22" s="1" t="s">
        <v>1401</v>
      </c>
      <c r="B22" s="1" t="s">
        <v>1453</v>
      </c>
      <c r="C22" s="1" t="str">
        <f t="shared" si="1"/>
        <v>3F01</v>
      </c>
      <c r="D22" s="1" t="s">
        <v>1454</v>
      </c>
      <c r="E22" s="1" t="s">
        <v>1455</v>
      </c>
      <c r="F22" s="1" t="s">
        <v>1374</v>
      </c>
      <c r="G22" s="1" t="s">
        <v>1456</v>
      </c>
      <c r="I22" s="1" t="str">
        <f t="shared" si="2"/>
        <v>&lt;3CF028&gt;</v>
      </c>
      <c r="J22" s="1" t="str">
        <f t="shared" si="3"/>
        <v>3F01</v>
      </c>
      <c r="L22" s="1" t="str">
        <f t="shared" si="4"/>
        <v>0x3F01</v>
      </c>
      <c r="M22" s="1" t="str">
        <f t="shared" si="5"/>
        <v>Safari Zone Center</v>
      </c>
      <c r="N22" s="1" t="s">
        <v>1457</v>
      </c>
      <c r="O22" s="1" t="s">
        <v>1458</v>
      </c>
    </row>
    <row r="23" ht="12.75" customHeight="1">
      <c r="A23" s="1" t="s">
        <v>1401</v>
      </c>
      <c r="B23" s="1" t="s">
        <v>1459</v>
      </c>
      <c r="C23" s="1" t="str">
        <f t="shared" si="1"/>
        <v>4001</v>
      </c>
      <c r="D23" s="1" t="s">
        <v>1460</v>
      </c>
      <c r="E23" s="1" t="s">
        <v>1461</v>
      </c>
      <c r="F23" s="1" t="s">
        <v>1374</v>
      </c>
      <c r="G23" s="1" t="s">
        <v>1462</v>
      </c>
      <c r="I23" s="1" t="str">
        <f t="shared" si="2"/>
        <v>&lt;3CF0AC&gt;</v>
      </c>
      <c r="J23" s="1" t="str">
        <f t="shared" si="3"/>
        <v>4001</v>
      </c>
      <c r="L23" s="1" t="str">
        <f t="shared" si="4"/>
        <v>0x4001</v>
      </c>
      <c r="M23" s="1" t="str">
        <f t="shared" si="5"/>
        <v>Safari Zone East</v>
      </c>
      <c r="N23" s="1" t="s">
        <v>1463</v>
      </c>
      <c r="O23" s="1" t="s">
        <v>1464</v>
      </c>
    </row>
    <row r="24" ht="12.75" customHeight="1">
      <c r="A24" s="1" t="s">
        <v>1401</v>
      </c>
      <c r="B24" s="1" t="s">
        <v>1465</v>
      </c>
      <c r="C24" s="1" t="str">
        <f t="shared" si="1"/>
        <v>4101</v>
      </c>
      <c r="D24" s="1" t="s">
        <v>1466</v>
      </c>
      <c r="E24" s="1" t="s">
        <v>1467</v>
      </c>
      <c r="F24" s="1" t="s">
        <v>1374</v>
      </c>
      <c r="G24" s="1" t="s">
        <v>1468</v>
      </c>
      <c r="I24" s="1" t="str">
        <f t="shared" si="2"/>
        <v>&lt;3CF130&gt;</v>
      </c>
      <c r="J24" s="1" t="str">
        <f t="shared" si="3"/>
        <v>4101</v>
      </c>
      <c r="L24" s="1" t="str">
        <f t="shared" si="4"/>
        <v>0x4101</v>
      </c>
      <c r="M24" s="1" t="str">
        <f t="shared" si="5"/>
        <v>Safari Zone North</v>
      </c>
      <c r="N24" s="1" t="s">
        <v>1469</v>
      </c>
      <c r="O24" s="1" t="s">
        <v>1470</v>
      </c>
    </row>
    <row r="25" ht="12.75" customHeight="1">
      <c r="A25" s="1" t="s">
        <v>1401</v>
      </c>
      <c r="B25" s="1" t="s">
        <v>1471</v>
      </c>
      <c r="C25" s="1" t="str">
        <f t="shared" si="1"/>
        <v>4201</v>
      </c>
      <c r="D25" s="1" t="s">
        <v>1472</v>
      </c>
      <c r="E25" s="1" t="s">
        <v>1473</v>
      </c>
      <c r="F25" s="1" t="s">
        <v>1374</v>
      </c>
      <c r="G25" s="1" t="s">
        <v>1474</v>
      </c>
      <c r="I25" s="1" t="str">
        <f t="shared" si="2"/>
        <v>&lt;3CF1B4&gt;</v>
      </c>
      <c r="J25" s="1" t="str">
        <f t="shared" si="3"/>
        <v>4201</v>
      </c>
      <c r="L25" s="1" t="str">
        <f t="shared" si="4"/>
        <v>0x4201</v>
      </c>
      <c r="M25" s="1" t="str">
        <f t="shared" si="5"/>
        <v>Safari Zone West</v>
      </c>
      <c r="N25" s="1" t="s">
        <v>1475</v>
      </c>
      <c r="O25" s="1" t="s">
        <v>1476</v>
      </c>
    </row>
    <row r="26" ht="12.75" customHeight="1">
      <c r="A26" s="1" t="s">
        <v>1401</v>
      </c>
      <c r="B26" s="1" t="s">
        <v>1477</v>
      </c>
      <c r="C26" s="1" t="str">
        <f t="shared" si="1"/>
        <v>4801</v>
      </c>
      <c r="D26" s="1" t="s">
        <v>1478</v>
      </c>
      <c r="E26" s="1" t="s">
        <v>1479</v>
      </c>
      <c r="F26" s="1" t="s">
        <v>1374</v>
      </c>
      <c r="G26" s="1" t="s">
        <v>1480</v>
      </c>
      <c r="I26" s="1" t="str">
        <f t="shared" si="2"/>
        <v>&lt;3CF238&gt;</v>
      </c>
      <c r="J26" s="1" t="str">
        <f t="shared" si="3"/>
        <v>4801</v>
      </c>
      <c r="L26" s="1" t="str">
        <f t="shared" si="4"/>
        <v>0x4801</v>
      </c>
      <c r="M26" s="1" t="str">
        <f t="shared" si="5"/>
        <v>Cerulean Cave 1F</v>
      </c>
      <c r="N26" s="1" t="s">
        <v>1481</v>
      </c>
      <c r="O26" s="1" t="s">
        <v>1482</v>
      </c>
    </row>
    <row r="27" ht="12.75" customHeight="1">
      <c r="A27" s="1" t="s">
        <v>1401</v>
      </c>
      <c r="B27" s="1" t="s">
        <v>1483</v>
      </c>
      <c r="C27" s="1" t="str">
        <f t="shared" si="1"/>
        <v>4901</v>
      </c>
      <c r="D27" s="1" t="s">
        <v>1484</v>
      </c>
      <c r="E27" s="1" t="s">
        <v>1374</v>
      </c>
      <c r="F27" s="1" t="s">
        <v>1374</v>
      </c>
      <c r="G27" s="1" t="s">
        <v>1374</v>
      </c>
      <c r="I27" s="1" t="str">
        <f t="shared" si="2"/>
        <v/>
      </c>
      <c r="J27" s="1" t="str">
        <f t="shared" si="3"/>
        <v/>
      </c>
      <c r="L27" s="1" t="str">
        <f t="shared" si="4"/>
        <v>0x4901</v>
      </c>
      <c r="M27" s="1" t="str">
        <f t="shared" si="5"/>
        <v>Cerulean Cave 2F</v>
      </c>
      <c r="N27" s="1" t="s">
        <v>1485</v>
      </c>
      <c r="O27" s="1" t="s">
        <v>1486</v>
      </c>
    </row>
    <row r="28" ht="12.75" customHeight="1">
      <c r="A28" s="1" t="s">
        <v>1401</v>
      </c>
      <c r="B28" s="1" t="s">
        <v>1487</v>
      </c>
      <c r="C28" s="1" t="str">
        <f t="shared" si="1"/>
        <v>4A01</v>
      </c>
      <c r="D28" s="1" t="s">
        <v>1488</v>
      </c>
      <c r="E28" s="1" t="s">
        <v>1489</v>
      </c>
      <c r="F28" s="1" t="s">
        <v>1374</v>
      </c>
      <c r="G28" s="1" t="s">
        <v>1490</v>
      </c>
      <c r="I28" s="1" t="str">
        <f t="shared" si="2"/>
        <v>&lt;3CF2F4&gt;</v>
      </c>
      <c r="J28" s="1" t="str">
        <f t="shared" si="3"/>
        <v>4A01</v>
      </c>
      <c r="L28" s="1" t="str">
        <f t="shared" si="4"/>
        <v>0x4A01</v>
      </c>
      <c r="M28" s="1" t="str">
        <f t="shared" si="5"/>
        <v>Cerulean Cave B1F</v>
      </c>
      <c r="N28" s="1" t="s">
        <v>1491</v>
      </c>
      <c r="O28" s="1" t="s">
        <v>1492</v>
      </c>
    </row>
    <row r="29" ht="12.75" customHeight="1">
      <c r="A29" s="1" t="s">
        <v>1401</v>
      </c>
      <c r="B29" s="1" t="s">
        <v>1493</v>
      </c>
      <c r="C29" s="1" t="str">
        <f t="shared" si="1"/>
        <v>5101</v>
      </c>
      <c r="D29" s="1" t="s">
        <v>1494</v>
      </c>
      <c r="E29" s="1" t="s">
        <v>1374</v>
      </c>
      <c r="F29" s="1" t="s">
        <v>1374</v>
      </c>
      <c r="G29" s="1" t="s">
        <v>1374</v>
      </c>
      <c r="I29" s="1" t="str">
        <f t="shared" si="2"/>
        <v/>
      </c>
      <c r="J29" s="1" t="str">
        <f t="shared" si="3"/>
        <v/>
      </c>
      <c r="L29" s="1" t="str">
        <f t="shared" si="4"/>
        <v>0x5101</v>
      </c>
      <c r="M29" s="1" t="str">
        <f t="shared" si="5"/>
        <v>Rock Tunnel 1F</v>
      </c>
      <c r="N29" s="1" t="s">
        <v>1495</v>
      </c>
      <c r="O29" s="1" t="s">
        <v>1496</v>
      </c>
    </row>
    <row r="30" ht="12.75" customHeight="1">
      <c r="A30" s="1" t="s">
        <v>1401</v>
      </c>
      <c r="B30" s="1" t="s">
        <v>1497</v>
      </c>
      <c r="C30" s="1" t="str">
        <f t="shared" si="1"/>
        <v>5201</v>
      </c>
      <c r="D30" s="1" t="s">
        <v>1498</v>
      </c>
      <c r="E30" s="1" t="s">
        <v>1374</v>
      </c>
      <c r="F30" s="1" t="s">
        <v>1499</v>
      </c>
      <c r="G30" s="1" t="s">
        <v>1374</v>
      </c>
      <c r="I30" s="1" t="str">
        <f t="shared" si="2"/>
        <v/>
      </c>
      <c r="J30" s="1" t="str">
        <f t="shared" si="3"/>
        <v/>
      </c>
      <c r="L30" s="1" t="str">
        <f t="shared" si="4"/>
        <v>0x5201</v>
      </c>
      <c r="M30" s="1" t="str">
        <f t="shared" si="5"/>
        <v>Rock Tunnel B1F</v>
      </c>
      <c r="N30" s="1" t="s">
        <v>1500</v>
      </c>
      <c r="O30" s="1" t="s">
        <v>1501</v>
      </c>
    </row>
    <row r="31" ht="12.75" customHeight="1">
      <c r="A31" s="1" t="s">
        <v>1401</v>
      </c>
      <c r="B31" s="1" t="s">
        <v>1502</v>
      </c>
      <c r="C31" s="1" t="str">
        <f t="shared" si="1"/>
        <v>5301</v>
      </c>
      <c r="D31" s="1" t="s">
        <v>1503</v>
      </c>
      <c r="E31" s="1" t="s">
        <v>1374</v>
      </c>
      <c r="F31" s="1" t="s">
        <v>1374</v>
      </c>
      <c r="G31" s="1" t="s">
        <v>1374</v>
      </c>
      <c r="I31" s="1" t="str">
        <f t="shared" si="2"/>
        <v/>
      </c>
      <c r="J31" s="1" t="str">
        <f t="shared" si="3"/>
        <v/>
      </c>
      <c r="L31" s="1" t="str">
        <f t="shared" si="4"/>
        <v>0x5301</v>
      </c>
      <c r="M31" s="1" t="str">
        <f t="shared" si="5"/>
        <v>Seafoam Islands 1F</v>
      </c>
      <c r="N31" s="1" t="s">
        <v>1504</v>
      </c>
      <c r="O31" s="1" t="s">
        <v>1505</v>
      </c>
    </row>
    <row r="32" ht="12.75" customHeight="1">
      <c r="A32" s="1" t="s">
        <v>1401</v>
      </c>
      <c r="B32" s="1" t="s">
        <v>1506</v>
      </c>
      <c r="C32" s="1" t="str">
        <f t="shared" si="1"/>
        <v>5401</v>
      </c>
      <c r="D32" s="1" t="s">
        <v>1507</v>
      </c>
      <c r="E32" s="1" t="s">
        <v>1374</v>
      </c>
      <c r="F32" s="1" t="s">
        <v>1374</v>
      </c>
      <c r="G32" s="1" t="s">
        <v>1374</v>
      </c>
      <c r="I32" s="1" t="str">
        <f t="shared" si="2"/>
        <v/>
      </c>
      <c r="J32" s="1" t="str">
        <f t="shared" si="3"/>
        <v/>
      </c>
      <c r="L32" s="1" t="str">
        <f t="shared" si="4"/>
        <v>0x5401</v>
      </c>
      <c r="M32" s="1" t="str">
        <f t="shared" si="5"/>
        <v>Seafoam Islands B1F</v>
      </c>
      <c r="N32" s="1" t="s">
        <v>1508</v>
      </c>
      <c r="O32" s="1" t="s">
        <v>1509</v>
      </c>
    </row>
    <row r="33" ht="12.75" customHeight="1">
      <c r="A33" s="1" t="s">
        <v>1401</v>
      </c>
      <c r="B33" s="1" t="s">
        <v>1510</v>
      </c>
      <c r="C33" s="1" t="str">
        <f t="shared" si="1"/>
        <v>5501</v>
      </c>
      <c r="D33" s="1" t="s">
        <v>1511</v>
      </c>
      <c r="E33" s="1" t="s">
        <v>1374</v>
      </c>
      <c r="F33" s="1" t="s">
        <v>1374</v>
      </c>
      <c r="G33" s="1" t="s">
        <v>1374</v>
      </c>
      <c r="I33" s="1" t="str">
        <f t="shared" si="2"/>
        <v/>
      </c>
      <c r="J33" s="1" t="str">
        <f t="shared" si="3"/>
        <v/>
      </c>
      <c r="L33" s="1" t="str">
        <f t="shared" si="4"/>
        <v>0x5501</v>
      </c>
      <c r="M33" s="1" t="str">
        <f t="shared" si="5"/>
        <v>Seafoam Islands B2F</v>
      </c>
      <c r="N33" s="1" t="s">
        <v>1512</v>
      </c>
      <c r="O33" s="1" t="s">
        <v>1513</v>
      </c>
    </row>
    <row r="34" ht="12.75" customHeight="1">
      <c r="A34" s="1" t="s">
        <v>1401</v>
      </c>
      <c r="B34" s="1" t="s">
        <v>1514</v>
      </c>
      <c r="C34" s="1" t="str">
        <f t="shared" si="1"/>
        <v>5601</v>
      </c>
      <c r="D34" s="1" t="s">
        <v>1515</v>
      </c>
      <c r="E34" s="1" t="s">
        <v>1516</v>
      </c>
      <c r="F34" s="1" t="s">
        <v>1374</v>
      </c>
      <c r="G34" s="1" t="s">
        <v>1517</v>
      </c>
      <c r="I34" s="1" t="str">
        <f t="shared" si="2"/>
        <v>&lt;3CF4AC&gt;</v>
      </c>
      <c r="J34" s="1" t="str">
        <f t="shared" si="3"/>
        <v>5601</v>
      </c>
      <c r="L34" s="1" t="str">
        <f t="shared" si="4"/>
        <v>0x5601</v>
      </c>
      <c r="M34" s="1" t="str">
        <f t="shared" si="5"/>
        <v>Seafoam Islands B3F</v>
      </c>
      <c r="N34" s="1" t="s">
        <v>1518</v>
      </c>
      <c r="O34" s="1" t="s">
        <v>1519</v>
      </c>
    </row>
    <row r="35" ht="12.75" customHeight="1">
      <c r="A35" s="1" t="s">
        <v>1401</v>
      </c>
      <c r="B35" s="1" t="s">
        <v>1520</v>
      </c>
      <c r="C35" s="1" t="str">
        <f t="shared" si="1"/>
        <v>5701</v>
      </c>
      <c r="D35" s="1" t="s">
        <v>1521</v>
      </c>
      <c r="E35" s="1" t="s">
        <v>1522</v>
      </c>
      <c r="F35" s="1" t="s">
        <v>1374</v>
      </c>
      <c r="G35" s="1" t="s">
        <v>1523</v>
      </c>
      <c r="I35" s="1" t="str">
        <f t="shared" si="2"/>
        <v>&lt;3CF530&gt;</v>
      </c>
      <c r="J35" s="1" t="str">
        <f t="shared" si="3"/>
        <v>5701</v>
      </c>
      <c r="L35" s="1" t="str">
        <f t="shared" si="4"/>
        <v>0x5701</v>
      </c>
      <c r="M35" s="1" t="str">
        <f t="shared" si="5"/>
        <v>Seafoam Islands B4F</v>
      </c>
      <c r="N35" s="1" t="s">
        <v>1524</v>
      </c>
      <c r="O35" s="1" t="s">
        <v>1525</v>
      </c>
    </row>
    <row r="36" ht="12.75" customHeight="1">
      <c r="A36" s="1" t="s">
        <v>1401</v>
      </c>
      <c r="B36" s="1" t="s">
        <v>1526</v>
      </c>
      <c r="C36" s="1" t="str">
        <f t="shared" si="1"/>
        <v>5A01</v>
      </c>
      <c r="D36" s="1" t="s">
        <v>1527</v>
      </c>
      <c r="E36" s="1" t="s">
        <v>1374</v>
      </c>
      <c r="F36" s="1" t="s">
        <v>1374</v>
      </c>
      <c r="G36" s="1" t="s">
        <v>1374</v>
      </c>
      <c r="I36" s="1" t="str">
        <f t="shared" si="2"/>
        <v/>
      </c>
      <c r="J36" s="1" t="str">
        <f t="shared" si="3"/>
        <v/>
      </c>
      <c r="L36" s="1" t="str">
        <f t="shared" si="4"/>
        <v>0x5A01</v>
      </c>
      <c r="M36" s="1" t="str">
        <f t="shared" si="5"/>
        <v>Pokémon Tower 3F</v>
      </c>
      <c r="N36" s="1" t="s">
        <v>1528</v>
      </c>
      <c r="O36" s="1" t="s">
        <v>1529</v>
      </c>
    </row>
    <row r="37" ht="12.75" customHeight="1">
      <c r="A37" s="1" t="s">
        <v>1401</v>
      </c>
      <c r="B37" s="1" t="s">
        <v>1530</v>
      </c>
      <c r="C37" s="1" t="str">
        <f t="shared" si="1"/>
        <v>5B01</v>
      </c>
      <c r="D37" s="1" t="s">
        <v>1531</v>
      </c>
      <c r="E37" s="1" t="s">
        <v>1374</v>
      </c>
      <c r="F37" s="1" t="s">
        <v>1374</v>
      </c>
      <c r="G37" s="1" t="s">
        <v>1374</v>
      </c>
      <c r="I37" s="1" t="str">
        <f t="shared" si="2"/>
        <v/>
      </c>
      <c r="J37" s="1" t="str">
        <f t="shared" si="3"/>
        <v/>
      </c>
      <c r="L37" s="1" t="str">
        <f t="shared" si="4"/>
        <v>0x5B01</v>
      </c>
      <c r="M37" s="1" t="str">
        <f t="shared" si="5"/>
        <v>Pokémon Tower 4F</v>
      </c>
      <c r="N37" s="1" t="s">
        <v>1532</v>
      </c>
      <c r="O37" s="1" t="s">
        <v>1533</v>
      </c>
    </row>
    <row r="38" ht="12.75" customHeight="1">
      <c r="A38" s="1" t="s">
        <v>1401</v>
      </c>
      <c r="B38" s="1" t="s">
        <v>1534</v>
      </c>
      <c r="C38" s="1" t="str">
        <f t="shared" si="1"/>
        <v>5C01</v>
      </c>
      <c r="D38" s="1" t="s">
        <v>1535</v>
      </c>
      <c r="E38" s="1" t="s">
        <v>1374</v>
      </c>
      <c r="F38" s="1" t="s">
        <v>1374</v>
      </c>
      <c r="G38" s="1" t="s">
        <v>1374</v>
      </c>
      <c r="I38" s="1" t="str">
        <f t="shared" si="2"/>
        <v/>
      </c>
      <c r="J38" s="1" t="str">
        <f t="shared" si="3"/>
        <v/>
      </c>
      <c r="L38" s="1" t="str">
        <f t="shared" si="4"/>
        <v>0x5C01</v>
      </c>
      <c r="M38" s="1" t="str">
        <f t="shared" si="5"/>
        <v>Pokémon Tower 5F</v>
      </c>
      <c r="N38" s="1" t="s">
        <v>1536</v>
      </c>
      <c r="O38" s="1" t="s">
        <v>1537</v>
      </c>
    </row>
    <row r="39" ht="12.75" customHeight="1">
      <c r="A39" s="1" t="s">
        <v>1401</v>
      </c>
      <c r="B39" s="1" t="s">
        <v>1538</v>
      </c>
      <c r="C39" s="1" t="str">
        <f t="shared" si="1"/>
        <v>5D01</v>
      </c>
      <c r="D39" s="1" t="s">
        <v>1539</v>
      </c>
      <c r="E39" s="1" t="s">
        <v>1374</v>
      </c>
      <c r="F39" s="1" t="s">
        <v>1374</v>
      </c>
      <c r="G39" s="1" t="s">
        <v>1374</v>
      </c>
      <c r="I39" s="1" t="str">
        <f t="shared" si="2"/>
        <v/>
      </c>
      <c r="J39" s="1" t="str">
        <f t="shared" si="3"/>
        <v/>
      </c>
      <c r="L39" s="1" t="str">
        <f t="shared" si="4"/>
        <v>0x5D01</v>
      </c>
      <c r="M39" s="1" t="str">
        <f t="shared" si="5"/>
        <v>Pokémon Tower 6F</v>
      </c>
      <c r="N39" s="1" t="s">
        <v>1540</v>
      </c>
      <c r="O39" s="1" t="s">
        <v>1541</v>
      </c>
    </row>
    <row r="40" ht="12.75" customHeight="1">
      <c r="A40" s="1" t="s">
        <v>1401</v>
      </c>
      <c r="B40" s="1" t="s">
        <v>1542</v>
      </c>
      <c r="C40" s="1" t="str">
        <f t="shared" si="1"/>
        <v>5E01</v>
      </c>
      <c r="D40" s="1" t="s">
        <v>1543</v>
      </c>
      <c r="E40" s="1" t="s">
        <v>1374</v>
      </c>
      <c r="F40" s="1" t="s">
        <v>1374</v>
      </c>
      <c r="G40" s="1" t="s">
        <v>1374</v>
      </c>
      <c r="I40" s="1" t="str">
        <f t="shared" si="2"/>
        <v/>
      </c>
      <c r="J40" s="1" t="str">
        <f t="shared" si="3"/>
        <v/>
      </c>
      <c r="L40" s="1" t="str">
        <f t="shared" si="4"/>
        <v>0x5E01</v>
      </c>
      <c r="M40" s="1" t="str">
        <f t="shared" si="5"/>
        <v>Pokémon Tower 7F</v>
      </c>
      <c r="N40" s="1" t="s">
        <v>1544</v>
      </c>
      <c r="O40" s="1" t="s">
        <v>1545</v>
      </c>
    </row>
    <row r="41" ht="12.75" customHeight="1">
      <c r="A41" s="1" t="s">
        <v>1401</v>
      </c>
      <c r="B41" s="1" t="s">
        <v>1546</v>
      </c>
      <c r="C41" s="1" t="str">
        <f t="shared" si="1"/>
        <v>5F01</v>
      </c>
      <c r="D41" s="1" t="s">
        <v>1547</v>
      </c>
      <c r="E41" s="1" t="s">
        <v>1374</v>
      </c>
      <c r="F41" s="1" t="s">
        <v>1374</v>
      </c>
      <c r="G41" s="1" t="s">
        <v>1374</v>
      </c>
      <c r="I41" s="1" t="str">
        <f t="shared" si="2"/>
        <v/>
      </c>
      <c r="J41" s="1" t="str">
        <f t="shared" si="3"/>
        <v/>
      </c>
      <c r="L41" s="1" t="str">
        <f t="shared" si="4"/>
        <v>0x5F01</v>
      </c>
      <c r="M41" s="1" t="str">
        <f t="shared" si="5"/>
        <v>Power Plant</v>
      </c>
      <c r="N41" s="1" t="s">
        <v>1548</v>
      </c>
      <c r="O41" s="1" t="s">
        <v>1549</v>
      </c>
    </row>
    <row r="42" ht="12.75" customHeight="1">
      <c r="A42" s="1" t="s">
        <v>1401</v>
      </c>
      <c r="B42" s="1" t="s">
        <v>1550</v>
      </c>
      <c r="C42" s="1" t="str">
        <f t="shared" si="1"/>
        <v>6101</v>
      </c>
      <c r="D42" s="1" t="s">
        <v>1551</v>
      </c>
      <c r="E42" s="1" t="s">
        <v>1374</v>
      </c>
      <c r="F42" s="1" t="s">
        <v>1552</v>
      </c>
      <c r="G42" s="1" t="s">
        <v>1374</v>
      </c>
      <c r="I42" s="1" t="str">
        <f t="shared" si="2"/>
        <v/>
      </c>
      <c r="J42" s="1" t="str">
        <f t="shared" si="3"/>
        <v/>
      </c>
      <c r="L42" s="1" t="str">
        <f t="shared" si="4"/>
        <v>0x6101</v>
      </c>
      <c r="M42" s="1" t="str">
        <f t="shared" si="5"/>
        <v>Mt. Ember Exterior</v>
      </c>
      <c r="N42" s="1" t="s">
        <v>1553</v>
      </c>
      <c r="O42" s="1" t="s">
        <v>1554</v>
      </c>
    </row>
    <row r="43" ht="12.75" customHeight="1">
      <c r="A43" s="1" t="s">
        <v>1401</v>
      </c>
      <c r="B43" s="1" t="s">
        <v>1555</v>
      </c>
      <c r="C43" s="1" t="str">
        <f t="shared" si="1"/>
        <v>6201</v>
      </c>
      <c r="D43" s="1" t="s">
        <v>1556</v>
      </c>
      <c r="E43" s="1" t="s">
        <v>1374</v>
      </c>
      <c r="F43" s="1" t="s">
        <v>1374</v>
      </c>
      <c r="G43" s="1" t="s">
        <v>1374</v>
      </c>
      <c r="I43" s="1" t="str">
        <f t="shared" si="2"/>
        <v/>
      </c>
      <c r="J43" s="1" t="str">
        <f t="shared" si="3"/>
        <v/>
      </c>
      <c r="L43" s="1" t="str">
        <f t="shared" si="4"/>
        <v>0x6201</v>
      </c>
      <c r="M43" s="1" t="str">
        <f t="shared" si="5"/>
        <v>Mt. Ember Summit Path 1F</v>
      </c>
      <c r="N43" s="1" t="s">
        <v>1557</v>
      </c>
      <c r="O43" s="1" t="s">
        <v>1558</v>
      </c>
    </row>
    <row r="44" ht="12.75" customHeight="1">
      <c r="A44" s="1" t="s">
        <v>1401</v>
      </c>
      <c r="B44" s="1" t="s">
        <v>1559</v>
      </c>
      <c r="C44" s="1" t="str">
        <f t="shared" si="1"/>
        <v>6301</v>
      </c>
      <c r="D44" s="1" t="s">
        <v>1560</v>
      </c>
      <c r="E44" s="1" t="s">
        <v>1374</v>
      </c>
      <c r="F44" s="1" t="s">
        <v>1561</v>
      </c>
      <c r="G44" s="1" t="s">
        <v>1374</v>
      </c>
      <c r="I44" s="1" t="str">
        <f t="shared" si="2"/>
        <v/>
      </c>
      <c r="J44" s="1" t="str">
        <f t="shared" si="3"/>
        <v/>
      </c>
      <c r="L44" s="1" t="str">
        <f t="shared" si="4"/>
        <v>0x6301</v>
      </c>
      <c r="M44" s="1" t="str">
        <f t="shared" si="5"/>
        <v>Mt. Ember Summit Path 2F</v>
      </c>
      <c r="N44" s="1" t="s">
        <v>1562</v>
      </c>
      <c r="O44" s="1" t="s">
        <v>1563</v>
      </c>
    </row>
    <row r="45" ht="12.75" customHeight="1">
      <c r="A45" s="1" t="s">
        <v>1401</v>
      </c>
      <c r="B45" s="1" t="s">
        <v>1564</v>
      </c>
      <c r="C45" s="1" t="str">
        <f t="shared" si="1"/>
        <v>6401</v>
      </c>
      <c r="D45" s="1" t="s">
        <v>1565</v>
      </c>
      <c r="E45" s="1" t="s">
        <v>1374</v>
      </c>
      <c r="F45" s="1" t="s">
        <v>1374</v>
      </c>
      <c r="G45" s="1" t="s">
        <v>1374</v>
      </c>
      <c r="I45" s="1" t="str">
        <f t="shared" si="2"/>
        <v/>
      </c>
      <c r="J45" s="1" t="str">
        <f t="shared" si="3"/>
        <v/>
      </c>
      <c r="L45" s="1" t="str">
        <f t="shared" si="4"/>
        <v>0x6401</v>
      </c>
      <c r="M45" s="1" t="str">
        <f t="shared" si="5"/>
        <v>Mt. Ember Summit Path 3F</v>
      </c>
      <c r="N45" s="1" t="s">
        <v>1566</v>
      </c>
      <c r="O45" s="1" t="s">
        <v>1567</v>
      </c>
    </row>
    <row r="46" ht="12.75" customHeight="1">
      <c r="A46" s="1" t="s">
        <v>1401</v>
      </c>
      <c r="B46" s="1" t="s">
        <v>1568</v>
      </c>
      <c r="C46" s="1" t="str">
        <f t="shared" si="1"/>
        <v>6701</v>
      </c>
      <c r="D46" s="1" t="s">
        <v>1569</v>
      </c>
      <c r="E46" s="1" t="s">
        <v>1374</v>
      </c>
      <c r="F46" s="1" t="s">
        <v>1570</v>
      </c>
      <c r="G46" s="1" t="s">
        <v>1374</v>
      </c>
      <c r="I46" s="1" t="str">
        <f t="shared" si="2"/>
        <v/>
      </c>
      <c r="J46" s="1" t="str">
        <f t="shared" si="3"/>
        <v/>
      </c>
      <c r="L46" s="1" t="str">
        <f t="shared" si="4"/>
        <v>0x6701</v>
      </c>
      <c r="M46" s="1" t="str">
        <f t="shared" si="5"/>
        <v>Mt. Ember Ruby Path 1F</v>
      </c>
      <c r="N46" s="1" t="s">
        <v>1571</v>
      </c>
      <c r="O46" s="1" t="s">
        <v>1572</v>
      </c>
    </row>
    <row r="47" ht="12.75" customHeight="1">
      <c r="A47" s="1" t="s">
        <v>1401</v>
      </c>
      <c r="B47" s="1" t="s">
        <v>1573</v>
      </c>
      <c r="C47" s="1" t="str">
        <f t="shared" si="1"/>
        <v>6801</v>
      </c>
      <c r="D47" s="1" t="s">
        <v>1574</v>
      </c>
      <c r="E47" s="1" t="s">
        <v>1374</v>
      </c>
      <c r="F47" s="1" t="s">
        <v>1575</v>
      </c>
      <c r="G47" s="1" t="s">
        <v>1374</v>
      </c>
      <c r="I47" s="1" t="str">
        <f t="shared" si="2"/>
        <v/>
      </c>
      <c r="J47" s="1" t="str">
        <f t="shared" si="3"/>
        <v/>
      </c>
      <c r="L47" s="1" t="str">
        <f t="shared" si="4"/>
        <v>0x6801</v>
      </c>
      <c r="M47" s="1" t="str">
        <f t="shared" si="5"/>
        <v>Mt. Ember Ruby Path B1F</v>
      </c>
      <c r="N47" s="1" t="s">
        <v>1576</v>
      </c>
      <c r="O47" s="1" t="s">
        <v>1577</v>
      </c>
    </row>
    <row r="48" ht="12.75" customHeight="1">
      <c r="A48" s="1" t="s">
        <v>1401</v>
      </c>
      <c r="B48" s="1" t="s">
        <v>1578</v>
      </c>
      <c r="C48" s="1" t="str">
        <f t="shared" si="1"/>
        <v>6901</v>
      </c>
      <c r="D48" s="1" t="s">
        <v>1579</v>
      </c>
      <c r="E48" s="1" t="s">
        <v>1374</v>
      </c>
      <c r="F48" s="1" t="s">
        <v>1580</v>
      </c>
      <c r="G48" s="1" t="s">
        <v>1374</v>
      </c>
      <c r="I48" s="1" t="str">
        <f t="shared" si="2"/>
        <v/>
      </c>
      <c r="J48" s="1" t="str">
        <f t="shared" si="3"/>
        <v/>
      </c>
      <c r="L48" s="1" t="str">
        <f t="shared" si="4"/>
        <v>0x6901</v>
      </c>
      <c r="M48" s="1" t="str">
        <f t="shared" si="5"/>
        <v>Mt. Ember Ruby Path B2F</v>
      </c>
      <c r="N48" s="1" t="s">
        <v>1581</v>
      </c>
      <c r="O48" s="1" t="s">
        <v>1582</v>
      </c>
    </row>
    <row r="49" ht="12.75" customHeight="1">
      <c r="A49" s="1" t="s">
        <v>1401</v>
      </c>
      <c r="B49" s="1" t="s">
        <v>1583</v>
      </c>
      <c r="C49" s="1" t="str">
        <f t="shared" si="1"/>
        <v>6A01</v>
      </c>
      <c r="D49" s="1" t="s">
        <v>1584</v>
      </c>
      <c r="E49" s="1" t="s">
        <v>1374</v>
      </c>
      <c r="F49" s="1" t="s">
        <v>1585</v>
      </c>
      <c r="G49" s="1" t="s">
        <v>1374</v>
      </c>
      <c r="I49" s="1" t="str">
        <f t="shared" si="2"/>
        <v/>
      </c>
      <c r="J49" s="1" t="str">
        <f t="shared" si="3"/>
        <v/>
      </c>
      <c r="L49" s="1" t="str">
        <f t="shared" si="4"/>
        <v>0x6A01</v>
      </c>
      <c r="M49" s="1" t="str">
        <f t="shared" si="5"/>
        <v>Mt. Ember Ruby Path B3F</v>
      </c>
      <c r="N49" s="1" t="s">
        <v>1586</v>
      </c>
      <c r="O49" s="1" t="s">
        <v>1587</v>
      </c>
    </row>
    <row r="50" ht="12.75" customHeight="1">
      <c r="A50" s="1" t="s">
        <v>1401</v>
      </c>
      <c r="B50" s="1" t="s">
        <v>1588</v>
      </c>
      <c r="C50" s="1" t="str">
        <f t="shared" si="1"/>
        <v>6B01</v>
      </c>
      <c r="D50" s="1" t="s">
        <v>1589</v>
      </c>
      <c r="E50" s="1" t="s">
        <v>1374</v>
      </c>
      <c r="F50" s="1" t="s">
        <v>1590</v>
      </c>
      <c r="G50" s="1" t="s">
        <v>1374</v>
      </c>
      <c r="I50" s="1" t="str">
        <f t="shared" si="2"/>
        <v/>
      </c>
      <c r="J50" s="1" t="str">
        <f t="shared" si="3"/>
        <v/>
      </c>
      <c r="L50" s="1" t="str">
        <f t="shared" si="4"/>
        <v>0x6B01</v>
      </c>
      <c r="M50" s="1" t="str">
        <f t="shared" si="5"/>
        <v>Mt. Ember Ruby Path B1F Stairs</v>
      </c>
      <c r="N50" s="1" t="s">
        <v>1591</v>
      </c>
      <c r="O50" s="1" t="s">
        <v>1592</v>
      </c>
    </row>
    <row r="51" ht="12.75" customHeight="1">
      <c r="A51" s="1" t="s">
        <v>1401</v>
      </c>
      <c r="B51" s="1" t="s">
        <v>1593</v>
      </c>
      <c r="C51" s="1" t="str">
        <f t="shared" si="1"/>
        <v>6C01</v>
      </c>
      <c r="D51" s="1" t="s">
        <v>1594</v>
      </c>
      <c r="E51" s="1" t="s">
        <v>1374</v>
      </c>
      <c r="F51" s="1" t="s">
        <v>1595</v>
      </c>
      <c r="G51" s="1" t="s">
        <v>1374</v>
      </c>
      <c r="I51" s="1" t="str">
        <f t="shared" si="2"/>
        <v/>
      </c>
      <c r="J51" s="1" t="str">
        <f t="shared" si="3"/>
        <v/>
      </c>
      <c r="L51" s="1" t="str">
        <f t="shared" si="4"/>
        <v>0x6C01</v>
      </c>
      <c r="M51" s="1" t="str">
        <f t="shared" si="5"/>
        <v>Mt. Ember Ruby Path B2F Stairs</v>
      </c>
      <c r="N51" s="1" t="s">
        <v>1596</v>
      </c>
      <c r="O51" s="1" t="s">
        <v>1597</v>
      </c>
    </row>
    <row r="52" ht="12.75" customHeight="1">
      <c r="A52" s="1" t="s">
        <v>1401</v>
      </c>
      <c r="B52" s="1" t="s">
        <v>1598</v>
      </c>
      <c r="C52" s="1" t="str">
        <f t="shared" si="1"/>
        <v>6D01</v>
      </c>
      <c r="D52" s="1" t="s">
        <v>1599</v>
      </c>
      <c r="E52" s="1" t="s">
        <v>1600</v>
      </c>
      <c r="F52" s="1" t="s">
        <v>1374</v>
      </c>
      <c r="G52" s="1" t="s">
        <v>1601</v>
      </c>
      <c r="I52" s="1" t="str">
        <f t="shared" si="2"/>
        <v>&lt;3CFA14&gt;</v>
      </c>
      <c r="J52" s="1" t="str">
        <f t="shared" si="3"/>
        <v>6D01</v>
      </c>
      <c r="L52" s="1" t="str">
        <f t="shared" si="4"/>
        <v>0x6D01</v>
      </c>
      <c r="M52" s="1" t="str">
        <f t="shared" si="5"/>
        <v>Three Island Berry Forest</v>
      </c>
      <c r="N52" s="1" t="s">
        <v>1602</v>
      </c>
      <c r="O52" s="1" t="s">
        <v>1603</v>
      </c>
    </row>
    <row r="53" ht="12.75" customHeight="1">
      <c r="A53" s="1" t="s">
        <v>1401</v>
      </c>
      <c r="B53" s="1" t="s">
        <v>1604</v>
      </c>
      <c r="C53" s="1" t="str">
        <f t="shared" si="1"/>
        <v>6E01</v>
      </c>
      <c r="D53" s="1" t="s">
        <v>1605</v>
      </c>
      <c r="E53" s="1" t="s">
        <v>1606</v>
      </c>
      <c r="F53" s="1" t="s">
        <v>1374</v>
      </c>
      <c r="G53" s="1" t="s">
        <v>1607</v>
      </c>
      <c r="I53" s="1" t="str">
        <f t="shared" si="2"/>
        <v>&lt;3CFA98&gt;</v>
      </c>
      <c r="J53" s="1" t="str">
        <f t="shared" si="3"/>
        <v>6E01</v>
      </c>
      <c r="L53" s="1" t="str">
        <f t="shared" si="4"/>
        <v>0x6E01</v>
      </c>
      <c r="M53" s="1" t="str">
        <f t="shared" si="5"/>
        <v>Four Island Icefall Cave Entrance</v>
      </c>
      <c r="N53" s="1" t="s">
        <v>1608</v>
      </c>
      <c r="O53" s="1" t="s">
        <v>1609</v>
      </c>
    </row>
    <row r="54" ht="12.75" customHeight="1">
      <c r="A54" s="1" t="s">
        <v>1401</v>
      </c>
      <c r="B54" s="1" t="s">
        <v>1610</v>
      </c>
      <c r="C54" s="1" t="str">
        <f t="shared" si="1"/>
        <v>6F01</v>
      </c>
      <c r="D54" s="1" t="s">
        <v>1611</v>
      </c>
      <c r="E54" s="1" t="s">
        <v>1374</v>
      </c>
      <c r="F54" s="1" t="s">
        <v>1374</v>
      </c>
      <c r="G54" s="1" t="s">
        <v>1374</v>
      </c>
      <c r="I54" s="1" t="str">
        <f t="shared" si="2"/>
        <v/>
      </c>
      <c r="J54" s="1" t="str">
        <f t="shared" si="3"/>
        <v/>
      </c>
      <c r="L54" s="1" t="str">
        <f t="shared" si="4"/>
        <v>0x6F01</v>
      </c>
      <c r="M54" s="1" t="str">
        <f t="shared" si="5"/>
        <v>Four Island Icefall Cave 1F</v>
      </c>
      <c r="N54" s="1" t="s">
        <v>1612</v>
      </c>
      <c r="O54" s="1" t="s">
        <v>1613</v>
      </c>
    </row>
    <row r="55" ht="12.75" customHeight="1">
      <c r="A55" s="1" t="s">
        <v>1401</v>
      </c>
      <c r="B55" s="1" t="s">
        <v>1614</v>
      </c>
      <c r="C55" s="1" t="str">
        <f t="shared" si="1"/>
        <v>7001</v>
      </c>
      <c r="D55" s="1" t="s">
        <v>1615</v>
      </c>
      <c r="E55" s="1" t="s">
        <v>1374</v>
      </c>
      <c r="F55" s="1" t="s">
        <v>1374</v>
      </c>
      <c r="G55" s="1" t="s">
        <v>1374</v>
      </c>
      <c r="I55" s="1" t="str">
        <f t="shared" si="2"/>
        <v/>
      </c>
      <c r="J55" s="1" t="str">
        <f t="shared" si="3"/>
        <v/>
      </c>
      <c r="L55" s="1" t="str">
        <f t="shared" si="4"/>
        <v>0x7001</v>
      </c>
      <c r="M55" s="1" t="str">
        <f t="shared" si="5"/>
        <v>Four Island Icefall Cave B1F</v>
      </c>
      <c r="N55" s="1" t="s">
        <v>1616</v>
      </c>
      <c r="O55" s="1" t="s">
        <v>1617</v>
      </c>
    </row>
    <row r="56" ht="12.75" customHeight="1">
      <c r="A56" s="1" t="s">
        <v>1401</v>
      </c>
      <c r="B56" s="1" t="s">
        <v>1618</v>
      </c>
      <c r="C56" s="1" t="str">
        <f t="shared" si="1"/>
        <v>7101</v>
      </c>
      <c r="D56" s="1" t="s">
        <v>1619</v>
      </c>
      <c r="E56" s="1" t="s">
        <v>1620</v>
      </c>
      <c r="F56" s="1" t="s">
        <v>1374</v>
      </c>
      <c r="G56" s="1" t="s">
        <v>1621</v>
      </c>
      <c r="I56" s="1" t="str">
        <f t="shared" si="2"/>
        <v>&lt;3CFB8C&gt;</v>
      </c>
      <c r="J56" s="1" t="str">
        <f t="shared" si="3"/>
        <v>7101</v>
      </c>
      <c r="L56" s="1" t="str">
        <f t="shared" si="4"/>
        <v>0x7101</v>
      </c>
      <c r="M56" s="1" t="str">
        <f t="shared" si="5"/>
        <v>Four Island Icefall Cave Back</v>
      </c>
      <c r="N56" s="1" t="s">
        <v>1622</v>
      </c>
      <c r="O56" s="1" t="s">
        <v>1623</v>
      </c>
    </row>
    <row r="57" ht="12.75" customHeight="1">
      <c r="A57" s="1" t="s">
        <v>1401</v>
      </c>
      <c r="B57" s="1" t="s">
        <v>1624</v>
      </c>
      <c r="C57" s="1" t="str">
        <f t="shared" si="1"/>
        <v>7901</v>
      </c>
      <c r="D57" s="1" t="s">
        <v>1625</v>
      </c>
      <c r="E57" s="1" t="s">
        <v>1374</v>
      </c>
      <c r="F57" s="1" t="s">
        <v>1374</v>
      </c>
      <c r="G57" s="1" t="s">
        <v>1374</v>
      </c>
      <c r="I57" s="1" t="str">
        <f t="shared" si="2"/>
        <v/>
      </c>
      <c r="J57" s="1" t="str">
        <f t="shared" si="3"/>
        <v/>
      </c>
      <c r="L57" s="1" t="str">
        <f t="shared" si="4"/>
        <v>0x7901</v>
      </c>
      <c r="M57" s="1" t="str">
        <f t="shared" si="5"/>
        <v>Six Island Pattern Bush</v>
      </c>
      <c r="N57" s="1" t="s">
        <v>1626</v>
      </c>
      <c r="O57" s="1" t="s">
        <v>1627</v>
      </c>
    </row>
    <row r="58" ht="12.75" customHeight="1">
      <c r="A58" s="1" t="s">
        <v>1371</v>
      </c>
      <c r="B58" s="1" t="s">
        <v>1628</v>
      </c>
      <c r="C58" s="1" t="str">
        <f t="shared" si="1"/>
        <v>0D02</v>
      </c>
      <c r="D58" s="1" t="s">
        <v>1629</v>
      </c>
      <c r="E58" s="1" t="s">
        <v>1374</v>
      </c>
      <c r="F58" s="1" t="s">
        <v>1374</v>
      </c>
      <c r="G58" s="1" t="s">
        <v>1374</v>
      </c>
      <c r="I58" s="1" t="str">
        <f t="shared" si="2"/>
        <v/>
      </c>
      <c r="J58" s="1" t="str">
        <f t="shared" si="3"/>
        <v/>
      </c>
      <c r="L58" s="1" t="str">
        <f t="shared" si="4"/>
        <v>0x0D02</v>
      </c>
      <c r="M58" s="1" t="str">
        <f t="shared" si="5"/>
        <v>Five Island Lost Cave Room 1</v>
      </c>
      <c r="N58" s="1" t="s">
        <v>1630</v>
      </c>
      <c r="O58" s="1" t="s">
        <v>1631</v>
      </c>
    </row>
    <row r="59" ht="12.75" customHeight="1">
      <c r="A59" s="1" t="s">
        <v>1371</v>
      </c>
      <c r="B59" s="1" t="s">
        <v>1632</v>
      </c>
      <c r="C59" s="1" t="str">
        <f t="shared" si="1"/>
        <v>0E02</v>
      </c>
      <c r="D59" s="1" t="s">
        <v>1633</v>
      </c>
      <c r="E59" s="1" t="s">
        <v>1374</v>
      </c>
      <c r="F59" s="1" t="s">
        <v>1374</v>
      </c>
      <c r="G59" s="1" t="s">
        <v>1374</v>
      </c>
      <c r="I59" s="1" t="str">
        <f t="shared" si="2"/>
        <v/>
      </c>
      <c r="J59" s="1" t="str">
        <f t="shared" si="3"/>
        <v/>
      </c>
      <c r="L59" s="1" t="str">
        <f t="shared" si="4"/>
        <v>0x0E02</v>
      </c>
      <c r="M59" s="1" t="str">
        <f t="shared" si="5"/>
        <v>Five Island Lost Cave Room 2</v>
      </c>
      <c r="N59" s="1" t="s">
        <v>1634</v>
      </c>
      <c r="O59" s="1" t="s">
        <v>1635</v>
      </c>
    </row>
    <row r="60" ht="12.75" customHeight="1">
      <c r="A60" s="1" t="s">
        <v>1371</v>
      </c>
      <c r="B60" s="1" t="s">
        <v>1636</v>
      </c>
      <c r="C60" s="1" t="str">
        <f t="shared" si="1"/>
        <v>0F02</v>
      </c>
      <c r="D60" s="1" t="s">
        <v>1637</v>
      </c>
      <c r="E60" s="1" t="s">
        <v>1374</v>
      </c>
      <c r="F60" s="1" t="s">
        <v>1374</v>
      </c>
      <c r="G60" s="1" t="s">
        <v>1374</v>
      </c>
      <c r="I60" s="1" t="str">
        <f t="shared" si="2"/>
        <v/>
      </c>
      <c r="J60" s="1" t="str">
        <f t="shared" si="3"/>
        <v/>
      </c>
      <c r="L60" s="1" t="str">
        <f t="shared" si="4"/>
        <v>0x0F02</v>
      </c>
      <c r="M60" s="1" t="str">
        <f t="shared" si="5"/>
        <v>Five Island Lost Cave Room 3</v>
      </c>
      <c r="N60" s="1" t="s">
        <v>1638</v>
      </c>
      <c r="O60" s="1" t="s">
        <v>1639</v>
      </c>
    </row>
    <row r="61" ht="12.75" customHeight="1">
      <c r="A61" s="1" t="s">
        <v>1371</v>
      </c>
      <c r="B61" s="1" t="s">
        <v>1640</v>
      </c>
      <c r="C61" s="1" t="str">
        <f t="shared" si="1"/>
        <v>1002</v>
      </c>
      <c r="D61" s="1" t="s">
        <v>1641</v>
      </c>
      <c r="E61" s="1" t="s">
        <v>1374</v>
      </c>
      <c r="F61" s="1" t="s">
        <v>1374</v>
      </c>
      <c r="G61" s="1" t="s">
        <v>1374</v>
      </c>
      <c r="I61" s="1" t="str">
        <f t="shared" si="2"/>
        <v/>
      </c>
      <c r="J61" s="1" t="str">
        <f t="shared" si="3"/>
        <v/>
      </c>
      <c r="L61" s="1" t="str">
        <f t="shared" si="4"/>
        <v>0x1002</v>
      </c>
      <c r="M61" s="1" t="str">
        <f t="shared" si="5"/>
        <v>Five Island Lost Cave Room 4</v>
      </c>
      <c r="N61" s="1" t="s">
        <v>1642</v>
      </c>
      <c r="O61" s="1" t="s">
        <v>1643</v>
      </c>
    </row>
    <row r="62" ht="12.75" customHeight="1">
      <c r="A62" s="1" t="s">
        <v>1371</v>
      </c>
      <c r="B62" s="1" t="s">
        <v>1644</v>
      </c>
      <c r="C62" s="1" t="str">
        <f t="shared" si="1"/>
        <v>1102</v>
      </c>
      <c r="D62" s="1" t="s">
        <v>1645</v>
      </c>
      <c r="E62" s="1" t="s">
        <v>1374</v>
      </c>
      <c r="F62" s="1" t="s">
        <v>1374</v>
      </c>
      <c r="G62" s="1" t="s">
        <v>1374</v>
      </c>
      <c r="I62" s="1" t="str">
        <f t="shared" si="2"/>
        <v/>
      </c>
      <c r="J62" s="1" t="str">
        <f t="shared" si="3"/>
        <v/>
      </c>
      <c r="L62" s="1" t="str">
        <f t="shared" si="4"/>
        <v>0x1102</v>
      </c>
      <c r="M62" s="1" t="str">
        <f t="shared" si="5"/>
        <v>Five Island Lost Cave Room 5</v>
      </c>
      <c r="N62" s="1" t="s">
        <v>1646</v>
      </c>
      <c r="O62" s="1" t="s">
        <v>1647</v>
      </c>
    </row>
    <row r="63" ht="12.75" customHeight="1">
      <c r="A63" s="1" t="s">
        <v>1371</v>
      </c>
      <c r="B63" s="1" t="s">
        <v>1648</v>
      </c>
      <c r="C63" s="1" t="str">
        <f t="shared" si="1"/>
        <v>1202</v>
      </c>
      <c r="D63" s="1" t="s">
        <v>1649</v>
      </c>
      <c r="E63" s="1" t="s">
        <v>1374</v>
      </c>
      <c r="F63" s="1" t="s">
        <v>1374</v>
      </c>
      <c r="G63" s="1" t="s">
        <v>1374</v>
      </c>
      <c r="I63" s="1" t="str">
        <f t="shared" si="2"/>
        <v/>
      </c>
      <c r="J63" s="1" t="str">
        <f t="shared" si="3"/>
        <v/>
      </c>
      <c r="L63" s="1" t="str">
        <f t="shared" si="4"/>
        <v>0x1202</v>
      </c>
      <c r="M63" s="1" t="str">
        <f t="shared" si="5"/>
        <v>Five Island Lost Cave Room 6</v>
      </c>
      <c r="N63" s="1" t="s">
        <v>1650</v>
      </c>
      <c r="O63" s="1" t="s">
        <v>1651</v>
      </c>
    </row>
    <row r="64" ht="12.75" customHeight="1">
      <c r="A64" s="1" t="s">
        <v>1371</v>
      </c>
      <c r="B64" s="1" t="s">
        <v>1652</v>
      </c>
      <c r="C64" s="1" t="str">
        <f t="shared" si="1"/>
        <v>1302</v>
      </c>
      <c r="D64" s="1" t="s">
        <v>1653</v>
      </c>
      <c r="E64" s="1" t="s">
        <v>1374</v>
      </c>
      <c r="F64" s="1" t="s">
        <v>1374</v>
      </c>
      <c r="G64" s="1" t="s">
        <v>1374</v>
      </c>
      <c r="I64" s="1" t="str">
        <f t="shared" si="2"/>
        <v/>
      </c>
      <c r="J64" s="1" t="str">
        <f t="shared" si="3"/>
        <v/>
      </c>
      <c r="L64" s="1" t="str">
        <f t="shared" si="4"/>
        <v>0x1302</v>
      </c>
      <c r="M64" s="1" t="str">
        <f t="shared" si="5"/>
        <v>Five Island Lost Cave Room 7</v>
      </c>
      <c r="N64" s="1" t="s">
        <v>1654</v>
      </c>
      <c r="O64" s="1" t="s">
        <v>1655</v>
      </c>
    </row>
    <row r="65" ht="12.75" customHeight="1">
      <c r="A65" s="1" t="s">
        <v>1371</v>
      </c>
      <c r="B65" s="1" t="s">
        <v>1656</v>
      </c>
      <c r="C65" s="1" t="str">
        <f t="shared" si="1"/>
        <v>1402</v>
      </c>
      <c r="D65" s="1" t="s">
        <v>1657</v>
      </c>
      <c r="E65" s="1" t="s">
        <v>1374</v>
      </c>
      <c r="F65" s="1" t="s">
        <v>1374</v>
      </c>
      <c r="G65" s="1" t="s">
        <v>1374</v>
      </c>
      <c r="I65" s="1" t="str">
        <f t="shared" si="2"/>
        <v/>
      </c>
      <c r="J65" s="1" t="str">
        <f t="shared" si="3"/>
        <v/>
      </c>
      <c r="L65" s="1" t="str">
        <f t="shared" si="4"/>
        <v>0x1402</v>
      </c>
      <c r="M65" s="1" t="str">
        <f t="shared" si="5"/>
        <v>Five Island Lost Cave Room 8</v>
      </c>
      <c r="N65" s="1" t="s">
        <v>1658</v>
      </c>
      <c r="O65" s="1" t="s">
        <v>1659</v>
      </c>
    </row>
    <row r="66" ht="12.75" customHeight="1">
      <c r="A66" s="1" t="s">
        <v>1371</v>
      </c>
      <c r="B66" s="1" t="s">
        <v>1660</v>
      </c>
      <c r="C66" s="1" t="str">
        <f t="shared" si="1"/>
        <v>1502</v>
      </c>
      <c r="D66" s="1" t="s">
        <v>1661</v>
      </c>
      <c r="E66" s="1" t="s">
        <v>1374</v>
      </c>
      <c r="F66" s="1" t="s">
        <v>1374</v>
      </c>
      <c r="G66" s="1" t="s">
        <v>1374</v>
      </c>
      <c r="I66" s="1" t="str">
        <f t="shared" si="2"/>
        <v/>
      </c>
      <c r="J66" s="1" t="str">
        <f t="shared" si="3"/>
        <v/>
      </c>
      <c r="L66" s="1" t="str">
        <f t="shared" si="4"/>
        <v>0x1502</v>
      </c>
      <c r="M66" s="1" t="str">
        <f t="shared" si="5"/>
        <v>Five Island Lost Cave Room 9</v>
      </c>
      <c r="N66" s="1" t="s">
        <v>1662</v>
      </c>
      <c r="O66" s="1" t="s">
        <v>1663</v>
      </c>
    </row>
    <row r="67" ht="12.75" customHeight="1">
      <c r="A67" s="1" t="s">
        <v>1371</v>
      </c>
      <c r="B67" s="1" t="s">
        <v>1664</v>
      </c>
      <c r="C67" s="1" t="str">
        <f t="shared" si="1"/>
        <v>1602</v>
      </c>
      <c r="D67" s="1" t="s">
        <v>1665</v>
      </c>
      <c r="E67" s="1" t="s">
        <v>1374</v>
      </c>
      <c r="F67" s="1" t="s">
        <v>1374</v>
      </c>
      <c r="G67" s="1" t="s">
        <v>1374</v>
      </c>
      <c r="I67" s="1" t="str">
        <f t="shared" si="2"/>
        <v/>
      </c>
      <c r="J67" s="1" t="str">
        <f t="shared" si="3"/>
        <v/>
      </c>
      <c r="L67" s="1" t="str">
        <f t="shared" si="4"/>
        <v>0x1602</v>
      </c>
      <c r="M67" s="1" t="str">
        <f t="shared" si="5"/>
        <v>Five Island Lost Cave Room 10</v>
      </c>
      <c r="N67" s="1" t="s">
        <v>1666</v>
      </c>
      <c r="O67" s="1" t="s">
        <v>1667</v>
      </c>
    </row>
    <row r="68" ht="12.75" customHeight="1">
      <c r="A68" s="1" t="s">
        <v>1371</v>
      </c>
      <c r="B68" s="1" t="s">
        <v>1668</v>
      </c>
      <c r="C68" s="1" t="str">
        <f t="shared" si="1"/>
        <v>1702</v>
      </c>
      <c r="D68" s="1" t="s">
        <v>1669</v>
      </c>
      <c r="E68" s="1" t="s">
        <v>1374</v>
      </c>
      <c r="F68" s="1" t="s">
        <v>1374</v>
      </c>
      <c r="G68" s="1" t="s">
        <v>1374</v>
      </c>
      <c r="I68" s="1" t="str">
        <f t="shared" si="2"/>
        <v/>
      </c>
      <c r="J68" s="1" t="str">
        <f t="shared" si="3"/>
        <v/>
      </c>
      <c r="L68" s="1" t="str">
        <f t="shared" si="4"/>
        <v>0x1702</v>
      </c>
      <c r="M68" s="1" t="str">
        <f t="shared" si="5"/>
        <v>Five Island Lost Cave Room 11</v>
      </c>
      <c r="N68" s="1" t="s">
        <v>1670</v>
      </c>
      <c r="O68" s="1" t="s">
        <v>1671</v>
      </c>
    </row>
    <row r="69" ht="12.75" customHeight="1">
      <c r="A69" s="1" t="s">
        <v>1371</v>
      </c>
      <c r="B69" s="1" t="s">
        <v>1672</v>
      </c>
      <c r="C69" s="1" t="str">
        <f t="shared" si="1"/>
        <v>1802</v>
      </c>
      <c r="D69" s="1" t="s">
        <v>1673</v>
      </c>
      <c r="E69" s="1" t="s">
        <v>1374</v>
      </c>
      <c r="F69" s="1" t="s">
        <v>1374</v>
      </c>
      <c r="G69" s="1" t="s">
        <v>1374</v>
      </c>
      <c r="I69" s="1" t="str">
        <f t="shared" si="2"/>
        <v/>
      </c>
      <c r="J69" s="1" t="str">
        <f t="shared" si="3"/>
        <v/>
      </c>
      <c r="L69" s="1" t="str">
        <f t="shared" si="4"/>
        <v>0x1802</v>
      </c>
      <c r="M69" s="1" t="str">
        <f t="shared" si="5"/>
        <v>Five Island Lost Cave Room 12</v>
      </c>
      <c r="N69" s="1" t="s">
        <v>1674</v>
      </c>
      <c r="O69" s="1" t="s">
        <v>1675</v>
      </c>
    </row>
    <row r="70" ht="12.75" customHeight="1">
      <c r="A70" s="1" t="s">
        <v>1371</v>
      </c>
      <c r="B70" s="1" t="s">
        <v>1676</v>
      </c>
      <c r="C70" s="1" t="str">
        <f t="shared" si="1"/>
        <v>1902</v>
      </c>
      <c r="D70" s="1" t="s">
        <v>1677</v>
      </c>
      <c r="E70" s="1" t="s">
        <v>1374</v>
      </c>
      <c r="F70" s="1" t="s">
        <v>1374</v>
      </c>
      <c r="G70" s="1" t="s">
        <v>1374</v>
      </c>
      <c r="I70" s="1" t="str">
        <f t="shared" si="2"/>
        <v/>
      </c>
      <c r="J70" s="1" t="str">
        <f t="shared" si="3"/>
        <v/>
      </c>
      <c r="L70" s="1" t="str">
        <f t="shared" si="4"/>
        <v>0x1902</v>
      </c>
      <c r="M70" s="1" t="str">
        <f t="shared" si="5"/>
        <v>Five Island Lost Cave Room 13</v>
      </c>
      <c r="N70" s="1" t="s">
        <v>1678</v>
      </c>
      <c r="O70" s="1" t="s">
        <v>1679</v>
      </c>
    </row>
    <row r="71" ht="12.75" customHeight="1">
      <c r="A71" s="1" t="s">
        <v>1371</v>
      </c>
      <c r="B71" s="1" t="s">
        <v>1680</v>
      </c>
      <c r="C71" s="1" t="str">
        <f t="shared" si="1"/>
        <v>1A02</v>
      </c>
      <c r="D71" s="1" t="s">
        <v>1681</v>
      </c>
      <c r="E71" s="1" t="s">
        <v>1374</v>
      </c>
      <c r="F71" s="1" t="s">
        <v>1374</v>
      </c>
      <c r="G71" s="1" t="s">
        <v>1374</v>
      </c>
      <c r="I71" s="1" t="str">
        <f t="shared" si="2"/>
        <v/>
      </c>
      <c r="J71" s="1" t="str">
        <f t="shared" si="3"/>
        <v/>
      </c>
      <c r="L71" s="1" t="str">
        <f t="shared" si="4"/>
        <v>0x1A02</v>
      </c>
      <c r="M71" s="1" t="str">
        <f t="shared" si="5"/>
        <v>Five Island Lost Cave Room 14</v>
      </c>
      <c r="N71" s="1" t="s">
        <v>1682</v>
      </c>
      <c r="O71" s="1" t="s">
        <v>1683</v>
      </c>
    </row>
    <row r="72" ht="12.75" customHeight="1">
      <c r="A72" s="1" t="s">
        <v>1412</v>
      </c>
      <c r="B72" s="1" t="s">
        <v>1684</v>
      </c>
      <c r="C72" s="1" t="str">
        <f t="shared" si="1"/>
        <v>2D03</v>
      </c>
      <c r="D72" s="1" t="s">
        <v>1685</v>
      </c>
      <c r="E72" s="1" t="s">
        <v>1686</v>
      </c>
      <c r="F72" s="1" t="s">
        <v>1687</v>
      </c>
      <c r="G72" s="1" t="s">
        <v>1688</v>
      </c>
      <c r="I72" s="1" t="str">
        <f t="shared" si="2"/>
        <v>&lt;3CFF58&gt;</v>
      </c>
      <c r="J72" s="1" t="str">
        <f t="shared" si="3"/>
        <v>2D03</v>
      </c>
      <c r="L72" s="1" t="str">
        <f t="shared" si="4"/>
        <v>0x2D03</v>
      </c>
      <c r="M72" s="1" t="str">
        <f t="shared" si="5"/>
        <v>One Island Kindle Road</v>
      </c>
      <c r="N72" s="1" t="s">
        <v>1689</v>
      </c>
      <c r="O72" s="1" t="s">
        <v>1690</v>
      </c>
    </row>
    <row r="73" ht="12.75" customHeight="1">
      <c r="A73" s="1" t="s">
        <v>1412</v>
      </c>
      <c r="B73" s="1" t="s">
        <v>1691</v>
      </c>
      <c r="C73" s="1" t="str">
        <f t="shared" si="1"/>
        <v>2E03</v>
      </c>
      <c r="D73" s="1" t="s">
        <v>1692</v>
      </c>
      <c r="E73" s="1" t="s">
        <v>1693</v>
      </c>
      <c r="F73" s="1" t="s">
        <v>1374</v>
      </c>
      <c r="G73" s="1" t="s">
        <v>1694</v>
      </c>
      <c r="I73" s="1" t="str">
        <f t="shared" si="2"/>
        <v>&lt;3CFFF8&gt;</v>
      </c>
      <c r="J73" s="1" t="str">
        <f t="shared" si="3"/>
        <v>2E03</v>
      </c>
      <c r="L73" s="1" t="str">
        <f t="shared" si="4"/>
        <v>0x2E03</v>
      </c>
      <c r="M73" s="1" t="str">
        <f t="shared" si="5"/>
        <v>One Island Treasure Beach</v>
      </c>
      <c r="N73" s="1" t="s">
        <v>1695</v>
      </c>
      <c r="O73" s="1" t="s">
        <v>1696</v>
      </c>
    </row>
    <row r="74" ht="12.75" customHeight="1">
      <c r="A74" s="1" t="s">
        <v>1412</v>
      </c>
      <c r="B74" s="1" t="s">
        <v>1697</v>
      </c>
      <c r="C74" s="1" t="str">
        <f t="shared" si="1"/>
        <v>2F03</v>
      </c>
      <c r="D74" s="1" t="s">
        <v>1698</v>
      </c>
      <c r="E74" s="1" t="s">
        <v>1699</v>
      </c>
      <c r="F74" s="1" t="s">
        <v>1374</v>
      </c>
      <c r="G74" s="1" t="s">
        <v>1700</v>
      </c>
      <c r="I74" s="1" t="str">
        <f t="shared" si="2"/>
        <v>&lt;3D007C&gt;</v>
      </c>
      <c r="J74" s="1" t="str">
        <f t="shared" si="3"/>
        <v>2F03</v>
      </c>
      <c r="L74" s="1" t="str">
        <f t="shared" si="4"/>
        <v>0x2F03</v>
      </c>
      <c r="M74" s="1" t="str">
        <f t="shared" si="5"/>
        <v>Two Island Cape Brink</v>
      </c>
      <c r="N74" s="1" t="s">
        <v>1701</v>
      </c>
      <c r="O74" s="1" t="s">
        <v>1702</v>
      </c>
    </row>
    <row r="75" ht="12.75" customHeight="1">
      <c r="A75" s="1" t="s">
        <v>1412</v>
      </c>
      <c r="B75" s="1" t="s">
        <v>1703</v>
      </c>
      <c r="C75" s="1" t="str">
        <f t="shared" si="1"/>
        <v>3003</v>
      </c>
      <c r="D75" s="1" t="s">
        <v>1704</v>
      </c>
      <c r="E75" s="1" t="s">
        <v>1705</v>
      </c>
      <c r="F75" s="1" t="s">
        <v>1374</v>
      </c>
      <c r="G75" s="1" t="s">
        <v>1706</v>
      </c>
      <c r="I75" s="1" t="str">
        <f t="shared" si="2"/>
        <v>&lt;3D0100&gt;</v>
      </c>
      <c r="J75" s="1" t="str">
        <f t="shared" si="3"/>
        <v>3003</v>
      </c>
      <c r="L75" s="1" t="str">
        <f t="shared" si="4"/>
        <v>0x3003</v>
      </c>
      <c r="M75" s="1" t="str">
        <f t="shared" si="5"/>
        <v>Three Island Bond Bridge</v>
      </c>
      <c r="N75" s="1" t="s">
        <v>1707</v>
      </c>
      <c r="O75" s="1" t="s">
        <v>1708</v>
      </c>
    </row>
    <row r="76" ht="12.75" customHeight="1">
      <c r="A76" s="1" t="s">
        <v>1412</v>
      </c>
      <c r="B76" s="1" t="s">
        <v>1709</v>
      </c>
      <c r="C76" s="1" t="str">
        <f t="shared" si="1"/>
        <v>3103</v>
      </c>
      <c r="D76" s="1" t="s">
        <v>1710</v>
      </c>
      <c r="E76" s="1" t="s">
        <v>1374</v>
      </c>
      <c r="F76" s="1" t="s">
        <v>1374</v>
      </c>
      <c r="G76" s="1" t="s">
        <v>1374</v>
      </c>
      <c r="I76" s="1" t="str">
        <f t="shared" si="2"/>
        <v/>
      </c>
      <c r="J76" s="1" t="str">
        <f t="shared" si="3"/>
        <v/>
      </c>
      <c r="L76" s="1" t="str">
        <f t="shared" si="4"/>
        <v>0x3103</v>
      </c>
      <c r="M76" s="1" t="str">
        <f t="shared" si="5"/>
        <v>Three Island Port</v>
      </c>
      <c r="N76" s="1" t="s">
        <v>1711</v>
      </c>
      <c r="O76" s="1" t="s">
        <v>1712</v>
      </c>
    </row>
    <row r="77" ht="12.75" customHeight="1">
      <c r="A77" s="1" t="s">
        <v>1412</v>
      </c>
      <c r="B77" s="1" t="s">
        <v>1713</v>
      </c>
      <c r="C77" s="1" t="str">
        <f t="shared" si="1"/>
        <v>3603</v>
      </c>
      <c r="D77" s="1" t="s">
        <v>1374</v>
      </c>
      <c r="E77" s="1" t="s">
        <v>1714</v>
      </c>
      <c r="F77" s="1" t="s">
        <v>1374</v>
      </c>
      <c r="G77" s="1" t="s">
        <v>1715</v>
      </c>
      <c r="I77" s="1" t="str">
        <f t="shared" si="2"/>
        <v>&lt;3D0184&gt;</v>
      </c>
      <c r="J77" s="1" t="str">
        <f t="shared" si="3"/>
        <v>3603</v>
      </c>
      <c r="L77" s="1" t="str">
        <f t="shared" si="4"/>
        <v>0x3603</v>
      </c>
      <c r="M77" s="1" t="str">
        <f t="shared" si="5"/>
        <v>Five Island Resort Gorgeous</v>
      </c>
      <c r="N77" s="1" t="s">
        <v>1716</v>
      </c>
      <c r="O77" s="1" t="s">
        <v>1717</v>
      </c>
    </row>
    <row r="78" ht="12.75" customHeight="1">
      <c r="A78" s="1" t="s">
        <v>1412</v>
      </c>
      <c r="B78" s="1" t="s">
        <v>1718</v>
      </c>
      <c r="C78" s="1" t="str">
        <f t="shared" si="1"/>
        <v>3703</v>
      </c>
      <c r="D78" s="1" t="s">
        <v>1374</v>
      </c>
      <c r="E78" s="1" t="s">
        <v>1719</v>
      </c>
      <c r="F78" s="1" t="s">
        <v>1374</v>
      </c>
      <c r="G78" s="1" t="s">
        <v>1720</v>
      </c>
      <c r="I78" s="1" t="str">
        <f t="shared" si="2"/>
        <v>&lt;3D01D0&gt;</v>
      </c>
      <c r="J78" s="1" t="str">
        <f t="shared" si="3"/>
        <v>3703</v>
      </c>
      <c r="L78" s="1" t="str">
        <f t="shared" si="4"/>
        <v>0x3703</v>
      </c>
      <c r="M78" s="1" t="str">
        <f t="shared" si="5"/>
        <v>Five Island Water Labyrinth</v>
      </c>
      <c r="N78" s="1" t="s">
        <v>1721</v>
      </c>
      <c r="O78" s="1" t="s">
        <v>1722</v>
      </c>
    </row>
    <row r="79" ht="12.75" customHeight="1">
      <c r="A79" s="1" t="s">
        <v>1412</v>
      </c>
      <c r="B79" s="1" t="s">
        <v>1723</v>
      </c>
      <c r="C79" s="1" t="str">
        <f t="shared" si="1"/>
        <v>3803</v>
      </c>
      <c r="D79" s="1" t="s">
        <v>1724</v>
      </c>
      <c r="E79" s="1" t="s">
        <v>1725</v>
      </c>
      <c r="F79" s="1" t="s">
        <v>1374</v>
      </c>
      <c r="G79" s="1" t="s">
        <v>1726</v>
      </c>
      <c r="I79" s="1" t="str">
        <f t="shared" si="2"/>
        <v>&lt;3D0254&gt;</v>
      </c>
      <c r="J79" s="1" t="str">
        <f t="shared" si="3"/>
        <v>3803</v>
      </c>
      <c r="L79" s="1" t="str">
        <f t="shared" si="4"/>
        <v>0x3803</v>
      </c>
      <c r="M79" s="1" t="str">
        <f t="shared" si="5"/>
        <v>Five Island Meadow</v>
      </c>
      <c r="N79" s="1" t="s">
        <v>1727</v>
      </c>
      <c r="O79" s="1" t="s">
        <v>1728</v>
      </c>
    </row>
    <row r="80" ht="12.75" customHeight="1">
      <c r="A80" s="1" t="s">
        <v>1412</v>
      </c>
      <c r="B80" s="1" t="s">
        <v>1729</v>
      </c>
      <c r="C80" s="1" t="str">
        <f t="shared" si="1"/>
        <v>3903</v>
      </c>
      <c r="D80" s="1" t="s">
        <v>1730</v>
      </c>
      <c r="E80" s="1" t="s">
        <v>1731</v>
      </c>
      <c r="F80" s="1" t="s">
        <v>1374</v>
      </c>
      <c r="G80" s="1" t="s">
        <v>1732</v>
      </c>
      <c r="I80" s="1" t="str">
        <f t="shared" si="2"/>
        <v>&lt;3D02D8&gt;</v>
      </c>
      <c r="J80" s="1" t="str">
        <f t="shared" si="3"/>
        <v>3903</v>
      </c>
      <c r="L80" s="1" t="str">
        <f t="shared" si="4"/>
        <v>0x3903</v>
      </c>
      <c r="M80" s="1" t="str">
        <f t="shared" si="5"/>
        <v>Five Island Memorial Pillar</v>
      </c>
      <c r="N80" s="1" t="s">
        <v>1733</v>
      </c>
      <c r="O80" s="1" t="s">
        <v>1734</v>
      </c>
    </row>
    <row r="81" ht="12.75" customHeight="1">
      <c r="A81" s="1" t="s">
        <v>1412</v>
      </c>
      <c r="B81" s="1" t="s">
        <v>1735</v>
      </c>
      <c r="C81" s="1" t="str">
        <f t="shared" si="1"/>
        <v>3A03</v>
      </c>
      <c r="D81" s="1" t="s">
        <v>1374</v>
      </c>
      <c r="E81" s="1" t="s">
        <v>1736</v>
      </c>
      <c r="F81" s="1" t="s">
        <v>1374</v>
      </c>
      <c r="G81" s="1" t="s">
        <v>1737</v>
      </c>
      <c r="I81" s="1" t="str">
        <f t="shared" si="2"/>
        <v>&lt;3D0324&gt;</v>
      </c>
      <c r="J81" s="1" t="str">
        <f t="shared" si="3"/>
        <v>3A03</v>
      </c>
      <c r="L81" s="1" t="str">
        <f t="shared" si="4"/>
        <v>0x3A03</v>
      </c>
      <c r="M81" s="1" t="str">
        <f t="shared" si="5"/>
        <v>Six Island Outcast Island</v>
      </c>
      <c r="N81" s="1" t="s">
        <v>1738</v>
      </c>
      <c r="O81" s="1" t="s">
        <v>1739</v>
      </c>
    </row>
    <row r="82" ht="12.75" customHeight="1">
      <c r="A82" s="1" t="s">
        <v>1412</v>
      </c>
      <c r="B82" s="1" t="s">
        <v>1437</v>
      </c>
      <c r="C82" s="1" t="str">
        <f t="shared" si="1"/>
        <v>3B03</v>
      </c>
      <c r="D82" s="1" t="s">
        <v>1374</v>
      </c>
      <c r="E82" s="1" t="s">
        <v>1740</v>
      </c>
      <c r="F82" s="1" t="s">
        <v>1374</v>
      </c>
      <c r="G82" s="1" t="s">
        <v>1741</v>
      </c>
      <c r="I82" s="1" t="str">
        <f t="shared" si="2"/>
        <v>&lt;3D0370&gt;</v>
      </c>
      <c r="J82" s="1" t="str">
        <f t="shared" si="3"/>
        <v>3B03</v>
      </c>
      <c r="L82" s="1" t="str">
        <f t="shared" si="4"/>
        <v>0x3B03</v>
      </c>
      <c r="M82" s="1" t="str">
        <f t="shared" si="5"/>
        <v>Six Island Green Path</v>
      </c>
      <c r="N82" s="1" t="s">
        <v>1742</v>
      </c>
      <c r="O82" s="1" t="s">
        <v>1743</v>
      </c>
    </row>
    <row r="83" ht="12.75" customHeight="1">
      <c r="A83" s="1" t="s">
        <v>1412</v>
      </c>
      <c r="B83" s="1" t="s">
        <v>1441</v>
      </c>
      <c r="C83" s="1" t="str">
        <f t="shared" si="1"/>
        <v>3C03</v>
      </c>
      <c r="D83" s="1" t="s">
        <v>1744</v>
      </c>
      <c r="E83" s="1" t="s">
        <v>1745</v>
      </c>
      <c r="F83" s="1" t="s">
        <v>1374</v>
      </c>
      <c r="G83" s="1" t="s">
        <v>1746</v>
      </c>
      <c r="I83" s="1" t="str">
        <f t="shared" si="2"/>
        <v>&lt;3D03F4&gt;</v>
      </c>
      <c r="J83" s="1" t="str">
        <f t="shared" si="3"/>
        <v>3C03</v>
      </c>
      <c r="L83" s="1" t="str">
        <f t="shared" si="4"/>
        <v>0x3C03</v>
      </c>
      <c r="M83" s="1" t="str">
        <f t="shared" si="5"/>
        <v>Six Island Water Path</v>
      </c>
      <c r="N83" s="1" t="s">
        <v>1747</v>
      </c>
      <c r="O83" s="1" t="s">
        <v>1748</v>
      </c>
    </row>
    <row r="84" ht="12.75" customHeight="1">
      <c r="A84" s="1" t="s">
        <v>1412</v>
      </c>
      <c r="B84" s="1" t="s">
        <v>1445</v>
      </c>
      <c r="C84" s="1" t="str">
        <f t="shared" si="1"/>
        <v>3D03</v>
      </c>
      <c r="D84" s="1" t="s">
        <v>1749</v>
      </c>
      <c r="E84" s="1" t="s">
        <v>1750</v>
      </c>
      <c r="F84" s="1" t="s">
        <v>1374</v>
      </c>
      <c r="G84" s="1" t="s">
        <v>1751</v>
      </c>
      <c r="I84" s="1" t="str">
        <f t="shared" si="2"/>
        <v>&lt;3D0478&gt;</v>
      </c>
      <c r="J84" s="1" t="str">
        <f t="shared" si="3"/>
        <v>3D03</v>
      </c>
      <c r="L84" s="1" t="str">
        <f t="shared" si="4"/>
        <v>0x3D03</v>
      </c>
      <c r="M84" s="1" t="str">
        <f t="shared" si="5"/>
        <v>Six Island Ruin Valley</v>
      </c>
      <c r="N84" s="1" t="s">
        <v>1752</v>
      </c>
      <c r="O84" s="1" t="s">
        <v>1753</v>
      </c>
    </row>
    <row r="85" ht="12.75" customHeight="1">
      <c r="A85" s="1" t="s">
        <v>1412</v>
      </c>
      <c r="B85" s="1" t="s">
        <v>1449</v>
      </c>
      <c r="C85" s="1" t="str">
        <f t="shared" si="1"/>
        <v>3E03</v>
      </c>
      <c r="D85" s="1" t="s">
        <v>1374</v>
      </c>
      <c r="E85" s="1" t="s">
        <v>1754</v>
      </c>
      <c r="F85" s="1" t="s">
        <v>1374</v>
      </c>
      <c r="G85" s="1" t="s">
        <v>1755</v>
      </c>
      <c r="I85" s="1" t="str">
        <f t="shared" si="2"/>
        <v>&lt;3D04C4&gt;</v>
      </c>
      <c r="J85" s="1" t="str">
        <f t="shared" si="3"/>
        <v>3E03</v>
      </c>
      <c r="L85" s="1" t="str">
        <f t="shared" si="4"/>
        <v>0x3E03</v>
      </c>
      <c r="M85" s="1" t="str">
        <f t="shared" si="5"/>
        <v>Seven Island Trainer Tower</v>
      </c>
      <c r="N85" s="1" t="s">
        <v>1756</v>
      </c>
      <c r="O85" s="1" t="s">
        <v>1757</v>
      </c>
    </row>
    <row r="86" ht="12.75" customHeight="1">
      <c r="A86" s="1" t="s">
        <v>1412</v>
      </c>
      <c r="B86" s="1" t="s">
        <v>1453</v>
      </c>
      <c r="C86" s="1" t="str">
        <f t="shared" si="1"/>
        <v>3F03</v>
      </c>
      <c r="D86" s="1" t="s">
        <v>1758</v>
      </c>
      <c r="E86" s="1" t="s">
        <v>1374</v>
      </c>
      <c r="F86" s="1" t="s">
        <v>1374</v>
      </c>
      <c r="G86" s="1" t="s">
        <v>1374</v>
      </c>
      <c r="I86" s="1" t="str">
        <f t="shared" si="2"/>
        <v/>
      </c>
      <c r="J86" s="1" t="str">
        <f t="shared" si="3"/>
        <v/>
      </c>
      <c r="L86" s="1" t="str">
        <f t="shared" si="4"/>
        <v>0x3F03</v>
      </c>
      <c r="M86" s="1" t="str">
        <f t="shared" si="5"/>
        <v>Seven Island Sevault Canyon Entrance</v>
      </c>
      <c r="N86" s="1" t="s">
        <v>1759</v>
      </c>
      <c r="O86" s="1" t="s">
        <v>1760</v>
      </c>
    </row>
    <row r="87" ht="12.75" customHeight="1">
      <c r="A87" s="1" t="s">
        <v>1412</v>
      </c>
      <c r="B87" s="1" t="s">
        <v>1459</v>
      </c>
      <c r="C87" s="1" t="str">
        <f t="shared" si="1"/>
        <v>4003</v>
      </c>
      <c r="D87" s="1" t="s">
        <v>1761</v>
      </c>
      <c r="E87" s="1" t="s">
        <v>1374</v>
      </c>
      <c r="F87" s="1" t="s">
        <v>1762</v>
      </c>
      <c r="G87" s="1" t="s">
        <v>1374</v>
      </c>
      <c r="I87" s="1" t="str">
        <f t="shared" si="2"/>
        <v/>
      </c>
      <c r="J87" s="1" t="str">
        <f t="shared" si="3"/>
        <v/>
      </c>
      <c r="L87" s="1" t="str">
        <f t="shared" si="4"/>
        <v>0x4003</v>
      </c>
      <c r="M87" s="1" t="str">
        <f t="shared" si="5"/>
        <v>Seven Island Sevault Canyon</v>
      </c>
      <c r="N87" s="1" t="s">
        <v>1763</v>
      </c>
      <c r="O87" s="1" t="s">
        <v>1764</v>
      </c>
    </row>
    <row r="88" ht="12.75" customHeight="1">
      <c r="A88" s="1" t="s">
        <v>1412</v>
      </c>
      <c r="B88" s="1" t="s">
        <v>1465</v>
      </c>
      <c r="C88" s="1" t="str">
        <f t="shared" si="1"/>
        <v>4103</v>
      </c>
      <c r="D88" s="1" t="s">
        <v>1374</v>
      </c>
      <c r="E88" s="1" t="s">
        <v>1765</v>
      </c>
      <c r="F88" s="1" t="s">
        <v>1374</v>
      </c>
      <c r="G88" s="1" t="s">
        <v>1766</v>
      </c>
      <c r="I88" s="1" t="str">
        <f t="shared" si="2"/>
        <v>&lt;3D059C&gt;</v>
      </c>
      <c r="J88" s="1" t="str">
        <f t="shared" si="3"/>
        <v>4103</v>
      </c>
      <c r="L88" s="1" t="str">
        <f t="shared" si="4"/>
        <v>0x4103</v>
      </c>
      <c r="M88" s="1" t="str">
        <f t="shared" si="5"/>
        <v>Seven Island Tanoby Ruins</v>
      </c>
      <c r="N88" s="1" t="s">
        <v>1767</v>
      </c>
      <c r="O88" s="1" t="s">
        <v>1768</v>
      </c>
    </row>
    <row r="89" ht="12.75" customHeight="1">
      <c r="A89" s="1" t="s">
        <v>1412</v>
      </c>
      <c r="B89" s="1" t="s">
        <v>1652</v>
      </c>
      <c r="C89" s="1" t="str">
        <f t="shared" si="1"/>
        <v>1303</v>
      </c>
      <c r="D89" s="1" t="s">
        <v>1769</v>
      </c>
      <c r="E89" s="1" t="s">
        <v>1374</v>
      </c>
      <c r="F89" s="1" t="s">
        <v>1374</v>
      </c>
      <c r="G89" s="1" t="s">
        <v>1374</v>
      </c>
      <c r="I89" s="1" t="str">
        <f t="shared" si="2"/>
        <v/>
      </c>
      <c r="J89" s="1" t="str">
        <f t="shared" si="3"/>
        <v/>
      </c>
      <c r="L89" s="1" t="str">
        <f t="shared" si="4"/>
        <v>0x1303</v>
      </c>
      <c r="M89" s="1" t="str">
        <f t="shared" si="5"/>
        <v>Route 1</v>
      </c>
      <c r="N89" s="1" t="s">
        <v>1770</v>
      </c>
      <c r="O89" s="1" t="s">
        <v>1771</v>
      </c>
    </row>
    <row r="90" ht="12.75" customHeight="1">
      <c r="A90" s="1" t="s">
        <v>1412</v>
      </c>
      <c r="B90" s="1" t="s">
        <v>1656</v>
      </c>
      <c r="C90" s="1" t="str">
        <f t="shared" si="1"/>
        <v>1403</v>
      </c>
      <c r="D90" s="1" t="s">
        <v>1772</v>
      </c>
      <c r="E90" s="1" t="s">
        <v>1374</v>
      </c>
      <c r="F90" s="1" t="s">
        <v>1374</v>
      </c>
      <c r="G90" s="1" t="s">
        <v>1374</v>
      </c>
      <c r="I90" s="1" t="str">
        <f t="shared" si="2"/>
        <v/>
      </c>
      <c r="J90" s="1" t="str">
        <f t="shared" si="3"/>
        <v/>
      </c>
      <c r="L90" s="1" t="str">
        <f t="shared" si="4"/>
        <v>0x1403</v>
      </c>
      <c r="M90" s="1" t="str">
        <f t="shared" si="5"/>
        <v>Route 2</v>
      </c>
      <c r="N90" s="1" t="s">
        <v>1773</v>
      </c>
      <c r="O90" s="1" t="s">
        <v>1774</v>
      </c>
    </row>
    <row r="91" ht="12.75" customHeight="1">
      <c r="A91" s="1" t="s">
        <v>1412</v>
      </c>
      <c r="B91" s="1" t="s">
        <v>1660</v>
      </c>
      <c r="C91" s="1" t="str">
        <f t="shared" si="1"/>
        <v>1503</v>
      </c>
      <c r="D91" s="1" t="s">
        <v>1775</v>
      </c>
      <c r="E91" s="1" t="s">
        <v>1374</v>
      </c>
      <c r="F91" s="1" t="s">
        <v>1374</v>
      </c>
      <c r="G91" s="1" t="s">
        <v>1374</v>
      </c>
      <c r="I91" s="1" t="str">
        <f t="shared" si="2"/>
        <v/>
      </c>
      <c r="J91" s="1" t="str">
        <f t="shared" si="3"/>
        <v/>
      </c>
      <c r="L91" s="1" t="str">
        <f t="shared" si="4"/>
        <v>0x1503</v>
      </c>
      <c r="M91" s="1" t="str">
        <f t="shared" si="5"/>
        <v>Route 3</v>
      </c>
      <c r="N91" s="1" t="s">
        <v>1776</v>
      </c>
      <c r="O91" s="1" t="s">
        <v>1777</v>
      </c>
    </row>
    <row r="92" ht="12.75" customHeight="1">
      <c r="A92" s="1" t="s">
        <v>1412</v>
      </c>
      <c r="B92" s="1" t="s">
        <v>1664</v>
      </c>
      <c r="C92" s="1" t="str">
        <f t="shared" si="1"/>
        <v>1603</v>
      </c>
      <c r="D92" s="1" t="s">
        <v>1778</v>
      </c>
      <c r="E92" s="1" t="s">
        <v>1779</v>
      </c>
      <c r="F92" s="1" t="s">
        <v>1374</v>
      </c>
      <c r="G92" s="1" t="s">
        <v>1780</v>
      </c>
      <c r="I92" s="1" t="str">
        <f t="shared" si="2"/>
        <v>&lt;3D06C8&gt;</v>
      </c>
      <c r="J92" s="1" t="str">
        <f t="shared" si="3"/>
        <v>1603</v>
      </c>
      <c r="L92" s="1" t="str">
        <f t="shared" si="4"/>
        <v>0x1603</v>
      </c>
      <c r="M92" s="1" t="str">
        <f t="shared" si="5"/>
        <v>Route 4</v>
      </c>
      <c r="N92" s="1" t="s">
        <v>1781</v>
      </c>
      <c r="O92" s="1" t="s">
        <v>1782</v>
      </c>
    </row>
    <row r="93" ht="12.75" customHeight="1">
      <c r="A93" s="1" t="s">
        <v>1412</v>
      </c>
      <c r="B93" s="1" t="s">
        <v>1668</v>
      </c>
      <c r="C93" s="1" t="str">
        <f t="shared" si="1"/>
        <v>1703</v>
      </c>
      <c r="D93" s="1" t="s">
        <v>1783</v>
      </c>
      <c r="E93" s="1" t="s">
        <v>1374</v>
      </c>
      <c r="F93" s="1" t="s">
        <v>1374</v>
      </c>
      <c r="G93" s="1" t="s">
        <v>1374</v>
      </c>
      <c r="I93" s="1" t="str">
        <f t="shared" si="2"/>
        <v/>
      </c>
      <c r="J93" s="1" t="str">
        <f t="shared" si="3"/>
        <v/>
      </c>
      <c r="L93" s="1" t="str">
        <f t="shared" si="4"/>
        <v>0x1703</v>
      </c>
      <c r="M93" s="1" t="str">
        <f t="shared" si="5"/>
        <v>Route 5</v>
      </c>
      <c r="N93" s="1" t="s">
        <v>1784</v>
      </c>
      <c r="O93" s="1" t="s">
        <v>1785</v>
      </c>
    </row>
    <row r="94" ht="12.75" customHeight="1">
      <c r="A94" s="1" t="s">
        <v>1412</v>
      </c>
      <c r="B94" s="1" t="s">
        <v>1672</v>
      </c>
      <c r="C94" s="1" t="str">
        <f t="shared" si="1"/>
        <v>1803</v>
      </c>
      <c r="D94" s="1" t="s">
        <v>1786</v>
      </c>
      <c r="E94" s="1" t="s">
        <v>1787</v>
      </c>
      <c r="F94" s="1" t="s">
        <v>1374</v>
      </c>
      <c r="G94" s="1" t="s">
        <v>1788</v>
      </c>
      <c r="I94" s="1" t="str">
        <f t="shared" si="2"/>
        <v>&lt;3D0784&gt;</v>
      </c>
      <c r="J94" s="1" t="str">
        <f t="shared" si="3"/>
        <v>1803</v>
      </c>
      <c r="L94" s="1" t="str">
        <f t="shared" si="4"/>
        <v>0x1803</v>
      </c>
      <c r="M94" s="1" t="str">
        <f t="shared" si="5"/>
        <v>Route 6</v>
      </c>
      <c r="N94" s="1" t="s">
        <v>1789</v>
      </c>
      <c r="O94" s="1" t="s">
        <v>1790</v>
      </c>
    </row>
    <row r="95" ht="12.75" customHeight="1">
      <c r="A95" s="1" t="s">
        <v>1412</v>
      </c>
      <c r="B95" s="1" t="s">
        <v>1676</v>
      </c>
      <c r="C95" s="1" t="str">
        <f t="shared" si="1"/>
        <v>1903</v>
      </c>
      <c r="D95" s="1" t="s">
        <v>1791</v>
      </c>
      <c r="E95" s="1" t="s">
        <v>1374</v>
      </c>
      <c r="F95" s="1" t="s">
        <v>1374</v>
      </c>
      <c r="G95" s="1" t="s">
        <v>1374</v>
      </c>
      <c r="I95" s="1" t="str">
        <f t="shared" si="2"/>
        <v/>
      </c>
      <c r="J95" s="1" t="str">
        <f t="shared" si="3"/>
        <v/>
      </c>
      <c r="L95" s="1" t="str">
        <f t="shared" si="4"/>
        <v>0x1903</v>
      </c>
      <c r="M95" s="1" t="str">
        <f t="shared" si="5"/>
        <v>Route 7</v>
      </c>
      <c r="N95" s="1" t="s">
        <v>1792</v>
      </c>
      <c r="O95" s="1" t="s">
        <v>1793</v>
      </c>
    </row>
    <row r="96" ht="12.75" customHeight="1">
      <c r="A96" s="1" t="s">
        <v>1412</v>
      </c>
      <c r="B96" s="1" t="s">
        <v>1680</v>
      </c>
      <c r="C96" s="1" t="str">
        <f t="shared" si="1"/>
        <v>1A03</v>
      </c>
      <c r="D96" s="1" t="s">
        <v>1794</v>
      </c>
      <c r="E96" s="1" t="s">
        <v>1374</v>
      </c>
      <c r="F96" s="1" t="s">
        <v>1374</v>
      </c>
      <c r="G96" s="1" t="s">
        <v>1374</v>
      </c>
      <c r="I96" s="1" t="str">
        <f t="shared" si="2"/>
        <v/>
      </c>
      <c r="J96" s="1" t="str">
        <f t="shared" si="3"/>
        <v/>
      </c>
      <c r="L96" s="1" t="str">
        <f t="shared" si="4"/>
        <v>0x1A03</v>
      </c>
      <c r="M96" s="1" t="str">
        <f t="shared" si="5"/>
        <v>Route 8</v>
      </c>
      <c r="N96" s="1" t="s">
        <v>1795</v>
      </c>
      <c r="O96" s="1" t="s">
        <v>1796</v>
      </c>
    </row>
    <row r="97" ht="12.75" customHeight="1">
      <c r="A97" s="1" t="s">
        <v>1412</v>
      </c>
      <c r="B97" s="1" t="s">
        <v>1372</v>
      </c>
      <c r="C97" s="1" t="str">
        <f t="shared" si="1"/>
        <v>1B03</v>
      </c>
      <c r="D97" s="1" t="s">
        <v>1797</v>
      </c>
      <c r="E97" s="1" t="s">
        <v>1374</v>
      </c>
      <c r="F97" s="1" t="s">
        <v>1374</v>
      </c>
      <c r="G97" s="1" t="s">
        <v>1374</v>
      </c>
      <c r="I97" s="1" t="str">
        <f t="shared" si="2"/>
        <v/>
      </c>
      <c r="J97" s="1" t="str">
        <f t="shared" si="3"/>
        <v/>
      </c>
      <c r="L97" s="1" t="str">
        <f t="shared" si="4"/>
        <v>0x1B03</v>
      </c>
      <c r="M97" s="1" t="str">
        <f t="shared" si="5"/>
        <v>Route 9</v>
      </c>
      <c r="N97" s="1" t="s">
        <v>1798</v>
      </c>
      <c r="O97" s="1" t="s">
        <v>1799</v>
      </c>
    </row>
    <row r="98" ht="12.75" customHeight="1">
      <c r="A98" s="1" t="s">
        <v>1412</v>
      </c>
      <c r="B98" s="1" t="s">
        <v>1377</v>
      </c>
      <c r="C98" s="1" t="str">
        <f t="shared" si="1"/>
        <v>1C03</v>
      </c>
      <c r="D98" s="1" t="s">
        <v>1800</v>
      </c>
      <c r="E98" s="1" t="s">
        <v>1801</v>
      </c>
      <c r="F98" s="1" t="s">
        <v>1374</v>
      </c>
      <c r="G98" s="1" t="s">
        <v>1802</v>
      </c>
      <c r="I98" s="1" t="str">
        <f t="shared" si="2"/>
        <v>&lt;3D08B0&gt;</v>
      </c>
      <c r="J98" s="1" t="str">
        <f t="shared" si="3"/>
        <v>1C03</v>
      </c>
      <c r="L98" s="1" t="str">
        <f t="shared" si="4"/>
        <v>0x1C03</v>
      </c>
      <c r="M98" s="1" t="str">
        <f t="shared" si="5"/>
        <v>Route 10</v>
      </c>
      <c r="N98" s="1" t="s">
        <v>1803</v>
      </c>
      <c r="O98" s="1" t="s">
        <v>1804</v>
      </c>
    </row>
    <row r="99" ht="12.75" customHeight="1">
      <c r="A99" s="1" t="s">
        <v>1412</v>
      </c>
      <c r="B99" s="1" t="s">
        <v>1381</v>
      </c>
      <c r="C99" s="1" t="str">
        <f t="shared" si="1"/>
        <v>1D03</v>
      </c>
      <c r="D99" s="1" t="s">
        <v>1805</v>
      </c>
      <c r="E99" s="1" t="s">
        <v>1806</v>
      </c>
      <c r="F99" s="1" t="s">
        <v>1374</v>
      </c>
      <c r="G99" s="1" t="s">
        <v>1807</v>
      </c>
      <c r="I99" s="1" t="str">
        <f t="shared" si="2"/>
        <v>&lt;3D0934&gt;</v>
      </c>
      <c r="J99" s="1" t="str">
        <f t="shared" si="3"/>
        <v>1D03</v>
      </c>
      <c r="L99" s="1" t="str">
        <f t="shared" si="4"/>
        <v>0x1D03</v>
      </c>
      <c r="M99" s="1" t="str">
        <f t="shared" si="5"/>
        <v>Route 11</v>
      </c>
      <c r="N99" s="1" t="s">
        <v>1808</v>
      </c>
      <c r="O99" s="1" t="s">
        <v>1809</v>
      </c>
    </row>
    <row r="100" ht="12.75" customHeight="1">
      <c r="A100" s="1" t="s">
        <v>1412</v>
      </c>
      <c r="B100" s="1" t="s">
        <v>1385</v>
      </c>
      <c r="C100" s="1" t="str">
        <f t="shared" si="1"/>
        <v>1E03</v>
      </c>
      <c r="D100" s="1" t="s">
        <v>1810</v>
      </c>
      <c r="E100" s="1" t="s">
        <v>1811</v>
      </c>
      <c r="F100" s="1" t="s">
        <v>1374</v>
      </c>
      <c r="G100" s="1" t="s">
        <v>1812</v>
      </c>
      <c r="I100" s="1" t="str">
        <f t="shared" si="2"/>
        <v>&lt;3D09B8&gt;</v>
      </c>
      <c r="J100" s="1" t="str">
        <f t="shared" si="3"/>
        <v>1E03</v>
      </c>
      <c r="L100" s="1" t="str">
        <f t="shared" si="4"/>
        <v>0x1E03</v>
      </c>
      <c r="M100" s="1" t="str">
        <f t="shared" si="5"/>
        <v>Route 12</v>
      </c>
      <c r="N100" s="1" t="s">
        <v>1813</v>
      </c>
      <c r="O100" s="1" t="s">
        <v>1814</v>
      </c>
    </row>
    <row r="101" ht="12.75" customHeight="1">
      <c r="A101" s="1" t="s">
        <v>1412</v>
      </c>
      <c r="B101" s="1" t="s">
        <v>1389</v>
      </c>
      <c r="C101" s="1" t="str">
        <f t="shared" si="1"/>
        <v>1F03</v>
      </c>
      <c r="D101" s="1" t="s">
        <v>1815</v>
      </c>
      <c r="E101" s="1" t="s">
        <v>1816</v>
      </c>
      <c r="F101" s="1" t="s">
        <v>1374</v>
      </c>
      <c r="G101" s="1" t="s">
        <v>1817</v>
      </c>
      <c r="I101" s="1" t="str">
        <f t="shared" si="2"/>
        <v>&lt;3D0A3C&gt;</v>
      </c>
      <c r="J101" s="1" t="str">
        <f t="shared" si="3"/>
        <v>1F03</v>
      </c>
      <c r="L101" s="1" t="str">
        <f t="shared" si="4"/>
        <v>0x1F03</v>
      </c>
      <c r="M101" s="1" t="str">
        <f t="shared" si="5"/>
        <v>Route 13</v>
      </c>
      <c r="N101" s="1" t="s">
        <v>1818</v>
      </c>
      <c r="O101" s="1" t="s">
        <v>1819</v>
      </c>
    </row>
    <row r="102" ht="12.75" customHeight="1">
      <c r="A102" s="1" t="s">
        <v>1412</v>
      </c>
      <c r="B102" s="1" t="s">
        <v>1393</v>
      </c>
      <c r="C102" s="1" t="str">
        <f t="shared" si="1"/>
        <v>2003</v>
      </c>
      <c r="D102" s="1" t="s">
        <v>1820</v>
      </c>
      <c r="E102" s="1" t="s">
        <v>1374</v>
      </c>
      <c r="F102" s="1" t="s">
        <v>1374</v>
      </c>
      <c r="G102" s="1" t="s">
        <v>1374</v>
      </c>
      <c r="I102" s="1" t="str">
        <f t="shared" si="2"/>
        <v/>
      </c>
      <c r="J102" s="1" t="str">
        <f t="shared" si="3"/>
        <v/>
      </c>
      <c r="L102" s="1" t="str">
        <f t="shared" si="4"/>
        <v>0x2003</v>
      </c>
      <c r="M102" s="1" t="str">
        <f t="shared" si="5"/>
        <v>Route 14</v>
      </c>
      <c r="N102" s="1" t="s">
        <v>1821</v>
      </c>
      <c r="O102" s="1" t="s">
        <v>1822</v>
      </c>
    </row>
    <row r="103" ht="12.75" customHeight="1">
      <c r="A103" s="1" t="s">
        <v>1412</v>
      </c>
      <c r="B103" s="1" t="s">
        <v>1397</v>
      </c>
      <c r="C103" s="1" t="str">
        <f t="shared" si="1"/>
        <v>2103</v>
      </c>
      <c r="D103" s="1" t="s">
        <v>1823</v>
      </c>
      <c r="E103" s="1" t="s">
        <v>1374</v>
      </c>
      <c r="F103" s="1" t="s">
        <v>1374</v>
      </c>
      <c r="G103" s="1" t="s">
        <v>1374</v>
      </c>
      <c r="I103" s="1" t="str">
        <f t="shared" si="2"/>
        <v/>
      </c>
      <c r="J103" s="1" t="str">
        <f t="shared" si="3"/>
        <v/>
      </c>
      <c r="L103" s="1" t="str">
        <f t="shared" si="4"/>
        <v>0x2103</v>
      </c>
      <c r="M103" s="1" t="str">
        <f t="shared" si="5"/>
        <v>Route 15</v>
      </c>
      <c r="N103" s="1" t="s">
        <v>1824</v>
      </c>
      <c r="O103" s="1" t="s">
        <v>1825</v>
      </c>
    </row>
    <row r="104" ht="12.75" customHeight="1">
      <c r="A104" s="1" t="s">
        <v>1412</v>
      </c>
      <c r="B104" s="1" t="s">
        <v>1826</v>
      </c>
      <c r="C104" s="1" t="str">
        <f t="shared" si="1"/>
        <v>2203</v>
      </c>
      <c r="D104" s="1" t="s">
        <v>1827</v>
      </c>
      <c r="E104" s="1" t="s">
        <v>1374</v>
      </c>
      <c r="F104" s="1" t="s">
        <v>1374</v>
      </c>
      <c r="G104" s="1" t="s">
        <v>1374</v>
      </c>
      <c r="I104" s="1" t="str">
        <f t="shared" si="2"/>
        <v/>
      </c>
      <c r="J104" s="1" t="str">
        <f t="shared" si="3"/>
        <v/>
      </c>
      <c r="L104" s="1" t="str">
        <f t="shared" si="4"/>
        <v>0x2203</v>
      </c>
      <c r="M104" s="1" t="str">
        <f t="shared" si="5"/>
        <v>Route 16</v>
      </c>
      <c r="N104" s="1" t="s">
        <v>1828</v>
      </c>
      <c r="O104" s="1" t="s">
        <v>1829</v>
      </c>
    </row>
    <row r="105" ht="12.75" customHeight="1">
      <c r="A105" s="1" t="s">
        <v>1412</v>
      </c>
      <c r="B105" s="1" t="s">
        <v>1830</v>
      </c>
      <c r="C105" s="1" t="str">
        <f t="shared" si="1"/>
        <v>2303</v>
      </c>
      <c r="D105" s="1" t="s">
        <v>1831</v>
      </c>
      <c r="E105" s="1" t="s">
        <v>1374</v>
      </c>
      <c r="F105" s="1" t="s">
        <v>1374</v>
      </c>
      <c r="G105" s="1" t="s">
        <v>1374</v>
      </c>
      <c r="I105" s="1" t="str">
        <f t="shared" si="2"/>
        <v/>
      </c>
      <c r="J105" s="1" t="str">
        <f t="shared" si="3"/>
        <v/>
      </c>
      <c r="L105" s="1" t="str">
        <f t="shared" si="4"/>
        <v>0x2303</v>
      </c>
      <c r="M105" s="1" t="str">
        <f t="shared" si="5"/>
        <v>Route 17</v>
      </c>
      <c r="N105" s="1" t="s">
        <v>1832</v>
      </c>
      <c r="O105" s="1" t="s">
        <v>1833</v>
      </c>
    </row>
    <row r="106" ht="12.75" customHeight="1">
      <c r="A106" s="1" t="s">
        <v>1412</v>
      </c>
      <c r="B106" s="1" t="s">
        <v>1834</v>
      </c>
      <c r="C106" s="1" t="str">
        <f t="shared" si="1"/>
        <v>2403</v>
      </c>
      <c r="D106" s="1" t="s">
        <v>1835</v>
      </c>
      <c r="E106" s="1" t="s">
        <v>1374</v>
      </c>
      <c r="F106" s="1" t="s">
        <v>1374</v>
      </c>
      <c r="G106" s="1" t="s">
        <v>1374</v>
      </c>
      <c r="I106" s="1" t="str">
        <f t="shared" si="2"/>
        <v/>
      </c>
      <c r="J106" s="1" t="str">
        <f t="shared" si="3"/>
        <v/>
      </c>
      <c r="L106" s="1" t="str">
        <f t="shared" si="4"/>
        <v>0x2403</v>
      </c>
      <c r="M106" s="1" t="str">
        <f t="shared" si="5"/>
        <v>Route 18</v>
      </c>
      <c r="N106" s="1" t="s">
        <v>1836</v>
      </c>
      <c r="O106" s="1" t="s">
        <v>1837</v>
      </c>
    </row>
    <row r="107" ht="12.75" customHeight="1">
      <c r="A107" s="1" t="s">
        <v>1412</v>
      </c>
      <c r="B107" s="1" t="s">
        <v>1421</v>
      </c>
      <c r="C107" s="1" t="str">
        <f t="shared" si="1"/>
        <v>2503</v>
      </c>
      <c r="D107" s="1" t="s">
        <v>1374</v>
      </c>
      <c r="E107" s="1" t="s">
        <v>1838</v>
      </c>
      <c r="F107" s="1" t="s">
        <v>1374</v>
      </c>
      <c r="G107" s="1" t="s">
        <v>1839</v>
      </c>
      <c r="I107" s="1" t="str">
        <f t="shared" si="2"/>
        <v>&lt;3D0BA0&gt;</v>
      </c>
      <c r="J107" s="1" t="str">
        <f t="shared" si="3"/>
        <v>2503</v>
      </c>
      <c r="L107" s="1" t="str">
        <f t="shared" si="4"/>
        <v>0x2503</v>
      </c>
      <c r="M107" s="1" t="str">
        <f t="shared" si="5"/>
        <v>Route 19</v>
      </c>
      <c r="N107" s="1" t="s">
        <v>1840</v>
      </c>
      <c r="O107" s="1" t="s">
        <v>1841</v>
      </c>
    </row>
    <row r="108" ht="12.75" customHeight="1">
      <c r="A108" s="1" t="s">
        <v>1412</v>
      </c>
      <c r="B108" s="1" t="s">
        <v>1842</v>
      </c>
      <c r="C108" s="1" t="str">
        <f t="shared" si="1"/>
        <v>2603</v>
      </c>
      <c r="D108" s="1" t="s">
        <v>1374</v>
      </c>
      <c r="E108" s="1" t="s">
        <v>1843</v>
      </c>
      <c r="F108" s="1" t="s">
        <v>1374</v>
      </c>
      <c r="G108" s="1" t="s">
        <v>1844</v>
      </c>
      <c r="I108" s="1" t="str">
        <f t="shared" si="2"/>
        <v>&lt;3D0BEC&gt;</v>
      </c>
      <c r="J108" s="1" t="str">
        <f t="shared" si="3"/>
        <v>2603</v>
      </c>
      <c r="L108" s="1" t="str">
        <f t="shared" si="4"/>
        <v>0x2603</v>
      </c>
      <c r="M108" s="1" t="str">
        <f t="shared" si="5"/>
        <v>Route 20</v>
      </c>
      <c r="N108" s="1" t="s">
        <v>1845</v>
      </c>
      <c r="O108" s="1" t="s">
        <v>1846</v>
      </c>
    </row>
    <row r="109" ht="12.75" customHeight="1">
      <c r="A109" s="1" t="s">
        <v>1412</v>
      </c>
      <c r="B109" s="1" t="s">
        <v>1425</v>
      </c>
      <c r="C109" s="1" t="str">
        <f t="shared" si="1"/>
        <v>2703</v>
      </c>
      <c r="D109" s="1" t="s">
        <v>1847</v>
      </c>
      <c r="E109" s="1" t="s">
        <v>1848</v>
      </c>
      <c r="F109" s="1" t="s">
        <v>1374</v>
      </c>
      <c r="G109" s="1" t="s">
        <v>1849</v>
      </c>
      <c r="I109" s="1" t="str">
        <f t="shared" si="2"/>
        <v>&lt;3D0C70&gt;</v>
      </c>
      <c r="J109" s="1" t="str">
        <f t="shared" si="3"/>
        <v>2703</v>
      </c>
      <c r="L109" s="1" t="str">
        <f t="shared" si="4"/>
        <v>0x2703</v>
      </c>
      <c r="M109" s="1" t="str">
        <f t="shared" si="5"/>
        <v>Route 21 North</v>
      </c>
      <c r="N109" s="1" t="s">
        <v>1850</v>
      </c>
      <c r="O109" s="1" t="s">
        <v>1851</v>
      </c>
    </row>
    <row r="110" ht="12.75" customHeight="1">
      <c r="A110" s="1" t="s">
        <v>1412</v>
      </c>
      <c r="B110" s="1" t="s">
        <v>1429</v>
      </c>
      <c r="C110" s="1" t="str">
        <f t="shared" si="1"/>
        <v>2803</v>
      </c>
      <c r="D110" s="1" t="s">
        <v>1852</v>
      </c>
      <c r="E110" s="1" t="s">
        <v>1853</v>
      </c>
      <c r="F110" s="1" t="s">
        <v>1374</v>
      </c>
      <c r="G110" s="1" t="s">
        <v>1854</v>
      </c>
      <c r="I110" s="1" t="str">
        <f t="shared" si="2"/>
        <v>&lt;3D0CF4&gt;</v>
      </c>
      <c r="J110" s="1" t="str">
        <f t="shared" si="3"/>
        <v>2803</v>
      </c>
      <c r="L110" s="1" t="str">
        <f t="shared" si="4"/>
        <v>0x2803</v>
      </c>
      <c r="M110" s="1" t="str">
        <f t="shared" si="5"/>
        <v>Route 21 South</v>
      </c>
      <c r="N110" s="1" t="s">
        <v>1855</v>
      </c>
      <c r="O110" s="1" t="s">
        <v>1856</v>
      </c>
    </row>
    <row r="111" ht="12.75" customHeight="1">
      <c r="A111" s="1" t="s">
        <v>1412</v>
      </c>
      <c r="B111" s="1" t="s">
        <v>1433</v>
      </c>
      <c r="C111" s="1" t="str">
        <f t="shared" si="1"/>
        <v>2903</v>
      </c>
      <c r="D111" s="1" t="s">
        <v>1857</v>
      </c>
      <c r="E111" s="1" t="s">
        <v>1858</v>
      </c>
      <c r="F111" s="1" t="s">
        <v>1374</v>
      </c>
      <c r="G111" s="1" t="s">
        <v>1859</v>
      </c>
      <c r="I111" s="1" t="str">
        <f t="shared" si="2"/>
        <v>&lt;3D0D78&gt;</v>
      </c>
      <c r="J111" s="1" t="str">
        <f t="shared" si="3"/>
        <v>2903</v>
      </c>
      <c r="L111" s="1" t="str">
        <f t="shared" si="4"/>
        <v>0x2903</v>
      </c>
      <c r="M111" s="1" t="str">
        <f t="shared" si="5"/>
        <v>Route 22</v>
      </c>
      <c r="N111" s="1" t="s">
        <v>1860</v>
      </c>
      <c r="O111" s="1" t="s">
        <v>1861</v>
      </c>
    </row>
    <row r="112" ht="12.75" customHeight="1">
      <c r="A112" s="1" t="s">
        <v>1412</v>
      </c>
      <c r="B112" s="1" t="s">
        <v>1862</v>
      </c>
      <c r="C112" s="1" t="str">
        <f t="shared" si="1"/>
        <v>2A03</v>
      </c>
      <c r="D112" s="1" t="s">
        <v>1863</v>
      </c>
      <c r="E112" s="1" t="s">
        <v>1864</v>
      </c>
      <c r="F112" s="1" t="s">
        <v>1374</v>
      </c>
      <c r="G112" s="1" t="s">
        <v>1865</v>
      </c>
      <c r="I112" s="1" t="str">
        <f t="shared" si="2"/>
        <v>&lt;3D0DFC&gt;</v>
      </c>
      <c r="J112" s="1" t="str">
        <f t="shared" si="3"/>
        <v>2A03</v>
      </c>
      <c r="L112" s="1" t="str">
        <f t="shared" si="4"/>
        <v>0x2A03</v>
      </c>
      <c r="M112" s="1" t="str">
        <f t="shared" si="5"/>
        <v>Route 23</v>
      </c>
      <c r="N112" s="1" t="s">
        <v>1866</v>
      </c>
      <c r="O112" s="1" t="s">
        <v>1867</v>
      </c>
    </row>
    <row r="113" ht="12.75" customHeight="1">
      <c r="A113" s="1" t="s">
        <v>1412</v>
      </c>
      <c r="B113" s="1" t="s">
        <v>1868</v>
      </c>
      <c r="C113" s="1" t="str">
        <f t="shared" si="1"/>
        <v>2B03</v>
      </c>
      <c r="D113" s="1" t="s">
        <v>1869</v>
      </c>
      <c r="E113" s="1" t="s">
        <v>1870</v>
      </c>
      <c r="F113" s="1" t="s">
        <v>1374</v>
      </c>
      <c r="G113" s="1" t="s">
        <v>1871</v>
      </c>
      <c r="I113" s="1" t="str">
        <f t="shared" si="2"/>
        <v>&lt;3D0E80&gt;</v>
      </c>
      <c r="J113" s="1" t="str">
        <f t="shared" si="3"/>
        <v>2B03</v>
      </c>
      <c r="L113" s="1" t="str">
        <f t="shared" si="4"/>
        <v>0x2B03</v>
      </c>
      <c r="M113" s="1" t="str">
        <f t="shared" si="5"/>
        <v>Route 24</v>
      </c>
      <c r="N113" s="1" t="s">
        <v>1872</v>
      </c>
      <c r="O113" s="1" t="s">
        <v>1873</v>
      </c>
    </row>
    <row r="114" ht="12.75" customHeight="1">
      <c r="A114" s="1" t="s">
        <v>1412</v>
      </c>
      <c r="B114" s="1" t="s">
        <v>1874</v>
      </c>
      <c r="C114" s="1" t="str">
        <f t="shared" si="1"/>
        <v>2C03</v>
      </c>
      <c r="D114" s="1" t="s">
        <v>1875</v>
      </c>
      <c r="E114" s="1" t="s">
        <v>1876</v>
      </c>
      <c r="F114" s="1" t="s">
        <v>1374</v>
      </c>
      <c r="G114" s="1" t="s">
        <v>1877</v>
      </c>
      <c r="I114" s="1" t="str">
        <f t="shared" si="2"/>
        <v>&lt;3D0F04&gt;</v>
      </c>
      <c r="J114" s="1" t="str">
        <f t="shared" si="3"/>
        <v>2C03</v>
      </c>
      <c r="L114" s="1" t="str">
        <f t="shared" si="4"/>
        <v>0x2C03</v>
      </c>
      <c r="M114" s="1" t="str">
        <f t="shared" si="5"/>
        <v>Route 25</v>
      </c>
      <c r="N114" s="1" t="s">
        <v>1878</v>
      </c>
      <c r="O114" s="1" t="s">
        <v>1879</v>
      </c>
    </row>
    <row r="115" ht="12.75" customHeight="1">
      <c r="A115" s="1" t="s">
        <v>1412</v>
      </c>
      <c r="B115" s="1" t="s">
        <v>1402</v>
      </c>
      <c r="C115" s="1" t="str">
        <f t="shared" si="1"/>
        <v>0003</v>
      </c>
      <c r="D115" s="1" t="s">
        <v>1374</v>
      </c>
      <c r="E115" s="1" t="s">
        <v>1880</v>
      </c>
      <c r="F115" s="1" t="s">
        <v>1374</v>
      </c>
      <c r="G115" s="1" t="s">
        <v>1881</v>
      </c>
      <c r="I115" s="1" t="str">
        <f t="shared" si="2"/>
        <v>&lt;3D0F50&gt;</v>
      </c>
      <c r="J115" s="1" t="str">
        <f t="shared" si="3"/>
        <v>0003</v>
      </c>
      <c r="L115" s="1" t="str">
        <f t="shared" si="4"/>
        <v>0x0003</v>
      </c>
      <c r="M115" s="1" t="str">
        <f t="shared" si="5"/>
        <v>Pallet Town</v>
      </c>
      <c r="N115" s="1" t="s">
        <v>1882</v>
      </c>
      <c r="O115" s="1" t="s">
        <v>1883</v>
      </c>
    </row>
    <row r="116" ht="12.75" customHeight="1">
      <c r="A116" s="1" t="s">
        <v>1412</v>
      </c>
      <c r="B116" s="1" t="s">
        <v>1401</v>
      </c>
      <c r="C116" s="1" t="str">
        <f t="shared" si="1"/>
        <v>0103</v>
      </c>
      <c r="D116" s="1" t="s">
        <v>1374</v>
      </c>
      <c r="E116" s="1" t="s">
        <v>1884</v>
      </c>
      <c r="F116" s="1" t="s">
        <v>1374</v>
      </c>
      <c r="G116" s="1" t="s">
        <v>1885</v>
      </c>
      <c r="I116" s="1" t="str">
        <f t="shared" si="2"/>
        <v>&lt;3D0F9C&gt;</v>
      </c>
      <c r="J116" s="1" t="str">
        <f t="shared" si="3"/>
        <v>0103</v>
      </c>
      <c r="L116" s="1" t="str">
        <f t="shared" si="4"/>
        <v>0x0103</v>
      </c>
      <c r="M116" s="1" t="str">
        <f t="shared" si="5"/>
        <v>Viridian City</v>
      </c>
      <c r="N116" s="1" t="s">
        <v>1886</v>
      </c>
      <c r="O116" s="1" t="s">
        <v>1887</v>
      </c>
    </row>
    <row r="117" ht="12.75" customHeight="1">
      <c r="A117" s="1" t="s">
        <v>1412</v>
      </c>
      <c r="B117" s="1" t="s">
        <v>1412</v>
      </c>
      <c r="C117" s="1" t="str">
        <f t="shared" si="1"/>
        <v>0303</v>
      </c>
      <c r="D117" s="1" t="s">
        <v>1374</v>
      </c>
      <c r="E117" s="1" t="s">
        <v>1888</v>
      </c>
      <c r="F117" s="1" t="s">
        <v>1374</v>
      </c>
      <c r="G117" s="1" t="s">
        <v>1889</v>
      </c>
      <c r="I117" s="1" t="str">
        <f t="shared" si="2"/>
        <v>&lt;3D0FE8&gt;</v>
      </c>
      <c r="J117" s="1" t="str">
        <f t="shared" si="3"/>
        <v>0303</v>
      </c>
      <c r="L117" s="1" t="str">
        <f t="shared" si="4"/>
        <v>0x0303</v>
      </c>
      <c r="M117" s="1" t="str">
        <f t="shared" si="5"/>
        <v>Celurean City</v>
      </c>
      <c r="N117" s="1" t="s">
        <v>1890</v>
      </c>
      <c r="O117" s="1" t="s">
        <v>1891</v>
      </c>
    </row>
    <row r="118" ht="12.75" customHeight="1">
      <c r="A118" s="1" t="s">
        <v>1412</v>
      </c>
      <c r="B118" s="1" t="s">
        <v>1892</v>
      </c>
      <c r="C118" s="1" t="str">
        <f t="shared" si="1"/>
        <v>0503</v>
      </c>
      <c r="D118" s="1" t="s">
        <v>1374</v>
      </c>
      <c r="E118" s="1" t="s">
        <v>1893</v>
      </c>
      <c r="F118" s="1" t="s">
        <v>1374</v>
      </c>
      <c r="G118" s="1" t="s">
        <v>1894</v>
      </c>
      <c r="I118" s="1" t="str">
        <f t="shared" si="2"/>
        <v>&lt;3D1034&gt;</v>
      </c>
      <c r="J118" s="1" t="str">
        <f t="shared" si="3"/>
        <v>0503</v>
      </c>
      <c r="L118" s="1" t="str">
        <f t="shared" si="4"/>
        <v>0x0503</v>
      </c>
      <c r="M118" s="1" t="str">
        <f t="shared" si="5"/>
        <v>Vermilion City</v>
      </c>
      <c r="N118" s="1" t="s">
        <v>1895</v>
      </c>
      <c r="O118" s="1" t="s">
        <v>1896</v>
      </c>
    </row>
    <row r="119" ht="12.75" customHeight="1">
      <c r="A119" s="1" t="s">
        <v>1412</v>
      </c>
      <c r="B119" s="1" t="s">
        <v>1897</v>
      </c>
      <c r="C119" s="1" t="str">
        <f t="shared" si="1"/>
        <v>0603</v>
      </c>
      <c r="D119" s="1" t="s">
        <v>1374</v>
      </c>
      <c r="E119" s="1" t="s">
        <v>1898</v>
      </c>
      <c r="F119" s="1" t="s">
        <v>1374</v>
      </c>
      <c r="G119" s="1" t="s">
        <v>1899</v>
      </c>
      <c r="I119" s="1" t="str">
        <f t="shared" si="2"/>
        <v>&lt;3D1080&gt;</v>
      </c>
      <c r="J119" s="1" t="str">
        <f t="shared" si="3"/>
        <v>0603</v>
      </c>
      <c r="L119" s="1" t="str">
        <f t="shared" si="4"/>
        <v>0x0603</v>
      </c>
      <c r="M119" s="1" t="str">
        <f t="shared" si="5"/>
        <v>Celadon City</v>
      </c>
      <c r="N119" s="1" t="s">
        <v>1900</v>
      </c>
      <c r="O119" s="1" t="s">
        <v>1901</v>
      </c>
    </row>
    <row r="120" ht="12.75" customHeight="1">
      <c r="A120" s="1" t="s">
        <v>1412</v>
      </c>
      <c r="B120" s="1" t="s">
        <v>1902</v>
      </c>
      <c r="C120" s="1" t="str">
        <f t="shared" si="1"/>
        <v>0703</v>
      </c>
      <c r="D120" s="1" t="s">
        <v>1374</v>
      </c>
      <c r="E120" s="1" t="s">
        <v>1903</v>
      </c>
      <c r="F120" s="1" t="s">
        <v>1374</v>
      </c>
      <c r="G120" s="1" t="s">
        <v>1904</v>
      </c>
      <c r="I120" s="1" t="str">
        <f t="shared" si="2"/>
        <v>&lt;3D10CC&gt;</v>
      </c>
      <c r="J120" s="1" t="str">
        <f t="shared" si="3"/>
        <v>0703</v>
      </c>
      <c r="L120" s="1" t="str">
        <f t="shared" si="4"/>
        <v>0x0703</v>
      </c>
      <c r="M120" s="1" t="str">
        <f t="shared" si="5"/>
        <v>Fuchsia City</v>
      </c>
      <c r="N120" s="1" t="s">
        <v>1905</v>
      </c>
      <c r="O120" s="1" t="s">
        <v>1906</v>
      </c>
    </row>
    <row r="121" ht="12.75" customHeight="1">
      <c r="A121" s="1" t="s">
        <v>1412</v>
      </c>
      <c r="B121" s="1" t="s">
        <v>1907</v>
      </c>
      <c r="C121" s="1" t="str">
        <f t="shared" si="1"/>
        <v>0803</v>
      </c>
      <c r="D121" s="1" t="s">
        <v>1374</v>
      </c>
      <c r="E121" s="1" t="s">
        <v>1908</v>
      </c>
      <c r="F121" s="1" t="s">
        <v>1374</v>
      </c>
      <c r="G121" s="1" t="s">
        <v>1909</v>
      </c>
      <c r="I121" s="1" t="str">
        <f t="shared" si="2"/>
        <v>&lt;3D1118&gt;</v>
      </c>
      <c r="J121" s="1" t="str">
        <f t="shared" si="3"/>
        <v>0803</v>
      </c>
      <c r="L121" s="1" t="str">
        <f t="shared" si="4"/>
        <v>0x0803</v>
      </c>
      <c r="M121" s="1" t="str">
        <f t="shared" si="5"/>
        <v>Cinnabar Island</v>
      </c>
      <c r="N121" s="1" t="s">
        <v>1910</v>
      </c>
      <c r="O121" s="1" t="s">
        <v>1911</v>
      </c>
    </row>
    <row r="122" ht="12.75" customHeight="1">
      <c r="A122" s="1" t="s">
        <v>1412</v>
      </c>
      <c r="B122" s="1" t="s">
        <v>1912</v>
      </c>
      <c r="C122" s="1" t="str">
        <f t="shared" si="1"/>
        <v>0C03</v>
      </c>
      <c r="D122" s="1" t="s">
        <v>1374</v>
      </c>
      <c r="E122" s="1" t="s">
        <v>1913</v>
      </c>
      <c r="F122" s="1" t="s">
        <v>1374</v>
      </c>
      <c r="G122" s="1" t="s">
        <v>1914</v>
      </c>
      <c r="I122" s="1" t="str">
        <f t="shared" si="2"/>
        <v>&lt;3D1164&gt;</v>
      </c>
      <c r="J122" s="1" t="str">
        <f t="shared" si="3"/>
        <v>0C03</v>
      </c>
      <c r="L122" s="1" t="str">
        <f t="shared" si="4"/>
        <v>0x0C03</v>
      </c>
      <c r="M122" s="1" t="str">
        <f t="shared" si="5"/>
        <v>One Island</v>
      </c>
      <c r="N122" s="1" t="s">
        <v>1915</v>
      </c>
      <c r="O122" s="1" t="s">
        <v>1916</v>
      </c>
    </row>
    <row r="123" ht="12.75" customHeight="1">
      <c r="A123" s="1" t="s">
        <v>1412</v>
      </c>
      <c r="B123" s="1" t="s">
        <v>1636</v>
      </c>
      <c r="C123" s="1" t="str">
        <f t="shared" si="1"/>
        <v>0F03</v>
      </c>
      <c r="D123" s="1" t="s">
        <v>1374</v>
      </c>
      <c r="E123" s="1" t="s">
        <v>1917</v>
      </c>
      <c r="F123" s="1" t="s">
        <v>1374</v>
      </c>
      <c r="G123" s="1" t="s">
        <v>1918</v>
      </c>
      <c r="I123" s="1" t="str">
        <f t="shared" si="2"/>
        <v>&lt;3D11B0&gt;</v>
      </c>
      <c r="J123" s="1" t="str">
        <f t="shared" si="3"/>
        <v>0F03</v>
      </c>
      <c r="L123" s="1" t="str">
        <f t="shared" si="4"/>
        <v>0x0F03</v>
      </c>
      <c r="M123" s="1" t="str">
        <f t="shared" si="5"/>
        <v>Four Island</v>
      </c>
      <c r="N123" s="1" t="s">
        <v>1919</v>
      </c>
      <c r="O123" s="1" t="s">
        <v>1920</v>
      </c>
    </row>
    <row r="124" ht="12.75" customHeight="1">
      <c r="A124" s="1" t="s">
        <v>1412</v>
      </c>
      <c r="B124" s="1" t="s">
        <v>1640</v>
      </c>
      <c r="C124" s="1" t="str">
        <f t="shared" si="1"/>
        <v>1003</v>
      </c>
      <c r="D124" s="1" t="s">
        <v>1374</v>
      </c>
      <c r="E124" s="1" t="s">
        <v>1921</v>
      </c>
      <c r="F124" s="1" t="s">
        <v>1374</v>
      </c>
      <c r="G124" s="1" t="s">
        <v>1922</v>
      </c>
      <c r="I124" s="1" t="str">
        <f t="shared" si="2"/>
        <v>&lt;3D11FC&gt;</v>
      </c>
      <c r="J124" s="1" t="str">
        <f t="shared" si="3"/>
        <v>1003</v>
      </c>
      <c r="L124" s="1" t="str">
        <f t="shared" si="4"/>
        <v>0x1003</v>
      </c>
      <c r="M124" s="1" t="str">
        <f t="shared" si="5"/>
        <v>Five Island</v>
      </c>
      <c r="N124" s="1" t="s">
        <v>1923</v>
      </c>
      <c r="O124" s="1" t="s">
        <v>1924</v>
      </c>
    </row>
    <row r="125" ht="12.75" customHeight="1">
      <c r="A125" s="1" t="s">
        <v>1401</v>
      </c>
      <c r="B125" s="1" t="s">
        <v>1925</v>
      </c>
      <c r="C125" s="1" t="str">
        <f t="shared" si="1"/>
        <v>7A01</v>
      </c>
      <c r="D125" s="1" t="s">
        <v>1926</v>
      </c>
      <c r="E125" s="1" t="s">
        <v>1374</v>
      </c>
      <c r="F125" s="1" t="s">
        <v>1374</v>
      </c>
      <c r="G125" s="1" t="s">
        <v>1374</v>
      </c>
      <c r="I125" s="1" t="str">
        <f t="shared" si="2"/>
        <v/>
      </c>
      <c r="J125" s="1" t="str">
        <f t="shared" si="3"/>
        <v/>
      </c>
      <c r="L125" s="1" t="str">
        <f t="shared" si="4"/>
        <v>0x7A01</v>
      </c>
      <c r="M125" s="1" t="str">
        <f t="shared" si="5"/>
        <v>Six Island Altering Cave</v>
      </c>
      <c r="N125" s="1" t="s">
        <v>1927</v>
      </c>
      <c r="O125" s="1" t="s">
        <v>1928</v>
      </c>
    </row>
    <row r="126" ht="12.75" customHeight="1">
      <c r="A126" s="1" t="s">
        <v>1401</v>
      </c>
      <c r="B126" s="1" t="s">
        <v>1925</v>
      </c>
      <c r="C126" s="1" t="str">
        <f t="shared" si="1"/>
        <v>7A01</v>
      </c>
      <c r="D126" s="1" t="s">
        <v>1929</v>
      </c>
      <c r="E126" s="1" t="s">
        <v>1374</v>
      </c>
      <c r="F126" s="1" t="s">
        <v>1374</v>
      </c>
      <c r="G126" s="1" t="s">
        <v>1374</v>
      </c>
      <c r="I126" s="1" t="str">
        <f t="shared" si="2"/>
        <v/>
      </c>
      <c r="J126" s="1" t="str">
        <f t="shared" si="3"/>
        <v/>
      </c>
      <c r="L126" s="1" t="str">
        <f t="shared" si="4"/>
        <v>0x7A01</v>
      </c>
      <c r="M126" s="1" t="str">
        <f t="shared" si="5"/>
        <v>Six Island Altering Cave</v>
      </c>
      <c r="N126" s="1" t="s">
        <v>1930</v>
      </c>
      <c r="O126" s="1" t="s">
        <v>1931</v>
      </c>
    </row>
    <row r="127" ht="12.75" customHeight="1">
      <c r="A127" s="1" t="s">
        <v>1401</v>
      </c>
      <c r="B127" s="1" t="s">
        <v>1925</v>
      </c>
      <c r="C127" s="1" t="str">
        <f t="shared" si="1"/>
        <v>7A01</v>
      </c>
      <c r="D127" s="1" t="s">
        <v>1932</v>
      </c>
      <c r="E127" s="1" t="s">
        <v>1374</v>
      </c>
      <c r="F127" s="1" t="s">
        <v>1374</v>
      </c>
      <c r="G127" s="1" t="s">
        <v>1374</v>
      </c>
      <c r="I127" s="1" t="str">
        <f t="shared" si="2"/>
        <v/>
      </c>
      <c r="J127" s="1" t="str">
        <f t="shared" si="3"/>
        <v/>
      </c>
      <c r="L127" s="1" t="str">
        <f t="shared" si="4"/>
        <v>0x7A01</v>
      </c>
      <c r="M127" s="1" t="str">
        <f t="shared" si="5"/>
        <v>Six Island Altering Cave</v>
      </c>
      <c r="N127" s="1" t="s">
        <v>1933</v>
      </c>
      <c r="O127" s="1" t="s">
        <v>1934</v>
      </c>
    </row>
    <row r="128" ht="12.75" customHeight="1">
      <c r="A128" s="1" t="s">
        <v>1401</v>
      </c>
      <c r="B128" s="1" t="s">
        <v>1925</v>
      </c>
      <c r="C128" s="1" t="str">
        <f t="shared" si="1"/>
        <v>7A01</v>
      </c>
      <c r="D128" s="1" t="s">
        <v>1935</v>
      </c>
      <c r="E128" s="1" t="s">
        <v>1374</v>
      </c>
      <c r="F128" s="1" t="s">
        <v>1374</v>
      </c>
      <c r="G128" s="1" t="s">
        <v>1374</v>
      </c>
      <c r="I128" s="1" t="str">
        <f t="shared" si="2"/>
        <v/>
      </c>
      <c r="J128" s="1" t="str">
        <f t="shared" si="3"/>
        <v/>
      </c>
      <c r="L128" s="1" t="str">
        <f t="shared" si="4"/>
        <v>0x7A01</v>
      </c>
      <c r="M128" s="1" t="str">
        <f t="shared" si="5"/>
        <v>Six Island Altering Cave</v>
      </c>
      <c r="N128" s="1" t="s">
        <v>1936</v>
      </c>
      <c r="O128" s="1" t="s">
        <v>1937</v>
      </c>
    </row>
    <row r="129" ht="12.75" customHeight="1">
      <c r="A129" s="1" t="s">
        <v>1401</v>
      </c>
      <c r="B129" s="1" t="s">
        <v>1925</v>
      </c>
      <c r="C129" s="1" t="str">
        <f t="shared" si="1"/>
        <v>7A01</v>
      </c>
      <c r="D129" s="1" t="s">
        <v>1938</v>
      </c>
      <c r="E129" s="1" t="s">
        <v>1374</v>
      </c>
      <c r="F129" s="1" t="s">
        <v>1374</v>
      </c>
      <c r="G129" s="1" t="s">
        <v>1374</v>
      </c>
      <c r="I129" s="1" t="str">
        <f t="shared" si="2"/>
        <v/>
      </c>
      <c r="J129" s="1" t="str">
        <f t="shared" si="3"/>
        <v/>
      </c>
      <c r="L129" s="1" t="str">
        <f t="shared" si="4"/>
        <v>0x7A01</v>
      </c>
      <c r="M129" s="1" t="str">
        <f t="shared" si="5"/>
        <v>Six Island Altering Cave</v>
      </c>
      <c r="N129" s="1" t="s">
        <v>1939</v>
      </c>
      <c r="O129" s="1" t="s">
        <v>1940</v>
      </c>
    </row>
    <row r="130" ht="12.75" customHeight="1">
      <c r="A130" s="1" t="s">
        <v>1401</v>
      </c>
      <c r="B130" s="1" t="s">
        <v>1925</v>
      </c>
      <c r="C130" s="1" t="str">
        <f t="shared" si="1"/>
        <v>7A01</v>
      </c>
      <c r="D130" s="1" t="s">
        <v>1941</v>
      </c>
      <c r="E130" s="1" t="s">
        <v>1374</v>
      </c>
      <c r="F130" s="1" t="s">
        <v>1374</v>
      </c>
      <c r="G130" s="1" t="s">
        <v>1374</v>
      </c>
      <c r="I130" s="1" t="str">
        <f t="shared" si="2"/>
        <v/>
      </c>
      <c r="J130" s="1" t="str">
        <f t="shared" si="3"/>
        <v/>
      </c>
      <c r="L130" s="1" t="str">
        <f t="shared" si="4"/>
        <v>0x7A01</v>
      </c>
      <c r="M130" s="1" t="str">
        <f t="shared" si="5"/>
        <v>Six Island Altering Cave</v>
      </c>
      <c r="N130" s="1" t="s">
        <v>1942</v>
      </c>
      <c r="O130" s="1" t="s">
        <v>1943</v>
      </c>
    </row>
    <row r="131" ht="12.75" customHeight="1">
      <c r="A131" s="1" t="s">
        <v>1401</v>
      </c>
      <c r="B131" s="1" t="s">
        <v>1925</v>
      </c>
      <c r="C131" s="1" t="str">
        <f t="shared" si="1"/>
        <v>7A01</v>
      </c>
      <c r="D131" s="1" t="s">
        <v>1944</v>
      </c>
      <c r="E131" s="1" t="s">
        <v>1374</v>
      </c>
      <c r="F131" s="1" t="s">
        <v>1374</v>
      </c>
      <c r="G131" s="1" t="s">
        <v>1374</v>
      </c>
      <c r="I131" s="1" t="str">
        <f t="shared" si="2"/>
        <v/>
      </c>
      <c r="J131" s="1" t="str">
        <f t="shared" si="3"/>
        <v/>
      </c>
      <c r="L131" s="1" t="str">
        <f t="shared" si="4"/>
        <v>0x7A01</v>
      </c>
      <c r="M131" s="1" t="str">
        <f t="shared" si="5"/>
        <v>Six Island Altering Cave</v>
      </c>
      <c r="N131" s="1" t="s">
        <v>1945</v>
      </c>
      <c r="O131" s="1" t="s">
        <v>1946</v>
      </c>
    </row>
    <row r="132" ht="12.75" customHeight="1">
      <c r="A132" s="1" t="s">
        <v>1401</v>
      </c>
      <c r="B132" s="1" t="s">
        <v>1925</v>
      </c>
      <c r="C132" s="1" t="str">
        <f t="shared" si="1"/>
        <v>7A01</v>
      </c>
      <c r="D132" s="1" t="s">
        <v>1947</v>
      </c>
      <c r="E132" s="1" t="s">
        <v>1374</v>
      </c>
      <c r="F132" s="1" t="s">
        <v>1374</v>
      </c>
      <c r="G132" s="1" t="s">
        <v>1374</v>
      </c>
      <c r="I132" s="1" t="str">
        <f t="shared" si="2"/>
        <v/>
      </c>
      <c r="J132" s="1" t="str">
        <f t="shared" si="3"/>
        <v/>
      </c>
      <c r="L132" s="1" t="str">
        <f t="shared" si="4"/>
        <v>0x7A01</v>
      </c>
      <c r="M132" s="1" t="str">
        <f t="shared" si="5"/>
        <v>Six Island Altering Cave</v>
      </c>
      <c r="N132" s="1" t="s">
        <v>1948</v>
      </c>
      <c r="O132" s="1" t="s">
        <v>1949</v>
      </c>
    </row>
    <row r="133" ht="12.75" customHeight="1">
      <c r="A133" s="1" t="s">
        <v>1401</v>
      </c>
      <c r="B133" s="1" t="s">
        <v>1925</v>
      </c>
      <c r="C133" s="1" t="str">
        <f t="shared" si="1"/>
        <v>7A01</v>
      </c>
      <c r="D133" s="1" t="s">
        <v>1950</v>
      </c>
      <c r="E133" s="1" t="s">
        <v>1374</v>
      </c>
      <c r="F133" s="1" t="s">
        <v>1374</v>
      </c>
      <c r="G133" s="1" t="s">
        <v>1374</v>
      </c>
      <c r="I133" s="1" t="str">
        <f t="shared" si="2"/>
        <v/>
      </c>
      <c r="J133" s="1" t="str">
        <f t="shared" si="3"/>
        <v/>
      </c>
      <c r="L133" s="1" t="str">
        <f t="shared" si="4"/>
        <v>0x7A01</v>
      </c>
      <c r="M133" s="1" t="str">
        <f t="shared" si="5"/>
        <v>Six Island Altering Cave</v>
      </c>
      <c r="N133" s="1" t="s">
        <v>1951</v>
      </c>
      <c r="O133" s="1" t="s">
        <v>1952</v>
      </c>
    </row>
    <row r="134" ht="12.75" customHeight="1">
      <c r="N134" s="1" t="s">
        <v>1953</v>
      </c>
      <c r="O134" s="1" t="s">
        <v>1954</v>
      </c>
    </row>
    <row r="135" ht="12.75" customHeight="1">
      <c r="N135" s="1" t="s">
        <v>1955</v>
      </c>
      <c r="O135" s="1" t="s">
        <v>1956</v>
      </c>
    </row>
    <row r="136" ht="12.75" customHeight="1">
      <c r="N136" s="1" t="s">
        <v>1957</v>
      </c>
      <c r="O136" s="1" t="s">
        <v>1958</v>
      </c>
    </row>
    <row r="137" ht="12.75" customHeight="1">
      <c r="N137" s="1" t="s">
        <v>1959</v>
      </c>
      <c r="O137" s="1" t="s">
        <v>1960</v>
      </c>
    </row>
    <row r="138" ht="12.75" customHeight="1">
      <c r="N138" s="1" t="s">
        <v>1961</v>
      </c>
      <c r="O138" s="1" t="s">
        <v>1962</v>
      </c>
    </row>
    <row r="139" ht="12.75" customHeight="1">
      <c r="N139" s="1" t="s">
        <v>1963</v>
      </c>
      <c r="O139" s="1" t="s">
        <v>1964</v>
      </c>
    </row>
    <row r="140" ht="12.75" customHeight="1">
      <c r="N140" s="1" t="s">
        <v>1965</v>
      </c>
      <c r="O140" s="1" t="s">
        <v>1966</v>
      </c>
    </row>
    <row r="141" ht="12.75" customHeight="1">
      <c r="N141" s="1" t="s">
        <v>1967</v>
      </c>
      <c r="O141" s="1" t="s">
        <v>1968</v>
      </c>
    </row>
    <row r="142" ht="12.75" customHeight="1">
      <c r="N142" s="1" t="s">
        <v>1969</v>
      </c>
      <c r="O142" s="1" t="s">
        <v>1970</v>
      </c>
    </row>
    <row r="143" ht="12.75" customHeight="1">
      <c r="N143" s="1" t="s">
        <v>1971</v>
      </c>
      <c r="O143" s="1" t="s">
        <v>1972</v>
      </c>
    </row>
    <row r="144" ht="12.75" customHeight="1">
      <c r="N144" s="1" t="s">
        <v>1973</v>
      </c>
      <c r="O144" s="1" t="s">
        <v>1974</v>
      </c>
    </row>
    <row r="145" ht="12.75" customHeight="1">
      <c r="N145" s="1" t="s">
        <v>1975</v>
      </c>
      <c r="O145" s="1" t="s">
        <v>1976</v>
      </c>
    </row>
    <row r="146" ht="12.75" customHeight="1">
      <c r="N146" s="1" t="s">
        <v>1977</v>
      </c>
      <c r="O146" s="1" t="s">
        <v>1978</v>
      </c>
    </row>
    <row r="147" ht="12.75" customHeight="1">
      <c r="N147" s="1" t="s">
        <v>1979</v>
      </c>
      <c r="O147" s="1" t="s">
        <v>1980</v>
      </c>
    </row>
    <row r="148" ht="12.75" customHeight="1">
      <c r="N148" s="1" t="s">
        <v>1981</v>
      </c>
      <c r="O148" s="1" t="s">
        <v>1982</v>
      </c>
    </row>
    <row r="149" ht="12.75" customHeight="1">
      <c r="N149" s="1" t="s">
        <v>1983</v>
      </c>
      <c r="O149" s="1" t="s">
        <v>1984</v>
      </c>
    </row>
    <row r="150" ht="12.75" customHeight="1">
      <c r="N150" s="1" t="s">
        <v>1985</v>
      </c>
      <c r="O150" s="1" t="s">
        <v>1986</v>
      </c>
    </row>
    <row r="151" ht="12.75" customHeight="1">
      <c r="N151" s="1" t="s">
        <v>1987</v>
      </c>
      <c r="O151" s="1" t="s">
        <v>1988</v>
      </c>
    </row>
    <row r="152" ht="12.75" customHeight="1">
      <c r="N152" s="1" t="s">
        <v>1989</v>
      </c>
      <c r="O152" s="1" t="s">
        <v>1990</v>
      </c>
    </row>
    <row r="153" ht="12.75" customHeight="1">
      <c r="N153" s="1" t="s">
        <v>1991</v>
      </c>
      <c r="O153" s="1" t="s">
        <v>1992</v>
      </c>
    </row>
    <row r="154" ht="12.75" customHeight="1">
      <c r="N154" s="1" t="s">
        <v>1993</v>
      </c>
      <c r="O154" s="1" t="s">
        <v>1994</v>
      </c>
    </row>
    <row r="155" ht="12.75" customHeight="1">
      <c r="N155" s="1" t="s">
        <v>1995</v>
      </c>
      <c r="O155" s="1" t="s">
        <v>1996</v>
      </c>
    </row>
    <row r="156" ht="12.75" customHeight="1">
      <c r="N156" s="1" t="s">
        <v>1997</v>
      </c>
      <c r="O156" s="1" t="s">
        <v>1998</v>
      </c>
    </row>
    <row r="157" ht="12.75" customHeight="1">
      <c r="N157" s="1" t="s">
        <v>1999</v>
      </c>
      <c r="O157" s="1" t="s">
        <v>2000</v>
      </c>
    </row>
    <row r="158" ht="12.75" customHeight="1">
      <c r="N158" s="1" t="s">
        <v>2001</v>
      </c>
      <c r="O158" s="1" t="s">
        <v>2002</v>
      </c>
    </row>
    <row r="159" ht="12.75" customHeight="1">
      <c r="N159" s="1" t="s">
        <v>2003</v>
      </c>
      <c r="O159" s="1" t="s">
        <v>2004</v>
      </c>
    </row>
    <row r="160" ht="12.75" customHeight="1">
      <c r="N160" s="1" t="s">
        <v>2005</v>
      </c>
      <c r="O160" s="1" t="s">
        <v>2006</v>
      </c>
    </row>
    <row r="161" ht="12.75" customHeight="1">
      <c r="N161" s="1" t="s">
        <v>2007</v>
      </c>
      <c r="O161" s="1" t="s">
        <v>2008</v>
      </c>
    </row>
    <row r="162" ht="12.75" customHeight="1">
      <c r="N162" s="1" t="s">
        <v>2009</v>
      </c>
      <c r="O162" s="1" t="s">
        <v>2010</v>
      </c>
    </row>
    <row r="163" ht="12.75" customHeight="1">
      <c r="N163" s="1" t="s">
        <v>2011</v>
      </c>
      <c r="O163" s="1" t="s">
        <v>2012</v>
      </c>
    </row>
    <row r="164" ht="12.75" customHeight="1">
      <c r="N164" s="1" t="s">
        <v>2013</v>
      </c>
      <c r="O164" s="1" t="s">
        <v>2014</v>
      </c>
    </row>
    <row r="165" ht="12.75" customHeight="1">
      <c r="N165" s="1" t="s">
        <v>2015</v>
      </c>
      <c r="O165" s="1" t="s">
        <v>2016</v>
      </c>
    </row>
    <row r="166" ht="12.75" customHeight="1">
      <c r="N166" s="1" t="s">
        <v>2017</v>
      </c>
      <c r="O166" s="1" t="s">
        <v>2018</v>
      </c>
    </row>
    <row r="167" ht="12.75" customHeight="1">
      <c r="N167" s="1" t="s">
        <v>2019</v>
      </c>
      <c r="O167" s="1" t="s">
        <v>2020</v>
      </c>
    </row>
    <row r="168" ht="12.75" customHeight="1">
      <c r="N168" s="1" t="s">
        <v>2021</v>
      </c>
      <c r="O168" s="1" t="s">
        <v>2022</v>
      </c>
    </row>
    <row r="169" ht="12.75" customHeight="1">
      <c r="N169" s="1" t="s">
        <v>2023</v>
      </c>
      <c r="O169" s="1" t="s">
        <v>2024</v>
      </c>
    </row>
    <row r="170" ht="12.75" customHeight="1">
      <c r="N170" s="1" t="s">
        <v>2025</v>
      </c>
      <c r="O170" s="1" t="s">
        <v>2026</v>
      </c>
    </row>
    <row r="171" ht="12.75" customHeight="1">
      <c r="N171" s="1" t="s">
        <v>2027</v>
      </c>
      <c r="O171" s="1" t="s">
        <v>2028</v>
      </c>
    </row>
    <row r="172" ht="12.75" customHeight="1">
      <c r="N172" s="1" t="s">
        <v>2029</v>
      </c>
      <c r="O172" s="1" t="s">
        <v>2030</v>
      </c>
    </row>
    <row r="173" ht="12.75" customHeight="1">
      <c r="N173" s="1" t="s">
        <v>2031</v>
      </c>
      <c r="O173" s="1" t="s">
        <v>2032</v>
      </c>
    </row>
    <row r="174" ht="12.75" customHeight="1">
      <c r="N174" s="1" t="s">
        <v>2033</v>
      </c>
      <c r="O174" s="1" t="s">
        <v>2034</v>
      </c>
    </row>
    <row r="175" ht="12.75" customHeight="1">
      <c r="N175" s="1" t="s">
        <v>2035</v>
      </c>
      <c r="O175" s="1" t="s">
        <v>2036</v>
      </c>
    </row>
    <row r="176" ht="12.75" customHeight="1">
      <c r="N176" s="1" t="s">
        <v>2037</v>
      </c>
      <c r="O176" s="1" t="s">
        <v>2038</v>
      </c>
    </row>
    <row r="177" ht="12.75" customHeight="1">
      <c r="N177" s="1" t="s">
        <v>2039</v>
      </c>
      <c r="O177" s="1" t="s">
        <v>2040</v>
      </c>
    </row>
    <row r="178" ht="12.75" customHeight="1">
      <c r="N178" s="1" t="s">
        <v>2041</v>
      </c>
      <c r="O178" s="1" t="s">
        <v>2042</v>
      </c>
    </row>
    <row r="179" ht="12.75" customHeight="1">
      <c r="N179" s="1" t="s">
        <v>2043</v>
      </c>
      <c r="O179" s="1" t="s">
        <v>2044</v>
      </c>
    </row>
    <row r="180" ht="12.75" customHeight="1">
      <c r="N180" s="1" t="s">
        <v>2045</v>
      </c>
      <c r="O180" s="1" t="s">
        <v>2046</v>
      </c>
    </row>
    <row r="181" ht="12.75" customHeight="1">
      <c r="N181" s="1" t="s">
        <v>2047</v>
      </c>
      <c r="O181" s="1" t="s">
        <v>2048</v>
      </c>
    </row>
    <row r="182" ht="12.75" customHeight="1">
      <c r="N182" s="1" t="s">
        <v>2049</v>
      </c>
      <c r="O182" s="1" t="s">
        <v>2050</v>
      </c>
    </row>
    <row r="183" ht="12.75" customHeight="1">
      <c r="N183" s="1" t="s">
        <v>2051</v>
      </c>
      <c r="O183" s="1" t="s">
        <v>2052</v>
      </c>
    </row>
    <row r="184" ht="12.75" customHeight="1">
      <c r="N184" s="1" t="s">
        <v>2053</v>
      </c>
      <c r="O184" s="1" t="s">
        <v>2054</v>
      </c>
    </row>
    <row r="185" ht="12.75" customHeight="1">
      <c r="N185" s="1" t="s">
        <v>2055</v>
      </c>
      <c r="O185" s="1" t="s">
        <v>2056</v>
      </c>
    </row>
    <row r="186" ht="12.75" customHeight="1">
      <c r="N186" s="1" t="s">
        <v>2057</v>
      </c>
      <c r="O186" s="1" t="s">
        <v>2058</v>
      </c>
    </row>
    <row r="187" ht="12.75" customHeight="1">
      <c r="N187" s="1" t="s">
        <v>2059</v>
      </c>
      <c r="O187" s="1" t="s">
        <v>2060</v>
      </c>
    </row>
    <row r="188" ht="12.75" customHeight="1">
      <c r="N188" s="1" t="s">
        <v>2061</v>
      </c>
      <c r="O188" s="1" t="s">
        <v>2062</v>
      </c>
    </row>
    <row r="189" ht="12.75" customHeight="1">
      <c r="N189" s="1" t="s">
        <v>2063</v>
      </c>
      <c r="O189" s="1" t="s">
        <v>2064</v>
      </c>
    </row>
    <row r="190" ht="12.75" customHeight="1">
      <c r="N190" s="1" t="s">
        <v>2065</v>
      </c>
      <c r="O190" s="1" t="s">
        <v>2066</v>
      </c>
    </row>
    <row r="191" ht="12.75" customHeight="1">
      <c r="N191" s="1" t="s">
        <v>2067</v>
      </c>
      <c r="O191" s="1" t="s">
        <v>2068</v>
      </c>
    </row>
    <row r="192" ht="12.75" customHeight="1">
      <c r="N192" s="1" t="s">
        <v>2069</v>
      </c>
      <c r="O192" s="1" t="s">
        <v>2070</v>
      </c>
    </row>
    <row r="193" ht="12.75" customHeight="1">
      <c r="N193" s="1" t="s">
        <v>2071</v>
      </c>
      <c r="O193" s="1" t="s">
        <v>2072</v>
      </c>
    </row>
    <row r="194" ht="12.75" customHeight="1">
      <c r="N194" s="1" t="s">
        <v>2073</v>
      </c>
      <c r="O194" s="1" t="s">
        <v>2074</v>
      </c>
    </row>
    <row r="195" ht="12.75" customHeight="1">
      <c r="N195" s="1" t="s">
        <v>2075</v>
      </c>
      <c r="O195" s="1" t="s">
        <v>2076</v>
      </c>
    </row>
    <row r="196" ht="12.75" customHeight="1">
      <c r="N196" s="1" t="s">
        <v>2077</v>
      </c>
      <c r="O196" s="1" t="s">
        <v>2078</v>
      </c>
    </row>
    <row r="197" ht="12.75" customHeight="1">
      <c r="N197" s="1" t="s">
        <v>2079</v>
      </c>
      <c r="O197" s="1" t="s">
        <v>2080</v>
      </c>
    </row>
    <row r="198" ht="12.75" customHeight="1">
      <c r="N198" s="1" t="s">
        <v>2081</v>
      </c>
      <c r="O198" s="1" t="s">
        <v>2082</v>
      </c>
    </row>
    <row r="199" ht="12.75" customHeight="1">
      <c r="N199" s="1" t="s">
        <v>2083</v>
      </c>
      <c r="O199" s="1" t="s">
        <v>2084</v>
      </c>
    </row>
    <row r="200" ht="12.75" customHeight="1">
      <c r="N200" s="1" t="s">
        <v>2085</v>
      </c>
      <c r="O200" s="1" t="s">
        <v>2086</v>
      </c>
    </row>
    <row r="201" ht="12.75" customHeight="1">
      <c r="N201" s="1" t="s">
        <v>2087</v>
      </c>
      <c r="O201" s="1" t="s">
        <v>2088</v>
      </c>
    </row>
    <row r="202" ht="12.75" customHeight="1">
      <c r="N202" s="1" t="s">
        <v>2089</v>
      </c>
      <c r="O202" s="1" t="s">
        <v>2090</v>
      </c>
    </row>
    <row r="203" ht="12.75" customHeight="1">
      <c r="N203" s="1" t="s">
        <v>2091</v>
      </c>
      <c r="O203" s="1" t="s">
        <v>2092</v>
      </c>
    </row>
    <row r="204" ht="12.75" customHeight="1">
      <c r="N204" s="1" t="s">
        <v>2093</v>
      </c>
      <c r="O204" s="1" t="s">
        <v>2094</v>
      </c>
    </row>
    <row r="205" ht="12.75" customHeight="1">
      <c r="N205" s="1" t="s">
        <v>2095</v>
      </c>
      <c r="O205" s="1" t="s">
        <v>2096</v>
      </c>
    </row>
    <row r="206" ht="12.75" customHeight="1">
      <c r="N206" s="1" t="s">
        <v>2097</v>
      </c>
      <c r="O206" s="1" t="s">
        <v>2098</v>
      </c>
    </row>
    <row r="207" ht="12.75" customHeight="1">
      <c r="N207" s="1" t="s">
        <v>2099</v>
      </c>
      <c r="O207" s="1" t="s">
        <v>2100</v>
      </c>
    </row>
    <row r="208" ht="12.75" customHeight="1">
      <c r="N208" s="1" t="s">
        <v>2101</v>
      </c>
      <c r="O208" s="1" t="s">
        <v>2102</v>
      </c>
    </row>
    <row r="209" ht="12.75" customHeight="1">
      <c r="N209" s="1" t="s">
        <v>2103</v>
      </c>
      <c r="O209" s="1" t="s">
        <v>2104</v>
      </c>
    </row>
    <row r="210" ht="12.75" customHeight="1">
      <c r="N210" s="1" t="s">
        <v>2105</v>
      </c>
      <c r="O210" s="1" t="s">
        <v>2106</v>
      </c>
    </row>
    <row r="211" ht="12.75" customHeight="1">
      <c r="N211" s="1" t="s">
        <v>2107</v>
      </c>
      <c r="O211" s="1" t="s">
        <v>2108</v>
      </c>
    </row>
    <row r="212" ht="12.75" customHeight="1">
      <c r="N212" s="1" t="s">
        <v>2109</v>
      </c>
      <c r="O212" s="1" t="s">
        <v>2110</v>
      </c>
    </row>
    <row r="213" ht="12.75" customHeight="1">
      <c r="N213" s="1" t="s">
        <v>2111</v>
      </c>
      <c r="O213" s="1" t="s">
        <v>2112</v>
      </c>
    </row>
    <row r="214" ht="12.75" customHeight="1">
      <c r="N214" s="1" t="s">
        <v>2113</v>
      </c>
      <c r="O214" s="1" t="s">
        <v>2114</v>
      </c>
    </row>
    <row r="215" ht="12.75" customHeight="1">
      <c r="N215" s="1" t="s">
        <v>2115</v>
      </c>
      <c r="O215" s="1" t="s">
        <v>2116</v>
      </c>
    </row>
    <row r="216" ht="12.75" customHeight="1">
      <c r="N216" s="1" t="s">
        <v>2117</v>
      </c>
      <c r="O216" s="1" t="s">
        <v>2118</v>
      </c>
    </row>
    <row r="217" ht="12.75" customHeight="1">
      <c r="N217" s="1" t="s">
        <v>2119</v>
      </c>
      <c r="O217" s="1" t="s">
        <v>2120</v>
      </c>
    </row>
    <row r="218" ht="12.75" customHeight="1">
      <c r="N218" s="1" t="s">
        <v>2121</v>
      </c>
      <c r="O218" s="1" t="s">
        <v>2122</v>
      </c>
    </row>
    <row r="219" ht="12.75" customHeight="1">
      <c r="N219" s="1" t="s">
        <v>2123</v>
      </c>
      <c r="O219" s="1" t="s">
        <v>2124</v>
      </c>
    </row>
    <row r="220" ht="12.75" customHeight="1">
      <c r="N220" s="1" t="s">
        <v>2125</v>
      </c>
      <c r="O220" s="1" t="s">
        <v>2126</v>
      </c>
    </row>
    <row r="221" ht="12.75" customHeight="1">
      <c r="N221" s="1" t="s">
        <v>2127</v>
      </c>
      <c r="O221" s="1" t="s">
        <v>2128</v>
      </c>
    </row>
    <row r="222" ht="12.75" customHeight="1">
      <c r="N222" s="1" t="s">
        <v>2129</v>
      </c>
      <c r="O222" s="1" t="s">
        <v>2130</v>
      </c>
    </row>
    <row r="223" ht="12.75" customHeight="1">
      <c r="N223" s="1" t="s">
        <v>2131</v>
      </c>
      <c r="O223" s="1" t="s">
        <v>2132</v>
      </c>
    </row>
    <row r="224" ht="12.75" customHeight="1">
      <c r="N224" s="1" t="s">
        <v>2133</v>
      </c>
      <c r="O224" s="1" t="s">
        <v>2134</v>
      </c>
    </row>
    <row r="225" ht="12.75" customHeight="1">
      <c r="N225" s="1" t="s">
        <v>2135</v>
      </c>
      <c r="O225" s="1" t="s">
        <v>2136</v>
      </c>
    </row>
    <row r="226" ht="12.75" customHeight="1">
      <c r="N226" s="1" t="s">
        <v>2137</v>
      </c>
      <c r="O226" s="1" t="s">
        <v>2138</v>
      </c>
    </row>
    <row r="227" ht="12.75" customHeight="1">
      <c r="N227" s="1" t="s">
        <v>2139</v>
      </c>
      <c r="O227" s="1" t="s">
        <v>2140</v>
      </c>
    </row>
    <row r="228" ht="12.75" customHeight="1">
      <c r="N228" s="1" t="s">
        <v>2141</v>
      </c>
      <c r="O228" s="1" t="s">
        <v>2142</v>
      </c>
    </row>
    <row r="229" ht="12.75" customHeight="1">
      <c r="N229" s="1" t="s">
        <v>2143</v>
      </c>
      <c r="O229" s="1" t="s">
        <v>2144</v>
      </c>
    </row>
    <row r="230" ht="12.75" customHeight="1">
      <c r="N230" s="1" t="s">
        <v>2145</v>
      </c>
      <c r="O230" s="1" t="s">
        <v>2146</v>
      </c>
    </row>
    <row r="231" ht="12.75" customHeight="1">
      <c r="N231" s="1" t="s">
        <v>2147</v>
      </c>
      <c r="O231" s="1" t="s">
        <v>2148</v>
      </c>
    </row>
    <row r="232" ht="12.75" customHeight="1">
      <c r="N232" s="1" t="s">
        <v>2149</v>
      </c>
      <c r="O232" s="1" t="s">
        <v>2150</v>
      </c>
    </row>
    <row r="233" ht="12.75" customHeight="1">
      <c r="N233" s="1" t="s">
        <v>2151</v>
      </c>
      <c r="O233" s="1" t="s">
        <v>2152</v>
      </c>
    </row>
    <row r="234" ht="12.75" customHeight="1">
      <c r="N234" s="1" t="s">
        <v>2153</v>
      </c>
      <c r="O234" s="1" t="s">
        <v>2154</v>
      </c>
    </row>
    <row r="235" ht="12.75" customHeight="1">
      <c r="N235" s="1" t="s">
        <v>2155</v>
      </c>
      <c r="O235" s="1" t="s">
        <v>2156</v>
      </c>
    </row>
    <row r="236" ht="12.75" customHeight="1">
      <c r="N236" s="1" t="s">
        <v>2157</v>
      </c>
      <c r="O236" s="1" t="s">
        <v>2158</v>
      </c>
    </row>
    <row r="237" ht="12.75" customHeight="1">
      <c r="N237" s="1" t="s">
        <v>2159</v>
      </c>
      <c r="O237" s="1" t="s">
        <v>2160</v>
      </c>
    </row>
    <row r="238" ht="12.75" customHeight="1">
      <c r="N238" s="1" t="s">
        <v>2161</v>
      </c>
      <c r="O238" s="1" t="s">
        <v>2162</v>
      </c>
    </row>
    <row r="239" ht="12.75" customHeight="1">
      <c r="N239" s="1" t="s">
        <v>2163</v>
      </c>
      <c r="O239" s="1" t="s">
        <v>2164</v>
      </c>
    </row>
    <row r="240" ht="12.75" customHeight="1">
      <c r="N240" s="1" t="s">
        <v>2165</v>
      </c>
      <c r="O240" s="1" t="s">
        <v>2166</v>
      </c>
    </row>
    <row r="241" ht="12.75" customHeight="1">
      <c r="N241" s="1" t="s">
        <v>2167</v>
      </c>
      <c r="O241" s="1" t="s">
        <v>2168</v>
      </c>
    </row>
    <row r="242" ht="12.75" customHeight="1">
      <c r="N242" s="1" t="s">
        <v>2169</v>
      </c>
      <c r="O242" s="1" t="s">
        <v>2170</v>
      </c>
    </row>
    <row r="243" ht="12.75" customHeight="1">
      <c r="N243" s="1" t="s">
        <v>2171</v>
      </c>
      <c r="O243" s="1" t="s">
        <v>2172</v>
      </c>
    </row>
    <row r="244" ht="12.75" customHeight="1">
      <c r="N244" s="1" t="s">
        <v>2173</v>
      </c>
      <c r="O244" s="1" t="s">
        <v>2174</v>
      </c>
    </row>
    <row r="245" ht="12.75" customHeight="1">
      <c r="N245" s="1" t="s">
        <v>2175</v>
      </c>
      <c r="O245" s="1" t="s">
        <v>2176</v>
      </c>
    </row>
    <row r="246" ht="12.75" customHeight="1">
      <c r="N246" s="1" t="s">
        <v>2177</v>
      </c>
      <c r="O246" s="1" t="s">
        <v>2178</v>
      </c>
    </row>
    <row r="247" ht="12.75" customHeight="1">
      <c r="N247" s="1" t="s">
        <v>2179</v>
      </c>
      <c r="O247" s="1" t="s">
        <v>2180</v>
      </c>
    </row>
    <row r="248" ht="12.75" customHeight="1">
      <c r="N248" s="1" t="s">
        <v>2181</v>
      </c>
      <c r="O248" s="1" t="s">
        <v>2182</v>
      </c>
    </row>
    <row r="249" ht="12.75" customHeight="1">
      <c r="N249" s="1" t="s">
        <v>2183</v>
      </c>
      <c r="O249" s="1" t="s">
        <v>2184</v>
      </c>
    </row>
    <row r="250" ht="12.75" customHeight="1">
      <c r="N250" s="1" t="s">
        <v>2185</v>
      </c>
      <c r="O250" s="1" t="s">
        <v>2186</v>
      </c>
    </row>
    <row r="251" ht="12.75" customHeight="1">
      <c r="N251" s="1" t="s">
        <v>2187</v>
      </c>
      <c r="O251" s="1" t="s">
        <v>2188</v>
      </c>
    </row>
    <row r="252" ht="12.75" customHeight="1">
      <c r="N252" s="1" t="s">
        <v>2189</v>
      </c>
      <c r="O252" s="1" t="s">
        <v>2190</v>
      </c>
    </row>
    <row r="253" ht="12.75" customHeight="1">
      <c r="N253" s="1" t="s">
        <v>2191</v>
      </c>
      <c r="O253" s="1" t="s">
        <v>2192</v>
      </c>
    </row>
    <row r="254" ht="12.75" customHeight="1">
      <c r="N254" s="1" t="s">
        <v>2193</v>
      </c>
      <c r="O254" s="1" t="s">
        <v>2194</v>
      </c>
    </row>
    <row r="255" ht="12.75" customHeight="1">
      <c r="N255" s="1" t="s">
        <v>2195</v>
      </c>
      <c r="O255" s="1" t="s">
        <v>2196</v>
      </c>
    </row>
    <row r="256" ht="12.75" customHeight="1">
      <c r="N256" s="1" t="s">
        <v>2197</v>
      </c>
      <c r="O256" s="1" t="s">
        <v>2198</v>
      </c>
    </row>
    <row r="257" ht="12.75" customHeight="1">
      <c r="N257" s="1" t="s">
        <v>2199</v>
      </c>
      <c r="O257" s="1" t="s">
        <v>2200</v>
      </c>
    </row>
    <row r="258" ht="12.75" customHeight="1">
      <c r="N258" s="1" t="s">
        <v>2201</v>
      </c>
      <c r="O258" s="1" t="s">
        <v>2202</v>
      </c>
    </row>
    <row r="259" ht="12.75" customHeight="1">
      <c r="N259" s="1" t="s">
        <v>2203</v>
      </c>
      <c r="O259" s="1" t="s">
        <v>2204</v>
      </c>
    </row>
    <row r="260" ht="12.75" customHeight="1">
      <c r="N260" s="1" t="s">
        <v>2205</v>
      </c>
      <c r="O260" s="1" t="s">
        <v>2206</v>
      </c>
    </row>
    <row r="261" ht="12.75" customHeight="1">
      <c r="N261" s="1" t="s">
        <v>2207</v>
      </c>
      <c r="O261" s="1" t="s">
        <v>2208</v>
      </c>
    </row>
    <row r="262" ht="12.75" customHeight="1">
      <c r="N262" s="1" t="s">
        <v>2209</v>
      </c>
      <c r="O262" s="1" t="s">
        <v>2210</v>
      </c>
    </row>
    <row r="263" ht="12.75" customHeight="1">
      <c r="N263" s="1" t="s">
        <v>2211</v>
      </c>
      <c r="O263" s="1" t="s">
        <v>2212</v>
      </c>
    </row>
    <row r="264" ht="12.75" customHeight="1">
      <c r="N264" s="1" t="s">
        <v>2213</v>
      </c>
      <c r="O264" s="1" t="s">
        <v>2214</v>
      </c>
    </row>
    <row r="265" ht="12.75" customHeight="1">
      <c r="N265" s="1" t="s">
        <v>2215</v>
      </c>
      <c r="O265" s="1" t="s">
        <v>2216</v>
      </c>
    </row>
    <row r="266" ht="12.75" customHeight="1">
      <c r="N266" s="1" t="s">
        <v>2217</v>
      </c>
      <c r="O266" s="1" t="s">
        <v>2218</v>
      </c>
    </row>
    <row r="267" ht="12.75" customHeight="1">
      <c r="N267" s="1" t="s">
        <v>2219</v>
      </c>
      <c r="O267" s="1" t="s">
        <v>2220</v>
      </c>
    </row>
    <row r="268" ht="12.75" customHeight="1">
      <c r="N268" s="1" t="s">
        <v>2221</v>
      </c>
      <c r="O268" s="1" t="s">
        <v>2222</v>
      </c>
    </row>
    <row r="269" ht="12.75" customHeight="1">
      <c r="N269" s="1" t="s">
        <v>2223</v>
      </c>
      <c r="O269" s="1" t="s">
        <v>2224</v>
      </c>
    </row>
    <row r="270" ht="12.75" customHeight="1">
      <c r="N270" s="1" t="s">
        <v>2225</v>
      </c>
      <c r="O270" s="1" t="s">
        <v>2226</v>
      </c>
    </row>
    <row r="271" ht="12.75" customHeight="1">
      <c r="N271" s="1" t="s">
        <v>2227</v>
      </c>
      <c r="O271" s="1" t="s">
        <v>2228</v>
      </c>
    </row>
    <row r="272" ht="12.75" customHeight="1">
      <c r="N272" s="1" t="s">
        <v>2229</v>
      </c>
      <c r="O272" s="1" t="s">
        <v>2230</v>
      </c>
    </row>
    <row r="273" ht="12.75" customHeight="1">
      <c r="N273" s="1" t="s">
        <v>2231</v>
      </c>
      <c r="O273" s="1" t="s">
        <v>2232</v>
      </c>
    </row>
    <row r="274" ht="12.75" customHeight="1">
      <c r="N274" s="1" t="s">
        <v>2233</v>
      </c>
      <c r="O274" s="1" t="s">
        <v>2234</v>
      </c>
    </row>
    <row r="275" ht="12.75" customHeight="1">
      <c r="N275" s="1" t="s">
        <v>2235</v>
      </c>
      <c r="O275" s="1" t="s">
        <v>2236</v>
      </c>
    </row>
    <row r="276" ht="12.75" customHeight="1">
      <c r="N276" s="1" t="s">
        <v>2237</v>
      </c>
      <c r="O276" s="1" t="s">
        <v>2238</v>
      </c>
    </row>
    <row r="277" ht="12.75" customHeight="1">
      <c r="N277" s="1" t="s">
        <v>2239</v>
      </c>
      <c r="O277" s="1" t="s">
        <v>2240</v>
      </c>
    </row>
    <row r="278" ht="12.75" customHeight="1">
      <c r="N278" s="1" t="s">
        <v>2241</v>
      </c>
      <c r="O278" s="1" t="s">
        <v>2242</v>
      </c>
    </row>
    <row r="279" ht="12.75" customHeight="1">
      <c r="N279" s="1" t="s">
        <v>2243</v>
      </c>
      <c r="O279" s="1" t="s">
        <v>2244</v>
      </c>
    </row>
    <row r="280" ht="12.75" customHeight="1">
      <c r="N280" s="1" t="s">
        <v>2245</v>
      </c>
      <c r="O280" s="1" t="s">
        <v>2246</v>
      </c>
    </row>
    <row r="281" ht="12.75" customHeight="1">
      <c r="N281" s="1" t="s">
        <v>2247</v>
      </c>
      <c r="O281" s="1" t="s">
        <v>2248</v>
      </c>
    </row>
    <row r="282" ht="12.75" customHeight="1">
      <c r="N282" s="1" t="s">
        <v>2249</v>
      </c>
      <c r="O282" s="1" t="s">
        <v>2250</v>
      </c>
    </row>
    <row r="283" ht="12.75" customHeight="1">
      <c r="N283" s="1" t="s">
        <v>2251</v>
      </c>
      <c r="O283" s="1" t="s">
        <v>2252</v>
      </c>
    </row>
    <row r="284" ht="12.75" customHeight="1">
      <c r="N284" s="1" t="s">
        <v>2253</v>
      </c>
      <c r="O284" s="1" t="s">
        <v>2254</v>
      </c>
    </row>
    <row r="285" ht="12.75" customHeight="1">
      <c r="N285" s="1" t="s">
        <v>2255</v>
      </c>
      <c r="O285" s="1" t="s">
        <v>2256</v>
      </c>
    </row>
    <row r="286" ht="12.75" customHeight="1">
      <c r="N286" s="1" t="s">
        <v>2257</v>
      </c>
      <c r="O286" s="1" t="s">
        <v>2258</v>
      </c>
    </row>
    <row r="287" ht="12.75" customHeight="1">
      <c r="N287" s="1" t="s">
        <v>2259</v>
      </c>
      <c r="O287" s="1" t="s">
        <v>2260</v>
      </c>
    </row>
    <row r="288" ht="12.75" customHeight="1">
      <c r="N288" s="1" t="s">
        <v>2261</v>
      </c>
      <c r="O288" s="1" t="s">
        <v>2262</v>
      </c>
    </row>
    <row r="289" ht="12.75" customHeight="1">
      <c r="N289" s="1" t="s">
        <v>2263</v>
      </c>
      <c r="O289" s="1" t="s">
        <v>2264</v>
      </c>
    </row>
    <row r="290" ht="12.75" customHeight="1">
      <c r="N290" s="1" t="s">
        <v>2265</v>
      </c>
      <c r="O290" s="1" t="s">
        <v>2266</v>
      </c>
    </row>
    <row r="291" ht="12.75" customHeight="1">
      <c r="N291" s="1" t="s">
        <v>2267</v>
      </c>
      <c r="O291" s="1" t="s">
        <v>2268</v>
      </c>
    </row>
    <row r="292" ht="12.75" customHeight="1">
      <c r="N292" s="1" t="s">
        <v>2269</v>
      </c>
      <c r="O292" s="1" t="s">
        <v>2270</v>
      </c>
    </row>
    <row r="293" ht="12.75" customHeight="1">
      <c r="N293" s="1" t="s">
        <v>2271</v>
      </c>
      <c r="O293" s="1" t="s">
        <v>2272</v>
      </c>
    </row>
    <row r="294" ht="12.75" customHeight="1">
      <c r="N294" s="1" t="s">
        <v>2273</v>
      </c>
      <c r="O294" s="1" t="s">
        <v>2274</v>
      </c>
    </row>
    <row r="295" ht="12.75" customHeight="1">
      <c r="N295" s="1" t="s">
        <v>2275</v>
      </c>
      <c r="O295" s="1" t="s">
        <v>2276</v>
      </c>
    </row>
    <row r="296" ht="12.75" customHeight="1">
      <c r="N296" s="1" t="s">
        <v>2277</v>
      </c>
      <c r="O296" s="1" t="s">
        <v>2278</v>
      </c>
    </row>
    <row r="297" ht="12.75" customHeight="1">
      <c r="N297" s="1" t="s">
        <v>2279</v>
      </c>
      <c r="O297" s="1" t="s">
        <v>2280</v>
      </c>
    </row>
    <row r="298" ht="12.75" customHeight="1">
      <c r="N298" s="1" t="s">
        <v>2281</v>
      </c>
      <c r="O298" s="1" t="s">
        <v>2282</v>
      </c>
    </row>
    <row r="299" ht="12.75" customHeight="1">
      <c r="N299" s="1" t="s">
        <v>2283</v>
      </c>
      <c r="O299" s="1" t="s">
        <v>2284</v>
      </c>
    </row>
    <row r="300" ht="12.75" customHeight="1">
      <c r="N300" s="1" t="s">
        <v>2285</v>
      </c>
      <c r="O300" s="1" t="s">
        <v>2286</v>
      </c>
    </row>
    <row r="301" ht="12.75" customHeight="1">
      <c r="N301" s="1" t="s">
        <v>2287</v>
      </c>
      <c r="O301" s="1" t="s">
        <v>2288</v>
      </c>
    </row>
    <row r="302" ht="12.75" customHeight="1">
      <c r="N302" s="1" t="s">
        <v>2289</v>
      </c>
      <c r="O302" s="1" t="s">
        <v>2290</v>
      </c>
    </row>
    <row r="303" ht="12.75" customHeight="1">
      <c r="N303" s="1" t="s">
        <v>2291</v>
      </c>
      <c r="O303" s="1" t="s">
        <v>2292</v>
      </c>
    </row>
    <row r="304" ht="12.75" customHeight="1">
      <c r="N304" s="1" t="s">
        <v>2293</v>
      </c>
      <c r="O304" s="1" t="s">
        <v>2294</v>
      </c>
    </row>
    <row r="305" ht="12.75" customHeight="1">
      <c r="N305" s="1" t="s">
        <v>2295</v>
      </c>
      <c r="O305" s="1" t="s">
        <v>2296</v>
      </c>
    </row>
    <row r="306" ht="12.75" customHeight="1">
      <c r="N306" s="1" t="s">
        <v>2297</v>
      </c>
      <c r="O306" s="1" t="s">
        <v>2298</v>
      </c>
    </row>
    <row r="307" ht="12.75" customHeight="1">
      <c r="N307" s="1" t="s">
        <v>2299</v>
      </c>
      <c r="O307" s="1" t="s">
        <v>2300</v>
      </c>
    </row>
    <row r="308" ht="12.75" customHeight="1">
      <c r="N308" s="1" t="s">
        <v>2301</v>
      </c>
      <c r="O308" s="1" t="s">
        <v>2302</v>
      </c>
    </row>
    <row r="309" ht="12.75" customHeight="1">
      <c r="N309" s="1" t="s">
        <v>2303</v>
      </c>
      <c r="O309" s="1" t="s">
        <v>2304</v>
      </c>
    </row>
    <row r="310" ht="12.75" customHeight="1">
      <c r="N310" s="1" t="s">
        <v>2305</v>
      </c>
      <c r="O310" s="1" t="s">
        <v>2306</v>
      </c>
    </row>
    <row r="311" ht="12.75" customHeight="1">
      <c r="N311" s="1" t="s">
        <v>2307</v>
      </c>
      <c r="O311" s="1" t="s">
        <v>2308</v>
      </c>
    </row>
    <row r="312" ht="12.75" customHeight="1">
      <c r="N312" s="1" t="s">
        <v>2309</v>
      </c>
      <c r="O312" s="1" t="s">
        <v>2310</v>
      </c>
    </row>
    <row r="313" ht="12.75" customHeight="1">
      <c r="N313" s="1" t="s">
        <v>2311</v>
      </c>
      <c r="O313" s="1" t="s">
        <v>2312</v>
      </c>
    </row>
    <row r="314" ht="12.75" customHeight="1">
      <c r="N314" s="1" t="s">
        <v>2313</v>
      </c>
      <c r="O314" s="1" t="s">
        <v>2314</v>
      </c>
    </row>
    <row r="315" ht="12.75" customHeight="1">
      <c r="N315" s="1" t="s">
        <v>2315</v>
      </c>
      <c r="O315" s="1" t="s">
        <v>2316</v>
      </c>
    </row>
    <row r="316" ht="12.75" customHeight="1">
      <c r="N316" s="1" t="s">
        <v>2317</v>
      </c>
      <c r="O316" s="1" t="s">
        <v>2318</v>
      </c>
    </row>
    <row r="317" ht="12.75" customHeight="1">
      <c r="N317" s="1" t="s">
        <v>2319</v>
      </c>
      <c r="O317" s="1" t="s">
        <v>2320</v>
      </c>
    </row>
    <row r="318" ht="12.75" customHeight="1">
      <c r="N318" s="1" t="s">
        <v>2321</v>
      </c>
      <c r="O318" s="1" t="s">
        <v>2322</v>
      </c>
    </row>
    <row r="319" ht="12.75" customHeight="1">
      <c r="N319" s="1" t="s">
        <v>2323</v>
      </c>
      <c r="O319" s="1" t="s">
        <v>2324</v>
      </c>
    </row>
    <row r="320" ht="12.75" customHeight="1">
      <c r="N320" s="1" t="s">
        <v>2325</v>
      </c>
      <c r="O320" s="1" t="s">
        <v>2326</v>
      </c>
    </row>
    <row r="321" ht="12.75" customHeight="1">
      <c r="N321" s="1" t="s">
        <v>2327</v>
      </c>
      <c r="O321" s="1" t="s">
        <v>2328</v>
      </c>
    </row>
    <row r="322" ht="12.75" customHeight="1">
      <c r="N322" s="1" t="s">
        <v>2329</v>
      </c>
      <c r="O322" s="1" t="s">
        <v>2330</v>
      </c>
    </row>
    <row r="323" ht="12.75" customHeight="1">
      <c r="N323" s="1" t="s">
        <v>2331</v>
      </c>
      <c r="O323" s="1" t="s">
        <v>2332</v>
      </c>
    </row>
    <row r="324" ht="12.75" customHeight="1">
      <c r="N324" s="1" t="s">
        <v>2333</v>
      </c>
      <c r="O324" s="1" t="s">
        <v>2334</v>
      </c>
    </row>
    <row r="325" ht="12.75" customHeight="1">
      <c r="N325" s="1" t="s">
        <v>2335</v>
      </c>
      <c r="O325" s="1" t="s">
        <v>2336</v>
      </c>
    </row>
    <row r="326" ht="12.75" customHeight="1">
      <c r="N326" s="1" t="s">
        <v>2337</v>
      </c>
      <c r="O326" s="1" t="s">
        <v>2338</v>
      </c>
    </row>
    <row r="327" ht="12.75" customHeight="1">
      <c r="N327" s="1" t="s">
        <v>2339</v>
      </c>
      <c r="O327" s="1" t="s">
        <v>2340</v>
      </c>
    </row>
    <row r="328" ht="12.75" customHeight="1">
      <c r="N328" s="1" t="s">
        <v>2341</v>
      </c>
      <c r="O328" s="1" t="s">
        <v>2342</v>
      </c>
    </row>
    <row r="329" ht="12.75" customHeight="1">
      <c r="N329" s="1" t="s">
        <v>2343</v>
      </c>
      <c r="O329" s="1" t="s">
        <v>2344</v>
      </c>
    </row>
    <row r="330" ht="12.75" customHeight="1">
      <c r="N330" s="1" t="s">
        <v>2345</v>
      </c>
      <c r="O330" s="1" t="s">
        <v>2346</v>
      </c>
    </row>
    <row r="331" ht="12.75" customHeight="1">
      <c r="N331" s="1" t="s">
        <v>2347</v>
      </c>
      <c r="O331" s="1" t="s">
        <v>2348</v>
      </c>
    </row>
    <row r="332" ht="12.75" customHeight="1">
      <c r="N332" s="1" t="s">
        <v>2349</v>
      </c>
      <c r="O332" s="1" t="s">
        <v>2350</v>
      </c>
    </row>
    <row r="333" ht="12.75" customHeight="1">
      <c r="N333" s="1" t="s">
        <v>2351</v>
      </c>
      <c r="O333" s="1" t="s">
        <v>2352</v>
      </c>
    </row>
    <row r="334" ht="12.75" customHeight="1">
      <c r="N334" s="1" t="s">
        <v>2353</v>
      </c>
      <c r="O334" s="1" t="s">
        <v>2354</v>
      </c>
    </row>
    <row r="335" ht="12.75" customHeight="1">
      <c r="N335" s="1" t="s">
        <v>2355</v>
      </c>
      <c r="O335" s="1" t="s">
        <v>2356</v>
      </c>
    </row>
    <row r="336" ht="12.75" customHeight="1">
      <c r="N336" s="1" t="s">
        <v>2357</v>
      </c>
      <c r="O336" s="1" t="s">
        <v>2358</v>
      </c>
    </row>
    <row r="337" ht="12.75" customHeight="1">
      <c r="N337" s="1" t="s">
        <v>2359</v>
      </c>
      <c r="O337" s="1" t="s">
        <v>2360</v>
      </c>
    </row>
    <row r="338" ht="12.75" customHeight="1">
      <c r="N338" s="1" t="s">
        <v>2361</v>
      </c>
      <c r="O338" s="1" t="s">
        <v>2362</v>
      </c>
    </row>
    <row r="339" ht="12.75" customHeight="1">
      <c r="N339" s="1" t="s">
        <v>2363</v>
      </c>
      <c r="O339" s="1" t="s">
        <v>2364</v>
      </c>
    </row>
    <row r="340" ht="12.75" customHeight="1">
      <c r="N340" s="1" t="s">
        <v>2365</v>
      </c>
      <c r="O340" s="1" t="s">
        <v>2366</v>
      </c>
    </row>
    <row r="341" ht="12.75" customHeight="1">
      <c r="N341" s="1" t="s">
        <v>2367</v>
      </c>
      <c r="O341" s="1" t="s">
        <v>2368</v>
      </c>
    </row>
    <row r="342" ht="12.75" customHeight="1">
      <c r="N342" s="1" t="s">
        <v>2369</v>
      </c>
      <c r="O342" s="1" t="s">
        <v>2370</v>
      </c>
    </row>
    <row r="343" ht="12.75" customHeight="1">
      <c r="N343" s="1" t="s">
        <v>2371</v>
      </c>
      <c r="O343" s="1" t="s">
        <v>2372</v>
      </c>
    </row>
    <row r="344" ht="12.75" customHeight="1">
      <c r="N344" s="1" t="s">
        <v>2373</v>
      </c>
      <c r="O344" s="1" t="s">
        <v>2374</v>
      </c>
    </row>
    <row r="345" ht="12.75" customHeight="1">
      <c r="N345" s="1" t="s">
        <v>2375</v>
      </c>
      <c r="O345" s="1" t="s">
        <v>2376</v>
      </c>
    </row>
    <row r="346" ht="12.75" customHeight="1">
      <c r="N346" s="1" t="s">
        <v>2377</v>
      </c>
      <c r="O346" s="1" t="s">
        <v>2378</v>
      </c>
    </row>
    <row r="347" ht="12.75" customHeight="1">
      <c r="N347" s="1" t="s">
        <v>2379</v>
      </c>
      <c r="O347" s="1" t="s">
        <v>2380</v>
      </c>
    </row>
    <row r="348" ht="12.75" customHeight="1">
      <c r="N348" s="1" t="s">
        <v>2381</v>
      </c>
      <c r="O348" s="1" t="s">
        <v>2382</v>
      </c>
    </row>
    <row r="349" ht="12.75" customHeight="1">
      <c r="N349" s="1" t="s">
        <v>2383</v>
      </c>
      <c r="O349" s="1" t="s">
        <v>2384</v>
      </c>
    </row>
    <row r="350" ht="12.75" customHeight="1">
      <c r="N350" s="1" t="s">
        <v>2385</v>
      </c>
      <c r="O350" s="1" t="s">
        <v>2386</v>
      </c>
    </row>
    <row r="351" ht="12.75" customHeight="1">
      <c r="N351" s="1" t="s">
        <v>2387</v>
      </c>
      <c r="O351" s="1" t="s">
        <v>2388</v>
      </c>
    </row>
    <row r="352" ht="12.75" customHeight="1">
      <c r="N352" s="1" t="s">
        <v>2389</v>
      </c>
      <c r="O352" s="1" t="s">
        <v>2390</v>
      </c>
    </row>
    <row r="353" ht="12.75" customHeight="1">
      <c r="N353" s="1" t="s">
        <v>2391</v>
      </c>
      <c r="O353" s="1" t="s">
        <v>2392</v>
      </c>
    </row>
    <row r="354" ht="12.75" customHeight="1">
      <c r="N354" s="1" t="s">
        <v>2393</v>
      </c>
      <c r="O354" s="1" t="s">
        <v>2394</v>
      </c>
    </row>
    <row r="355" ht="12.75" customHeight="1">
      <c r="N355" s="1" t="s">
        <v>2395</v>
      </c>
      <c r="O355" s="1" t="s">
        <v>2396</v>
      </c>
    </row>
    <row r="356" ht="12.75" customHeight="1">
      <c r="N356" s="1" t="s">
        <v>2397</v>
      </c>
      <c r="O356" s="1" t="s">
        <v>2398</v>
      </c>
    </row>
    <row r="357" ht="12.75" customHeight="1">
      <c r="N357" s="1" t="s">
        <v>2399</v>
      </c>
      <c r="O357" s="1" t="s">
        <v>2400</v>
      </c>
    </row>
    <row r="358" ht="12.75" customHeight="1">
      <c r="N358" s="1" t="s">
        <v>2401</v>
      </c>
      <c r="O358" s="1" t="s">
        <v>2402</v>
      </c>
    </row>
    <row r="359" ht="12.75" customHeight="1">
      <c r="N359" s="1" t="s">
        <v>2403</v>
      </c>
      <c r="O359" s="1" t="s">
        <v>2404</v>
      </c>
    </row>
    <row r="360" ht="12.75" customHeight="1">
      <c r="N360" s="1" t="s">
        <v>2405</v>
      </c>
      <c r="O360" s="1" t="s">
        <v>2406</v>
      </c>
    </row>
    <row r="361" ht="12.75" customHeight="1">
      <c r="N361" s="1" t="s">
        <v>2407</v>
      </c>
      <c r="O361" s="1" t="s">
        <v>2408</v>
      </c>
    </row>
    <row r="362" ht="12.75" customHeight="1">
      <c r="N362" s="1" t="s">
        <v>2409</v>
      </c>
      <c r="O362" s="1" t="s">
        <v>2410</v>
      </c>
    </row>
    <row r="363" ht="12.75" customHeight="1">
      <c r="N363" s="1" t="s">
        <v>2411</v>
      </c>
      <c r="O363" s="1" t="s">
        <v>2412</v>
      </c>
    </row>
    <row r="364" ht="12.75" customHeight="1">
      <c r="N364" s="1" t="s">
        <v>2413</v>
      </c>
      <c r="O364" s="1" t="s">
        <v>2414</v>
      </c>
    </row>
    <row r="365" ht="12.75" customHeight="1">
      <c r="N365" s="1" t="s">
        <v>2415</v>
      </c>
      <c r="O365" s="1" t="s">
        <v>2416</v>
      </c>
    </row>
    <row r="366" ht="12.75" customHeight="1">
      <c r="N366" s="1" t="s">
        <v>2417</v>
      </c>
      <c r="O366" s="1" t="s">
        <v>2418</v>
      </c>
    </row>
    <row r="367" ht="12.75" customHeight="1">
      <c r="N367" s="1" t="s">
        <v>2419</v>
      </c>
      <c r="O367" s="1" t="s">
        <v>2420</v>
      </c>
    </row>
    <row r="368" ht="12.75" customHeight="1">
      <c r="N368" s="1" t="s">
        <v>2421</v>
      </c>
      <c r="O368" s="1" t="s">
        <v>2422</v>
      </c>
    </row>
    <row r="369" ht="12.75" customHeight="1">
      <c r="N369" s="1" t="s">
        <v>2423</v>
      </c>
      <c r="O369" s="1" t="s">
        <v>2424</v>
      </c>
    </row>
    <row r="370" ht="12.75" customHeight="1">
      <c r="N370" s="1" t="s">
        <v>2425</v>
      </c>
      <c r="O370" s="1" t="s">
        <v>2426</v>
      </c>
    </row>
    <row r="371" ht="12.75" customHeight="1">
      <c r="N371" s="1" t="s">
        <v>2427</v>
      </c>
      <c r="O371" s="1" t="s">
        <v>2428</v>
      </c>
    </row>
    <row r="372" ht="12.75" customHeight="1">
      <c r="N372" s="1" t="s">
        <v>2429</v>
      </c>
      <c r="O372" s="1" t="s">
        <v>2430</v>
      </c>
    </row>
    <row r="373" ht="12.75" customHeight="1">
      <c r="N373" s="1" t="s">
        <v>2431</v>
      </c>
      <c r="O373" s="1" t="s">
        <v>2432</v>
      </c>
    </row>
    <row r="374" ht="12.75" customHeight="1">
      <c r="N374" s="1" t="s">
        <v>2433</v>
      </c>
      <c r="O374" s="1" t="s">
        <v>2434</v>
      </c>
    </row>
    <row r="375" ht="12.75" customHeight="1">
      <c r="N375" s="1" t="s">
        <v>2435</v>
      </c>
      <c r="O375" s="1" t="s">
        <v>2436</v>
      </c>
    </row>
    <row r="376" ht="12.75" customHeight="1">
      <c r="N376" s="1" t="s">
        <v>2437</v>
      </c>
      <c r="O376" s="1" t="s">
        <v>2438</v>
      </c>
    </row>
    <row r="377" ht="12.75" customHeight="1">
      <c r="N377" s="1" t="s">
        <v>2439</v>
      </c>
      <c r="O377" s="1" t="s">
        <v>2440</v>
      </c>
    </row>
    <row r="378" ht="12.75" customHeight="1">
      <c r="N378" s="1" t="s">
        <v>2441</v>
      </c>
      <c r="O378" s="1" t="s">
        <v>2442</v>
      </c>
    </row>
    <row r="379" ht="12.75" customHeight="1">
      <c r="N379" s="1" t="s">
        <v>2443</v>
      </c>
      <c r="O379" s="1" t="s">
        <v>2444</v>
      </c>
    </row>
    <row r="380" ht="12.75" customHeight="1">
      <c r="N380" s="1" t="s">
        <v>2445</v>
      </c>
      <c r="O380" s="1" t="s">
        <v>2446</v>
      </c>
    </row>
    <row r="381" ht="12.75" customHeight="1">
      <c r="N381" s="1" t="s">
        <v>2447</v>
      </c>
      <c r="O381" s="1" t="s">
        <v>2448</v>
      </c>
    </row>
    <row r="382" ht="12.75" customHeight="1">
      <c r="N382" s="1" t="s">
        <v>2449</v>
      </c>
      <c r="O382" s="1" t="s">
        <v>2450</v>
      </c>
    </row>
    <row r="383" ht="12.75" customHeight="1">
      <c r="N383" s="1" t="s">
        <v>2451</v>
      </c>
      <c r="O383" s="1" t="s">
        <v>2452</v>
      </c>
    </row>
    <row r="384" ht="12.75" customHeight="1">
      <c r="N384" s="1" t="s">
        <v>2453</v>
      </c>
      <c r="O384" s="1" t="s">
        <v>2454</v>
      </c>
    </row>
    <row r="385" ht="12.75" customHeight="1">
      <c r="N385" s="1" t="s">
        <v>2455</v>
      </c>
      <c r="O385" s="1" t="s">
        <v>2456</v>
      </c>
    </row>
    <row r="386" ht="12.75" customHeight="1">
      <c r="N386" s="1" t="s">
        <v>2457</v>
      </c>
      <c r="O386" s="1" t="s">
        <v>2458</v>
      </c>
    </row>
    <row r="387" ht="12.75" customHeight="1">
      <c r="N387" s="1" t="s">
        <v>2459</v>
      </c>
      <c r="O387" s="1" t="s">
        <v>2460</v>
      </c>
    </row>
    <row r="388" ht="12.75" customHeight="1">
      <c r="N388" s="1" t="s">
        <v>2461</v>
      </c>
      <c r="O388" s="1" t="s">
        <v>2460</v>
      </c>
    </row>
    <row r="389" ht="12.75" customHeight="1">
      <c r="N389" s="1" t="s">
        <v>2462</v>
      </c>
      <c r="O389" s="1" t="s">
        <v>2463</v>
      </c>
    </row>
    <row r="390" ht="12.75" customHeight="1">
      <c r="N390" s="1" t="s">
        <v>2464</v>
      </c>
      <c r="O390" s="1" t="s">
        <v>2465</v>
      </c>
    </row>
    <row r="391" ht="12.75" customHeight="1">
      <c r="N391" s="1" t="s">
        <v>2466</v>
      </c>
      <c r="O391" s="1" t="s">
        <v>2467</v>
      </c>
    </row>
    <row r="392" ht="12.75" customHeight="1">
      <c r="N392" s="1" t="s">
        <v>2468</v>
      </c>
      <c r="O392" s="1" t="s">
        <v>2469</v>
      </c>
    </row>
    <row r="393" ht="12.75" customHeight="1">
      <c r="N393" s="1" t="s">
        <v>2470</v>
      </c>
      <c r="O393" s="1" t="s">
        <v>2471</v>
      </c>
    </row>
    <row r="394" ht="12.75" customHeight="1">
      <c r="N394" s="1" t="s">
        <v>2472</v>
      </c>
      <c r="O394" s="1" t="s">
        <v>2473</v>
      </c>
    </row>
    <row r="395" ht="12.75" customHeight="1">
      <c r="N395" s="1" t="s">
        <v>2474</v>
      </c>
      <c r="O395" s="1" t="s">
        <v>2475</v>
      </c>
    </row>
    <row r="396" ht="12.75" customHeight="1">
      <c r="N396" s="1" t="s">
        <v>2476</v>
      </c>
      <c r="O396" s="1" t="s">
        <v>2477</v>
      </c>
    </row>
    <row r="397" ht="12.75" customHeight="1">
      <c r="N397" s="1" t="s">
        <v>2478</v>
      </c>
      <c r="O397" s="1" t="s">
        <v>2477</v>
      </c>
    </row>
    <row r="398" ht="12.75" customHeight="1">
      <c r="N398" s="1" t="s">
        <v>2479</v>
      </c>
      <c r="O398" s="1" t="s">
        <v>2480</v>
      </c>
    </row>
    <row r="399" ht="12.75" customHeight="1">
      <c r="N399" s="1" t="s">
        <v>2481</v>
      </c>
      <c r="O399" s="1" t="s">
        <v>2482</v>
      </c>
    </row>
    <row r="400" ht="12.75" customHeight="1">
      <c r="N400" s="1" t="s">
        <v>2483</v>
      </c>
      <c r="O400" s="1" t="s">
        <v>2484</v>
      </c>
    </row>
    <row r="401" ht="12.75" customHeight="1">
      <c r="N401" s="1" t="s">
        <v>2485</v>
      </c>
      <c r="O401" s="1" t="s">
        <v>2486</v>
      </c>
    </row>
    <row r="402" ht="12.75" customHeight="1">
      <c r="N402" s="1" t="s">
        <v>2487</v>
      </c>
      <c r="O402" s="1" t="s">
        <v>2488</v>
      </c>
    </row>
    <row r="403" ht="12.75" customHeight="1">
      <c r="N403" s="1" t="s">
        <v>2489</v>
      </c>
      <c r="O403" s="1" t="s">
        <v>2490</v>
      </c>
    </row>
    <row r="404" ht="12.75" customHeight="1">
      <c r="N404" s="1" t="s">
        <v>2491</v>
      </c>
      <c r="O404" s="1" t="s">
        <v>2492</v>
      </c>
    </row>
    <row r="405" ht="12.75" customHeight="1">
      <c r="N405" s="1" t="s">
        <v>2493</v>
      </c>
      <c r="O405" s="1" t="s">
        <v>2492</v>
      </c>
    </row>
    <row r="406" ht="12.75" customHeight="1">
      <c r="N406" s="1" t="s">
        <v>2494</v>
      </c>
      <c r="O406" s="1" t="s">
        <v>2495</v>
      </c>
    </row>
    <row r="407" ht="12.75" customHeight="1">
      <c r="N407" s="1" t="s">
        <v>2496</v>
      </c>
      <c r="O407" s="1" t="s">
        <v>2497</v>
      </c>
    </row>
    <row r="408" ht="12.75" customHeight="1">
      <c r="N408" s="1" t="s">
        <v>2498</v>
      </c>
      <c r="O408" s="1" t="s">
        <v>2499</v>
      </c>
    </row>
    <row r="409" ht="12.75" customHeight="1">
      <c r="N409" s="1" t="s">
        <v>2500</v>
      </c>
      <c r="O409" s="1" t="s">
        <v>2501</v>
      </c>
    </row>
    <row r="410" ht="12.75" customHeight="1">
      <c r="N410" s="1" t="s">
        <v>2502</v>
      </c>
      <c r="O410" s="1" t="s">
        <v>2503</v>
      </c>
    </row>
    <row r="411" ht="12.75" customHeight="1">
      <c r="N411" s="1" t="s">
        <v>2504</v>
      </c>
      <c r="O411" s="1" t="s">
        <v>2505</v>
      </c>
    </row>
    <row r="412" ht="12.75" customHeight="1">
      <c r="N412" s="1" t="s">
        <v>2506</v>
      </c>
      <c r="O412" s="1" t="s">
        <v>2507</v>
      </c>
    </row>
    <row r="413" ht="12.75" customHeight="1">
      <c r="N413" s="1" t="s">
        <v>2508</v>
      </c>
      <c r="O413" s="1" t="s">
        <v>2509</v>
      </c>
    </row>
    <row r="414" ht="12.75" customHeight="1">
      <c r="N414" s="1" t="s">
        <v>2510</v>
      </c>
      <c r="O414" s="1" t="s">
        <v>2511</v>
      </c>
    </row>
    <row r="415" ht="12.75" customHeight="1">
      <c r="N415" s="1" t="s">
        <v>2512</v>
      </c>
      <c r="O415" s="1" t="s">
        <v>2513</v>
      </c>
    </row>
    <row r="416" ht="12.75" customHeight="1">
      <c r="N416" s="1" t="s">
        <v>2514</v>
      </c>
      <c r="O416" s="1" t="s">
        <v>2515</v>
      </c>
    </row>
    <row r="417" ht="12.75" customHeight="1">
      <c r="N417" s="1" t="s">
        <v>2516</v>
      </c>
      <c r="O417" s="1" t="s">
        <v>2517</v>
      </c>
    </row>
    <row r="418" ht="12.75" customHeight="1">
      <c r="N418" s="1" t="s">
        <v>2518</v>
      </c>
      <c r="O418" s="1" t="s">
        <v>2519</v>
      </c>
    </row>
    <row r="419" ht="12.75" customHeight="1">
      <c r="N419" s="1" t="s">
        <v>2520</v>
      </c>
      <c r="O419" s="1" t="s">
        <v>2521</v>
      </c>
    </row>
    <row r="420" ht="12.75" customHeight="1">
      <c r="N420" s="1" t="s">
        <v>2522</v>
      </c>
      <c r="O420" s="1" t="s">
        <v>2523</v>
      </c>
    </row>
    <row r="421" ht="12.75" customHeight="1">
      <c r="N421" s="1" t="s">
        <v>2524</v>
      </c>
      <c r="O421" s="1" t="s">
        <v>2525</v>
      </c>
    </row>
    <row r="422" ht="12.75" customHeight="1">
      <c r="N422" s="1" t="s">
        <v>2526</v>
      </c>
      <c r="O422" s="1" t="s">
        <v>2527</v>
      </c>
    </row>
    <row r="423" ht="12.75" customHeight="1">
      <c r="N423" s="1" t="s">
        <v>2528</v>
      </c>
      <c r="O423" s="1" t="s">
        <v>2529</v>
      </c>
    </row>
    <row r="424" ht="12.75" customHeight="1">
      <c r="N424" s="1" t="s">
        <v>2530</v>
      </c>
      <c r="O424" s="1" t="s">
        <v>2531</v>
      </c>
    </row>
    <row r="425" ht="12.75" customHeight="1">
      <c r="N425" s="1" t="s">
        <v>2532</v>
      </c>
      <c r="O425" s="1" t="s">
        <v>2533</v>
      </c>
    </row>
    <row r="426" ht="12.75" customHeight="1">
      <c r="N426" s="1" t="s">
        <v>2534</v>
      </c>
      <c r="O426" s="1" t="s">
        <v>2535</v>
      </c>
    </row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25" footer="0.0" header="0.0" left="0.7875" right="0.7875" top="1.025"/>
  <pageSetup orientation="portrait"/>
  <headerFooter>
    <oddHeader>&amp;C&amp;A</oddHeader>
    <oddFooter>&amp;CPage &amp;P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57.63"/>
    <col customWidth="1" min="2" max="26" width="11.63"/>
  </cols>
  <sheetData>
    <row r="1" ht="12.75" customHeight="1">
      <c r="A1" s="1" t="s">
        <v>371</v>
      </c>
    </row>
    <row r="2" ht="12.75" customHeight="1">
      <c r="A2" s="1" t="s">
        <v>372</v>
      </c>
    </row>
    <row r="3" ht="12.75" customHeight="1">
      <c r="A3" s="1" t="s">
        <v>373</v>
      </c>
    </row>
    <row r="4" ht="12.75" customHeight="1"/>
    <row r="5" ht="12.75" customHeight="1">
      <c r="A5" s="1" t="s">
        <v>360</v>
      </c>
    </row>
    <row r="6" ht="12.75" customHeight="1">
      <c r="A6" s="1" t="s">
        <v>374</v>
      </c>
    </row>
    <row r="7" ht="12.75" customHeight="1">
      <c r="A7" s="1" t="s">
        <v>375</v>
      </c>
    </row>
    <row r="8" ht="12.75" customHeight="1">
      <c r="A8" s="1" t="s">
        <v>376</v>
      </c>
    </row>
    <row r="9" ht="12.75" customHeight="1">
      <c r="A9" s="1" t="s">
        <v>377</v>
      </c>
    </row>
    <row r="10" ht="12.75" customHeight="1"/>
    <row r="11" ht="12.75" customHeight="1">
      <c r="A11" s="1" t="s">
        <v>361</v>
      </c>
    </row>
    <row r="12" ht="12.75" customHeight="1">
      <c r="A12" s="1" t="s">
        <v>378</v>
      </c>
    </row>
    <row r="13" ht="12.75" customHeight="1">
      <c r="A13" s="1" t="s">
        <v>379</v>
      </c>
    </row>
    <row r="14" ht="12.75" customHeight="1"/>
    <row r="15" ht="12.75" customHeight="1">
      <c r="A15" s="1" t="s">
        <v>362</v>
      </c>
    </row>
    <row r="16" ht="12.75" customHeight="1">
      <c r="A16" s="1" t="s">
        <v>380</v>
      </c>
    </row>
    <row r="17" ht="12.75" customHeight="1">
      <c r="A17" s="1" t="s">
        <v>381</v>
      </c>
    </row>
    <row r="18" ht="12.75" customHeight="1"/>
    <row r="19" ht="12.75" customHeight="1">
      <c r="A19" s="1" t="s">
        <v>363</v>
      </c>
    </row>
    <row r="20" ht="12.75" customHeight="1">
      <c r="A20" s="1" t="s">
        <v>382</v>
      </c>
    </row>
    <row r="21" ht="12.75" customHeight="1">
      <c r="A21" s="1" t="s">
        <v>383</v>
      </c>
    </row>
    <row r="22" ht="12.75" customHeight="1">
      <c r="A22" s="1" t="s">
        <v>384</v>
      </c>
    </row>
    <row r="23" ht="12.75" customHeight="1">
      <c r="A23" s="1" t="s">
        <v>385</v>
      </c>
    </row>
    <row r="24" ht="12.75" customHeight="1">
      <c r="A24" s="1" t="s">
        <v>386</v>
      </c>
    </row>
    <row r="25" ht="12.75" customHeight="1"/>
    <row r="26" ht="12.75" customHeight="1">
      <c r="A26" s="1" t="s">
        <v>360</v>
      </c>
    </row>
    <row r="27" ht="12.75" customHeight="1">
      <c r="A27" s="1" t="s">
        <v>387</v>
      </c>
    </row>
    <row r="28" ht="12.75" customHeight="1">
      <c r="A28" s="1" t="s">
        <v>387</v>
      </c>
    </row>
    <row r="29" ht="12.75" customHeight="1">
      <c r="A29" s="1" t="s">
        <v>388</v>
      </c>
    </row>
    <row r="30" ht="12.75" customHeight="1">
      <c r="A30" s="1" t="s">
        <v>388</v>
      </c>
    </row>
    <row r="31" ht="12.75" customHeight="1"/>
    <row r="32" ht="12.75" customHeight="1">
      <c r="A32" s="1" t="s">
        <v>361</v>
      </c>
    </row>
    <row r="33" ht="12.75" customHeight="1">
      <c r="A33" s="1" t="s">
        <v>389</v>
      </c>
    </row>
    <row r="34" ht="12.75" customHeight="1">
      <c r="A34" s="1" t="s">
        <v>389</v>
      </c>
    </row>
    <row r="35" ht="12.75" customHeight="1"/>
    <row r="36" ht="12.75" customHeight="1">
      <c r="A36" s="1" t="s">
        <v>362</v>
      </c>
    </row>
    <row r="37" ht="12.75" customHeight="1">
      <c r="A37" s="1" t="s">
        <v>390</v>
      </c>
    </row>
    <row r="38" ht="12.75" customHeight="1">
      <c r="A38" s="1" t="s">
        <v>390</v>
      </c>
    </row>
    <row r="39" ht="12.75" customHeight="1"/>
    <row r="40" ht="12.75" customHeight="1">
      <c r="A40" s="1" t="s">
        <v>363</v>
      </c>
    </row>
    <row r="41" ht="12.75" customHeight="1">
      <c r="A41" s="1" t="s">
        <v>391</v>
      </c>
    </row>
    <row r="42" ht="12.75" customHeight="1">
      <c r="A42" s="1" t="s">
        <v>392</v>
      </c>
    </row>
    <row r="43" ht="12.75" customHeight="1">
      <c r="A43" s="1" t="s">
        <v>393</v>
      </c>
    </row>
    <row r="44" ht="12.75" customHeight="1">
      <c r="A44" s="1" t="s">
        <v>394</v>
      </c>
    </row>
    <row r="45" ht="12.75" customHeight="1">
      <c r="A45" s="1" t="s">
        <v>387</v>
      </c>
    </row>
    <row r="46" ht="12.75" customHeight="1"/>
    <row r="47" ht="12.75" customHeight="1">
      <c r="A47" s="1" t="s">
        <v>360</v>
      </c>
    </row>
    <row r="48" ht="12.75" customHeight="1">
      <c r="A48" s="1" t="s">
        <v>395</v>
      </c>
    </row>
    <row r="49" ht="12.75" customHeight="1">
      <c r="A49" s="1" t="s">
        <v>395</v>
      </c>
    </row>
    <row r="50" ht="12.75" customHeight="1">
      <c r="A50" s="1" t="s">
        <v>396</v>
      </c>
    </row>
    <row r="51" ht="12.75" customHeight="1">
      <c r="A51" s="1" t="s">
        <v>396</v>
      </c>
    </row>
    <row r="52" ht="12.75" customHeight="1"/>
    <row r="53" ht="12.75" customHeight="1">
      <c r="A53" s="1" t="s">
        <v>361</v>
      </c>
    </row>
    <row r="54" ht="12.75" customHeight="1">
      <c r="A54" s="1" t="s">
        <v>397</v>
      </c>
    </row>
    <row r="55" ht="12.75" customHeight="1">
      <c r="A55" s="1" t="s">
        <v>397</v>
      </c>
    </row>
    <row r="56" ht="12.75" customHeight="1"/>
    <row r="57" ht="12.75" customHeight="1">
      <c r="A57" s="1" t="s">
        <v>362</v>
      </c>
    </row>
    <row r="58" ht="12.75" customHeight="1">
      <c r="A58" s="1" t="s">
        <v>398</v>
      </c>
    </row>
    <row r="59" ht="12.75" customHeight="1">
      <c r="A59" s="1" t="s">
        <v>398</v>
      </c>
    </row>
    <row r="60" ht="12.75" customHeight="1"/>
    <row r="61" ht="12.75" customHeight="1">
      <c r="A61" s="1" t="s">
        <v>363</v>
      </c>
    </row>
    <row r="62" ht="12.75" customHeight="1">
      <c r="A62" s="1" t="s">
        <v>399</v>
      </c>
    </row>
    <row r="63" ht="12.75" customHeight="1">
      <c r="A63" s="1" t="s">
        <v>400</v>
      </c>
    </row>
    <row r="64" ht="12.75" customHeight="1">
      <c r="A64" s="1" t="s">
        <v>401</v>
      </c>
    </row>
    <row r="65" ht="12.75" customHeight="1">
      <c r="A65" s="1" t="s">
        <v>402</v>
      </c>
    </row>
    <row r="66" ht="12.75" customHeight="1">
      <c r="A66" s="1" t="s">
        <v>403</v>
      </c>
    </row>
    <row r="67" ht="12.75" customHeight="1"/>
    <row r="68" ht="12.75" customHeight="1">
      <c r="A68" s="1" t="s">
        <v>360</v>
      </c>
    </row>
    <row r="69" ht="12.75" customHeight="1">
      <c r="A69" s="1" t="s">
        <v>404</v>
      </c>
    </row>
    <row r="70" ht="12.75" customHeight="1">
      <c r="A70" s="1" t="s">
        <v>405</v>
      </c>
    </row>
    <row r="71" ht="12.75" customHeight="1">
      <c r="A71" s="1" t="s">
        <v>405</v>
      </c>
    </row>
    <row r="72" ht="12.75" customHeight="1">
      <c r="A72" s="1" t="s">
        <v>406</v>
      </c>
    </row>
    <row r="73" ht="12.75" customHeight="1"/>
    <row r="74" ht="12.75" customHeight="1">
      <c r="A74" s="1" t="s">
        <v>361</v>
      </c>
    </row>
    <row r="75" ht="12.75" customHeight="1">
      <c r="A75" s="1" t="s">
        <v>407</v>
      </c>
    </row>
    <row r="76" ht="12.75" customHeight="1">
      <c r="A76" s="1" t="s">
        <v>407</v>
      </c>
    </row>
    <row r="77" ht="12.75" customHeight="1"/>
    <row r="78" ht="12.75" customHeight="1">
      <c r="A78" s="1" t="s">
        <v>362</v>
      </c>
    </row>
    <row r="79" ht="12.75" customHeight="1">
      <c r="A79" s="1" t="s">
        <v>408</v>
      </c>
    </row>
    <row r="80" ht="12.75" customHeight="1">
      <c r="A80" s="1" t="s">
        <v>409</v>
      </c>
    </row>
    <row r="81" ht="12.75" customHeight="1"/>
    <row r="82" ht="12.75" customHeight="1">
      <c r="A82" s="1" t="s">
        <v>363</v>
      </c>
    </row>
    <row r="83" ht="12.75" customHeight="1">
      <c r="A83" s="1" t="s">
        <v>410</v>
      </c>
    </row>
    <row r="84" ht="12.75" customHeight="1">
      <c r="A84" s="1" t="s">
        <v>411</v>
      </c>
    </row>
    <row r="85" ht="12.75" customHeight="1">
      <c r="A85" s="1" t="s">
        <v>412</v>
      </c>
    </row>
    <row r="86" ht="12.75" customHeight="1">
      <c r="A86" s="1" t="s">
        <v>413</v>
      </c>
    </row>
    <row r="87" ht="12.75" customHeight="1">
      <c r="A87" s="1" t="s">
        <v>414</v>
      </c>
    </row>
    <row r="88" ht="12.75" customHeight="1">
      <c r="A88" s="1" t="s">
        <v>415</v>
      </c>
    </row>
    <row r="89" ht="12.75" customHeight="1">
      <c r="A89" s="1" t="s">
        <v>416</v>
      </c>
    </row>
    <row r="90" ht="12.75" customHeight="1">
      <c r="A90" s="1" t="s">
        <v>417</v>
      </c>
    </row>
    <row r="91" ht="12.75" customHeight="1">
      <c r="A91" s="1" t="s">
        <v>418</v>
      </c>
    </row>
    <row r="92" ht="12.75" customHeight="1"/>
    <row r="93" ht="12.75" customHeight="1">
      <c r="A93" s="1" t="s">
        <v>419</v>
      </c>
    </row>
    <row r="94" ht="12.75" customHeight="1">
      <c r="A94" s="1" t="s">
        <v>420</v>
      </c>
    </row>
    <row r="95" ht="12.75" customHeight="1">
      <c r="A95" s="1" t="s">
        <v>421</v>
      </c>
    </row>
    <row r="96" ht="12.75" customHeight="1">
      <c r="A96" s="1" t="s">
        <v>422</v>
      </c>
    </row>
    <row r="97" ht="12.75" customHeight="1"/>
    <row r="98" ht="12.75" customHeight="1">
      <c r="A98" s="1" t="s">
        <v>423</v>
      </c>
    </row>
    <row r="99" ht="12.75" customHeight="1">
      <c r="A99" s="1" t="s">
        <v>424</v>
      </c>
    </row>
    <row r="100" ht="12.75" customHeight="1">
      <c r="A100" s="1" t="s">
        <v>425</v>
      </c>
    </row>
    <row r="101" ht="12.75" customHeight="1">
      <c r="A101" s="1" t="s">
        <v>426</v>
      </c>
    </row>
    <row r="102" ht="12.75" customHeight="1">
      <c r="A102" s="1" t="s">
        <v>427</v>
      </c>
    </row>
    <row r="103" ht="12.75" customHeight="1">
      <c r="A103" s="1" t="s">
        <v>428</v>
      </c>
    </row>
    <row r="104" ht="12.75" customHeight="1">
      <c r="A104" s="1" t="s">
        <v>429</v>
      </c>
    </row>
    <row r="105" ht="12.75" customHeight="1">
      <c r="A105" s="1" t="s">
        <v>430</v>
      </c>
    </row>
    <row r="106" ht="12.75" customHeight="1">
      <c r="A106" s="1" t="s">
        <v>431</v>
      </c>
    </row>
    <row r="107" ht="12.75" customHeight="1"/>
    <row r="108" ht="12.75" customHeight="1">
      <c r="A108" s="1" t="s">
        <v>360</v>
      </c>
    </row>
    <row r="109" ht="12.75" customHeight="1">
      <c r="A109" s="1" t="s">
        <v>432</v>
      </c>
    </row>
    <row r="110" ht="12.75" customHeight="1">
      <c r="A110" s="1" t="s">
        <v>433</v>
      </c>
    </row>
    <row r="111" ht="12.75" customHeight="1">
      <c r="A111" s="1" t="s">
        <v>434</v>
      </c>
    </row>
    <row r="112" ht="12.75" customHeight="1">
      <c r="A112" s="1" t="s">
        <v>435</v>
      </c>
    </row>
    <row r="113" ht="12.75" customHeight="1"/>
    <row r="114" ht="12.75" customHeight="1">
      <c r="A114" s="1" t="s">
        <v>361</v>
      </c>
    </row>
    <row r="115" ht="12.75" customHeight="1">
      <c r="A115" s="1" t="s">
        <v>436</v>
      </c>
    </row>
    <row r="116" ht="12.75" customHeight="1">
      <c r="A116" s="1" t="s">
        <v>437</v>
      </c>
    </row>
    <row r="117" ht="12.75" customHeight="1"/>
    <row r="118" ht="12.75" customHeight="1">
      <c r="A118" s="1" t="s">
        <v>362</v>
      </c>
    </row>
    <row r="119" ht="12.75" customHeight="1">
      <c r="A119" s="1" t="s">
        <v>438</v>
      </c>
    </row>
    <row r="120" ht="12.75" customHeight="1">
      <c r="A120" s="1" t="s">
        <v>439</v>
      </c>
    </row>
    <row r="121" ht="12.75" customHeight="1"/>
    <row r="122" ht="12.75" customHeight="1">
      <c r="A122" s="1" t="s">
        <v>363</v>
      </c>
    </row>
    <row r="123" ht="12.75" customHeight="1">
      <c r="A123" s="1" t="s">
        <v>440</v>
      </c>
    </row>
    <row r="124" ht="12.75" customHeight="1">
      <c r="A124" s="1" t="s">
        <v>441</v>
      </c>
    </row>
    <row r="125" ht="12.75" customHeight="1">
      <c r="A125" s="1" t="s">
        <v>442</v>
      </c>
    </row>
    <row r="126" ht="12.75" customHeight="1">
      <c r="A126" s="1" t="s">
        <v>443</v>
      </c>
    </row>
    <row r="127" ht="12.75" customHeight="1">
      <c r="A127" s="1" t="s">
        <v>444</v>
      </c>
    </row>
    <row r="128" ht="12.75" customHeight="1"/>
    <row r="129" ht="12.75" customHeight="1">
      <c r="A129" s="1" t="s">
        <v>360</v>
      </c>
    </row>
    <row r="130" ht="12.75" customHeight="1">
      <c r="A130" s="1" t="s">
        <v>445</v>
      </c>
    </row>
    <row r="131" ht="12.75" customHeight="1">
      <c r="A131" s="1" t="s">
        <v>446</v>
      </c>
    </row>
    <row r="132" ht="12.75" customHeight="1">
      <c r="A132" s="1" t="s">
        <v>447</v>
      </c>
    </row>
    <row r="133" ht="12.75" customHeight="1">
      <c r="A133" s="1" t="s">
        <v>448</v>
      </c>
    </row>
    <row r="134" ht="12.75" customHeight="1"/>
    <row r="135" ht="12.75" customHeight="1">
      <c r="A135" s="1" t="s">
        <v>361</v>
      </c>
    </row>
    <row r="136" ht="12.75" customHeight="1">
      <c r="A136" s="1" t="s">
        <v>449</v>
      </c>
    </row>
    <row r="137" ht="12.75" customHeight="1">
      <c r="A137" s="1" t="s">
        <v>450</v>
      </c>
    </row>
    <row r="138" ht="12.75" customHeight="1"/>
    <row r="139" ht="12.75" customHeight="1">
      <c r="A139" s="1" t="s">
        <v>362</v>
      </c>
    </row>
    <row r="140" ht="12.75" customHeight="1">
      <c r="A140" s="1" t="s">
        <v>451</v>
      </c>
    </row>
    <row r="141" ht="12.75" customHeight="1">
      <c r="A141" s="1" t="s">
        <v>452</v>
      </c>
    </row>
    <row r="142" ht="12.75" customHeight="1"/>
    <row r="143" ht="12.75" customHeight="1">
      <c r="A143" s="1" t="s">
        <v>363</v>
      </c>
    </row>
    <row r="144" ht="12.75" customHeight="1">
      <c r="A144" s="1" t="s">
        <v>453</v>
      </c>
    </row>
    <row r="145" ht="12.75" customHeight="1">
      <c r="A145" s="1" t="s">
        <v>454</v>
      </c>
    </row>
    <row r="146" ht="12.75" customHeight="1">
      <c r="A146" s="1" t="s">
        <v>455</v>
      </c>
    </row>
    <row r="147" ht="12.75" customHeight="1">
      <c r="A147" s="1" t="s">
        <v>443</v>
      </c>
    </row>
    <row r="148" ht="12.75" customHeight="1">
      <c r="A148" s="1" t="s">
        <v>444</v>
      </c>
    </row>
    <row r="149" ht="12.75" customHeight="1"/>
    <row r="150" ht="12.75" customHeight="1">
      <c r="A150" s="1" t="s">
        <v>360</v>
      </c>
    </row>
    <row r="151" ht="12.75" customHeight="1">
      <c r="A151" s="1" t="s">
        <v>445</v>
      </c>
    </row>
    <row r="152" ht="12.75" customHeight="1">
      <c r="A152" s="1" t="s">
        <v>446</v>
      </c>
    </row>
    <row r="153" ht="12.75" customHeight="1">
      <c r="A153" s="1" t="s">
        <v>447</v>
      </c>
    </row>
    <row r="154" ht="12.75" customHeight="1">
      <c r="A154" s="1" t="s">
        <v>448</v>
      </c>
    </row>
    <row r="155" ht="12.75" customHeight="1"/>
    <row r="156" ht="12.75" customHeight="1">
      <c r="A156" s="1" t="s">
        <v>361</v>
      </c>
    </row>
    <row r="157" ht="12.75" customHeight="1">
      <c r="A157" s="1" t="s">
        <v>449</v>
      </c>
    </row>
    <row r="158" ht="12.75" customHeight="1">
      <c r="A158" s="1" t="s">
        <v>450</v>
      </c>
    </row>
    <row r="159" ht="12.75" customHeight="1"/>
    <row r="160" ht="12.75" customHeight="1">
      <c r="A160" s="1" t="s">
        <v>362</v>
      </c>
    </row>
    <row r="161" ht="12.75" customHeight="1">
      <c r="A161" s="1" t="s">
        <v>451</v>
      </c>
    </row>
    <row r="162" ht="12.75" customHeight="1">
      <c r="A162" s="1" t="s">
        <v>452</v>
      </c>
    </row>
    <row r="163" ht="12.75" customHeight="1"/>
    <row r="164" ht="12.75" customHeight="1">
      <c r="A164" s="1" t="s">
        <v>363</v>
      </c>
    </row>
    <row r="165" ht="12.75" customHeight="1">
      <c r="A165" s="1" t="s">
        <v>456</v>
      </c>
    </row>
    <row r="166" ht="12.75" customHeight="1">
      <c r="A166" s="1" t="s">
        <v>457</v>
      </c>
    </row>
    <row r="167" ht="12.75" customHeight="1">
      <c r="A167" s="1" t="s">
        <v>458</v>
      </c>
    </row>
    <row r="168" ht="12.75" customHeight="1">
      <c r="A168" s="1" t="s">
        <v>443</v>
      </c>
    </row>
    <row r="169" ht="12.75" customHeight="1">
      <c r="A169" s="1" t="s">
        <v>444</v>
      </c>
    </row>
    <row r="170" ht="12.75" customHeight="1"/>
    <row r="171" ht="12.75" customHeight="1">
      <c r="A171" s="1" t="s">
        <v>360</v>
      </c>
    </row>
    <row r="172" ht="12.75" customHeight="1">
      <c r="A172" s="1" t="s">
        <v>445</v>
      </c>
    </row>
    <row r="173" ht="12.75" customHeight="1">
      <c r="A173" s="1" t="s">
        <v>446</v>
      </c>
    </row>
    <row r="174" ht="12.75" customHeight="1">
      <c r="A174" s="1" t="s">
        <v>447</v>
      </c>
    </row>
    <row r="175" ht="12.75" customHeight="1">
      <c r="A175" s="1" t="s">
        <v>448</v>
      </c>
    </row>
    <row r="176" ht="12.75" customHeight="1"/>
    <row r="177" ht="12.75" customHeight="1">
      <c r="A177" s="1" t="s">
        <v>361</v>
      </c>
    </row>
    <row r="178" ht="12.75" customHeight="1">
      <c r="A178" s="1" t="s">
        <v>449</v>
      </c>
    </row>
    <row r="179" ht="12.75" customHeight="1">
      <c r="A179" s="1" t="s">
        <v>450</v>
      </c>
    </row>
    <row r="180" ht="12.75" customHeight="1"/>
    <row r="181" ht="12.75" customHeight="1">
      <c r="A181" s="1" t="s">
        <v>362</v>
      </c>
    </row>
    <row r="182" ht="12.75" customHeight="1">
      <c r="A182" s="1" t="s">
        <v>451</v>
      </c>
    </row>
    <row r="183" ht="12.75" customHeight="1">
      <c r="A183" s="1" t="s">
        <v>452</v>
      </c>
    </row>
    <row r="184" ht="12.75" customHeight="1"/>
    <row r="185" ht="12.75" customHeight="1">
      <c r="A185" s="1" t="s">
        <v>363</v>
      </c>
    </row>
    <row r="186" ht="12.75" customHeight="1">
      <c r="A186" s="1" t="s">
        <v>459</v>
      </c>
    </row>
    <row r="187" ht="12.75" customHeight="1">
      <c r="A187" s="1" t="s">
        <v>460</v>
      </c>
    </row>
    <row r="188" ht="12.75" customHeight="1">
      <c r="A188" s="1" t="s">
        <v>461</v>
      </c>
    </row>
    <row r="189" ht="12.75" customHeight="1">
      <c r="A189" s="1" t="s">
        <v>462</v>
      </c>
    </row>
    <row r="190" ht="12.75" customHeight="1">
      <c r="A190" s="1" t="s">
        <v>463</v>
      </c>
    </row>
    <row r="191" ht="12.75" customHeight="1"/>
    <row r="192" ht="12.75" customHeight="1">
      <c r="A192" s="1" t="s">
        <v>360</v>
      </c>
    </row>
    <row r="193" ht="12.75" customHeight="1">
      <c r="A193" s="1" t="s">
        <v>464</v>
      </c>
    </row>
    <row r="194" ht="12.75" customHeight="1">
      <c r="A194" s="1" t="s">
        <v>465</v>
      </c>
    </row>
    <row r="195" ht="12.75" customHeight="1">
      <c r="A195" s="1" t="s">
        <v>466</v>
      </c>
    </row>
    <row r="196" ht="12.75" customHeight="1">
      <c r="A196" s="1" t="s">
        <v>467</v>
      </c>
    </row>
    <row r="197" ht="12.75" customHeight="1"/>
    <row r="198" ht="12.75" customHeight="1">
      <c r="A198" s="1" t="s">
        <v>361</v>
      </c>
    </row>
    <row r="199" ht="12.75" customHeight="1">
      <c r="A199" s="1" t="s">
        <v>468</v>
      </c>
    </row>
    <row r="200" ht="12.75" customHeight="1">
      <c r="A200" s="1" t="s">
        <v>469</v>
      </c>
    </row>
    <row r="201" ht="12.75" customHeight="1"/>
    <row r="202" ht="12.75" customHeight="1">
      <c r="A202" s="1" t="s">
        <v>362</v>
      </c>
    </row>
    <row r="203" ht="12.75" customHeight="1">
      <c r="A203" s="1" t="s">
        <v>470</v>
      </c>
    </row>
    <row r="204" ht="12.75" customHeight="1">
      <c r="A204" s="1" t="s">
        <v>471</v>
      </c>
    </row>
    <row r="205" ht="12.75" customHeight="1"/>
    <row r="206" ht="12.75" customHeight="1">
      <c r="A206" s="1" t="s">
        <v>363</v>
      </c>
    </row>
    <row r="207" ht="12.75" customHeight="1">
      <c r="A207" s="1" t="s">
        <v>472</v>
      </c>
    </row>
    <row r="208" ht="12.75" customHeight="1">
      <c r="A208" s="1" t="s">
        <v>473</v>
      </c>
    </row>
    <row r="209" ht="12.75" customHeight="1">
      <c r="A209" s="1" t="s">
        <v>474</v>
      </c>
    </row>
    <row r="210" ht="12.75" customHeight="1">
      <c r="A210" s="1" t="s">
        <v>462</v>
      </c>
    </row>
    <row r="211" ht="12.75" customHeight="1">
      <c r="A211" s="1" t="s">
        <v>463</v>
      </c>
    </row>
    <row r="212" ht="12.75" customHeight="1"/>
    <row r="213" ht="12.75" customHeight="1">
      <c r="A213" s="1" t="s">
        <v>360</v>
      </c>
    </row>
    <row r="214" ht="12.75" customHeight="1">
      <c r="A214" s="1" t="s">
        <v>464</v>
      </c>
    </row>
    <row r="215" ht="12.75" customHeight="1">
      <c r="A215" s="1" t="s">
        <v>465</v>
      </c>
    </row>
    <row r="216" ht="12.75" customHeight="1">
      <c r="A216" s="1" t="s">
        <v>466</v>
      </c>
    </row>
    <row r="217" ht="12.75" customHeight="1">
      <c r="A217" s="1" t="s">
        <v>467</v>
      </c>
    </row>
    <row r="218" ht="12.75" customHeight="1"/>
    <row r="219" ht="12.75" customHeight="1">
      <c r="A219" s="1" t="s">
        <v>361</v>
      </c>
    </row>
    <row r="220" ht="12.75" customHeight="1">
      <c r="A220" s="1" t="s">
        <v>468</v>
      </c>
    </row>
    <row r="221" ht="12.75" customHeight="1">
      <c r="A221" s="1" t="s">
        <v>469</v>
      </c>
    </row>
    <row r="222" ht="12.75" customHeight="1"/>
    <row r="223" ht="12.75" customHeight="1">
      <c r="A223" s="1" t="s">
        <v>362</v>
      </c>
    </row>
    <row r="224" ht="12.75" customHeight="1">
      <c r="A224" s="1" t="s">
        <v>470</v>
      </c>
    </row>
    <row r="225" ht="12.75" customHeight="1">
      <c r="A225" s="1" t="s">
        <v>471</v>
      </c>
    </row>
    <row r="226" ht="12.75" customHeight="1"/>
    <row r="227" ht="12.75" customHeight="1">
      <c r="A227" s="1" t="s">
        <v>363</v>
      </c>
    </row>
    <row r="228" ht="12.75" customHeight="1">
      <c r="A228" s="1" t="s">
        <v>472</v>
      </c>
    </row>
    <row r="229" ht="12.75" customHeight="1">
      <c r="A229" s="1" t="s">
        <v>473</v>
      </c>
    </row>
    <row r="230" ht="12.75" customHeight="1">
      <c r="A230" s="1" t="s">
        <v>475</v>
      </c>
    </row>
    <row r="231" ht="12.75" customHeight="1">
      <c r="A231" s="1" t="s">
        <v>462</v>
      </c>
    </row>
    <row r="232" ht="12.75" customHeight="1">
      <c r="A232" s="1" t="s">
        <v>463</v>
      </c>
    </row>
    <row r="233" ht="12.75" customHeight="1"/>
    <row r="234" ht="12.75" customHeight="1">
      <c r="A234" s="1" t="s">
        <v>360</v>
      </c>
    </row>
    <row r="235" ht="12.75" customHeight="1">
      <c r="A235" s="1" t="s">
        <v>464</v>
      </c>
    </row>
    <row r="236" ht="12.75" customHeight="1">
      <c r="A236" s="1" t="s">
        <v>465</v>
      </c>
    </row>
    <row r="237" ht="12.75" customHeight="1">
      <c r="A237" s="1" t="s">
        <v>466</v>
      </c>
    </row>
    <row r="238" ht="12.75" customHeight="1">
      <c r="A238" s="1" t="s">
        <v>467</v>
      </c>
    </row>
    <row r="239" ht="12.75" customHeight="1"/>
    <row r="240" ht="12.75" customHeight="1">
      <c r="A240" s="1" t="s">
        <v>361</v>
      </c>
    </row>
    <row r="241" ht="12.75" customHeight="1">
      <c r="A241" s="1" t="s">
        <v>468</v>
      </c>
    </row>
    <row r="242" ht="12.75" customHeight="1">
      <c r="A242" s="1" t="s">
        <v>469</v>
      </c>
    </row>
    <row r="243" ht="12.75" customHeight="1"/>
    <row r="244" ht="12.75" customHeight="1">
      <c r="A244" s="1" t="s">
        <v>362</v>
      </c>
    </row>
    <row r="245" ht="12.75" customHeight="1">
      <c r="A245" s="1" t="s">
        <v>470</v>
      </c>
    </row>
    <row r="246" ht="12.75" customHeight="1">
      <c r="A246" s="1" t="s">
        <v>471</v>
      </c>
    </row>
    <row r="247" ht="12.75" customHeight="1"/>
    <row r="248" ht="12.75" customHeight="1">
      <c r="A248" s="1" t="s">
        <v>363</v>
      </c>
    </row>
    <row r="249" ht="12.75" customHeight="1">
      <c r="A249" s="1" t="s">
        <v>472</v>
      </c>
    </row>
    <row r="250" ht="12.75" customHeight="1">
      <c r="A250" s="1" t="s">
        <v>473</v>
      </c>
    </row>
    <row r="251" ht="12.75" customHeight="1">
      <c r="A251" s="1" t="s">
        <v>476</v>
      </c>
    </row>
    <row r="252" ht="12.75" customHeight="1">
      <c r="A252" s="1" t="s">
        <v>462</v>
      </c>
    </row>
    <row r="253" ht="12.75" customHeight="1">
      <c r="A253" s="1" t="s">
        <v>463</v>
      </c>
    </row>
    <row r="254" ht="12.75" customHeight="1"/>
    <row r="255" ht="12.75" customHeight="1">
      <c r="A255" s="1" t="s">
        <v>360</v>
      </c>
    </row>
    <row r="256" ht="12.75" customHeight="1">
      <c r="A256" s="1" t="s">
        <v>464</v>
      </c>
    </row>
    <row r="257" ht="12.75" customHeight="1">
      <c r="A257" s="1" t="s">
        <v>465</v>
      </c>
    </row>
    <row r="258" ht="12.75" customHeight="1">
      <c r="A258" s="1" t="s">
        <v>466</v>
      </c>
    </row>
    <row r="259" ht="12.75" customHeight="1">
      <c r="A259" s="1" t="s">
        <v>467</v>
      </c>
    </row>
    <row r="260" ht="12.75" customHeight="1"/>
    <row r="261" ht="12.75" customHeight="1">
      <c r="A261" s="1" t="s">
        <v>361</v>
      </c>
    </row>
    <row r="262" ht="12.75" customHeight="1">
      <c r="A262" s="1" t="s">
        <v>477</v>
      </c>
    </row>
    <row r="263" ht="12.75" customHeight="1">
      <c r="A263" s="1" t="s">
        <v>478</v>
      </c>
    </row>
    <row r="264" ht="12.75" customHeight="1"/>
    <row r="265" ht="12.75" customHeight="1">
      <c r="A265" s="1" t="s">
        <v>362</v>
      </c>
    </row>
    <row r="266" ht="12.75" customHeight="1">
      <c r="A266" s="1" t="s">
        <v>479</v>
      </c>
    </row>
    <row r="267" ht="12.75" customHeight="1">
      <c r="A267" s="1" t="s">
        <v>480</v>
      </c>
    </row>
    <row r="268" ht="12.75" customHeight="1"/>
    <row r="269" ht="12.75" customHeight="1">
      <c r="A269" s="1" t="s">
        <v>363</v>
      </c>
    </row>
    <row r="270" ht="12.75" customHeight="1">
      <c r="A270" s="1" t="s">
        <v>481</v>
      </c>
    </row>
    <row r="271" ht="12.75" customHeight="1">
      <c r="A271" s="1" t="s">
        <v>482</v>
      </c>
    </row>
    <row r="272" ht="12.75" customHeight="1">
      <c r="A272" s="1" t="s">
        <v>483</v>
      </c>
    </row>
    <row r="273" ht="12.75" customHeight="1">
      <c r="A273" s="1" t="s">
        <v>484</v>
      </c>
    </row>
    <row r="274" ht="12.75" customHeight="1">
      <c r="A274" s="1" t="s">
        <v>485</v>
      </c>
    </row>
    <row r="275" ht="12.75" customHeight="1"/>
    <row r="276" ht="12.75" customHeight="1">
      <c r="A276" s="1" t="s">
        <v>360</v>
      </c>
    </row>
    <row r="277" ht="12.75" customHeight="1">
      <c r="A277" s="1" t="s">
        <v>486</v>
      </c>
    </row>
    <row r="278" ht="12.75" customHeight="1">
      <c r="A278" s="1" t="s">
        <v>487</v>
      </c>
    </row>
    <row r="279" ht="12.75" customHeight="1">
      <c r="A279" s="1" t="s">
        <v>488</v>
      </c>
    </row>
    <row r="280" ht="12.75" customHeight="1">
      <c r="A280" s="1" t="s">
        <v>489</v>
      </c>
    </row>
    <row r="281" ht="12.75" customHeight="1"/>
    <row r="282" ht="12.75" customHeight="1">
      <c r="A282" s="1" t="s">
        <v>361</v>
      </c>
    </row>
    <row r="283" ht="12.75" customHeight="1">
      <c r="A283" s="1" t="s">
        <v>490</v>
      </c>
    </row>
    <row r="284" ht="12.75" customHeight="1">
      <c r="A284" s="1" t="s">
        <v>491</v>
      </c>
    </row>
    <row r="285" ht="12.75" customHeight="1"/>
    <row r="286" ht="12.75" customHeight="1">
      <c r="A286" s="1" t="s">
        <v>362</v>
      </c>
    </row>
    <row r="287" ht="12.75" customHeight="1">
      <c r="A287" s="1" t="s">
        <v>492</v>
      </c>
    </row>
    <row r="288" ht="12.75" customHeight="1">
      <c r="A288" s="1" t="s">
        <v>493</v>
      </c>
    </row>
    <row r="289" ht="12.75" customHeight="1"/>
    <row r="290" ht="12.75" customHeight="1">
      <c r="A290" s="1" t="s">
        <v>363</v>
      </c>
    </row>
    <row r="291" ht="12.75" customHeight="1">
      <c r="A291" s="1" t="s">
        <v>494</v>
      </c>
    </row>
    <row r="292" ht="12.75" customHeight="1">
      <c r="A292" s="1" t="s">
        <v>495</v>
      </c>
    </row>
    <row r="293" ht="12.75" customHeight="1">
      <c r="A293" s="1" t="s">
        <v>496</v>
      </c>
    </row>
    <row r="294" ht="12.75" customHeight="1">
      <c r="A294" s="1" t="s">
        <v>497</v>
      </c>
    </row>
    <row r="295" ht="12.75" customHeight="1">
      <c r="A295" s="1" t="s">
        <v>498</v>
      </c>
    </row>
    <row r="296" ht="12.75" customHeight="1">
      <c r="A296" s="1" t="s">
        <v>499</v>
      </c>
    </row>
    <row r="297" ht="12.75" customHeight="1">
      <c r="A297" s="1" t="s">
        <v>500</v>
      </c>
    </row>
    <row r="298" ht="12.75" customHeight="1">
      <c r="A298" s="1" t="s">
        <v>501</v>
      </c>
    </row>
    <row r="299" ht="12.75" customHeight="1"/>
    <row r="300" ht="12.75" customHeight="1">
      <c r="A300" s="1" t="s">
        <v>419</v>
      </c>
    </row>
    <row r="301" ht="12.75" customHeight="1">
      <c r="A301" s="1" t="s">
        <v>502</v>
      </c>
    </row>
    <row r="302" ht="12.75" customHeight="1">
      <c r="A302" s="1" t="s">
        <v>503</v>
      </c>
    </row>
    <row r="303" ht="12.75" customHeight="1">
      <c r="A303" s="1" t="s">
        <v>504</v>
      </c>
    </row>
    <row r="304" ht="12.75" customHeight="1"/>
    <row r="305" ht="12.75" customHeight="1">
      <c r="A305" s="1" t="s">
        <v>423</v>
      </c>
    </row>
    <row r="306" ht="12.75" customHeight="1">
      <c r="A306" s="1" t="s">
        <v>505</v>
      </c>
    </row>
    <row r="307" ht="12.75" customHeight="1">
      <c r="A307" s="1" t="s">
        <v>506</v>
      </c>
    </row>
    <row r="308" ht="12.75" customHeight="1">
      <c r="A308" s="1" t="s">
        <v>507</v>
      </c>
    </row>
    <row r="309" ht="12.75" customHeight="1">
      <c r="A309" s="1" t="s">
        <v>508</v>
      </c>
    </row>
    <row r="310" ht="12.75" customHeight="1">
      <c r="A310" s="1" t="s">
        <v>509</v>
      </c>
    </row>
    <row r="311" ht="12.75" customHeight="1">
      <c r="A311" s="1" t="s">
        <v>510</v>
      </c>
    </row>
    <row r="312" ht="12.75" customHeight="1">
      <c r="A312" s="1" t="s">
        <v>484</v>
      </c>
    </row>
    <row r="313" ht="12.75" customHeight="1">
      <c r="A313" s="1" t="s">
        <v>485</v>
      </c>
    </row>
    <row r="314" ht="12.75" customHeight="1"/>
    <row r="315" ht="12.75" customHeight="1">
      <c r="A315" s="1" t="s">
        <v>360</v>
      </c>
    </row>
    <row r="316" ht="12.75" customHeight="1">
      <c r="A316" s="1" t="s">
        <v>486</v>
      </c>
    </row>
    <row r="317" ht="12.75" customHeight="1">
      <c r="A317" s="1" t="s">
        <v>487</v>
      </c>
    </row>
    <row r="318" ht="12.75" customHeight="1">
      <c r="A318" s="1" t="s">
        <v>511</v>
      </c>
    </row>
    <row r="319" ht="12.75" customHeight="1">
      <c r="A319" s="1" t="s">
        <v>512</v>
      </c>
    </row>
    <row r="320" ht="12.75" customHeight="1"/>
    <row r="321" ht="12.75" customHeight="1">
      <c r="A321" s="1" t="s">
        <v>361</v>
      </c>
    </row>
    <row r="322" ht="12.75" customHeight="1">
      <c r="A322" s="1" t="s">
        <v>490</v>
      </c>
    </row>
    <row r="323" ht="12.75" customHeight="1">
      <c r="A323" s="1" t="s">
        <v>491</v>
      </c>
    </row>
    <row r="324" ht="12.75" customHeight="1"/>
    <row r="325" ht="12.75" customHeight="1">
      <c r="A325" s="1" t="s">
        <v>362</v>
      </c>
    </row>
    <row r="326" ht="12.75" customHeight="1">
      <c r="A326" s="1" t="s">
        <v>513</v>
      </c>
    </row>
    <row r="327" ht="12.75" customHeight="1">
      <c r="A327" s="1" t="s">
        <v>514</v>
      </c>
    </row>
    <row r="328" ht="12.75" customHeight="1"/>
    <row r="329" ht="12.75" customHeight="1">
      <c r="A329" s="1" t="s">
        <v>363</v>
      </c>
    </row>
    <row r="330" ht="12.75" customHeight="1">
      <c r="A330" s="1" t="s">
        <v>515</v>
      </c>
    </row>
    <row r="331" ht="12.75" customHeight="1">
      <c r="A331" s="1" t="s">
        <v>516</v>
      </c>
    </row>
    <row r="332" ht="12.75" customHeight="1">
      <c r="A332" s="1" t="s">
        <v>496</v>
      </c>
    </row>
    <row r="333" ht="12.75" customHeight="1">
      <c r="A333" s="1" t="s">
        <v>497</v>
      </c>
    </row>
    <row r="334" ht="12.75" customHeight="1">
      <c r="A334" s="1" t="s">
        <v>498</v>
      </c>
    </row>
    <row r="335" ht="12.75" customHeight="1">
      <c r="A335" s="1" t="s">
        <v>499</v>
      </c>
    </row>
    <row r="336" ht="12.75" customHeight="1">
      <c r="A336" s="1" t="s">
        <v>500</v>
      </c>
    </row>
    <row r="337" ht="12.75" customHeight="1">
      <c r="A337" s="1" t="s">
        <v>501</v>
      </c>
    </row>
    <row r="338" ht="12.75" customHeight="1"/>
    <row r="339" ht="12.75" customHeight="1">
      <c r="A339" s="1" t="s">
        <v>419</v>
      </c>
    </row>
    <row r="340" ht="12.75" customHeight="1">
      <c r="A340" s="1" t="s">
        <v>502</v>
      </c>
    </row>
    <row r="341" ht="12.75" customHeight="1">
      <c r="A341" s="1" t="s">
        <v>503</v>
      </c>
    </row>
    <row r="342" ht="12.75" customHeight="1">
      <c r="A342" s="1" t="s">
        <v>504</v>
      </c>
    </row>
    <row r="343" ht="12.75" customHeight="1"/>
    <row r="344" ht="12.75" customHeight="1">
      <c r="A344" s="1" t="s">
        <v>423</v>
      </c>
    </row>
    <row r="345" ht="12.75" customHeight="1">
      <c r="A345" s="1" t="s">
        <v>505</v>
      </c>
    </row>
    <row r="346" ht="12.75" customHeight="1">
      <c r="A346" s="1" t="s">
        <v>506</v>
      </c>
    </row>
    <row r="347" ht="12.75" customHeight="1">
      <c r="A347" s="1" t="s">
        <v>507</v>
      </c>
    </row>
    <row r="348" ht="12.75" customHeight="1">
      <c r="A348" s="1" t="s">
        <v>508</v>
      </c>
    </row>
    <row r="349" ht="12.75" customHeight="1">
      <c r="A349" s="1" t="s">
        <v>509</v>
      </c>
    </row>
    <row r="350" ht="12.75" customHeight="1">
      <c r="A350" s="1" t="s">
        <v>517</v>
      </c>
    </row>
    <row r="351" ht="12.75" customHeight="1">
      <c r="A351" s="1" t="s">
        <v>484</v>
      </c>
    </row>
    <row r="352" ht="12.75" customHeight="1">
      <c r="A352" s="1" t="s">
        <v>485</v>
      </c>
    </row>
    <row r="353" ht="12.75" customHeight="1"/>
    <row r="354" ht="12.75" customHeight="1">
      <c r="A354" s="1" t="s">
        <v>360</v>
      </c>
    </row>
    <row r="355" ht="12.75" customHeight="1">
      <c r="A355" s="1" t="s">
        <v>486</v>
      </c>
    </row>
    <row r="356" ht="12.75" customHeight="1">
      <c r="A356" s="1" t="s">
        <v>487</v>
      </c>
    </row>
    <row r="357" ht="12.75" customHeight="1">
      <c r="A357" s="1" t="s">
        <v>518</v>
      </c>
    </row>
    <row r="358" ht="12.75" customHeight="1">
      <c r="A358" s="1" t="s">
        <v>519</v>
      </c>
    </row>
    <row r="359" ht="12.75" customHeight="1"/>
    <row r="360" ht="12.75" customHeight="1">
      <c r="A360" s="1" t="s">
        <v>361</v>
      </c>
    </row>
    <row r="361" ht="12.75" customHeight="1">
      <c r="A361" s="1" t="s">
        <v>490</v>
      </c>
    </row>
    <row r="362" ht="12.75" customHeight="1">
      <c r="A362" s="1" t="s">
        <v>491</v>
      </c>
    </row>
    <row r="363" ht="12.75" customHeight="1"/>
    <row r="364" ht="12.75" customHeight="1">
      <c r="A364" s="1" t="s">
        <v>362</v>
      </c>
    </row>
    <row r="365" ht="12.75" customHeight="1">
      <c r="A365" s="1" t="s">
        <v>520</v>
      </c>
    </row>
    <row r="366" ht="12.75" customHeight="1">
      <c r="A366" s="1" t="s">
        <v>521</v>
      </c>
    </row>
    <row r="367" ht="12.75" customHeight="1"/>
    <row r="368" ht="12.75" customHeight="1">
      <c r="A368" s="1" t="s">
        <v>363</v>
      </c>
    </row>
    <row r="369" ht="12.75" customHeight="1">
      <c r="A369" s="1" t="s">
        <v>522</v>
      </c>
    </row>
    <row r="370" ht="12.75" customHeight="1">
      <c r="A370" s="1" t="s">
        <v>523</v>
      </c>
    </row>
    <row r="371" ht="12.75" customHeight="1">
      <c r="A371" s="1" t="s">
        <v>496</v>
      </c>
    </row>
    <row r="372" ht="12.75" customHeight="1">
      <c r="A372" s="1" t="s">
        <v>497</v>
      </c>
    </row>
    <row r="373" ht="12.75" customHeight="1">
      <c r="A373" s="1" t="s">
        <v>498</v>
      </c>
    </row>
    <row r="374" ht="12.75" customHeight="1">
      <c r="A374" s="1" t="s">
        <v>499</v>
      </c>
    </row>
    <row r="375" ht="12.75" customHeight="1">
      <c r="A375" s="1" t="s">
        <v>500</v>
      </c>
    </row>
    <row r="376" ht="12.75" customHeight="1">
      <c r="A376" s="1" t="s">
        <v>501</v>
      </c>
    </row>
    <row r="377" ht="12.75" customHeight="1"/>
    <row r="378" ht="12.75" customHeight="1">
      <c r="A378" s="1" t="s">
        <v>419</v>
      </c>
    </row>
    <row r="379" ht="12.75" customHeight="1">
      <c r="A379" s="1" t="s">
        <v>502</v>
      </c>
    </row>
    <row r="380" ht="12.75" customHeight="1">
      <c r="A380" s="1" t="s">
        <v>503</v>
      </c>
    </row>
    <row r="381" ht="12.75" customHeight="1">
      <c r="A381" s="1" t="s">
        <v>504</v>
      </c>
    </row>
    <row r="382" ht="12.75" customHeight="1"/>
    <row r="383" ht="12.75" customHeight="1">
      <c r="A383" s="1" t="s">
        <v>423</v>
      </c>
    </row>
    <row r="384" ht="12.75" customHeight="1">
      <c r="A384" s="1" t="s">
        <v>505</v>
      </c>
    </row>
    <row r="385" ht="12.75" customHeight="1">
      <c r="A385" s="1" t="s">
        <v>506</v>
      </c>
    </row>
    <row r="386" ht="12.75" customHeight="1">
      <c r="A386" s="1" t="s">
        <v>507</v>
      </c>
    </row>
    <row r="387" ht="12.75" customHeight="1">
      <c r="A387" s="1" t="s">
        <v>508</v>
      </c>
    </row>
    <row r="388" ht="12.75" customHeight="1">
      <c r="A388" s="1" t="s">
        <v>509</v>
      </c>
    </row>
    <row r="389" ht="12.75" customHeight="1">
      <c r="A389" s="1" t="s">
        <v>524</v>
      </c>
    </row>
    <row r="390" ht="12.75" customHeight="1">
      <c r="A390" s="1" t="s">
        <v>484</v>
      </c>
    </row>
    <row r="391" ht="12.75" customHeight="1">
      <c r="A391" s="1" t="s">
        <v>485</v>
      </c>
    </row>
    <row r="392" ht="12.75" customHeight="1"/>
    <row r="393" ht="12.75" customHeight="1">
      <c r="A393" s="1" t="s">
        <v>360</v>
      </c>
    </row>
    <row r="394" ht="12.75" customHeight="1">
      <c r="A394" s="1" t="s">
        <v>486</v>
      </c>
    </row>
    <row r="395" ht="12.75" customHeight="1">
      <c r="A395" s="1" t="s">
        <v>487</v>
      </c>
    </row>
    <row r="396" ht="12.75" customHeight="1">
      <c r="A396" s="1" t="s">
        <v>525</v>
      </c>
    </row>
    <row r="397" ht="12.75" customHeight="1">
      <c r="A397" s="1" t="s">
        <v>526</v>
      </c>
    </row>
    <row r="398" ht="12.75" customHeight="1"/>
    <row r="399" ht="12.75" customHeight="1">
      <c r="A399" s="1" t="s">
        <v>361</v>
      </c>
    </row>
    <row r="400" ht="12.75" customHeight="1">
      <c r="A400" s="1" t="s">
        <v>490</v>
      </c>
    </row>
    <row r="401" ht="12.75" customHeight="1">
      <c r="A401" s="1" t="s">
        <v>491</v>
      </c>
    </row>
    <row r="402" ht="12.75" customHeight="1"/>
    <row r="403" ht="12.75" customHeight="1">
      <c r="A403" s="1" t="s">
        <v>362</v>
      </c>
    </row>
    <row r="404" ht="12.75" customHeight="1">
      <c r="A404" s="1" t="s">
        <v>527</v>
      </c>
    </row>
    <row r="405" ht="12.75" customHeight="1">
      <c r="A405" s="1" t="s">
        <v>528</v>
      </c>
    </row>
    <row r="406" ht="12.75" customHeight="1"/>
    <row r="407" ht="12.75" customHeight="1">
      <c r="A407" s="1" t="s">
        <v>363</v>
      </c>
    </row>
    <row r="408" ht="12.75" customHeight="1">
      <c r="A408" s="1" t="s">
        <v>529</v>
      </c>
    </row>
    <row r="409" ht="12.75" customHeight="1">
      <c r="A409" s="1" t="s">
        <v>530</v>
      </c>
    </row>
    <row r="410" ht="12.75" customHeight="1">
      <c r="A410" s="1" t="s">
        <v>496</v>
      </c>
    </row>
    <row r="411" ht="12.75" customHeight="1">
      <c r="A411" s="1" t="s">
        <v>497</v>
      </c>
    </row>
    <row r="412" ht="12.75" customHeight="1">
      <c r="A412" s="1" t="s">
        <v>498</v>
      </c>
    </row>
    <row r="413" ht="12.75" customHeight="1">
      <c r="A413" s="1" t="s">
        <v>499</v>
      </c>
    </row>
    <row r="414" ht="12.75" customHeight="1">
      <c r="A414" s="1" t="s">
        <v>500</v>
      </c>
    </row>
    <row r="415" ht="12.75" customHeight="1">
      <c r="A415" s="1" t="s">
        <v>501</v>
      </c>
    </row>
    <row r="416" ht="12.75" customHeight="1"/>
    <row r="417" ht="12.75" customHeight="1">
      <c r="A417" s="1" t="s">
        <v>419</v>
      </c>
    </row>
    <row r="418" ht="12.75" customHeight="1">
      <c r="A418" s="1" t="s">
        <v>502</v>
      </c>
    </row>
    <row r="419" ht="12.75" customHeight="1">
      <c r="A419" s="1" t="s">
        <v>503</v>
      </c>
    </row>
    <row r="420" ht="12.75" customHeight="1">
      <c r="A420" s="1" t="s">
        <v>504</v>
      </c>
    </row>
    <row r="421" ht="12.75" customHeight="1"/>
    <row r="422" ht="12.75" customHeight="1">
      <c r="A422" s="1" t="s">
        <v>423</v>
      </c>
    </row>
    <row r="423" ht="12.75" customHeight="1">
      <c r="A423" s="1" t="s">
        <v>505</v>
      </c>
    </row>
    <row r="424" ht="12.75" customHeight="1">
      <c r="A424" s="1" t="s">
        <v>506</v>
      </c>
    </row>
    <row r="425" ht="12.75" customHeight="1">
      <c r="A425" s="1" t="s">
        <v>507</v>
      </c>
    </row>
    <row r="426" ht="12.75" customHeight="1">
      <c r="A426" s="1" t="s">
        <v>508</v>
      </c>
    </row>
    <row r="427" ht="12.75" customHeight="1">
      <c r="A427" s="1" t="s">
        <v>509</v>
      </c>
    </row>
    <row r="428" ht="12.75" customHeight="1">
      <c r="A428" s="1" t="s">
        <v>531</v>
      </c>
    </row>
    <row r="429" ht="12.75" customHeight="1">
      <c r="A429" s="1" t="s">
        <v>532</v>
      </c>
    </row>
    <row r="430" ht="12.75" customHeight="1">
      <c r="A430" s="1" t="s">
        <v>533</v>
      </c>
    </row>
    <row r="431" ht="12.75" customHeight="1"/>
    <row r="432" ht="12.75" customHeight="1">
      <c r="A432" s="1" t="s">
        <v>360</v>
      </c>
    </row>
    <row r="433" ht="12.75" customHeight="1">
      <c r="A433" s="1" t="s">
        <v>534</v>
      </c>
    </row>
    <row r="434" ht="12.75" customHeight="1">
      <c r="A434" s="1" t="s">
        <v>535</v>
      </c>
    </row>
    <row r="435" ht="12.75" customHeight="1">
      <c r="A435" s="1" t="s">
        <v>536</v>
      </c>
    </row>
    <row r="436" ht="12.75" customHeight="1">
      <c r="A436" s="1" t="s">
        <v>537</v>
      </c>
    </row>
    <row r="437" ht="12.75" customHeight="1"/>
    <row r="438" ht="12.75" customHeight="1">
      <c r="A438" s="1" t="s">
        <v>361</v>
      </c>
    </row>
    <row r="439" ht="12.75" customHeight="1">
      <c r="A439" s="1" t="s">
        <v>538</v>
      </c>
    </row>
    <row r="440" ht="12.75" customHeight="1">
      <c r="A440" s="1" t="s">
        <v>539</v>
      </c>
    </row>
    <row r="441" ht="12.75" customHeight="1"/>
    <row r="442" ht="12.75" customHeight="1">
      <c r="A442" s="1" t="s">
        <v>362</v>
      </c>
    </row>
    <row r="443" ht="12.75" customHeight="1">
      <c r="A443" s="1" t="s">
        <v>540</v>
      </c>
    </row>
    <row r="444" ht="12.75" customHeight="1">
      <c r="A444" s="1" t="s">
        <v>541</v>
      </c>
    </row>
    <row r="445" ht="12.75" customHeight="1"/>
    <row r="446" ht="12.75" customHeight="1">
      <c r="A446" s="1" t="s">
        <v>363</v>
      </c>
    </row>
    <row r="447" ht="12.75" customHeight="1">
      <c r="A447" s="1" t="s">
        <v>542</v>
      </c>
    </row>
    <row r="448" ht="12.75" customHeight="1">
      <c r="A448" s="1" t="s">
        <v>543</v>
      </c>
    </row>
    <row r="449" ht="12.75" customHeight="1">
      <c r="A449" s="1" t="s">
        <v>544</v>
      </c>
    </row>
    <row r="450" ht="12.75" customHeight="1">
      <c r="A450" s="1" t="s">
        <v>545</v>
      </c>
    </row>
    <row r="451" ht="12.75" customHeight="1">
      <c r="A451" s="1" t="s">
        <v>546</v>
      </c>
    </row>
    <row r="452" ht="12.75" customHeight="1">
      <c r="A452" s="1" t="s">
        <v>547</v>
      </c>
    </row>
    <row r="453" ht="12.75" customHeight="1">
      <c r="A453" s="1" t="s">
        <v>548</v>
      </c>
    </row>
    <row r="454" ht="12.75" customHeight="1">
      <c r="A454" s="1" t="s">
        <v>549</v>
      </c>
    </row>
    <row r="455" ht="12.75" customHeight="1"/>
    <row r="456" ht="12.75" customHeight="1">
      <c r="A456" s="1" t="s">
        <v>419</v>
      </c>
    </row>
    <row r="457" ht="12.75" customHeight="1">
      <c r="A457" s="1" t="s">
        <v>550</v>
      </c>
    </row>
    <row r="458" ht="12.75" customHeight="1">
      <c r="A458" s="1" t="s">
        <v>551</v>
      </c>
    </row>
    <row r="459" ht="12.75" customHeight="1">
      <c r="A459" s="1" t="s">
        <v>552</v>
      </c>
    </row>
    <row r="460" ht="12.75" customHeight="1"/>
    <row r="461" ht="12.75" customHeight="1">
      <c r="A461" s="1" t="s">
        <v>423</v>
      </c>
    </row>
    <row r="462" ht="12.75" customHeight="1">
      <c r="A462" s="1" t="s">
        <v>553</v>
      </c>
    </row>
    <row r="463" ht="12.75" customHeight="1">
      <c r="A463" s="1" t="s">
        <v>554</v>
      </c>
    </row>
    <row r="464" ht="12.75" customHeight="1">
      <c r="A464" s="1" t="s">
        <v>555</v>
      </c>
    </row>
    <row r="465" ht="12.75" customHeight="1">
      <c r="A465" s="1" t="s">
        <v>556</v>
      </c>
    </row>
    <row r="466" ht="12.75" customHeight="1">
      <c r="A466" s="1" t="s">
        <v>557</v>
      </c>
    </row>
    <row r="467" ht="12.75" customHeight="1">
      <c r="A467" s="1" t="s">
        <v>558</v>
      </c>
    </row>
    <row r="468" ht="12.75" customHeight="1">
      <c r="A468" s="1" t="s">
        <v>532</v>
      </c>
    </row>
    <row r="469" ht="12.75" customHeight="1">
      <c r="A469" s="1" t="s">
        <v>533</v>
      </c>
    </row>
    <row r="470" ht="12.75" customHeight="1"/>
    <row r="471" ht="12.75" customHeight="1">
      <c r="A471" s="1" t="s">
        <v>360</v>
      </c>
    </row>
    <row r="472" ht="12.75" customHeight="1">
      <c r="A472" s="1" t="s">
        <v>534</v>
      </c>
    </row>
    <row r="473" ht="12.75" customHeight="1">
      <c r="A473" s="1" t="s">
        <v>535</v>
      </c>
    </row>
    <row r="474" ht="12.75" customHeight="1">
      <c r="A474" s="1" t="s">
        <v>536</v>
      </c>
    </row>
    <row r="475" ht="12.75" customHeight="1">
      <c r="A475" s="1" t="s">
        <v>537</v>
      </c>
    </row>
    <row r="476" ht="12.75" customHeight="1"/>
    <row r="477" ht="12.75" customHeight="1">
      <c r="A477" s="1" t="s">
        <v>361</v>
      </c>
    </row>
    <row r="478" ht="12.75" customHeight="1">
      <c r="A478" s="1" t="s">
        <v>538</v>
      </c>
    </row>
    <row r="479" ht="12.75" customHeight="1">
      <c r="A479" s="1" t="s">
        <v>539</v>
      </c>
    </row>
    <row r="480" ht="12.75" customHeight="1"/>
    <row r="481" ht="12.75" customHeight="1">
      <c r="A481" s="1" t="s">
        <v>362</v>
      </c>
    </row>
    <row r="482" ht="12.75" customHeight="1">
      <c r="A482" s="1" t="s">
        <v>540</v>
      </c>
    </row>
    <row r="483" ht="12.75" customHeight="1">
      <c r="A483" s="1" t="s">
        <v>541</v>
      </c>
    </row>
    <row r="484" ht="12.75" customHeight="1"/>
    <row r="485" ht="12.75" customHeight="1">
      <c r="A485" s="1" t="s">
        <v>363</v>
      </c>
    </row>
    <row r="486" ht="12.75" customHeight="1">
      <c r="A486" s="1" t="s">
        <v>542</v>
      </c>
    </row>
    <row r="487" ht="12.75" customHeight="1">
      <c r="A487" s="1" t="s">
        <v>559</v>
      </c>
    </row>
    <row r="488" ht="12.75" customHeight="1">
      <c r="A488" s="1" t="s">
        <v>560</v>
      </c>
    </row>
    <row r="489" ht="12.75" customHeight="1">
      <c r="A489" s="1" t="s">
        <v>532</v>
      </c>
    </row>
    <row r="490" ht="12.75" customHeight="1">
      <c r="A490" s="1" t="s">
        <v>533</v>
      </c>
    </row>
    <row r="491" ht="12.75" customHeight="1"/>
    <row r="492" ht="12.75" customHeight="1">
      <c r="A492" s="1" t="s">
        <v>360</v>
      </c>
    </row>
    <row r="493" ht="12.75" customHeight="1">
      <c r="A493" s="1" t="s">
        <v>534</v>
      </c>
    </row>
    <row r="494" ht="12.75" customHeight="1">
      <c r="A494" s="1" t="s">
        <v>535</v>
      </c>
    </row>
    <row r="495" ht="12.75" customHeight="1">
      <c r="A495" s="1" t="s">
        <v>536</v>
      </c>
    </row>
    <row r="496" ht="12.75" customHeight="1">
      <c r="A496" s="1" t="s">
        <v>537</v>
      </c>
    </row>
    <row r="497" ht="12.75" customHeight="1"/>
    <row r="498" ht="12.75" customHeight="1">
      <c r="A498" s="1" t="s">
        <v>361</v>
      </c>
    </row>
    <row r="499" ht="12.75" customHeight="1">
      <c r="A499" s="1" t="s">
        <v>538</v>
      </c>
    </row>
    <row r="500" ht="12.75" customHeight="1">
      <c r="A500" s="1" t="s">
        <v>539</v>
      </c>
    </row>
    <row r="501" ht="12.75" customHeight="1"/>
    <row r="502" ht="12.75" customHeight="1">
      <c r="A502" s="1" t="s">
        <v>362</v>
      </c>
    </row>
    <row r="503" ht="12.75" customHeight="1">
      <c r="A503" s="1" t="s">
        <v>540</v>
      </c>
    </row>
    <row r="504" ht="12.75" customHeight="1">
      <c r="A504" s="1" t="s">
        <v>541</v>
      </c>
    </row>
    <row r="505" ht="12.75" customHeight="1"/>
    <row r="506" ht="12.75" customHeight="1">
      <c r="A506" s="1" t="s">
        <v>363</v>
      </c>
    </row>
    <row r="507" ht="12.75" customHeight="1">
      <c r="A507" s="1" t="s">
        <v>542</v>
      </c>
    </row>
    <row r="508" ht="12.75" customHeight="1">
      <c r="A508" s="1" t="s">
        <v>543</v>
      </c>
    </row>
    <row r="509" ht="12.75" customHeight="1">
      <c r="A509" s="1" t="s">
        <v>544</v>
      </c>
    </row>
    <row r="510" ht="12.75" customHeight="1">
      <c r="A510" s="1" t="s">
        <v>545</v>
      </c>
    </row>
    <row r="511" ht="12.75" customHeight="1">
      <c r="A511" s="1" t="s">
        <v>546</v>
      </c>
    </row>
    <row r="512" ht="12.75" customHeight="1">
      <c r="A512" s="1" t="s">
        <v>547</v>
      </c>
    </row>
    <row r="513" ht="12.75" customHeight="1">
      <c r="A513" s="1" t="s">
        <v>548</v>
      </c>
    </row>
    <row r="514" ht="12.75" customHeight="1">
      <c r="A514" s="1" t="s">
        <v>549</v>
      </c>
    </row>
    <row r="515" ht="12.75" customHeight="1"/>
    <row r="516" ht="12.75" customHeight="1">
      <c r="A516" s="1" t="s">
        <v>419</v>
      </c>
    </row>
    <row r="517" ht="12.75" customHeight="1">
      <c r="A517" s="1" t="s">
        <v>550</v>
      </c>
    </row>
    <row r="518" ht="12.75" customHeight="1">
      <c r="A518" s="1" t="s">
        <v>551</v>
      </c>
    </row>
    <row r="519" ht="12.75" customHeight="1">
      <c r="A519" s="1" t="s">
        <v>552</v>
      </c>
    </row>
    <row r="520" ht="12.75" customHeight="1"/>
    <row r="521" ht="12.75" customHeight="1">
      <c r="A521" s="1" t="s">
        <v>423</v>
      </c>
    </row>
    <row r="522" ht="12.75" customHeight="1">
      <c r="A522" s="1" t="s">
        <v>553</v>
      </c>
    </row>
    <row r="523" ht="12.75" customHeight="1">
      <c r="A523" s="1" t="s">
        <v>554</v>
      </c>
    </row>
    <row r="524" ht="12.75" customHeight="1">
      <c r="A524" s="1" t="s">
        <v>555</v>
      </c>
    </row>
    <row r="525" ht="12.75" customHeight="1">
      <c r="A525" s="1" t="s">
        <v>556</v>
      </c>
    </row>
    <row r="526" ht="12.75" customHeight="1">
      <c r="A526" s="1" t="s">
        <v>557</v>
      </c>
    </row>
    <row r="527" ht="12.75" customHeight="1">
      <c r="A527" s="1" t="s">
        <v>561</v>
      </c>
    </row>
    <row r="528" ht="12.75" customHeight="1">
      <c r="A528" s="1" t="s">
        <v>562</v>
      </c>
    </row>
    <row r="529" ht="12.75" customHeight="1">
      <c r="A529" s="1" t="s">
        <v>563</v>
      </c>
    </row>
    <row r="530" ht="12.75" customHeight="1"/>
    <row r="531" ht="12.75" customHeight="1">
      <c r="A531" s="1" t="s">
        <v>360</v>
      </c>
    </row>
    <row r="532" ht="12.75" customHeight="1">
      <c r="A532" s="1" t="s">
        <v>564</v>
      </c>
    </row>
    <row r="533" ht="12.75" customHeight="1">
      <c r="A533" s="1" t="s">
        <v>565</v>
      </c>
    </row>
    <row r="534" ht="12.75" customHeight="1">
      <c r="A534" s="1" t="s">
        <v>566</v>
      </c>
    </row>
    <row r="535" ht="12.75" customHeight="1">
      <c r="A535" s="1" t="s">
        <v>567</v>
      </c>
    </row>
    <row r="536" ht="12.75" customHeight="1"/>
    <row r="537" ht="12.75" customHeight="1">
      <c r="A537" s="1" t="s">
        <v>361</v>
      </c>
    </row>
    <row r="538" ht="12.75" customHeight="1">
      <c r="A538" s="1" t="s">
        <v>568</v>
      </c>
    </row>
    <row r="539" ht="12.75" customHeight="1">
      <c r="A539" s="1" t="s">
        <v>569</v>
      </c>
    </row>
    <row r="540" ht="12.75" customHeight="1"/>
    <row r="541" ht="12.75" customHeight="1">
      <c r="A541" s="1" t="s">
        <v>362</v>
      </c>
    </row>
    <row r="542" ht="12.75" customHeight="1">
      <c r="A542" s="1" t="s">
        <v>570</v>
      </c>
    </row>
    <row r="543" ht="12.75" customHeight="1">
      <c r="A543" s="1" t="s">
        <v>571</v>
      </c>
    </row>
    <row r="544" ht="12.75" customHeight="1"/>
    <row r="545" ht="12.75" customHeight="1">
      <c r="A545" s="1" t="s">
        <v>363</v>
      </c>
    </row>
    <row r="546" ht="12.75" customHeight="1">
      <c r="A546" s="1" t="s">
        <v>572</v>
      </c>
    </row>
    <row r="547" ht="12.75" customHeight="1">
      <c r="A547" s="1" t="s">
        <v>573</v>
      </c>
    </row>
    <row r="548" ht="12.75" customHeight="1">
      <c r="A548" s="1" t="s">
        <v>574</v>
      </c>
    </row>
    <row r="549" ht="12.75" customHeight="1">
      <c r="A549" s="1" t="s">
        <v>562</v>
      </c>
    </row>
    <row r="550" ht="12.75" customHeight="1">
      <c r="A550" s="1" t="s">
        <v>563</v>
      </c>
    </row>
    <row r="551" ht="12.75" customHeight="1"/>
    <row r="552" ht="12.75" customHeight="1">
      <c r="A552" s="1" t="s">
        <v>360</v>
      </c>
    </row>
    <row r="553" ht="12.75" customHeight="1">
      <c r="A553" s="1" t="s">
        <v>564</v>
      </c>
    </row>
    <row r="554" ht="12.75" customHeight="1">
      <c r="A554" s="1" t="s">
        <v>565</v>
      </c>
    </row>
    <row r="555" ht="12.75" customHeight="1">
      <c r="A555" s="1" t="s">
        <v>566</v>
      </c>
    </row>
    <row r="556" ht="12.75" customHeight="1">
      <c r="A556" s="1" t="s">
        <v>567</v>
      </c>
    </row>
    <row r="557" ht="12.75" customHeight="1"/>
    <row r="558" ht="12.75" customHeight="1">
      <c r="A558" s="1" t="s">
        <v>361</v>
      </c>
    </row>
    <row r="559" ht="12.75" customHeight="1">
      <c r="A559" s="1" t="s">
        <v>568</v>
      </c>
    </row>
    <row r="560" ht="12.75" customHeight="1">
      <c r="A560" s="1" t="s">
        <v>569</v>
      </c>
    </row>
    <row r="561" ht="12.75" customHeight="1"/>
    <row r="562" ht="12.75" customHeight="1">
      <c r="A562" s="1" t="s">
        <v>362</v>
      </c>
    </row>
    <row r="563" ht="12.75" customHeight="1">
      <c r="A563" s="1" t="s">
        <v>570</v>
      </c>
    </row>
    <row r="564" ht="12.75" customHeight="1">
      <c r="A564" s="1" t="s">
        <v>571</v>
      </c>
    </row>
    <row r="565" ht="12.75" customHeight="1"/>
    <row r="566" ht="12.75" customHeight="1">
      <c r="A566" s="1" t="s">
        <v>363</v>
      </c>
    </row>
    <row r="567" ht="12.75" customHeight="1">
      <c r="A567" s="1" t="s">
        <v>572</v>
      </c>
    </row>
    <row r="568" ht="12.75" customHeight="1">
      <c r="A568" s="1" t="s">
        <v>575</v>
      </c>
    </row>
    <row r="569" ht="12.75" customHeight="1">
      <c r="A569" s="1" t="s">
        <v>576</v>
      </c>
    </row>
    <row r="570" ht="12.75" customHeight="1">
      <c r="A570" s="1" t="s">
        <v>577</v>
      </c>
    </row>
    <row r="571" ht="12.75" customHeight="1">
      <c r="A571" s="1" t="s">
        <v>578</v>
      </c>
    </row>
    <row r="572" ht="12.75" customHeight="1">
      <c r="A572" s="1" t="s">
        <v>579</v>
      </c>
    </row>
    <row r="573" ht="12.75" customHeight="1">
      <c r="A573" s="1" t="s">
        <v>580</v>
      </c>
    </row>
    <row r="574" ht="12.75" customHeight="1">
      <c r="A574" s="1" t="s">
        <v>581</v>
      </c>
    </row>
    <row r="575" ht="12.75" customHeight="1">
      <c r="A575" s="1" t="s">
        <v>582</v>
      </c>
    </row>
    <row r="576" ht="12.75" customHeight="1"/>
    <row r="577" ht="12.75" customHeight="1">
      <c r="A577" s="1" t="s">
        <v>360</v>
      </c>
    </row>
    <row r="578" ht="12.75" customHeight="1">
      <c r="A578" s="1" t="s">
        <v>583</v>
      </c>
    </row>
    <row r="579" ht="12.75" customHeight="1">
      <c r="A579" s="1" t="s">
        <v>584</v>
      </c>
    </row>
    <row r="580" ht="12.75" customHeight="1">
      <c r="A580" s="1" t="s">
        <v>585</v>
      </c>
    </row>
    <row r="581" ht="12.75" customHeight="1">
      <c r="A581" s="1" t="s">
        <v>586</v>
      </c>
    </row>
    <row r="582" ht="12.75" customHeight="1"/>
    <row r="583" ht="12.75" customHeight="1">
      <c r="A583" s="1" t="s">
        <v>361</v>
      </c>
    </row>
    <row r="584" ht="12.75" customHeight="1">
      <c r="A584" s="1" t="s">
        <v>587</v>
      </c>
    </row>
    <row r="585" ht="12.75" customHeight="1">
      <c r="A585" s="1" t="s">
        <v>588</v>
      </c>
    </row>
    <row r="586" ht="12.75" customHeight="1"/>
    <row r="587" ht="12.75" customHeight="1">
      <c r="A587" s="1" t="s">
        <v>362</v>
      </c>
    </row>
    <row r="588" ht="12.75" customHeight="1">
      <c r="A588" s="1" t="s">
        <v>589</v>
      </c>
    </row>
    <row r="589" ht="12.75" customHeight="1">
      <c r="A589" s="1" t="s">
        <v>590</v>
      </c>
    </row>
    <row r="590" ht="12.75" customHeight="1"/>
    <row r="591" ht="12.75" customHeight="1">
      <c r="A591" s="1" t="s">
        <v>363</v>
      </c>
    </row>
    <row r="592" ht="12.75" customHeight="1">
      <c r="A592" s="1" t="s">
        <v>591</v>
      </c>
    </row>
    <row r="593" ht="12.75" customHeight="1">
      <c r="A593" s="1" t="s">
        <v>592</v>
      </c>
    </row>
    <row r="594" ht="12.75" customHeight="1">
      <c r="A594" s="1" t="s">
        <v>593</v>
      </c>
    </row>
    <row r="595" ht="12.75" customHeight="1">
      <c r="A595" s="1" t="s">
        <v>581</v>
      </c>
    </row>
    <row r="596" ht="12.75" customHeight="1">
      <c r="A596" s="1" t="s">
        <v>582</v>
      </c>
    </row>
    <row r="597" ht="12.75" customHeight="1"/>
    <row r="598" ht="12.75" customHeight="1">
      <c r="A598" s="1" t="s">
        <v>360</v>
      </c>
    </row>
    <row r="599" ht="12.75" customHeight="1">
      <c r="A599" s="1" t="s">
        <v>583</v>
      </c>
    </row>
    <row r="600" ht="12.75" customHeight="1">
      <c r="A600" s="1" t="s">
        <v>584</v>
      </c>
    </row>
    <row r="601" ht="12.75" customHeight="1">
      <c r="A601" s="1" t="s">
        <v>585</v>
      </c>
    </row>
    <row r="602" ht="12.75" customHeight="1">
      <c r="A602" s="1" t="s">
        <v>586</v>
      </c>
    </row>
    <row r="603" ht="12.75" customHeight="1"/>
    <row r="604" ht="12.75" customHeight="1">
      <c r="A604" s="1" t="s">
        <v>361</v>
      </c>
    </row>
    <row r="605" ht="12.75" customHeight="1">
      <c r="A605" s="1" t="s">
        <v>587</v>
      </c>
    </row>
    <row r="606" ht="12.75" customHeight="1">
      <c r="A606" s="1" t="s">
        <v>588</v>
      </c>
    </row>
    <row r="607" ht="12.75" customHeight="1"/>
    <row r="608" ht="12.75" customHeight="1">
      <c r="A608" s="1" t="s">
        <v>362</v>
      </c>
    </row>
    <row r="609" ht="12.75" customHeight="1">
      <c r="A609" s="1" t="s">
        <v>589</v>
      </c>
    </row>
    <row r="610" ht="12.75" customHeight="1">
      <c r="A610" s="1" t="s">
        <v>590</v>
      </c>
    </row>
    <row r="611" ht="12.75" customHeight="1"/>
    <row r="612" ht="12.75" customHeight="1">
      <c r="A612" s="1" t="s">
        <v>363</v>
      </c>
    </row>
    <row r="613" ht="12.75" customHeight="1">
      <c r="A613" s="1" t="s">
        <v>591</v>
      </c>
    </row>
    <row r="614" ht="12.75" customHeight="1">
      <c r="A614" s="1" t="s">
        <v>594</v>
      </c>
    </row>
    <row r="615" ht="12.75" customHeight="1">
      <c r="A615" s="1" t="s">
        <v>595</v>
      </c>
    </row>
    <row r="616" ht="12.75" customHeight="1">
      <c r="A616" s="1" t="s">
        <v>581</v>
      </c>
    </row>
    <row r="617" ht="12.75" customHeight="1">
      <c r="A617" s="1" t="s">
        <v>582</v>
      </c>
    </row>
    <row r="618" ht="12.75" customHeight="1"/>
    <row r="619" ht="12.75" customHeight="1">
      <c r="A619" s="1" t="s">
        <v>360</v>
      </c>
    </row>
    <row r="620" ht="12.75" customHeight="1">
      <c r="A620" s="1" t="s">
        <v>583</v>
      </c>
    </row>
    <row r="621" ht="12.75" customHeight="1">
      <c r="A621" s="1" t="s">
        <v>584</v>
      </c>
    </row>
    <row r="622" ht="12.75" customHeight="1">
      <c r="A622" s="1" t="s">
        <v>585</v>
      </c>
    </row>
    <row r="623" ht="12.75" customHeight="1">
      <c r="A623" s="1" t="s">
        <v>586</v>
      </c>
    </row>
    <row r="624" ht="12.75" customHeight="1"/>
    <row r="625" ht="12.75" customHeight="1">
      <c r="A625" s="1" t="s">
        <v>361</v>
      </c>
    </row>
    <row r="626" ht="12.75" customHeight="1">
      <c r="A626" s="1" t="s">
        <v>587</v>
      </c>
    </row>
    <row r="627" ht="12.75" customHeight="1">
      <c r="A627" s="1" t="s">
        <v>588</v>
      </c>
    </row>
    <row r="628" ht="12.75" customHeight="1"/>
    <row r="629" ht="12.75" customHeight="1">
      <c r="A629" s="1" t="s">
        <v>362</v>
      </c>
    </row>
    <row r="630" ht="12.75" customHeight="1">
      <c r="A630" s="1" t="s">
        <v>589</v>
      </c>
    </row>
    <row r="631" ht="12.75" customHeight="1">
      <c r="A631" s="1" t="s">
        <v>590</v>
      </c>
    </row>
    <row r="632" ht="12.75" customHeight="1"/>
    <row r="633" ht="12.75" customHeight="1">
      <c r="A633" s="1" t="s">
        <v>363</v>
      </c>
    </row>
    <row r="634" ht="12.75" customHeight="1">
      <c r="A634" s="1" t="s">
        <v>591</v>
      </c>
    </row>
    <row r="635" ht="12.75" customHeight="1">
      <c r="A635" s="1" t="s">
        <v>594</v>
      </c>
    </row>
    <row r="636" ht="12.75" customHeight="1">
      <c r="A636" s="1" t="s">
        <v>596</v>
      </c>
    </row>
    <row r="637" ht="12.75" customHeight="1">
      <c r="A637" s="1" t="s">
        <v>581</v>
      </c>
    </row>
    <row r="638" ht="12.75" customHeight="1">
      <c r="A638" s="1" t="s">
        <v>582</v>
      </c>
    </row>
    <row r="639" ht="12.75" customHeight="1"/>
    <row r="640" ht="12.75" customHeight="1">
      <c r="A640" s="1" t="s">
        <v>360</v>
      </c>
    </row>
    <row r="641" ht="12.75" customHeight="1">
      <c r="A641" s="1" t="s">
        <v>583</v>
      </c>
    </row>
    <row r="642" ht="12.75" customHeight="1">
      <c r="A642" s="1" t="s">
        <v>584</v>
      </c>
    </row>
    <row r="643" ht="12.75" customHeight="1">
      <c r="A643" s="1" t="s">
        <v>585</v>
      </c>
    </row>
    <row r="644" ht="12.75" customHeight="1">
      <c r="A644" s="1" t="s">
        <v>586</v>
      </c>
    </row>
    <row r="645" ht="12.75" customHeight="1"/>
    <row r="646" ht="12.75" customHeight="1">
      <c r="A646" s="1" t="s">
        <v>361</v>
      </c>
    </row>
    <row r="647" ht="12.75" customHeight="1">
      <c r="A647" s="1" t="s">
        <v>587</v>
      </c>
    </row>
    <row r="648" ht="12.75" customHeight="1">
      <c r="A648" s="1" t="s">
        <v>588</v>
      </c>
    </row>
    <row r="649" ht="12.75" customHeight="1"/>
    <row r="650" ht="12.75" customHeight="1">
      <c r="A650" s="1" t="s">
        <v>362</v>
      </c>
    </row>
    <row r="651" ht="12.75" customHeight="1">
      <c r="A651" s="1" t="s">
        <v>589</v>
      </c>
    </row>
    <row r="652" ht="12.75" customHeight="1">
      <c r="A652" s="1" t="s">
        <v>590</v>
      </c>
    </row>
    <row r="653" ht="12.75" customHeight="1"/>
    <row r="654" ht="12.75" customHeight="1">
      <c r="A654" s="1" t="s">
        <v>363</v>
      </c>
    </row>
    <row r="655" ht="12.75" customHeight="1">
      <c r="A655" s="1" t="s">
        <v>591</v>
      </c>
    </row>
    <row r="656" ht="12.75" customHeight="1">
      <c r="A656" s="1" t="s">
        <v>597</v>
      </c>
    </row>
    <row r="657" ht="12.75" customHeight="1">
      <c r="A657" s="1" t="s">
        <v>598</v>
      </c>
    </row>
    <row r="658" ht="12.75" customHeight="1">
      <c r="A658" s="1" t="s">
        <v>599</v>
      </c>
    </row>
    <row r="659" ht="12.75" customHeight="1">
      <c r="A659" s="1" t="s">
        <v>600</v>
      </c>
    </row>
    <row r="660" ht="12.75" customHeight="1">
      <c r="A660" s="1" t="s">
        <v>601</v>
      </c>
    </row>
    <row r="661" ht="12.75" customHeight="1">
      <c r="A661" s="1" t="s">
        <v>602</v>
      </c>
    </row>
    <row r="662" ht="12.75" customHeight="1">
      <c r="A662" s="1" t="s">
        <v>603</v>
      </c>
    </row>
    <row r="663" ht="12.75" customHeight="1"/>
    <row r="664" ht="12.75" customHeight="1">
      <c r="A664" s="1" t="s">
        <v>419</v>
      </c>
    </row>
    <row r="665" ht="12.75" customHeight="1">
      <c r="A665" s="1" t="s">
        <v>604</v>
      </c>
    </row>
    <row r="666" ht="12.75" customHeight="1">
      <c r="A666" s="1" t="s">
        <v>605</v>
      </c>
    </row>
    <row r="667" ht="12.75" customHeight="1">
      <c r="A667" s="1" t="s">
        <v>606</v>
      </c>
    </row>
    <row r="668" ht="12.75" customHeight="1"/>
    <row r="669" ht="12.75" customHeight="1">
      <c r="A669" s="1" t="s">
        <v>423</v>
      </c>
    </row>
    <row r="670" ht="12.75" customHeight="1">
      <c r="A670" s="1" t="s">
        <v>607</v>
      </c>
    </row>
    <row r="671" ht="12.75" customHeight="1">
      <c r="A671" s="1" t="s">
        <v>608</v>
      </c>
    </row>
    <row r="672" ht="12.75" customHeight="1">
      <c r="A672" s="1" t="s">
        <v>609</v>
      </c>
    </row>
    <row r="673" ht="12.75" customHeight="1">
      <c r="A673" s="1" t="s">
        <v>610</v>
      </c>
    </row>
    <row r="674" ht="12.75" customHeight="1">
      <c r="A674" s="1" t="s">
        <v>611</v>
      </c>
    </row>
    <row r="675" ht="12.75" customHeight="1">
      <c r="A675" s="1" t="s">
        <v>612</v>
      </c>
    </row>
    <row r="676" ht="12.75" customHeight="1">
      <c r="A676" s="1" t="s">
        <v>581</v>
      </c>
    </row>
    <row r="677" ht="12.75" customHeight="1">
      <c r="A677" s="1" t="s">
        <v>582</v>
      </c>
    </row>
    <row r="678" ht="12.75" customHeight="1"/>
    <row r="679" ht="12.75" customHeight="1">
      <c r="A679" s="1" t="s">
        <v>360</v>
      </c>
    </row>
    <row r="680" ht="12.75" customHeight="1">
      <c r="A680" s="1" t="s">
        <v>583</v>
      </c>
    </row>
    <row r="681" ht="12.75" customHeight="1">
      <c r="A681" s="1" t="s">
        <v>584</v>
      </c>
    </row>
    <row r="682" ht="12.75" customHeight="1">
      <c r="A682" s="1" t="s">
        <v>585</v>
      </c>
    </row>
    <row r="683" ht="12.75" customHeight="1">
      <c r="A683" s="1" t="s">
        <v>586</v>
      </c>
    </row>
    <row r="684" ht="12.75" customHeight="1"/>
    <row r="685" ht="12.75" customHeight="1">
      <c r="A685" s="1" t="s">
        <v>361</v>
      </c>
    </row>
    <row r="686" ht="12.75" customHeight="1">
      <c r="A686" s="1" t="s">
        <v>587</v>
      </c>
    </row>
    <row r="687" ht="12.75" customHeight="1">
      <c r="A687" s="1" t="s">
        <v>588</v>
      </c>
    </row>
    <row r="688" ht="12.75" customHeight="1"/>
    <row r="689" ht="12.75" customHeight="1">
      <c r="A689" s="1" t="s">
        <v>362</v>
      </c>
    </row>
    <row r="690" ht="12.75" customHeight="1">
      <c r="A690" s="1" t="s">
        <v>589</v>
      </c>
    </row>
    <row r="691" ht="12.75" customHeight="1">
      <c r="A691" s="1" t="s">
        <v>590</v>
      </c>
    </row>
    <row r="692" ht="12.75" customHeight="1"/>
    <row r="693" ht="12.75" customHeight="1">
      <c r="A693" s="1" t="s">
        <v>363</v>
      </c>
    </row>
    <row r="694" ht="12.75" customHeight="1">
      <c r="A694" s="1" t="s">
        <v>591</v>
      </c>
    </row>
    <row r="695" ht="12.75" customHeight="1">
      <c r="A695" s="1" t="s">
        <v>597</v>
      </c>
    </row>
    <row r="696" ht="12.75" customHeight="1">
      <c r="A696" s="1" t="s">
        <v>598</v>
      </c>
    </row>
    <row r="697" ht="12.75" customHeight="1">
      <c r="A697" s="1" t="s">
        <v>599</v>
      </c>
    </row>
    <row r="698" ht="12.75" customHeight="1">
      <c r="A698" s="1" t="s">
        <v>600</v>
      </c>
    </row>
    <row r="699" ht="12.75" customHeight="1">
      <c r="A699" s="1" t="s">
        <v>601</v>
      </c>
    </row>
    <row r="700" ht="12.75" customHeight="1">
      <c r="A700" s="1" t="s">
        <v>602</v>
      </c>
    </row>
    <row r="701" ht="12.75" customHeight="1">
      <c r="A701" s="1" t="s">
        <v>603</v>
      </c>
    </row>
    <row r="702" ht="12.75" customHeight="1"/>
    <row r="703" ht="12.75" customHeight="1">
      <c r="A703" s="1" t="s">
        <v>419</v>
      </c>
    </row>
    <row r="704" ht="12.75" customHeight="1">
      <c r="A704" s="1" t="s">
        <v>604</v>
      </c>
    </row>
    <row r="705" ht="12.75" customHeight="1">
      <c r="A705" s="1" t="s">
        <v>605</v>
      </c>
    </row>
    <row r="706" ht="12.75" customHeight="1">
      <c r="A706" s="1" t="s">
        <v>606</v>
      </c>
    </row>
    <row r="707" ht="12.75" customHeight="1"/>
    <row r="708" ht="12.75" customHeight="1">
      <c r="A708" s="1" t="s">
        <v>423</v>
      </c>
    </row>
    <row r="709" ht="12.75" customHeight="1">
      <c r="A709" s="1" t="s">
        <v>607</v>
      </c>
    </row>
    <row r="710" ht="12.75" customHeight="1">
      <c r="A710" s="1" t="s">
        <v>608</v>
      </c>
    </row>
    <row r="711" ht="12.75" customHeight="1">
      <c r="A711" s="1" t="s">
        <v>609</v>
      </c>
    </row>
    <row r="712" ht="12.75" customHeight="1">
      <c r="A712" s="1" t="s">
        <v>610</v>
      </c>
    </row>
    <row r="713" ht="12.75" customHeight="1">
      <c r="A713" s="1" t="s">
        <v>611</v>
      </c>
    </row>
    <row r="714" ht="12.75" customHeight="1">
      <c r="A714" s="1" t="s">
        <v>613</v>
      </c>
    </row>
    <row r="715" ht="12.75" customHeight="1">
      <c r="A715" s="1" t="s">
        <v>614</v>
      </c>
    </row>
    <row r="716" ht="12.75" customHeight="1">
      <c r="A716" s="1" t="s">
        <v>615</v>
      </c>
    </row>
    <row r="717" ht="12.75" customHeight="1"/>
    <row r="718" ht="12.75" customHeight="1">
      <c r="A718" s="1" t="s">
        <v>360</v>
      </c>
    </row>
    <row r="719" ht="12.75" customHeight="1">
      <c r="A719" s="1" t="s">
        <v>616</v>
      </c>
    </row>
    <row r="720" ht="12.75" customHeight="1">
      <c r="A720" s="1" t="s">
        <v>617</v>
      </c>
    </row>
    <row r="721" ht="12.75" customHeight="1">
      <c r="A721" s="1" t="s">
        <v>618</v>
      </c>
    </row>
    <row r="722" ht="12.75" customHeight="1">
      <c r="A722" s="1" t="s">
        <v>619</v>
      </c>
    </row>
    <row r="723" ht="12.75" customHeight="1"/>
    <row r="724" ht="12.75" customHeight="1">
      <c r="A724" s="1" t="s">
        <v>361</v>
      </c>
    </row>
    <row r="725" ht="12.75" customHeight="1">
      <c r="A725" s="1" t="s">
        <v>620</v>
      </c>
    </row>
    <row r="726" ht="12.75" customHeight="1">
      <c r="A726" s="1" t="s">
        <v>621</v>
      </c>
    </row>
    <row r="727" ht="12.75" customHeight="1"/>
    <row r="728" ht="12.75" customHeight="1">
      <c r="A728" s="1" t="s">
        <v>362</v>
      </c>
    </row>
    <row r="729" ht="12.75" customHeight="1">
      <c r="A729" s="1" t="s">
        <v>622</v>
      </c>
    </row>
    <row r="730" ht="12.75" customHeight="1">
      <c r="A730" s="1" t="s">
        <v>623</v>
      </c>
    </row>
    <row r="731" ht="12.75" customHeight="1"/>
    <row r="732" ht="12.75" customHeight="1">
      <c r="A732" s="1" t="s">
        <v>363</v>
      </c>
    </row>
    <row r="733" ht="12.75" customHeight="1">
      <c r="A733" s="1" t="s">
        <v>624</v>
      </c>
    </row>
    <row r="734" ht="12.75" customHeight="1">
      <c r="A734" s="1" t="s">
        <v>625</v>
      </c>
    </row>
    <row r="735" ht="12.75" customHeight="1">
      <c r="A735" s="1" t="s">
        <v>626</v>
      </c>
    </row>
    <row r="736" ht="12.75" customHeight="1">
      <c r="A736" s="1" t="s">
        <v>614</v>
      </c>
    </row>
    <row r="737" ht="12.75" customHeight="1">
      <c r="A737" s="1" t="s">
        <v>615</v>
      </c>
    </row>
    <row r="738" ht="12.75" customHeight="1"/>
    <row r="739" ht="12.75" customHeight="1">
      <c r="A739" s="1" t="s">
        <v>360</v>
      </c>
    </row>
    <row r="740" ht="12.75" customHeight="1">
      <c r="A740" s="1" t="s">
        <v>616</v>
      </c>
    </row>
    <row r="741" ht="12.75" customHeight="1">
      <c r="A741" s="1" t="s">
        <v>617</v>
      </c>
    </row>
    <row r="742" ht="12.75" customHeight="1">
      <c r="A742" s="1" t="s">
        <v>618</v>
      </c>
    </row>
    <row r="743" ht="12.75" customHeight="1">
      <c r="A743" s="1" t="s">
        <v>619</v>
      </c>
    </row>
    <row r="744" ht="12.75" customHeight="1"/>
    <row r="745" ht="12.75" customHeight="1">
      <c r="A745" s="1" t="s">
        <v>361</v>
      </c>
    </row>
    <row r="746" ht="12.75" customHeight="1">
      <c r="A746" s="1" t="s">
        <v>620</v>
      </c>
    </row>
    <row r="747" ht="12.75" customHeight="1">
      <c r="A747" s="1" t="s">
        <v>621</v>
      </c>
    </row>
    <row r="748" ht="12.75" customHeight="1"/>
    <row r="749" ht="12.75" customHeight="1">
      <c r="A749" s="1" t="s">
        <v>362</v>
      </c>
    </row>
    <row r="750" ht="12.75" customHeight="1">
      <c r="A750" s="1" t="s">
        <v>622</v>
      </c>
    </row>
    <row r="751" ht="12.75" customHeight="1">
      <c r="A751" s="1" t="s">
        <v>623</v>
      </c>
    </row>
    <row r="752" ht="12.75" customHeight="1"/>
    <row r="753" ht="12.75" customHeight="1">
      <c r="A753" s="1" t="s">
        <v>363</v>
      </c>
    </row>
    <row r="754" ht="12.75" customHeight="1">
      <c r="A754" s="1" t="s">
        <v>624</v>
      </c>
    </row>
    <row r="755" ht="12.75" customHeight="1">
      <c r="A755" s="1" t="s">
        <v>625</v>
      </c>
    </row>
    <row r="756" ht="12.75" customHeight="1">
      <c r="A756" s="1" t="s">
        <v>627</v>
      </c>
    </row>
    <row r="757" ht="12.75" customHeight="1">
      <c r="A757" s="1" t="s">
        <v>614</v>
      </c>
    </row>
    <row r="758" ht="12.75" customHeight="1">
      <c r="A758" s="1" t="s">
        <v>615</v>
      </c>
    </row>
    <row r="759" ht="12.75" customHeight="1"/>
    <row r="760" ht="12.75" customHeight="1">
      <c r="A760" s="1" t="s">
        <v>360</v>
      </c>
    </row>
    <row r="761" ht="12.75" customHeight="1">
      <c r="A761" s="1" t="s">
        <v>616</v>
      </c>
    </row>
    <row r="762" ht="12.75" customHeight="1">
      <c r="A762" s="1" t="s">
        <v>617</v>
      </c>
    </row>
    <row r="763" ht="12.75" customHeight="1">
      <c r="A763" s="1" t="s">
        <v>618</v>
      </c>
    </row>
    <row r="764" ht="12.75" customHeight="1">
      <c r="A764" s="1" t="s">
        <v>619</v>
      </c>
    </row>
    <row r="765" ht="12.75" customHeight="1"/>
    <row r="766" ht="12.75" customHeight="1">
      <c r="A766" s="1" t="s">
        <v>361</v>
      </c>
    </row>
    <row r="767" ht="12.75" customHeight="1">
      <c r="A767" s="1" t="s">
        <v>620</v>
      </c>
    </row>
    <row r="768" ht="12.75" customHeight="1">
      <c r="A768" s="1" t="s">
        <v>621</v>
      </c>
    </row>
    <row r="769" ht="12.75" customHeight="1"/>
    <row r="770" ht="12.75" customHeight="1">
      <c r="A770" s="1" t="s">
        <v>362</v>
      </c>
    </row>
    <row r="771" ht="12.75" customHeight="1">
      <c r="A771" s="1" t="s">
        <v>622</v>
      </c>
    </row>
    <row r="772" ht="12.75" customHeight="1">
      <c r="A772" s="1" t="s">
        <v>623</v>
      </c>
    </row>
    <row r="773" ht="12.75" customHeight="1"/>
    <row r="774" ht="12.75" customHeight="1">
      <c r="A774" s="1" t="s">
        <v>363</v>
      </c>
    </row>
    <row r="775" ht="12.75" customHeight="1">
      <c r="A775" s="1" t="s">
        <v>624</v>
      </c>
    </row>
    <row r="776" ht="12.75" customHeight="1">
      <c r="A776" s="1" t="s">
        <v>625</v>
      </c>
    </row>
    <row r="777" ht="12.75" customHeight="1">
      <c r="A777" s="1" t="s">
        <v>628</v>
      </c>
    </row>
    <row r="778" ht="12.75" customHeight="1">
      <c r="A778" s="1" t="s">
        <v>614</v>
      </c>
    </row>
    <row r="779" ht="12.75" customHeight="1">
      <c r="A779" s="1" t="s">
        <v>615</v>
      </c>
    </row>
    <row r="780" ht="12.75" customHeight="1"/>
    <row r="781" ht="12.75" customHeight="1">
      <c r="A781" s="1" t="s">
        <v>360</v>
      </c>
    </row>
    <row r="782" ht="12.75" customHeight="1">
      <c r="A782" s="1" t="s">
        <v>616</v>
      </c>
    </row>
    <row r="783" ht="12.75" customHeight="1">
      <c r="A783" s="1" t="s">
        <v>617</v>
      </c>
    </row>
    <row r="784" ht="12.75" customHeight="1">
      <c r="A784" s="1" t="s">
        <v>618</v>
      </c>
    </row>
    <row r="785" ht="12.75" customHeight="1">
      <c r="A785" s="1" t="s">
        <v>619</v>
      </c>
    </row>
    <row r="786" ht="12.75" customHeight="1"/>
    <row r="787" ht="12.75" customHeight="1">
      <c r="A787" s="1" t="s">
        <v>361</v>
      </c>
    </row>
    <row r="788" ht="12.75" customHeight="1">
      <c r="A788" s="1" t="s">
        <v>620</v>
      </c>
    </row>
    <row r="789" ht="12.75" customHeight="1">
      <c r="A789" s="1" t="s">
        <v>621</v>
      </c>
    </row>
    <row r="790" ht="12.75" customHeight="1"/>
    <row r="791" ht="12.75" customHeight="1">
      <c r="A791" s="1" t="s">
        <v>362</v>
      </c>
    </row>
    <row r="792" ht="12.75" customHeight="1">
      <c r="A792" s="1" t="s">
        <v>622</v>
      </c>
    </row>
    <row r="793" ht="12.75" customHeight="1">
      <c r="A793" s="1" t="s">
        <v>623</v>
      </c>
    </row>
    <row r="794" ht="12.75" customHeight="1"/>
    <row r="795" ht="12.75" customHeight="1">
      <c r="A795" s="1" t="s">
        <v>363</v>
      </c>
    </row>
    <row r="796" ht="12.75" customHeight="1">
      <c r="A796" s="1" t="s">
        <v>624</v>
      </c>
    </row>
    <row r="797" ht="12.75" customHeight="1">
      <c r="A797" s="1" t="s">
        <v>625</v>
      </c>
    </row>
    <row r="798" ht="12.75" customHeight="1">
      <c r="A798" s="1" t="s">
        <v>629</v>
      </c>
    </row>
    <row r="799" ht="12.75" customHeight="1">
      <c r="A799" s="1" t="s">
        <v>614</v>
      </c>
    </row>
    <row r="800" ht="12.75" customHeight="1">
      <c r="A800" s="1" t="s">
        <v>615</v>
      </c>
    </row>
    <row r="801" ht="12.75" customHeight="1"/>
    <row r="802" ht="12.75" customHeight="1">
      <c r="A802" s="1" t="s">
        <v>360</v>
      </c>
    </row>
    <row r="803" ht="12.75" customHeight="1">
      <c r="A803" s="1" t="s">
        <v>616</v>
      </c>
    </row>
    <row r="804" ht="12.75" customHeight="1">
      <c r="A804" s="1" t="s">
        <v>617</v>
      </c>
    </row>
    <row r="805" ht="12.75" customHeight="1">
      <c r="A805" s="1" t="s">
        <v>618</v>
      </c>
    </row>
    <row r="806" ht="12.75" customHeight="1">
      <c r="A806" s="1" t="s">
        <v>619</v>
      </c>
    </row>
    <row r="807" ht="12.75" customHeight="1"/>
    <row r="808" ht="12.75" customHeight="1">
      <c r="A808" s="1" t="s">
        <v>361</v>
      </c>
    </row>
    <row r="809" ht="12.75" customHeight="1">
      <c r="A809" s="1" t="s">
        <v>620</v>
      </c>
    </row>
    <row r="810" ht="12.75" customHeight="1">
      <c r="A810" s="1" t="s">
        <v>621</v>
      </c>
    </row>
    <row r="811" ht="12.75" customHeight="1"/>
    <row r="812" ht="12.75" customHeight="1">
      <c r="A812" s="1" t="s">
        <v>362</v>
      </c>
    </row>
    <row r="813" ht="12.75" customHeight="1">
      <c r="A813" s="1" t="s">
        <v>622</v>
      </c>
    </row>
    <row r="814" ht="12.75" customHeight="1">
      <c r="A814" s="1" t="s">
        <v>623</v>
      </c>
    </row>
    <row r="815" ht="12.75" customHeight="1"/>
    <row r="816" ht="12.75" customHeight="1">
      <c r="A816" s="1" t="s">
        <v>363</v>
      </c>
    </row>
    <row r="817" ht="12.75" customHeight="1">
      <c r="A817" s="1" t="s">
        <v>630</v>
      </c>
    </row>
    <row r="818" ht="12.75" customHeight="1">
      <c r="A818" s="1" t="s">
        <v>625</v>
      </c>
    </row>
    <row r="819" ht="12.75" customHeight="1">
      <c r="A819" s="1" t="s">
        <v>631</v>
      </c>
    </row>
    <row r="820" ht="12.75" customHeight="1">
      <c r="A820" s="1" t="s">
        <v>632</v>
      </c>
    </row>
    <row r="821" ht="12.75" customHeight="1">
      <c r="A821" s="1" t="s">
        <v>633</v>
      </c>
    </row>
    <row r="822" ht="12.75" customHeight="1"/>
    <row r="823" ht="12.75" customHeight="1">
      <c r="A823" s="1" t="s">
        <v>360</v>
      </c>
    </row>
    <row r="824" ht="12.75" customHeight="1">
      <c r="A824" s="1" t="s">
        <v>634</v>
      </c>
    </row>
    <row r="825" ht="12.75" customHeight="1">
      <c r="A825" s="1" t="s">
        <v>635</v>
      </c>
    </row>
    <row r="826" ht="12.75" customHeight="1">
      <c r="A826" s="1" t="s">
        <v>636</v>
      </c>
    </row>
    <row r="827" ht="12.75" customHeight="1">
      <c r="A827" s="1" t="s">
        <v>637</v>
      </c>
    </row>
    <row r="828" ht="12.75" customHeight="1"/>
    <row r="829" ht="12.75" customHeight="1">
      <c r="A829" s="1" t="s">
        <v>361</v>
      </c>
    </row>
    <row r="830" ht="12.75" customHeight="1">
      <c r="A830" s="1" t="s">
        <v>638</v>
      </c>
    </row>
    <row r="831" ht="12.75" customHeight="1">
      <c r="A831" s="1" t="s">
        <v>639</v>
      </c>
    </row>
    <row r="832" ht="12.75" customHeight="1"/>
    <row r="833" ht="12.75" customHeight="1">
      <c r="A833" s="1" t="s">
        <v>362</v>
      </c>
    </row>
    <row r="834" ht="12.75" customHeight="1">
      <c r="A834" s="1" t="s">
        <v>640</v>
      </c>
    </row>
    <row r="835" ht="12.75" customHeight="1">
      <c r="A835" s="1" t="s">
        <v>641</v>
      </c>
    </row>
    <row r="836" ht="12.75" customHeight="1"/>
    <row r="837" ht="12.75" customHeight="1">
      <c r="A837" s="1" t="s">
        <v>363</v>
      </c>
    </row>
    <row r="838" ht="12.75" customHeight="1">
      <c r="A838" s="1" t="s">
        <v>642</v>
      </c>
    </row>
    <row r="839" ht="12.75" customHeight="1">
      <c r="A839" s="1" t="s">
        <v>643</v>
      </c>
    </row>
    <row r="840" ht="12.75" customHeight="1">
      <c r="A840" s="1" t="s">
        <v>644</v>
      </c>
    </row>
    <row r="841" ht="12.75" customHeight="1">
      <c r="A841" s="1" t="s">
        <v>645</v>
      </c>
    </row>
    <row r="842" ht="12.75" customHeight="1">
      <c r="A842" s="1" t="s">
        <v>646</v>
      </c>
    </row>
    <row r="843" ht="12.75" customHeight="1"/>
    <row r="844" ht="12.75" customHeight="1">
      <c r="A844" s="1" t="s">
        <v>360</v>
      </c>
    </row>
    <row r="845" ht="12.75" customHeight="1">
      <c r="A845" s="1" t="s">
        <v>647</v>
      </c>
    </row>
    <row r="846" ht="12.75" customHeight="1">
      <c r="A846" s="1" t="s">
        <v>648</v>
      </c>
    </row>
    <row r="847" ht="12.75" customHeight="1">
      <c r="A847" s="1" t="s">
        <v>649</v>
      </c>
    </row>
    <row r="848" ht="12.75" customHeight="1">
      <c r="A848" s="1" t="s">
        <v>650</v>
      </c>
    </row>
    <row r="849" ht="12.75" customHeight="1"/>
    <row r="850" ht="12.75" customHeight="1">
      <c r="A850" s="1" t="s">
        <v>361</v>
      </c>
    </row>
    <row r="851" ht="12.75" customHeight="1">
      <c r="A851" s="1" t="s">
        <v>651</v>
      </c>
    </row>
    <row r="852" ht="12.75" customHeight="1">
      <c r="A852" s="1" t="s">
        <v>652</v>
      </c>
    </row>
    <row r="853" ht="12.75" customHeight="1"/>
    <row r="854" ht="12.75" customHeight="1">
      <c r="A854" s="1" t="s">
        <v>362</v>
      </c>
    </row>
    <row r="855" ht="12.75" customHeight="1">
      <c r="A855" s="1" t="s">
        <v>653</v>
      </c>
    </row>
    <row r="856" ht="12.75" customHeight="1">
      <c r="A856" s="1" t="s">
        <v>654</v>
      </c>
    </row>
    <row r="857" ht="12.75" customHeight="1"/>
    <row r="858" ht="12.75" customHeight="1">
      <c r="A858" s="1" t="s">
        <v>363</v>
      </c>
    </row>
    <row r="859" ht="12.75" customHeight="1">
      <c r="A859" s="1" t="s">
        <v>655</v>
      </c>
    </row>
    <row r="860" ht="12.75" customHeight="1">
      <c r="A860" s="1" t="s">
        <v>656</v>
      </c>
    </row>
    <row r="861" ht="12.75" customHeight="1">
      <c r="A861" s="1" t="s">
        <v>576</v>
      </c>
    </row>
    <row r="862" ht="12.75" customHeight="1">
      <c r="A862" s="1" t="s">
        <v>577</v>
      </c>
    </row>
    <row r="863" ht="12.75" customHeight="1">
      <c r="A863" s="1" t="s">
        <v>578</v>
      </c>
    </row>
    <row r="864" ht="12.75" customHeight="1">
      <c r="A864" s="1" t="s">
        <v>579</v>
      </c>
    </row>
    <row r="865" ht="12.75" customHeight="1">
      <c r="A865" s="1" t="s">
        <v>657</v>
      </c>
    </row>
    <row r="866" ht="12.75" customHeight="1">
      <c r="A866" s="1" t="s">
        <v>658</v>
      </c>
    </row>
    <row r="867" ht="12.75" customHeight="1">
      <c r="A867" s="1" t="s">
        <v>649</v>
      </c>
    </row>
    <row r="868" ht="12.75" customHeight="1"/>
    <row r="869" ht="12.75" customHeight="1">
      <c r="A869" s="1" t="s">
        <v>360</v>
      </c>
    </row>
    <row r="870" ht="12.75" customHeight="1">
      <c r="A870" s="1" t="s">
        <v>659</v>
      </c>
    </row>
    <row r="871" ht="12.75" customHeight="1">
      <c r="A871" s="1" t="s">
        <v>660</v>
      </c>
    </row>
    <row r="872" ht="12.75" customHeight="1">
      <c r="A872" s="1" t="s">
        <v>661</v>
      </c>
    </row>
    <row r="873" ht="12.75" customHeight="1">
      <c r="A873" s="1" t="s">
        <v>662</v>
      </c>
    </row>
    <row r="874" ht="12.75" customHeight="1"/>
    <row r="875" ht="12.75" customHeight="1">
      <c r="A875" s="1" t="s">
        <v>361</v>
      </c>
    </row>
    <row r="876" ht="12.75" customHeight="1">
      <c r="A876" s="1" t="s">
        <v>663</v>
      </c>
    </row>
    <row r="877" ht="12.75" customHeight="1">
      <c r="A877" s="1" t="s">
        <v>664</v>
      </c>
    </row>
    <row r="878" ht="12.75" customHeight="1"/>
    <row r="879" ht="12.75" customHeight="1">
      <c r="A879" s="1" t="s">
        <v>362</v>
      </c>
    </row>
    <row r="880" ht="12.75" customHeight="1">
      <c r="A880" s="1" t="s">
        <v>665</v>
      </c>
    </row>
    <row r="881" ht="12.75" customHeight="1">
      <c r="A881" s="1" t="s">
        <v>666</v>
      </c>
    </row>
    <row r="882" ht="12.75" customHeight="1"/>
    <row r="883" ht="12.75" customHeight="1">
      <c r="A883" s="1" t="s">
        <v>363</v>
      </c>
    </row>
    <row r="884" ht="12.75" customHeight="1">
      <c r="A884" s="1" t="s">
        <v>665</v>
      </c>
    </row>
    <row r="885" ht="12.75" customHeight="1">
      <c r="A885" s="1" t="s">
        <v>667</v>
      </c>
    </row>
    <row r="886" ht="12.75" customHeight="1">
      <c r="A886" s="1" t="s">
        <v>668</v>
      </c>
    </row>
    <row r="887" ht="12.75" customHeight="1">
      <c r="A887" s="1" t="s">
        <v>669</v>
      </c>
    </row>
    <row r="888" ht="12.75" customHeight="1">
      <c r="A888" s="1" t="s">
        <v>670</v>
      </c>
    </row>
    <row r="889" ht="12.75" customHeight="1"/>
    <row r="890" ht="12.75" customHeight="1">
      <c r="A890" s="1" t="s">
        <v>360</v>
      </c>
    </row>
    <row r="891" ht="12.75" customHeight="1">
      <c r="A891" s="1" t="s">
        <v>671</v>
      </c>
    </row>
    <row r="892" ht="12.75" customHeight="1">
      <c r="A892" s="1" t="s">
        <v>672</v>
      </c>
    </row>
    <row r="893" ht="12.75" customHeight="1">
      <c r="A893" s="1" t="s">
        <v>673</v>
      </c>
    </row>
    <row r="894" ht="12.75" customHeight="1">
      <c r="A894" s="1" t="s">
        <v>674</v>
      </c>
    </row>
    <row r="895" ht="12.75" customHeight="1"/>
    <row r="896" ht="12.75" customHeight="1">
      <c r="A896" s="1" t="s">
        <v>361</v>
      </c>
    </row>
    <row r="897" ht="12.75" customHeight="1">
      <c r="A897" s="1" t="s">
        <v>675</v>
      </c>
    </row>
    <row r="898" ht="12.75" customHeight="1">
      <c r="A898" s="1" t="s">
        <v>675</v>
      </c>
    </row>
    <row r="899" ht="12.75" customHeight="1"/>
    <row r="900" ht="12.75" customHeight="1">
      <c r="A900" s="1" t="s">
        <v>362</v>
      </c>
    </row>
    <row r="901" ht="12.75" customHeight="1">
      <c r="A901" s="1" t="s">
        <v>676</v>
      </c>
    </row>
    <row r="902" ht="12.75" customHeight="1">
      <c r="A902" s="1" t="s">
        <v>676</v>
      </c>
    </row>
    <row r="903" ht="12.75" customHeight="1"/>
    <row r="904" ht="12.75" customHeight="1">
      <c r="A904" s="1" t="s">
        <v>363</v>
      </c>
    </row>
    <row r="905" ht="12.75" customHeight="1">
      <c r="A905" s="1" t="s">
        <v>676</v>
      </c>
    </row>
    <row r="906" ht="12.75" customHeight="1">
      <c r="A906" s="1" t="s">
        <v>677</v>
      </c>
    </row>
    <row r="907" ht="12.75" customHeight="1">
      <c r="A907" s="1" t="s">
        <v>576</v>
      </c>
    </row>
    <row r="908" ht="12.75" customHeight="1">
      <c r="A908" s="1" t="s">
        <v>577</v>
      </c>
    </row>
    <row r="909" ht="12.75" customHeight="1">
      <c r="A909" s="1" t="s">
        <v>578</v>
      </c>
    </row>
    <row r="910" ht="12.75" customHeight="1">
      <c r="A910" s="1" t="s">
        <v>579</v>
      </c>
    </row>
    <row r="911" ht="12.75" customHeight="1">
      <c r="A911" s="1" t="s">
        <v>678</v>
      </c>
    </row>
    <row r="912" ht="12.75" customHeight="1">
      <c r="A912" s="1" t="s">
        <v>658</v>
      </c>
    </row>
    <row r="913" ht="12.75" customHeight="1">
      <c r="A913" s="1" t="s">
        <v>649</v>
      </c>
    </row>
    <row r="914" ht="12.75" customHeight="1"/>
    <row r="915" ht="12.75" customHeight="1">
      <c r="A915" s="1" t="s">
        <v>360</v>
      </c>
    </row>
    <row r="916" ht="12.75" customHeight="1">
      <c r="A916" s="1" t="s">
        <v>659</v>
      </c>
    </row>
    <row r="917" ht="12.75" customHeight="1">
      <c r="A917" s="1" t="s">
        <v>660</v>
      </c>
    </row>
    <row r="918" ht="12.75" customHeight="1">
      <c r="A918" s="1" t="s">
        <v>661</v>
      </c>
    </row>
    <row r="919" ht="12.75" customHeight="1">
      <c r="A919" s="1" t="s">
        <v>662</v>
      </c>
    </row>
    <row r="920" ht="12.75" customHeight="1"/>
    <row r="921" ht="12.75" customHeight="1">
      <c r="A921" s="1" t="s">
        <v>361</v>
      </c>
    </row>
    <row r="922" ht="12.75" customHeight="1">
      <c r="A922" s="1" t="s">
        <v>663</v>
      </c>
    </row>
    <row r="923" ht="12.75" customHeight="1">
      <c r="A923" s="1" t="s">
        <v>664</v>
      </c>
    </row>
    <row r="924" ht="12.75" customHeight="1"/>
    <row r="925" ht="12.75" customHeight="1">
      <c r="A925" s="1" t="s">
        <v>362</v>
      </c>
    </row>
    <row r="926" ht="12.75" customHeight="1">
      <c r="A926" s="1" t="s">
        <v>665</v>
      </c>
    </row>
    <row r="927" ht="12.75" customHeight="1">
      <c r="A927" s="1" t="s">
        <v>666</v>
      </c>
    </row>
    <row r="928" ht="12.75" customHeight="1"/>
    <row r="929" ht="12.75" customHeight="1">
      <c r="A929" s="1" t="s">
        <v>363</v>
      </c>
    </row>
    <row r="930" ht="12.75" customHeight="1">
      <c r="A930" s="1" t="s">
        <v>665</v>
      </c>
    </row>
    <row r="931" ht="12.75" customHeight="1">
      <c r="A931" s="1" t="s">
        <v>667</v>
      </c>
    </row>
    <row r="932" ht="12.75" customHeight="1">
      <c r="A932" s="1" t="s">
        <v>679</v>
      </c>
    </row>
    <row r="933" ht="12.75" customHeight="1">
      <c r="A933" s="1" t="s">
        <v>680</v>
      </c>
    </row>
    <row r="934" ht="12.75" customHeight="1">
      <c r="A934" s="1" t="s">
        <v>681</v>
      </c>
    </row>
    <row r="935" ht="12.75" customHeight="1"/>
    <row r="936" ht="12.75" customHeight="1">
      <c r="A936" s="1" t="s">
        <v>360</v>
      </c>
    </row>
    <row r="937" ht="12.75" customHeight="1">
      <c r="A937" s="1" t="s">
        <v>672</v>
      </c>
    </row>
    <row r="938" ht="12.75" customHeight="1">
      <c r="A938" s="1" t="s">
        <v>682</v>
      </c>
    </row>
    <row r="939" ht="12.75" customHeight="1">
      <c r="A939" s="1" t="s">
        <v>674</v>
      </c>
    </row>
    <row r="940" ht="12.75" customHeight="1">
      <c r="A940" s="1" t="s">
        <v>670</v>
      </c>
    </row>
    <row r="941" ht="12.75" customHeight="1"/>
    <row r="942" ht="12.75" customHeight="1">
      <c r="A942" s="1" t="s">
        <v>361</v>
      </c>
    </row>
    <row r="943" ht="12.75" customHeight="1">
      <c r="A943" s="1" t="s">
        <v>683</v>
      </c>
    </row>
    <row r="944" ht="12.75" customHeight="1">
      <c r="A944" s="1" t="s">
        <v>676</v>
      </c>
    </row>
    <row r="945" ht="12.75" customHeight="1"/>
    <row r="946" ht="12.75" customHeight="1">
      <c r="A946" s="1" t="s">
        <v>362</v>
      </c>
    </row>
    <row r="947" ht="12.75" customHeight="1">
      <c r="A947" s="1" t="s">
        <v>684</v>
      </c>
    </row>
    <row r="948" ht="12.75" customHeight="1">
      <c r="A948" s="1" t="s">
        <v>685</v>
      </c>
    </row>
    <row r="949" ht="12.75" customHeight="1"/>
    <row r="950" ht="12.75" customHeight="1">
      <c r="A950" s="1" t="s">
        <v>363</v>
      </c>
    </row>
    <row r="951" ht="12.75" customHeight="1">
      <c r="A951" s="1" t="s">
        <v>684</v>
      </c>
    </row>
    <row r="952" ht="12.75" customHeight="1">
      <c r="A952" s="1" t="s">
        <v>686</v>
      </c>
    </row>
    <row r="953" ht="12.75" customHeight="1">
      <c r="A953" s="1" t="s">
        <v>687</v>
      </c>
    </row>
    <row r="954" ht="12.75" customHeight="1">
      <c r="A954" s="1" t="s">
        <v>688</v>
      </c>
    </row>
    <row r="955" ht="12.75" customHeight="1">
      <c r="A955" s="1" t="s">
        <v>689</v>
      </c>
    </row>
    <row r="956" ht="12.75" customHeight="1">
      <c r="A956" s="1" t="s">
        <v>690</v>
      </c>
    </row>
    <row r="957" ht="12.75" customHeight="1">
      <c r="A957" s="1" t="s">
        <v>691</v>
      </c>
    </row>
    <row r="958" ht="12.75" customHeight="1">
      <c r="A958" s="1" t="s">
        <v>692</v>
      </c>
    </row>
    <row r="959" ht="12.75" customHeight="1">
      <c r="A959" s="1" t="s">
        <v>693</v>
      </c>
    </row>
    <row r="960" ht="12.75" customHeight="1"/>
    <row r="961" ht="12.75" customHeight="1">
      <c r="A961" s="1" t="s">
        <v>360</v>
      </c>
    </row>
    <row r="962" ht="12.75" customHeight="1">
      <c r="A962" s="1" t="s">
        <v>682</v>
      </c>
    </row>
    <row r="963" ht="12.75" customHeight="1">
      <c r="A963" s="1" t="s">
        <v>684</v>
      </c>
    </row>
    <row r="964" ht="12.75" customHeight="1">
      <c r="A964" s="1" t="s">
        <v>694</v>
      </c>
    </row>
    <row r="965" ht="12.75" customHeight="1">
      <c r="A965" s="1" t="s">
        <v>695</v>
      </c>
    </row>
    <row r="966" ht="12.75" customHeight="1"/>
    <row r="967" ht="12.75" customHeight="1">
      <c r="A967" s="1" t="s">
        <v>361</v>
      </c>
    </row>
    <row r="968" ht="12.75" customHeight="1">
      <c r="A968" s="1" t="s">
        <v>696</v>
      </c>
    </row>
    <row r="969" ht="12.75" customHeight="1">
      <c r="A969" s="1" t="s">
        <v>697</v>
      </c>
    </row>
    <row r="970" ht="12.75" customHeight="1"/>
    <row r="971" ht="12.75" customHeight="1">
      <c r="A971" s="1" t="s">
        <v>362</v>
      </c>
    </row>
    <row r="972" ht="12.75" customHeight="1">
      <c r="A972" s="1" t="s">
        <v>696</v>
      </c>
    </row>
    <row r="973" ht="12.75" customHeight="1">
      <c r="A973" s="1" t="s">
        <v>698</v>
      </c>
    </row>
    <row r="974" ht="12.75" customHeight="1"/>
    <row r="975" ht="12.75" customHeight="1">
      <c r="A975" s="1" t="s">
        <v>363</v>
      </c>
    </row>
    <row r="976" ht="12.75" customHeight="1">
      <c r="A976" s="1" t="s">
        <v>696</v>
      </c>
    </row>
    <row r="977" ht="12.75" customHeight="1">
      <c r="A977" s="1" t="s">
        <v>699</v>
      </c>
    </row>
    <row r="978" ht="12.75" customHeight="1">
      <c r="A978" s="1" t="s">
        <v>687</v>
      </c>
    </row>
    <row r="979" ht="12.75" customHeight="1">
      <c r="A979" s="1" t="s">
        <v>688</v>
      </c>
    </row>
    <row r="980" ht="12.75" customHeight="1">
      <c r="A980" s="1" t="s">
        <v>689</v>
      </c>
    </row>
    <row r="981" ht="12.75" customHeight="1">
      <c r="A981" s="1" t="s">
        <v>690</v>
      </c>
    </row>
    <row r="982" ht="12.75" customHeight="1">
      <c r="A982" s="1" t="s">
        <v>700</v>
      </c>
    </row>
    <row r="983" ht="12.75" customHeight="1">
      <c r="A983" s="1" t="s">
        <v>701</v>
      </c>
    </row>
    <row r="984" ht="12.75" customHeight="1">
      <c r="A984" s="1" t="s">
        <v>695</v>
      </c>
    </row>
    <row r="985" ht="12.75" customHeight="1"/>
    <row r="986" ht="12.75" customHeight="1">
      <c r="A986" s="1" t="s">
        <v>360</v>
      </c>
    </row>
    <row r="987" ht="12.75" customHeight="1">
      <c r="A987" s="1" t="s">
        <v>696</v>
      </c>
    </row>
    <row r="988" ht="12.75" customHeight="1">
      <c r="A988" s="1" t="s">
        <v>694</v>
      </c>
    </row>
    <row r="989" ht="12.75" customHeight="1">
      <c r="A989" s="1" t="s">
        <v>697</v>
      </c>
    </row>
    <row r="990" ht="12.75" customHeight="1">
      <c r="A990" s="1" t="s">
        <v>698</v>
      </c>
    </row>
    <row r="991" ht="12.75" customHeight="1"/>
    <row r="992" ht="12.75" customHeight="1">
      <c r="A992" s="1" t="s">
        <v>361</v>
      </c>
    </row>
    <row r="993" ht="12.75" customHeight="1">
      <c r="A993" s="1" t="s">
        <v>702</v>
      </c>
    </row>
    <row r="994" ht="12.75" customHeight="1">
      <c r="A994" s="1" t="s">
        <v>703</v>
      </c>
    </row>
    <row r="995" ht="12.75" customHeight="1"/>
    <row r="996" ht="12.75" customHeight="1">
      <c r="A996" s="1" t="s">
        <v>362</v>
      </c>
    </row>
    <row r="997" ht="12.75" customHeight="1">
      <c r="A997" s="1" t="s">
        <v>702</v>
      </c>
    </row>
    <row r="998" ht="12.75" customHeight="1">
      <c r="A998" s="1" t="s">
        <v>704</v>
      </c>
    </row>
    <row r="999" ht="12.75" customHeight="1"/>
    <row r="1000" ht="12.75" customHeight="1">
      <c r="A1000" s="1" t="s">
        <v>363</v>
      </c>
    </row>
    <row r="1001" ht="12.75" customHeight="1">
      <c r="A1001" s="1" t="s">
        <v>702</v>
      </c>
    </row>
    <row r="1002" ht="12.75" customHeight="1">
      <c r="A1002" s="1" t="s">
        <v>705</v>
      </c>
    </row>
    <row r="1003" ht="12.75" customHeight="1">
      <c r="A1003" s="1" t="s">
        <v>687</v>
      </c>
    </row>
    <row r="1004" ht="12.75" customHeight="1">
      <c r="A1004" s="1" t="s">
        <v>688</v>
      </c>
    </row>
    <row r="1005" ht="12.75" customHeight="1">
      <c r="A1005" s="1" t="s">
        <v>689</v>
      </c>
    </row>
    <row r="1006" ht="12.75" customHeight="1">
      <c r="A1006" s="1" t="s">
        <v>690</v>
      </c>
    </row>
    <row r="1007" ht="12.75" customHeight="1">
      <c r="A1007" s="1" t="s">
        <v>706</v>
      </c>
    </row>
    <row r="1008" ht="12.75" customHeight="1">
      <c r="A1008" s="1" t="s">
        <v>707</v>
      </c>
    </row>
    <row r="1009" ht="12.75" customHeight="1">
      <c r="A1009" s="1" t="s">
        <v>697</v>
      </c>
    </row>
    <row r="1010" ht="12.75" customHeight="1"/>
    <row r="1011" ht="12.75" customHeight="1">
      <c r="A1011" s="1" t="s">
        <v>360</v>
      </c>
    </row>
    <row r="1012" ht="12.75" customHeight="1">
      <c r="A1012" s="1" t="s">
        <v>698</v>
      </c>
    </row>
    <row r="1013" ht="12.75" customHeight="1">
      <c r="A1013" s="1" t="s">
        <v>703</v>
      </c>
    </row>
    <row r="1014" ht="12.75" customHeight="1">
      <c r="A1014" s="1" t="s">
        <v>694</v>
      </c>
    </row>
    <row r="1015" ht="12.75" customHeight="1">
      <c r="A1015" s="1" t="s">
        <v>704</v>
      </c>
    </row>
    <row r="1016" ht="12.75" customHeight="1"/>
    <row r="1017" ht="12.75" customHeight="1">
      <c r="A1017" s="1" t="s">
        <v>361</v>
      </c>
    </row>
    <row r="1018" ht="12.75" customHeight="1">
      <c r="A1018" s="1" t="s">
        <v>708</v>
      </c>
    </row>
    <row r="1019" ht="12.75" customHeight="1">
      <c r="A1019" s="1" t="s">
        <v>709</v>
      </c>
    </row>
    <row r="1020" ht="12.75" customHeight="1"/>
    <row r="1021" ht="12.75" customHeight="1">
      <c r="A1021" s="1" t="s">
        <v>362</v>
      </c>
    </row>
    <row r="1022" ht="12.75" customHeight="1">
      <c r="A1022" s="1" t="s">
        <v>710</v>
      </c>
    </row>
    <row r="1023" ht="12.75" customHeight="1">
      <c r="A1023" s="1" t="s">
        <v>711</v>
      </c>
    </row>
    <row r="1024" ht="12.75" customHeight="1"/>
    <row r="1025" ht="12.75" customHeight="1">
      <c r="A1025" s="1" t="s">
        <v>363</v>
      </c>
    </row>
    <row r="1026" ht="12.75" customHeight="1">
      <c r="A1026" s="1" t="s">
        <v>710</v>
      </c>
    </row>
    <row r="1027" ht="12.75" customHeight="1">
      <c r="A1027" s="1" t="s">
        <v>712</v>
      </c>
    </row>
    <row r="1028" ht="12.75" customHeight="1">
      <c r="A1028" s="1" t="s">
        <v>713</v>
      </c>
    </row>
    <row r="1029" ht="12.75" customHeight="1">
      <c r="A1029" s="1" t="s">
        <v>714</v>
      </c>
    </row>
    <row r="1030" ht="12.75" customHeight="1">
      <c r="A1030" s="1" t="s">
        <v>715</v>
      </c>
    </row>
    <row r="1031" ht="12.75" customHeight="1">
      <c r="A1031" s="1" t="s">
        <v>716</v>
      </c>
    </row>
    <row r="1032" ht="12.75" customHeight="1">
      <c r="A1032" s="1" t="s">
        <v>717</v>
      </c>
    </row>
    <row r="1033" ht="12.75" customHeight="1">
      <c r="A1033" s="1" t="s">
        <v>701</v>
      </c>
    </row>
    <row r="1034" ht="12.75" customHeight="1">
      <c r="A1034" s="1" t="s">
        <v>695</v>
      </c>
    </row>
    <row r="1035" ht="12.75" customHeight="1"/>
    <row r="1036" ht="12.75" customHeight="1">
      <c r="A1036" s="1" t="s">
        <v>360</v>
      </c>
    </row>
    <row r="1037" ht="12.75" customHeight="1">
      <c r="A1037" s="1" t="s">
        <v>696</v>
      </c>
    </row>
    <row r="1038" ht="12.75" customHeight="1">
      <c r="A1038" s="1" t="s">
        <v>694</v>
      </c>
    </row>
    <row r="1039" ht="12.75" customHeight="1">
      <c r="A1039" s="1" t="s">
        <v>697</v>
      </c>
    </row>
    <row r="1040" ht="12.75" customHeight="1">
      <c r="A1040" s="1" t="s">
        <v>698</v>
      </c>
    </row>
    <row r="1041" ht="12.75" customHeight="1"/>
    <row r="1042" ht="12.75" customHeight="1">
      <c r="A1042" s="1" t="s">
        <v>361</v>
      </c>
    </row>
    <row r="1043" ht="12.75" customHeight="1">
      <c r="A1043" s="1" t="s">
        <v>702</v>
      </c>
    </row>
    <row r="1044" ht="12.75" customHeight="1">
      <c r="A1044" s="1" t="s">
        <v>703</v>
      </c>
    </row>
    <row r="1045" ht="12.75" customHeight="1"/>
    <row r="1046" ht="12.75" customHeight="1">
      <c r="A1046" s="1" t="s">
        <v>362</v>
      </c>
    </row>
    <row r="1047" ht="12.75" customHeight="1">
      <c r="A1047" s="1" t="s">
        <v>702</v>
      </c>
    </row>
    <row r="1048" ht="12.75" customHeight="1">
      <c r="A1048" s="1" t="s">
        <v>704</v>
      </c>
    </row>
    <row r="1049" ht="12.75" customHeight="1"/>
    <row r="1050" ht="12.75" customHeight="1">
      <c r="A1050" s="1" t="s">
        <v>363</v>
      </c>
    </row>
    <row r="1051" ht="12.75" customHeight="1">
      <c r="A1051" s="1" t="s">
        <v>702</v>
      </c>
    </row>
    <row r="1052" ht="12.75" customHeight="1">
      <c r="A1052" s="1" t="s">
        <v>705</v>
      </c>
    </row>
    <row r="1053" ht="12.75" customHeight="1">
      <c r="A1053" s="1" t="s">
        <v>687</v>
      </c>
    </row>
    <row r="1054" ht="12.75" customHeight="1">
      <c r="A1054" s="1" t="s">
        <v>688</v>
      </c>
    </row>
    <row r="1055" ht="12.75" customHeight="1">
      <c r="A1055" s="1" t="s">
        <v>689</v>
      </c>
    </row>
    <row r="1056" ht="12.75" customHeight="1">
      <c r="A1056" s="1" t="s">
        <v>690</v>
      </c>
    </row>
    <row r="1057" ht="12.75" customHeight="1">
      <c r="A1057" s="1" t="s">
        <v>718</v>
      </c>
    </row>
    <row r="1058" ht="12.75" customHeight="1">
      <c r="A1058" s="1" t="s">
        <v>692</v>
      </c>
    </row>
    <row r="1059" ht="12.75" customHeight="1">
      <c r="A1059" s="1" t="s">
        <v>693</v>
      </c>
    </row>
    <row r="1060" ht="12.75" customHeight="1"/>
    <row r="1061" ht="12.75" customHeight="1">
      <c r="A1061" s="1" t="s">
        <v>360</v>
      </c>
    </row>
    <row r="1062" ht="12.75" customHeight="1">
      <c r="A1062" s="1" t="s">
        <v>682</v>
      </c>
    </row>
    <row r="1063" ht="12.75" customHeight="1">
      <c r="A1063" s="1" t="s">
        <v>684</v>
      </c>
    </row>
    <row r="1064" ht="12.75" customHeight="1">
      <c r="A1064" s="1" t="s">
        <v>694</v>
      </c>
    </row>
    <row r="1065" ht="12.75" customHeight="1">
      <c r="A1065" s="1" t="s">
        <v>695</v>
      </c>
    </row>
    <row r="1066" ht="12.75" customHeight="1"/>
    <row r="1067" ht="12.75" customHeight="1">
      <c r="A1067" s="1" t="s">
        <v>361</v>
      </c>
    </row>
    <row r="1068" ht="12.75" customHeight="1">
      <c r="A1068" s="1" t="s">
        <v>696</v>
      </c>
    </row>
    <row r="1069" ht="12.75" customHeight="1">
      <c r="A1069" s="1" t="s">
        <v>697</v>
      </c>
    </row>
    <row r="1070" ht="12.75" customHeight="1"/>
    <row r="1071" ht="12.75" customHeight="1">
      <c r="A1071" s="1" t="s">
        <v>362</v>
      </c>
    </row>
    <row r="1072" ht="12.75" customHeight="1">
      <c r="A1072" s="1" t="s">
        <v>696</v>
      </c>
    </row>
    <row r="1073" ht="12.75" customHeight="1">
      <c r="A1073" s="1" t="s">
        <v>698</v>
      </c>
    </row>
    <row r="1074" ht="12.75" customHeight="1"/>
    <row r="1075" ht="12.75" customHeight="1">
      <c r="A1075" s="1" t="s">
        <v>363</v>
      </c>
    </row>
    <row r="1076" ht="12.75" customHeight="1">
      <c r="A1076" s="1" t="s">
        <v>696</v>
      </c>
    </row>
    <row r="1077" ht="12.75" customHeight="1">
      <c r="A1077" s="1" t="s">
        <v>699</v>
      </c>
    </row>
    <row r="1078" ht="12.75" customHeight="1">
      <c r="A1078" s="1" t="s">
        <v>687</v>
      </c>
    </row>
    <row r="1079" ht="12.75" customHeight="1">
      <c r="A1079" s="1" t="s">
        <v>688</v>
      </c>
    </row>
    <row r="1080" ht="12.75" customHeight="1">
      <c r="A1080" s="1" t="s">
        <v>689</v>
      </c>
    </row>
    <row r="1081" ht="12.75" customHeight="1">
      <c r="A1081" s="1" t="s">
        <v>690</v>
      </c>
    </row>
    <row r="1082" ht="12.75" customHeight="1">
      <c r="A1082" s="1" t="s">
        <v>719</v>
      </c>
    </row>
    <row r="1083" ht="12.75" customHeight="1">
      <c r="A1083" s="1" t="s">
        <v>720</v>
      </c>
    </row>
    <row r="1084" ht="12.75" customHeight="1">
      <c r="A1084" s="1" t="s">
        <v>721</v>
      </c>
    </row>
    <row r="1085" ht="12.75" customHeight="1"/>
    <row r="1086" ht="12.75" customHeight="1">
      <c r="A1086" s="1" t="s">
        <v>360</v>
      </c>
    </row>
    <row r="1087" ht="12.75" customHeight="1">
      <c r="A1087" s="1" t="s">
        <v>722</v>
      </c>
    </row>
    <row r="1088" ht="12.75" customHeight="1">
      <c r="A1088" s="1" t="s">
        <v>723</v>
      </c>
    </row>
    <row r="1089" ht="12.75" customHeight="1">
      <c r="A1089" s="1" t="s">
        <v>724</v>
      </c>
    </row>
    <row r="1090" ht="12.75" customHeight="1">
      <c r="A1090" s="1" t="s">
        <v>725</v>
      </c>
    </row>
    <row r="1091" ht="12.75" customHeight="1"/>
    <row r="1092" ht="12.75" customHeight="1">
      <c r="A1092" s="1" t="s">
        <v>361</v>
      </c>
    </row>
    <row r="1093" ht="12.75" customHeight="1">
      <c r="A1093" s="1" t="s">
        <v>726</v>
      </c>
    </row>
    <row r="1094" ht="12.75" customHeight="1">
      <c r="A1094" s="1" t="s">
        <v>727</v>
      </c>
    </row>
    <row r="1095" ht="12.75" customHeight="1"/>
    <row r="1096" ht="12.75" customHeight="1">
      <c r="A1096" s="1" t="s">
        <v>362</v>
      </c>
    </row>
    <row r="1097" ht="12.75" customHeight="1">
      <c r="A1097" s="1" t="s">
        <v>728</v>
      </c>
    </row>
    <row r="1098" ht="12.75" customHeight="1">
      <c r="A1098" s="1" t="s">
        <v>729</v>
      </c>
    </row>
    <row r="1099" ht="12.75" customHeight="1"/>
    <row r="1100" ht="12.75" customHeight="1">
      <c r="A1100" s="1" t="s">
        <v>363</v>
      </c>
    </row>
    <row r="1101" ht="12.75" customHeight="1">
      <c r="A1101" s="1" t="s">
        <v>730</v>
      </c>
    </row>
    <row r="1102" ht="12.75" customHeight="1">
      <c r="A1102" s="1" t="s">
        <v>731</v>
      </c>
    </row>
    <row r="1103" ht="12.75" customHeight="1">
      <c r="A1103" s="1" t="s">
        <v>732</v>
      </c>
    </row>
    <row r="1104" ht="12.75" customHeight="1">
      <c r="A1104" s="1" t="s">
        <v>733</v>
      </c>
    </row>
    <row r="1105" ht="12.75" customHeight="1">
      <c r="A1105" s="1" t="s">
        <v>734</v>
      </c>
    </row>
    <row r="1106" ht="12.75" customHeight="1">
      <c r="A1106" s="1" t="s">
        <v>735</v>
      </c>
    </row>
    <row r="1107" ht="12.75" customHeight="1">
      <c r="A1107" s="1" t="s">
        <v>417</v>
      </c>
    </row>
    <row r="1108" ht="12.75" customHeight="1">
      <c r="A1108" s="1" t="s">
        <v>418</v>
      </c>
    </row>
    <row r="1109" ht="12.75" customHeight="1"/>
    <row r="1110" ht="12.75" customHeight="1">
      <c r="A1110" s="1" t="s">
        <v>419</v>
      </c>
    </row>
    <row r="1111" ht="12.75" customHeight="1">
      <c r="A1111" s="1" t="s">
        <v>736</v>
      </c>
    </row>
    <row r="1112" ht="12.75" customHeight="1">
      <c r="A1112" s="1" t="s">
        <v>421</v>
      </c>
    </row>
    <row r="1113" ht="12.75" customHeight="1">
      <c r="A1113" s="1" t="s">
        <v>737</v>
      </c>
    </row>
    <row r="1114" ht="12.75" customHeight="1"/>
    <row r="1115" ht="12.75" customHeight="1">
      <c r="A1115" s="1" t="s">
        <v>423</v>
      </c>
    </row>
    <row r="1116" ht="12.75" customHeight="1">
      <c r="A1116" s="1" t="s">
        <v>738</v>
      </c>
    </row>
    <row r="1117" ht="12.75" customHeight="1">
      <c r="A1117" s="1" t="s">
        <v>739</v>
      </c>
    </row>
    <row r="1118" ht="12.75" customHeight="1">
      <c r="A1118" s="1" t="s">
        <v>426</v>
      </c>
    </row>
    <row r="1119" ht="12.75" customHeight="1">
      <c r="A1119" s="1" t="s">
        <v>740</v>
      </c>
    </row>
    <row r="1120" ht="12.75" customHeight="1">
      <c r="A1120" s="1" t="s">
        <v>428</v>
      </c>
    </row>
    <row r="1121" ht="12.75" customHeight="1">
      <c r="A1121" s="1" t="s">
        <v>741</v>
      </c>
    </row>
    <row r="1122" ht="12.75" customHeight="1">
      <c r="A1122" s="1" t="s">
        <v>742</v>
      </c>
    </row>
    <row r="1123" ht="12.75" customHeight="1">
      <c r="A1123" s="1" t="s">
        <v>743</v>
      </c>
    </row>
    <row r="1124" ht="12.75" customHeight="1"/>
    <row r="1125" ht="12.75" customHeight="1">
      <c r="A1125" s="1" t="s">
        <v>360</v>
      </c>
    </row>
    <row r="1126" ht="12.75" customHeight="1">
      <c r="A1126" s="1" t="s">
        <v>744</v>
      </c>
    </row>
    <row r="1127" ht="12.75" customHeight="1">
      <c r="A1127" s="1" t="s">
        <v>745</v>
      </c>
    </row>
    <row r="1128" ht="12.75" customHeight="1">
      <c r="A1128" s="1" t="s">
        <v>746</v>
      </c>
    </row>
    <row r="1129" ht="12.75" customHeight="1">
      <c r="A1129" s="1" t="s">
        <v>747</v>
      </c>
    </row>
    <row r="1130" ht="12.75" customHeight="1"/>
    <row r="1131" ht="12.75" customHeight="1">
      <c r="A1131" s="1" t="s">
        <v>361</v>
      </c>
    </row>
    <row r="1132" ht="12.75" customHeight="1">
      <c r="A1132" s="1" t="s">
        <v>748</v>
      </c>
    </row>
    <row r="1133" ht="12.75" customHeight="1">
      <c r="A1133" s="1" t="s">
        <v>749</v>
      </c>
    </row>
    <row r="1134" ht="12.75" customHeight="1"/>
    <row r="1135" ht="12.75" customHeight="1">
      <c r="A1135" s="1" t="s">
        <v>362</v>
      </c>
    </row>
    <row r="1136" ht="12.75" customHeight="1">
      <c r="A1136" s="1" t="s">
        <v>750</v>
      </c>
    </row>
    <row r="1137" ht="12.75" customHeight="1">
      <c r="A1137" s="1" t="s">
        <v>751</v>
      </c>
    </row>
    <row r="1138" ht="12.75" customHeight="1"/>
    <row r="1139" ht="12.75" customHeight="1">
      <c r="A1139" s="1" t="s">
        <v>363</v>
      </c>
    </row>
    <row r="1140" ht="12.75" customHeight="1">
      <c r="A1140" s="1" t="s">
        <v>750</v>
      </c>
    </row>
    <row r="1141" ht="12.75" customHeight="1">
      <c r="A1141" s="1" t="s">
        <v>752</v>
      </c>
    </row>
    <row r="1142" ht="12.75" customHeight="1">
      <c r="A1142" s="1" t="s">
        <v>753</v>
      </c>
    </row>
    <row r="1143" ht="12.75" customHeight="1">
      <c r="A1143" s="1" t="s">
        <v>754</v>
      </c>
    </row>
    <row r="1144" ht="12.75" customHeight="1">
      <c r="A1144" s="1" t="s">
        <v>755</v>
      </c>
    </row>
    <row r="1145" ht="12.75" customHeight="1">
      <c r="A1145" s="1" t="s">
        <v>756</v>
      </c>
    </row>
    <row r="1146" ht="12.75" customHeight="1">
      <c r="A1146" s="1" t="s">
        <v>417</v>
      </c>
    </row>
    <row r="1147" ht="12.75" customHeight="1">
      <c r="A1147" s="1" t="s">
        <v>418</v>
      </c>
    </row>
    <row r="1148" ht="12.75" customHeight="1"/>
    <row r="1149" ht="12.75" customHeight="1">
      <c r="A1149" s="1" t="s">
        <v>419</v>
      </c>
    </row>
    <row r="1150" ht="12.75" customHeight="1">
      <c r="A1150" s="1" t="s">
        <v>737</v>
      </c>
    </row>
    <row r="1151" ht="12.75" customHeight="1">
      <c r="A1151" s="1" t="s">
        <v>421</v>
      </c>
    </row>
    <row r="1152" ht="12.75" customHeight="1">
      <c r="A1152" s="1" t="s">
        <v>736</v>
      </c>
    </row>
    <row r="1153" ht="12.75" customHeight="1"/>
    <row r="1154" ht="12.75" customHeight="1">
      <c r="A1154" s="1" t="s">
        <v>423</v>
      </c>
    </row>
    <row r="1155" ht="12.75" customHeight="1">
      <c r="A1155" s="1" t="s">
        <v>757</v>
      </c>
    </row>
    <row r="1156" ht="12.75" customHeight="1">
      <c r="A1156" s="1" t="s">
        <v>758</v>
      </c>
    </row>
    <row r="1157" ht="12.75" customHeight="1">
      <c r="A1157" s="1" t="s">
        <v>426</v>
      </c>
    </row>
    <row r="1158" ht="12.75" customHeight="1">
      <c r="A1158" s="1" t="s">
        <v>740</v>
      </c>
    </row>
    <row r="1159" ht="12.75" customHeight="1">
      <c r="A1159" s="1" t="s">
        <v>428</v>
      </c>
    </row>
    <row r="1160" ht="12.75" customHeight="1">
      <c r="A1160" s="1" t="s">
        <v>759</v>
      </c>
    </row>
    <row r="1161" ht="12.75" customHeight="1">
      <c r="A1161" s="1" t="s">
        <v>760</v>
      </c>
    </row>
    <row r="1162" ht="12.75" customHeight="1">
      <c r="A1162" s="1" t="s">
        <v>743</v>
      </c>
    </row>
    <row r="1163" ht="12.75" customHeight="1"/>
    <row r="1164" ht="12.75" customHeight="1">
      <c r="A1164" s="1" t="s">
        <v>360</v>
      </c>
    </row>
    <row r="1165" ht="12.75" customHeight="1">
      <c r="A1165" s="1" t="s">
        <v>744</v>
      </c>
    </row>
    <row r="1166" ht="12.75" customHeight="1">
      <c r="A1166" s="1" t="s">
        <v>761</v>
      </c>
    </row>
    <row r="1167" ht="12.75" customHeight="1">
      <c r="A1167" s="1" t="s">
        <v>746</v>
      </c>
    </row>
    <row r="1168" ht="12.75" customHeight="1">
      <c r="A1168" s="1" t="s">
        <v>762</v>
      </c>
    </row>
    <row r="1169" ht="12.75" customHeight="1"/>
    <row r="1170" ht="12.75" customHeight="1">
      <c r="A1170" s="1" t="s">
        <v>361</v>
      </c>
    </row>
    <row r="1171" ht="12.75" customHeight="1">
      <c r="A1171" s="1" t="s">
        <v>763</v>
      </c>
    </row>
    <row r="1172" ht="12.75" customHeight="1">
      <c r="A1172" s="1" t="s">
        <v>764</v>
      </c>
    </row>
    <row r="1173" ht="12.75" customHeight="1"/>
    <row r="1174" ht="12.75" customHeight="1">
      <c r="A1174" s="1" t="s">
        <v>362</v>
      </c>
    </row>
    <row r="1175" ht="12.75" customHeight="1">
      <c r="A1175" s="1" t="s">
        <v>750</v>
      </c>
    </row>
    <row r="1176" ht="12.75" customHeight="1">
      <c r="A1176" s="1" t="s">
        <v>765</v>
      </c>
    </row>
    <row r="1177" ht="12.75" customHeight="1"/>
    <row r="1178" ht="12.75" customHeight="1">
      <c r="A1178" s="1" t="s">
        <v>363</v>
      </c>
    </row>
    <row r="1179" ht="12.75" customHeight="1">
      <c r="A1179" s="1" t="s">
        <v>750</v>
      </c>
    </row>
    <row r="1180" ht="12.75" customHeight="1">
      <c r="A1180" s="1" t="s">
        <v>766</v>
      </c>
    </row>
    <row r="1181" ht="12.75" customHeight="1">
      <c r="A1181" s="1" t="s">
        <v>767</v>
      </c>
    </row>
    <row r="1182" ht="12.75" customHeight="1">
      <c r="A1182" s="1" t="s">
        <v>760</v>
      </c>
    </row>
    <row r="1183" ht="12.75" customHeight="1">
      <c r="A1183" s="1" t="s">
        <v>743</v>
      </c>
    </row>
    <row r="1184" ht="12.75" customHeight="1"/>
    <row r="1185" ht="12.75" customHeight="1">
      <c r="A1185" s="1" t="s">
        <v>360</v>
      </c>
    </row>
    <row r="1186" ht="12.75" customHeight="1">
      <c r="A1186" s="1" t="s">
        <v>744</v>
      </c>
    </row>
    <row r="1187" ht="12.75" customHeight="1">
      <c r="A1187" s="1" t="s">
        <v>761</v>
      </c>
    </row>
    <row r="1188" ht="12.75" customHeight="1">
      <c r="A1188" s="1" t="s">
        <v>746</v>
      </c>
    </row>
    <row r="1189" ht="12.75" customHeight="1">
      <c r="A1189" s="1" t="s">
        <v>762</v>
      </c>
    </row>
    <row r="1190" ht="12.75" customHeight="1"/>
    <row r="1191" ht="12.75" customHeight="1">
      <c r="A1191" s="1" t="s">
        <v>361</v>
      </c>
    </row>
    <row r="1192" ht="12.75" customHeight="1">
      <c r="A1192" s="1" t="s">
        <v>763</v>
      </c>
    </row>
    <row r="1193" ht="12.75" customHeight="1">
      <c r="A1193" s="1" t="s">
        <v>764</v>
      </c>
    </row>
    <row r="1194" ht="12.75" customHeight="1"/>
    <row r="1195" ht="12.75" customHeight="1">
      <c r="A1195" s="1" t="s">
        <v>362</v>
      </c>
    </row>
    <row r="1196" ht="12.75" customHeight="1">
      <c r="A1196" s="1" t="s">
        <v>750</v>
      </c>
    </row>
    <row r="1197" ht="12.75" customHeight="1">
      <c r="A1197" s="1" t="s">
        <v>765</v>
      </c>
    </row>
    <row r="1198" ht="12.75" customHeight="1"/>
    <row r="1199" ht="12.75" customHeight="1">
      <c r="A1199" s="1" t="s">
        <v>363</v>
      </c>
    </row>
    <row r="1200" ht="12.75" customHeight="1">
      <c r="A1200" s="1" t="s">
        <v>750</v>
      </c>
    </row>
    <row r="1201" ht="12.75" customHeight="1">
      <c r="A1201" s="1" t="s">
        <v>766</v>
      </c>
    </row>
    <row r="1202" ht="12.75" customHeight="1">
      <c r="A1202" s="1" t="s">
        <v>768</v>
      </c>
    </row>
    <row r="1203" ht="12.75" customHeight="1">
      <c r="A1203" s="1" t="s">
        <v>742</v>
      </c>
    </row>
    <row r="1204" ht="12.75" customHeight="1">
      <c r="A1204" s="1" t="s">
        <v>743</v>
      </c>
    </row>
    <row r="1205" ht="12.75" customHeight="1"/>
    <row r="1206" ht="12.75" customHeight="1">
      <c r="A1206" s="1" t="s">
        <v>360</v>
      </c>
    </row>
    <row r="1207" ht="12.75" customHeight="1">
      <c r="A1207" s="1" t="s">
        <v>744</v>
      </c>
    </row>
    <row r="1208" ht="12.75" customHeight="1">
      <c r="A1208" s="1" t="s">
        <v>745</v>
      </c>
    </row>
    <row r="1209" ht="12.75" customHeight="1">
      <c r="A1209" s="1" t="s">
        <v>746</v>
      </c>
    </row>
    <row r="1210" ht="12.75" customHeight="1">
      <c r="A1210" s="1" t="s">
        <v>747</v>
      </c>
    </row>
    <row r="1211" ht="12.75" customHeight="1"/>
    <row r="1212" ht="12.75" customHeight="1">
      <c r="A1212" s="1" t="s">
        <v>361</v>
      </c>
    </row>
    <row r="1213" ht="12.75" customHeight="1">
      <c r="A1213" s="1" t="s">
        <v>748</v>
      </c>
    </row>
    <row r="1214" ht="12.75" customHeight="1">
      <c r="A1214" s="1" t="s">
        <v>749</v>
      </c>
    </row>
    <row r="1215" ht="12.75" customHeight="1"/>
    <row r="1216" ht="12.75" customHeight="1">
      <c r="A1216" s="1" t="s">
        <v>362</v>
      </c>
    </row>
    <row r="1217" ht="12.75" customHeight="1">
      <c r="A1217" s="1" t="s">
        <v>750</v>
      </c>
    </row>
    <row r="1218" ht="12.75" customHeight="1">
      <c r="A1218" s="1" t="s">
        <v>751</v>
      </c>
    </row>
    <row r="1219" ht="12.75" customHeight="1"/>
    <row r="1220" ht="12.75" customHeight="1">
      <c r="A1220" s="1" t="s">
        <v>363</v>
      </c>
    </row>
    <row r="1221" ht="12.75" customHeight="1">
      <c r="A1221" s="1" t="s">
        <v>750</v>
      </c>
    </row>
    <row r="1222" ht="12.75" customHeight="1">
      <c r="A1222" s="1" t="s">
        <v>769</v>
      </c>
    </row>
    <row r="1223" ht="12.75" customHeight="1">
      <c r="A1223" s="1" t="s">
        <v>770</v>
      </c>
    </row>
    <row r="1224" ht="12.75" customHeight="1">
      <c r="A1224" s="1" t="s">
        <v>771</v>
      </c>
    </row>
    <row r="1225" ht="12.75" customHeight="1">
      <c r="A1225" s="1" t="s">
        <v>772</v>
      </c>
    </row>
    <row r="1226" ht="12.75" customHeight="1">
      <c r="A1226" s="1" t="s">
        <v>773</v>
      </c>
    </row>
    <row r="1227" ht="12.75" customHeight="1">
      <c r="A1227" s="1" t="s">
        <v>417</v>
      </c>
    </row>
    <row r="1228" ht="12.75" customHeight="1">
      <c r="A1228" s="1" t="s">
        <v>418</v>
      </c>
    </row>
    <row r="1229" ht="12.75" customHeight="1"/>
    <row r="1230" ht="12.75" customHeight="1">
      <c r="A1230" s="1" t="s">
        <v>419</v>
      </c>
    </row>
    <row r="1231" ht="12.75" customHeight="1">
      <c r="A1231" s="1" t="s">
        <v>420</v>
      </c>
    </row>
    <row r="1232" ht="12.75" customHeight="1">
      <c r="A1232" s="1" t="s">
        <v>421</v>
      </c>
    </row>
    <row r="1233" ht="12.75" customHeight="1">
      <c r="A1233" s="1" t="s">
        <v>420</v>
      </c>
    </row>
    <row r="1234" ht="12.75" customHeight="1"/>
    <row r="1235" ht="12.75" customHeight="1">
      <c r="A1235" s="1" t="s">
        <v>423</v>
      </c>
    </row>
    <row r="1236" ht="12.75" customHeight="1">
      <c r="A1236" s="1" t="s">
        <v>424</v>
      </c>
    </row>
    <row r="1237" ht="12.75" customHeight="1">
      <c r="A1237" s="1" t="s">
        <v>425</v>
      </c>
    </row>
    <row r="1238" ht="12.75" customHeight="1">
      <c r="A1238" s="1" t="s">
        <v>426</v>
      </c>
    </row>
    <row r="1239" ht="12.75" customHeight="1">
      <c r="A1239" s="1" t="s">
        <v>774</v>
      </c>
    </row>
    <row r="1240" ht="12.75" customHeight="1">
      <c r="A1240" s="1" t="s">
        <v>428</v>
      </c>
    </row>
    <row r="1241" ht="12.75" customHeight="1">
      <c r="A1241" s="1" t="s">
        <v>775</v>
      </c>
    </row>
    <row r="1242" ht="12.75" customHeight="1">
      <c r="A1242" s="1" t="s">
        <v>776</v>
      </c>
    </row>
    <row r="1243" ht="12.75" customHeight="1">
      <c r="A1243" s="1" t="s">
        <v>777</v>
      </c>
    </row>
    <row r="1244" ht="12.75" customHeight="1"/>
    <row r="1245" ht="12.75" customHeight="1">
      <c r="A1245" s="1" t="s">
        <v>360</v>
      </c>
    </row>
    <row r="1246" ht="12.75" customHeight="1">
      <c r="A1246" s="1" t="s">
        <v>778</v>
      </c>
    </row>
    <row r="1247" ht="12.75" customHeight="1">
      <c r="A1247" s="1" t="s">
        <v>779</v>
      </c>
    </row>
    <row r="1248" ht="12.75" customHeight="1">
      <c r="A1248" s="1" t="s">
        <v>780</v>
      </c>
    </row>
    <row r="1249" ht="12.75" customHeight="1">
      <c r="A1249" s="1" t="s">
        <v>781</v>
      </c>
    </row>
    <row r="1250" ht="12.75" customHeight="1"/>
    <row r="1251" ht="12.75" customHeight="1">
      <c r="A1251" s="1" t="s">
        <v>361</v>
      </c>
    </row>
    <row r="1252" ht="12.75" customHeight="1">
      <c r="A1252" s="1" t="s">
        <v>782</v>
      </c>
    </row>
    <row r="1253" ht="12.75" customHeight="1">
      <c r="A1253" s="1" t="s">
        <v>783</v>
      </c>
    </row>
    <row r="1254" ht="12.75" customHeight="1"/>
    <row r="1255" ht="12.75" customHeight="1">
      <c r="A1255" s="1" t="s">
        <v>362</v>
      </c>
    </row>
    <row r="1256" ht="12.75" customHeight="1">
      <c r="A1256" s="1" t="s">
        <v>784</v>
      </c>
    </row>
    <row r="1257" ht="12.75" customHeight="1">
      <c r="A1257" s="1" t="s">
        <v>785</v>
      </c>
    </row>
    <row r="1258" ht="12.75" customHeight="1"/>
    <row r="1259" ht="12.75" customHeight="1">
      <c r="A1259" s="1" t="s">
        <v>363</v>
      </c>
    </row>
    <row r="1260" ht="12.75" customHeight="1">
      <c r="A1260" s="1" t="s">
        <v>786</v>
      </c>
    </row>
    <row r="1261" ht="12.75" customHeight="1">
      <c r="A1261" s="1" t="s">
        <v>787</v>
      </c>
    </row>
    <row r="1262" ht="12.75" customHeight="1">
      <c r="A1262" s="1" t="s">
        <v>788</v>
      </c>
    </row>
    <row r="1263" ht="12.75" customHeight="1">
      <c r="A1263" s="1" t="s">
        <v>789</v>
      </c>
    </row>
    <row r="1264" ht="12.75" customHeight="1">
      <c r="A1264" s="1" t="s">
        <v>790</v>
      </c>
    </row>
    <row r="1265" ht="12.75" customHeight="1"/>
    <row r="1266" ht="12.75" customHeight="1">
      <c r="A1266" s="1" t="s">
        <v>360</v>
      </c>
    </row>
    <row r="1267" ht="12.75" customHeight="1">
      <c r="A1267" s="1" t="s">
        <v>791</v>
      </c>
    </row>
    <row r="1268" ht="12.75" customHeight="1">
      <c r="A1268" s="1" t="s">
        <v>792</v>
      </c>
    </row>
    <row r="1269" ht="12.75" customHeight="1">
      <c r="A1269" s="1" t="s">
        <v>793</v>
      </c>
    </row>
    <row r="1270" ht="12.75" customHeight="1">
      <c r="A1270" s="1" t="s">
        <v>794</v>
      </c>
    </row>
    <row r="1271" ht="12.75" customHeight="1"/>
    <row r="1272" ht="12.75" customHeight="1">
      <c r="A1272" s="1" t="s">
        <v>361</v>
      </c>
    </row>
    <row r="1273" ht="12.75" customHeight="1">
      <c r="A1273" s="1" t="s">
        <v>795</v>
      </c>
    </row>
    <row r="1274" ht="12.75" customHeight="1">
      <c r="A1274" s="1" t="s">
        <v>796</v>
      </c>
    </row>
    <row r="1275" ht="12.75" customHeight="1"/>
    <row r="1276" ht="12.75" customHeight="1">
      <c r="A1276" s="1" t="s">
        <v>362</v>
      </c>
    </row>
    <row r="1277" ht="12.75" customHeight="1">
      <c r="A1277" s="1" t="s">
        <v>797</v>
      </c>
    </row>
    <row r="1278" ht="12.75" customHeight="1">
      <c r="A1278" s="1" t="s">
        <v>798</v>
      </c>
    </row>
    <row r="1279" ht="12.75" customHeight="1"/>
    <row r="1280" ht="12.75" customHeight="1">
      <c r="A1280" s="1" t="s">
        <v>363</v>
      </c>
    </row>
    <row r="1281" ht="12.75" customHeight="1">
      <c r="A1281" s="1" t="s">
        <v>799</v>
      </c>
    </row>
    <row r="1282" ht="12.75" customHeight="1">
      <c r="A1282" s="1" t="s">
        <v>800</v>
      </c>
    </row>
    <row r="1283" ht="12.75" customHeight="1">
      <c r="A1283" s="1" t="s">
        <v>801</v>
      </c>
    </row>
    <row r="1284" ht="12.75" customHeight="1">
      <c r="A1284" s="1" t="s">
        <v>789</v>
      </c>
    </row>
    <row r="1285" ht="12.75" customHeight="1">
      <c r="A1285" s="1" t="s">
        <v>790</v>
      </c>
    </row>
    <row r="1286" ht="12.75" customHeight="1"/>
    <row r="1287" ht="12.75" customHeight="1">
      <c r="A1287" s="1" t="s">
        <v>360</v>
      </c>
    </row>
    <row r="1288" ht="12.75" customHeight="1">
      <c r="A1288" s="1" t="s">
        <v>791</v>
      </c>
    </row>
    <row r="1289" ht="12.75" customHeight="1">
      <c r="A1289" s="1" t="s">
        <v>792</v>
      </c>
    </row>
    <row r="1290" ht="12.75" customHeight="1">
      <c r="A1290" s="1" t="s">
        <v>793</v>
      </c>
    </row>
    <row r="1291" ht="12.75" customHeight="1">
      <c r="A1291" s="1" t="s">
        <v>794</v>
      </c>
    </row>
    <row r="1292" ht="12.75" customHeight="1"/>
    <row r="1293" ht="12.75" customHeight="1">
      <c r="A1293" s="1" t="s">
        <v>361</v>
      </c>
    </row>
    <row r="1294" ht="12.75" customHeight="1">
      <c r="A1294" s="1" t="s">
        <v>795</v>
      </c>
    </row>
    <row r="1295" ht="12.75" customHeight="1">
      <c r="A1295" s="1" t="s">
        <v>796</v>
      </c>
    </row>
    <row r="1296" ht="12.75" customHeight="1"/>
    <row r="1297" ht="12.75" customHeight="1">
      <c r="A1297" s="1" t="s">
        <v>362</v>
      </c>
    </row>
    <row r="1298" ht="12.75" customHeight="1">
      <c r="A1298" s="1" t="s">
        <v>797</v>
      </c>
    </row>
    <row r="1299" ht="12.75" customHeight="1">
      <c r="A1299" s="1" t="s">
        <v>798</v>
      </c>
    </row>
    <row r="1300" ht="12.75" customHeight="1"/>
    <row r="1301" ht="12.75" customHeight="1">
      <c r="A1301" s="1" t="s">
        <v>363</v>
      </c>
    </row>
    <row r="1302" ht="12.75" customHeight="1">
      <c r="A1302" s="1" t="s">
        <v>799</v>
      </c>
    </row>
    <row r="1303" ht="12.75" customHeight="1">
      <c r="A1303" s="1" t="s">
        <v>800</v>
      </c>
    </row>
    <row r="1304" ht="12.75" customHeight="1">
      <c r="A1304" s="1" t="s">
        <v>802</v>
      </c>
    </row>
    <row r="1305" ht="12.75" customHeight="1">
      <c r="A1305" s="1" t="s">
        <v>789</v>
      </c>
    </row>
    <row r="1306" ht="12.75" customHeight="1">
      <c r="A1306" s="1" t="s">
        <v>790</v>
      </c>
    </row>
    <row r="1307" ht="12.75" customHeight="1"/>
    <row r="1308" ht="12.75" customHeight="1">
      <c r="A1308" s="1" t="s">
        <v>360</v>
      </c>
    </row>
    <row r="1309" ht="12.75" customHeight="1">
      <c r="A1309" s="1" t="s">
        <v>791</v>
      </c>
    </row>
    <row r="1310" ht="12.75" customHeight="1">
      <c r="A1310" s="1" t="s">
        <v>792</v>
      </c>
    </row>
    <row r="1311" ht="12.75" customHeight="1">
      <c r="A1311" s="1" t="s">
        <v>793</v>
      </c>
    </row>
    <row r="1312" ht="12.75" customHeight="1">
      <c r="A1312" s="1" t="s">
        <v>794</v>
      </c>
    </row>
    <row r="1313" ht="12.75" customHeight="1"/>
    <row r="1314" ht="12.75" customHeight="1">
      <c r="A1314" s="1" t="s">
        <v>361</v>
      </c>
    </row>
    <row r="1315" ht="12.75" customHeight="1">
      <c r="A1315" s="1" t="s">
        <v>795</v>
      </c>
    </row>
    <row r="1316" ht="12.75" customHeight="1">
      <c r="A1316" s="1" t="s">
        <v>796</v>
      </c>
    </row>
    <row r="1317" ht="12.75" customHeight="1"/>
    <row r="1318" ht="12.75" customHeight="1">
      <c r="A1318" s="1" t="s">
        <v>362</v>
      </c>
    </row>
    <row r="1319" ht="12.75" customHeight="1">
      <c r="A1319" s="1" t="s">
        <v>797</v>
      </c>
    </row>
    <row r="1320" ht="12.75" customHeight="1">
      <c r="A1320" s="1" t="s">
        <v>798</v>
      </c>
    </row>
    <row r="1321" ht="12.75" customHeight="1"/>
    <row r="1322" ht="12.75" customHeight="1">
      <c r="A1322" s="1" t="s">
        <v>363</v>
      </c>
    </row>
    <row r="1323" ht="12.75" customHeight="1">
      <c r="A1323" s="1" t="s">
        <v>799</v>
      </c>
    </row>
    <row r="1324" ht="12.75" customHeight="1">
      <c r="A1324" s="1" t="s">
        <v>800</v>
      </c>
    </row>
    <row r="1325" ht="12.75" customHeight="1">
      <c r="A1325" s="1" t="s">
        <v>803</v>
      </c>
    </row>
    <row r="1326" ht="12.75" customHeight="1">
      <c r="A1326" s="1" t="s">
        <v>789</v>
      </c>
    </row>
    <row r="1327" ht="12.75" customHeight="1">
      <c r="A1327" s="1" t="s">
        <v>790</v>
      </c>
    </row>
    <row r="1328" ht="12.75" customHeight="1"/>
    <row r="1329" ht="12.75" customHeight="1">
      <c r="A1329" s="1" t="s">
        <v>360</v>
      </c>
    </row>
    <row r="1330" ht="12.75" customHeight="1">
      <c r="A1330" s="1" t="s">
        <v>791</v>
      </c>
    </row>
    <row r="1331" ht="12.75" customHeight="1">
      <c r="A1331" s="1" t="s">
        <v>792</v>
      </c>
    </row>
    <row r="1332" ht="12.75" customHeight="1">
      <c r="A1332" s="1" t="s">
        <v>793</v>
      </c>
    </row>
    <row r="1333" ht="12.75" customHeight="1">
      <c r="A1333" s="1" t="s">
        <v>794</v>
      </c>
    </row>
    <row r="1334" ht="12.75" customHeight="1"/>
    <row r="1335" ht="12.75" customHeight="1">
      <c r="A1335" s="1" t="s">
        <v>361</v>
      </c>
    </row>
    <row r="1336" ht="12.75" customHeight="1">
      <c r="A1336" s="1" t="s">
        <v>795</v>
      </c>
    </row>
    <row r="1337" ht="12.75" customHeight="1">
      <c r="A1337" s="1" t="s">
        <v>796</v>
      </c>
    </row>
    <row r="1338" ht="12.75" customHeight="1"/>
    <row r="1339" ht="12.75" customHeight="1">
      <c r="A1339" s="1" t="s">
        <v>362</v>
      </c>
    </row>
    <row r="1340" ht="12.75" customHeight="1">
      <c r="A1340" s="1" t="s">
        <v>797</v>
      </c>
    </row>
    <row r="1341" ht="12.75" customHeight="1">
      <c r="A1341" s="1" t="s">
        <v>798</v>
      </c>
    </row>
    <row r="1342" ht="12.75" customHeight="1"/>
    <row r="1343" ht="12.75" customHeight="1">
      <c r="A1343" s="1" t="s">
        <v>363</v>
      </c>
    </row>
    <row r="1344" ht="12.75" customHeight="1">
      <c r="A1344" s="1" t="s">
        <v>799</v>
      </c>
    </row>
    <row r="1345" ht="12.75" customHeight="1">
      <c r="A1345" s="1" t="s">
        <v>800</v>
      </c>
    </row>
    <row r="1346" ht="12.75" customHeight="1">
      <c r="A1346" s="1" t="s">
        <v>804</v>
      </c>
    </row>
    <row r="1347" ht="12.75" customHeight="1">
      <c r="A1347" s="1" t="s">
        <v>789</v>
      </c>
    </row>
    <row r="1348" ht="12.75" customHeight="1">
      <c r="A1348" s="1" t="s">
        <v>790</v>
      </c>
    </row>
    <row r="1349" ht="12.75" customHeight="1"/>
    <row r="1350" ht="12.75" customHeight="1">
      <c r="A1350" s="1" t="s">
        <v>360</v>
      </c>
    </row>
    <row r="1351" ht="12.75" customHeight="1">
      <c r="A1351" s="1" t="s">
        <v>791</v>
      </c>
    </row>
    <row r="1352" ht="12.75" customHeight="1">
      <c r="A1352" s="1" t="s">
        <v>792</v>
      </c>
    </row>
    <row r="1353" ht="12.75" customHeight="1">
      <c r="A1353" s="1" t="s">
        <v>793</v>
      </c>
    </row>
    <row r="1354" ht="12.75" customHeight="1">
      <c r="A1354" s="1" t="s">
        <v>794</v>
      </c>
    </row>
    <row r="1355" ht="12.75" customHeight="1"/>
    <row r="1356" ht="12.75" customHeight="1">
      <c r="A1356" s="1" t="s">
        <v>361</v>
      </c>
    </row>
    <row r="1357" ht="12.75" customHeight="1">
      <c r="A1357" s="1" t="s">
        <v>795</v>
      </c>
    </row>
    <row r="1358" ht="12.75" customHeight="1">
      <c r="A1358" s="1" t="s">
        <v>796</v>
      </c>
    </row>
    <row r="1359" ht="12.75" customHeight="1"/>
    <row r="1360" ht="12.75" customHeight="1">
      <c r="A1360" s="1" t="s">
        <v>362</v>
      </c>
    </row>
    <row r="1361" ht="12.75" customHeight="1">
      <c r="A1361" s="1" t="s">
        <v>797</v>
      </c>
    </row>
    <row r="1362" ht="12.75" customHeight="1">
      <c r="A1362" s="1" t="s">
        <v>798</v>
      </c>
    </row>
    <row r="1363" ht="12.75" customHeight="1"/>
    <row r="1364" ht="12.75" customHeight="1">
      <c r="A1364" s="1" t="s">
        <v>363</v>
      </c>
    </row>
    <row r="1365" ht="12.75" customHeight="1">
      <c r="A1365" s="1" t="s">
        <v>799</v>
      </c>
    </row>
    <row r="1366" ht="12.75" customHeight="1">
      <c r="A1366" s="1" t="s">
        <v>800</v>
      </c>
    </row>
    <row r="1367" ht="12.75" customHeight="1">
      <c r="A1367" s="1" t="s">
        <v>805</v>
      </c>
    </row>
    <row r="1368" ht="12.75" customHeight="1">
      <c r="A1368" s="1" t="s">
        <v>789</v>
      </c>
    </row>
    <row r="1369" ht="12.75" customHeight="1">
      <c r="A1369" s="1" t="s">
        <v>790</v>
      </c>
    </row>
    <row r="1370" ht="12.75" customHeight="1"/>
    <row r="1371" ht="12.75" customHeight="1">
      <c r="A1371" s="1" t="s">
        <v>360</v>
      </c>
    </row>
    <row r="1372" ht="12.75" customHeight="1">
      <c r="A1372" s="1" t="s">
        <v>791</v>
      </c>
    </row>
    <row r="1373" ht="12.75" customHeight="1">
      <c r="A1373" s="1" t="s">
        <v>792</v>
      </c>
    </row>
    <row r="1374" ht="12.75" customHeight="1">
      <c r="A1374" s="1" t="s">
        <v>793</v>
      </c>
    </row>
    <row r="1375" ht="12.75" customHeight="1">
      <c r="A1375" s="1" t="s">
        <v>794</v>
      </c>
    </row>
    <row r="1376" ht="12.75" customHeight="1"/>
    <row r="1377" ht="12.75" customHeight="1">
      <c r="A1377" s="1" t="s">
        <v>361</v>
      </c>
    </row>
    <row r="1378" ht="12.75" customHeight="1">
      <c r="A1378" s="1" t="s">
        <v>795</v>
      </c>
    </row>
    <row r="1379" ht="12.75" customHeight="1">
      <c r="A1379" s="1" t="s">
        <v>796</v>
      </c>
    </row>
    <row r="1380" ht="12.75" customHeight="1"/>
    <row r="1381" ht="12.75" customHeight="1">
      <c r="A1381" s="1" t="s">
        <v>362</v>
      </c>
    </row>
    <row r="1382" ht="12.75" customHeight="1">
      <c r="A1382" s="1" t="s">
        <v>797</v>
      </c>
    </row>
    <row r="1383" ht="12.75" customHeight="1">
      <c r="A1383" s="1" t="s">
        <v>798</v>
      </c>
    </row>
    <row r="1384" ht="12.75" customHeight="1"/>
    <row r="1385" ht="12.75" customHeight="1">
      <c r="A1385" s="1" t="s">
        <v>363</v>
      </c>
    </row>
    <row r="1386" ht="12.75" customHeight="1">
      <c r="A1386" s="1" t="s">
        <v>799</v>
      </c>
    </row>
    <row r="1387" ht="12.75" customHeight="1">
      <c r="A1387" s="1" t="s">
        <v>800</v>
      </c>
    </row>
    <row r="1388" ht="12.75" customHeight="1">
      <c r="A1388" s="1" t="s">
        <v>806</v>
      </c>
    </row>
    <row r="1389" ht="12.75" customHeight="1">
      <c r="A1389" s="1" t="s">
        <v>789</v>
      </c>
    </row>
    <row r="1390" ht="12.75" customHeight="1">
      <c r="A1390" s="1" t="s">
        <v>790</v>
      </c>
    </row>
    <row r="1391" ht="12.75" customHeight="1"/>
    <row r="1392" ht="12.75" customHeight="1">
      <c r="A1392" s="1" t="s">
        <v>360</v>
      </c>
    </row>
    <row r="1393" ht="12.75" customHeight="1">
      <c r="A1393" s="1" t="s">
        <v>791</v>
      </c>
    </row>
    <row r="1394" ht="12.75" customHeight="1">
      <c r="A1394" s="1" t="s">
        <v>792</v>
      </c>
    </row>
    <row r="1395" ht="12.75" customHeight="1">
      <c r="A1395" s="1" t="s">
        <v>793</v>
      </c>
    </row>
    <row r="1396" ht="12.75" customHeight="1">
      <c r="A1396" s="1" t="s">
        <v>794</v>
      </c>
    </row>
    <row r="1397" ht="12.75" customHeight="1"/>
    <row r="1398" ht="12.75" customHeight="1">
      <c r="A1398" s="1" t="s">
        <v>361</v>
      </c>
    </row>
    <row r="1399" ht="12.75" customHeight="1">
      <c r="A1399" s="1" t="s">
        <v>795</v>
      </c>
    </row>
    <row r="1400" ht="12.75" customHeight="1">
      <c r="A1400" s="1" t="s">
        <v>796</v>
      </c>
    </row>
    <row r="1401" ht="12.75" customHeight="1"/>
    <row r="1402" ht="12.75" customHeight="1">
      <c r="A1402" s="1" t="s">
        <v>362</v>
      </c>
    </row>
    <row r="1403" ht="12.75" customHeight="1">
      <c r="A1403" s="1" t="s">
        <v>797</v>
      </c>
    </row>
    <row r="1404" ht="12.75" customHeight="1">
      <c r="A1404" s="1" t="s">
        <v>798</v>
      </c>
    </row>
    <row r="1405" ht="12.75" customHeight="1"/>
    <row r="1406" ht="12.75" customHeight="1">
      <c r="A1406" s="1" t="s">
        <v>363</v>
      </c>
    </row>
    <row r="1407" ht="12.75" customHeight="1">
      <c r="A1407" s="1" t="s">
        <v>799</v>
      </c>
    </row>
    <row r="1408" ht="12.75" customHeight="1">
      <c r="A1408" s="1" t="s">
        <v>800</v>
      </c>
    </row>
    <row r="1409" ht="12.75" customHeight="1">
      <c r="A1409" s="1" t="s">
        <v>807</v>
      </c>
    </row>
    <row r="1410" ht="12.75" customHeight="1">
      <c r="A1410" s="1" t="s">
        <v>789</v>
      </c>
    </row>
    <row r="1411" ht="12.75" customHeight="1">
      <c r="A1411" s="1" t="s">
        <v>790</v>
      </c>
    </row>
    <row r="1412" ht="12.75" customHeight="1"/>
    <row r="1413" ht="12.75" customHeight="1">
      <c r="A1413" s="1" t="s">
        <v>360</v>
      </c>
    </row>
    <row r="1414" ht="12.75" customHeight="1">
      <c r="A1414" s="1" t="s">
        <v>791</v>
      </c>
    </row>
    <row r="1415" ht="12.75" customHeight="1">
      <c r="A1415" s="1" t="s">
        <v>792</v>
      </c>
    </row>
    <row r="1416" ht="12.75" customHeight="1">
      <c r="A1416" s="1" t="s">
        <v>793</v>
      </c>
    </row>
    <row r="1417" ht="12.75" customHeight="1">
      <c r="A1417" s="1" t="s">
        <v>794</v>
      </c>
    </row>
    <row r="1418" ht="12.75" customHeight="1"/>
    <row r="1419" ht="12.75" customHeight="1">
      <c r="A1419" s="1" t="s">
        <v>361</v>
      </c>
    </row>
    <row r="1420" ht="12.75" customHeight="1">
      <c r="A1420" s="1" t="s">
        <v>795</v>
      </c>
    </row>
    <row r="1421" ht="12.75" customHeight="1">
      <c r="A1421" s="1" t="s">
        <v>796</v>
      </c>
    </row>
    <row r="1422" ht="12.75" customHeight="1"/>
    <row r="1423" ht="12.75" customHeight="1">
      <c r="A1423" s="1" t="s">
        <v>362</v>
      </c>
    </row>
    <row r="1424" ht="12.75" customHeight="1">
      <c r="A1424" s="1" t="s">
        <v>797</v>
      </c>
    </row>
    <row r="1425" ht="12.75" customHeight="1">
      <c r="A1425" s="1" t="s">
        <v>798</v>
      </c>
    </row>
    <row r="1426" ht="12.75" customHeight="1"/>
    <row r="1427" ht="12.75" customHeight="1">
      <c r="A1427" s="1" t="s">
        <v>363</v>
      </c>
    </row>
    <row r="1428" ht="12.75" customHeight="1">
      <c r="A1428" s="1" t="s">
        <v>799</v>
      </c>
    </row>
    <row r="1429" ht="12.75" customHeight="1">
      <c r="A1429" s="1" t="s">
        <v>800</v>
      </c>
    </row>
    <row r="1430" ht="12.75" customHeight="1">
      <c r="A1430" s="1" t="s">
        <v>808</v>
      </c>
    </row>
    <row r="1431" ht="12.75" customHeight="1">
      <c r="A1431" s="1" t="s">
        <v>789</v>
      </c>
    </row>
    <row r="1432" ht="12.75" customHeight="1">
      <c r="A1432" s="1" t="s">
        <v>790</v>
      </c>
    </row>
    <row r="1433" ht="12.75" customHeight="1"/>
    <row r="1434" ht="12.75" customHeight="1">
      <c r="A1434" s="1" t="s">
        <v>360</v>
      </c>
    </row>
    <row r="1435" ht="12.75" customHeight="1">
      <c r="A1435" s="1" t="s">
        <v>791</v>
      </c>
    </row>
    <row r="1436" ht="12.75" customHeight="1">
      <c r="A1436" s="1" t="s">
        <v>792</v>
      </c>
    </row>
    <row r="1437" ht="12.75" customHeight="1">
      <c r="A1437" s="1" t="s">
        <v>793</v>
      </c>
    </row>
    <row r="1438" ht="12.75" customHeight="1">
      <c r="A1438" s="1" t="s">
        <v>794</v>
      </c>
    </row>
    <row r="1439" ht="12.75" customHeight="1"/>
    <row r="1440" ht="12.75" customHeight="1">
      <c r="A1440" s="1" t="s">
        <v>361</v>
      </c>
    </row>
    <row r="1441" ht="12.75" customHeight="1">
      <c r="A1441" s="1" t="s">
        <v>795</v>
      </c>
    </row>
    <row r="1442" ht="12.75" customHeight="1">
      <c r="A1442" s="1" t="s">
        <v>796</v>
      </c>
    </row>
    <row r="1443" ht="12.75" customHeight="1"/>
    <row r="1444" ht="12.75" customHeight="1">
      <c r="A1444" s="1" t="s">
        <v>362</v>
      </c>
    </row>
    <row r="1445" ht="12.75" customHeight="1">
      <c r="A1445" s="1" t="s">
        <v>797</v>
      </c>
    </row>
    <row r="1446" ht="12.75" customHeight="1">
      <c r="A1446" s="1" t="s">
        <v>798</v>
      </c>
    </row>
    <row r="1447" ht="12.75" customHeight="1"/>
    <row r="1448" ht="12.75" customHeight="1">
      <c r="A1448" s="1" t="s">
        <v>363</v>
      </c>
    </row>
    <row r="1449" ht="12.75" customHeight="1">
      <c r="A1449" s="1" t="s">
        <v>799</v>
      </c>
    </row>
    <row r="1450" ht="12.75" customHeight="1">
      <c r="A1450" s="1" t="s">
        <v>800</v>
      </c>
    </row>
    <row r="1451" ht="12.75" customHeight="1">
      <c r="A1451" s="1" t="s">
        <v>809</v>
      </c>
    </row>
    <row r="1452" ht="12.75" customHeight="1">
      <c r="A1452" s="1" t="s">
        <v>789</v>
      </c>
    </row>
    <row r="1453" ht="12.75" customHeight="1">
      <c r="A1453" s="1" t="s">
        <v>790</v>
      </c>
    </row>
    <row r="1454" ht="12.75" customHeight="1"/>
    <row r="1455" ht="12.75" customHeight="1">
      <c r="A1455" s="1" t="s">
        <v>360</v>
      </c>
    </row>
    <row r="1456" ht="12.75" customHeight="1">
      <c r="A1456" s="1" t="s">
        <v>791</v>
      </c>
    </row>
    <row r="1457" ht="12.75" customHeight="1">
      <c r="A1457" s="1" t="s">
        <v>792</v>
      </c>
    </row>
    <row r="1458" ht="12.75" customHeight="1">
      <c r="A1458" s="1" t="s">
        <v>793</v>
      </c>
    </row>
    <row r="1459" ht="12.75" customHeight="1">
      <c r="A1459" s="1" t="s">
        <v>794</v>
      </c>
    </row>
    <row r="1460" ht="12.75" customHeight="1"/>
    <row r="1461" ht="12.75" customHeight="1">
      <c r="A1461" s="1" t="s">
        <v>361</v>
      </c>
    </row>
    <row r="1462" ht="12.75" customHeight="1">
      <c r="A1462" s="1" t="s">
        <v>795</v>
      </c>
    </row>
    <row r="1463" ht="12.75" customHeight="1">
      <c r="A1463" s="1" t="s">
        <v>796</v>
      </c>
    </row>
    <row r="1464" ht="12.75" customHeight="1"/>
    <row r="1465" ht="12.75" customHeight="1">
      <c r="A1465" s="1" t="s">
        <v>362</v>
      </c>
    </row>
    <row r="1466" ht="12.75" customHeight="1">
      <c r="A1466" s="1" t="s">
        <v>797</v>
      </c>
    </row>
    <row r="1467" ht="12.75" customHeight="1">
      <c r="A1467" s="1" t="s">
        <v>798</v>
      </c>
    </row>
    <row r="1468" ht="12.75" customHeight="1"/>
    <row r="1469" ht="12.75" customHeight="1">
      <c r="A1469" s="1" t="s">
        <v>363</v>
      </c>
    </row>
    <row r="1470" ht="12.75" customHeight="1">
      <c r="A1470" s="1" t="s">
        <v>799</v>
      </c>
    </row>
    <row r="1471" ht="12.75" customHeight="1">
      <c r="A1471" s="1" t="s">
        <v>800</v>
      </c>
    </row>
    <row r="1472" ht="12.75" customHeight="1">
      <c r="A1472" s="1" t="s">
        <v>810</v>
      </c>
    </row>
    <row r="1473" ht="12.75" customHeight="1">
      <c r="A1473" s="1" t="s">
        <v>789</v>
      </c>
    </row>
    <row r="1474" ht="12.75" customHeight="1">
      <c r="A1474" s="1" t="s">
        <v>790</v>
      </c>
    </row>
    <row r="1475" ht="12.75" customHeight="1"/>
    <row r="1476" ht="12.75" customHeight="1">
      <c r="A1476" s="1" t="s">
        <v>360</v>
      </c>
    </row>
    <row r="1477" ht="12.75" customHeight="1">
      <c r="A1477" s="1" t="s">
        <v>791</v>
      </c>
    </row>
    <row r="1478" ht="12.75" customHeight="1">
      <c r="A1478" s="1" t="s">
        <v>792</v>
      </c>
    </row>
    <row r="1479" ht="12.75" customHeight="1">
      <c r="A1479" s="1" t="s">
        <v>793</v>
      </c>
    </row>
    <row r="1480" ht="12.75" customHeight="1">
      <c r="A1480" s="1" t="s">
        <v>811</v>
      </c>
    </row>
    <row r="1481" ht="12.75" customHeight="1"/>
    <row r="1482" ht="12.75" customHeight="1">
      <c r="A1482" s="1" t="s">
        <v>361</v>
      </c>
    </row>
    <row r="1483" ht="12.75" customHeight="1">
      <c r="A1483" s="1" t="s">
        <v>812</v>
      </c>
    </row>
    <row r="1484" ht="12.75" customHeight="1">
      <c r="A1484" s="1" t="s">
        <v>796</v>
      </c>
    </row>
    <row r="1485" ht="12.75" customHeight="1"/>
    <row r="1486" ht="12.75" customHeight="1">
      <c r="A1486" s="1" t="s">
        <v>362</v>
      </c>
    </row>
    <row r="1487" ht="12.75" customHeight="1">
      <c r="A1487" s="1" t="s">
        <v>797</v>
      </c>
    </row>
    <row r="1488" ht="12.75" customHeight="1">
      <c r="A1488" s="1" t="s">
        <v>798</v>
      </c>
    </row>
    <row r="1489" ht="12.75" customHeight="1"/>
    <row r="1490" ht="12.75" customHeight="1">
      <c r="A1490" s="1" t="s">
        <v>363</v>
      </c>
    </row>
    <row r="1491" ht="12.75" customHeight="1">
      <c r="A1491" s="1" t="s">
        <v>799</v>
      </c>
    </row>
    <row r="1492" ht="12.75" customHeight="1">
      <c r="A1492" s="1" t="s">
        <v>800</v>
      </c>
    </row>
    <row r="1493" ht="12.75" customHeight="1">
      <c r="A1493" s="1" t="s">
        <v>813</v>
      </c>
    </row>
    <row r="1494" ht="12.75" customHeight="1">
      <c r="A1494" s="1" t="s">
        <v>789</v>
      </c>
    </row>
    <row r="1495" ht="12.75" customHeight="1">
      <c r="A1495" s="1" t="s">
        <v>790</v>
      </c>
    </row>
    <row r="1496" ht="12.75" customHeight="1"/>
    <row r="1497" ht="12.75" customHeight="1">
      <c r="A1497" s="1" t="s">
        <v>360</v>
      </c>
    </row>
    <row r="1498" ht="12.75" customHeight="1">
      <c r="A1498" s="1" t="s">
        <v>791</v>
      </c>
    </row>
    <row r="1499" ht="12.75" customHeight="1">
      <c r="A1499" s="1" t="s">
        <v>792</v>
      </c>
    </row>
    <row r="1500" ht="12.75" customHeight="1">
      <c r="A1500" s="1" t="s">
        <v>793</v>
      </c>
    </row>
    <row r="1501" ht="12.75" customHeight="1">
      <c r="A1501" s="1" t="s">
        <v>811</v>
      </c>
    </row>
    <row r="1502" ht="12.75" customHeight="1"/>
    <row r="1503" ht="12.75" customHeight="1">
      <c r="A1503" s="1" t="s">
        <v>361</v>
      </c>
    </row>
    <row r="1504" ht="12.75" customHeight="1">
      <c r="A1504" s="1" t="s">
        <v>812</v>
      </c>
    </row>
    <row r="1505" ht="12.75" customHeight="1">
      <c r="A1505" s="1" t="s">
        <v>796</v>
      </c>
    </row>
    <row r="1506" ht="12.75" customHeight="1"/>
    <row r="1507" ht="12.75" customHeight="1">
      <c r="A1507" s="1" t="s">
        <v>362</v>
      </c>
    </row>
    <row r="1508" ht="12.75" customHeight="1">
      <c r="A1508" s="1" t="s">
        <v>797</v>
      </c>
    </row>
    <row r="1509" ht="12.75" customHeight="1">
      <c r="A1509" s="1" t="s">
        <v>798</v>
      </c>
    </row>
    <row r="1510" ht="12.75" customHeight="1"/>
    <row r="1511" ht="12.75" customHeight="1">
      <c r="A1511" s="1" t="s">
        <v>363</v>
      </c>
    </row>
    <row r="1512" ht="12.75" customHeight="1">
      <c r="A1512" s="1" t="s">
        <v>799</v>
      </c>
    </row>
    <row r="1513" ht="12.75" customHeight="1">
      <c r="A1513" s="1" t="s">
        <v>800</v>
      </c>
    </row>
    <row r="1514" ht="12.75" customHeight="1">
      <c r="A1514" s="1" t="s">
        <v>814</v>
      </c>
    </row>
    <row r="1515" ht="12.75" customHeight="1">
      <c r="A1515" s="1" t="s">
        <v>789</v>
      </c>
    </row>
    <row r="1516" ht="12.75" customHeight="1">
      <c r="A1516" s="1" t="s">
        <v>790</v>
      </c>
    </row>
    <row r="1517" ht="12.75" customHeight="1"/>
    <row r="1518" ht="12.75" customHeight="1">
      <c r="A1518" s="1" t="s">
        <v>360</v>
      </c>
    </row>
    <row r="1519" ht="12.75" customHeight="1">
      <c r="A1519" s="1" t="s">
        <v>791</v>
      </c>
    </row>
    <row r="1520" ht="12.75" customHeight="1">
      <c r="A1520" s="1" t="s">
        <v>792</v>
      </c>
    </row>
    <row r="1521" ht="12.75" customHeight="1">
      <c r="A1521" s="1" t="s">
        <v>793</v>
      </c>
    </row>
    <row r="1522" ht="12.75" customHeight="1">
      <c r="A1522" s="1" t="s">
        <v>811</v>
      </c>
    </row>
    <row r="1523" ht="12.75" customHeight="1"/>
    <row r="1524" ht="12.75" customHeight="1">
      <c r="A1524" s="1" t="s">
        <v>361</v>
      </c>
    </row>
    <row r="1525" ht="12.75" customHeight="1">
      <c r="A1525" s="1" t="s">
        <v>812</v>
      </c>
    </row>
    <row r="1526" ht="12.75" customHeight="1">
      <c r="A1526" s="1" t="s">
        <v>796</v>
      </c>
    </row>
    <row r="1527" ht="12.75" customHeight="1"/>
    <row r="1528" ht="12.75" customHeight="1">
      <c r="A1528" s="1" t="s">
        <v>362</v>
      </c>
    </row>
    <row r="1529" ht="12.75" customHeight="1">
      <c r="A1529" s="1" t="s">
        <v>797</v>
      </c>
    </row>
    <row r="1530" ht="12.75" customHeight="1">
      <c r="A1530" s="1" t="s">
        <v>798</v>
      </c>
    </row>
    <row r="1531" ht="12.75" customHeight="1"/>
    <row r="1532" ht="12.75" customHeight="1">
      <c r="A1532" s="1" t="s">
        <v>363</v>
      </c>
    </row>
    <row r="1533" ht="12.75" customHeight="1">
      <c r="A1533" s="1" t="s">
        <v>799</v>
      </c>
    </row>
    <row r="1534" ht="12.75" customHeight="1">
      <c r="A1534" s="1" t="s">
        <v>800</v>
      </c>
    </row>
    <row r="1535" ht="12.75" customHeight="1">
      <c r="A1535" s="1" t="s">
        <v>815</v>
      </c>
    </row>
    <row r="1536" ht="12.75" customHeight="1">
      <c r="A1536" s="1" t="s">
        <v>789</v>
      </c>
    </row>
    <row r="1537" ht="12.75" customHeight="1">
      <c r="A1537" s="1" t="s">
        <v>790</v>
      </c>
    </row>
    <row r="1538" ht="12.75" customHeight="1"/>
    <row r="1539" ht="12.75" customHeight="1">
      <c r="A1539" s="1" t="s">
        <v>360</v>
      </c>
    </row>
    <row r="1540" ht="12.75" customHeight="1">
      <c r="A1540" s="1" t="s">
        <v>791</v>
      </c>
    </row>
    <row r="1541" ht="12.75" customHeight="1">
      <c r="A1541" s="1" t="s">
        <v>792</v>
      </c>
    </row>
    <row r="1542" ht="12.75" customHeight="1">
      <c r="A1542" s="1" t="s">
        <v>793</v>
      </c>
    </row>
    <row r="1543" ht="12.75" customHeight="1">
      <c r="A1543" s="1" t="s">
        <v>811</v>
      </c>
    </row>
    <row r="1544" ht="12.75" customHeight="1"/>
    <row r="1545" ht="12.75" customHeight="1">
      <c r="A1545" s="1" t="s">
        <v>361</v>
      </c>
    </row>
    <row r="1546" ht="12.75" customHeight="1">
      <c r="A1546" s="1" t="s">
        <v>812</v>
      </c>
    </row>
    <row r="1547" ht="12.75" customHeight="1">
      <c r="A1547" s="1" t="s">
        <v>796</v>
      </c>
    </row>
    <row r="1548" ht="12.75" customHeight="1"/>
    <row r="1549" ht="12.75" customHeight="1">
      <c r="A1549" s="1" t="s">
        <v>362</v>
      </c>
    </row>
    <row r="1550" ht="12.75" customHeight="1">
      <c r="A1550" s="1" t="s">
        <v>797</v>
      </c>
    </row>
    <row r="1551" ht="12.75" customHeight="1">
      <c r="A1551" s="1" t="s">
        <v>798</v>
      </c>
    </row>
    <row r="1552" ht="12.75" customHeight="1"/>
    <row r="1553" ht="12.75" customHeight="1">
      <c r="A1553" s="1" t="s">
        <v>363</v>
      </c>
    </row>
    <row r="1554" ht="12.75" customHeight="1">
      <c r="A1554" s="1" t="s">
        <v>799</v>
      </c>
    </row>
    <row r="1555" ht="12.75" customHeight="1">
      <c r="A1555" s="1" t="s">
        <v>800</v>
      </c>
    </row>
    <row r="1556" ht="12.75" customHeight="1">
      <c r="A1556" s="1" t="s">
        <v>816</v>
      </c>
    </row>
    <row r="1557" ht="12.75" customHeight="1">
      <c r="A1557" s="1" t="s">
        <v>817</v>
      </c>
    </row>
    <row r="1558" ht="12.75" customHeight="1">
      <c r="A1558" s="1" t="s">
        <v>818</v>
      </c>
    </row>
    <row r="1559" ht="12.75" customHeight="1"/>
    <row r="1560" ht="12.75" customHeight="1">
      <c r="A1560" s="1" t="s">
        <v>360</v>
      </c>
    </row>
    <row r="1561" ht="12.75" customHeight="1">
      <c r="A1561" s="1" t="s">
        <v>819</v>
      </c>
    </row>
    <row r="1562" ht="12.75" customHeight="1">
      <c r="A1562" s="1" t="s">
        <v>820</v>
      </c>
    </row>
    <row r="1563" ht="12.75" customHeight="1">
      <c r="A1563" s="1" t="s">
        <v>660</v>
      </c>
    </row>
    <row r="1564" ht="12.75" customHeight="1">
      <c r="A1564" s="1" t="s">
        <v>821</v>
      </c>
    </row>
    <row r="1565" ht="12.75" customHeight="1"/>
    <row r="1566" ht="12.75" customHeight="1">
      <c r="A1566" s="1" t="s">
        <v>361</v>
      </c>
    </row>
    <row r="1567" ht="12.75" customHeight="1">
      <c r="A1567" s="1" t="s">
        <v>822</v>
      </c>
    </row>
    <row r="1568" ht="12.75" customHeight="1">
      <c r="A1568" s="1" t="s">
        <v>823</v>
      </c>
    </row>
    <row r="1569" ht="12.75" customHeight="1"/>
    <row r="1570" ht="12.75" customHeight="1">
      <c r="A1570" s="1" t="s">
        <v>362</v>
      </c>
    </row>
    <row r="1571" ht="12.75" customHeight="1">
      <c r="A1571" s="1" t="s">
        <v>824</v>
      </c>
    </row>
    <row r="1572" ht="12.75" customHeight="1">
      <c r="A1572" s="1" t="s">
        <v>825</v>
      </c>
    </row>
    <row r="1573" ht="12.75" customHeight="1"/>
    <row r="1574" ht="12.75" customHeight="1">
      <c r="A1574" s="1" t="s">
        <v>363</v>
      </c>
    </row>
    <row r="1575" ht="12.75" customHeight="1">
      <c r="A1575" s="1" t="s">
        <v>826</v>
      </c>
    </row>
    <row r="1576" ht="12.75" customHeight="1">
      <c r="A1576" s="1" t="s">
        <v>827</v>
      </c>
    </row>
    <row r="1577" ht="12.75" customHeight="1">
      <c r="A1577" s="1" t="s">
        <v>770</v>
      </c>
    </row>
    <row r="1578" ht="12.75" customHeight="1">
      <c r="A1578" s="1" t="s">
        <v>828</v>
      </c>
    </row>
    <row r="1579" ht="12.75" customHeight="1">
      <c r="A1579" s="1" t="s">
        <v>829</v>
      </c>
    </row>
    <row r="1580" ht="12.75" customHeight="1">
      <c r="A1580" s="1" t="s">
        <v>830</v>
      </c>
    </row>
    <row r="1581" ht="12.75" customHeight="1">
      <c r="A1581" s="1" t="s">
        <v>576</v>
      </c>
    </row>
    <row r="1582" ht="12.75" customHeight="1">
      <c r="A1582" s="1" t="s">
        <v>577</v>
      </c>
    </row>
    <row r="1583" ht="12.75" customHeight="1">
      <c r="A1583" s="1" t="s">
        <v>578</v>
      </c>
    </row>
    <row r="1584" ht="12.75" customHeight="1">
      <c r="A1584" s="1" t="s">
        <v>831</v>
      </c>
    </row>
    <row r="1585" ht="12.75" customHeight="1">
      <c r="A1585" s="1" t="s">
        <v>417</v>
      </c>
    </row>
    <row r="1586" ht="12.75" customHeight="1">
      <c r="A1586" s="1" t="s">
        <v>418</v>
      </c>
    </row>
    <row r="1587" ht="12.75" customHeight="1"/>
    <row r="1588" ht="12.75" customHeight="1">
      <c r="A1588" s="1" t="s">
        <v>419</v>
      </c>
    </row>
    <row r="1589" ht="12.75" customHeight="1">
      <c r="A1589" s="1" t="s">
        <v>420</v>
      </c>
    </row>
    <row r="1590" ht="12.75" customHeight="1">
      <c r="A1590" s="1" t="s">
        <v>421</v>
      </c>
    </row>
    <row r="1591" ht="12.75" customHeight="1">
      <c r="A1591" s="1" t="s">
        <v>420</v>
      </c>
    </row>
    <row r="1592" ht="12.75" customHeight="1"/>
    <row r="1593" ht="12.75" customHeight="1">
      <c r="A1593" s="1" t="s">
        <v>423</v>
      </c>
    </row>
    <row r="1594" ht="12.75" customHeight="1">
      <c r="A1594" s="1" t="s">
        <v>424</v>
      </c>
    </row>
    <row r="1595" ht="12.75" customHeight="1">
      <c r="A1595" s="1" t="s">
        <v>424</v>
      </c>
    </row>
    <row r="1596" ht="12.75" customHeight="1">
      <c r="A1596" s="1" t="s">
        <v>426</v>
      </c>
    </row>
    <row r="1597" ht="12.75" customHeight="1">
      <c r="A1597" s="1" t="s">
        <v>774</v>
      </c>
    </row>
    <row r="1598" ht="12.75" customHeight="1">
      <c r="A1598" s="1" t="s">
        <v>428</v>
      </c>
    </row>
    <row r="1599" ht="12.75" customHeight="1">
      <c r="A1599" s="1" t="s">
        <v>832</v>
      </c>
    </row>
    <row r="1600" ht="12.75" customHeight="1">
      <c r="A1600" s="1" t="s">
        <v>817</v>
      </c>
    </row>
    <row r="1601" ht="12.75" customHeight="1">
      <c r="A1601" s="1" t="s">
        <v>833</v>
      </c>
    </row>
    <row r="1602" ht="12.75" customHeight="1"/>
    <row r="1603" ht="12.75" customHeight="1">
      <c r="A1603" s="1" t="s">
        <v>360</v>
      </c>
    </row>
    <row r="1604" ht="12.75" customHeight="1">
      <c r="A1604" s="1" t="s">
        <v>834</v>
      </c>
    </row>
    <row r="1605" ht="12.75" customHeight="1">
      <c r="A1605" s="1" t="s">
        <v>835</v>
      </c>
    </row>
    <row r="1606" ht="12.75" customHeight="1">
      <c r="A1606" s="1" t="s">
        <v>819</v>
      </c>
    </row>
    <row r="1607" ht="12.75" customHeight="1">
      <c r="A1607" s="1" t="s">
        <v>821</v>
      </c>
    </row>
    <row r="1608" ht="12.75" customHeight="1"/>
    <row r="1609" ht="12.75" customHeight="1">
      <c r="A1609" s="1" t="s">
        <v>361</v>
      </c>
    </row>
    <row r="1610" ht="12.75" customHeight="1">
      <c r="A1610" s="1" t="s">
        <v>646</v>
      </c>
    </row>
    <row r="1611" ht="12.75" customHeight="1">
      <c r="A1611" s="1" t="s">
        <v>727</v>
      </c>
    </row>
    <row r="1612" ht="12.75" customHeight="1"/>
    <row r="1613" ht="12.75" customHeight="1">
      <c r="A1613" s="1" t="s">
        <v>362</v>
      </c>
    </row>
    <row r="1614" ht="12.75" customHeight="1">
      <c r="A1614" s="1" t="s">
        <v>652</v>
      </c>
    </row>
    <row r="1615" ht="12.75" customHeight="1">
      <c r="A1615" s="1" t="s">
        <v>825</v>
      </c>
    </row>
    <row r="1616" ht="12.75" customHeight="1"/>
    <row r="1617" ht="12.75" customHeight="1">
      <c r="A1617" s="1" t="s">
        <v>363</v>
      </c>
    </row>
    <row r="1618" ht="12.75" customHeight="1">
      <c r="A1618" s="1" t="s">
        <v>652</v>
      </c>
    </row>
    <row r="1619" ht="12.75" customHeight="1">
      <c r="A1619" s="1" t="s">
        <v>827</v>
      </c>
    </row>
    <row r="1620" ht="12.75" customHeight="1">
      <c r="A1620" s="1" t="s">
        <v>770</v>
      </c>
    </row>
    <row r="1621" ht="12.75" customHeight="1">
      <c r="A1621" s="1" t="s">
        <v>828</v>
      </c>
    </row>
    <row r="1622" ht="12.75" customHeight="1">
      <c r="A1622" s="1" t="s">
        <v>829</v>
      </c>
    </row>
    <row r="1623" ht="12.75" customHeight="1">
      <c r="A1623" s="1" t="s">
        <v>836</v>
      </c>
    </row>
    <row r="1624" ht="12.75" customHeight="1">
      <c r="A1624" s="1" t="s">
        <v>417</v>
      </c>
    </row>
    <row r="1625" ht="12.75" customHeight="1">
      <c r="A1625" s="1" t="s">
        <v>418</v>
      </c>
    </row>
    <row r="1626" ht="12.75" customHeight="1"/>
    <row r="1627" ht="12.75" customHeight="1">
      <c r="A1627" s="1" t="s">
        <v>419</v>
      </c>
    </row>
    <row r="1628" ht="12.75" customHeight="1">
      <c r="A1628" s="1" t="s">
        <v>420</v>
      </c>
    </row>
    <row r="1629" ht="12.75" customHeight="1">
      <c r="A1629" s="1" t="s">
        <v>421</v>
      </c>
    </row>
    <row r="1630" ht="12.75" customHeight="1">
      <c r="A1630" s="1" t="s">
        <v>420</v>
      </c>
    </row>
    <row r="1631" ht="12.75" customHeight="1"/>
    <row r="1632" ht="12.75" customHeight="1">
      <c r="A1632" s="1" t="s">
        <v>423</v>
      </c>
    </row>
    <row r="1633" ht="12.75" customHeight="1">
      <c r="A1633" s="1" t="s">
        <v>424</v>
      </c>
    </row>
    <row r="1634" ht="12.75" customHeight="1">
      <c r="A1634" s="1" t="s">
        <v>424</v>
      </c>
    </row>
    <row r="1635" ht="12.75" customHeight="1">
      <c r="A1635" s="1" t="s">
        <v>426</v>
      </c>
    </row>
    <row r="1636" ht="12.75" customHeight="1">
      <c r="A1636" s="1" t="s">
        <v>774</v>
      </c>
    </row>
    <row r="1637" ht="12.75" customHeight="1">
      <c r="A1637" s="1" t="s">
        <v>428</v>
      </c>
    </row>
    <row r="1638" ht="12.75" customHeight="1">
      <c r="A1638" s="1" t="s">
        <v>837</v>
      </c>
    </row>
    <row r="1639" ht="12.75" customHeight="1">
      <c r="A1639" s="1" t="s">
        <v>838</v>
      </c>
    </row>
    <row r="1640" ht="12.75" customHeight="1">
      <c r="A1640" s="1" t="s">
        <v>723</v>
      </c>
    </row>
    <row r="1641" ht="12.75" customHeight="1"/>
    <row r="1642" ht="12.75" customHeight="1">
      <c r="A1642" s="1" t="s">
        <v>360</v>
      </c>
    </row>
    <row r="1643" ht="12.75" customHeight="1">
      <c r="A1643" s="1" t="s">
        <v>839</v>
      </c>
    </row>
    <row r="1644" ht="12.75" customHeight="1">
      <c r="A1644" s="1" t="s">
        <v>840</v>
      </c>
    </row>
    <row r="1645" ht="12.75" customHeight="1">
      <c r="A1645" s="1" t="s">
        <v>819</v>
      </c>
    </row>
    <row r="1646" ht="12.75" customHeight="1">
      <c r="A1646" s="1" t="s">
        <v>821</v>
      </c>
    </row>
    <row r="1647" ht="12.75" customHeight="1"/>
    <row r="1648" ht="12.75" customHeight="1">
      <c r="A1648" s="1" t="s">
        <v>361</v>
      </c>
    </row>
    <row r="1649" ht="12.75" customHeight="1">
      <c r="A1649" s="1" t="s">
        <v>841</v>
      </c>
    </row>
    <row r="1650" ht="12.75" customHeight="1">
      <c r="A1650" s="1" t="s">
        <v>727</v>
      </c>
    </row>
    <row r="1651" ht="12.75" customHeight="1"/>
    <row r="1652" ht="12.75" customHeight="1">
      <c r="A1652" s="1" t="s">
        <v>362</v>
      </c>
    </row>
    <row r="1653" ht="12.75" customHeight="1">
      <c r="A1653" s="1" t="s">
        <v>842</v>
      </c>
    </row>
    <row r="1654" ht="12.75" customHeight="1">
      <c r="A1654" s="1" t="s">
        <v>825</v>
      </c>
    </row>
    <row r="1655" ht="12.75" customHeight="1"/>
    <row r="1656" ht="12.75" customHeight="1">
      <c r="A1656" s="1" t="s">
        <v>363</v>
      </c>
    </row>
    <row r="1657" ht="12.75" customHeight="1">
      <c r="A1657" s="1" t="s">
        <v>843</v>
      </c>
    </row>
    <row r="1658" ht="12.75" customHeight="1">
      <c r="A1658" s="1" t="s">
        <v>844</v>
      </c>
    </row>
    <row r="1659" ht="12.75" customHeight="1">
      <c r="A1659" s="1" t="s">
        <v>732</v>
      </c>
    </row>
    <row r="1660" ht="12.75" customHeight="1">
      <c r="A1660" s="1" t="s">
        <v>733</v>
      </c>
    </row>
    <row r="1661" ht="12.75" customHeight="1">
      <c r="A1661" s="1" t="s">
        <v>734</v>
      </c>
    </row>
    <row r="1662" ht="12.75" customHeight="1">
      <c r="A1662" s="1" t="s">
        <v>735</v>
      </c>
    </row>
    <row r="1663" ht="12.75" customHeight="1">
      <c r="A1663" s="1" t="s">
        <v>417</v>
      </c>
    </row>
    <row r="1664" ht="12.75" customHeight="1">
      <c r="A1664" s="1" t="s">
        <v>418</v>
      </c>
    </row>
    <row r="1665" ht="12.75" customHeight="1"/>
    <row r="1666" ht="12.75" customHeight="1">
      <c r="A1666" s="1" t="s">
        <v>419</v>
      </c>
    </row>
    <row r="1667" ht="12.75" customHeight="1">
      <c r="A1667" s="1" t="s">
        <v>737</v>
      </c>
    </row>
    <row r="1668" ht="12.75" customHeight="1">
      <c r="A1668" s="1" t="s">
        <v>421</v>
      </c>
    </row>
    <row r="1669" ht="12.75" customHeight="1">
      <c r="A1669" s="1" t="s">
        <v>736</v>
      </c>
    </row>
    <row r="1670" ht="12.75" customHeight="1"/>
    <row r="1671" ht="12.75" customHeight="1">
      <c r="A1671" s="1" t="s">
        <v>423</v>
      </c>
    </row>
    <row r="1672" ht="12.75" customHeight="1">
      <c r="A1672" s="1" t="s">
        <v>757</v>
      </c>
    </row>
    <row r="1673" ht="12.75" customHeight="1">
      <c r="A1673" s="1" t="s">
        <v>758</v>
      </c>
    </row>
    <row r="1674" ht="12.75" customHeight="1">
      <c r="A1674" s="1" t="s">
        <v>426</v>
      </c>
    </row>
    <row r="1675" ht="12.75" customHeight="1">
      <c r="A1675" s="1" t="s">
        <v>740</v>
      </c>
    </row>
    <row r="1676" ht="12.75" customHeight="1">
      <c r="A1676" s="1" t="s">
        <v>428</v>
      </c>
    </row>
    <row r="1677" ht="12.75" customHeight="1">
      <c r="A1677" s="1" t="s">
        <v>845</v>
      </c>
    </row>
    <row r="1678" ht="12.75" customHeight="1">
      <c r="A1678" s="1" t="s">
        <v>846</v>
      </c>
    </row>
    <row r="1679" ht="12.75" customHeight="1">
      <c r="A1679" s="1" t="s">
        <v>847</v>
      </c>
    </row>
    <row r="1680" ht="12.75" customHeight="1"/>
    <row r="1681" ht="12.75" customHeight="1">
      <c r="A1681" s="1" t="s">
        <v>360</v>
      </c>
    </row>
    <row r="1682" ht="12.75" customHeight="1">
      <c r="A1682" s="1" t="s">
        <v>848</v>
      </c>
    </row>
    <row r="1683" ht="12.75" customHeight="1">
      <c r="A1683" s="1" t="s">
        <v>840</v>
      </c>
    </row>
    <row r="1684" ht="12.75" customHeight="1">
      <c r="A1684" s="1" t="s">
        <v>849</v>
      </c>
    </row>
    <row r="1685" ht="12.75" customHeight="1">
      <c r="A1685" s="1" t="s">
        <v>821</v>
      </c>
    </row>
    <row r="1686" ht="12.75" customHeight="1"/>
    <row r="1687" ht="12.75" customHeight="1">
      <c r="A1687" s="1" t="s">
        <v>361</v>
      </c>
    </row>
    <row r="1688" ht="12.75" customHeight="1">
      <c r="A1688" s="1" t="s">
        <v>724</v>
      </c>
    </row>
    <row r="1689" ht="12.75" customHeight="1">
      <c r="A1689" s="1" t="s">
        <v>727</v>
      </c>
    </row>
    <row r="1690" ht="12.75" customHeight="1"/>
    <row r="1691" ht="12.75" customHeight="1">
      <c r="A1691" s="1" t="s">
        <v>362</v>
      </c>
    </row>
    <row r="1692" ht="12.75" customHeight="1">
      <c r="A1692" s="1" t="s">
        <v>850</v>
      </c>
    </row>
    <row r="1693" ht="12.75" customHeight="1">
      <c r="A1693" s="1" t="s">
        <v>825</v>
      </c>
    </row>
    <row r="1694" ht="12.75" customHeight="1"/>
    <row r="1695" ht="12.75" customHeight="1">
      <c r="A1695" s="1" t="s">
        <v>363</v>
      </c>
    </row>
    <row r="1696" ht="12.75" customHeight="1">
      <c r="A1696" s="1" t="s">
        <v>851</v>
      </c>
    </row>
    <row r="1697" ht="12.75" customHeight="1">
      <c r="A1697" s="1" t="s">
        <v>827</v>
      </c>
    </row>
    <row r="1698" ht="12.75" customHeight="1">
      <c r="A1698" s="1" t="s">
        <v>770</v>
      </c>
    </row>
    <row r="1699" ht="12.75" customHeight="1">
      <c r="A1699" s="1" t="s">
        <v>828</v>
      </c>
    </row>
    <row r="1700" ht="12.75" customHeight="1">
      <c r="A1700" s="1" t="s">
        <v>829</v>
      </c>
    </row>
    <row r="1701" ht="12.75" customHeight="1">
      <c r="A1701" s="1" t="s">
        <v>836</v>
      </c>
    </row>
    <row r="1702" ht="12.75" customHeight="1">
      <c r="A1702" s="1" t="s">
        <v>417</v>
      </c>
    </row>
    <row r="1703" ht="12.75" customHeight="1">
      <c r="A1703" s="1" t="s">
        <v>418</v>
      </c>
    </row>
    <row r="1704" ht="12.75" customHeight="1"/>
    <row r="1705" ht="12.75" customHeight="1">
      <c r="A1705" s="1" t="s">
        <v>419</v>
      </c>
    </row>
    <row r="1706" ht="12.75" customHeight="1">
      <c r="A1706" s="1" t="s">
        <v>420</v>
      </c>
    </row>
    <row r="1707" ht="12.75" customHeight="1">
      <c r="A1707" s="1" t="s">
        <v>421</v>
      </c>
    </row>
    <row r="1708" ht="12.75" customHeight="1">
      <c r="A1708" s="1" t="s">
        <v>420</v>
      </c>
    </row>
    <row r="1709" ht="12.75" customHeight="1"/>
    <row r="1710" ht="12.75" customHeight="1">
      <c r="A1710" s="1" t="s">
        <v>423</v>
      </c>
    </row>
    <row r="1711" ht="12.75" customHeight="1">
      <c r="A1711" s="1" t="s">
        <v>424</v>
      </c>
    </row>
    <row r="1712" ht="12.75" customHeight="1">
      <c r="A1712" s="1" t="s">
        <v>424</v>
      </c>
    </row>
    <row r="1713" ht="12.75" customHeight="1">
      <c r="A1713" s="1" t="s">
        <v>426</v>
      </c>
    </row>
    <row r="1714" ht="12.75" customHeight="1">
      <c r="A1714" s="1" t="s">
        <v>774</v>
      </c>
    </row>
    <row r="1715" ht="12.75" customHeight="1">
      <c r="A1715" s="1" t="s">
        <v>428</v>
      </c>
    </row>
    <row r="1716" ht="12.75" customHeight="1">
      <c r="A1716" s="1" t="s">
        <v>852</v>
      </c>
    </row>
    <row r="1717" ht="12.75" customHeight="1">
      <c r="A1717" s="1" t="s">
        <v>853</v>
      </c>
    </row>
    <row r="1718" ht="12.75" customHeight="1">
      <c r="A1718" s="1" t="s">
        <v>854</v>
      </c>
    </row>
    <row r="1719" ht="12.75" customHeight="1"/>
    <row r="1720" ht="12.75" customHeight="1">
      <c r="A1720" s="1" t="s">
        <v>360</v>
      </c>
    </row>
    <row r="1721" ht="12.75" customHeight="1">
      <c r="A1721" s="1" t="s">
        <v>855</v>
      </c>
    </row>
    <row r="1722" ht="12.75" customHeight="1">
      <c r="A1722" s="1" t="s">
        <v>855</v>
      </c>
    </row>
    <row r="1723" ht="12.75" customHeight="1">
      <c r="A1723" s="1" t="s">
        <v>856</v>
      </c>
    </row>
    <row r="1724" ht="12.75" customHeight="1">
      <c r="A1724" s="1" t="s">
        <v>856</v>
      </c>
    </row>
    <row r="1725" ht="12.75" customHeight="1"/>
    <row r="1726" ht="12.75" customHeight="1">
      <c r="A1726" s="1" t="s">
        <v>361</v>
      </c>
    </row>
    <row r="1727" ht="12.75" customHeight="1">
      <c r="A1727" s="1" t="s">
        <v>857</v>
      </c>
    </row>
    <row r="1728" ht="12.75" customHeight="1">
      <c r="A1728" s="1" t="s">
        <v>858</v>
      </c>
    </row>
    <row r="1729" ht="12.75" customHeight="1"/>
    <row r="1730" ht="12.75" customHeight="1">
      <c r="A1730" s="1" t="s">
        <v>362</v>
      </c>
    </row>
    <row r="1731" ht="12.75" customHeight="1">
      <c r="A1731" s="1" t="s">
        <v>857</v>
      </c>
    </row>
    <row r="1732" ht="12.75" customHeight="1">
      <c r="A1732" s="1" t="s">
        <v>858</v>
      </c>
    </row>
    <row r="1733" ht="12.75" customHeight="1"/>
    <row r="1734" ht="12.75" customHeight="1">
      <c r="A1734" s="1" t="s">
        <v>363</v>
      </c>
    </row>
    <row r="1735" ht="12.75" customHeight="1">
      <c r="A1735" s="1" t="s">
        <v>859</v>
      </c>
    </row>
    <row r="1736" ht="12.75" customHeight="1">
      <c r="A1736" s="1" t="s">
        <v>860</v>
      </c>
    </row>
    <row r="1737" ht="12.75" customHeight="1">
      <c r="A1737" s="1" t="s">
        <v>861</v>
      </c>
    </row>
    <row r="1738" ht="12.75" customHeight="1">
      <c r="A1738" s="1" t="s">
        <v>862</v>
      </c>
    </row>
    <row r="1739" ht="12.75" customHeight="1">
      <c r="A1739" s="1" t="s">
        <v>828</v>
      </c>
    </row>
    <row r="1740" ht="12.75" customHeight="1">
      <c r="A1740" s="1" t="s">
        <v>829</v>
      </c>
    </row>
    <row r="1741" ht="12.75" customHeight="1">
      <c r="A1741" s="1" t="s">
        <v>836</v>
      </c>
    </row>
    <row r="1742" ht="12.75" customHeight="1">
      <c r="A1742" s="1" t="s">
        <v>417</v>
      </c>
    </row>
    <row r="1743" ht="12.75" customHeight="1">
      <c r="A1743" s="1" t="s">
        <v>418</v>
      </c>
    </row>
    <row r="1744" ht="12.75" customHeight="1"/>
    <row r="1745" ht="12.75" customHeight="1">
      <c r="A1745" s="1" t="s">
        <v>419</v>
      </c>
    </row>
    <row r="1746" ht="12.75" customHeight="1">
      <c r="A1746" s="1" t="s">
        <v>420</v>
      </c>
    </row>
    <row r="1747" ht="12.75" customHeight="1">
      <c r="A1747" s="1" t="s">
        <v>421</v>
      </c>
    </row>
    <row r="1748" ht="12.75" customHeight="1">
      <c r="A1748" s="1" t="s">
        <v>420</v>
      </c>
    </row>
    <row r="1749" ht="12.75" customHeight="1"/>
    <row r="1750" ht="12.75" customHeight="1">
      <c r="A1750" s="1" t="s">
        <v>423</v>
      </c>
    </row>
    <row r="1751" ht="12.75" customHeight="1">
      <c r="A1751" s="1" t="s">
        <v>424</v>
      </c>
    </row>
    <row r="1752" ht="12.75" customHeight="1">
      <c r="A1752" s="1" t="s">
        <v>863</v>
      </c>
    </row>
    <row r="1753" ht="12.75" customHeight="1">
      <c r="A1753" s="1" t="s">
        <v>426</v>
      </c>
    </row>
    <row r="1754" ht="12.75" customHeight="1">
      <c r="A1754" s="1" t="s">
        <v>774</v>
      </c>
    </row>
    <row r="1755" ht="12.75" customHeight="1">
      <c r="A1755" s="1" t="s">
        <v>428</v>
      </c>
    </row>
    <row r="1756" ht="12.75" customHeight="1">
      <c r="A1756" s="1" t="s">
        <v>864</v>
      </c>
    </row>
    <row r="1757" ht="12.75" customHeight="1">
      <c r="A1757" s="1" t="s">
        <v>862</v>
      </c>
    </row>
    <row r="1758" ht="12.75" customHeight="1">
      <c r="A1758" s="1" t="s">
        <v>828</v>
      </c>
    </row>
    <row r="1759" ht="12.75" customHeight="1">
      <c r="A1759" s="1" t="s">
        <v>829</v>
      </c>
    </row>
    <row r="1760" ht="12.75" customHeight="1">
      <c r="A1760" s="1" t="s">
        <v>836</v>
      </c>
    </row>
    <row r="1761" ht="12.75" customHeight="1">
      <c r="A1761" s="1" t="s">
        <v>417</v>
      </c>
    </row>
    <row r="1762" ht="12.75" customHeight="1">
      <c r="A1762" s="1" t="s">
        <v>418</v>
      </c>
    </row>
    <row r="1763" ht="12.75" customHeight="1"/>
    <row r="1764" ht="12.75" customHeight="1">
      <c r="A1764" s="1" t="s">
        <v>419</v>
      </c>
    </row>
    <row r="1765" ht="12.75" customHeight="1">
      <c r="A1765" s="1" t="s">
        <v>420</v>
      </c>
    </row>
    <row r="1766" ht="12.75" customHeight="1">
      <c r="A1766" s="1" t="s">
        <v>421</v>
      </c>
    </row>
    <row r="1767" ht="12.75" customHeight="1">
      <c r="A1767" s="1" t="s">
        <v>420</v>
      </c>
    </row>
    <row r="1768" ht="12.75" customHeight="1"/>
    <row r="1769" ht="12.75" customHeight="1">
      <c r="A1769" s="1" t="s">
        <v>423</v>
      </c>
    </row>
    <row r="1770" ht="12.75" customHeight="1">
      <c r="A1770" s="1" t="s">
        <v>424</v>
      </c>
    </row>
    <row r="1771" ht="12.75" customHeight="1">
      <c r="A1771" s="1" t="s">
        <v>863</v>
      </c>
    </row>
    <row r="1772" ht="12.75" customHeight="1">
      <c r="A1772" s="1" t="s">
        <v>426</v>
      </c>
    </row>
    <row r="1773" ht="12.75" customHeight="1">
      <c r="A1773" s="1" t="s">
        <v>774</v>
      </c>
    </row>
    <row r="1774" ht="12.75" customHeight="1">
      <c r="A1774" s="1" t="s">
        <v>428</v>
      </c>
    </row>
    <row r="1775" ht="12.75" customHeight="1">
      <c r="A1775" s="1" t="s">
        <v>865</v>
      </c>
    </row>
    <row r="1776" ht="12.75" customHeight="1">
      <c r="A1776" s="1" t="s">
        <v>866</v>
      </c>
    </row>
    <row r="1777" ht="12.75" customHeight="1">
      <c r="A1777" s="1" t="s">
        <v>867</v>
      </c>
    </row>
    <row r="1778" ht="12.75" customHeight="1"/>
    <row r="1779" ht="12.75" customHeight="1">
      <c r="A1779" s="1" t="s">
        <v>360</v>
      </c>
    </row>
    <row r="1780" ht="12.75" customHeight="1">
      <c r="A1780" s="1" t="s">
        <v>868</v>
      </c>
    </row>
    <row r="1781" ht="12.75" customHeight="1">
      <c r="A1781" s="1" t="s">
        <v>869</v>
      </c>
    </row>
    <row r="1782" ht="12.75" customHeight="1">
      <c r="A1782" s="1" t="s">
        <v>870</v>
      </c>
    </row>
    <row r="1783" ht="12.75" customHeight="1">
      <c r="A1783" s="1" t="s">
        <v>871</v>
      </c>
    </row>
    <row r="1784" ht="12.75" customHeight="1"/>
    <row r="1785" ht="12.75" customHeight="1">
      <c r="A1785" s="1" t="s">
        <v>361</v>
      </c>
    </row>
    <row r="1786" ht="12.75" customHeight="1">
      <c r="A1786" s="1" t="s">
        <v>872</v>
      </c>
    </row>
    <row r="1787" ht="12.75" customHeight="1">
      <c r="A1787" s="1" t="s">
        <v>749</v>
      </c>
    </row>
    <row r="1788" ht="12.75" customHeight="1"/>
    <row r="1789" ht="12.75" customHeight="1">
      <c r="A1789" s="1" t="s">
        <v>362</v>
      </c>
    </row>
    <row r="1790" ht="12.75" customHeight="1">
      <c r="A1790" s="1" t="s">
        <v>873</v>
      </c>
    </row>
    <row r="1791" ht="12.75" customHeight="1">
      <c r="A1791" s="1" t="s">
        <v>874</v>
      </c>
    </row>
    <row r="1792" ht="12.75" customHeight="1"/>
    <row r="1793" ht="12.75" customHeight="1">
      <c r="A1793" s="1" t="s">
        <v>363</v>
      </c>
    </row>
    <row r="1794" ht="12.75" customHeight="1">
      <c r="A1794" s="1" t="s">
        <v>873</v>
      </c>
    </row>
    <row r="1795" ht="12.75" customHeight="1">
      <c r="A1795" s="1" t="s">
        <v>875</v>
      </c>
    </row>
    <row r="1796" ht="12.75" customHeight="1">
      <c r="A1796" s="1" t="s">
        <v>862</v>
      </c>
    </row>
    <row r="1797" ht="12.75" customHeight="1">
      <c r="A1797" s="1" t="s">
        <v>828</v>
      </c>
    </row>
    <row r="1798" ht="12.75" customHeight="1">
      <c r="A1798" s="1" t="s">
        <v>829</v>
      </c>
    </row>
    <row r="1799" ht="12.75" customHeight="1">
      <c r="A1799" s="1" t="s">
        <v>836</v>
      </c>
    </row>
    <row r="1800" ht="12.75" customHeight="1">
      <c r="A1800" s="1" t="s">
        <v>417</v>
      </c>
    </row>
    <row r="1801" ht="12.75" customHeight="1">
      <c r="A1801" s="1" t="s">
        <v>418</v>
      </c>
    </row>
    <row r="1802" ht="12.75" customHeight="1"/>
    <row r="1803" ht="12.75" customHeight="1">
      <c r="A1803" s="1" t="s">
        <v>419</v>
      </c>
    </row>
    <row r="1804" ht="12.75" customHeight="1">
      <c r="A1804" s="1" t="s">
        <v>420</v>
      </c>
    </row>
    <row r="1805" ht="12.75" customHeight="1">
      <c r="A1805" s="1" t="s">
        <v>421</v>
      </c>
    </row>
    <row r="1806" ht="12.75" customHeight="1">
      <c r="A1806" s="1" t="s">
        <v>420</v>
      </c>
    </row>
    <row r="1807" ht="12.75" customHeight="1"/>
    <row r="1808" ht="12.75" customHeight="1">
      <c r="A1808" s="1" t="s">
        <v>423</v>
      </c>
    </row>
    <row r="1809" ht="12.75" customHeight="1">
      <c r="A1809" s="1" t="s">
        <v>424</v>
      </c>
    </row>
    <row r="1810" ht="12.75" customHeight="1">
      <c r="A1810" s="1" t="s">
        <v>863</v>
      </c>
    </row>
    <row r="1811" ht="12.75" customHeight="1">
      <c r="A1811" s="1" t="s">
        <v>426</v>
      </c>
    </row>
    <row r="1812" ht="12.75" customHeight="1">
      <c r="A1812" s="1" t="s">
        <v>774</v>
      </c>
    </row>
    <row r="1813" ht="12.75" customHeight="1">
      <c r="A1813" s="1" t="s">
        <v>428</v>
      </c>
    </row>
    <row r="1814" ht="12.75" customHeight="1">
      <c r="A1814" s="1" t="s">
        <v>876</v>
      </c>
    </row>
    <row r="1815" ht="12.75" customHeight="1">
      <c r="A1815" s="1" t="s">
        <v>877</v>
      </c>
    </row>
    <row r="1816" ht="12.75" customHeight="1">
      <c r="A1816" s="1" t="s">
        <v>878</v>
      </c>
    </row>
    <row r="1817" ht="12.75" customHeight="1"/>
    <row r="1818" ht="12.75" customHeight="1">
      <c r="A1818" s="1" t="s">
        <v>360</v>
      </c>
    </row>
    <row r="1819" ht="12.75" customHeight="1">
      <c r="A1819" s="1" t="s">
        <v>879</v>
      </c>
    </row>
    <row r="1820" ht="12.75" customHeight="1">
      <c r="A1820" s="1" t="s">
        <v>880</v>
      </c>
    </row>
    <row r="1821" ht="12.75" customHeight="1">
      <c r="A1821" s="1" t="s">
        <v>869</v>
      </c>
    </row>
    <row r="1822" ht="12.75" customHeight="1">
      <c r="A1822" s="1" t="s">
        <v>878</v>
      </c>
    </row>
    <row r="1823" ht="12.75" customHeight="1"/>
    <row r="1824" ht="12.75" customHeight="1">
      <c r="A1824" s="1" t="s">
        <v>361</v>
      </c>
    </row>
    <row r="1825" ht="12.75" customHeight="1">
      <c r="A1825" s="1" t="s">
        <v>881</v>
      </c>
    </row>
    <row r="1826" ht="12.75" customHeight="1">
      <c r="A1826" s="1" t="s">
        <v>882</v>
      </c>
    </row>
    <row r="1827" ht="12.75" customHeight="1"/>
    <row r="1828" ht="12.75" customHeight="1">
      <c r="A1828" s="1" t="s">
        <v>362</v>
      </c>
    </row>
    <row r="1829" ht="12.75" customHeight="1">
      <c r="A1829" s="1" t="s">
        <v>879</v>
      </c>
    </row>
    <row r="1830" ht="12.75" customHeight="1">
      <c r="A1830" s="1" t="s">
        <v>880</v>
      </c>
    </row>
    <row r="1831" ht="12.75" customHeight="1"/>
    <row r="1832" ht="12.75" customHeight="1">
      <c r="A1832" s="1" t="s">
        <v>363</v>
      </c>
    </row>
    <row r="1833" ht="12.75" customHeight="1">
      <c r="A1833" s="1" t="s">
        <v>879</v>
      </c>
    </row>
    <row r="1834" ht="12.75" customHeight="1">
      <c r="A1834" s="1" t="s">
        <v>883</v>
      </c>
    </row>
    <row r="1835" ht="12.75" customHeight="1">
      <c r="A1835" s="1" t="s">
        <v>862</v>
      </c>
    </row>
    <row r="1836" ht="12.75" customHeight="1">
      <c r="A1836" s="1" t="s">
        <v>828</v>
      </c>
    </row>
    <row r="1837" ht="12.75" customHeight="1">
      <c r="A1837" s="1" t="s">
        <v>829</v>
      </c>
    </row>
    <row r="1838" ht="12.75" customHeight="1">
      <c r="A1838" s="1" t="s">
        <v>836</v>
      </c>
    </row>
    <row r="1839" ht="12.75" customHeight="1">
      <c r="A1839" s="1" t="s">
        <v>417</v>
      </c>
    </row>
    <row r="1840" ht="12.75" customHeight="1">
      <c r="A1840" s="1" t="s">
        <v>418</v>
      </c>
    </row>
    <row r="1841" ht="12.75" customHeight="1"/>
    <row r="1842" ht="12.75" customHeight="1">
      <c r="A1842" s="1" t="s">
        <v>419</v>
      </c>
    </row>
    <row r="1843" ht="12.75" customHeight="1">
      <c r="A1843" s="1" t="s">
        <v>420</v>
      </c>
    </row>
    <row r="1844" ht="12.75" customHeight="1">
      <c r="A1844" s="1" t="s">
        <v>421</v>
      </c>
    </row>
    <row r="1845" ht="12.75" customHeight="1">
      <c r="A1845" s="1" t="s">
        <v>420</v>
      </c>
    </row>
    <row r="1846" ht="12.75" customHeight="1"/>
    <row r="1847" ht="12.75" customHeight="1">
      <c r="A1847" s="1" t="s">
        <v>423</v>
      </c>
    </row>
    <row r="1848" ht="12.75" customHeight="1">
      <c r="A1848" s="1" t="s">
        <v>424</v>
      </c>
    </row>
    <row r="1849" ht="12.75" customHeight="1">
      <c r="A1849" s="1" t="s">
        <v>863</v>
      </c>
    </row>
    <row r="1850" ht="12.75" customHeight="1">
      <c r="A1850" s="1" t="s">
        <v>426</v>
      </c>
    </row>
    <row r="1851" ht="12.75" customHeight="1">
      <c r="A1851" s="1" t="s">
        <v>774</v>
      </c>
    </row>
    <row r="1852" ht="12.75" customHeight="1">
      <c r="A1852" s="1" t="s">
        <v>428</v>
      </c>
    </row>
    <row r="1853" ht="12.75" customHeight="1">
      <c r="A1853" s="1" t="s">
        <v>884</v>
      </c>
    </row>
    <row r="1854" ht="12.75" customHeight="1">
      <c r="A1854" s="1" t="s">
        <v>770</v>
      </c>
    </row>
    <row r="1855" ht="12.75" customHeight="1">
      <c r="A1855" s="1" t="s">
        <v>828</v>
      </c>
    </row>
    <row r="1856" ht="12.75" customHeight="1">
      <c r="A1856" s="1" t="s">
        <v>829</v>
      </c>
    </row>
    <row r="1857" ht="12.75" customHeight="1">
      <c r="A1857" s="1" t="s">
        <v>836</v>
      </c>
    </row>
    <row r="1858" ht="12.75" customHeight="1">
      <c r="A1858" s="1" t="s">
        <v>417</v>
      </c>
    </row>
    <row r="1859" ht="12.75" customHeight="1">
      <c r="A1859" s="1" t="s">
        <v>418</v>
      </c>
    </row>
    <row r="1860" ht="12.75" customHeight="1"/>
    <row r="1861" ht="12.75" customHeight="1">
      <c r="A1861" s="1" t="s">
        <v>419</v>
      </c>
    </row>
    <row r="1862" ht="12.75" customHeight="1">
      <c r="A1862" s="1" t="s">
        <v>420</v>
      </c>
    </row>
    <row r="1863" ht="12.75" customHeight="1">
      <c r="A1863" s="1" t="s">
        <v>421</v>
      </c>
    </row>
    <row r="1864" ht="12.75" customHeight="1">
      <c r="A1864" s="1" t="s">
        <v>420</v>
      </c>
    </row>
    <row r="1865" ht="12.75" customHeight="1"/>
    <row r="1866" ht="12.75" customHeight="1">
      <c r="A1866" s="1" t="s">
        <v>423</v>
      </c>
    </row>
    <row r="1867" ht="12.75" customHeight="1">
      <c r="A1867" s="1" t="s">
        <v>424</v>
      </c>
    </row>
    <row r="1868" ht="12.75" customHeight="1">
      <c r="A1868" s="1" t="s">
        <v>863</v>
      </c>
    </row>
    <row r="1869" ht="12.75" customHeight="1">
      <c r="A1869" s="1" t="s">
        <v>426</v>
      </c>
    </row>
    <row r="1870" ht="12.75" customHeight="1">
      <c r="A1870" s="1" t="s">
        <v>774</v>
      </c>
    </row>
    <row r="1871" ht="12.75" customHeight="1">
      <c r="A1871" s="1" t="s">
        <v>428</v>
      </c>
    </row>
    <row r="1872" ht="12.75" customHeight="1">
      <c r="A1872" s="1" t="s">
        <v>885</v>
      </c>
    </row>
    <row r="1873" ht="12.75" customHeight="1">
      <c r="A1873" s="1" t="s">
        <v>770</v>
      </c>
    </row>
    <row r="1874" ht="12.75" customHeight="1">
      <c r="A1874" s="1" t="s">
        <v>828</v>
      </c>
    </row>
    <row r="1875" ht="12.75" customHeight="1">
      <c r="A1875" s="1" t="s">
        <v>829</v>
      </c>
    </row>
    <row r="1876" ht="12.75" customHeight="1">
      <c r="A1876" s="1" t="s">
        <v>836</v>
      </c>
    </row>
    <row r="1877" ht="12.75" customHeight="1">
      <c r="A1877" s="1" t="s">
        <v>417</v>
      </c>
    </row>
    <row r="1878" ht="12.75" customHeight="1">
      <c r="A1878" s="1" t="s">
        <v>418</v>
      </c>
    </row>
    <row r="1879" ht="12.75" customHeight="1"/>
    <row r="1880" ht="12.75" customHeight="1">
      <c r="A1880" s="1" t="s">
        <v>419</v>
      </c>
    </row>
    <row r="1881" ht="12.75" customHeight="1">
      <c r="A1881" s="1" t="s">
        <v>420</v>
      </c>
    </row>
    <row r="1882" ht="12.75" customHeight="1">
      <c r="A1882" s="1" t="s">
        <v>421</v>
      </c>
    </row>
    <row r="1883" ht="12.75" customHeight="1">
      <c r="A1883" s="1" t="s">
        <v>420</v>
      </c>
    </row>
    <row r="1884" ht="12.75" customHeight="1"/>
    <row r="1885" ht="12.75" customHeight="1">
      <c r="A1885" s="1" t="s">
        <v>423</v>
      </c>
    </row>
    <row r="1886" ht="12.75" customHeight="1">
      <c r="A1886" s="1" t="s">
        <v>424</v>
      </c>
    </row>
    <row r="1887" ht="12.75" customHeight="1">
      <c r="A1887" s="1" t="s">
        <v>863</v>
      </c>
    </row>
    <row r="1888" ht="12.75" customHeight="1">
      <c r="A1888" s="1" t="s">
        <v>426</v>
      </c>
    </row>
    <row r="1889" ht="12.75" customHeight="1">
      <c r="A1889" s="1" t="s">
        <v>774</v>
      </c>
    </row>
    <row r="1890" ht="12.75" customHeight="1">
      <c r="A1890" s="1" t="s">
        <v>428</v>
      </c>
    </row>
    <row r="1891" ht="12.75" customHeight="1">
      <c r="A1891" s="1" t="s">
        <v>886</v>
      </c>
    </row>
    <row r="1892" ht="12.75" customHeight="1">
      <c r="A1892" s="1" t="s">
        <v>887</v>
      </c>
    </row>
    <row r="1893" ht="12.75" customHeight="1">
      <c r="A1893" s="1" t="s">
        <v>867</v>
      </c>
    </row>
    <row r="1894" ht="12.75" customHeight="1"/>
    <row r="1895" ht="12.75" customHeight="1">
      <c r="A1895" s="1" t="s">
        <v>360</v>
      </c>
    </row>
    <row r="1896" ht="12.75" customHeight="1">
      <c r="A1896" s="1" t="s">
        <v>888</v>
      </c>
    </row>
    <row r="1897" ht="12.75" customHeight="1">
      <c r="A1897" s="1" t="s">
        <v>889</v>
      </c>
    </row>
    <row r="1898" ht="12.75" customHeight="1">
      <c r="A1898" s="1" t="s">
        <v>870</v>
      </c>
    </row>
    <row r="1899" ht="12.75" customHeight="1">
      <c r="A1899" s="1" t="s">
        <v>871</v>
      </c>
    </row>
    <row r="1900" ht="12.75" customHeight="1"/>
    <row r="1901" ht="12.75" customHeight="1">
      <c r="A1901" s="1" t="s">
        <v>361</v>
      </c>
    </row>
    <row r="1902" ht="12.75" customHeight="1">
      <c r="A1902" s="1" t="s">
        <v>890</v>
      </c>
    </row>
    <row r="1903" ht="12.75" customHeight="1">
      <c r="A1903" s="1" t="s">
        <v>749</v>
      </c>
    </row>
    <row r="1904" ht="12.75" customHeight="1"/>
    <row r="1905" ht="12.75" customHeight="1">
      <c r="A1905" s="1" t="s">
        <v>362</v>
      </c>
    </row>
    <row r="1906" ht="12.75" customHeight="1">
      <c r="A1906" s="1" t="s">
        <v>891</v>
      </c>
    </row>
    <row r="1907" ht="12.75" customHeight="1">
      <c r="A1907" s="1" t="s">
        <v>874</v>
      </c>
    </row>
    <row r="1908" ht="12.75" customHeight="1"/>
    <row r="1909" ht="12.75" customHeight="1">
      <c r="A1909" s="1" t="s">
        <v>363</v>
      </c>
    </row>
    <row r="1910" ht="12.75" customHeight="1">
      <c r="A1910" s="1" t="s">
        <v>891</v>
      </c>
    </row>
    <row r="1911" ht="12.75" customHeight="1">
      <c r="A1911" s="1" t="s">
        <v>892</v>
      </c>
    </row>
    <row r="1912" ht="12.75" customHeight="1">
      <c r="A1912" s="1" t="s">
        <v>770</v>
      </c>
    </row>
    <row r="1913" ht="12.75" customHeight="1">
      <c r="A1913" s="1" t="s">
        <v>828</v>
      </c>
    </row>
    <row r="1914" ht="12.75" customHeight="1">
      <c r="A1914" s="1" t="s">
        <v>829</v>
      </c>
    </row>
    <row r="1915" ht="12.75" customHeight="1">
      <c r="A1915" s="1" t="s">
        <v>836</v>
      </c>
    </row>
    <row r="1916" ht="12.75" customHeight="1">
      <c r="A1916" s="1" t="s">
        <v>417</v>
      </c>
    </row>
    <row r="1917" ht="12.75" customHeight="1">
      <c r="A1917" s="1" t="s">
        <v>418</v>
      </c>
    </row>
    <row r="1918" ht="12.75" customHeight="1"/>
    <row r="1919" ht="12.75" customHeight="1">
      <c r="A1919" s="1" t="s">
        <v>419</v>
      </c>
    </row>
    <row r="1920" ht="12.75" customHeight="1">
      <c r="A1920" s="1" t="s">
        <v>420</v>
      </c>
    </row>
    <row r="1921" ht="12.75" customHeight="1">
      <c r="A1921" s="1" t="s">
        <v>421</v>
      </c>
    </row>
    <row r="1922" ht="12.75" customHeight="1">
      <c r="A1922" s="1" t="s">
        <v>420</v>
      </c>
    </row>
    <row r="1923" ht="12.75" customHeight="1"/>
    <row r="1924" ht="12.75" customHeight="1">
      <c r="A1924" s="1" t="s">
        <v>423</v>
      </c>
    </row>
    <row r="1925" ht="12.75" customHeight="1">
      <c r="A1925" s="1" t="s">
        <v>424</v>
      </c>
    </row>
    <row r="1926" ht="12.75" customHeight="1">
      <c r="A1926" s="1" t="s">
        <v>863</v>
      </c>
    </row>
    <row r="1927" ht="12.75" customHeight="1">
      <c r="A1927" s="1" t="s">
        <v>426</v>
      </c>
    </row>
    <row r="1928" ht="12.75" customHeight="1">
      <c r="A1928" s="1" t="s">
        <v>774</v>
      </c>
    </row>
    <row r="1929" ht="12.75" customHeight="1">
      <c r="A1929" s="1" t="s">
        <v>428</v>
      </c>
    </row>
    <row r="1930" ht="12.75" customHeight="1">
      <c r="A1930" s="1" t="s">
        <v>893</v>
      </c>
    </row>
    <row r="1931" ht="12.75" customHeight="1">
      <c r="A1931" s="1" t="s">
        <v>894</v>
      </c>
    </row>
    <row r="1932" ht="12.75" customHeight="1">
      <c r="A1932" s="1" t="s">
        <v>895</v>
      </c>
    </row>
    <row r="1933" ht="12.75" customHeight="1"/>
    <row r="1934" ht="12.75" customHeight="1">
      <c r="A1934" s="1" t="s">
        <v>360</v>
      </c>
    </row>
    <row r="1935" ht="12.75" customHeight="1">
      <c r="A1935" s="1" t="s">
        <v>896</v>
      </c>
    </row>
    <row r="1936" ht="12.75" customHeight="1">
      <c r="A1936" s="1" t="s">
        <v>897</v>
      </c>
    </row>
    <row r="1937" ht="12.75" customHeight="1">
      <c r="A1937" s="1" t="s">
        <v>898</v>
      </c>
    </row>
    <row r="1938" ht="12.75" customHeight="1">
      <c r="A1938" s="1" t="s">
        <v>899</v>
      </c>
    </row>
    <row r="1939" ht="12.75" customHeight="1"/>
    <row r="1940" ht="12.75" customHeight="1">
      <c r="A1940" s="1" t="s">
        <v>361</v>
      </c>
    </row>
    <row r="1941" ht="12.75" customHeight="1">
      <c r="A1941" s="1" t="s">
        <v>900</v>
      </c>
    </row>
    <row r="1942" ht="12.75" customHeight="1">
      <c r="A1942" s="1" t="s">
        <v>749</v>
      </c>
    </row>
    <row r="1943" ht="12.75" customHeight="1"/>
    <row r="1944" ht="12.75" customHeight="1">
      <c r="A1944" s="1" t="s">
        <v>362</v>
      </c>
    </row>
    <row r="1945" ht="12.75" customHeight="1">
      <c r="A1945" s="1" t="s">
        <v>901</v>
      </c>
    </row>
    <row r="1946" ht="12.75" customHeight="1">
      <c r="A1946" s="1" t="s">
        <v>902</v>
      </c>
    </row>
    <row r="1947" ht="12.75" customHeight="1"/>
    <row r="1948" ht="12.75" customHeight="1">
      <c r="A1948" s="1" t="s">
        <v>363</v>
      </c>
    </row>
    <row r="1949" ht="12.75" customHeight="1">
      <c r="A1949" s="1" t="s">
        <v>901</v>
      </c>
    </row>
    <row r="1950" ht="12.75" customHeight="1">
      <c r="A1950" s="1" t="s">
        <v>903</v>
      </c>
    </row>
    <row r="1951" ht="12.75" customHeight="1">
      <c r="A1951" s="1" t="s">
        <v>904</v>
      </c>
    </row>
    <row r="1952" ht="12.75" customHeight="1">
      <c r="A1952" s="1" t="s">
        <v>905</v>
      </c>
    </row>
    <row r="1953" ht="12.75" customHeight="1">
      <c r="A1953" s="1" t="s">
        <v>906</v>
      </c>
    </row>
    <row r="1954" ht="12.75" customHeight="1">
      <c r="A1954" s="1" t="s">
        <v>907</v>
      </c>
    </row>
    <row r="1955" ht="12.75" customHeight="1">
      <c r="A1955" s="1" t="s">
        <v>417</v>
      </c>
    </row>
    <row r="1956" ht="12.75" customHeight="1">
      <c r="A1956" s="1" t="s">
        <v>418</v>
      </c>
    </row>
    <row r="1957" ht="12.75" customHeight="1"/>
    <row r="1958" ht="12.75" customHeight="1">
      <c r="A1958" s="1" t="s">
        <v>419</v>
      </c>
    </row>
    <row r="1959" ht="12.75" customHeight="1">
      <c r="A1959" s="1" t="s">
        <v>737</v>
      </c>
    </row>
    <row r="1960" ht="12.75" customHeight="1">
      <c r="A1960" s="1" t="s">
        <v>421</v>
      </c>
    </row>
    <row r="1961" ht="12.75" customHeight="1">
      <c r="A1961" s="1" t="s">
        <v>736</v>
      </c>
    </row>
    <row r="1962" ht="12.75" customHeight="1"/>
    <row r="1963" ht="12.75" customHeight="1">
      <c r="A1963" s="1" t="s">
        <v>423</v>
      </c>
    </row>
    <row r="1964" ht="12.75" customHeight="1">
      <c r="A1964" s="1" t="s">
        <v>757</v>
      </c>
    </row>
    <row r="1965" ht="12.75" customHeight="1">
      <c r="A1965" s="1" t="s">
        <v>758</v>
      </c>
    </row>
    <row r="1966" ht="12.75" customHeight="1">
      <c r="A1966" s="1" t="s">
        <v>426</v>
      </c>
    </row>
    <row r="1967" ht="12.75" customHeight="1">
      <c r="A1967" s="1" t="s">
        <v>740</v>
      </c>
    </row>
    <row r="1968" ht="12.75" customHeight="1">
      <c r="A1968" s="1" t="s">
        <v>428</v>
      </c>
    </row>
    <row r="1969" ht="12.75" customHeight="1">
      <c r="A1969" s="1" t="s">
        <v>908</v>
      </c>
    </row>
    <row r="1970" ht="12.75" customHeight="1">
      <c r="A1970" s="1" t="s">
        <v>770</v>
      </c>
    </row>
    <row r="1971" ht="12.75" customHeight="1">
      <c r="A1971" s="1" t="s">
        <v>909</v>
      </c>
    </row>
    <row r="1972" ht="12.75" customHeight="1">
      <c r="A1972" s="1" t="s">
        <v>829</v>
      </c>
    </row>
    <row r="1973" ht="12.75" customHeight="1">
      <c r="A1973" s="1" t="s">
        <v>836</v>
      </c>
    </row>
    <row r="1974" ht="12.75" customHeight="1">
      <c r="A1974" s="1" t="s">
        <v>417</v>
      </c>
    </row>
    <row r="1975" ht="12.75" customHeight="1">
      <c r="A1975" s="1" t="s">
        <v>418</v>
      </c>
    </row>
    <row r="1976" ht="12.75" customHeight="1"/>
    <row r="1977" ht="12.75" customHeight="1">
      <c r="A1977" s="1" t="s">
        <v>419</v>
      </c>
    </row>
    <row r="1978" ht="12.75" customHeight="1">
      <c r="A1978" s="1" t="s">
        <v>420</v>
      </c>
    </row>
    <row r="1979" ht="12.75" customHeight="1">
      <c r="A1979" s="1" t="s">
        <v>421</v>
      </c>
    </row>
    <row r="1980" ht="12.75" customHeight="1">
      <c r="A1980" s="1" t="s">
        <v>420</v>
      </c>
    </row>
    <row r="1981" ht="12.75" customHeight="1"/>
    <row r="1982" ht="12.75" customHeight="1">
      <c r="A1982" s="1" t="s">
        <v>423</v>
      </c>
    </row>
    <row r="1983" ht="12.75" customHeight="1">
      <c r="A1983" s="1" t="s">
        <v>424</v>
      </c>
    </row>
    <row r="1984" ht="12.75" customHeight="1">
      <c r="A1984" s="1" t="s">
        <v>863</v>
      </c>
    </row>
    <row r="1985" ht="12.75" customHeight="1">
      <c r="A1985" s="1" t="s">
        <v>426</v>
      </c>
    </row>
    <row r="1986" ht="12.75" customHeight="1">
      <c r="A1986" s="1" t="s">
        <v>774</v>
      </c>
    </row>
    <row r="1987" ht="12.75" customHeight="1">
      <c r="A1987" s="1" t="s">
        <v>428</v>
      </c>
    </row>
    <row r="1988" ht="12.75" customHeight="1">
      <c r="A1988" s="1" t="s">
        <v>910</v>
      </c>
    </row>
    <row r="1989" ht="12.75" customHeight="1">
      <c r="A1989" s="1" t="s">
        <v>887</v>
      </c>
    </row>
    <row r="1990" ht="12.75" customHeight="1">
      <c r="A1990" s="1" t="s">
        <v>867</v>
      </c>
    </row>
    <row r="1991" ht="12.75" customHeight="1"/>
    <row r="1992" ht="12.75" customHeight="1">
      <c r="A1992" s="1" t="s">
        <v>360</v>
      </c>
    </row>
    <row r="1993" ht="12.75" customHeight="1">
      <c r="A1993" s="1" t="s">
        <v>911</v>
      </c>
    </row>
    <row r="1994" ht="12.75" customHeight="1">
      <c r="A1994" s="1" t="s">
        <v>889</v>
      </c>
    </row>
    <row r="1995" ht="12.75" customHeight="1">
      <c r="A1995" s="1" t="s">
        <v>870</v>
      </c>
    </row>
    <row r="1996" ht="12.75" customHeight="1">
      <c r="A1996" s="1" t="s">
        <v>871</v>
      </c>
    </row>
    <row r="1997" ht="12.75" customHeight="1"/>
    <row r="1998" ht="12.75" customHeight="1">
      <c r="A1998" s="1" t="s">
        <v>361</v>
      </c>
    </row>
    <row r="1999" ht="12.75" customHeight="1">
      <c r="A1999" s="1" t="s">
        <v>891</v>
      </c>
    </row>
    <row r="2000" ht="12.75" customHeight="1">
      <c r="A2000" s="1" t="s">
        <v>749</v>
      </c>
    </row>
    <row r="2001" ht="12.75" customHeight="1"/>
    <row r="2002" ht="12.75" customHeight="1">
      <c r="A2002" s="1" t="s">
        <v>362</v>
      </c>
    </row>
    <row r="2003" ht="12.75" customHeight="1">
      <c r="A2003" s="1" t="s">
        <v>912</v>
      </c>
    </row>
    <row r="2004" ht="12.75" customHeight="1">
      <c r="A2004" s="1" t="s">
        <v>874</v>
      </c>
    </row>
    <row r="2005" ht="12.75" customHeight="1"/>
    <row r="2006" ht="12.75" customHeight="1">
      <c r="A2006" s="1" t="s">
        <v>363</v>
      </c>
    </row>
    <row r="2007" ht="12.75" customHeight="1">
      <c r="A2007" s="1" t="s">
        <v>912</v>
      </c>
    </row>
    <row r="2008" ht="12.75" customHeight="1">
      <c r="A2008" s="1" t="s">
        <v>913</v>
      </c>
    </row>
    <row r="2009" ht="12.75" customHeight="1">
      <c r="A2009" s="1" t="s">
        <v>914</v>
      </c>
    </row>
    <row r="2010" ht="12.75" customHeight="1">
      <c r="A2010" s="1" t="s">
        <v>915</v>
      </c>
    </row>
    <row r="2011" ht="12.75" customHeight="1">
      <c r="A2011" s="1" t="s">
        <v>912</v>
      </c>
    </row>
    <row r="2012" ht="12.75" customHeight="1"/>
    <row r="2013" ht="12.75" customHeight="1">
      <c r="A2013" s="1" t="s">
        <v>360</v>
      </c>
    </row>
    <row r="2014" ht="12.75" customHeight="1">
      <c r="A2014" s="1" t="s">
        <v>916</v>
      </c>
    </row>
    <row r="2015" ht="12.75" customHeight="1">
      <c r="A2015" s="1" t="s">
        <v>891</v>
      </c>
    </row>
    <row r="2016" ht="12.75" customHeight="1">
      <c r="A2016" s="1" t="s">
        <v>917</v>
      </c>
    </row>
    <row r="2017" ht="12.75" customHeight="1">
      <c r="A2017" s="1" t="s">
        <v>899</v>
      </c>
    </row>
    <row r="2018" ht="12.75" customHeight="1"/>
    <row r="2019" ht="12.75" customHeight="1">
      <c r="A2019" s="1" t="s">
        <v>361</v>
      </c>
    </row>
    <row r="2020" ht="12.75" customHeight="1">
      <c r="A2020" s="1" t="s">
        <v>918</v>
      </c>
    </row>
    <row r="2021" ht="12.75" customHeight="1">
      <c r="A2021" s="1" t="s">
        <v>891</v>
      </c>
    </row>
    <row r="2022" ht="12.75" customHeight="1"/>
    <row r="2023" ht="12.75" customHeight="1">
      <c r="A2023" s="1" t="s">
        <v>362</v>
      </c>
    </row>
    <row r="2024" ht="12.75" customHeight="1">
      <c r="A2024" s="1" t="s">
        <v>919</v>
      </c>
    </row>
    <row r="2025" ht="12.75" customHeight="1">
      <c r="A2025" s="1" t="s">
        <v>902</v>
      </c>
    </row>
    <row r="2026" ht="12.75" customHeight="1"/>
    <row r="2027" ht="12.75" customHeight="1">
      <c r="A2027" s="1" t="s">
        <v>363</v>
      </c>
    </row>
    <row r="2028" ht="12.75" customHeight="1">
      <c r="A2028" s="1" t="s">
        <v>920</v>
      </c>
    </row>
    <row r="2029" ht="12.75" customHeight="1">
      <c r="A2029" s="1" t="s">
        <v>921</v>
      </c>
    </row>
    <row r="2030" ht="12.75" customHeight="1">
      <c r="A2030" s="1" t="s">
        <v>687</v>
      </c>
    </row>
    <row r="2031" ht="12.75" customHeight="1">
      <c r="A2031" s="1" t="s">
        <v>688</v>
      </c>
    </row>
    <row r="2032" ht="12.75" customHeight="1">
      <c r="A2032" s="1" t="s">
        <v>689</v>
      </c>
    </row>
    <row r="2033" ht="12.75" customHeight="1">
      <c r="A2033" s="1" t="s">
        <v>690</v>
      </c>
    </row>
    <row r="2034" ht="12.75" customHeight="1">
      <c r="A2034" s="1" t="s">
        <v>922</v>
      </c>
    </row>
    <row r="2035" ht="12.75" customHeight="1">
      <c r="A2035" s="1" t="s">
        <v>770</v>
      </c>
    </row>
    <row r="2036" ht="12.75" customHeight="1">
      <c r="A2036" s="1" t="s">
        <v>909</v>
      </c>
    </row>
    <row r="2037" ht="12.75" customHeight="1">
      <c r="A2037" s="1" t="s">
        <v>829</v>
      </c>
    </row>
    <row r="2038" ht="12.75" customHeight="1">
      <c r="A2038" s="1" t="s">
        <v>836</v>
      </c>
    </row>
    <row r="2039" ht="12.75" customHeight="1">
      <c r="A2039" s="1" t="s">
        <v>417</v>
      </c>
    </row>
    <row r="2040" ht="12.75" customHeight="1">
      <c r="A2040" s="1" t="s">
        <v>418</v>
      </c>
    </row>
    <row r="2041" ht="12.75" customHeight="1"/>
    <row r="2042" ht="12.75" customHeight="1">
      <c r="A2042" s="1" t="s">
        <v>419</v>
      </c>
    </row>
    <row r="2043" ht="12.75" customHeight="1">
      <c r="A2043" s="1" t="s">
        <v>420</v>
      </c>
    </row>
    <row r="2044" ht="12.75" customHeight="1">
      <c r="A2044" s="1" t="s">
        <v>421</v>
      </c>
    </row>
    <row r="2045" ht="12.75" customHeight="1">
      <c r="A2045" s="1" t="s">
        <v>420</v>
      </c>
    </row>
    <row r="2046" ht="12.75" customHeight="1"/>
    <row r="2047" ht="12.75" customHeight="1">
      <c r="A2047" s="1" t="s">
        <v>423</v>
      </c>
    </row>
    <row r="2048" ht="12.75" customHeight="1">
      <c r="A2048" s="1" t="s">
        <v>424</v>
      </c>
    </row>
    <row r="2049" ht="12.75" customHeight="1">
      <c r="A2049" s="1" t="s">
        <v>863</v>
      </c>
    </row>
    <row r="2050" ht="12.75" customHeight="1">
      <c r="A2050" s="1" t="s">
        <v>426</v>
      </c>
    </row>
    <row r="2051" ht="12.75" customHeight="1">
      <c r="A2051" s="1" t="s">
        <v>774</v>
      </c>
    </row>
    <row r="2052" ht="12.75" customHeight="1">
      <c r="A2052" s="1" t="s">
        <v>428</v>
      </c>
    </row>
    <row r="2053" ht="12.75" customHeight="1">
      <c r="A2053" s="1" t="s">
        <v>923</v>
      </c>
    </row>
    <row r="2054" ht="12.75" customHeight="1">
      <c r="A2054" s="1" t="s">
        <v>924</v>
      </c>
    </row>
    <row r="2055" ht="12.75" customHeight="1">
      <c r="A2055" s="1" t="s">
        <v>925</v>
      </c>
    </row>
    <row r="2056" ht="12.75" customHeight="1"/>
    <row r="2057" ht="12.75" customHeight="1">
      <c r="A2057" s="1" t="s">
        <v>360</v>
      </c>
    </row>
    <row r="2058" ht="12.75" customHeight="1">
      <c r="A2058" s="1" t="s">
        <v>926</v>
      </c>
    </row>
    <row r="2059" ht="12.75" customHeight="1">
      <c r="A2059" s="1" t="s">
        <v>926</v>
      </c>
    </row>
    <row r="2060" ht="12.75" customHeight="1">
      <c r="A2060" s="1" t="s">
        <v>927</v>
      </c>
    </row>
    <row r="2061" ht="12.75" customHeight="1">
      <c r="A2061" s="1" t="s">
        <v>927</v>
      </c>
    </row>
    <row r="2062" ht="12.75" customHeight="1"/>
    <row r="2063" ht="12.75" customHeight="1">
      <c r="A2063" s="1" t="s">
        <v>361</v>
      </c>
    </row>
    <row r="2064" ht="12.75" customHeight="1">
      <c r="A2064" s="1" t="s">
        <v>928</v>
      </c>
    </row>
    <row r="2065" ht="12.75" customHeight="1">
      <c r="A2065" s="1" t="s">
        <v>928</v>
      </c>
    </row>
    <row r="2066" ht="12.75" customHeight="1"/>
    <row r="2067" ht="12.75" customHeight="1">
      <c r="A2067" s="1" t="s">
        <v>362</v>
      </c>
    </row>
    <row r="2068" ht="12.75" customHeight="1">
      <c r="A2068" s="1" t="s">
        <v>929</v>
      </c>
    </row>
    <row r="2069" ht="12.75" customHeight="1">
      <c r="A2069" s="1" t="s">
        <v>929</v>
      </c>
    </row>
    <row r="2070" ht="12.75" customHeight="1"/>
    <row r="2071" ht="12.75" customHeight="1">
      <c r="A2071" s="1" t="s">
        <v>363</v>
      </c>
    </row>
    <row r="2072" ht="12.75" customHeight="1">
      <c r="A2072" s="1" t="s">
        <v>930</v>
      </c>
    </row>
    <row r="2073" ht="12.75" customHeight="1">
      <c r="A2073" s="1" t="s">
        <v>931</v>
      </c>
    </row>
    <row r="2074" ht="12.75" customHeight="1">
      <c r="A2074" s="1" t="s">
        <v>932</v>
      </c>
    </row>
    <row r="2075" ht="12.75" customHeight="1">
      <c r="A2075" s="1" t="s">
        <v>933</v>
      </c>
    </row>
    <row r="2076" ht="12.75" customHeight="1">
      <c r="A2076" s="1" t="s">
        <v>934</v>
      </c>
    </row>
    <row r="2077" ht="12.75" customHeight="1"/>
    <row r="2078" ht="12.75" customHeight="1">
      <c r="A2078" s="1" t="s">
        <v>360</v>
      </c>
    </row>
    <row r="2079" ht="12.75" customHeight="1">
      <c r="A2079" s="1" t="s">
        <v>935</v>
      </c>
    </row>
    <row r="2080" ht="12.75" customHeight="1">
      <c r="A2080" s="1" t="s">
        <v>936</v>
      </c>
    </row>
    <row r="2081" ht="12.75" customHeight="1">
      <c r="A2081" s="1" t="s">
        <v>936</v>
      </c>
    </row>
    <row r="2082" ht="12.75" customHeight="1">
      <c r="A2082" s="1" t="s">
        <v>935</v>
      </c>
    </row>
    <row r="2083" ht="12.75" customHeight="1"/>
    <row r="2084" ht="12.75" customHeight="1">
      <c r="A2084" s="1" t="s">
        <v>361</v>
      </c>
    </row>
    <row r="2085" ht="12.75" customHeight="1">
      <c r="A2085" s="1" t="s">
        <v>937</v>
      </c>
    </row>
    <row r="2086" ht="12.75" customHeight="1">
      <c r="A2086" s="1" t="s">
        <v>938</v>
      </c>
    </row>
    <row r="2087" ht="12.75" customHeight="1"/>
    <row r="2088" ht="12.75" customHeight="1">
      <c r="A2088" s="1" t="s">
        <v>362</v>
      </c>
    </row>
    <row r="2089" ht="12.75" customHeight="1">
      <c r="A2089" s="1" t="s">
        <v>939</v>
      </c>
    </row>
    <row r="2090" ht="12.75" customHeight="1">
      <c r="A2090" s="1" t="s">
        <v>940</v>
      </c>
    </row>
    <row r="2091" ht="12.75" customHeight="1"/>
    <row r="2092" ht="12.75" customHeight="1">
      <c r="A2092" s="1" t="s">
        <v>363</v>
      </c>
    </row>
    <row r="2093" ht="12.75" customHeight="1">
      <c r="A2093" s="1" t="s">
        <v>941</v>
      </c>
    </row>
    <row r="2094" ht="12.75" customHeight="1">
      <c r="A2094" s="1" t="s">
        <v>942</v>
      </c>
    </row>
    <row r="2095" ht="12.75" customHeight="1">
      <c r="A2095" s="1" t="s">
        <v>943</v>
      </c>
    </row>
    <row r="2096" ht="12.75" customHeight="1">
      <c r="A2096" s="1" t="s">
        <v>944</v>
      </c>
    </row>
    <row r="2097" ht="12.75" customHeight="1">
      <c r="A2097" s="1" t="s">
        <v>945</v>
      </c>
    </row>
    <row r="2098" ht="12.75" customHeight="1"/>
    <row r="2099" ht="12.75" customHeight="1">
      <c r="A2099" s="1" t="s">
        <v>360</v>
      </c>
    </row>
    <row r="2100" ht="12.75" customHeight="1">
      <c r="A2100" s="1" t="s">
        <v>946</v>
      </c>
    </row>
    <row r="2101" ht="12.75" customHeight="1">
      <c r="A2101" s="1" t="s">
        <v>947</v>
      </c>
    </row>
    <row r="2102" ht="12.75" customHeight="1">
      <c r="A2102" s="1" t="s">
        <v>948</v>
      </c>
    </row>
    <row r="2103" ht="12.75" customHeight="1">
      <c r="A2103" s="1" t="s">
        <v>949</v>
      </c>
    </row>
    <row r="2104" ht="12.75" customHeight="1"/>
    <row r="2105" ht="12.75" customHeight="1">
      <c r="A2105" s="1" t="s">
        <v>361</v>
      </c>
    </row>
    <row r="2106" ht="12.75" customHeight="1">
      <c r="A2106" s="1" t="s">
        <v>950</v>
      </c>
    </row>
    <row r="2107" ht="12.75" customHeight="1">
      <c r="A2107" s="1" t="s">
        <v>951</v>
      </c>
    </row>
    <row r="2108" ht="12.75" customHeight="1"/>
    <row r="2109" ht="12.75" customHeight="1">
      <c r="A2109" s="1" t="s">
        <v>362</v>
      </c>
    </row>
    <row r="2110" ht="12.75" customHeight="1">
      <c r="A2110" s="1" t="s">
        <v>952</v>
      </c>
    </row>
    <row r="2111" ht="12.75" customHeight="1">
      <c r="A2111" s="1" t="s">
        <v>952</v>
      </c>
    </row>
    <row r="2112" ht="12.75" customHeight="1"/>
    <row r="2113" ht="12.75" customHeight="1">
      <c r="A2113" s="1" t="s">
        <v>363</v>
      </c>
    </row>
    <row r="2114" ht="12.75" customHeight="1">
      <c r="A2114" s="1" t="s">
        <v>953</v>
      </c>
    </row>
    <row r="2115" ht="12.75" customHeight="1">
      <c r="A2115" s="1" t="s">
        <v>954</v>
      </c>
    </row>
    <row r="2116" ht="12.75" customHeight="1">
      <c r="A2116" s="1" t="s">
        <v>955</v>
      </c>
    </row>
    <row r="2117" ht="12.75" customHeight="1">
      <c r="A2117" s="1" t="s">
        <v>956</v>
      </c>
    </row>
    <row r="2118" ht="12.75" customHeight="1">
      <c r="A2118" s="1" t="s">
        <v>957</v>
      </c>
    </row>
    <row r="2119" ht="12.75" customHeight="1"/>
    <row r="2120" ht="12.75" customHeight="1">
      <c r="A2120" s="1" t="s">
        <v>360</v>
      </c>
    </row>
    <row r="2121" ht="12.75" customHeight="1">
      <c r="A2121" s="1" t="s">
        <v>958</v>
      </c>
    </row>
    <row r="2122" ht="12.75" customHeight="1">
      <c r="A2122" s="1" t="s">
        <v>959</v>
      </c>
    </row>
    <row r="2123" ht="12.75" customHeight="1">
      <c r="A2123" s="1" t="s">
        <v>960</v>
      </c>
    </row>
    <row r="2124" ht="12.75" customHeight="1">
      <c r="A2124" s="1" t="s">
        <v>961</v>
      </c>
    </row>
    <row r="2125" ht="12.75" customHeight="1"/>
    <row r="2126" ht="12.75" customHeight="1">
      <c r="A2126" s="1" t="s">
        <v>361</v>
      </c>
    </row>
    <row r="2127" ht="12.75" customHeight="1">
      <c r="A2127" s="1" t="s">
        <v>962</v>
      </c>
    </row>
    <row r="2128" ht="12.75" customHeight="1">
      <c r="A2128" s="1" t="s">
        <v>963</v>
      </c>
    </row>
    <row r="2129" ht="12.75" customHeight="1"/>
    <row r="2130" ht="12.75" customHeight="1">
      <c r="A2130" s="1" t="s">
        <v>362</v>
      </c>
    </row>
    <row r="2131" ht="12.75" customHeight="1">
      <c r="A2131" s="1" t="s">
        <v>964</v>
      </c>
    </row>
    <row r="2132" ht="12.75" customHeight="1">
      <c r="A2132" s="1" t="s">
        <v>965</v>
      </c>
    </row>
    <row r="2133" ht="12.75" customHeight="1"/>
    <row r="2134" ht="12.75" customHeight="1">
      <c r="A2134" s="1" t="s">
        <v>363</v>
      </c>
    </row>
    <row r="2135" ht="12.75" customHeight="1">
      <c r="A2135" s="1" t="s">
        <v>966</v>
      </c>
    </row>
    <row r="2136" ht="12.75" customHeight="1">
      <c r="A2136" s="1" t="s">
        <v>967</v>
      </c>
    </row>
    <row r="2137" ht="12.75" customHeight="1">
      <c r="A2137" s="1" t="s">
        <v>968</v>
      </c>
    </row>
    <row r="2138" ht="12.75" customHeight="1">
      <c r="A2138" s="1" t="s">
        <v>969</v>
      </c>
    </row>
    <row r="2139" ht="12.75" customHeight="1">
      <c r="A2139" s="1" t="s">
        <v>498</v>
      </c>
    </row>
    <row r="2140" ht="12.75" customHeight="1">
      <c r="A2140" s="1" t="s">
        <v>499</v>
      </c>
    </row>
    <row r="2141" ht="12.75" customHeight="1">
      <c r="A2141" s="1" t="s">
        <v>500</v>
      </c>
    </row>
    <row r="2142" ht="12.75" customHeight="1">
      <c r="A2142" s="1" t="s">
        <v>970</v>
      </c>
    </row>
    <row r="2143" ht="12.75" customHeight="1"/>
    <row r="2144" ht="12.75" customHeight="1">
      <c r="A2144" s="1" t="s">
        <v>419</v>
      </c>
    </row>
    <row r="2145" ht="12.75" customHeight="1">
      <c r="A2145" s="1" t="s">
        <v>971</v>
      </c>
    </row>
    <row r="2146" ht="12.75" customHeight="1">
      <c r="A2146" s="1" t="s">
        <v>605</v>
      </c>
    </row>
    <row r="2147" ht="12.75" customHeight="1">
      <c r="A2147" s="1" t="s">
        <v>972</v>
      </c>
    </row>
    <row r="2148" ht="12.75" customHeight="1"/>
    <row r="2149" ht="12.75" customHeight="1">
      <c r="A2149" s="1" t="s">
        <v>423</v>
      </c>
    </row>
    <row r="2150" ht="12.75" customHeight="1">
      <c r="A2150" s="1" t="s">
        <v>973</v>
      </c>
    </row>
    <row r="2151" ht="12.75" customHeight="1">
      <c r="A2151" s="1" t="s">
        <v>974</v>
      </c>
    </row>
    <row r="2152" ht="12.75" customHeight="1">
      <c r="A2152" s="1" t="s">
        <v>975</v>
      </c>
    </row>
    <row r="2153" ht="12.75" customHeight="1">
      <c r="A2153" s="1" t="s">
        <v>976</v>
      </c>
    </row>
    <row r="2154" ht="12.75" customHeight="1">
      <c r="A2154" s="1" t="s">
        <v>977</v>
      </c>
    </row>
    <row r="2155" ht="12.75" customHeight="1">
      <c r="A2155" s="1" t="s">
        <v>978</v>
      </c>
    </row>
    <row r="2156" ht="12.75" customHeight="1">
      <c r="A2156" s="1" t="s">
        <v>979</v>
      </c>
    </row>
    <row r="2157" ht="12.75" customHeight="1">
      <c r="A2157" s="1" t="s">
        <v>980</v>
      </c>
    </row>
    <row r="2158" ht="12.75" customHeight="1"/>
    <row r="2159" ht="12.75" customHeight="1">
      <c r="A2159" s="1" t="s">
        <v>360</v>
      </c>
    </row>
    <row r="2160" ht="12.75" customHeight="1">
      <c r="A2160" s="1" t="s">
        <v>981</v>
      </c>
    </row>
    <row r="2161" ht="12.75" customHeight="1">
      <c r="A2161" s="1" t="s">
        <v>982</v>
      </c>
    </row>
    <row r="2162" ht="12.75" customHeight="1">
      <c r="A2162" s="1" t="s">
        <v>983</v>
      </c>
    </row>
    <row r="2163" ht="12.75" customHeight="1">
      <c r="A2163" s="1" t="s">
        <v>984</v>
      </c>
    </row>
    <row r="2164" ht="12.75" customHeight="1"/>
    <row r="2165" ht="12.75" customHeight="1">
      <c r="A2165" s="1" t="s">
        <v>361</v>
      </c>
    </row>
    <row r="2166" ht="12.75" customHeight="1">
      <c r="A2166" s="1" t="s">
        <v>985</v>
      </c>
    </row>
    <row r="2167" ht="12.75" customHeight="1">
      <c r="A2167" s="1" t="s">
        <v>986</v>
      </c>
    </row>
    <row r="2168" ht="12.75" customHeight="1"/>
    <row r="2169" ht="12.75" customHeight="1">
      <c r="A2169" s="1" t="s">
        <v>362</v>
      </c>
    </row>
    <row r="2170" ht="12.75" customHeight="1">
      <c r="A2170" s="1" t="s">
        <v>987</v>
      </c>
    </row>
    <row r="2171" ht="12.75" customHeight="1">
      <c r="A2171" s="1" t="s">
        <v>988</v>
      </c>
    </row>
    <row r="2172" ht="12.75" customHeight="1"/>
    <row r="2173" ht="12.75" customHeight="1">
      <c r="A2173" s="1" t="s">
        <v>363</v>
      </c>
    </row>
    <row r="2174" ht="12.75" customHeight="1">
      <c r="A2174" s="1" t="s">
        <v>989</v>
      </c>
    </row>
    <row r="2175" ht="12.75" customHeight="1">
      <c r="A2175" s="1" t="s">
        <v>990</v>
      </c>
    </row>
    <row r="2176" ht="12.75" customHeight="1">
      <c r="A2176" s="1" t="s">
        <v>991</v>
      </c>
    </row>
    <row r="2177" ht="12.75" customHeight="1">
      <c r="A2177" s="1" t="s">
        <v>979</v>
      </c>
    </row>
    <row r="2178" ht="12.75" customHeight="1">
      <c r="A2178" s="1" t="s">
        <v>980</v>
      </c>
    </row>
    <row r="2179" ht="12.75" customHeight="1"/>
    <row r="2180" ht="12.75" customHeight="1">
      <c r="A2180" s="1" t="s">
        <v>360</v>
      </c>
    </row>
    <row r="2181" ht="12.75" customHeight="1">
      <c r="A2181" s="1" t="s">
        <v>981</v>
      </c>
    </row>
    <row r="2182" ht="12.75" customHeight="1">
      <c r="A2182" s="1" t="s">
        <v>982</v>
      </c>
    </row>
    <row r="2183" ht="12.75" customHeight="1">
      <c r="A2183" s="1" t="s">
        <v>983</v>
      </c>
    </row>
    <row r="2184" ht="12.75" customHeight="1">
      <c r="A2184" s="1" t="s">
        <v>984</v>
      </c>
    </row>
    <row r="2185" ht="12.75" customHeight="1"/>
    <row r="2186" ht="12.75" customHeight="1">
      <c r="A2186" s="1" t="s">
        <v>361</v>
      </c>
    </row>
    <row r="2187" ht="12.75" customHeight="1">
      <c r="A2187" s="1" t="s">
        <v>985</v>
      </c>
    </row>
    <row r="2188" ht="12.75" customHeight="1">
      <c r="A2188" s="1" t="s">
        <v>986</v>
      </c>
    </row>
    <row r="2189" ht="12.75" customHeight="1"/>
    <row r="2190" ht="12.75" customHeight="1">
      <c r="A2190" s="1" t="s">
        <v>362</v>
      </c>
    </row>
    <row r="2191" ht="12.75" customHeight="1">
      <c r="A2191" s="1" t="s">
        <v>987</v>
      </c>
    </row>
    <row r="2192" ht="12.75" customHeight="1">
      <c r="A2192" s="1" t="s">
        <v>988</v>
      </c>
    </row>
    <row r="2193" ht="12.75" customHeight="1"/>
    <row r="2194" ht="12.75" customHeight="1">
      <c r="A2194" s="1" t="s">
        <v>363</v>
      </c>
    </row>
    <row r="2195" ht="12.75" customHeight="1">
      <c r="A2195" s="1" t="s">
        <v>989</v>
      </c>
    </row>
    <row r="2196" ht="12.75" customHeight="1">
      <c r="A2196" s="1" t="s">
        <v>992</v>
      </c>
    </row>
    <row r="2197" ht="12.75" customHeight="1">
      <c r="A2197" s="1" t="s">
        <v>993</v>
      </c>
    </row>
    <row r="2198" ht="12.75" customHeight="1">
      <c r="A2198" s="1" t="s">
        <v>969</v>
      </c>
    </row>
    <row r="2199" ht="12.75" customHeight="1">
      <c r="A2199" s="1" t="s">
        <v>498</v>
      </c>
    </row>
    <row r="2200" ht="12.75" customHeight="1">
      <c r="A2200" s="1" t="s">
        <v>994</v>
      </c>
    </row>
    <row r="2201" ht="12.75" customHeight="1">
      <c r="A2201" s="1" t="s">
        <v>500</v>
      </c>
    </row>
    <row r="2202" ht="12.75" customHeight="1">
      <c r="A2202" s="1" t="s">
        <v>970</v>
      </c>
    </row>
    <row r="2203" ht="12.75" customHeight="1"/>
    <row r="2204" ht="12.75" customHeight="1">
      <c r="A2204" s="1" t="s">
        <v>419</v>
      </c>
    </row>
    <row r="2205" ht="12.75" customHeight="1">
      <c r="A2205" s="1" t="s">
        <v>995</v>
      </c>
    </row>
    <row r="2206" ht="12.75" customHeight="1">
      <c r="A2206" s="1" t="s">
        <v>504</v>
      </c>
    </row>
    <row r="2207" ht="12.75" customHeight="1">
      <c r="A2207" s="1" t="s">
        <v>972</v>
      </c>
    </row>
    <row r="2208" ht="12.75" customHeight="1"/>
    <row r="2209" ht="12.75" customHeight="1">
      <c r="A2209" s="1" t="s">
        <v>423</v>
      </c>
    </row>
    <row r="2210" ht="12.75" customHeight="1">
      <c r="A2210" s="1" t="s">
        <v>505</v>
      </c>
    </row>
    <row r="2211" ht="12.75" customHeight="1">
      <c r="A2211" s="1" t="s">
        <v>506</v>
      </c>
    </row>
    <row r="2212" ht="12.75" customHeight="1">
      <c r="A2212" s="1" t="s">
        <v>996</v>
      </c>
    </row>
    <row r="2213" ht="12.75" customHeight="1">
      <c r="A2213" s="1" t="s">
        <v>997</v>
      </c>
    </row>
    <row r="2214" ht="12.75" customHeight="1">
      <c r="A2214" s="1" t="s">
        <v>998</v>
      </c>
    </row>
    <row r="2215" ht="12.75" customHeight="1">
      <c r="A2215" s="1" t="s">
        <v>999</v>
      </c>
    </row>
    <row r="2216" ht="12.75" customHeight="1">
      <c r="A2216" s="1" t="s">
        <v>1000</v>
      </c>
    </row>
    <row r="2217" ht="12.75" customHeight="1">
      <c r="A2217" s="1" t="s">
        <v>1001</v>
      </c>
    </row>
    <row r="2218" ht="12.75" customHeight="1"/>
    <row r="2219" ht="12.75" customHeight="1">
      <c r="A2219" s="1" t="s">
        <v>360</v>
      </c>
    </row>
    <row r="2220" ht="12.75" customHeight="1">
      <c r="A2220" s="1" t="s">
        <v>1002</v>
      </c>
    </row>
    <row r="2221" ht="12.75" customHeight="1">
      <c r="A2221" s="1" t="s">
        <v>1003</v>
      </c>
    </row>
    <row r="2222" ht="12.75" customHeight="1">
      <c r="A2222" s="1" t="s">
        <v>1004</v>
      </c>
    </row>
    <row r="2223" ht="12.75" customHeight="1">
      <c r="A2223" s="1" t="s">
        <v>1005</v>
      </c>
    </row>
    <row r="2224" ht="12.75" customHeight="1"/>
    <row r="2225" ht="12.75" customHeight="1">
      <c r="A2225" s="1" t="s">
        <v>361</v>
      </c>
    </row>
    <row r="2226" ht="12.75" customHeight="1">
      <c r="A2226" s="1" t="s">
        <v>1006</v>
      </c>
    </row>
    <row r="2227" ht="12.75" customHeight="1">
      <c r="A2227" s="1" t="s">
        <v>1007</v>
      </c>
    </row>
    <row r="2228" ht="12.75" customHeight="1"/>
    <row r="2229" ht="12.75" customHeight="1">
      <c r="A2229" s="1" t="s">
        <v>362</v>
      </c>
    </row>
    <row r="2230" ht="12.75" customHeight="1">
      <c r="A2230" s="1" t="s">
        <v>1008</v>
      </c>
    </row>
    <row r="2231" ht="12.75" customHeight="1">
      <c r="A2231" s="1" t="s">
        <v>1009</v>
      </c>
    </row>
    <row r="2232" ht="12.75" customHeight="1"/>
    <row r="2233" ht="12.75" customHeight="1">
      <c r="A2233" s="1" t="s">
        <v>363</v>
      </c>
    </row>
    <row r="2234" ht="12.75" customHeight="1">
      <c r="A2234" s="1" t="s">
        <v>1010</v>
      </c>
    </row>
    <row r="2235" ht="12.75" customHeight="1">
      <c r="A2235" s="1" t="s">
        <v>1011</v>
      </c>
    </row>
    <row r="2236" ht="12.75" customHeight="1">
      <c r="A2236" s="1" t="s">
        <v>1012</v>
      </c>
    </row>
    <row r="2237" ht="12.75" customHeight="1">
      <c r="A2237" s="1" t="s">
        <v>1013</v>
      </c>
    </row>
    <row r="2238" ht="12.75" customHeight="1">
      <c r="A2238" s="1" t="s">
        <v>1014</v>
      </c>
    </row>
    <row r="2239" ht="12.75" customHeight="1"/>
    <row r="2240" ht="12.75" customHeight="1">
      <c r="A2240" s="1" t="s">
        <v>360</v>
      </c>
    </row>
    <row r="2241" ht="12.75" customHeight="1">
      <c r="A2241" s="1" t="s">
        <v>1015</v>
      </c>
    </row>
    <row r="2242" ht="12.75" customHeight="1">
      <c r="A2242" s="1" t="s">
        <v>1016</v>
      </c>
    </row>
    <row r="2243" ht="12.75" customHeight="1">
      <c r="A2243" s="1" t="s">
        <v>1017</v>
      </c>
    </row>
    <row r="2244" ht="12.75" customHeight="1">
      <c r="A2244" s="1" t="s">
        <v>1018</v>
      </c>
    </row>
    <row r="2245" ht="12.75" customHeight="1"/>
    <row r="2246" ht="12.75" customHeight="1">
      <c r="A2246" s="1" t="s">
        <v>361</v>
      </c>
    </row>
    <row r="2247" ht="12.75" customHeight="1">
      <c r="A2247" s="1" t="s">
        <v>1019</v>
      </c>
    </row>
    <row r="2248" ht="12.75" customHeight="1">
      <c r="A2248" s="1" t="s">
        <v>1020</v>
      </c>
    </row>
    <row r="2249" ht="12.75" customHeight="1"/>
    <row r="2250" ht="12.75" customHeight="1">
      <c r="A2250" s="1" t="s">
        <v>362</v>
      </c>
    </row>
    <row r="2251" ht="12.75" customHeight="1">
      <c r="A2251" s="1" t="s">
        <v>1021</v>
      </c>
    </row>
    <row r="2252" ht="12.75" customHeight="1">
      <c r="A2252" s="1" t="s">
        <v>1022</v>
      </c>
    </row>
    <row r="2253" ht="12.75" customHeight="1"/>
    <row r="2254" ht="12.75" customHeight="1">
      <c r="A2254" s="1" t="s">
        <v>363</v>
      </c>
    </row>
    <row r="2255" ht="12.75" customHeight="1">
      <c r="A2255" s="1" t="s">
        <v>1023</v>
      </c>
    </row>
    <row r="2256" ht="12.75" customHeight="1">
      <c r="A2256" s="1" t="s">
        <v>1024</v>
      </c>
    </row>
    <row r="2257" ht="12.75" customHeight="1">
      <c r="A2257" s="1" t="s">
        <v>1025</v>
      </c>
    </row>
    <row r="2258" ht="12.75" customHeight="1">
      <c r="A2258" s="1" t="s">
        <v>1026</v>
      </c>
    </row>
    <row r="2259" ht="12.75" customHeight="1">
      <c r="A2259" s="1" t="s">
        <v>1027</v>
      </c>
    </row>
    <row r="2260" ht="12.75" customHeight="1"/>
    <row r="2261" ht="12.75" customHeight="1">
      <c r="A2261" s="1" t="s">
        <v>360</v>
      </c>
    </row>
    <row r="2262" ht="12.75" customHeight="1">
      <c r="A2262" s="1" t="s">
        <v>1028</v>
      </c>
    </row>
    <row r="2263" ht="12.75" customHeight="1">
      <c r="A2263" s="1" t="s">
        <v>1029</v>
      </c>
    </row>
    <row r="2264" ht="12.75" customHeight="1">
      <c r="A2264" s="1" t="s">
        <v>1030</v>
      </c>
    </row>
    <row r="2265" ht="12.75" customHeight="1">
      <c r="A2265" s="1" t="s">
        <v>1031</v>
      </c>
    </row>
    <row r="2266" ht="12.75" customHeight="1"/>
    <row r="2267" ht="12.75" customHeight="1">
      <c r="A2267" s="1" t="s">
        <v>361</v>
      </c>
    </row>
    <row r="2268" ht="12.75" customHeight="1">
      <c r="A2268" s="1" t="s">
        <v>1032</v>
      </c>
    </row>
    <row r="2269" ht="12.75" customHeight="1">
      <c r="A2269" s="1" t="s">
        <v>1033</v>
      </c>
    </row>
    <row r="2270" ht="12.75" customHeight="1"/>
    <row r="2271" ht="12.75" customHeight="1">
      <c r="A2271" s="1" t="s">
        <v>362</v>
      </c>
    </row>
    <row r="2272" ht="12.75" customHeight="1">
      <c r="A2272" s="1" t="s">
        <v>1034</v>
      </c>
    </row>
    <row r="2273" ht="12.75" customHeight="1">
      <c r="A2273" s="1" t="s">
        <v>1035</v>
      </c>
    </row>
    <row r="2274" ht="12.75" customHeight="1"/>
    <row r="2275" ht="12.75" customHeight="1">
      <c r="A2275" s="1" t="s">
        <v>363</v>
      </c>
    </row>
    <row r="2276" ht="12.75" customHeight="1">
      <c r="A2276" s="1" t="s">
        <v>1036</v>
      </c>
    </row>
    <row r="2277" ht="12.75" customHeight="1">
      <c r="A2277" s="1" t="s">
        <v>1037</v>
      </c>
    </row>
    <row r="2278" ht="12.75" customHeight="1">
      <c r="A2278" s="1" t="s">
        <v>1038</v>
      </c>
    </row>
    <row r="2279" ht="12.75" customHeight="1">
      <c r="A2279" s="1" t="s">
        <v>1039</v>
      </c>
    </row>
    <row r="2280" ht="12.75" customHeight="1">
      <c r="A2280" s="1" t="s">
        <v>1040</v>
      </c>
    </row>
    <row r="2281" ht="12.75" customHeight="1"/>
    <row r="2282" ht="12.75" customHeight="1">
      <c r="A2282" s="1" t="s">
        <v>360</v>
      </c>
    </row>
    <row r="2283" ht="12.75" customHeight="1">
      <c r="A2283" s="1" t="s">
        <v>1041</v>
      </c>
    </row>
    <row r="2284" ht="12.75" customHeight="1">
      <c r="A2284" s="1" t="s">
        <v>1042</v>
      </c>
    </row>
    <row r="2285" ht="12.75" customHeight="1">
      <c r="A2285" s="1" t="s">
        <v>1043</v>
      </c>
    </row>
    <row r="2286" ht="12.75" customHeight="1">
      <c r="A2286" s="1" t="s">
        <v>1044</v>
      </c>
    </row>
    <row r="2287" ht="12.75" customHeight="1"/>
    <row r="2288" ht="12.75" customHeight="1">
      <c r="A2288" s="1" t="s">
        <v>361</v>
      </c>
    </row>
    <row r="2289" ht="12.75" customHeight="1">
      <c r="A2289" s="1" t="s">
        <v>1045</v>
      </c>
    </row>
    <row r="2290" ht="12.75" customHeight="1">
      <c r="A2290" s="1" t="s">
        <v>1046</v>
      </c>
    </row>
    <row r="2291" ht="12.75" customHeight="1"/>
    <row r="2292" ht="12.75" customHeight="1">
      <c r="A2292" s="1" t="s">
        <v>362</v>
      </c>
    </row>
    <row r="2293" ht="12.75" customHeight="1">
      <c r="A2293" s="1" t="s">
        <v>1047</v>
      </c>
    </row>
    <row r="2294" ht="12.75" customHeight="1">
      <c r="A2294" s="1" t="s">
        <v>1048</v>
      </c>
    </row>
    <row r="2295" ht="12.75" customHeight="1"/>
    <row r="2296" ht="12.75" customHeight="1">
      <c r="A2296" s="1" t="s">
        <v>363</v>
      </c>
    </row>
    <row r="2297" ht="12.75" customHeight="1">
      <c r="A2297" s="1" t="s">
        <v>1049</v>
      </c>
    </row>
    <row r="2298" ht="12.75" customHeight="1">
      <c r="A2298" s="1" t="s">
        <v>1050</v>
      </c>
    </row>
    <row r="2299" ht="12.75" customHeight="1">
      <c r="A2299" s="1" t="s">
        <v>1051</v>
      </c>
    </row>
    <row r="2300" ht="12.75" customHeight="1">
      <c r="A2300" s="1" t="s">
        <v>600</v>
      </c>
    </row>
    <row r="2301" ht="12.75" customHeight="1">
      <c r="A2301" s="1" t="s">
        <v>1052</v>
      </c>
    </row>
    <row r="2302" ht="12.75" customHeight="1">
      <c r="A2302" s="1" t="s">
        <v>499</v>
      </c>
    </row>
    <row r="2303" ht="12.75" customHeight="1">
      <c r="A2303" s="1" t="s">
        <v>602</v>
      </c>
    </row>
    <row r="2304" ht="12.75" customHeight="1">
      <c r="A2304" s="1" t="s">
        <v>1053</v>
      </c>
    </row>
    <row r="2305" ht="12.75" customHeight="1"/>
    <row r="2306" ht="12.75" customHeight="1">
      <c r="A2306" s="1" t="s">
        <v>419</v>
      </c>
    </row>
    <row r="2307" ht="12.75" customHeight="1">
      <c r="A2307" s="1" t="s">
        <v>1054</v>
      </c>
    </row>
    <row r="2308" ht="12.75" customHeight="1">
      <c r="A2308" s="1" t="s">
        <v>1055</v>
      </c>
    </row>
    <row r="2309" ht="12.75" customHeight="1">
      <c r="A2309" s="1" t="s">
        <v>972</v>
      </c>
    </row>
    <row r="2310" ht="12.75" customHeight="1"/>
    <row r="2311" ht="12.75" customHeight="1">
      <c r="A2311" s="1" t="s">
        <v>423</v>
      </c>
    </row>
    <row r="2312" ht="12.75" customHeight="1">
      <c r="A2312" s="1" t="s">
        <v>1056</v>
      </c>
    </row>
    <row r="2313" ht="12.75" customHeight="1">
      <c r="A2313" s="1" t="s">
        <v>1057</v>
      </c>
    </row>
    <row r="2314" ht="12.75" customHeight="1">
      <c r="A2314" s="1" t="s">
        <v>1058</v>
      </c>
    </row>
    <row r="2315" ht="12.75" customHeight="1">
      <c r="A2315" s="1" t="s">
        <v>1059</v>
      </c>
    </row>
    <row r="2316" ht="12.75" customHeight="1">
      <c r="A2316" s="1" t="s">
        <v>1060</v>
      </c>
    </row>
    <row r="2317" ht="12.75" customHeight="1">
      <c r="A2317" s="1" t="s">
        <v>1061</v>
      </c>
    </row>
    <row r="2318" ht="12.75" customHeight="1">
      <c r="A2318" s="1" t="s">
        <v>1062</v>
      </c>
    </row>
    <row r="2319" ht="12.75" customHeight="1">
      <c r="A2319" s="1" t="s">
        <v>1063</v>
      </c>
    </row>
    <row r="2320" ht="12.75" customHeight="1"/>
    <row r="2321" ht="12.75" customHeight="1">
      <c r="A2321" s="1" t="s">
        <v>360</v>
      </c>
    </row>
    <row r="2322" ht="12.75" customHeight="1">
      <c r="A2322" s="1" t="s">
        <v>1064</v>
      </c>
    </row>
    <row r="2323" ht="12.75" customHeight="1">
      <c r="A2323" s="1" t="s">
        <v>1065</v>
      </c>
    </row>
    <row r="2324" ht="12.75" customHeight="1">
      <c r="A2324" s="1" t="s">
        <v>1066</v>
      </c>
    </row>
    <row r="2325" ht="12.75" customHeight="1">
      <c r="A2325" s="1" t="s">
        <v>1067</v>
      </c>
    </row>
    <row r="2326" ht="12.75" customHeight="1"/>
    <row r="2327" ht="12.75" customHeight="1">
      <c r="A2327" s="1" t="s">
        <v>361</v>
      </c>
    </row>
    <row r="2328" ht="12.75" customHeight="1">
      <c r="A2328" s="1" t="s">
        <v>1068</v>
      </c>
    </row>
    <row r="2329" ht="12.75" customHeight="1">
      <c r="A2329" s="1" t="s">
        <v>1069</v>
      </c>
    </row>
    <row r="2330" ht="12.75" customHeight="1"/>
    <row r="2331" ht="12.75" customHeight="1">
      <c r="A2331" s="1" t="s">
        <v>362</v>
      </c>
    </row>
    <row r="2332" ht="12.75" customHeight="1">
      <c r="A2332" s="1" t="s">
        <v>1070</v>
      </c>
    </row>
    <row r="2333" ht="12.75" customHeight="1">
      <c r="A2333" s="1" t="s">
        <v>1071</v>
      </c>
    </row>
    <row r="2334" ht="12.75" customHeight="1"/>
    <row r="2335" ht="12.75" customHeight="1">
      <c r="A2335" s="1" t="s">
        <v>363</v>
      </c>
    </row>
    <row r="2336" ht="12.75" customHeight="1">
      <c r="A2336" s="1" t="s">
        <v>1072</v>
      </c>
    </row>
    <row r="2337" ht="12.75" customHeight="1">
      <c r="A2337" s="1" t="s">
        <v>1073</v>
      </c>
    </row>
    <row r="2338" ht="12.75" customHeight="1">
      <c r="A2338" s="1" t="s">
        <v>1051</v>
      </c>
    </row>
    <row r="2339" ht="12.75" customHeight="1">
      <c r="A2339" s="1" t="s">
        <v>600</v>
      </c>
    </row>
    <row r="2340" ht="12.75" customHeight="1">
      <c r="A2340" s="1" t="s">
        <v>1052</v>
      </c>
    </row>
    <row r="2341" ht="12.75" customHeight="1">
      <c r="A2341" s="1" t="s">
        <v>1074</v>
      </c>
    </row>
    <row r="2342" ht="12.75" customHeight="1">
      <c r="A2342" s="1" t="s">
        <v>500</v>
      </c>
    </row>
    <row r="2343" ht="12.75" customHeight="1">
      <c r="A2343" s="1" t="s">
        <v>970</v>
      </c>
    </row>
    <row r="2344" ht="12.75" customHeight="1"/>
    <row r="2345" ht="12.75" customHeight="1">
      <c r="A2345" s="1" t="s">
        <v>419</v>
      </c>
    </row>
    <row r="2346" ht="12.75" customHeight="1">
      <c r="A2346" s="1" t="s">
        <v>1054</v>
      </c>
    </row>
    <row r="2347" ht="12.75" customHeight="1">
      <c r="A2347" s="1" t="s">
        <v>1075</v>
      </c>
    </row>
    <row r="2348" ht="12.75" customHeight="1">
      <c r="A2348" s="1" t="s">
        <v>1076</v>
      </c>
    </row>
    <row r="2349" ht="12.75" customHeight="1"/>
    <row r="2350" ht="12.75" customHeight="1">
      <c r="A2350" s="1" t="s">
        <v>423</v>
      </c>
    </row>
    <row r="2351" ht="12.75" customHeight="1">
      <c r="A2351" s="1" t="s">
        <v>604</v>
      </c>
    </row>
    <row r="2352" ht="12.75" customHeight="1">
      <c r="A2352" s="1" t="s">
        <v>974</v>
      </c>
    </row>
    <row r="2353" ht="12.75" customHeight="1">
      <c r="A2353" s="1" t="s">
        <v>1077</v>
      </c>
    </row>
    <row r="2354" ht="12.75" customHeight="1">
      <c r="A2354" s="1" t="s">
        <v>1078</v>
      </c>
    </row>
    <row r="2355" ht="12.75" customHeight="1">
      <c r="A2355" s="1" t="s">
        <v>1079</v>
      </c>
    </row>
    <row r="2356" ht="12.75" customHeight="1">
      <c r="A2356" s="1" t="s">
        <v>1080</v>
      </c>
    </row>
    <row r="2357" ht="12.75" customHeight="1">
      <c r="A2357" s="1" t="s">
        <v>1081</v>
      </c>
    </row>
    <row r="2358" ht="12.75" customHeight="1">
      <c r="A2358" s="1" t="s">
        <v>1082</v>
      </c>
    </row>
    <row r="2359" ht="12.75" customHeight="1"/>
    <row r="2360" ht="12.75" customHeight="1">
      <c r="A2360" s="1" t="s">
        <v>360</v>
      </c>
    </row>
    <row r="2361" ht="12.75" customHeight="1">
      <c r="A2361" s="1" t="s">
        <v>1083</v>
      </c>
    </row>
    <row r="2362" ht="12.75" customHeight="1">
      <c r="A2362" s="1" t="s">
        <v>1084</v>
      </c>
    </row>
    <row r="2363" ht="12.75" customHeight="1">
      <c r="A2363" s="1" t="s">
        <v>1085</v>
      </c>
    </row>
    <row r="2364" ht="12.75" customHeight="1">
      <c r="A2364" s="1" t="s">
        <v>1086</v>
      </c>
    </row>
    <row r="2365" ht="12.75" customHeight="1"/>
    <row r="2366" ht="12.75" customHeight="1">
      <c r="A2366" s="1" t="s">
        <v>361</v>
      </c>
    </row>
    <row r="2367" ht="12.75" customHeight="1">
      <c r="A2367" s="1" t="s">
        <v>1087</v>
      </c>
    </row>
    <row r="2368" ht="12.75" customHeight="1">
      <c r="A2368" s="1" t="s">
        <v>1088</v>
      </c>
    </row>
    <row r="2369" ht="12.75" customHeight="1"/>
    <row r="2370" ht="12.75" customHeight="1">
      <c r="A2370" s="1" t="s">
        <v>362</v>
      </c>
    </row>
    <row r="2371" ht="12.75" customHeight="1">
      <c r="A2371" s="1" t="s">
        <v>1089</v>
      </c>
    </row>
    <row r="2372" ht="12.75" customHeight="1">
      <c r="A2372" s="1" t="s">
        <v>1090</v>
      </c>
    </row>
    <row r="2373" ht="12.75" customHeight="1"/>
    <row r="2374" ht="12.75" customHeight="1">
      <c r="A2374" s="1" t="s">
        <v>363</v>
      </c>
    </row>
    <row r="2375" ht="12.75" customHeight="1">
      <c r="A2375" s="1" t="s">
        <v>1091</v>
      </c>
    </row>
    <row r="2376" ht="12.75" customHeight="1">
      <c r="A2376" s="1" t="s">
        <v>1092</v>
      </c>
    </row>
    <row r="2377" ht="12.75" customHeight="1">
      <c r="A2377" s="1" t="s">
        <v>1051</v>
      </c>
    </row>
    <row r="2378" ht="12.75" customHeight="1">
      <c r="A2378" s="1" t="s">
        <v>600</v>
      </c>
    </row>
    <row r="2379" ht="12.75" customHeight="1">
      <c r="A2379" s="1" t="s">
        <v>1052</v>
      </c>
    </row>
    <row r="2380" ht="12.75" customHeight="1">
      <c r="A2380" s="1" t="s">
        <v>1093</v>
      </c>
    </row>
    <row r="2381" ht="12.75" customHeight="1">
      <c r="A2381" s="1" t="s">
        <v>500</v>
      </c>
    </row>
    <row r="2382" ht="12.75" customHeight="1">
      <c r="A2382" s="1" t="s">
        <v>970</v>
      </c>
    </row>
    <row r="2383" ht="12.75" customHeight="1"/>
    <row r="2384" ht="12.75" customHeight="1">
      <c r="A2384" s="1" t="s">
        <v>419</v>
      </c>
    </row>
    <row r="2385" ht="12.75" customHeight="1">
      <c r="A2385" s="1" t="s">
        <v>1054</v>
      </c>
    </row>
    <row r="2386" ht="12.75" customHeight="1">
      <c r="A2386" s="1" t="s">
        <v>605</v>
      </c>
    </row>
    <row r="2387" ht="12.75" customHeight="1">
      <c r="A2387" s="1" t="s">
        <v>972</v>
      </c>
    </row>
    <row r="2388" ht="12.75" customHeight="1"/>
    <row r="2389" ht="12.75" customHeight="1">
      <c r="A2389" s="1" t="s">
        <v>423</v>
      </c>
    </row>
    <row r="2390" ht="12.75" customHeight="1">
      <c r="A2390" s="1" t="s">
        <v>1056</v>
      </c>
    </row>
    <row r="2391" ht="12.75" customHeight="1">
      <c r="A2391" s="1" t="s">
        <v>974</v>
      </c>
    </row>
    <row r="2392" ht="12.75" customHeight="1">
      <c r="A2392" s="1" t="s">
        <v>975</v>
      </c>
    </row>
    <row r="2393" ht="12.75" customHeight="1">
      <c r="A2393" s="1" t="s">
        <v>976</v>
      </c>
    </row>
    <row r="2394" ht="12.75" customHeight="1">
      <c r="A2394" s="1" t="s">
        <v>1060</v>
      </c>
    </row>
    <row r="2395" ht="12.75" customHeight="1">
      <c r="A2395" s="1" t="s">
        <v>1094</v>
      </c>
    </row>
    <row r="2396" ht="12.75" customHeight="1">
      <c r="A2396" s="1" t="s">
        <v>1095</v>
      </c>
    </row>
    <row r="2397" ht="12.75" customHeight="1">
      <c r="A2397" s="1" t="s">
        <v>1096</v>
      </c>
    </row>
    <row r="2398" ht="12.75" customHeight="1"/>
    <row r="2399" ht="12.75" customHeight="1">
      <c r="A2399" s="1" t="s">
        <v>360</v>
      </c>
    </row>
    <row r="2400" ht="12.75" customHeight="1">
      <c r="A2400" s="1" t="s">
        <v>1097</v>
      </c>
    </row>
    <row r="2401" ht="12.75" customHeight="1">
      <c r="A2401" s="1" t="s">
        <v>1098</v>
      </c>
    </row>
    <row r="2402" ht="12.75" customHeight="1">
      <c r="A2402" s="1" t="s">
        <v>1099</v>
      </c>
    </row>
    <row r="2403" ht="12.75" customHeight="1">
      <c r="A2403" s="1" t="s">
        <v>1100</v>
      </c>
    </row>
    <row r="2404" ht="12.75" customHeight="1"/>
    <row r="2405" ht="12.75" customHeight="1">
      <c r="A2405" s="1" t="s">
        <v>361</v>
      </c>
    </row>
    <row r="2406" ht="12.75" customHeight="1">
      <c r="A2406" s="1" t="s">
        <v>1101</v>
      </c>
    </row>
    <row r="2407" ht="12.75" customHeight="1">
      <c r="A2407" s="1" t="s">
        <v>1102</v>
      </c>
    </row>
    <row r="2408" ht="12.75" customHeight="1"/>
    <row r="2409" ht="12.75" customHeight="1">
      <c r="A2409" s="1" t="s">
        <v>362</v>
      </c>
    </row>
    <row r="2410" ht="12.75" customHeight="1">
      <c r="A2410" s="1" t="s">
        <v>1103</v>
      </c>
    </row>
    <row r="2411" ht="12.75" customHeight="1">
      <c r="A2411" s="1" t="s">
        <v>1104</v>
      </c>
    </row>
    <row r="2412" ht="12.75" customHeight="1"/>
    <row r="2413" ht="12.75" customHeight="1">
      <c r="A2413" s="1" t="s">
        <v>363</v>
      </c>
    </row>
    <row r="2414" ht="12.75" customHeight="1">
      <c r="A2414" s="1" t="s">
        <v>1105</v>
      </c>
    </row>
    <row r="2415" ht="12.75" customHeight="1">
      <c r="A2415" s="1" t="s">
        <v>1092</v>
      </c>
    </row>
    <row r="2416" ht="12.75" customHeight="1">
      <c r="A2416" s="1" t="s">
        <v>1051</v>
      </c>
    </row>
    <row r="2417" ht="12.75" customHeight="1">
      <c r="A2417" s="1" t="s">
        <v>600</v>
      </c>
    </row>
    <row r="2418" ht="12.75" customHeight="1">
      <c r="A2418" s="1" t="s">
        <v>1052</v>
      </c>
    </row>
    <row r="2419" ht="12.75" customHeight="1">
      <c r="A2419" s="1" t="s">
        <v>1074</v>
      </c>
    </row>
    <row r="2420" ht="12.75" customHeight="1">
      <c r="A2420" s="1" t="s">
        <v>500</v>
      </c>
    </row>
    <row r="2421" ht="12.75" customHeight="1">
      <c r="A2421" s="1" t="s">
        <v>970</v>
      </c>
    </row>
    <row r="2422" ht="12.75" customHeight="1"/>
    <row r="2423" ht="12.75" customHeight="1">
      <c r="A2423" s="1" t="s">
        <v>419</v>
      </c>
    </row>
    <row r="2424" ht="12.75" customHeight="1">
      <c r="A2424" s="1" t="s">
        <v>1054</v>
      </c>
    </row>
    <row r="2425" ht="12.75" customHeight="1">
      <c r="A2425" s="1" t="s">
        <v>605</v>
      </c>
    </row>
    <row r="2426" ht="12.75" customHeight="1">
      <c r="A2426" s="1" t="s">
        <v>972</v>
      </c>
    </row>
    <row r="2427" ht="12.75" customHeight="1"/>
    <row r="2428" ht="12.75" customHeight="1">
      <c r="A2428" s="1" t="s">
        <v>423</v>
      </c>
    </row>
    <row r="2429" ht="12.75" customHeight="1">
      <c r="A2429" s="1" t="s">
        <v>1056</v>
      </c>
    </row>
    <row r="2430" ht="12.75" customHeight="1">
      <c r="A2430" s="1" t="s">
        <v>974</v>
      </c>
    </row>
    <row r="2431" ht="12.75" customHeight="1">
      <c r="A2431" s="1" t="s">
        <v>975</v>
      </c>
    </row>
    <row r="2432" ht="12.75" customHeight="1">
      <c r="A2432" s="1" t="s">
        <v>976</v>
      </c>
    </row>
    <row r="2433" ht="12.75" customHeight="1">
      <c r="A2433" s="1" t="s">
        <v>1060</v>
      </c>
    </row>
    <row r="2434" ht="12.75" customHeight="1">
      <c r="A2434" s="1" t="s">
        <v>1106</v>
      </c>
    </row>
    <row r="2435" ht="12.75" customHeight="1">
      <c r="A2435" s="1" t="s">
        <v>1107</v>
      </c>
    </row>
    <row r="2436" ht="12.75" customHeight="1">
      <c r="A2436" s="1" t="s">
        <v>1108</v>
      </c>
    </row>
    <row r="2437" ht="12.75" customHeight="1"/>
    <row r="2438" ht="12.75" customHeight="1">
      <c r="A2438" s="1" t="s">
        <v>360</v>
      </c>
    </row>
    <row r="2439" ht="12.75" customHeight="1">
      <c r="A2439" s="1" t="s">
        <v>1109</v>
      </c>
    </row>
    <row r="2440" ht="12.75" customHeight="1">
      <c r="A2440" s="1" t="s">
        <v>1110</v>
      </c>
    </row>
    <row r="2441" ht="12.75" customHeight="1">
      <c r="A2441" s="1" t="s">
        <v>1111</v>
      </c>
    </row>
    <row r="2442" ht="12.75" customHeight="1">
      <c r="A2442" s="1" t="s">
        <v>1112</v>
      </c>
    </row>
    <row r="2443" ht="12.75" customHeight="1"/>
    <row r="2444" ht="12.75" customHeight="1">
      <c r="A2444" s="1" t="s">
        <v>361</v>
      </c>
    </row>
    <row r="2445" ht="12.75" customHeight="1">
      <c r="A2445" s="1" t="s">
        <v>1113</v>
      </c>
    </row>
    <row r="2446" ht="12.75" customHeight="1">
      <c r="A2446" s="1" t="s">
        <v>1114</v>
      </c>
    </row>
    <row r="2447" ht="12.75" customHeight="1"/>
    <row r="2448" ht="12.75" customHeight="1">
      <c r="A2448" s="1" t="s">
        <v>362</v>
      </c>
    </row>
    <row r="2449" ht="12.75" customHeight="1">
      <c r="A2449" s="1" t="s">
        <v>1115</v>
      </c>
    </row>
    <row r="2450" ht="12.75" customHeight="1">
      <c r="A2450" s="1" t="s">
        <v>1116</v>
      </c>
    </row>
    <row r="2451" ht="12.75" customHeight="1"/>
    <row r="2452" ht="12.75" customHeight="1">
      <c r="A2452" s="1" t="s">
        <v>363</v>
      </c>
    </row>
    <row r="2453" ht="12.75" customHeight="1">
      <c r="A2453" s="1" t="s">
        <v>1117</v>
      </c>
    </row>
    <row r="2454" ht="12.75" customHeight="1">
      <c r="A2454" s="1" t="s">
        <v>1118</v>
      </c>
    </row>
    <row r="2455" ht="12.75" customHeight="1">
      <c r="A2455" s="1" t="s">
        <v>1119</v>
      </c>
    </row>
    <row r="2456" ht="12.75" customHeight="1">
      <c r="A2456" s="1" t="s">
        <v>1120</v>
      </c>
    </row>
    <row r="2457" ht="12.75" customHeight="1">
      <c r="A2457" s="1" t="s">
        <v>1121</v>
      </c>
    </row>
    <row r="2458" ht="12.75" customHeight="1"/>
    <row r="2459" ht="12.75" customHeight="1">
      <c r="A2459" s="1" t="s">
        <v>360</v>
      </c>
    </row>
    <row r="2460" ht="12.75" customHeight="1">
      <c r="A2460" s="1" t="s">
        <v>1122</v>
      </c>
    </row>
    <row r="2461" ht="12.75" customHeight="1">
      <c r="A2461" s="1" t="s">
        <v>1123</v>
      </c>
    </row>
    <row r="2462" ht="12.75" customHeight="1">
      <c r="A2462" s="1" t="s">
        <v>1124</v>
      </c>
    </row>
    <row r="2463" ht="12.75" customHeight="1">
      <c r="A2463" s="1" t="s">
        <v>1125</v>
      </c>
    </row>
    <row r="2464" ht="12.75" customHeight="1"/>
    <row r="2465" ht="12.75" customHeight="1">
      <c r="A2465" s="1" t="s">
        <v>361</v>
      </c>
    </row>
    <row r="2466" ht="12.75" customHeight="1">
      <c r="A2466" s="1" t="s">
        <v>1126</v>
      </c>
    </row>
    <row r="2467" ht="12.75" customHeight="1">
      <c r="A2467" s="1" t="s">
        <v>1127</v>
      </c>
    </row>
    <row r="2468" ht="12.75" customHeight="1"/>
    <row r="2469" ht="12.75" customHeight="1">
      <c r="A2469" s="1" t="s">
        <v>362</v>
      </c>
    </row>
    <row r="2470" ht="12.75" customHeight="1">
      <c r="A2470" s="1" t="s">
        <v>1128</v>
      </c>
    </row>
    <row r="2471" ht="12.75" customHeight="1">
      <c r="A2471" s="1" t="s">
        <v>1129</v>
      </c>
    </row>
    <row r="2472" ht="12.75" customHeight="1"/>
    <row r="2473" ht="12.75" customHeight="1">
      <c r="A2473" s="1" t="s">
        <v>363</v>
      </c>
    </row>
    <row r="2474" ht="12.75" customHeight="1">
      <c r="A2474" s="1" t="s">
        <v>1130</v>
      </c>
    </row>
    <row r="2475" ht="12.75" customHeight="1">
      <c r="A2475" s="1" t="s">
        <v>1118</v>
      </c>
    </row>
    <row r="2476" ht="12.75" customHeight="1">
      <c r="A2476" s="1" t="s">
        <v>1131</v>
      </c>
    </row>
    <row r="2477" ht="12.75" customHeight="1">
      <c r="A2477" s="1" t="s">
        <v>1132</v>
      </c>
    </row>
    <row r="2478" ht="12.75" customHeight="1">
      <c r="A2478" s="1" t="s">
        <v>1082</v>
      </c>
    </row>
    <row r="2479" ht="12.75" customHeight="1"/>
    <row r="2480" ht="12.75" customHeight="1">
      <c r="A2480" s="1" t="s">
        <v>360</v>
      </c>
    </row>
    <row r="2481" ht="12.75" customHeight="1">
      <c r="A2481" s="1" t="s">
        <v>1133</v>
      </c>
    </row>
    <row r="2482" ht="12.75" customHeight="1">
      <c r="A2482" s="1" t="s">
        <v>1084</v>
      </c>
    </row>
    <row r="2483" ht="12.75" customHeight="1">
      <c r="A2483" s="1" t="s">
        <v>1085</v>
      </c>
    </row>
    <row r="2484" ht="12.75" customHeight="1">
      <c r="A2484" s="1" t="s">
        <v>1134</v>
      </c>
    </row>
    <row r="2485" ht="12.75" customHeight="1"/>
    <row r="2486" ht="12.75" customHeight="1">
      <c r="A2486" s="1" t="s">
        <v>361</v>
      </c>
    </row>
    <row r="2487" ht="12.75" customHeight="1">
      <c r="A2487" s="1" t="s">
        <v>1135</v>
      </c>
    </row>
    <row r="2488" ht="12.75" customHeight="1">
      <c r="A2488" s="1" t="s">
        <v>1136</v>
      </c>
    </row>
    <row r="2489" ht="12.75" customHeight="1"/>
    <row r="2490" ht="12.75" customHeight="1">
      <c r="A2490" s="1" t="s">
        <v>362</v>
      </c>
    </row>
    <row r="2491" ht="12.75" customHeight="1">
      <c r="A2491" s="1" t="s">
        <v>1089</v>
      </c>
    </row>
    <row r="2492" ht="12.75" customHeight="1">
      <c r="A2492" s="1" t="s">
        <v>1137</v>
      </c>
    </row>
    <row r="2493" ht="12.75" customHeight="1"/>
    <row r="2494" ht="12.75" customHeight="1">
      <c r="A2494" s="1" t="s">
        <v>363</v>
      </c>
    </row>
    <row r="2495" ht="12.75" customHeight="1">
      <c r="A2495" s="1" t="s">
        <v>1138</v>
      </c>
    </row>
    <row r="2496" ht="12.75" customHeight="1">
      <c r="A2496" s="1" t="s">
        <v>1139</v>
      </c>
    </row>
    <row r="2497" ht="12.75" customHeight="1">
      <c r="A2497" s="1" t="s">
        <v>1140</v>
      </c>
    </row>
    <row r="2498" ht="12.75" customHeight="1">
      <c r="A2498" s="1" t="s">
        <v>1141</v>
      </c>
    </row>
    <row r="2499" ht="12.75" customHeight="1">
      <c r="A2499" s="1" t="s">
        <v>1096</v>
      </c>
    </row>
    <row r="2500" ht="12.75" customHeight="1"/>
    <row r="2501" ht="12.75" customHeight="1">
      <c r="A2501" s="1" t="s">
        <v>360</v>
      </c>
    </row>
    <row r="2502" ht="12.75" customHeight="1">
      <c r="A2502" s="1" t="s">
        <v>1142</v>
      </c>
    </row>
    <row r="2503" ht="12.75" customHeight="1">
      <c r="A2503" s="1" t="s">
        <v>1143</v>
      </c>
    </row>
    <row r="2504" ht="12.75" customHeight="1">
      <c r="A2504" s="1" t="s">
        <v>1099</v>
      </c>
    </row>
    <row r="2505" ht="12.75" customHeight="1">
      <c r="A2505" s="1" t="s">
        <v>1144</v>
      </c>
    </row>
    <row r="2506" ht="12.75" customHeight="1"/>
    <row r="2507" ht="12.75" customHeight="1">
      <c r="A2507" s="1" t="s">
        <v>361</v>
      </c>
    </row>
    <row r="2508" ht="12.75" customHeight="1">
      <c r="A2508" s="1" t="s">
        <v>1145</v>
      </c>
    </row>
    <row r="2509" ht="12.75" customHeight="1">
      <c r="A2509" s="1" t="s">
        <v>1146</v>
      </c>
    </row>
    <row r="2510" ht="12.75" customHeight="1"/>
    <row r="2511" ht="12.75" customHeight="1">
      <c r="A2511" s="1" t="s">
        <v>362</v>
      </c>
    </row>
    <row r="2512" ht="12.75" customHeight="1">
      <c r="A2512" s="1" t="s">
        <v>1103</v>
      </c>
    </row>
    <row r="2513" ht="12.75" customHeight="1">
      <c r="A2513" s="1" t="s">
        <v>1147</v>
      </c>
    </row>
    <row r="2514" ht="12.75" customHeight="1"/>
    <row r="2515" ht="12.75" customHeight="1">
      <c r="A2515" s="1" t="s">
        <v>363</v>
      </c>
    </row>
    <row r="2516" ht="12.75" customHeight="1">
      <c r="A2516" s="1" t="s">
        <v>1148</v>
      </c>
    </row>
    <row r="2517" ht="12.75" customHeight="1">
      <c r="A2517" s="1" t="s">
        <v>1139</v>
      </c>
    </row>
    <row r="2518" ht="12.75" customHeight="1">
      <c r="A2518" s="1" t="s">
        <v>1149</v>
      </c>
    </row>
    <row r="2519" ht="12.75" customHeight="1">
      <c r="A2519" s="1" t="s">
        <v>1150</v>
      </c>
    </row>
    <row r="2520" ht="12.75" customHeight="1">
      <c r="A2520" s="1" t="s">
        <v>1108</v>
      </c>
    </row>
    <row r="2521" ht="12.75" customHeight="1"/>
    <row r="2522" ht="12.75" customHeight="1">
      <c r="A2522" s="1" t="s">
        <v>360</v>
      </c>
    </row>
    <row r="2523" ht="12.75" customHeight="1">
      <c r="A2523" s="1" t="s">
        <v>1151</v>
      </c>
    </row>
    <row r="2524" ht="12.75" customHeight="1">
      <c r="A2524" s="1" t="s">
        <v>1110</v>
      </c>
    </row>
    <row r="2525" ht="12.75" customHeight="1">
      <c r="A2525" s="1" t="s">
        <v>1111</v>
      </c>
    </row>
    <row r="2526" ht="12.75" customHeight="1">
      <c r="A2526" s="1" t="s">
        <v>1152</v>
      </c>
    </row>
    <row r="2527" ht="12.75" customHeight="1"/>
    <row r="2528" ht="12.75" customHeight="1">
      <c r="A2528" s="1" t="s">
        <v>361</v>
      </c>
    </row>
    <row r="2529" ht="12.75" customHeight="1">
      <c r="A2529" s="1" t="s">
        <v>1153</v>
      </c>
    </row>
    <row r="2530" ht="12.75" customHeight="1">
      <c r="A2530" s="1" t="s">
        <v>1154</v>
      </c>
    </row>
    <row r="2531" ht="12.75" customHeight="1"/>
    <row r="2532" ht="12.75" customHeight="1">
      <c r="A2532" s="1" t="s">
        <v>362</v>
      </c>
    </row>
    <row r="2533" ht="12.75" customHeight="1">
      <c r="A2533" s="1" t="s">
        <v>1155</v>
      </c>
    </row>
    <row r="2534" ht="12.75" customHeight="1">
      <c r="A2534" s="1" t="s">
        <v>1156</v>
      </c>
    </row>
    <row r="2535" ht="12.75" customHeight="1"/>
    <row r="2536" ht="12.75" customHeight="1">
      <c r="A2536" s="1" t="s">
        <v>363</v>
      </c>
    </row>
    <row r="2537" ht="12.75" customHeight="1">
      <c r="A2537" s="1" t="s">
        <v>1157</v>
      </c>
    </row>
    <row r="2538" ht="12.75" customHeight="1">
      <c r="A2538" s="1" t="s">
        <v>1139</v>
      </c>
    </row>
    <row r="2539" ht="12.75" customHeight="1">
      <c r="A2539" s="1" t="s">
        <v>1158</v>
      </c>
    </row>
    <row r="2540" ht="12.75" customHeight="1">
      <c r="A2540" s="1" t="s">
        <v>1051</v>
      </c>
    </row>
    <row r="2541" ht="12.75" customHeight="1">
      <c r="A2541" s="1" t="s">
        <v>1052</v>
      </c>
    </row>
    <row r="2542" ht="12.75" customHeight="1">
      <c r="A2542" s="1" t="s">
        <v>600</v>
      </c>
    </row>
    <row r="2543" ht="12.75" customHeight="1">
      <c r="A2543" s="1" t="s">
        <v>1074</v>
      </c>
    </row>
    <row r="2544" ht="12.75" customHeight="1">
      <c r="A2544" s="1" t="s">
        <v>1159</v>
      </c>
    </row>
    <row r="2545" ht="12.75" customHeight="1">
      <c r="A2545" s="1" t="s">
        <v>1160</v>
      </c>
    </row>
    <row r="2546" ht="12.75" customHeight="1"/>
    <row r="2547" ht="12.75" customHeight="1">
      <c r="A2547" s="1" t="s">
        <v>419</v>
      </c>
    </row>
    <row r="2548" ht="12.75" customHeight="1">
      <c r="A2548" s="1" t="s">
        <v>604</v>
      </c>
    </row>
    <row r="2549" ht="12.75" customHeight="1">
      <c r="A2549" s="1" t="s">
        <v>605</v>
      </c>
    </row>
    <row r="2550" ht="12.75" customHeight="1">
      <c r="A2550" s="1" t="s">
        <v>606</v>
      </c>
    </row>
    <row r="2551" ht="12.75" customHeight="1"/>
    <row r="2552" ht="12.75" customHeight="1">
      <c r="A2552" s="1" t="s">
        <v>423</v>
      </c>
    </row>
    <row r="2553" ht="12.75" customHeight="1">
      <c r="A2553" s="1" t="s">
        <v>607</v>
      </c>
    </row>
    <row r="2554" ht="12.75" customHeight="1">
      <c r="A2554" s="1" t="s">
        <v>1161</v>
      </c>
    </row>
    <row r="2555" ht="12.75" customHeight="1">
      <c r="A2555" s="1" t="s">
        <v>609</v>
      </c>
    </row>
    <row r="2556" ht="12.75" customHeight="1">
      <c r="A2556" s="1" t="s">
        <v>610</v>
      </c>
    </row>
    <row r="2557" ht="12.75" customHeight="1">
      <c r="A2557" s="1" t="s">
        <v>611</v>
      </c>
    </row>
    <row r="2558" ht="12.75" customHeight="1">
      <c r="A2558" s="1" t="s">
        <v>1162</v>
      </c>
    </row>
    <row r="2559" ht="12.75" customHeight="1">
      <c r="A2559" s="1" t="s">
        <v>1051</v>
      </c>
    </row>
    <row r="2560" ht="12.75" customHeight="1">
      <c r="A2560" s="1" t="s">
        <v>1052</v>
      </c>
    </row>
    <row r="2561" ht="12.75" customHeight="1">
      <c r="A2561" s="1" t="s">
        <v>600</v>
      </c>
    </row>
    <row r="2562" ht="12.75" customHeight="1">
      <c r="A2562" s="1" t="s">
        <v>1074</v>
      </c>
    </row>
    <row r="2563" ht="12.75" customHeight="1">
      <c r="A2563" s="1" t="s">
        <v>1159</v>
      </c>
    </row>
    <row r="2564" ht="12.75" customHeight="1">
      <c r="A2564" s="1" t="s">
        <v>1160</v>
      </c>
    </row>
    <row r="2565" ht="12.75" customHeight="1"/>
    <row r="2566" ht="12.75" customHeight="1">
      <c r="A2566" s="1" t="s">
        <v>419</v>
      </c>
    </row>
    <row r="2567" ht="12.75" customHeight="1">
      <c r="A2567" s="1" t="s">
        <v>604</v>
      </c>
    </row>
    <row r="2568" ht="12.75" customHeight="1">
      <c r="A2568" s="1" t="s">
        <v>605</v>
      </c>
    </row>
    <row r="2569" ht="12.75" customHeight="1">
      <c r="A2569" s="1" t="s">
        <v>606</v>
      </c>
    </row>
    <row r="2570" ht="12.75" customHeight="1"/>
    <row r="2571" ht="12.75" customHeight="1">
      <c r="A2571" s="1" t="s">
        <v>423</v>
      </c>
    </row>
    <row r="2572" ht="12.75" customHeight="1">
      <c r="A2572" s="1" t="s">
        <v>607</v>
      </c>
    </row>
    <row r="2573" ht="12.75" customHeight="1">
      <c r="A2573" s="1" t="s">
        <v>1161</v>
      </c>
    </row>
    <row r="2574" ht="12.75" customHeight="1">
      <c r="A2574" s="1" t="s">
        <v>609</v>
      </c>
    </row>
    <row r="2575" ht="12.75" customHeight="1">
      <c r="A2575" s="1" t="s">
        <v>610</v>
      </c>
    </row>
    <row r="2576" ht="12.75" customHeight="1">
      <c r="A2576" s="1" t="s">
        <v>611</v>
      </c>
    </row>
    <row r="2577" ht="12.75" customHeight="1">
      <c r="A2577" s="1" t="s">
        <v>1163</v>
      </c>
    </row>
    <row r="2578" ht="12.75" customHeight="1">
      <c r="A2578" s="1" t="s">
        <v>1164</v>
      </c>
    </row>
    <row r="2579" ht="12.75" customHeight="1">
      <c r="A2579" s="1" t="s">
        <v>1165</v>
      </c>
    </row>
    <row r="2580" ht="12.75" customHeight="1"/>
    <row r="2581" ht="12.75" customHeight="1">
      <c r="A2581" s="1" t="s">
        <v>360</v>
      </c>
    </row>
    <row r="2582" ht="12.75" customHeight="1">
      <c r="A2582" s="1" t="s">
        <v>1166</v>
      </c>
    </row>
    <row r="2583" ht="12.75" customHeight="1">
      <c r="A2583" s="1" t="s">
        <v>1167</v>
      </c>
    </row>
    <row r="2584" ht="12.75" customHeight="1">
      <c r="A2584" s="1" t="s">
        <v>1168</v>
      </c>
    </row>
    <row r="2585" ht="12.75" customHeight="1">
      <c r="A2585" s="1" t="s">
        <v>1169</v>
      </c>
    </row>
    <row r="2586" ht="12.75" customHeight="1"/>
    <row r="2587" ht="12.75" customHeight="1">
      <c r="A2587" s="1" t="s">
        <v>361</v>
      </c>
    </row>
    <row r="2588" ht="12.75" customHeight="1">
      <c r="A2588" s="1" t="s">
        <v>1170</v>
      </c>
    </row>
    <row r="2589" ht="12.75" customHeight="1">
      <c r="A2589" s="1" t="s">
        <v>1171</v>
      </c>
    </row>
    <row r="2590" ht="12.75" customHeight="1"/>
    <row r="2591" ht="12.75" customHeight="1">
      <c r="A2591" s="1" t="s">
        <v>362</v>
      </c>
    </row>
    <row r="2592" ht="12.75" customHeight="1">
      <c r="A2592" s="1" t="s">
        <v>1172</v>
      </c>
    </row>
    <row r="2593" ht="12.75" customHeight="1">
      <c r="A2593" s="1" t="s">
        <v>1173</v>
      </c>
    </row>
    <row r="2594" ht="12.75" customHeight="1"/>
    <row r="2595" ht="12.75" customHeight="1">
      <c r="A2595" s="1" t="s">
        <v>363</v>
      </c>
    </row>
    <row r="2596" ht="12.75" customHeight="1">
      <c r="A2596" s="1" t="s">
        <v>1174</v>
      </c>
    </row>
    <row r="2597" ht="12.75" customHeight="1">
      <c r="A2597" s="1" t="s">
        <v>1175</v>
      </c>
    </row>
    <row r="2598" ht="12.75" customHeight="1">
      <c r="A2598" s="1" t="s">
        <v>1051</v>
      </c>
    </row>
    <row r="2599" ht="12.75" customHeight="1">
      <c r="A2599" s="1" t="s">
        <v>1052</v>
      </c>
    </row>
    <row r="2600" ht="12.75" customHeight="1">
      <c r="A2600" s="1" t="s">
        <v>600</v>
      </c>
    </row>
    <row r="2601" ht="12.75" customHeight="1">
      <c r="A2601" s="1" t="s">
        <v>1074</v>
      </c>
    </row>
    <row r="2602" ht="12.75" customHeight="1">
      <c r="A2602" s="1" t="s">
        <v>1159</v>
      </c>
    </row>
    <row r="2603" ht="12.75" customHeight="1">
      <c r="A2603" s="1" t="s">
        <v>1160</v>
      </c>
    </row>
    <row r="2604" ht="12.75" customHeight="1"/>
    <row r="2605" ht="12.75" customHeight="1">
      <c r="A2605" s="1" t="s">
        <v>419</v>
      </c>
    </row>
    <row r="2606" ht="12.75" customHeight="1">
      <c r="A2606" s="1" t="s">
        <v>604</v>
      </c>
    </row>
    <row r="2607" ht="12.75" customHeight="1">
      <c r="A2607" s="1" t="s">
        <v>605</v>
      </c>
    </row>
    <row r="2608" ht="12.75" customHeight="1">
      <c r="A2608" s="1" t="s">
        <v>606</v>
      </c>
    </row>
    <row r="2609" ht="12.75" customHeight="1"/>
    <row r="2610" ht="12.75" customHeight="1">
      <c r="A2610" s="1" t="s">
        <v>423</v>
      </c>
    </row>
    <row r="2611" ht="12.75" customHeight="1">
      <c r="A2611" s="1" t="s">
        <v>607</v>
      </c>
    </row>
    <row r="2612" ht="12.75" customHeight="1">
      <c r="A2612" s="1" t="s">
        <v>1161</v>
      </c>
    </row>
    <row r="2613" ht="12.75" customHeight="1">
      <c r="A2613" s="1" t="s">
        <v>609</v>
      </c>
    </row>
    <row r="2614" ht="12.75" customHeight="1">
      <c r="A2614" s="1" t="s">
        <v>610</v>
      </c>
    </row>
    <row r="2615" ht="12.75" customHeight="1">
      <c r="A2615" s="1" t="s">
        <v>611</v>
      </c>
    </row>
    <row r="2616" ht="12.75" customHeight="1">
      <c r="A2616" s="1" t="s">
        <v>1176</v>
      </c>
    </row>
    <row r="2617" ht="12.75" customHeight="1">
      <c r="A2617" s="1" t="s">
        <v>1164</v>
      </c>
    </row>
    <row r="2618" ht="12.75" customHeight="1">
      <c r="A2618" s="1" t="s">
        <v>1165</v>
      </c>
    </row>
    <row r="2619" ht="12.75" customHeight="1"/>
    <row r="2620" ht="12.75" customHeight="1">
      <c r="A2620" s="1" t="s">
        <v>360</v>
      </c>
    </row>
    <row r="2621" ht="12.75" customHeight="1">
      <c r="A2621" s="1" t="s">
        <v>1166</v>
      </c>
    </row>
    <row r="2622" ht="12.75" customHeight="1">
      <c r="A2622" s="1" t="s">
        <v>1167</v>
      </c>
    </row>
    <row r="2623" ht="12.75" customHeight="1">
      <c r="A2623" s="1" t="s">
        <v>1168</v>
      </c>
    </row>
    <row r="2624" ht="12.75" customHeight="1">
      <c r="A2624" s="1" t="s">
        <v>1169</v>
      </c>
    </row>
    <row r="2625" ht="12.75" customHeight="1"/>
    <row r="2626" ht="12.75" customHeight="1">
      <c r="A2626" s="1" t="s">
        <v>361</v>
      </c>
    </row>
    <row r="2627" ht="12.75" customHeight="1">
      <c r="A2627" s="1" t="s">
        <v>1170</v>
      </c>
    </row>
    <row r="2628" ht="12.75" customHeight="1">
      <c r="A2628" s="1" t="s">
        <v>1171</v>
      </c>
    </row>
    <row r="2629" ht="12.75" customHeight="1"/>
    <row r="2630" ht="12.75" customHeight="1">
      <c r="A2630" s="1" t="s">
        <v>362</v>
      </c>
    </row>
    <row r="2631" ht="12.75" customHeight="1">
      <c r="A2631" s="1" t="s">
        <v>1172</v>
      </c>
    </row>
    <row r="2632" ht="12.75" customHeight="1">
      <c r="A2632" s="1" t="s">
        <v>1173</v>
      </c>
    </row>
    <row r="2633" ht="12.75" customHeight="1"/>
    <row r="2634" ht="12.75" customHeight="1">
      <c r="A2634" s="1" t="s">
        <v>363</v>
      </c>
    </row>
    <row r="2635" ht="12.75" customHeight="1">
      <c r="A2635" s="1" t="s">
        <v>1174</v>
      </c>
    </row>
    <row r="2636" ht="12.75" customHeight="1">
      <c r="A2636" s="1" t="s">
        <v>1175</v>
      </c>
    </row>
    <row r="2637" ht="12.75" customHeight="1">
      <c r="A2637" s="1" t="s">
        <v>1051</v>
      </c>
    </row>
    <row r="2638" ht="12.75" customHeight="1">
      <c r="A2638" s="1" t="s">
        <v>1052</v>
      </c>
    </row>
    <row r="2639" ht="12.75" customHeight="1">
      <c r="A2639" s="1" t="s">
        <v>600</v>
      </c>
    </row>
    <row r="2640" ht="12.75" customHeight="1">
      <c r="A2640" s="1" t="s">
        <v>1074</v>
      </c>
    </row>
    <row r="2641" ht="12.75" customHeight="1">
      <c r="A2641" s="1" t="s">
        <v>1159</v>
      </c>
    </row>
    <row r="2642" ht="12.75" customHeight="1">
      <c r="A2642" s="1" t="s">
        <v>1160</v>
      </c>
    </row>
    <row r="2643" ht="12.75" customHeight="1"/>
    <row r="2644" ht="12.75" customHeight="1">
      <c r="A2644" s="1" t="s">
        <v>419</v>
      </c>
    </row>
    <row r="2645" ht="12.75" customHeight="1">
      <c r="A2645" s="1" t="s">
        <v>604</v>
      </c>
    </row>
    <row r="2646" ht="12.75" customHeight="1">
      <c r="A2646" s="1" t="s">
        <v>605</v>
      </c>
    </row>
    <row r="2647" ht="12.75" customHeight="1">
      <c r="A2647" s="1" t="s">
        <v>606</v>
      </c>
    </row>
    <row r="2648" ht="12.75" customHeight="1"/>
    <row r="2649" ht="12.75" customHeight="1">
      <c r="A2649" s="1" t="s">
        <v>423</v>
      </c>
    </row>
    <row r="2650" ht="12.75" customHeight="1">
      <c r="A2650" s="1" t="s">
        <v>607</v>
      </c>
    </row>
    <row r="2651" ht="12.75" customHeight="1">
      <c r="A2651" s="1" t="s">
        <v>1161</v>
      </c>
    </row>
    <row r="2652" ht="12.75" customHeight="1">
      <c r="A2652" s="1" t="s">
        <v>609</v>
      </c>
    </row>
    <row r="2653" ht="12.75" customHeight="1">
      <c r="A2653" s="1" t="s">
        <v>610</v>
      </c>
    </row>
    <row r="2654" ht="12.75" customHeight="1">
      <c r="A2654" s="1" t="s">
        <v>611</v>
      </c>
    </row>
    <row r="2655" ht="12.75" customHeight="1">
      <c r="A2655" s="1" t="s">
        <v>1177</v>
      </c>
    </row>
    <row r="2656" ht="12.75" customHeight="1">
      <c r="A2656" s="1" t="s">
        <v>1178</v>
      </c>
    </row>
    <row r="2657" ht="12.75" customHeight="1">
      <c r="A2657" s="1" t="s">
        <v>1179</v>
      </c>
    </row>
    <row r="2658" ht="12.75" customHeight="1"/>
    <row r="2659" ht="12.75" customHeight="1">
      <c r="A2659" s="1" t="s">
        <v>360</v>
      </c>
    </row>
    <row r="2660" ht="12.75" customHeight="1">
      <c r="A2660" s="1" t="s">
        <v>1180</v>
      </c>
    </row>
    <row r="2661" ht="12.75" customHeight="1">
      <c r="A2661" s="1" t="s">
        <v>1181</v>
      </c>
    </row>
    <row r="2662" ht="12.75" customHeight="1">
      <c r="A2662" s="1" t="s">
        <v>1182</v>
      </c>
    </row>
    <row r="2663" ht="12.75" customHeight="1">
      <c r="A2663" s="1" t="s">
        <v>1183</v>
      </c>
    </row>
    <row r="2664" ht="12.75" customHeight="1"/>
    <row r="2665" ht="12.75" customHeight="1">
      <c r="A2665" s="1" t="s">
        <v>361</v>
      </c>
    </row>
    <row r="2666" ht="12.75" customHeight="1">
      <c r="A2666" s="1" t="s">
        <v>1184</v>
      </c>
    </row>
    <row r="2667" ht="12.75" customHeight="1">
      <c r="A2667" s="1" t="s">
        <v>1185</v>
      </c>
    </row>
    <row r="2668" ht="12.75" customHeight="1"/>
    <row r="2669" ht="12.75" customHeight="1">
      <c r="A2669" s="1" t="s">
        <v>362</v>
      </c>
    </row>
    <row r="2670" ht="12.75" customHeight="1">
      <c r="A2670" s="1" t="s">
        <v>1186</v>
      </c>
    </row>
    <row r="2671" ht="12.75" customHeight="1">
      <c r="A2671" s="1" t="s">
        <v>1187</v>
      </c>
    </row>
    <row r="2672" ht="12.75" customHeight="1"/>
    <row r="2673" ht="12.75" customHeight="1">
      <c r="A2673" s="1" t="s">
        <v>363</v>
      </c>
    </row>
    <row r="2674" ht="12.75" customHeight="1">
      <c r="A2674" s="1" t="s">
        <v>1188</v>
      </c>
    </row>
    <row r="2675" ht="12.75" customHeight="1">
      <c r="A2675" s="1" t="s">
        <v>1189</v>
      </c>
    </row>
    <row r="2676" ht="12.75" customHeight="1">
      <c r="A2676" s="1" t="s">
        <v>1190</v>
      </c>
    </row>
    <row r="2677" ht="12.75" customHeight="1">
      <c r="A2677" s="1" t="s">
        <v>1191</v>
      </c>
    </row>
    <row r="2678" ht="12.75" customHeight="1">
      <c r="A2678" s="1" t="s">
        <v>1192</v>
      </c>
    </row>
    <row r="2679" ht="12.75" customHeight="1">
      <c r="A2679" s="1" t="s">
        <v>1193</v>
      </c>
    </row>
    <row r="2680" ht="12.75" customHeight="1">
      <c r="A2680" s="1" t="s">
        <v>500</v>
      </c>
    </row>
    <row r="2681" ht="12.75" customHeight="1">
      <c r="A2681" s="1" t="s">
        <v>501</v>
      </c>
    </row>
    <row r="2682" ht="12.75" customHeight="1"/>
    <row r="2683" ht="12.75" customHeight="1">
      <c r="A2683" s="1" t="s">
        <v>419</v>
      </c>
    </row>
    <row r="2684" ht="12.75" customHeight="1">
      <c r="A2684" s="1" t="s">
        <v>1194</v>
      </c>
    </row>
    <row r="2685" ht="12.75" customHeight="1">
      <c r="A2685" s="1" t="s">
        <v>1195</v>
      </c>
    </row>
    <row r="2686" ht="12.75" customHeight="1">
      <c r="A2686" s="1" t="s">
        <v>1196</v>
      </c>
    </row>
    <row r="2687" ht="12.75" customHeight="1"/>
    <row r="2688" ht="12.75" customHeight="1">
      <c r="A2688" s="1" t="s">
        <v>423</v>
      </c>
    </row>
    <row r="2689" ht="12.75" customHeight="1">
      <c r="A2689" s="1" t="s">
        <v>1197</v>
      </c>
    </row>
    <row r="2690" ht="12.75" customHeight="1">
      <c r="A2690" s="1" t="s">
        <v>974</v>
      </c>
    </row>
    <row r="2691" ht="12.75" customHeight="1">
      <c r="A2691" s="1" t="s">
        <v>1198</v>
      </c>
    </row>
    <row r="2692" ht="12.75" customHeight="1">
      <c r="A2692" s="1" t="s">
        <v>997</v>
      </c>
    </row>
    <row r="2693" ht="12.75" customHeight="1">
      <c r="A2693" s="1" t="s">
        <v>998</v>
      </c>
    </row>
    <row r="2694" ht="12.75" customHeight="1">
      <c r="A2694" s="1" t="s">
        <v>1199</v>
      </c>
    </row>
    <row r="2695" ht="12.75" customHeight="1">
      <c r="A2695" s="1" t="s">
        <v>1200</v>
      </c>
    </row>
    <row r="2696" ht="12.75" customHeight="1">
      <c r="A2696" s="1" t="s">
        <v>1201</v>
      </c>
    </row>
    <row r="2697" ht="12.75" customHeight="1"/>
    <row r="2698" ht="12.75" customHeight="1">
      <c r="A2698" s="1" t="s">
        <v>360</v>
      </c>
    </row>
    <row r="2699" ht="12.75" customHeight="1">
      <c r="A2699" s="1" t="s">
        <v>1202</v>
      </c>
    </row>
    <row r="2700" ht="12.75" customHeight="1">
      <c r="A2700" s="1" t="s">
        <v>1203</v>
      </c>
    </row>
    <row r="2701" ht="12.75" customHeight="1">
      <c r="A2701" s="1" t="s">
        <v>447</v>
      </c>
    </row>
    <row r="2702" ht="12.75" customHeight="1">
      <c r="A2702" s="1" t="s">
        <v>1204</v>
      </c>
    </row>
    <row r="2703" ht="12.75" customHeight="1"/>
    <row r="2704" ht="12.75" customHeight="1">
      <c r="A2704" s="1" t="s">
        <v>361</v>
      </c>
    </row>
    <row r="2705" ht="12.75" customHeight="1">
      <c r="A2705" s="1" t="s">
        <v>1205</v>
      </c>
    </row>
    <row r="2706" ht="12.75" customHeight="1">
      <c r="A2706" s="1" t="s">
        <v>1206</v>
      </c>
    </row>
    <row r="2707" ht="12.75" customHeight="1"/>
    <row r="2708" ht="12.75" customHeight="1">
      <c r="A2708" s="1" t="s">
        <v>362</v>
      </c>
    </row>
    <row r="2709" ht="12.75" customHeight="1">
      <c r="A2709" s="1" t="s">
        <v>1207</v>
      </c>
    </row>
    <row r="2710" ht="12.75" customHeight="1">
      <c r="A2710" s="1" t="s">
        <v>1208</v>
      </c>
    </row>
    <row r="2711" ht="12.75" customHeight="1"/>
    <row r="2712" ht="12.75" customHeight="1">
      <c r="A2712" s="1" t="s">
        <v>363</v>
      </c>
    </row>
    <row r="2713" ht="12.75" customHeight="1">
      <c r="A2713" s="1" t="s">
        <v>1209</v>
      </c>
    </row>
    <row r="2714" ht="12.75" customHeight="1">
      <c r="A2714" s="1" t="s">
        <v>1210</v>
      </c>
    </row>
    <row r="2715" ht="12.75" customHeight="1">
      <c r="A2715" s="1" t="s">
        <v>1211</v>
      </c>
    </row>
    <row r="2716" ht="12.75" customHeight="1">
      <c r="A2716" s="1" t="s">
        <v>1212</v>
      </c>
    </row>
    <row r="2717" ht="12.75" customHeight="1">
      <c r="A2717" s="1" t="s">
        <v>545</v>
      </c>
    </row>
    <row r="2718" ht="12.75" customHeight="1">
      <c r="A2718" s="1" t="s">
        <v>1213</v>
      </c>
    </row>
    <row r="2719" ht="12.75" customHeight="1">
      <c r="A2719" s="1" t="s">
        <v>1214</v>
      </c>
    </row>
    <row r="2720" ht="12.75" customHeight="1">
      <c r="A2720" s="1" t="s">
        <v>1215</v>
      </c>
    </row>
    <row r="2721" ht="12.75" customHeight="1"/>
    <row r="2722" ht="12.75" customHeight="1">
      <c r="A2722" s="1" t="s">
        <v>419</v>
      </c>
    </row>
    <row r="2723" ht="12.75" customHeight="1">
      <c r="A2723" s="1" t="s">
        <v>1216</v>
      </c>
    </row>
    <row r="2724" ht="12.75" customHeight="1">
      <c r="A2724" s="1" t="s">
        <v>1217</v>
      </c>
    </row>
    <row r="2725" ht="12.75" customHeight="1">
      <c r="A2725" s="1" t="s">
        <v>1218</v>
      </c>
    </row>
    <row r="2726" ht="12.75" customHeight="1"/>
    <row r="2727" ht="12.75" customHeight="1">
      <c r="A2727" s="1" t="s">
        <v>423</v>
      </c>
    </row>
    <row r="2728" ht="12.75" customHeight="1">
      <c r="A2728" s="1" t="s">
        <v>1219</v>
      </c>
    </row>
    <row r="2729" ht="12.75" customHeight="1">
      <c r="A2729" s="1" t="s">
        <v>544</v>
      </c>
    </row>
    <row r="2730" ht="12.75" customHeight="1">
      <c r="A2730" s="1" t="s">
        <v>1220</v>
      </c>
    </row>
    <row r="2731" ht="12.75" customHeight="1">
      <c r="A2731" s="1" t="s">
        <v>1221</v>
      </c>
    </row>
    <row r="2732" ht="12.75" customHeight="1">
      <c r="A2732" s="1" t="s">
        <v>1222</v>
      </c>
    </row>
    <row r="2733" ht="12.75" customHeight="1">
      <c r="A2733" s="1" t="s">
        <v>1223</v>
      </c>
    </row>
    <row r="2734" ht="12.75" customHeight="1">
      <c r="A2734" s="1" t="s">
        <v>1224</v>
      </c>
    </row>
    <row r="2735" ht="12.75" customHeight="1">
      <c r="A2735" s="1" t="s">
        <v>1225</v>
      </c>
    </row>
    <row r="2736" ht="12.75" customHeight="1"/>
    <row r="2737" ht="12.75" customHeight="1">
      <c r="A2737" s="1" t="s">
        <v>360</v>
      </c>
    </row>
    <row r="2738" ht="12.75" customHeight="1">
      <c r="A2738" s="1" t="s">
        <v>1226</v>
      </c>
    </row>
    <row r="2739" ht="12.75" customHeight="1">
      <c r="A2739" s="1" t="s">
        <v>1227</v>
      </c>
    </row>
    <row r="2740" ht="12.75" customHeight="1">
      <c r="A2740" s="1" t="s">
        <v>1228</v>
      </c>
    </row>
    <row r="2741" ht="12.75" customHeight="1">
      <c r="A2741" s="1" t="s">
        <v>1229</v>
      </c>
    </row>
    <row r="2742" ht="12.75" customHeight="1"/>
    <row r="2743" ht="12.75" customHeight="1">
      <c r="A2743" s="1" t="s">
        <v>361</v>
      </c>
    </row>
    <row r="2744" ht="12.75" customHeight="1">
      <c r="A2744" s="1" t="s">
        <v>1230</v>
      </c>
    </row>
    <row r="2745" ht="12.75" customHeight="1">
      <c r="A2745" s="1" t="s">
        <v>1231</v>
      </c>
    </row>
    <row r="2746" ht="12.75" customHeight="1"/>
    <row r="2747" ht="12.75" customHeight="1">
      <c r="A2747" s="1" t="s">
        <v>362</v>
      </c>
    </row>
    <row r="2748" ht="12.75" customHeight="1">
      <c r="A2748" s="1" t="s">
        <v>1232</v>
      </c>
    </row>
    <row r="2749" ht="12.75" customHeight="1">
      <c r="A2749" s="1" t="s">
        <v>1233</v>
      </c>
    </row>
    <row r="2750" ht="12.75" customHeight="1"/>
    <row r="2751" ht="12.75" customHeight="1">
      <c r="A2751" s="1" t="s">
        <v>363</v>
      </c>
    </row>
    <row r="2752" ht="12.75" customHeight="1">
      <c r="A2752" s="1" t="s">
        <v>1234</v>
      </c>
    </row>
    <row r="2753" ht="12.75" customHeight="1">
      <c r="A2753" s="1" t="s">
        <v>1235</v>
      </c>
    </row>
    <row r="2754" ht="12.75" customHeight="1">
      <c r="A2754" s="1" t="s">
        <v>1236</v>
      </c>
    </row>
    <row r="2755" ht="12.75" customHeight="1">
      <c r="A2755" s="1" t="s">
        <v>1237</v>
      </c>
    </row>
    <row r="2756" ht="12.75" customHeight="1">
      <c r="A2756" s="1" t="s">
        <v>1167</v>
      </c>
    </row>
    <row r="2757" ht="12.75" customHeight="1">
      <c r="A2757" s="1" t="s">
        <v>1238</v>
      </c>
    </row>
    <row r="2758" ht="12.75" customHeight="1">
      <c r="A2758" s="1" t="s">
        <v>500</v>
      </c>
    </row>
    <row r="2759" ht="12.75" customHeight="1">
      <c r="A2759" s="1" t="s">
        <v>970</v>
      </c>
    </row>
    <row r="2760" ht="12.75" customHeight="1"/>
    <row r="2761" ht="12.75" customHeight="1">
      <c r="A2761" s="1" t="s">
        <v>419</v>
      </c>
    </row>
    <row r="2762" ht="12.75" customHeight="1">
      <c r="A2762" s="1" t="s">
        <v>971</v>
      </c>
    </row>
    <row r="2763" ht="12.75" customHeight="1">
      <c r="A2763" s="1" t="s">
        <v>605</v>
      </c>
    </row>
    <row r="2764" ht="12.75" customHeight="1">
      <c r="A2764" s="1" t="s">
        <v>972</v>
      </c>
    </row>
    <row r="2765" ht="12.75" customHeight="1"/>
    <row r="2766" ht="12.75" customHeight="1">
      <c r="A2766" s="1" t="s">
        <v>423</v>
      </c>
    </row>
    <row r="2767" ht="12.75" customHeight="1">
      <c r="A2767" s="1" t="s">
        <v>973</v>
      </c>
    </row>
    <row r="2768" ht="12.75" customHeight="1">
      <c r="A2768" s="1" t="s">
        <v>974</v>
      </c>
    </row>
    <row r="2769" ht="12.75" customHeight="1">
      <c r="A2769" s="1" t="s">
        <v>975</v>
      </c>
    </row>
    <row r="2770" ht="12.75" customHeight="1">
      <c r="A2770" s="1" t="s">
        <v>976</v>
      </c>
    </row>
    <row r="2771" ht="12.75" customHeight="1">
      <c r="A2771" s="1" t="s">
        <v>977</v>
      </c>
    </row>
    <row r="2772" ht="12.75" customHeight="1">
      <c r="A2772" s="1" t="s">
        <v>1239</v>
      </c>
    </row>
    <row r="2773" ht="12.75" customHeight="1">
      <c r="A2773" s="1" t="s">
        <v>1240</v>
      </c>
    </row>
    <row r="2774" ht="12.75" customHeight="1">
      <c r="A2774" s="1" t="s">
        <v>1241</v>
      </c>
    </row>
    <row r="2775" ht="12.75" customHeight="1"/>
    <row r="2776" ht="12.75" customHeight="1">
      <c r="A2776" s="1" t="s">
        <v>360</v>
      </c>
    </row>
    <row r="2777" ht="12.75" customHeight="1">
      <c r="A2777" s="1" t="s">
        <v>1242</v>
      </c>
    </row>
    <row r="2778" ht="12.75" customHeight="1">
      <c r="A2778" s="1" t="s">
        <v>980</v>
      </c>
    </row>
    <row r="2779" ht="12.75" customHeight="1">
      <c r="A2779" s="1" t="s">
        <v>1243</v>
      </c>
    </row>
    <row r="2780" ht="12.75" customHeight="1">
      <c r="A2780" s="1" t="s">
        <v>1244</v>
      </c>
    </row>
    <row r="2781" ht="12.75" customHeight="1"/>
    <row r="2782" ht="12.75" customHeight="1">
      <c r="A2782" s="1" t="s">
        <v>361</v>
      </c>
    </row>
    <row r="2783" ht="12.75" customHeight="1">
      <c r="A2783" s="1" t="s">
        <v>1230</v>
      </c>
    </row>
    <row r="2784" ht="12.75" customHeight="1">
      <c r="A2784" s="1" t="s">
        <v>1231</v>
      </c>
    </row>
    <row r="2785" ht="12.75" customHeight="1"/>
    <row r="2786" ht="12.75" customHeight="1">
      <c r="A2786" s="1" t="s">
        <v>362</v>
      </c>
    </row>
    <row r="2787" ht="12.75" customHeight="1">
      <c r="A2787" s="1" t="s">
        <v>1232</v>
      </c>
    </row>
    <row r="2788" ht="12.75" customHeight="1">
      <c r="A2788" s="1" t="s">
        <v>1233</v>
      </c>
    </row>
    <row r="2789" ht="12.75" customHeight="1"/>
    <row r="2790" ht="12.75" customHeight="1">
      <c r="A2790" s="1" t="s">
        <v>363</v>
      </c>
    </row>
    <row r="2791" ht="12.75" customHeight="1">
      <c r="A2791" s="1" t="s">
        <v>1245</v>
      </c>
    </row>
    <row r="2792" ht="12.75" customHeight="1">
      <c r="A2792" s="1" t="s">
        <v>1246</v>
      </c>
    </row>
    <row r="2793" ht="12.75" customHeight="1">
      <c r="A2793" s="1" t="s">
        <v>1236</v>
      </c>
    </row>
    <row r="2794" ht="12.75" customHeight="1">
      <c r="A2794" s="1" t="s">
        <v>1237</v>
      </c>
    </row>
    <row r="2795" ht="12.75" customHeight="1">
      <c r="A2795" s="1" t="s">
        <v>1167</v>
      </c>
    </row>
    <row r="2796" ht="12.75" customHeight="1">
      <c r="A2796" s="1" t="s">
        <v>1238</v>
      </c>
    </row>
    <row r="2797" ht="12.75" customHeight="1">
      <c r="A2797" s="1" t="s">
        <v>500</v>
      </c>
    </row>
    <row r="2798" ht="12.75" customHeight="1">
      <c r="A2798" s="1" t="s">
        <v>970</v>
      </c>
    </row>
    <row r="2799" ht="12.75" customHeight="1"/>
    <row r="2800" ht="12.75" customHeight="1">
      <c r="A2800" s="1" t="s">
        <v>419</v>
      </c>
    </row>
    <row r="2801" ht="12.75" customHeight="1">
      <c r="A2801" s="1" t="s">
        <v>971</v>
      </c>
    </row>
    <row r="2802" ht="12.75" customHeight="1">
      <c r="A2802" s="1" t="s">
        <v>605</v>
      </c>
    </row>
    <row r="2803" ht="12.75" customHeight="1">
      <c r="A2803" s="1" t="s">
        <v>972</v>
      </c>
    </row>
    <row r="2804" ht="12.75" customHeight="1"/>
    <row r="2805" ht="12.75" customHeight="1">
      <c r="A2805" s="1" t="s">
        <v>423</v>
      </c>
    </row>
    <row r="2806" ht="12.75" customHeight="1">
      <c r="A2806" s="1" t="s">
        <v>973</v>
      </c>
    </row>
    <row r="2807" ht="12.75" customHeight="1">
      <c r="A2807" s="1" t="s">
        <v>974</v>
      </c>
    </row>
    <row r="2808" ht="12.75" customHeight="1">
      <c r="A2808" s="1" t="s">
        <v>975</v>
      </c>
    </row>
    <row r="2809" ht="12.75" customHeight="1">
      <c r="A2809" s="1" t="s">
        <v>976</v>
      </c>
    </row>
    <row r="2810" ht="12.75" customHeight="1">
      <c r="A2810" s="1" t="s">
        <v>977</v>
      </c>
    </row>
    <row r="2811" ht="12.75" customHeight="1">
      <c r="A2811" s="1" t="s">
        <v>1247</v>
      </c>
    </row>
    <row r="2812" ht="12.75" customHeight="1">
      <c r="A2812" s="1" t="s">
        <v>1051</v>
      </c>
    </row>
    <row r="2813" ht="12.75" customHeight="1">
      <c r="A2813" s="1" t="s">
        <v>600</v>
      </c>
    </row>
    <row r="2814" ht="12.75" customHeight="1">
      <c r="A2814" s="1" t="s">
        <v>1052</v>
      </c>
    </row>
    <row r="2815" ht="12.75" customHeight="1">
      <c r="A2815" s="1" t="s">
        <v>1248</v>
      </c>
    </row>
    <row r="2816" ht="12.75" customHeight="1">
      <c r="A2816" s="1" t="s">
        <v>500</v>
      </c>
    </row>
    <row r="2817" ht="12.75" customHeight="1">
      <c r="A2817" s="1" t="s">
        <v>970</v>
      </c>
    </row>
    <row r="2818" ht="12.75" customHeight="1"/>
    <row r="2819" ht="12.75" customHeight="1">
      <c r="A2819" s="1" t="s">
        <v>419</v>
      </c>
    </row>
    <row r="2820" ht="12.75" customHeight="1">
      <c r="A2820" s="1" t="s">
        <v>1054</v>
      </c>
    </row>
    <row r="2821" ht="12.75" customHeight="1">
      <c r="A2821" s="1" t="s">
        <v>605</v>
      </c>
    </row>
    <row r="2822" ht="12.75" customHeight="1">
      <c r="A2822" s="1" t="s">
        <v>1076</v>
      </c>
    </row>
    <row r="2823" ht="12.75" customHeight="1"/>
    <row r="2824" ht="12.75" customHeight="1">
      <c r="A2824" s="1" t="s">
        <v>423</v>
      </c>
    </row>
    <row r="2825" ht="12.75" customHeight="1">
      <c r="A2825" s="1" t="s">
        <v>1056</v>
      </c>
    </row>
    <row r="2826" ht="12.75" customHeight="1">
      <c r="A2826" s="1" t="s">
        <v>974</v>
      </c>
    </row>
    <row r="2827" ht="12.75" customHeight="1">
      <c r="A2827" s="1" t="s">
        <v>1077</v>
      </c>
    </row>
    <row r="2828" ht="12.75" customHeight="1">
      <c r="A2828" s="1" t="s">
        <v>976</v>
      </c>
    </row>
    <row r="2829" ht="12.75" customHeight="1">
      <c r="A2829" s="1" t="s">
        <v>1249</v>
      </c>
    </row>
    <row r="2830" ht="12.75" customHeight="1">
      <c r="A2830" s="1" t="s">
        <v>1250</v>
      </c>
    </row>
    <row r="2831" ht="12.75" customHeight="1">
      <c r="A2831" s="1" t="s">
        <v>993</v>
      </c>
    </row>
    <row r="2832" ht="12.75" customHeight="1">
      <c r="A2832" s="1" t="s">
        <v>498</v>
      </c>
    </row>
    <row r="2833" ht="12.75" customHeight="1">
      <c r="A2833" s="1" t="s">
        <v>497</v>
      </c>
    </row>
    <row r="2834" ht="12.75" customHeight="1">
      <c r="A2834" s="1" t="s">
        <v>1251</v>
      </c>
    </row>
    <row r="2835" ht="12.75" customHeight="1">
      <c r="A2835" s="1" t="s">
        <v>500</v>
      </c>
    </row>
    <row r="2836" ht="12.75" customHeight="1">
      <c r="A2836" s="1" t="s">
        <v>501</v>
      </c>
    </row>
    <row r="2837" ht="12.75" customHeight="1"/>
    <row r="2838" ht="12.75" customHeight="1">
      <c r="A2838" s="1" t="s">
        <v>419</v>
      </c>
    </row>
    <row r="2839" ht="12.75" customHeight="1">
      <c r="A2839" s="1" t="s">
        <v>1194</v>
      </c>
    </row>
    <row r="2840" ht="12.75" customHeight="1">
      <c r="A2840" s="1" t="s">
        <v>1195</v>
      </c>
    </row>
    <row r="2841" ht="12.75" customHeight="1">
      <c r="A2841" s="1" t="s">
        <v>1196</v>
      </c>
    </row>
    <row r="2842" ht="12.75" customHeight="1"/>
    <row r="2843" ht="12.75" customHeight="1">
      <c r="A2843" s="1" t="s">
        <v>423</v>
      </c>
    </row>
    <row r="2844" ht="12.75" customHeight="1">
      <c r="A2844" s="1" t="s">
        <v>1197</v>
      </c>
    </row>
    <row r="2845" ht="12.75" customHeight="1">
      <c r="A2845" s="1" t="s">
        <v>974</v>
      </c>
    </row>
    <row r="2846" ht="12.75" customHeight="1">
      <c r="A2846" s="1" t="s">
        <v>1198</v>
      </c>
    </row>
    <row r="2847" ht="12.75" customHeight="1">
      <c r="A2847" s="1" t="s">
        <v>997</v>
      </c>
    </row>
    <row r="2848" ht="12.75" customHeight="1">
      <c r="A2848" s="1" t="s">
        <v>998</v>
      </c>
    </row>
    <row r="2849" ht="12.75" customHeight="1">
      <c r="A2849" s="1" t="s">
        <v>1252</v>
      </c>
    </row>
    <row r="2850" ht="12.75" customHeight="1">
      <c r="A2850" s="1" t="s">
        <v>968</v>
      </c>
    </row>
    <row r="2851" ht="12.75" customHeight="1">
      <c r="A2851" s="1" t="s">
        <v>969</v>
      </c>
    </row>
    <row r="2852" ht="12.75" customHeight="1">
      <c r="A2852" s="1" t="s">
        <v>498</v>
      </c>
    </row>
    <row r="2853" ht="12.75" customHeight="1">
      <c r="A2853" s="1" t="s">
        <v>1253</v>
      </c>
    </row>
    <row r="2854" ht="12.75" customHeight="1">
      <c r="A2854" s="1" t="s">
        <v>500</v>
      </c>
    </row>
    <row r="2855" ht="12.75" customHeight="1">
      <c r="A2855" s="1" t="s">
        <v>970</v>
      </c>
    </row>
    <row r="2856" ht="12.75" customHeight="1"/>
    <row r="2857" ht="12.75" customHeight="1">
      <c r="A2857" s="1" t="s">
        <v>419</v>
      </c>
    </row>
    <row r="2858" ht="12.75" customHeight="1">
      <c r="A2858" s="1" t="s">
        <v>971</v>
      </c>
    </row>
    <row r="2859" ht="12.75" customHeight="1">
      <c r="A2859" s="1" t="s">
        <v>605</v>
      </c>
    </row>
    <row r="2860" ht="12.75" customHeight="1">
      <c r="A2860" s="1" t="s">
        <v>972</v>
      </c>
    </row>
    <row r="2861" ht="12.75" customHeight="1"/>
    <row r="2862" ht="12.75" customHeight="1">
      <c r="A2862" s="1" t="s">
        <v>423</v>
      </c>
    </row>
    <row r="2863" ht="12.75" customHeight="1">
      <c r="A2863" s="1" t="s">
        <v>973</v>
      </c>
    </row>
    <row r="2864" ht="12.75" customHeight="1">
      <c r="A2864" s="1" t="s">
        <v>974</v>
      </c>
    </row>
    <row r="2865" ht="12.75" customHeight="1">
      <c r="A2865" s="1" t="s">
        <v>975</v>
      </c>
    </row>
    <row r="2866" ht="12.75" customHeight="1">
      <c r="A2866" s="1" t="s">
        <v>976</v>
      </c>
    </row>
    <row r="2867" ht="12.75" customHeight="1">
      <c r="A2867" s="1" t="s">
        <v>977</v>
      </c>
    </row>
    <row r="2868" ht="12.75" customHeight="1">
      <c r="A2868" s="1" t="s">
        <v>1254</v>
      </c>
    </row>
    <row r="2869" ht="12.75" customHeight="1">
      <c r="A2869" s="1" t="s">
        <v>1051</v>
      </c>
    </row>
    <row r="2870" ht="12.75" customHeight="1">
      <c r="A2870" s="1" t="s">
        <v>600</v>
      </c>
    </row>
    <row r="2871" ht="12.75" customHeight="1">
      <c r="A2871" s="1" t="s">
        <v>1052</v>
      </c>
    </row>
    <row r="2872" ht="12.75" customHeight="1">
      <c r="A2872" s="1" t="s">
        <v>1248</v>
      </c>
    </row>
    <row r="2873" ht="12.75" customHeight="1">
      <c r="A2873" s="1" t="s">
        <v>500</v>
      </c>
    </row>
    <row r="2874" ht="12.75" customHeight="1">
      <c r="A2874" s="1" t="s">
        <v>970</v>
      </c>
    </row>
    <row r="2875" ht="12.75" customHeight="1"/>
    <row r="2876" ht="12.75" customHeight="1">
      <c r="A2876" s="1" t="s">
        <v>419</v>
      </c>
    </row>
    <row r="2877" ht="12.75" customHeight="1">
      <c r="A2877" s="1" t="s">
        <v>1054</v>
      </c>
    </row>
    <row r="2878" ht="12.75" customHeight="1">
      <c r="A2878" s="1" t="s">
        <v>1075</v>
      </c>
    </row>
    <row r="2879" ht="12.75" customHeight="1">
      <c r="A2879" s="1" t="s">
        <v>1076</v>
      </c>
    </row>
    <row r="2880" ht="12.75" customHeight="1"/>
    <row r="2881" ht="12.75" customHeight="1">
      <c r="A2881" s="1" t="s">
        <v>423</v>
      </c>
    </row>
    <row r="2882" ht="12.75" customHeight="1">
      <c r="A2882" s="1" t="s">
        <v>604</v>
      </c>
    </row>
    <row r="2883" ht="12.75" customHeight="1">
      <c r="A2883" s="1" t="s">
        <v>974</v>
      </c>
    </row>
    <row r="2884" ht="12.75" customHeight="1">
      <c r="A2884" s="1" t="s">
        <v>1077</v>
      </c>
    </row>
    <row r="2885" ht="12.75" customHeight="1">
      <c r="A2885" s="1" t="s">
        <v>1078</v>
      </c>
    </row>
    <row r="2886" ht="12.75" customHeight="1">
      <c r="A2886" s="1" t="s">
        <v>1079</v>
      </c>
    </row>
    <row r="2887" ht="12.75" customHeight="1">
      <c r="A2887" s="1" t="s">
        <v>1255</v>
      </c>
    </row>
    <row r="2888" ht="12.75" customHeight="1">
      <c r="A2888" s="1" t="s">
        <v>993</v>
      </c>
    </row>
    <row r="2889" ht="12.75" customHeight="1">
      <c r="A2889" s="1" t="s">
        <v>1256</v>
      </c>
    </row>
    <row r="2890" ht="12.75" customHeight="1">
      <c r="A2890" s="1" t="s">
        <v>498</v>
      </c>
    </row>
    <row r="2891" ht="12.75" customHeight="1">
      <c r="A2891" s="1" t="s">
        <v>1257</v>
      </c>
    </row>
    <row r="2892" ht="12.75" customHeight="1">
      <c r="A2892" s="1" t="s">
        <v>500</v>
      </c>
    </row>
    <row r="2893" ht="12.75" customHeight="1">
      <c r="A2893" s="1" t="s">
        <v>1258</v>
      </c>
    </row>
    <row r="2894" ht="12.75" customHeight="1"/>
    <row r="2895" ht="12.75" customHeight="1">
      <c r="A2895" s="1" t="s">
        <v>419</v>
      </c>
    </row>
    <row r="2896" ht="12.75" customHeight="1">
      <c r="A2896" s="1" t="s">
        <v>1194</v>
      </c>
    </row>
    <row r="2897" ht="12.75" customHeight="1">
      <c r="A2897" s="1" t="s">
        <v>1195</v>
      </c>
    </row>
    <row r="2898" ht="12.75" customHeight="1">
      <c r="A2898" s="1" t="s">
        <v>1259</v>
      </c>
    </row>
    <row r="2899" ht="12.75" customHeight="1"/>
    <row r="2900" ht="12.75" customHeight="1">
      <c r="A2900" s="1" t="s">
        <v>423</v>
      </c>
    </row>
    <row r="2901" ht="12.75" customHeight="1">
      <c r="A2901" s="1" t="s">
        <v>974</v>
      </c>
    </row>
    <row r="2902" ht="12.75" customHeight="1">
      <c r="A2902" s="1" t="s">
        <v>1260</v>
      </c>
    </row>
    <row r="2903" ht="12.75" customHeight="1">
      <c r="A2903" s="1" t="s">
        <v>1261</v>
      </c>
    </row>
    <row r="2904" ht="12.75" customHeight="1">
      <c r="A2904" s="1" t="s">
        <v>1262</v>
      </c>
    </row>
    <row r="2905" ht="12.75" customHeight="1">
      <c r="A2905" s="1" t="s">
        <v>1263</v>
      </c>
    </row>
    <row r="2906" ht="12.75" customHeight="1">
      <c r="A2906" s="1" t="s">
        <v>1264</v>
      </c>
    </row>
    <row r="2907" ht="12.75" customHeight="1">
      <c r="A2907" s="1" t="s">
        <v>968</v>
      </c>
    </row>
    <row r="2908" ht="12.75" customHeight="1">
      <c r="A2908" s="1" t="s">
        <v>969</v>
      </c>
    </row>
    <row r="2909" ht="12.75" customHeight="1">
      <c r="A2909" s="1" t="s">
        <v>498</v>
      </c>
    </row>
    <row r="2910" ht="12.75" customHeight="1">
      <c r="A2910" s="1" t="s">
        <v>1253</v>
      </c>
    </row>
    <row r="2911" ht="12.75" customHeight="1">
      <c r="A2911" s="1" t="s">
        <v>1265</v>
      </c>
    </row>
    <row r="2912" ht="12.75" customHeight="1">
      <c r="A2912" s="1" t="s">
        <v>501</v>
      </c>
    </row>
    <row r="2913" ht="12.75" customHeight="1"/>
    <row r="2914" ht="12.75" customHeight="1">
      <c r="A2914" s="1" t="s">
        <v>419</v>
      </c>
    </row>
    <row r="2915" ht="12.75" customHeight="1">
      <c r="A2915" s="1" t="s">
        <v>1266</v>
      </c>
    </row>
    <row r="2916" ht="12.75" customHeight="1">
      <c r="A2916" s="1" t="s">
        <v>503</v>
      </c>
    </row>
    <row r="2917" ht="12.75" customHeight="1">
      <c r="A2917" s="1" t="s">
        <v>504</v>
      </c>
    </row>
    <row r="2918" ht="12.75" customHeight="1"/>
    <row r="2919" ht="12.75" customHeight="1">
      <c r="A2919" s="1" t="s">
        <v>423</v>
      </c>
    </row>
    <row r="2920" ht="12.75" customHeight="1">
      <c r="A2920" s="1" t="s">
        <v>505</v>
      </c>
    </row>
    <row r="2921" ht="12.75" customHeight="1">
      <c r="A2921" s="1" t="s">
        <v>1267</v>
      </c>
    </row>
    <row r="2922" ht="12.75" customHeight="1">
      <c r="A2922" s="1" t="s">
        <v>1268</v>
      </c>
    </row>
    <row r="2923" ht="12.75" customHeight="1">
      <c r="A2923" s="1" t="s">
        <v>997</v>
      </c>
    </row>
    <row r="2924" ht="12.75" customHeight="1">
      <c r="A2924" s="1" t="s">
        <v>1269</v>
      </c>
    </row>
    <row r="2925" ht="12.75" customHeight="1">
      <c r="A2925" s="1" t="s">
        <v>1270</v>
      </c>
    </row>
    <row r="2926" ht="12.75" customHeight="1">
      <c r="A2926" s="1" t="s">
        <v>600</v>
      </c>
    </row>
    <row r="2927" ht="12.75" customHeight="1">
      <c r="A2927" s="1" t="s">
        <v>590</v>
      </c>
    </row>
    <row r="2928" ht="12.75" customHeight="1">
      <c r="A2928" s="1" t="s">
        <v>1271</v>
      </c>
    </row>
    <row r="2929" ht="12.75" customHeight="1">
      <c r="A2929" s="1" t="s">
        <v>1272</v>
      </c>
    </row>
    <row r="2930" ht="12.75" customHeight="1">
      <c r="A2930" s="1" t="s">
        <v>1273</v>
      </c>
    </row>
    <row r="2931" ht="12.75" customHeight="1">
      <c r="A2931" s="1" t="s">
        <v>1274</v>
      </c>
    </row>
    <row r="2932" ht="12.75" customHeight="1"/>
    <row r="2933" ht="12.75" customHeight="1">
      <c r="A2933" s="1" t="s">
        <v>419</v>
      </c>
    </row>
    <row r="2934" ht="12.75" customHeight="1">
      <c r="A2934" s="1" t="s">
        <v>1275</v>
      </c>
    </row>
    <row r="2935" ht="12.75" customHeight="1">
      <c r="A2935" s="1" t="s">
        <v>1276</v>
      </c>
    </row>
    <row r="2936" ht="12.75" customHeight="1">
      <c r="A2936" s="1" t="s">
        <v>1277</v>
      </c>
    </row>
    <row r="2937" ht="12.75" customHeight="1"/>
    <row r="2938" ht="12.75" customHeight="1">
      <c r="A2938" s="1" t="s">
        <v>423</v>
      </c>
    </row>
    <row r="2939" ht="12.75" customHeight="1">
      <c r="A2939" s="1" t="s">
        <v>1278</v>
      </c>
    </row>
    <row r="2940" ht="12.75" customHeight="1">
      <c r="A2940" s="1" t="s">
        <v>1279</v>
      </c>
    </row>
    <row r="2941" ht="12.75" customHeight="1">
      <c r="A2941" s="1" t="s">
        <v>1280</v>
      </c>
    </row>
    <row r="2942" ht="12.75" customHeight="1">
      <c r="A2942" s="1" t="s">
        <v>1281</v>
      </c>
    </row>
    <row r="2943" ht="12.75" customHeight="1">
      <c r="A2943" s="1" t="s">
        <v>1282</v>
      </c>
    </row>
    <row r="2944" ht="12.75" customHeight="1">
      <c r="A2944" s="1" t="s">
        <v>1283</v>
      </c>
    </row>
    <row r="2945" ht="12.75" customHeight="1">
      <c r="A2945" s="1" t="s">
        <v>770</v>
      </c>
    </row>
    <row r="2946" ht="12.75" customHeight="1">
      <c r="A2946" s="1" t="s">
        <v>828</v>
      </c>
    </row>
    <row r="2947" ht="12.75" customHeight="1">
      <c r="A2947" s="1" t="s">
        <v>829</v>
      </c>
    </row>
    <row r="2948" ht="12.75" customHeight="1">
      <c r="A2948" s="1" t="s">
        <v>1284</v>
      </c>
    </row>
    <row r="2949" ht="12.75" customHeight="1">
      <c r="A2949" s="1" t="s">
        <v>417</v>
      </c>
    </row>
    <row r="2950" ht="12.75" customHeight="1">
      <c r="A2950" s="1" t="s">
        <v>418</v>
      </c>
    </row>
    <row r="2951" ht="12.75" customHeight="1"/>
    <row r="2952" ht="12.75" customHeight="1">
      <c r="A2952" s="1" t="s">
        <v>419</v>
      </c>
    </row>
    <row r="2953" ht="12.75" customHeight="1">
      <c r="A2953" s="1" t="s">
        <v>420</v>
      </c>
    </row>
    <row r="2954" ht="12.75" customHeight="1">
      <c r="A2954" s="1" t="s">
        <v>421</v>
      </c>
    </row>
    <row r="2955" ht="12.75" customHeight="1">
      <c r="A2955" s="1" t="s">
        <v>420</v>
      </c>
    </row>
    <row r="2956" ht="12.75" customHeight="1"/>
    <row r="2957" ht="12.75" customHeight="1">
      <c r="A2957" s="1" t="s">
        <v>423</v>
      </c>
    </row>
    <row r="2958" ht="12.75" customHeight="1">
      <c r="A2958" s="1" t="s">
        <v>424</v>
      </c>
    </row>
    <row r="2959" ht="12.75" customHeight="1">
      <c r="A2959" s="1" t="s">
        <v>425</v>
      </c>
    </row>
    <row r="2960" ht="12.75" customHeight="1">
      <c r="A2960" s="1" t="s">
        <v>426</v>
      </c>
    </row>
    <row r="2961" ht="12.75" customHeight="1">
      <c r="A2961" s="1" t="s">
        <v>774</v>
      </c>
    </row>
    <row r="2962" ht="12.75" customHeight="1">
      <c r="A2962" s="1" t="s">
        <v>428</v>
      </c>
    </row>
    <row r="2963" ht="12.75" customHeight="1">
      <c r="A2963" s="1" t="s">
        <v>1285</v>
      </c>
    </row>
    <row r="2964" ht="12.75" customHeight="1">
      <c r="A2964" s="1" t="s">
        <v>753</v>
      </c>
    </row>
    <row r="2965" ht="12.75" customHeight="1">
      <c r="A2965" s="1" t="s">
        <v>905</v>
      </c>
    </row>
    <row r="2966" ht="12.75" customHeight="1">
      <c r="A2966" s="1" t="s">
        <v>905</v>
      </c>
    </row>
    <row r="2967" ht="12.75" customHeight="1">
      <c r="A2967" s="1" t="s">
        <v>1286</v>
      </c>
    </row>
    <row r="2968" ht="12.75" customHeight="1">
      <c r="A2968" s="1" t="s">
        <v>417</v>
      </c>
    </row>
    <row r="2969" ht="12.75" customHeight="1">
      <c r="A2969" s="1" t="s">
        <v>418</v>
      </c>
    </row>
    <row r="2970" ht="12.75" customHeight="1"/>
    <row r="2971" ht="12.75" customHeight="1">
      <c r="A2971" s="1" t="s">
        <v>419</v>
      </c>
    </row>
    <row r="2972" ht="12.75" customHeight="1">
      <c r="A2972" s="1" t="s">
        <v>737</v>
      </c>
    </row>
    <row r="2973" ht="12.75" customHeight="1">
      <c r="A2973" s="1" t="s">
        <v>421</v>
      </c>
    </row>
    <row r="2974" ht="12.75" customHeight="1">
      <c r="A2974" s="1" t="s">
        <v>736</v>
      </c>
    </row>
    <row r="2975" ht="12.75" customHeight="1"/>
    <row r="2976" ht="12.75" customHeight="1">
      <c r="A2976" s="1" t="s">
        <v>423</v>
      </c>
    </row>
    <row r="2977" ht="12.75" customHeight="1">
      <c r="A2977" s="1" t="s">
        <v>757</v>
      </c>
    </row>
    <row r="2978" ht="12.75" customHeight="1">
      <c r="A2978" s="1" t="s">
        <v>758</v>
      </c>
    </row>
    <row r="2979" ht="12.75" customHeight="1">
      <c r="A2979" s="1" t="s">
        <v>426</v>
      </c>
    </row>
    <row r="2980" ht="12.75" customHeight="1">
      <c r="A2980" s="1" t="s">
        <v>740</v>
      </c>
    </row>
    <row r="2981" ht="12.75" customHeight="1">
      <c r="A2981" s="1" t="s">
        <v>428</v>
      </c>
    </row>
    <row r="2982" ht="12.75" customHeight="1">
      <c r="A2982" s="1" t="s">
        <v>1287</v>
      </c>
    </row>
    <row r="2983" ht="12.75" customHeight="1">
      <c r="A2983" s="1" t="s">
        <v>862</v>
      </c>
    </row>
    <row r="2984" ht="12.75" customHeight="1">
      <c r="A2984" s="1" t="s">
        <v>828</v>
      </c>
    </row>
    <row r="2985" ht="12.75" customHeight="1">
      <c r="A2985" s="1" t="s">
        <v>829</v>
      </c>
    </row>
    <row r="2986" ht="12.75" customHeight="1">
      <c r="A2986" s="1" t="s">
        <v>1284</v>
      </c>
    </row>
    <row r="2987" ht="12.75" customHeight="1">
      <c r="A2987" s="1" t="s">
        <v>417</v>
      </c>
    </row>
    <row r="2988" ht="12.75" customHeight="1">
      <c r="A2988" s="1" t="s">
        <v>418</v>
      </c>
    </row>
    <row r="2989" ht="12.75" customHeight="1"/>
    <row r="2990" ht="12.75" customHeight="1">
      <c r="A2990" s="1" t="s">
        <v>419</v>
      </c>
    </row>
    <row r="2991" ht="12.75" customHeight="1">
      <c r="A2991" s="1" t="s">
        <v>420</v>
      </c>
    </row>
    <row r="2992" ht="12.75" customHeight="1">
      <c r="A2992" s="1" t="s">
        <v>421</v>
      </c>
    </row>
    <row r="2993" ht="12.75" customHeight="1">
      <c r="A2993" s="1" t="s">
        <v>420</v>
      </c>
    </row>
    <row r="2994" ht="12.75" customHeight="1"/>
    <row r="2995" ht="12.75" customHeight="1">
      <c r="A2995" s="1" t="s">
        <v>423</v>
      </c>
    </row>
    <row r="2996" ht="12.75" customHeight="1">
      <c r="A2996" s="1" t="s">
        <v>424</v>
      </c>
    </row>
    <row r="2997" ht="12.75" customHeight="1">
      <c r="A2997" s="1" t="s">
        <v>425</v>
      </c>
    </row>
    <row r="2998" ht="12.75" customHeight="1">
      <c r="A2998" s="1" t="s">
        <v>426</v>
      </c>
    </row>
    <row r="2999" ht="12.75" customHeight="1">
      <c r="A2999" s="1" t="s">
        <v>774</v>
      </c>
    </row>
    <row r="3000" ht="12.75" customHeight="1">
      <c r="A3000" s="1" t="s">
        <v>428</v>
      </c>
    </row>
    <row r="3001" ht="12.75" customHeight="1">
      <c r="A3001" s="1" t="s">
        <v>1288</v>
      </c>
    </row>
    <row r="3002" ht="12.75" customHeight="1">
      <c r="A3002" s="1" t="s">
        <v>1289</v>
      </c>
    </row>
    <row r="3003" ht="12.75" customHeight="1">
      <c r="A3003" s="1" t="s">
        <v>1290</v>
      </c>
    </row>
    <row r="3004" ht="12.75" customHeight="1"/>
    <row r="3005" ht="12.75" customHeight="1">
      <c r="A3005" s="1" t="s">
        <v>360</v>
      </c>
    </row>
    <row r="3006" ht="12.75" customHeight="1">
      <c r="A3006" s="1" t="s">
        <v>1291</v>
      </c>
    </row>
    <row r="3007" ht="12.75" customHeight="1">
      <c r="A3007" s="1" t="s">
        <v>1292</v>
      </c>
    </row>
    <row r="3008" ht="12.75" customHeight="1">
      <c r="A3008" s="1" t="s">
        <v>1293</v>
      </c>
    </row>
    <row r="3009" ht="12.75" customHeight="1">
      <c r="A3009" s="1" t="s">
        <v>1290</v>
      </c>
    </row>
    <row r="3010" ht="12.75" customHeight="1"/>
    <row r="3011" ht="12.75" customHeight="1">
      <c r="A3011" s="1" t="s">
        <v>361</v>
      </c>
    </row>
    <row r="3012" ht="12.75" customHeight="1">
      <c r="A3012" s="1" t="s">
        <v>1294</v>
      </c>
    </row>
    <row r="3013" ht="12.75" customHeight="1">
      <c r="A3013" s="1" t="s">
        <v>1295</v>
      </c>
    </row>
    <row r="3014" ht="12.75" customHeight="1"/>
    <row r="3015" ht="12.75" customHeight="1">
      <c r="A3015" s="1" t="s">
        <v>362</v>
      </c>
    </row>
    <row r="3016" ht="12.75" customHeight="1">
      <c r="A3016" s="1" t="s">
        <v>1291</v>
      </c>
    </row>
    <row r="3017" ht="12.75" customHeight="1">
      <c r="A3017" s="1" t="s">
        <v>1292</v>
      </c>
    </row>
    <row r="3018" ht="12.75" customHeight="1"/>
    <row r="3019" ht="12.75" customHeight="1">
      <c r="A3019" s="1" t="s">
        <v>363</v>
      </c>
    </row>
    <row r="3020" ht="12.75" customHeight="1">
      <c r="A3020" s="1" t="s">
        <v>1291</v>
      </c>
    </row>
    <row r="3021" ht="12.75" customHeight="1">
      <c r="A3021" s="1" t="s">
        <v>1296</v>
      </c>
    </row>
    <row r="3022" ht="12.75" customHeight="1">
      <c r="A3022" s="1" t="s">
        <v>1288</v>
      </c>
    </row>
    <row r="3023" ht="12.75" customHeight="1">
      <c r="A3023" s="1" t="s">
        <v>1297</v>
      </c>
    </row>
    <row r="3024" ht="12.75" customHeight="1">
      <c r="A3024" s="1" t="s">
        <v>1298</v>
      </c>
    </row>
    <row r="3025" ht="12.75" customHeight="1"/>
    <row r="3026" ht="12.75" customHeight="1">
      <c r="A3026" s="1" t="s">
        <v>360</v>
      </c>
    </row>
    <row r="3027" ht="12.75" customHeight="1">
      <c r="A3027" s="1" t="s">
        <v>1299</v>
      </c>
    </row>
    <row r="3028" ht="12.75" customHeight="1">
      <c r="A3028" s="1" t="s">
        <v>1300</v>
      </c>
    </row>
    <row r="3029" ht="12.75" customHeight="1">
      <c r="A3029" s="1" t="s">
        <v>1301</v>
      </c>
    </row>
    <row r="3030" ht="12.75" customHeight="1">
      <c r="A3030" s="1" t="s">
        <v>1298</v>
      </c>
    </row>
    <row r="3031" ht="12.75" customHeight="1"/>
    <row r="3032" ht="12.75" customHeight="1">
      <c r="A3032" s="1" t="s">
        <v>361</v>
      </c>
    </row>
    <row r="3033" ht="12.75" customHeight="1">
      <c r="A3033" s="1" t="s">
        <v>1302</v>
      </c>
    </row>
    <row r="3034" ht="12.75" customHeight="1">
      <c r="A3034" s="1" t="s">
        <v>1303</v>
      </c>
    </row>
    <row r="3035" ht="12.75" customHeight="1"/>
    <row r="3036" ht="12.75" customHeight="1">
      <c r="A3036" s="1" t="s">
        <v>362</v>
      </c>
    </row>
    <row r="3037" ht="12.75" customHeight="1">
      <c r="A3037" s="1" t="s">
        <v>1299</v>
      </c>
    </row>
    <row r="3038" ht="12.75" customHeight="1">
      <c r="A3038" s="1" t="s">
        <v>1300</v>
      </c>
    </row>
    <row r="3039" ht="12.75" customHeight="1"/>
    <row r="3040" ht="12.75" customHeight="1">
      <c r="A3040" s="1" t="s">
        <v>363</v>
      </c>
    </row>
    <row r="3041" ht="12.75" customHeight="1">
      <c r="A3041" s="1" t="s">
        <v>1299</v>
      </c>
    </row>
    <row r="3042" ht="12.75" customHeight="1">
      <c r="A3042" s="1" t="s">
        <v>1304</v>
      </c>
    </row>
    <row r="3043" ht="12.75" customHeight="1">
      <c r="A3043" s="1" t="s">
        <v>1288</v>
      </c>
    </row>
    <row r="3044" ht="12.75" customHeight="1">
      <c r="A3044" s="1" t="s">
        <v>1305</v>
      </c>
    </row>
    <row r="3045" ht="12.75" customHeight="1">
      <c r="A3045" s="1" t="s">
        <v>1306</v>
      </c>
    </row>
    <row r="3046" ht="12.75" customHeight="1"/>
    <row r="3047" ht="12.75" customHeight="1">
      <c r="A3047" s="1" t="s">
        <v>360</v>
      </c>
    </row>
    <row r="3048" ht="12.75" customHeight="1">
      <c r="A3048" s="1" t="s">
        <v>1307</v>
      </c>
    </row>
    <row r="3049" ht="12.75" customHeight="1">
      <c r="A3049" s="1" t="s">
        <v>1308</v>
      </c>
    </row>
    <row r="3050" ht="12.75" customHeight="1">
      <c r="A3050" s="1" t="s">
        <v>1309</v>
      </c>
    </row>
    <row r="3051" ht="12.75" customHeight="1">
      <c r="A3051" s="1" t="s">
        <v>1306</v>
      </c>
    </row>
    <row r="3052" ht="12.75" customHeight="1"/>
    <row r="3053" ht="12.75" customHeight="1">
      <c r="A3053" s="1" t="s">
        <v>361</v>
      </c>
    </row>
    <row r="3054" ht="12.75" customHeight="1">
      <c r="A3054" s="1" t="s">
        <v>1310</v>
      </c>
    </row>
    <row r="3055" ht="12.75" customHeight="1">
      <c r="A3055" s="1" t="s">
        <v>1311</v>
      </c>
    </row>
    <row r="3056" ht="12.75" customHeight="1"/>
    <row r="3057" ht="12.75" customHeight="1">
      <c r="A3057" s="1" t="s">
        <v>362</v>
      </c>
    </row>
    <row r="3058" ht="12.75" customHeight="1">
      <c r="A3058" s="1" t="s">
        <v>1312</v>
      </c>
    </row>
    <row r="3059" ht="12.75" customHeight="1">
      <c r="A3059" s="1" t="s">
        <v>1308</v>
      </c>
    </row>
    <row r="3060" ht="12.75" customHeight="1"/>
    <row r="3061" ht="12.75" customHeight="1">
      <c r="A3061" s="1" t="s">
        <v>363</v>
      </c>
    </row>
    <row r="3062" ht="12.75" customHeight="1">
      <c r="A3062" s="1" t="s">
        <v>1312</v>
      </c>
    </row>
    <row r="3063" ht="12.75" customHeight="1">
      <c r="A3063" s="1" t="s">
        <v>1313</v>
      </c>
    </row>
    <row r="3064" ht="12.75" customHeight="1">
      <c r="A3064" s="1" t="s">
        <v>1288</v>
      </c>
    </row>
    <row r="3065" ht="12.75" customHeight="1">
      <c r="A3065" s="1" t="s">
        <v>1314</v>
      </c>
    </row>
    <row r="3066" ht="12.75" customHeight="1">
      <c r="A3066" s="1" t="s">
        <v>1315</v>
      </c>
    </row>
    <row r="3067" ht="12.75" customHeight="1"/>
    <row r="3068" ht="12.75" customHeight="1">
      <c r="A3068" s="1" t="s">
        <v>360</v>
      </c>
    </row>
    <row r="3069" ht="12.75" customHeight="1">
      <c r="A3069" s="1" t="s">
        <v>1316</v>
      </c>
    </row>
    <row r="3070" ht="12.75" customHeight="1">
      <c r="A3070" s="1" t="s">
        <v>1317</v>
      </c>
    </row>
    <row r="3071" ht="12.75" customHeight="1">
      <c r="A3071" s="1" t="s">
        <v>1318</v>
      </c>
    </row>
    <row r="3072" ht="12.75" customHeight="1">
      <c r="A3072" s="1" t="s">
        <v>1315</v>
      </c>
    </row>
    <row r="3073" ht="12.75" customHeight="1"/>
    <row r="3074" ht="12.75" customHeight="1">
      <c r="A3074" s="1" t="s">
        <v>361</v>
      </c>
    </row>
    <row r="3075" ht="12.75" customHeight="1">
      <c r="A3075" s="1" t="s">
        <v>1319</v>
      </c>
    </row>
    <row r="3076" ht="12.75" customHeight="1">
      <c r="A3076" s="1" t="s">
        <v>1320</v>
      </c>
    </row>
    <row r="3077" ht="12.75" customHeight="1"/>
    <row r="3078" ht="12.75" customHeight="1">
      <c r="A3078" s="1" t="s">
        <v>362</v>
      </c>
    </row>
    <row r="3079" ht="12.75" customHeight="1">
      <c r="A3079" s="1" t="s">
        <v>1316</v>
      </c>
    </row>
    <row r="3080" ht="12.75" customHeight="1">
      <c r="A3080" s="1" t="s">
        <v>1317</v>
      </c>
    </row>
    <row r="3081" ht="12.75" customHeight="1"/>
    <row r="3082" ht="12.75" customHeight="1">
      <c r="A3082" s="1" t="s">
        <v>363</v>
      </c>
    </row>
    <row r="3083" ht="12.75" customHeight="1">
      <c r="A3083" s="1" t="s">
        <v>1316</v>
      </c>
    </row>
    <row r="3084" ht="12.75" customHeight="1">
      <c r="A3084" s="1" t="s">
        <v>1321</v>
      </c>
    </row>
    <row r="3085" ht="12.75" customHeight="1">
      <c r="A3085" s="1" t="s">
        <v>1288</v>
      </c>
    </row>
    <row r="3086" ht="12.75" customHeight="1">
      <c r="A3086" s="1" t="s">
        <v>1322</v>
      </c>
    </row>
    <row r="3087" ht="12.75" customHeight="1">
      <c r="A3087" s="1" t="s">
        <v>1323</v>
      </c>
    </row>
    <row r="3088" ht="12.75" customHeight="1"/>
    <row r="3089" ht="12.75" customHeight="1">
      <c r="A3089" s="1" t="s">
        <v>360</v>
      </c>
    </row>
    <row r="3090" ht="12.75" customHeight="1">
      <c r="A3090" s="1" t="s">
        <v>1324</v>
      </c>
    </row>
    <row r="3091" ht="12.75" customHeight="1">
      <c r="A3091" s="1" t="s">
        <v>1325</v>
      </c>
    </row>
    <row r="3092" ht="12.75" customHeight="1">
      <c r="A3092" s="1" t="s">
        <v>1326</v>
      </c>
    </row>
    <row r="3093" ht="12.75" customHeight="1">
      <c r="A3093" s="1" t="s">
        <v>1323</v>
      </c>
    </row>
    <row r="3094" ht="12.75" customHeight="1"/>
    <row r="3095" ht="12.75" customHeight="1">
      <c r="A3095" s="1" t="s">
        <v>361</v>
      </c>
    </row>
    <row r="3096" ht="12.75" customHeight="1">
      <c r="A3096" s="1" t="s">
        <v>1327</v>
      </c>
    </row>
    <row r="3097" ht="12.75" customHeight="1">
      <c r="A3097" s="1" t="s">
        <v>1328</v>
      </c>
    </row>
    <row r="3098" ht="12.75" customHeight="1"/>
    <row r="3099" ht="12.75" customHeight="1">
      <c r="A3099" s="1" t="s">
        <v>362</v>
      </c>
    </row>
    <row r="3100" ht="12.75" customHeight="1">
      <c r="A3100" s="1" t="s">
        <v>1324</v>
      </c>
    </row>
    <row r="3101" ht="12.75" customHeight="1">
      <c r="A3101" s="1" t="s">
        <v>1325</v>
      </c>
    </row>
    <row r="3102" ht="12.75" customHeight="1"/>
    <row r="3103" ht="12.75" customHeight="1">
      <c r="A3103" s="1" t="s">
        <v>363</v>
      </c>
    </row>
    <row r="3104" ht="12.75" customHeight="1">
      <c r="A3104" s="1" t="s">
        <v>1324</v>
      </c>
    </row>
    <row r="3105" ht="12.75" customHeight="1">
      <c r="A3105" s="1" t="s">
        <v>1329</v>
      </c>
    </row>
    <row r="3106" ht="12.75" customHeight="1">
      <c r="A3106" s="1" t="s">
        <v>1288</v>
      </c>
    </row>
    <row r="3107" ht="12.75" customHeight="1">
      <c r="A3107" s="1" t="s">
        <v>1330</v>
      </c>
    </row>
    <row r="3108" ht="12.75" customHeight="1">
      <c r="A3108" s="1" t="s">
        <v>1331</v>
      </c>
    </row>
    <row r="3109" ht="12.75" customHeight="1"/>
    <row r="3110" ht="12.75" customHeight="1">
      <c r="A3110" s="1" t="s">
        <v>360</v>
      </c>
    </row>
    <row r="3111" ht="12.75" customHeight="1">
      <c r="A3111" s="1" t="s">
        <v>1332</v>
      </c>
    </row>
    <row r="3112" ht="12.75" customHeight="1">
      <c r="A3112" s="1" t="s">
        <v>1333</v>
      </c>
    </row>
    <row r="3113" ht="12.75" customHeight="1">
      <c r="A3113" s="1" t="s">
        <v>1334</v>
      </c>
    </row>
    <row r="3114" ht="12.75" customHeight="1">
      <c r="A3114" s="1" t="s">
        <v>1331</v>
      </c>
    </row>
    <row r="3115" ht="12.75" customHeight="1"/>
    <row r="3116" ht="12.75" customHeight="1">
      <c r="A3116" s="1" t="s">
        <v>361</v>
      </c>
    </row>
    <row r="3117" ht="12.75" customHeight="1">
      <c r="A3117" s="1" t="s">
        <v>1335</v>
      </c>
    </row>
    <row r="3118" ht="12.75" customHeight="1">
      <c r="A3118" s="1" t="s">
        <v>1336</v>
      </c>
    </row>
    <row r="3119" ht="12.75" customHeight="1"/>
    <row r="3120" ht="12.75" customHeight="1">
      <c r="A3120" s="1" t="s">
        <v>362</v>
      </c>
    </row>
    <row r="3121" ht="12.75" customHeight="1">
      <c r="A3121" s="1" t="s">
        <v>1332</v>
      </c>
    </row>
    <row r="3122" ht="12.75" customHeight="1">
      <c r="A3122" s="1" t="s">
        <v>1333</v>
      </c>
    </row>
    <row r="3123" ht="12.75" customHeight="1"/>
    <row r="3124" ht="12.75" customHeight="1">
      <c r="A3124" s="1" t="s">
        <v>363</v>
      </c>
    </row>
    <row r="3125" ht="12.75" customHeight="1">
      <c r="A3125" s="1" t="s">
        <v>1332</v>
      </c>
    </row>
    <row r="3126" ht="12.75" customHeight="1">
      <c r="A3126" s="1" t="s">
        <v>1337</v>
      </c>
    </row>
    <row r="3127" ht="12.75" customHeight="1">
      <c r="A3127" s="1" t="s">
        <v>1288</v>
      </c>
    </row>
    <row r="3128" ht="12.75" customHeight="1">
      <c r="A3128" s="1" t="s">
        <v>1338</v>
      </c>
    </row>
    <row r="3129" ht="12.75" customHeight="1">
      <c r="A3129" s="1" t="s">
        <v>1339</v>
      </c>
    </row>
    <row r="3130" ht="12.75" customHeight="1"/>
    <row r="3131" ht="12.75" customHeight="1">
      <c r="A3131" s="1" t="s">
        <v>360</v>
      </c>
    </row>
    <row r="3132" ht="12.75" customHeight="1">
      <c r="A3132" s="1" t="s">
        <v>1340</v>
      </c>
    </row>
    <row r="3133" ht="12.75" customHeight="1">
      <c r="A3133" s="1" t="s">
        <v>1341</v>
      </c>
    </row>
    <row r="3134" ht="12.75" customHeight="1">
      <c r="A3134" s="1" t="s">
        <v>1342</v>
      </c>
    </row>
    <row r="3135" ht="12.75" customHeight="1">
      <c r="A3135" s="1" t="s">
        <v>1339</v>
      </c>
    </row>
    <row r="3136" ht="12.75" customHeight="1"/>
    <row r="3137" ht="12.75" customHeight="1">
      <c r="A3137" s="1" t="s">
        <v>361</v>
      </c>
    </row>
    <row r="3138" ht="12.75" customHeight="1">
      <c r="A3138" s="1" t="s">
        <v>1343</v>
      </c>
    </row>
    <row r="3139" ht="12.75" customHeight="1">
      <c r="A3139" s="1" t="s">
        <v>1344</v>
      </c>
    </row>
    <row r="3140" ht="12.75" customHeight="1"/>
    <row r="3141" ht="12.75" customHeight="1">
      <c r="A3141" s="1" t="s">
        <v>362</v>
      </c>
    </row>
    <row r="3142" ht="12.75" customHeight="1">
      <c r="A3142" s="1" t="s">
        <v>1340</v>
      </c>
    </row>
    <row r="3143" ht="12.75" customHeight="1">
      <c r="A3143" s="1" t="s">
        <v>1341</v>
      </c>
    </row>
    <row r="3144" ht="12.75" customHeight="1"/>
    <row r="3145" ht="12.75" customHeight="1">
      <c r="A3145" s="1" t="s">
        <v>363</v>
      </c>
    </row>
    <row r="3146" ht="12.75" customHeight="1">
      <c r="A3146" s="1" t="s">
        <v>1340</v>
      </c>
    </row>
    <row r="3147" ht="12.75" customHeight="1">
      <c r="A3147" s="1" t="s">
        <v>1345</v>
      </c>
    </row>
    <row r="3148" ht="12.75" customHeight="1">
      <c r="A3148" s="1" t="s">
        <v>1288</v>
      </c>
    </row>
    <row r="3149" ht="12.75" customHeight="1">
      <c r="A3149" s="1" t="s">
        <v>1346</v>
      </c>
    </row>
    <row r="3150" ht="12.75" customHeight="1">
      <c r="A3150" s="1" t="s">
        <v>1347</v>
      </c>
    </row>
    <row r="3151" ht="12.75" customHeight="1"/>
    <row r="3152" ht="12.75" customHeight="1">
      <c r="A3152" s="1" t="s">
        <v>360</v>
      </c>
    </row>
    <row r="3153" ht="12.75" customHeight="1">
      <c r="A3153" s="1" t="s">
        <v>1348</v>
      </c>
    </row>
    <row r="3154" ht="12.75" customHeight="1">
      <c r="A3154" s="1" t="s">
        <v>1349</v>
      </c>
    </row>
    <row r="3155" ht="12.75" customHeight="1">
      <c r="A3155" s="1" t="s">
        <v>1350</v>
      </c>
    </row>
    <row r="3156" ht="12.75" customHeight="1">
      <c r="A3156" s="1" t="s">
        <v>1347</v>
      </c>
    </row>
    <row r="3157" ht="12.75" customHeight="1"/>
    <row r="3158" ht="12.75" customHeight="1">
      <c r="A3158" s="1" t="s">
        <v>361</v>
      </c>
    </row>
    <row r="3159" ht="12.75" customHeight="1">
      <c r="A3159" s="1" t="s">
        <v>1351</v>
      </c>
    </row>
    <row r="3160" ht="12.75" customHeight="1">
      <c r="A3160" s="1" t="s">
        <v>1352</v>
      </c>
    </row>
    <row r="3161" ht="12.75" customHeight="1"/>
    <row r="3162" ht="12.75" customHeight="1">
      <c r="A3162" s="1" t="s">
        <v>362</v>
      </c>
    </row>
    <row r="3163" ht="12.75" customHeight="1">
      <c r="A3163" s="1" t="s">
        <v>1348</v>
      </c>
    </row>
    <row r="3164" ht="12.75" customHeight="1">
      <c r="A3164" s="1" t="s">
        <v>1349</v>
      </c>
    </row>
    <row r="3165" ht="12.75" customHeight="1"/>
    <row r="3166" ht="12.75" customHeight="1">
      <c r="A3166" s="1" t="s">
        <v>363</v>
      </c>
    </row>
    <row r="3167" ht="12.75" customHeight="1">
      <c r="A3167" s="1" t="s">
        <v>1348</v>
      </c>
    </row>
    <row r="3168" ht="12.75" customHeight="1">
      <c r="A3168" s="1" t="s">
        <v>1353</v>
      </c>
    </row>
    <row r="3169" ht="12.75" customHeight="1">
      <c r="A3169" s="1" t="s">
        <v>1288</v>
      </c>
    </row>
    <row r="3170" ht="12.75" customHeight="1">
      <c r="A3170" s="1" t="s">
        <v>1354</v>
      </c>
    </row>
    <row r="3171" ht="12.75" customHeight="1">
      <c r="A3171" s="1" t="s">
        <v>1355</v>
      </c>
    </row>
    <row r="3172" ht="12.75" customHeight="1"/>
    <row r="3173" ht="12.75" customHeight="1">
      <c r="A3173" s="1" t="s">
        <v>360</v>
      </c>
    </row>
    <row r="3174" ht="12.75" customHeight="1">
      <c r="A3174" s="1" t="s">
        <v>1356</v>
      </c>
    </row>
    <row r="3175" ht="12.75" customHeight="1">
      <c r="A3175" s="1" t="s">
        <v>1357</v>
      </c>
    </row>
    <row r="3176" ht="12.75" customHeight="1">
      <c r="A3176" s="1" t="s">
        <v>1358</v>
      </c>
    </row>
    <row r="3177" ht="12.75" customHeight="1">
      <c r="A3177" s="1" t="s">
        <v>1355</v>
      </c>
    </row>
    <row r="3178" ht="12.75" customHeight="1"/>
    <row r="3179" ht="12.75" customHeight="1">
      <c r="A3179" s="1" t="s">
        <v>361</v>
      </c>
    </row>
    <row r="3180" ht="12.75" customHeight="1">
      <c r="A3180" s="1" t="s">
        <v>1359</v>
      </c>
    </row>
    <row r="3181" ht="12.75" customHeight="1">
      <c r="A3181" s="1" t="s">
        <v>1360</v>
      </c>
    </row>
    <row r="3182" ht="12.75" customHeight="1"/>
    <row r="3183" ht="12.75" customHeight="1">
      <c r="A3183" s="1" t="s">
        <v>362</v>
      </c>
    </row>
    <row r="3184" ht="12.75" customHeight="1">
      <c r="A3184" s="1" t="s">
        <v>1356</v>
      </c>
    </row>
    <row r="3185" ht="12.75" customHeight="1">
      <c r="A3185" s="1" t="s">
        <v>1357</v>
      </c>
    </row>
    <row r="3186" ht="12.75" customHeight="1"/>
    <row r="3187" ht="12.75" customHeight="1">
      <c r="A3187" s="1" t="s">
        <v>363</v>
      </c>
    </row>
    <row r="3188" ht="12.75" customHeight="1">
      <c r="A3188" s="1" t="s">
        <v>1356</v>
      </c>
    </row>
    <row r="3189" ht="12.75" customHeight="1">
      <c r="A3189" s="1" t="s">
        <v>1361</v>
      </c>
    </row>
  </sheetData>
  <printOptions/>
  <pageMargins bottom="1.025" footer="0.0" header="0.0" left="0.7875" right="0.7875" top="1.025"/>
  <pageSetup orientation="portrait"/>
  <headerFooter>
    <oddHeader>&amp;C&amp;A</oddHeader>
    <oddFooter>&amp;CPage 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1.63"/>
    <col customWidth="1" min="2" max="2" width="40.88"/>
    <col customWidth="1" min="3" max="26" width="11.63"/>
  </cols>
  <sheetData>
    <row r="1" ht="12.75" customHeight="1">
      <c r="A1" s="1" t="s">
        <v>1369</v>
      </c>
      <c r="B1" s="1" t="s">
        <v>1370</v>
      </c>
    </row>
    <row r="2" ht="12.75" customHeight="1">
      <c r="A2" s="1" t="s">
        <v>1375</v>
      </c>
      <c r="B2" s="1" t="s">
        <v>1376</v>
      </c>
    </row>
    <row r="3" ht="12.75" customHeight="1">
      <c r="A3" s="1" t="s">
        <v>1379</v>
      </c>
      <c r="B3" s="1" t="s">
        <v>1380</v>
      </c>
    </row>
    <row r="4" ht="12.75" customHeight="1">
      <c r="A4" s="1" t="s">
        <v>1383</v>
      </c>
      <c r="B4" s="1" t="s">
        <v>1384</v>
      </c>
    </row>
    <row r="5" ht="12.75" customHeight="1">
      <c r="A5" s="1" t="s">
        <v>1387</v>
      </c>
      <c r="B5" s="1" t="s">
        <v>1388</v>
      </c>
    </row>
    <row r="6" ht="12.75" customHeight="1">
      <c r="A6" s="1" t="s">
        <v>1391</v>
      </c>
      <c r="B6" s="1" t="s">
        <v>1392</v>
      </c>
    </row>
    <row r="7" ht="12.75" customHeight="1">
      <c r="A7" s="1" t="s">
        <v>1395</v>
      </c>
      <c r="B7" s="1" t="s">
        <v>1396</v>
      </c>
    </row>
    <row r="8" ht="12.75" customHeight="1">
      <c r="A8" s="1" t="s">
        <v>1399</v>
      </c>
      <c r="B8" s="1" t="s">
        <v>1400</v>
      </c>
    </row>
    <row r="9" ht="12.75" customHeight="1">
      <c r="A9" s="1" t="s">
        <v>1404</v>
      </c>
      <c r="B9" s="1" t="s">
        <v>1405</v>
      </c>
    </row>
    <row r="10" ht="12.75" customHeight="1">
      <c r="A10" s="1" t="s">
        <v>1407</v>
      </c>
      <c r="B10" s="1" t="s">
        <v>1408</v>
      </c>
    </row>
    <row r="11" ht="12.75" customHeight="1">
      <c r="A11" s="1" t="s">
        <v>1410</v>
      </c>
      <c r="B11" s="1" t="s">
        <v>1411</v>
      </c>
    </row>
    <row r="12" ht="12.75" customHeight="1">
      <c r="A12" s="1" t="s">
        <v>1414</v>
      </c>
      <c r="B12" s="1" t="s">
        <v>1415</v>
      </c>
    </row>
    <row r="13" ht="12.75" customHeight="1">
      <c r="A13" s="1" t="s">
        <v>1419</v>
      </c>
      <c r="B13" s="1" t="s">
        <v>1420</v>
      </c>
    </row>
    <row r="14" ht="12.75" customHeight="1">
      <c r="A14" s="1" t="s">
        <v>1423</v>
      </c>
      <c r="B14" s="1" t="s">
        <v>1424</v>
      </c>
    </row>
    <row r="15" ht="12.75" customHeight="1">
      <c r="A15" s="1" t="s">
        <v>1427</v>
      </c>
      <c r="B15" s="1" t="s">
        <v>1428</v>
      </c>
    </row>
    <row r="16" ht="12.75" customHeight="1">
      <c r="A16" s="1" t="s">
        <v>1431</v>
      </c>
      <c r="B16" s="1" t="s">
        <v>1432</v>
      </c>
    </row>
    <row r="17" ht="12.75" customHeight="1">
      <c r="A17" s="1" t="s">
        <v>1435</v>
      </c>
      <c r="B17" s="1" t="s">
        <v>1436</v>
      </c>
    </row>
    <row r="18" ht="12.75" customHeight="1">
      <c r="A18" s="1" t="s">
        <v>1439</v>
      </c>
      <c r="B18" s="1" t="s">
        <v>1440</v>
      </c>
    </row>
    <row r="19" ht="12.75" customHeight="1">
      <c r="A19" s="1" t="s">
        <v>1443</v>
      </c>
      <c r="B19" s="1" t="s">
        <v>1444</v>
      </c>
    </row>
    <row r="20" ht="12.75" customHeight="1">
      <c r="A20" s="1" t="s">
        <v>1447</v>
      </c>
      <c r="B20" s="1" t="s">
        <v>1448</v>
      </c>
    </row>
    <row r="21" ht="12.75" customHeight="1">
      <c r="A21" s="1" t="s">
        <v>1451</v>
      </c>
      <c r="B21" s="1" t="s">
        <v>1452</v>
      </c>
    </row>
    <row r="22" ht="12.75" customHeight="1">
      <c r="A22" s="1" t="s">
        <v>1457</v>
      </c>
      <c r="B22" s="1" t="s">
        <v>1458</v>
      </c>
    </row>
    <row r="23" ht="12.75" customHeight="1">
      <c r="A23" s="1" t="s">
        <v>1463</v>
      </c>
      <c r="B23" s="1" t="s">
        <v>1464</v>
      </c>
    </row>
    <row r="24" ht="12.75" customHeight="1">
      <c r="A24" s="1" t="s">
        <v>1469</v>
      </c>
      <c r="B24" s="1" t="s">
        <v>1470</v>
      </c>
    </row>
    <row r="25" ht="12.75" customHeight="1">
      <c r="A25" s="1" t="s">
        <v>1475</v>
      </c>
      <c r="B25" s="1" t="s">
        <v>1476</v>
      </c>
    </row>
    <row r="26" ht="12.75" customHeight="1">
      <c r="A26" s="1" t="s">
        <v>1481</v>
      </c>
      <c r="B26" s="1" t="s">
        <v>1482</v>
      </c>
    </row>
    <row r="27" ht="12.75" customHeight="1">
      <c r="A27" s="1" t="s">
        <v>1485</v>
      </c>
      <c r="B27" s="1" t="s">
        <v>1486</v>
      </c>
    </row>
    <row r="28" ht="12.75" customHeight="1">
      <c r="A28" s="1" t="s">
        <v>1491</v>
      </c>
      <c r="B28" s="1" t="s">
        <v>1492</v>
      </c>
    </row>
    <row r="29" ht="12.75" customHeight="1">
      <c r="A29" s="1" t="s">
        <v>1495</v>
      </c>
      <c r="B29" s="1" t="s">
        <v>1496</v>
      </c>
    </row>
    <row r="30" ht="12.75" customHeight="1">
      <c r="A30" s="1" t="s">
        <v>1500</v>
      </c>
      <c r="B30" s="1" t="s">
        <v>1501</v>
      </c>
    </row>
    <row r="31" ht="12.75" customHeight="1">
      <c r="A31" s="1" t="s">
        <v>1504</v>
      </c>
      <c r="B31" s="1" t="s">
        <v>1505</v>
      </c>
    </row>
    <row r="32" ht="12.75" customHeight="1">
      <c r="A32" s="1" t="s">
        <v>1508</v>
      </c>
      <c r="B32" s="1" t="s">
        <v>1509</v>
      </c>
    </row>
    <row r="33" ht="12.75" customHeight="1">
      <c r="A33" s="1" t="s">
        <v>1512</v>
      </c>
      <c r="B33" s="1" t="s">
        <v>1513</v>
      </c>
    </row>
    <row r="34" ht="12.75" customHeight="1">
      <c r="A34" s="1" t="s">
        <v>1518</v>
      </c>
      <c r="B34" s="1" t="s">
        <v>1519</v>
      </c>
    </row>
    <row r="35" ht="12.75" customHeight="1">
      <c r="A35" s="1" t="s">
        <v>1524</v>
      </c>
      <c r="B35" s="1" t="s">
        <v>1525</v>
      </c>
    </row>
    <row r="36" ht="12.75" customHeight="1">
      <c r="A36" s="1" t="s">
        <v>1528</v>
      </c>
      <c r="B36" s="1" t="s">
        <v>1529</v>
      </c>
    </row>
    <row r="37" ht="12.75" customHeight="1">
      <c r="A37" s="1" t="s">
        <v>1532</v>
      </c>
      <c r="B37" s="1" t="s">
        <v>1533</v>
      </c>
    </row>
    <row r="38" ht="12.75" customHeight="1">
      <c r="A38" s="1" t="s">
        <v>1536</v>
      </c>
      <c r="B38" s="1" t="s">
        <v>1537</v>
      </c>
    </row>
    <row r="39" ht="12.75" customHeight="1">
      <c r="A39" s="1" t="s">
        <v>1540</v>
      </c>
      <c r="B39" s="1" t="s">
        <v>1541</v>
      </c>
    </row>
    <row r="40" ht="12.75" customHeight="1">
      <c r="A40" s="1" t="s">
        <v>1544</v>
      </c>
      <c r="B40" s="1" t="s">
        <v>1545</v>
      </c>
    </row>
    <row r="41" ht="12.75" customHeight="1">
      <c r="A41" s="1" t="s">
        <v>1548</v>
      </c>
      <c r="B41" s="1" t="s">
        <v>1549</v>
      </c>
    </row>
    <row r="42" ht="12.75" customHeight="1">
      <c r="A42" s="1" t="s">
        <v>1553</v>
      </c>
      <c r="B42" s="1" t="s">
        <v>1554</v>
      </c>
    </row>
    <row r="43" ht="12.75" customHeight="1">
      <c r="A43" s="1" t="s">
        <v>1557</v>
      </c>
      <c r="B43" s="1" t="s">
        <v>1558</v>
      </c>
    </row>
    <row r="44" ht="12.75" customHeight="1">
      <c r="A44" s="1" t="s">
        <v>1562</v>
      </c>
      <c r="B44" s="1" t="s">
        <v>1563</v>
      </c>
    </row>
    <row r="45" ht="12.75" customHeight="1">
      <c r="A45" s="1" t="s">
        <v>1566</v>
      </c>
      <c r="B45" s="1" t="s">
        <v>1567</v>
      </c>
    </row>
    <row r="46" ht="12.75" customHeight="1">
      <c r="A46" s="1" t="s">
        <v>1571</v>
      </c>
      <c r="B46" s="1" t="s">
        <v>1572</v>
      </c>
    </row>
    <row r="47" ht="12.75" customHeight="1">
      <c r="A47" s="1" t="s">
        <v>1576</v>
      </c>
      <c r="B47" s="1" t="s">
        <v>1577</v>
      </c>
    </row>
    <row r="48" ht="12.75" customHeight="1">
      <c r="A48" s="1" t="s">
        <v>1581</v>
      </c>
      <c r="B48" s="1" t="s">
        <v>1582</v>
      </c>
    </row>
    <row r="49" ht="12.75" customHeight="1">
      <c r="A49" s="1" t="s">
        <v>1586</v>
      </c>
      <c r="B49" s="1" t="s">
        <v>1587</v>
      </c>
    </row>
    <row r="50" ht="12.75" customHeight="1">
      <c r="A50" s="1" t="s">
        <v>1591</v>
      </c>
      <c r="B50" s="1" t="s">
        <v>1592</v>
      </c>
    </row>
    <row r="51" ht="12.75" customHeight="1">
      <c r="A51" s="1" t="s">
        <v>1596</v>
      </c>
      <c r="B51" s="1" t="s">
        <v>1597</v>
      </c>
    </row>
    <row r="52" ht="12.75" customHeight="1">
      <c r="A52" s="1" t="s">
        <v>1602</v>
      </c>
      <c r="B52" s="1" t="s">
        <v>1603</v>
      </c>
    </row>
    <row r="53" ht="12.75" customHeight="1">
      <c r="A53" s="1" t="s">
        <v>1608</v>
      </c>
      <c r="B53" s="1" t="s">
        <v>1609</v>
      </c>
    </row>
    <row r="54" ht="12.75" customHeight="1">
      <c r="A54" s="1" t="s">
        <v>1612</v>
      </c>
      <c r="B54" s="1" t="s">
        <v>1613</v>
      </c>
    </row>
    <row r="55" ht="12.75" customHeight="1">
      <c r="A55" s="1" t="s">
        <v>1616</v>
      </c>
      <c r="B55" s="1" t="s">
        <v>1617</v>
      </c>
    </row>
    <row r="56" ht="12.75" customHeight="1">
      <c r="A56" s="1" t="s">
        <v>1622</v>
      </c>
      <c r="B56" s="1" t="s">
        <v>1623</v>
      </c>
    </row>
    <row r="57" ht="12.75" customHeight="1">
      <c r="A57" s="1" t="s">
        <v>1626</v>
      </c>
      <c r="B57" s="1" t="s">
        <v>1627</v>
      </c>
    </row>
    <row r="58" ht="12.75" customHeight="1">
      <c r="A58" s="1" t="s">
        <v>1630</v>
      </c>
      <c r="B58" s="1" t="s">
        <v>1631</v>
      </c>
    </row>
    <row r="59" ht="12.75" customHeight="1">
      <c r="A59" s="1" t="s">
        <v>1634</v>
      </c>
      <c r="B59" s="1" t="s">
        <v>1635</v>
      </c>
    </row>
    <row r="60" ht="12.75" customHeight="1">
      <c r="A60" s="1" t="s">
        <v>1638</v>
      </c>
      <c r="B60" s="1" t="s">
        <v>1639</v>
      </c>
    </row>
    <row r="61" ht="12.75" customHeight="1">
      <c r="A61" s="1" t="s">
        <v>1642</v>
      </c>
      <c r="B61" s="1" t="s">
        <v>1643</v>
      </c>
    </row>
    <row r="62" ht="12.75" customHeight="1">
      <c r="A62" s="1" t="s">
        <v>1646</v>
      </c>
      <c r="B62" s="1" t="s">
        <v>1647</v>
      </c>
    </row>
    <row r="63" ht="12.75" customHeight="1">
      <c r="A63" s="1" t="s">
        <v>1650</v>
      </c>
      <c r="B63" s="1" t="s">
        <v>1651</v>
      </c>
    </row>
    <row r="64" ht="12.75" customHeight="1">
      <c r="A64" s="1" t="s">
        <v>1654</v>
      </c>
      <c r="B64" s="1" t="s">
        <v>1655</v>
      </c>
    </row>
    <row r="65" ht="12.75" customHeight="1">
      <c r="A65" s="1" t="s">
        <v>1658</v>
      </c>
      <c r="B65" s="1" t="s">
        <v>1659</v>
      </c>
    </row>
    <row r="66" ht="12.75" customHeight="1">
      <c r="A66" s="1" t="s">
        <v>1662</v>
      </c>
      <c r="B66" s="1" t="s">
        <v>1663</v>
      </c>
    </row>
    <row r="67" ht="12.75" customHeight="1">
      <c r="A67" s="1" t="s">
        <v>1666</v>
      </c>
      <c r="B67" s="1" t="s">
        <v>1667</v>
      </c>
    </row>
    <row r="68" ht="12.75" customHeight="1">
      <c r="A68" s="1" t="s">
        <v>1670</v>
      </c>
      <c r="B68" s="1" t="s">
        <v>1671</v>
      </c>
    </row>
    <row r="69" ht="12.75" customHeight="1">
      <c r="A69" s="1" t="s">
        <v>1674</v>
      </c>
      <c r="B69" s="1" t="s">
        <v>1675</v>
      </c>
    </row>
    <row r="70" ht="12.75" customHeight="1">
      <c r="A70" s="1" t="s">
        <v>1678</v>
      </c>
      <c r="B70" s="1" t="s">
        <v>1679</v>
      </c>
    </row>
    <row r="71" ht="12.75" customHeight="1">
      <c r="A71" s="1" t="s">
        <v>1682</v>
      </c>
      <c r="B71" s="1" t="s">
        <v>1683</v>
      </c>
    </row>
    <row r="72" ht="12.75" customHeight="1">
      <c r="A72" s="1" t="s">
        <v>1689</v>
      </c>
      <c r="B72" s="1" t="s">
        <v>1690</v>
      </c>
    </row>
    <row r="73" ht="12.75" customHeight="1">
      <c r="A73" s="1" t="s">
        <v>1695</v>
      </c>
      <c r="B73" s="1" t="s">
        <v>1696</v>
      </c>
    </row>
    <row r="74" ht="12.75" customHeight="1">
      <c r="A74" s="1" t="s">
        <v>1701</v>
      </c>
      <c r="B74" s="1" t="s">
        <v>1702</v>
      </c>
    </row>
    <row r="75" ht="12.75" customHeight="1">
      <c r="A75" s="1" t="s">
        <v>1707</v>
      </c>
      <c r="B75" s="1" t="s">
        <v>1708</v>
      </c>
    </row>
    <row r="76" ht="12.75" customHeight="1">
      <c r="A76" s="1" t="s">
        <v>1711</v>
      </c>
      <c r="B76" s="1" t="s">
        <v>1712</v>
      </c>
    </row>
    <row r="77" ht="12.75" customHeight="1">
      <c r="A77" s="1" t="s">
        <v>1716</v>
      </c>
      <c r="B77" s="1" t="s">
        <v>1717</v>
      </c>
    </row>
    <row r="78" ht="12.75" customHeight="1">
      <c r="A78" s="1" t="s">
        <v>1721</v>
      </c>
      <c r="B78" s="1" t="s">
        <v>1722</v>
      </c>
    </row>
    <row r="79" ht="12.75" customHeight="1">
      <c r="A79" s="1" t="s">
        <v>1727</v>
      </c>
      <c r="B79" s="1" t="s">
        <v>1728</v>
      </c>
    </row>
    <row r="80" ht="12.75" customHeight="1">
      <c r="A80" s="1" t="s">
        <v>1733</v>
      </c>
      <c r="B80" s="1" t="s">
        <v>1734</v>
      </c>
    </row>
    <row r="81" ht="12.75" customHeight="1">
      <c r="A81" s="1" t="s">
        <v>1738</v>
      </c>
      <c r="B81" s="1" t="s">
        <v>1739</v>
      </c>
    </row>
    <row r="82" ht="12.75" customHeight="1">
      <c r="A82" s="1" t="s">
        <v>1742</v>
      </c>
      <c r="B82" s="1" t="s">
        <v>1743</v>
      </c>
    </row>
    <row r="83" ht="12.75" customHeight="1">
      <c r="A83" s="1" t="s">
        <v>1747</v>
      </c>
      <c r="B83" s="1" t="s">
        <v>1748</v>
      </c>
    </row>
    <row r="84" ht="12.75" customHeight="1">
      <c r="A84" s="1" t="s">
        <v>1752</v>
      </c>
      <c r="B84" s="1" t="s">
        <v>1753</v>
      </c>
    </row>
    <row r="85" ht="12.75" customHeight="1">
      <c r="A85" s="1" t="s">
        <v>1756</v>
      </c>
      <c r="B85" s="1" t="s">
        <v>1757</v>
      </c>
    </row>
    <row r="86" ht="12.75" customHeight="1">
      <c r="A86" s="1" t="s">
        <v>1759</v>
      </c>
      <c r="B86" s="1" t="s">
        <v>1760</v>
      </c>
    </row>
    <row r="87" ht="12.75" customHeight="1">
      <c r="A87" s="1" t="s">
        <v>1763</v>
      </c>
      <c r="B87" s="1" t="s">
        <v>1764</v>
      </c>
    </row>
    <row r="88" ht="12.75" customHeight="1">
      <c r="A88" s="1" t="s">
        <v>1767</v>
      </c>
      <c r="B88" s="1" t="s">
        <v>1768</v>
      </c>
    </row>
    <row r="89" ht="12.75" customHeight="1">
      <c r="A89" s="1" t="s">
        <v>1770</v>
      </c>
      <c r="B89" s="1" t="s">
        <v>1771</v>
      </c>
    </row>
    <row r="90" ht="12.75" customHeight="1">
      <c r="A90" s="1" t="s">
        <v>1773</v>
      </c>
      <c r="B90" s="1" t="s">
        <v>1774</v>
      </c>
    </row>
    <row r="91" ht="12.75" customHeight="1">
      <c r="A91" s="1" t="s">
        <v>1776</v>
      </c>
      <c r="B91" s="1" t="s">
        <v>1777</v>
      </c>
    </row>
    <row r="92" ht="12.75" customHeight="1">
      <c r="A92" s="1" t="s">
        <v>1781</v>
      </c>
      <c r="B92" s="1" t="s">
        <v>1782</v>
      </c>
    </row>
    <row r="93" ht="12.75" customHeight="1">
      <c r="A93" s="1" t="s">
        <v>1784</v>
      </c>
      <c r="B93" s="1" t="s">
        <v>1785</v>
      </c>
    </row>
    <row r="94" ht="12.75" customHeight="1">
      <c r="A94" s="1" t="s">
        <v>1789</v>
      </c>
      <c r="B94" s="1" t="s">
        <v>1790</v>
      </c>
    </row>
    <row r="95" ht="12.75" customHeight="1">
      <c r="A95" s="1" t="s">
        <v>1792</v>
      </c>
      <c r="B95" s="1" t="s">
        <v>1793</v>
      </c>
    </row>
    <row r="96" ht="12.75" customHeight="1">
      <c r="A96" s="1" t="s">
        <v>1795</v>
      </c>
      <c r="B96" s="1" t="s">
        <v>1796</v>
      </c>
    </row>
    <row r="97" ht="12.75" customHeight="1">
      <c r="A97" s="1" t="s">
        <v>1798</v>
      </c>
      <c r="B97" s="1" t="s">
        <v>1799</v>
      </c>
    </row>
    <row r="98" ht="12.75" customHeight="1">
      <c r="A98" s="1" t="s">
        <v>1803</v>
      </c>
      <c r="B98" s="1" t="s">
        <v>1804</v>
      </c>
    </row>
    <row r="99" ht="12.75" customHeight="1">
      <c r="A99" s="1" t="s">
        <v>1808</v>
      </c>
      <c r="B99" s="1" t="s">
        <v>1809</v>
      </c>
    </row>
    <row r="100" ht="12.75" customHeight="1">
      <c r="A100" s="1" t="s">
        <v>1813</v>
      </c>
      <c r="B100" s="1" t="s">
        <v>1814</v>
      </c>
    </row>
    <row r="101" ht="12.75" customHeight="1">
      <c r="A101" s="1" t="s">
        <v>1818</v>
      </c>
      <c r="B101" s="1" t="s">
        <v>1819</v>
      </c>
    </row>
    <row r="102" ht="12.75" customHeight="1">
      <c r="A102" s="1" t="s">
        <v>1821</v>
      </c>
      <c r="B102" s="1" t="s">
        <v>1822</v>
      </c>
    </row>
    <row r="103" ht="12.75" customHeight="1">
      <c r="A103" s="1" t="s">
        <v>1824</v>
      </c>
      <c r="B103" s="1" t="s">
        <v>1825</v>
      </c>
    </row>
    <row r="104" ht="12.75" customHeight="1">
      <c r="A104" s="1" t="s">
        <v>1828</v>
      </c>
      <c r="B104" s="1" t="s">
        <v>1829</v>
      </c>
    </row>
    <row r="105" ht="12.75" customHeight="1">
      <c r="A105" s="1" t="s">
        <v>1832</v>
      </c>
      <c r="B105" s="1" t="s">
        <v>1833</v>
      </c>
    </row>
    <row r="106" ht="12.75" customHeight="1">
      <c r="A106" s="1" t="s">
        <v>1836</v>
      </c>
      <c r="B106" s="1" t="s">
        <v>1837</v>
      </c>
    </row>
    <row r="107" ht="12.75" customHeight="1">
      <c r="A107" s="1" t="s">
        <v>1840</v>
      </c>
      <c r="B107" s="1" t="s">
        <v>1841</v>
      </c>
    </row>
    <row r="108" ht="12.75" customHeight="1">
      <c r="A108" s="1" t="s">
        <v>1845</v>
      </c>
      <c r="B108" s="1" t="s">
        <v>1846</v>
      </c>
    </row>
    <row r="109" ht="12.75" customHeight="1">
      <c r="A109" s="1" t="s">
        <v>1850</v>
      </c>
      <c r="B109" s="1" t="s">
        <v>1851</v>
      </c>
    </row>
    <row r="110" ht="12.75" customHeight="1">
      <c r="A110" s="1" t="s">
        <v>1855</v>
      </c>
      <c r="B110" s="1" t="s">
        <v>1856</v>
      </c>
    </row>
    <row r="111" ht="12.75" customHeight="1">
      <c r="A111" s="1" t="s">
        <v>1860</v>
      </c>
      <c r="B111" s="1" t="s">
        <v>1861</v>
      </c>
    </row>
    <row r="112" ht="12.75" customHeight="1">
      <c r="A112" s="1" t="s">
        <v>1866</v>
      </c>
      <c r="B112" s="1" t="s">
        <v>1867</v>
      </c>
    </row>
    <row r="113" ht="12.75" customHeight="1">
      <c r="A113" s="1" t="s">
        <v>1872</v>
      </c>
      <c r="B113" s="1" t="s">
        <v>1873</v>
      </c>
    </row>
    <row r="114" ht="12.75" customHeight="1">
      <c r="A114" s="1" t="s">
        <v>1878</v>
      </c>
      <c r="B114" s="1" t="s">
        <v>1879</v>
      </c>
    </row>
    <row r="115" ht="12.75" customHeight="1">
      <c r="A115" s="1" t="s">
        <v>1882</v>
      </c>
      <c r="B115" s="1" t="s">
        <v>1883</v>
      </c>
    </row>
    <row r="116" ht="12.75" customHeight="1">
      <c r="A116" s="1" t="s">
        <v>1886</v>
      </c>
      <c r="B116" s="1" t="s">
        <v>1887</v>
      </c>
    </row>
    <row r="117" ht="12.75" customHeight="1">
      <c r="A117" s="1" t="s">
        <v>1890</v>
      </c>
      <c r="B117" s="1" t="s">
        <v>1891</v>
      </c>
    </row>
    <row r="118" ht="12.75" customHeight="1">
      <c r="A118" s="1" t="s">
        <v>1895</v>
      </c>
      <c r="B118" s="1" t="s">
        <v>1896</v>
      </c>
    </row>
    <row r="119" ht="12.75" customHeight="1">
      <c r="A119" s="1" t="s">
        <v>1900</v>
      </c>
      <c r="B119" s="1" t="s">
        <v>1901</v>
      </c>
    </row>
    <row r="120" ht="12.75" customHeight="1">
      <c r="A120" s="1" t="s">
        <v>1905</v>
      </c>
      <c r="B120" s="1" t="s">
        <v>1906</v>
      </c>
    </row>
    <row r="121" ht="12.75" customHeight="1">
      <c r="A121" s="1" t="s">
        <v>1910</v>
      </c>
      <c r="B121" s="1" t="s">
        <v>1911</v>
      </c>
    </row>
    <row r="122" ht="12.75" customHeight="1">
      <c r="A122" s="1" t="s">
        <v>1915</v>
      </c>
      <c r="B122" s="1" t="s">
        <v>1916</v>
      </c>
    </row>
    <row r="123" ht="12.75" customHeight="1">
      <c r="A123" s="1" t="s">
        <v>1919</v>
      </c>
      <c r="B123" s="1" t="s">
        <v>1920</v>
      </c>
    </row>
    <row r="124" ht="12.75" customHeight="1">
      <c r="A124" s="1" t="s">
        <v>1923</v>
      </c>
      <c r="B124" s="1" t="s">
        <v>1924</v>
      </c>
    </row>
    <row r="125" ht="12.75" customHeight="1">
      <c r="A125" s="1" t="s">
        <v>1927</v>
      </c>
      <c r="B125" s="1" t="s">
        <v>1928</v>
      </c>
    </row>
    <row r="126" ht="12.75" customHeight="1">
      <c r="A126" s="1" t="s">
        <v>1930</v>
      </c>
      <c r="B126" s="1" t="s">
        <v>1931</v>
      </c>
    </row>
    <row r="127" ht="12.75" customHeight="1">
      <c r="A127" s="1" t="s">
        <v>1933</v>
      </c>
      <c r="B127" s="1" t="s">
        <v>1934</v>
      </c>
    </row>
    <row r="128" ht="12.75" customHeight="1">
      <c r="A128" s="1" t="s">
        <v>1936</v>
      </c>
      <c r="B128" s="1" t="s">
        <v>1937</v>
      </c>
    </row>
    <row r="129" ht="12.75" customHeight="1">
      <c r="A129" s="1" t="s">
        <v>1939</v>
      </c>
      <c r="B129" s="1" t="s">
        <v>1940</v>
      </c>
    </row>
    <row r="130" ht="12.75" customHeight="1">
      <c r="A130" s="1" t="s">
        <v>1942</v>
      </c>
      <c r="B130" s="1" t="s">
        <v>1943</v>
      </c>
    </row>
    <row r="131" ht="12.75" customHeight="1">
      <c r="A131" s="1" t="s">
        <v>1945</v>
      </c>
      <c r="B131" s="1" t="s">
        <v>1946</v>
      </c>
    </row>
    <row r="132" ht="12.75" customHeight="1">
      <c r="A132" s="1" t="s">
        <v>1948</v>
      </c>
      <c r="B132" s="1" t="s">
        <v>1949</v>
      </c>
    </row>
    <row r="133" ht="12.75" customHeight="1">
      <c r="A133" s="1" t="s">
        <v>1951</v>
      </c>
      <c r="B133" s="1" t="s">
        <v>1952</v>
      </c>
    </row>
    <row r="134" ht="12.75" customHeight="1">
      <c r="A134" s="1" t="s">
        <v>1953</v>
      </c>
      <c r="B134" s="1" t="s">
        <v>1954</v>
      </c>
    </row>
    <row r="135" ht="12.75" customHeight="1">
      <c r="A135" s="1" t="s">
        <v>1955</v>
      </c>
      <c r="B135" s="1" t="s">
        <v>1956</v>
      </c>
    </row>
    <row r="136" ht="12.75" customHeight="1">
      <c r="A136" s="1" t="s">
        <v>1957</v>
      </c>
      <c r="B136" s="1" t="s">
        <v>1958</v>
      </c>
    </row>
    <row r="137" ht="12.75" customHeight="1">
      <c r="A137" s="1" t="s">
        <v>1959</v>
      </c>
      <c r="B137" s="1" t="s">
        <v>1960</v>
      </c>
    </row>
    <row r="138" ht="12.75" customHeight="1">
      <c r="A138" s="1" t="s">
        <v>1961</v>
      </c>
      <c r="B138" s="1" t="s">
        <v>1962</v>
      </c>
    </row>
    <row r="139" ht="12.75" customHeight="1">
      <c r="A139" s="1" t="s">
        <v>1963</v>
      </c>
      <c r="B139" s="1" t="s">
        <v>1964</v>
      </c>
    </row>
    <row r="140" ht="12.75" customHeight="1">
      <c r="A140" s="1" t="s">
        <v>1965</v>
      </c>
      <c r="B140" s="1" t="s">
        <v>1966</v>
      </c>
    </row>
    <row r="141" ht="12.75" customHeight="1">
      <c r="A141" s="1" t="s">
        <v>1967</v>
      </c>
      <c r="B141" s="1" t="s">
        <v>1968</v>
      </c>
    </row>
    <row r="142" ht="12.75" customHeight="1">
      <c r="A142" s="1" t="s">
        <v>1969</v>
      </c>
      <c r="B142" s="1" t="s">
        <v>1970</v>
      </c>
    </row>
    <row r="143" ht="12.75" customHeight="1">
      <c r="A143" s="1" t="s">
        <v>1971</v>
      </c>
      <c r="B143" s="1" t="s">
        <v>1972</v>
      </c>
    </row>
    <row r="144" ht="12.75" customHeight="1">
      <c r="A144" s="1" t="s">
        <v>1973</v>
      </c>
      <c r="B144" s="1" t="s">
        <v>1974</v>
      </c>
    </row>
    <row r="145" ht="12.75" customHeight="1">
      <c r="A145" s="1" t="s">
        <v>1975</v>
      </c>
      <c r="B145" s="1" t="s">
        <v>1976</v>
      </c>
    </row>
    <row r="146" ht="12.75" customHeight="1">
      <c r="A146" s="1" t="s">
        <v>1977</v>
      </c>
      <c r="B146" s="1" t="s">
        <v>1978</v>
      </c>
    </row>
    <row r="147" ht="12.75" customHeight="1">
      <c r="A147" s="1" t="s">
        <v>1979</v>
      </c>
      <c r="B147" s="1" t="s">
        <v>1980</v>
      </c>
    </row>
    <row r="148" ht="12.75" customHeight="1">
      <c r="A148" s="1" t="s">
        <v>1981</v>
      </c>
      <c r="B148" s="1" t="s">
        <v>1982</v>
      </c>
    </row>
    <row r="149" ht="12.75" customHeight="1">
      <c r="A149" s="1" t="s">
        <v>1983</v>
      </c>
      <c r="B149" s="1" t="s">
        <v>1984</v>
      </c>
    </row>
    <row r="150" ht="12.75" customHeight="1">
      <c r="A150" s="1" t="s">
        <v>1985</v>
      </c>
      <c r="B150" s="1" t="s">
        <v>1986</v>
      </c>
    </row>
    <row r="151" ht="12.75" customHeight="1">
      <c r="A151" s="1" t="s">
        <v>1987</v>
      </c>
      <c r="B151" s="1" t="s">
        <v>1988</v>
      </c>
    </row>
    <row r="152" ht="12.75" customHeight="1">
      <c r="A152" s="1" t="s">
        <v>1989</v>
      </c>
      <c r="B152" s="1" t="s">
        <v>1990</v>
      </c>
    </row>
    <row r="153" ht="12.75" customHeight="1">
      <c r="A153" s="1" t="s">
        <v>1991</v>
      </c>
      <c r="B153" s="1" t="s">
        <v>1992</v>
      </c>
    </row>
    <row r="154" ht="12.75" customHeight="1">
      <c r="A154" s="1" t="s">
        <v>1993</v>
      </c>
      <c r="B154" s="1" t="s">
        <v>1994</v>
      </c>
    </row>
    <row r="155" ht="12.75" customHeight="1">
      <c r="A155" s="1" t="s">
        <v>1995</v>
      </c>
      <c r="B155" s="1" t="s">
        <v>1996</v>
      </c>
    </row>
    <row r="156" ht="12.75" customHeight="1">
      <c r="A156" s="1" t="s">
        <v>1997</v>
      </c>
      <c r="B156" s="1" t="s">
        <v>1998</v>
      </c>
    </row>
    <row r="157" ht="12.75" customHeight="1">
      <c r="A157" s="1" t="s">
        <v>1999</v>
      </c>
      <c r="B157" s="1" t="s">
        <v>2000</v>
      </c>
    </row>
    <row r="158" ht="12.75" customHeight="1">
      <c r="A158" s="1" t="s">
        <v>2001</v>
      </c>
      <c r="B158" s="1" t="s">
        <v>2002</v>
      </c>
    </row>
    <row r="159" ht="12.75" customHeight="1">
      <c r="A159" s="1" t="s">
        <v>2003</v>
      </c>
      <c r="B159" s="1" t="s">
        <v>2004</v>
      </c>
    </row>
    <row r="160" ht="12.75" customHeight="1">
      <c r="A160" s="1" t="s">
        <v>2005</v>
      </c>
      <c r="B160" s="1" t="s">
        <v>2006</v>
      </c>
    </row>
    <row r="161" ht="12.75" customHeight="1">
      <c r="A161" s="1" t="s">
        <v>2007</v>
      </c>
      <c r="B161" s="1" t="s">
        <v>2008</v>
      </c>
    </row>
    <row r="162" ht="12.75" customHeight="1">
      <c r="A162" s="1" t="s">
        <v>2009</v>
      </c>
      <c r="B162" s="1" t="s">
        <v>2010</v>
      </c>
    </row>
    <row r="163" ht="12.75" customHeight="1">
      <c r="A163" s="1" t="s">
        <v>2011</v>
      </c>
      <c r="B163" s="1" t="s">
        <v>2012</v>
      </c>
    </row>
    <row r="164" ht="12.75" customHeight="1">
      <c r="A164" s="1" t="s">
        <v>2013</v>
      </c>
      <c r="B164" s="1" t="s">
        <v>2014</v>
      </c>
    </row>
    <row r="165" ht="12.75" customHeight="1">
      <c r="A165" s="1" t="s">
        <v>2015</v>
      </c>
      <c r="B165" s="1" t="s">
        <v>2016</v>
      </c>
    </row>
    <row r="166" ht="12.75" customHeight="1">
      <c r="A166" s="1" t="s">
        <v>2017</v>
      </c>
      <c r="B166" s="1" t="s">
        <v>2018</v>
      </c>
    </row>
    <row r="167" ht="12.75" customHeight="1">
      <c r="A167" s="1" t="s">
        <v>2019</v>
      </c>
      <c r="B167" s="1" t="s">
        <v>2020</v>
      </c>
    </row>
    <row r="168" ht="12.75" customHeight="1">
      <c r="A168" s="1" t="s">
        <v>2021</v>
      </c>
      <c r="B168" s="1" t="s">
        <v>2022</v>
      </c>
    </row>
    <row r="169" ht="12.75" customHeight="1">
      <c r="A169" s="1" t="s">
        <v>2023</v>
      </c>
      <c r="B169" s="1" t="s">
        <v>2024</v>
      </c>
    </row>
    <row r="170" ht="12.75" customHeight="1">
      <c r="A170" s="1" t="s">
        <v>2025</v>
      </c>
      <c r="B170" s="1" t="s">
        <v>2026</v>
      </c>
    </row>
    <row r="171" ht="12.75" customHeight="1">
      <c r="A171" s="1" t="s">
        <v>2027</v>
      </c>
      <c r="B171" s="1" t="s">
        <v>2028</v>
      </c>
    </row>
    <row r="172" ht="12.75" customHeight="1">
      <c r="A172" s="1" t="s">
        <v>2029</v>
      </c>
      <c r="B172" s="1" t="s">
        <v>2030</v>
      </c>
    </row>
    <row r="173" ht="12.75" customHeight="1">
      <c r="A173" s="1" t="s">
        <v>2031</v>
      </c>
      <c r="B173" s="1" t="s">
        <v>2032</v>
      </c>
    </row>
    <row r="174" ht="12.75" customHeight="1">
      <c r="A174" s="1" t="s">
        <v>2033</v>
      </c>
      <c r="B174" s="1" t="s">
        <v>2034</v>
      </c>
    </row>
    <row r="175" ht="12.75" customHeight="1">
      <c r="A175" s="1" t="s">
        <v>2035</v>
      </c>
      <c r="B175" s="1" t="s">
        <v>2036</v>
      </c>
    </row>
    <row r="176" ht="12.75" customHeight="1">
      <c r="A176" s="1" t="s">
        <v>2037</v>
      </c>
      <c r="B176" s="1" t="s">
        <v>2038</v>
      </c>
    </row>
    <row r="177" ht="12.75" customHeight="1">
      <c r="A177" s="1" t="s">
        <v>2039</v>
      </c>
      <c r="B177" s="1" t="s">
        <v>2040</v>
      </c>
    </row>
    <row r="178" ht="12.75" customHeight="1">
      <c r="A178" s="1" t="s">
        <v>2041</v>
      </c>
      <c r="B178" s="1" t="s">
        <v>2042</v>
      </c>
    </row>
    <row r="179" ht="12.75" customHeight="1">
      <c r="A179" s="1" t="s">
        <v>2043</v>
      </c>
      <c r="B179" s="1" t="s">
        <v>2044</v>
      </c>
    </row>
    <row r="180" ht="12.75" customHeight="1">
      <c r="A180" s="1" t="s">
        <v>2045</v>
      </c>
      <c r="B180" s="1" t="s">
        <v>2046</v>
      </c>
    </row>
    <row r="181" ht="12.75" customHeight="1">
      <c r="A181" s="1" t="s">
        <v>2047</v>
      </c>
      <c r="B181" s="1" t="s">
        <v>2048</v>
      </c>
    </row>
    <row r="182" ht="12.75" customHeight="1">
      <c r="A182" s="1" t="s">
        <v>2049</v>
      </c>
      <c r="B182" s="1" t="s">
        <v>2050</v>
      </c>
    </row>
    <row r="183" ht="12.75" customHeight="1">
      <c r="A183" s="1" t="s">
        <v>2051</v>
      </c>
      <c r="B183" s="1" t="s">
        <v>2052</v>
      </c>
    </row>
    <row r="184" ht="12.75" customHeight="1">
      <c r="A184" s="1" t="s">
        <v>2053</v>
      </c>
      <c r="B184" s="1" t="s">
        <v>2054</v>
      </c>
    </row>
    <row r="185" ht="12.75" customHeight="1">
      <c r="A185" s="1" t="s">
        <v>2055</v>
      </c>
      <c r="B185" s="1" t="s">
        <v>2056</v>
      </c>
    </row>
    <row r="186" ht="12.75" customHeight="1">
      <c r="A186" s="1" t="s">
        <v>2057</v>
      </c>
      <c r="B186" s="1" t="s">
        <v>2058</v>
      </c>
    </row>
    <row r="187" ht="12.75" customHeight="1">
      <c r="A187" s="1" t="s">
        <v>2059</v>
      </c>
      <c r="B187" s="1" t="s">
        <v>2060</v>
      </c>
    </row>
    <row r="188" ht="12.75" customHeight="1">
      <c r="A188" s="1" t="s">
        <v>2061</v>
      </c>
      <c r="B188" s="1" t="s">
        <v>2062</v>
      </c>
    </row>
    <row r="189" ht="12.75" customHeight="1">
      <c r="A189" s="1" t="s">
        <v>2063</v>
      </c>
      <c r="B189" s="1" t="s">
        <v>2064</v>
      </c>
    </row>
    <row r="190" ht="12.75" customHeight="1">
      <c r="A190" s="1" t="s">
        <v>2065</v>
      </c>
      <c r="B190" s="1" t="s">
        <v>2066</v>
      </c>
    </row>
    <row r="191" ht="12.75" customHeight="1">
      <c r="A191" s="1" t="s">
        <v>2067</v>
      </c>
      <c r="B191" s="1" t="s">
        <v>2068</v>
      </c>
    </row>
    <row r="192" ht="12.75" customHeight="1">
      <c r="A192" s="1" t="s">
        <v>2069</v>
      </c>
      <c r="B192" s="1" t="s">
        <v>2070</v>
      </c>
    </row>
    <row r="193" ht="12.75" customHeight="1">
      <c r="A193" s="1" t="s">
        <v>2071</v>
      </c>
      <c r="B193" s="1" t="s">
        <v>2072</v>
      </c>
    </row>
    <row r="194" ht="12.75" customHeight="1">
      <c r="A194" s="1" t="s">
        <v>2073</v>
      </c>
      <c r="B194" s="1" t="s">
        <v>2074</v>
      </c>
    </row>
    <row r="195" ht="12.75" customHeight="1">
      <c r="A195" s="1" t="s">
        <v>2075</v>
      </c>
      <c r="B195" s="1" t="s">
        <v>2076</v>
      </c>
    </row>
    <row r="196" ht="12.75" customHeight="1">
      <c r="A196" s="1" t="s">
        <v>2077</v>
      </c>
      <c r="B196" s="1" t="s">
        <v>2078</v>
      </c>
    </row>
    <row r="197" ht="12.75" customHeight="1">
      <c r="A197" s="1" t="s">
        <v>2079</v>
      </c>
      <c r="B197" s="1" t="s">
        <v>2080</v>
      </c>
    </row>
    <row r="198" ht="12.75" customHeight="1">
      <c r="A198" s="1" t="s">
        <v>2081</v>
      </c>
      <c r="B198" s="1" t="s">
        <v>2082</v>
      </c>
    </row>
    <row r="199" ht="12.75" customHeight="1">
      <c r="A199" s="1" t="s">
        <v>2083</v>
      </c>
      <c r="B199" s="1" t="s">
        <v>2084</v>
      </c>
    </row>
    <row r="200" ht="12.75" customHeight="1">
      <c r="A200" s="1" t="s">
        <v>2085</v>
      </c>
      <c r="B200" s="1" t="s">
        <v>2086</v>
      </c>
    </row>
    <row r="201" ht="12.75" customHeight="1">
      <c r="A201" s="1" t="s">
        <v>2087</v>
      </c>
      <c r="B201" s="1" t="s">
        <v>2088</v>
      </c>
    </row>
    <row r="202" ht="12.75" customHeight="1">
      <c r="A202" s="1" t="s">
        <v>2089</v>
      </c>
      <c r="B202" s="1" t="s">
        <v>2090</v>
      </c>
    </row>
    <row r="203" ht="12.75" customHeight="1">
      <c r="A203" s="1" t="s">
        <v>2091</v>
      </c>
      <c r="B203" s="1" t="s">
        <v>2092</v>
      </c>
    </row>
    <row r="204" ht="12.75" customHeight="1">
      <c r="A204" s="1" t="s">
        <v>2093</v>
      </c>
      <c r="B204" s="1" t="s">
        <v>2094</v>
      </c>
    </row>
    <row r="205" ht="12.75" customHeight="1">
      <c r="A205" s="1" t="s">
        <v>2095</v>
      </c>
      <c r="B205" s="1" t="s">
        <v>2096</v>
      </c>
    </row>
    <row r="206" ht="12.75" customHeight="1">
      <c r="A206" s="1" t="s">
        <v>2097</v>
      </c>
      <c r="B206" s="1" t="s">
        <v>2098</v>
      </c>
    </row>
    <row r="207" ht="12.75" customHeight="1">
      <c r="A207" s="1" t="s">
        <v>2099</v>
      </c>
      <c r="B207" s="1" t="s">
        <v>2100</v>
      </c>
    </row>
    <row r="208" ht="12.75" customHeight="1">
      <c r="A208" s="1" t="s">
        <v>2101</v>
      </c>
      <c r="B208" s="1" t="s">
        <v>2102</v>
      </c>
    </row>
    <row r="209" ht="12.75" customHeight="1">
      <c r="A209" s="1" t="s">
        <v>2103</v>
      </c>
      <c r="B209" s="1" t="s">
        <v>2104</v>
      </c>
    </row>
    <row r="210" ht="12.75" customHeight="1">
      <c r="A210" s="1" t="s">
        <v>2105</v>
      </c>
      <c r="B210" s="1" t="s">
        <v>2106</v>
      </c>
    </row>
    <row r="211" ht="12.75" customHeight="1">
      <c r="A211" s="1" t="s">
        <v>2107</v>
      </c>
      <c r="B211" s="1" t="s">
        <v>2108</v>
      </c>
    </row>
    <row r="212" ht="12.75" customHeight="1">
      <c r="A212" s="1" t="s">
        <v>2109</v>
      </c>
      <c r="B212" s="1" t="s">
        <v>2110</v>
      </c>
    </row>
    <row r="213" ht="12.75" customHeight="1">
      <c r="A213" s="1" t="s">
        <v>2111</v>
      </c>
      <c r="B213" s="1" t="s">
        <v>2112</v>
      </c>
    </row>
    <row r="214" ht="12.75" customHeight="1">
      <c r="A214" s="1" t="s">
        <v>2113</v>
      </c>
      <c r="B214" s="1" t="s">
        <v>2114</v>
      </c>
    </row>
    <row r="215" ht="12.75" customHeight="1">
      <c r="A215" s="1" t="s">
        <v>2115</v>
      </c>
      <c r="B215" s="1" t="s">
        <v>2116</v>
      </c>
    </row>
    <row r="216" ht="12.75" customHeight="1">
      <c r="A216" s="1" t="s">
        <v>2117</v>
      </c>
      <c r="B216" s="1" t="s">
        <v>2118</v>
      </c>
    </row>
    <row r="217" ht="12.75" customHeight="1">
      <c r="A217" s="1" t="s">
        <v>2119</v>
      </c>
      <c r="B217" s="1" t="s">
        <v>2120</v>
      </c>
    </row>
    <row r="218" ht="12.75" customHeight="1">
      <c r="A218" s="1" t="s">
        <v>2121</v>
      </c>
      <c r="B218" s="1" t="s">
        <v>2122</v>
      </c>
    </row>
    <row r="219" ht="12.75" customHeight="1">
      <c r="A219" s="1" t="s">
        <v>2123</v>
      </c>
      <c r="B219" s="1" t="s">
        <v>2124</v>
      </c>
    </row>
    <row r="220" ht="12.75" customHeight="1">
      <c r="A220" s="1" t="s">
        <v>2125</v>
      </c>
      <c r="B220" s="1" t="s">
        <v>2126</v>
      </c>
    </row>
    <row r="221" ht="12.75" customHeight="1">
      <c r="A221" s="1" t="s">
        <v>2127</v>
      </c>
      <c r="B221" s="1" t="s">
        <v>2128</v>
      </c>
    </row>
    <row r="222" ht="12.75" customHeight="1">
      <c r="A222" s="1" t="s">
        <v>2129</v>
      </c>
      <c r="B222" s="1" t="s">
        <v>2130</v>
      </c>
    </row>
    <row r="223" ht="12.75" customHeight="1">
      <c r="A223" s="1" t="s">
        <v>2131</v>
      </c>
      <c r="B223" s="1" t="s">
        <v>2132</v>
      </c>
    </row>
    <row r="224" ht="12.75" customHeight="1">
      <c r="A224" s="1" t="s">
        <v>2133</v>
      </c>
      <c r="B224" s="1" t="s">
        <v>2134</v>
      </c>
    </row>
    <row r="225" ht="12.75" customHeight="1">
      <c r="A225" s="1" t="s">
        <v>2135</v>
      </c>
      <c r="B225" s="1" t="s">
        <v>2136</v>
      </c>
    </row>
    <row r="226" ht="12.75" customHeight="1">
      <c r="A226" s="1" t="s">
        <v>2137</v>
      </c>
      <c r="B226" s="1" t="s">
        <v>2138</v>
      </c>
    </row>
    <row r="227" ht="12.75" customHeight="1">
      <c r="A227" s="1" t="s">
        <v>2139</v>
      </c>
      <c r="B227" s="1" t="s">
        <v>2140</v>
      </c>
    </row>
    <row r="228" ht="12.75" customHeight="1">
      <c r="A228" s="1" t="s">
        <v>2141</v>
      </c>
      <c r="B228" s="1" t="s">
        <v>2142</v>
      </c>
    </row>
    <row r="229" ht="12.75" customHeight="1">
      <c r="A229" s="1" t="s">
        <v>2143</v>
      </c>
      <c r="B229" s="1" t="s">
        <v>2144</v>
      </c>
    </row>
    <row r="230" ht="12.75" customHeight="1">
      <c r="A230" s="1" t="s">
        <v>2145</v>
      </c>
      <c r="B230" s="1" t="s">
        <v>2146</v>
      </c>
    </row>
    <row r="231" ht="12.75" customHeight="1">
      <c r="A231" s="1" t="s">
        <v>2147</v>
      </c>
      <c r="B231" s="1" t="s">
        <v>2148</v>
      </c>
    </row>
    <row r="232" ht="12.75" customHeight="1">
      <c r="A232" s="1" t="s">
        <v>2149</v>
      </c>
      <c r="B232" s="1" t="s">
        <v>2150</v>
      </c>
    </row>
    <row r="233" ht="12.75" customHeight="1">
      <c r="A233" s="1" t="s">
        <v>2151</v>
      </c>
      <c r="B233" s="1" t="s">
        <v>2152</v>
      </c>
    </row>
    <row r="234" ht="12.75" customHeight="1">
      <c r="A234" s="1" t="s">
        <v>2153</v>
      </c>
      <c r="B234" s="1" t="s">
        <v>2154</v>
      </c>
    </row>
    <row r="235" ht="12.75" customHeight="1">
      <c r="A235" s="1" t="s">
        <v>2155</v>
      </c>
      <c r="B235" s="1" t="s">
        <v>2156</v>
      </c>
    </row>
    <row r="236" ht="12.75" customHeight="1">
      <c r="A236" s="1" t="s">
        <v>2157</v>
      </c>
      <c r="B236" s="1" t="s">
        <v>2158</v>
      </c>
    </row>
    <row r="237" ht="12.75" customHeight="1">
      <c r="A237" s="1" t="s">
        <v>2159</v>
      </c>
      <c r="B237" s="1" t="s">
        <v>2160</v>
      </c>
    </row>
    <row r="238" ht="12.75" customHeight="1">
      <c r="A238" s="1" t="s">
        <v>2161</v>
      </c>
      <c r="B238" s="1" t="s">
        <v>2162</v>
      </c>
    </row>
    <row r="239" ht="12.75" customHeight="1">
      <c r="A239" s="1" t="s">
        <v>2163</v>
      </c>
      <c r="B239" s="1" t="s">
        <v>2164</v>
      </c>
    </row>
    <row r="240" ht="12.75" customHeight="1">
      <c r="A240" s="1" t="s">
        <v>2165</v>
      </c>
      <c r="B240" s="1" t="s">
        <v>2166</v>
      </c>
    </row>
    <row r="241" ht="12.75" customHeight="1">
      <c r="A241" s="1" t="s">
        <v>2167</v>
      </c>
      <c r="B241" s="1" t="s">
        <v>2168</v>
      </c>
    </row>
    <row r="242" ht="12.75" customHeight="1">
      <c r="A242" s="1" t="s">
        <v>2169</v>
      </c>
      <c r="B242" s="1" t="s">
        <v>2170</v>
      </c>
    </row>
    <row r="243" ht="12.75" customHeight="1">
      <c r="A243" s="1" t="s">
        <v>2171</v>
      </c>
      <c r="B243" s="1" t="s">
        <v>2172</v>
      </c>
    </row>
    <row r="244" ht="12.75" customHeight="1">
      <c r="A244" s="1" t="s">
        <v>2173</v>
      </c>
      <c r="B244" s="1" t="s">
        <v>2174</v>
      </c>
    </row>
    <row r="245" ht="12.75" customHeight="1">
      <c r="A245" s="1" t="s">
        <v>2175</v>
      </c>
      <c r="B245" s="1" t="s">
        <v>2176</v>
      </c>
    </row>
    <row r="246" ht="12.75" customHeight="1">
      <c r="A246" s="1" t="s">
        <v>2177</v>
      </c>
      <c r="B246" s="1" t="s">
        <v>2178</v>
      </c>
    </row>
    <row r="247" ht="12.75" customHeight="1">
      <c r="A247" s="1" t="s">
        <v>2179</v>
      </c>
      <c r="B247" s="1" t="s">
        <v>2180</v>
      </c>
    </row>
    <row r="248" ht="12.75" customHeight="1">
      <c r="A248" s="1" t="s">
        <v>2181</v>
      </c>
      <c r="B248" s="1" t="s">
        <v>2182</v>
      </c>
    </row>
    <row r="249" ht="12.75" customHeight="1">
      <c r="A249" s="1" t="s">
        <v>2183</v>
      </c>
      <c r="B249" s="1" t="s">
        <v>2184</v>
      </c>
    </row>
    <row r="250" ht="12.75" customHeight="1">
      <c r="A250" s="1" t="s">
        <v>2185</v>
      </c>
      <c r="B250" s="1" t="s">
        <v>2186</v>
      </c>
    </row>
    <row r="251" ht="12.75" customHeight="1">
      <c r="A251" s="1" t="s">
        <v>2187</v>
      </c>
      <c r="B251" s="1" t="s">
        <v>2188</v>
      </c>
    </row>
    <row r="252" ht="12.75" customHeight="1">
      <c r="A252" s="1" t="s">
        <v>2189</v>
      </c>
      <c r="B252" s="1" t="s">
        <v>2190</v>
      </c>
    </row>
    <row r="253" ht="12.75" customHeight="1">
      <c r="A253" s="1" t="s">
        <v>2191</v>
      </c>
      <c r="B253" s="1" t="s">
        <v>2192</v>
      </c>
    </row>
    <row r="254" ht="12.75" customHeight="1">
      <c r="A254" s="1" t="s">
        <v>2193</v>
      </c>
      <c r="B254" s="1" t="s">
        <v>2194</v>
      </c>
    </row>
    <row r="255" ht="12.75" customHeight="1">
      <c r="A255" s="1" t="s">
        <v>2195</v>
      </c>
      <c r="B255" s="1" t="s">
        <v>2196</v>
      </c>
    </row>
    <row r="256" ht="12.75" customHeight="1">
      <c r="A256" s="1" t="s">
        <v>2197</v>
      </c>
      <c r="B256" s="1" t="s">
        <v>2198</v>
      </c>
    </row>
    <row r="257" ht="12.75" customHeight="1">
      <c r="A257" s="1" t="s">
        <v>2199</v>
      </c>
      <c r="B257" s="1" t="s">
        <v>2200</v>
      </c>
    </row>
    <row r="258" ht="12.75" customHeight="1">
      <c r="A258" s="1" t="s">
        <v>2201</v>
      </c>
      <c r="B258" s="1" t="s">
        <v>2202</v>
      </c>
    </row>
    <row r="259" ht="12.75" customHeight="1">
      <c r="A259" s="1" t="s">
        <v>2203</v>
      </c>
      <c r="B259" s="1" t="s">
        <v>2204</v>
      </c>
    </row>
    <row r="260" ht="12.75" customHeight="1">
      <c r="A260" s="1" t="s">
        <v>2205</v>
      </c>
      <c r="B260" s="1" t="s">
        <v>2206</v>
      </c>
    </row>
    <row r="261" ht="12.75" customHeight="1">
      <c r="A261" s="1" t="s">
        <v>2207</v>
      </c>
      <c r="B261" s="1" t="s">
        <v>2208</v>
      </c>
    </row>
    <row r="262" ht="12.75" customHeight="1">
      <c r="A262" s="1" t="s">
        <v>2209</v>
      </c>
      <c r="B262" s="1" t="s">
        <v>2210</v>
      </c>
    </row>
    <row r="263" ht="12.75" customHeight="1">
      <c r="A263" s="1" t="s">
        <v>2211</v>
      </c>
      <c r="B263" s="1" t="s">
        <v>2212</v>
      </c>
    </row>
    <row r="264" ht="12.75" customHeight="1">
      <c r="A264" s="1" t="s">
        <v>2213</v>
      </c>
      <c r="B264" s="1" t="s">
        <v>2214</v>
      </c>
    </row>
    <row r="265" ht="12.75" customHeight="1">
      <c r="A265" s="1" t="s">
        <v>2215</v>
      </c>
      <c r="B265" s="1" t="s">
        <v>2216</v>
      </c>
    </row>
    <row r="266" ht="12.75" customHeight="1">
      <c r="A266" s="1" t="s">
        <v>2217</v>
      </c>
      <c r="B266" s="1" t="s">
        <v>2218</v>
      </c>
    </row>
    <row r="267" ht="12.75" customHeight="1">
      <c r="A267" s="1" t="s">
        <v>2219</v>
      </c>
      <c r="B267" s="1" t="s">
        <v>2220</v>
      </c>
    </row>
    <row r="268" ht="12.75" customHeight="1">
      <c r="A268" s="1" t="s">
        <v>2221</v>
      </c>
      <c r="B268" s="1" t="s">
        <v>2222</v>
      </c>
    </row>
    <row r="269" ht="12.75" customHeight="1">
      <c r="A269" s="1" t="s">
        <v>2223</v>
      </c>
      <c r="B269" s="1" t="s">
        <v>2224</v>
      </c>
    </row>
    <row r="270" ht="12.75" customHeight="1">
      <c r="A270" s="1" t="s">
        <v>2225</v>
      </c>
      <c r="B270" s="1" t="s">
        <v>2226</v>
      </c>
    </row>
    <row r="271" ht="12.75" customHeight="1">
      <c r="A271" s="1" t="s">
        <v>2227</v>
      </c>
      <c r="B271" s="1" t="s">
        <v>2228</v>
      </c>
    </row>
    <row r="272" ht="12.75" customHeight="1">
      <c r="A272" s="1" t="s">
        <v>2229</v>
      </c>
      <c r="B272" s="1" t="s">
        <v>2230</v>
      </c>
    </row>
    <row r="273" ht="12.75" customHeight="1">
      <c r="A273" s="1" t="s">
        <v>2231</v>
      </c>
      <c r="B273" s="1" t="s">
        <v>2232</v>
      </c>
    </row>
    <row r="274" ht="12.75" customHeight="1">
      <c r="A274" s="1" t="s">
        <v>2233</v>
      </c>
      <c r="B274" s="1" t="s">
        <v>2234</v>
      </c>
    </row>
    <row r="275" ht="12.75" customHeight="1">
      <c r="A275" s="1" t="s">
        <v>2235</v>
      </c>
      <c r="B275" s="1" t="s">
        <v>2236</v>
      </c>
    </row>
    <row r="276" ht="12.75" customHeight="1">
      <c r="A276" s="1" t="s">
        <v>2237</v>
      </c>
      <c r="B276" s="1" t="s">
        <v>2238</v>
      </c>
    </row>
    <row r="277" ht="12.75" customHeight="1">
      <c r="A277" s="1" t="s">
        <v>2239</v>
      </c>
      <c r="B277" s="1" t="s">
        <v>2240</v>
      </c>
    </row>
    <row r="278" ht="12.75" customHeight="1">
      <c r="A278" s="1" t="s">
        <v>2241</v>
      </c>
      <c r="B278" s="1" t="s">
        <v>2242</v>
      </c>
    </row>
    <row r="279" ht="12.75" customHeight="1">
      <c r="A279" s="1" t="s">
        <v>2243</v>
      </c>
      <c r="B279" s="1" t="s">
        <v>2244</v>
      </c>
    </row>
    <row r="280" ht="12.75" customHeight="1">
      <c r="A280" s="1" t="s">
        <v>2245</v>
      </c>
      <c r="B280" s="1" t="s">
        <v>2246</v>
      </c>
    </row>
    <row r="281" ht="12.75" customHeight="1">
      <c r="A281" s="1" t="s">
        <v>2247</v>
      </c>
      <c r="B281" s="1" t="s">
        <v>2248</v>
      </c>
    </row>
    <row r="282" ht="12.75" customHeight="1">
      <c r="A282" s="1" t="s">
        <v>2249</v>
      </c>
      <c r="B282" s="1" t="s">
        <v>2250</v>
      </c>
    </row>
    <row r="283" ht="12.75" customHeight="1">
      <c r="A283" s="1" t="s">
        <v>2251</v>
      </c>
      <c r="B283" s="1" t="s">
        <v>2252</v>
      </c>
    </row>
    <row r="284" ht="12.75" customHeight="1">
      <c r="A284" s="1" t="s">
        <v>2253</v>
      </c>
      <c r="B284" s="1" t="s">
        <v>2254</v>
      </c>
    </row>
    <row r="285" ht="12.75" customHeight="1">
      <c r="A285" s="1" t="s">
        <v>2255</v>
      </c>
      <c r="B285" s="1" t="s">
        <v>2256</v>
      </c>
    </row>
    <row r="286" ht="12.75" customHeight="1">
      <c r="A286" s="1" t="s">
        <v>2257</v>
      </c>
      <c r="B286" s="1" t="s">
        <v>2258</v>
      </c>
    </row>
    <row r="287" ht="12.75" customHeight="1">
      <c r="A287" s="1" t="s">
        <v>2259</v>
      </c>
      <c r="B287" s="1" t="s">
        <v>2260</v>
      </c>
    </row>
    <row r="288" ht="12.75" customHeight="1">
      <c r="A288" s="1" t="s">
        <v>2261</v>
      </c>
      <c r="B288" s="1" t="s">
        <v>2262</v>
      </c>
    </row>
    <row r="289" ht="12.75" customHeight="1">
      <c r="A289" s="1" t="s">
        <v>2263</v>
      </c>
      <c r="B289" s="1" t="s">
        <v>2264</v>
      </c>
    </row>
    <row r="290" ht="12.75" customHeight="1">
      <c r="A290" s="1" t="s">
        <v>2265</v>
      </c>
      <c r="B290" s="1" t="s">
        <v>2266</v>
      </c>
    </row>
    <row r="291" ht="12.75" customHeight="1">
      <c r="A291" s="1" t="s">
        <v>2267</v>
      </c>
      <c r="B291" s="1" t="s">
        <v>2268</v>
      </c>
    </row>
    <row r="292" ht="12.75" customHeight="1">
      <c r="A292" s="1" t="s">
        <v>2269</v>
      </c>
      <c r="B292" s="1" t="s">
        <v>2270</v>
      </c>
    </row>
    <row r="293" ht="12.75" customHeight="1">
      <c r="A293" s="1" t="s">
        <v>2271</v>
      </c>
      <c r="B293" s="1" t="s">
        <v>2272</v>
      </c>
    </row>
    <row r="294" ht="12.75" customHeight="1">
      <c r="A294" s="1" t="s">
        <v>2273</v>
      </c>
      <c r="B294" s="1" t="s">
        <v>2274</v>
      </c>
    </row>
    <row r="295" ht="12.75" customHeight="1">
      <c r="A295" s="1" t="s">
        <v>2275</v>
      </c>
      <c r="B295" s="1" t="s">
        <v>2276</v>
      </c>
    </row>
    <row r="296" ht="12.75" customHeight="1">
      <c r="A296" s="1" t="s">
        <v>2277</v>
      </c>
      <c r="B296" s="1" t="s">
        <v>2278</v>
      </c>
    </row>
    <row r="297" ht="12.75" customHeight="1">
      <c r="A297" s="1" t="s">
        <v>2279</v>
      </c>
      <c r="B297" s="1" t="s">
        <v>2280</v>
      </c>
    </row>
    <row r="298" ht="12.75" customHeight="1">
      <c r="A298" s="1" t="s">
        <v>2281</v>
      </c>
      <c r="B298" s="1" t="s">
        <v>2282</v>
      </c>
    </row>
    <row r="299" ht="12.75" customHeight="1">
      <c r="A299" s="1" t="s">
        <v>2283</v>
      </c>
      <c r="B299" s="1" t="s">
        <v>2284</v>
      </c>
    </row>
    <row r="300" ht="12.75" customHeight="1">
      <c r="A300" s="1" t="s">
        <v>2285</v>
      </c>
      <c r="B300" s="1" t="s">
        <v>2286</v>
      </c>
    </row>
    <row r="301" ht="12.75" customHeight="1">
      <c r="A301" s="1" t="s">
        <v>2287</v>
      </c>
      <c r="B301" s="1" t="s">
        <v>2288</v>
      </c>
    </row>
    <row r="302" ht="12.75" customHeight="1">
      <c r="A302" s="1" t="s">
        <v>2289</v>
      </c>
      <c r="B302" s="1" t="s">
        <v>2290</v>
      </c>
    </row>
    <row r="303" ht="12.75" customHeight="1">
      <c r="A303" s="1" t="s">
        <v>2291</v>
      </c>
      <c r="B303" s="1" t="s">
        <v>2292</v>
      </c>
    </row>
    <row r="304" ht="12.75" customHeight="1">
      <c r="A304" s="1" t="s">
        <v>2293</v>
      </c>
      <c r="B304" s="1" t="s">
        <v>2294</v>
      </c>
    </row>
    <row r="305" ht="12.75" customHeight="1">
      <c r="A305" s="1" t="s">
        <v>2295</v>
      </c>
      <c r="B305" s="1" t="s">
        <v>2296</v>
      </c>
    </row>
    <row r="306" ht="12.75" customHeight="1">
      <c r="A306" s="1" t="s">
        <v>2297</v>
      </c>
      <c r="B306" s="1" t="s">
        <v>2298</v>
      </c>
    </row>
    <row r="307" ht="12.75" customHeight="1">
      <c r="A307" s="1" t="s">
        <v>2299</v>
      </c>
      <c r="B307" s="1" t="s">
        <v>2300</v>
      </c>
    </row>
    <row r="308" ht="12.75" customHeight="1">
      <c r="A308" s="1" t="s">
        <v>2301</v>
      </c>
      <c r="B308" s="1" t="s">
        <v>2302</v>
      </c>
    </row>
    <row r="309" ht="12.75" customHeight="1">
      <c r="A309" s="1" t="s">
        <v>2303</v>
      </c>
      <c r="B309" s="1" t="s">
        <v>2304</v>
      </c>
    </row>
    <row r="310" ht="12.75" customHeight="1">
      <c r="A310" s="1" t="s">
        <v>2305</v>
      </c>
      <c r="B310" s="1" t="s">
        <v>2306</v>
      </c>
    </row>
    <row r="311" ht="12.75" customHeight="1">
      <c r="A311" s="1" t="s">
        <v>2307</v>
      </c>
      <c r="B311" s="1" t="s">
        <v>2308</v>
      </c>
    </row>
    <row r="312" ht="12.75" customHeight="1">
      <c r="A312" s="1" t="s">
        <v>2309</v>
      </c>
      <c r="B312" s="1" t="s">
        <v>2310</v>
      </c>
    </row>
    <row r="313" ht="12.75" customHeight="1">
      <c r="A313" s="1" t="s">
        <v>2311</v>
      </c>
      <c r="B313" s="1" t="s">
        <v>2312</v>
      </c>
    </row>
    <row r="314" ht="12.75" customHeight="1">
      <c r="A314" s="1" t="s">
        <v>2313</v>
      </c>
      <c r="B314" s="1" t="s">
        <v>2314</v>
      </c>
    </row>
    <row r="315" ht="12.75" customHeight="1">
      <c r="A315" s="1" t="s">
        <v>2315</v>
      </c>
      <c r="B315" s="1" t="s">
        <v>2316</v>
      </c>
    </row>
    <row r="316" ht="12.75" customHeight="1">
      <c r="A316" s="1" t="s">
        <v>2317</v>
      </c>
      <c r="B316" s="1" t="s">
        <v>2318</v>
      </c>
    </row>
    <row r="317" ht="12.75" customHeight="1">
      <c r="A317" s="1" t="s">
        <v>2319</v>
      </c>
      <c r="B317" s="1" t="s">
        <v>2320</v>
      </c>
    </row>
    <row r="318" ht="12.75" customHeight="1">
      <c r="A318" s="1" t="s">
        <v>2321</v>
      </c>
      <c r="B318" s="1" t="s">
        <v>2322</v>
      </c>
    </row>
    <row r="319" ht="12.75" customHeight="1">
      <c r="A319" s="1" t="s">
        <v>2323</v>
      </c>
      <c r="B319" s="1" t="s">
        <v>2324</v>
      </c>
    </row>
    <row r="320" ht="12.75" customHeight="1">
      <c r="A320" s="1" t="s">
        <v>2325</v>
      </c>
      <c r="B320" s="1" t="s">
        <v>2326</v>
      </c>
    </row>
    <row r="321" ht="12.75" customHeight="1">
      <c r="A321" s="1" t="s">
        <v>2327</v>
      </c>
      <c r="B321" s="1" t="s">
        <v>2328</v>
      </c>
    </row>
    <row r="322" ht="12.75" customHeight="1">
      <c r="A322" s="1" t="s">
        <v>2329</v>
      </c>
      <c r="B322" s="1" t="s">
        <v>2330</v>
      </c>
    </row>
    <row r="323" ht="12.75" customHeight="1">
      <c r="A323" s="1" t="s">
        <v>2331</v>
      </c>
      <c r="B323" s="1" t="s">
        <v>2332</v>
      </c>
    </row>
    <row r="324" ht="12.75" customHeight="1">
      <c r="A324" s="1" t="s">
        <v>2333</v>
      </c>
      <c r="B324" s="1" t="s">
        <v>2334</v>
      </c>
    </row>
    <row r="325" ht="12.75" customHeight="1">
      <c r="A325" s="1" t="s">
        <v>2335</v>
      </c>
      <c r="B325" s="1" t="s">
        <v>2336</v>
      </c>
    </row>
    <row r="326" ht="12.75" customHeight="1">
      <c r="A326" s="1" t="s">
        <v>2337</v>
      </c>
      <c r="B326" s="1" t="s">
        <v>2338</v>
      </c>
    </row>
    <row r="327" ht="12.75" customHeight="1">
      <c r="A327" s="1" t="s">
        <v>2339</v>
      </c>
      <c r="B327" s="1" t="s">
        <v>2340</v>
      </c>
    </row>
    <row r="328" ht="12.75" customHeight="1">
      <c r="A328" s="1" t="s">
        <v>2341</v>
      </c>
      <c r="B328" s="1" t="s">
        <v>2342</v>
      </c>
    </row>
    <row r="329" ht="12.75" customHeight="1">
      <c r="A329" s="1" t="s">
        <v>2343</v>
      </c>
      <c r="B329" s="1" t="s">
        <v>2344</v>
      </c>
    </row>
    <row r="330" ht="12.75" customHeight="1">
      <c r="A330" s="1" t="s">
        <v>2345</v>
      </c>
      <c r="B330" s="1" t="s">
        <v>2346</v>
      </c>
    </row>
    <row r="331" ht="12.75" customHeight="1">
      <c r="A331" s="1" t="s">
        <v>2347</v>
      </c>
      <c r="B331" s="1" t="s">
        <v>2348</v>
      </c>
    </row>
    <row r="332" ht="12.75" customHeight="1">
      <c r="A332" s="1" t="s">
        <v>2349</v>
      </c>
      <c r="B332" s="1" t="s">
        <v>2350</v>
      </c>
    </row>
    <row r="333" ht="12.75" customHeight="1">
      <c r="A333" s="1" t="s">
        <v>2351</v>
      </c>
      <c r="B333" s="1" t="s">
        <v>2352</v>
      </c>
    </row>
    <row r="334" ht="12.75" customHeight="1">
      <c r="A334" s="1" t="s">
        <v>2353</v>
      </c>
      <c r="B334" s="1" t="s">
        <v>2354</v>
      </c>
    </row>
    <row r="335" ht="12.75" customHeight="1">
      <c r="A335" s="1" t="s">
        <v>2355</v>
      </c>
      <c r="B335" s="1" t="s">
        <v>2356</v>
      </c>
    </row>
    <row r="336" ht="12.75" customHeight="1">
      <c r="A336" s="1" t="s">
        <v>2357</v>
      </c>
      <c r="B336" s="1" t="s">
        <v>2358</v>
      </c>
    </row>
    <row r="337" ht="12.75" customHeight="1">
      <c r="A337" s="1" t="s">
        <v>2359</v>
      </c>
      <c r="B337" s="1" t="s">
        <v>2360</v>
      </c>
    </row>
    <row r="338" ht="12.75" customHeight="1">
      <c r="A338" s="1" t="s">
        <v>2361</v>
      </c>
      <c r="B338" s="1" t="s">
        <v>2362</v>
      </c>
    </row>
    <row r="339" ht="12.75" customHeight="1">
      <c r="A339" s="1" t="s">
        <v>2363</v>
      </c>
      <c r="B339" s="1" t="s">
        <v>2364</v>
      </c>
    </row>
    <row r="340" ht="12.75" customHeight="1">
      <c r="A340" s="1" t="s">
        <v>2365</v>
      </c>
      <c r="B340" s="1" t="s">
        <v>2366</v>
      </c>
    </row>
    <row r="341" ht="12.75" customHeight="1">
      <c r="A341" s="1" t="s">
        <v>2367</v>
      </c>
      <c r="B341" s="1" t="s">
        <v>2368</v>
      </c>
    </row>
    <row r="342" ht="12.75" customHeight="1">
      <c r="A342" s="1" t="s">
        <v>2369</v>
      </c>
      <c r="B342" s="1" t="s">
        <v>2370</v>
      </c>
    </row>
    <row r="343" ht="12.75" customHeight="1">
      <c r="A343" s="1" t="s">
        <v>2371</v>
      </c>
      <c r="B343" s="1" t="s">
        <v>2372</v>
      </c>
    </row>
    <row r="344" ht="12.75" customHeight="1">
      <c r="A344" s="1" t="s">
        <v>2373</v>
      </c>
      <c r="B344" s="1" t="s">
        <v>2374</v>
      </c>
    </row>
    <row r="345" ht="12.75" customHeight="1">
      <c r="A345" s="1" t="s">
        <v>2375</v>
      </c>
      <c r="B345" s="1" t="s">
        <v>2376</v>
      </c>
    </row>
    <row r="346" ht="12.75" customHeight="1">
      <c r="A346" s="1" t="s">
        <v>2377</v>
      </c>
      <c r="B346" s="1" t="s">
        <v>2378</v>
      </c>
    </row>
    <row r="347" ht="12.75" customHeight="1">
      <c r="A347" s="1" t="s">
        <v>2379</v>
      </c>
      <c r="B347" s="1" t="s">
        <v>2380</v>
      </c>
    </row>
    <row r="348" ht="12.75" customHeight="1">
      <c r="A348" s="1" t="s">
        <v>2381</v>
      </c>
      <c r="B348" s="1" t="s">
        <v>2382</v>
      </c>
    </row>
    <row r="349" ht="12.75" customHeight="1">
      <c r="A349" s="1" t="s">
        <v>2383</v>
      </c>
      <c r="B349" s="1" t="s">
        <v>2384</v>
      </c>
    </row>
    <row r="350" ht="12.75" customHeight="1">
      <c r="A350" s="1" t="s">
        <v>2385</v>
      </c>
      <c r="B350" s="1" t="s">
        <v>2386</v>
      </c>
    </row>
    <row r="351" ht="12.75" customHeight="1">
      <c r="A351" s="1" t="s">
        <v>2387</v>
      </c>
      <c r="B351" s="1" t="s">
        <v>2388</v>
      </c>
    </row>
    <row r="352" ht="12.75" customHeight="1">
      <c r="A352" s="1" t="s">
        <v>2389</v>
      </c>
      <c r="B352" s="1" t="s">
        <v>2390</v>
      </c>
    </row>
    <row r="353" ht="12.75" customHeight="1">
      <c r="A353" s="1" t="s">
        <v>2391</v>
      </c>
      <c r="B353" s="1" t="s">
        <v>2392</v>
      </c>
    </row>
    <row r="354" ht="12.75" customHeight="1">
      <c r="A354" s="1" t="s">
        <v>2393</v>
      </c>
      <c r="B354" s="1" t="s">
        <v>2394</v>
      </c>
    </row>
    <row r="355" ht="12.75" customHeight="1">
      <c r="A355" s="1" t="s">
        <v>2395</v>
      </c>
      <c r="B355" s="1" t="s">
        <v>2396</v>
      </c>
    </row>
    <row r="356" ht="12.75" customHeight="1">
      <c r="A356" s="1" t="s">
        <v>2397</v>
      </c>
      <c r="B356" s="1" t="s">
        <v>2398</v>
      </c>
    </row>
    <row r="357" ht="12.75" customHeight="1">
      <c r="A357" s="1" t="s">
        <v>2399</v>
      </c>
      <c r="B357" s="1" t="s">
        <v>2400</v>
      </c>
    </row>
    <row r="358" ht="12.75" customHeight="1">
      <c r="A358" s="1" t="s">
        <v>2401</v>
      </c>
      <c r="B358" s="1" t="s">
        <v>2402</v>
      </c>
    </row>
    <row r="359" ht="12.75" customHeight="1">
      <c r="A359" s="1" t="s">
        <v>2403</v>
      </c>
      <c r="B359" s="1" t="s">
        <v>2404</v>
      </c>
    </row>
    <row r="360" ht="12.75" customHeight="1">
      <c r="A360" s="1" t="s">
        <v>2405</v>
      </c>
      <c r="B360" s="1" t="s">
        <v>2406</v>
      </c>
    </row>
    <row r="361" ht="12.75" customHeight="1">
      <c r="A361" s="1" t="s">
        <v>2407</v>
      </c>
      <c r="B361" s="1" t="s">
        <v>2408</v>
      </c>
    </row>
    <row r="362" ht="12.75" customHeight="1">
      <c r="A362" s="1" t="s">
        <v>2409</v>
      </c>
      <c r="B362" s="1" t="s">
        <v>2410</v>
      </c>
    </row>
    <row r="363" ht="12.75" customHeight="1">
      <c r="A363" s="1" t="s">
        <v>2411</v>
      </c>
      <c r="B363" s="1" t="s">
        <v>2412</v>
      </c>
    </row>
    <row r="364" ht="12.75" customHeight="1">
      <c r="A364" s="1" t="s">
        <v>2413</v>
      </c>
      <c r="B364" s="1" t="s">
        <v>2414</v>
      </c>
    </row>
    <row r="365" ht="12.75" customHeight="1">
      <c r="A365" s="1" t="s">
        <v>2415</v>
      </c>
      <c r="B365" s="1" t="s">
        <v>2416</v>
      </c>
    </row>
    <row r="366" ht="12.75" customHeight="1">
      <c r="A366" s="1" t="s">
        <v>2417</v>
      </c>
      <c r="B366" s="1" t="s">
        <v>2418</v>
      </c>
    </row>
    <row r="367" ht="12.75" customHeight="1">
      <c r="A367" s="1" t="s">
        <v>2419</v>
      </c>
      <c r="B367" s="1" t="s">
        <v>2420</v>
      </c>
    </row>
    <row r="368" ht="12.75" customHeight="1">
      <c r="A368" s="1" t="s">
        <v>2421</v>
      </c>
      <c r="B368" s="1" t="s">
        <v>2422</v>
      </c>
    </row>
    <row r="369" ht="12.75" customHeight="1">
      <c r="A369" s="1" t="s">
        <v>2423</v>
      </c>
      <c r="B369" s="1" t="s">
        <v>2424</v>
      </c>
    </row>
    <row r="370" ht="12.75" customHeight="1">
      <c r="A370" s="1" t="s">
        <v>2425</v>
      </c>
      <c r="B370" s="1" t="s">
        <v>2426</v>
      </c>
    </row>
    <row r="371" ht="12.75" customHeight="1">
      <c r="A371" s="1" t="s">
        <v>2427</v>
      </c>
      <c r="B371" s="1" t="s">
        <v>2428</v>
      </c>
    </row>
    <row r="372" ht="12.75" customHeight="1">
      <c r="A372" s="1" t="s">
        <v>2429</v>
      </c>
      <c r="B372" s="1" t="s">
        <v>2430</v>
      </c>
    </row>
    <row r="373" ht="12.75" customHeight="1">
      <c r="A373" s="1" t="s">
        <v>2431</v>
      </c>
      <c r="B373" s="1" t="s">
        <v>2432</v>
      </c>
    </row>
    <row r="374" ht="12.75" customHeight="1">
      <c r="A374" s="1" t="s">
        <v>2433</v>
      </c>
      <c r="B374" s="1" t="s">
        <v>2434</v>
      </c>
    </row>
    <row r="375" ht="12.75" customHeight="1">
      <c r="A375" s="1" t="s">
        <v>2435</v>
      </c>
      <c r="B375" s="1" t="s">
        <v>2436</v>
      </c>
    </row>
    <row r="376" ht="12.75" customHeight="1">
      <c r="A376" s="1" t="s">
        <v>2437</v>
      </c>
      <c r="B376" s="1" t="s">
        <v>2438</v>
      </c>
    </row>
    <row r="377" ht="12.75" customHeight="1">
      <c r="A377" s="1" t="s">
        <v>2439</v>
      </c>
      <c r="B377" s="1" t="s">
        <v>2440</v>
      </c>
    </row>
    <row r="378" ht="12.75" customHeight="1">
      <c r="A378" s="1" t="s">
        <v>2441</v>
      </c>
      <c r="B378" s="1" t="s">
        <v>2442</v>
      </c>
    </row>
    <row r="379" ht="12.75" customHeight="1">
      <c r="A379" s="1" t="s">
        <v>2443</v>
      </c>
      <c r="B379" s="1" t="s">
        <v>2444</v>
      </c>
    </row>
    <row r="380" ht="12.75" customHeight="1">
      <c r="A380" s="1" t="s">
        <v>2445</v>
      </c>
      <c r="B380" s="1" t="s">
        <v>2446</v>
      </c>
    </row>
    <row r="381" ht="12.75" customHeight="1">
      <c r="A381" s="1" t="s">
        <v>2447</v>
      </c>
      <c r="B381" s="1" t="s">
        <v>2448</v>
      </c>
    </row>
    <row r="382" ht="12.75" customHeight="1">
      <c r="A382" s="1" t="s">
        <v>2449</v>
      </c>
      <c r="B382" s="1" t="s">
        <v>2450</v>
      </c>
    </row>
    <row r="383" ht="12.75" customHeight="1">
      <c r="A383" s="1" t="s">
        <v>2451</v>
      </c>
      <c r="B383" s="1" t="s">
        <v>2452</v>
      </c>
    </row>
    <row r="384" ht="12.75" customHeight="1">
      <c r="A384" s="1" t="s">
        <v>2453</v>
      </c>
      <c r="B384" s="1" t="s">
        <v>2454</v>
      </c>
    </row>
    <row r="385" ht="12.75" customHeight="1">
      <c r="A385" s="1" t="s">
        <v>2455</v>
      </c>
      <c r="B385" s="1" t="s">
        <v>2456</v>
      </c>
    </row>
    <row r="386" ht="12.75" customHeight="1">
      <c r="A386" s="1" t="s">
        <v>2457</v>
      </c>
      <c r="B386" s="1" t="s">
        <v>2458</v>
      </c>
    </row>
    <row r="387" ht="12.75" customHeight="1">
      <c r="A387" s="1" t="s">
        <v>2459</v>
      </c>
      <c r="B387" s="1" t="s">
        <v>2460</v>
      </c>
    </row>
    <row r="388" ht="12.75" customHeight="1">
      <c r="A388" s="1" t="s">
        <v>2461</v>
      </c>
      <c r="B388" s="1" t="s">
        <v>2460</v>
      </c>
    </row>
    <row r="389" ht="12.75" customHeight="1">
      <c r="A389" s="1" t="s">
        <v>2462</v>
      </c>
      <c r="B389" s="1" t="s">
        <v>2463</v>
      </c>
    </row>
    <row r="390" ht="12.75" customHeight="1">
      <c r="A390" s="1" t="s">
        <v>2464</v>
      </c>
      <c r="B390" s="1" t="s">
        <v>2465</v>
      </c>
    </row>
    <row r="391" ht="12.75" customHeight="1">
      <c r="A391" s="1" t="s">
        <v>2466</v>
      </c>
      <c r="B391" s="1" t="s">
        <v>2467</v>
      </c>
    </row>
    <row r="392" ht="12.75" customHeight="1">
      <c r="A392" s="1" t="s">
        <v>2468</v>
      </c>
      <c r="B392" s="1" t="s">
        <v>2469</v>
      </c>
    </row>
    <row r="393" ht="12.75" customHeight="1">
      <c r="A393" s="1" t="s">
        <v>2470</v>
      </c>
      <c r="B393" s="1" t="s">
        <v>2471</v>
      </c>
    </row>
    <row r="394" ht="12.75" customHeight="1">
      <c r="A394" s="1" t="s">
        <v>2472</v>
      </c>
      <c r="B394" s="1" t="s">
        <v>2473</v>
      </c>
    </row>
    <row r="395" ht="12.75" customHeight="1">
      <c r="A395" s="1" t="s">
        <v>2474</v>
      </c>
      <c r="B395" s="1" t="s">
        <v>2475</v>
      </c>
    </row>
    <row r="396" ht="12.75" customHeight="1">
      <c r="A396" s="1" t="s">
        <v>2476</v>
      </c>
      <c r="B396" s="1" t="s">
        <v>2477</v>
      </c>
    </row>
    <row r="397" ht="12.75" customHeight="1">
      <c r="A397" s="1" t="s">
        <v>2478</v>
      </c>
      <c r="B397" s="1" t="s">
        <v>2477</v>
      </c>
    </row>
    <row r="398" ht="12.75" customHeight="1">
      <c r="A398" s="1" t="s">
        <v>2479</v>
      </c>
      <c r="B398" s="1" t="s">
        <v>2480</v>
      </c>
    </row>
    <row r="399" ht="12.75" customHeight="1">
      <c r="A399" s="1" t="s">
        <v>2481</v>
      </c>
      <c r="B399" s="1" t="s">
        <v>2482</v>
      </c>
    </row>
    <row r="400" ht="12.75" customHeight="1">
      <c r="A400" s="1" t="s">
        <v>2483</v>
      </c>
      <c r="B400" s="1" t="s">
        <v>2484</v>
      </c>
    </row>
    <row r="401" ht="12.75" customHeight="1">
      <c r="A401" s="1" t="s">
        <v>2485</v>
      </c>
      <c r="B401" s="1" t="s">
        <v>2486</v>
      </c>
    </row>
    <row r="402" ht="12.75" customHeight="1">
      <c r="A402" s="1" t="s">
        <v>2487</v>
      </c>
      <c r="B402" s="1" t="s">
        <v>2488</v>
      </c>
    </row>
    <row r="403" ht="12.75" customHeight="1">
      <c r="A403" s="1" t="s">
        <v>2489</v>
      </c>
      <c r="B403" s="1" t="s">
        <v>2490</v>
      </c>
    </row>
    <row r="404" ht="12.75" customHeight="1">
      <c r="A404" s="1" t="s">
        <v>2491</v>
      </c>
      <c r="B404" s="1" t="s">
        <v>2492</v>
      </c>
    </row>
    <row r="405" ht="12.75" customHeight="1">
      <c r="A405" s="1" t="s">
        <v>2493</v>
      </c>
      <c r="B405" s="1" t="s">
        <v>2492</v>
      </c>
    </row>
    <row r="406" ht="12.75" customHeight="1">
      <c r="A406" s="1" t="s">
        <v>2494</v>
      </c>
      <c r="B406" s="1" t="s">
        <v>2495</v>
      </c>
    </row>
    <row r="407" ht="12.75" customHeight="1">
      <c r="A407" s="1" t="s">
        <v>2496</v>
      </c>
      <c r="B407" s="1" t="s">
        <v>2497</v>
      </c>
    </row>
    <row r="408" ht="12.75" customHeight="1">
      <c r="A408" s="1" t="s">
        <v>2498</v>
      </c>
      <c r="B408" s="1" t="s">
        <v>2499</v>
      </c>
    </row>
    <row r="409" ht="12.75" customHeight="1">
      <c r="A409" s="1" t="s">
        <v>2500</v>
      </c>
      <c r="B409" s="1" t="s">
        <v>2501</v>
      </c>
    </row>
    <row r="410" ht="12.75" customHeight="1">
      <c r="A410" s="1" t="s">
        <v>2502</v>
      </c>
      <c r="B410" s="1" t="s">
        <v>2503</v>
      </c>
    </row>
    <row r="411" ht="12.75" customHeight="1">
      <c r="A411" s="1" t="s">
        <v>2504</v>
      </c>
      <c r="B411" s="1" t="s">
        <v>2505</v>
      </c>
    </row>
    <row r="412" ht="12.75" customHeight="1">
      <c r="A412" s="1" t="s">
        <v>2506</v>
      </c>
      <c r="B412" s="1" t="s">
        <v>2507</v>
      </c>
    </row>
    <row r="413" ht="12.75" customHeight="1">
      <c r="A413" s="1" t="s">
        <v>2508</v>
      </c>
      <c r="B413" s="1" t="s">
        <v>2509</v>
      </c>
    </row>
    <row r="414" ht="12.75" customHeight="1">
      <c r="A414" s="1" t="s">
        <v>2510</v>
      </c>
      <c r="B414" s="1" t="s">
        <v>2511</v>
      </c>
    </row>
    <row r="415" ht="12.75" customHeight="1">
      <c r="A415" s="1" t="s">
        <v>2512</v>
      </c>
      <c r="B415" s="1" t="s">
        <v>2513</v>
      </c>
    </row>
    <row r="416" ht="12.75" customHeight="1">
      <c r="A416" s="1" t="s">
        <v>2514</v>
      </c>
      <c r="B416" s="1" t="s">
        <v>2515</v>
      </c>
    </row>
    <row r="417" ht="12.75" customHeight="1">
      <c r="A417" s="1" t="s">
        <v>2516</v>
      </c>
      <c r="B417" s="1" t="s">
        <v>2517</v>
      </c>
    </row>
    <row r="418" ht="12.75" customHeight="1">
      <c r="A418" s="1" t="s">
        <v>2518</v>
      </c>
      <c r="B418" s="1" t="s">
        <v>2519</v>
      </c>
    </row>
    <row r="419" ht="12.75" customHeight="1">
      <c r="A419" s="1" t="s">
        <v>2520</v>
      </c>
      <c r="B419" s="1" t="s">
        <v>2521</v>
      </c>
    </row>
    <row r="420" ht="12.75" customHeight="1">
      <c r="A420" s="1" t="s">
        <v>2522</v>
      </c>
      <c r="B420" s="1" t="s">
        <v>2523</v>
      </c>
    </row>
    <row r="421" ht="12.75" customHeight="1">
      <c r="A421" s="1" t="s">
        <v>2524</v>
      </c>
      <c r="B421" s="1" t="s">
        <v>2525</v>
      </c>
    </row>
    <row r="422" ht="12.75" customHeight="1">
      <c r="A422" s="1" t="s">
        <v>2526</v>
      </c>
      <c r="B422" s="1" t="s">
        <v>2527</v>
      </c>
    </row>
    <row r="423" ht="12.75" customHeight="1">
      <c r="A423" s="1" t="s">
        <v>2528</v>
      </c>
      <c r="B423" s="1" t="s">
        <v>2529</v>
      </c>
    </row>
    <row r="424" ht="12.75" customHeight="1">
      <c r="A424" s="1" t="s">
        <v>2530</v>
      </c>
      <c r="B424" s="1" t="s">
        <v>2531</v>
      </c>
    </row>
    <row r="425" ht="12.75" customHeight="1">
      <c r="A425" s="1" t="s">
        <v>2532</v>
      </c>
      <c r="B425" s="1" t="s">
        <v>2533</v>
      </c>
    </row>
    <row r="426" ht="12.75" customHeight="1">
      <c r="A426" s="1" t="s">
        <v>2534</v>
      </c>
      <c r="B426" s="1" t="s">
        <v>2535</v>
      </c>
    </row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25" footer="0.0" header="0.0" left="0.7875" right="0.7875" top="1.025"/>
  <pageSetup orientation="portrait"/>
  <headerFooter>
    <oddHeader>&amp;C&amp;A</oddHeader>
    <oddFooter>&amp;CPage &amp;P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46.25"/>
    <col customWidth="1" min="2" max="2" width="45.75"/>
    <col customWidth="1" min="3" max="26" width="11.63"/>
  </cols>
  <sheetData>
    <row r="1" ht="12.75" customHeight="1">
      <c r="A1" s="1" t="s">
        <v>2536</v>
      </c>
      <c r="B1" s="1" t="str">
        <f t="shared" ref="B1:B3662" si="1">TRIM(A1)</f>
        <v>+1, 0, 0,</v>
      </c>
    </row>
    <row r="2" ht="12.75" customHeight="1">
      <c r="A2" s="1" t="s">
        <v>2537</v>
      </c>
      <c r="B2" s="1" t="str">
        <f t="shared" si="1"/>
        <v>14, # 20%</v>
      </c>
    </row>
    <row r="3" ht="12.75" customHeight="1">
      <c r="A3" s="1" t="s">
        <v>372</v>
      </c>
      <c r="B3" s="1" t="str">
        <f t="shared" si="1"/>
        <v>4, 6, CATERPIE</v>
      </c>
    </row>
    <row r="4" ht="12.75" customHeight="1">
      <c r="A4" s="1" t="s">
        <v>373</v>
      </c>
      <c r="B4" s="1" t="str">
        <f t="shared" si="1"/>
        <v>+4, 6, WEEDLE</v>
      </c>
    </row>
    <row r="5" ht="12.75" customHeight="1">
      <c r="A5" s="2"/>
      <c r="B5" s="1" t="str">
        <f t="shared" si="1"/>
        <v/>
      </c>
    </row>
    <row r="6" ht="12.75" customHeight="1">
      <c r="A6" s="1" t="s">
        <v>360</v>
      </c>
      <c r="B6" s="1" t="str">
        <f t="shared" si="1"/>
        <v># 10%</v>
      </c>
    </row>
    <row r="7" ht="12.75" customHeight="1">
      <c r="A7" s="1" t="s">
        <v>374</v>
      </c>
      <c r="B7" s="1" t="str">
        <f t="shared" si="1"/>
        <v>+5, 7, ODDISH</v>
      </c>
    </row>
    <row r="8" ht="12.75" customHeight="1">
      <c r="A8" s="1" t="s">
        <v>375</v>
      </c>
      <c r="B8" s="1" t="str">
        <f t="shared" si="1"/>
        <v>+7, 9, METAPOD</v>
      </c>
    </row>
    <row r="9" ht="12.75" customHeight="1">
      <c r="A9" s="1" t="s">
        <v>376</v>
      </c>
      <c r="B9" s="1" t="str">
        <f t="shared" si="1"/>
        <v>+7, 9, KAKUNA</v>
      </c>
    </row>
    <row r="10" ht="12.75" customHeight="1">
      <c r="A10" s="1" t="s">
        <v>377</v>
      </c>
      <c r="B10" s="1" t="str">
        <f t="shared" si="1"/>
        <v>+5, 7, PIKACHU</v>
      </c>
    </row>
    <row r="11" ht="12.75" customHeight="1">
      <c r="A11" s="2"/>
      <c r="B11" s="1" t="str">
        <f t="shared" si="1"/>
        <v/>
      </c>
    </row>
    <row r="12" ht="12.75" customHeight="1">
      <c r="A12" s="1" t="s">
        <v>361</v>
      </c>
      <c r="B12" s="1" t="str">
        <f t="shared" si="1"/>
        <v># 5%</v>
      </c>
    </row>
    <row r="13" ht="12.75" customHeight="1">
      <c r="A13" s="1" t="s">
        <v>378</v>
      </c>
      <c r="B13" s="1" t="str">
        <f t="shared" si="1"/>
        <v>+5, 7, MANKEY</v>
      </c>
    </row>
    <row r="14" ht="12.75" customHeight="1">
      <c r="A14" s="1" t="s">
        <v>379</v>
      </c>
      <c r="B14" s="1" t="str">
        <f t="shared" si="1"/>
        <v>+9, 10, BUTTERFREE</v>
      </c>
    </row>
    <row r="15" ht="12.75" customHeight="1">
      <c r="A15" s="2"/>
      <c r="B15" s="1" t="str">
        <f t="shared" si="1"/>
        <v/>
      </c>
    </row>
    <row r="16" ht="12.75" customHeight="1">
      <c r="A16" s="1" t="s">
        <v>362</v>
      </c>
      <c r="B16" s="1" t="str">
        <f t="shared" si="1"/>
        <v># 4%</v>
      </c>
    </row>
    <row r="17" ht="12.75" customHeight="1">
      <c r="A17" s="1" t="s">
        <v>380</v>
      </c>
      <c r="B17" s="1" t="str">
        <f t="shared" si="1"/>
        <v>+9, 10, BEEDRILL</v>
      </c>
    </row>
    <row r="18" ht="12.75" customHeight="1">
      <c r="A18" s="1" t="s">
        <v>381</v>
      </c>
      <c r="B18" s="1" t="str">
        <f t="shared" si="1"/>
        <v>+6, 9, TANGELA</v>
      </c>
    </row>
    <row r="19" ht="12.75" customHeight="1">
      <c r="A19" s="2"/>
      <c r="B19" s="1" t="str">
        <f t="shared" si="1"/>
        <v/>
      </c>
    </row>
    <row r="20" ht="12.75" customHeight="1">
      <c r="A20" s="1" t="s">
        <v>363</v>
      </c>
      <c r="B20" s="1" t="str">
        <f t="shared" si="1"/>
        <v># 1%</v>
      </c>
    </row>
    <row r="21" ht="12.75" customHeight="1">
      <c r="A21" s="1" t="s">
        <v>382</v>
      </c>
      <c r="B21" s="1" t="str">
        <f t="shared" si="1"/>
        <v>+11, 11, BEEDRILL</v>
      </c>
    </row>
    <row r="22" ht="12.75" customHeight="1">
      <c r="A22" s="1" t="s">
        <v>2538</v>
      </c>
      <c r="B22" s="1" t="str">
        <f t="shared" si="1"/>
        <v>+10, 10, TANGELA , &lt;null&gt;, &lt;null&gt;, &lt;null&gt;</v>
      </c>
    </row>
    <row r="23" ht="12.75" customHeight="1">
      <c r="A23" s="2"/>
      <c r="B23" s="1" t="str">
        <f t="shared" si="1"/>
        <v/>
      </c>
    </row>
    <row r="24" ht="12.75" customHeight="1">
      <c r="A24" s="1" t="s">
        <v>2539</v>
      </c>
      <c r="B24" s="1" t="str">
        <f t="shared" si="1"/>
        <v>NEW ROUTE</v>
      </c>
    </row>
    <row r="25" ht="12.75" customHeight="1">
      <c r="A25" s="1" t="s">
        <v>2540</v>
      </c>
      <c r="B25" s="1" t="str">
        <f t="shared" si="1"/>
        <v>+1, 1, 0,</v>
      </c>
    </row>
    <row r="26" ht="12.75" customHeight="1">
      <c r="A26" s="1" t="s">
        <v>2541</v>
      </c>
      <c r="B26" s="1" t="str">
        <f t="shared" si="1"/>
        <v>7, # 20%</v>
      </c>
    </row>
    <row r="27" ht="12.75" customHeight="1">
      <c r="A27" s="1" t="s">
        <v>385</v>
      </c>
      <c r="B27" s="1" t="str">
        <f t="shared" si="1"/>
        <v>9, 11, ZUBAT</v>
      </c>
    </row>
    <row r="28" ht="12.75" customHeight="1">
      <c r="A28" s="1" t="s">
        <v>386</v>
      </c>
      <c r="B28" s="1" t="str">
        <f t="shared" si="1"/>
        <v>+9, 11, ZUBAT</v>
      </c>
    </row>
    <row r="29" ht="12.75" customHeight="1">
      <c r="A29" s="2"/>
      <c r="B29" s="1" t="str">
        <f t="shared" si="1"/>
        <v/>
      </c>
    </row>
    <row r="30" ht="12.75" customHeight="1">
      <c r="A30" s="1" t="s">
        <v>360</v>
      </c>
      <c r="B30" s="1" t="str">
        <f t="shared" si="1"/>
        <v># 10%</v>
      </c>
    </row>
    <row r="31" ht="12.75" customHeight="1">
      <c r="A31" s="1" t="s">
        <v>387</v>
      </c>
      <c r="B31" s="1" t="str">
        <f t="shared" si="1"/>
        <v>+10, 12, ZUBAT</v>
      </c>
    </row>
    <row r="32" ht="12.75" customHeight="1">
      <c r="A32" s="1" t="s">
        <v>387</v>
      </c>
      <c r="B32" s="1" t="str">
        <f t="shared" si="1"/>
        <v>+10, 12, ZUBAT</v>
      </c>
    </row>
    <row r="33" ht="12.75" customHeight="1">
      <c r="A33" s="1" t="s">
        <v>388</v>
      </c>
      <c r="B33" s="1" t="str">
        <f t="shared" si="1"/>
        <v>+10, 12, GEODUDE</v>
      </c>
    </row>
    <row r="34" ht="12.75" customHeight="1">
      <c r="A34" s="1" t="s">
        <v>388</v>
      </c>
      <c r="B34" s="1" t="str">
        <f t="shared" si="1"/>
        <v>+10, 12, GEODUDE</v>
      </c>
    </row>
    <row r="35" ht="12.75" customHeight="1">
      <c r="A35" s="2"/>
      <c r="B35" s="1" t="str">
        <f t="shared" si="1"/>
        <v/>
      </c>
    </row>
    <row r="36" ht="12.75" customHeight="1">
      <c r="A36" s="1" t="s">
        <v>361</v>
      </c>
      <c r="B36" s="1" t="str">
        <f t="shared" si="1"/>
        <v># 5%</v>
      </c>
    </row>
    <row r="37" ht="12.75" customHeight="1">
      <c r="A37" s="1" t="s">
        <v>389</v>
      </c>
      <c r="B37" s="1" t="str">
        <f t="shared" si="1"/>
        <v>+11, 11, SANDSHREW</v>
      </c>
    </row>
    <row r="38" ht="12.75" customHeight="1">
      <c r="A38" s="1" t="s">
        <v>389</v>
      </c>
      <c r="B38" s="1" t="str">
        <f t="shared" si="1"/>
        <v>+11, 11, SANDSHREW</v>
      </c>
    </row>
    <row r="39" ht="12.75" customHeight="1">
      <c r="A39" s="2"/>
      <c r="B39" s="1" t="str">
        <f t="shared" si="1"/>
        <v/>
      </c>
    </row>
    <row r="40" ht="12.75" customHeight="1">
      <c r="A40" s="1" t="s">
        <v>362</v>
      </c>
      <c r="B40" s="1" t="str">
        <f t="shared" si="1"/>
        <v># 4%</v>
      </c>
    </row>
    <row r="41" ht="12.75" customHeight="1">
      <c r="A41" s="1" t="s">
        <v>390</v>
      </c>
      <c r="B41" s="1" t="str">
        <f t="shared" si="1"/>
        <v>+11, 11, PARAS</v>
      </c>
    </row>
    <row r="42" ht="12.75" customHeight="1">
      <c r="A42" s="1" t="s">
        <v>390</v>
      </c>
      <c r="B42" s="1" t="str">
        <f t="shared" si="1"/>
        <v>+11, 11, PARAS</v>
      </c>
    </row>
    <row r="43" ht="12.75" customHeight="1">
      <c r="A43" s="2"/>
      <c r="B43" s="1" t="str">
        <f t="shared" si="1"/>
        <v/>
      </c>
    </row>
    <row r="44" ht="12.75" customHeight="1">
      <c r="A44" s="1" t="s">
        <v>363</v>
      </c>
      <c r="B44" s="1" t="str">
        <f t="shared" si="1"/>
        <v># 1%</v>
      </c>
    </row>
    <row r="45" ht="12.75" customHeight="1">
      <c r="A45" s="1" t="s">
        <v>391</v>
      </c>
      <c r="B45" s="1" t="str">
        <f t="shared" si="1"/>
        <v>+11, 14, ONIX</v>
      </c>
    </row>
    <row r="46" ht="12.75" customHeight="1">
      <c r="A46" s="1" t="s">
        <v>2542</v>
      </c>
      <c r="B46" s="1" t="str">
        <f t="shared" si="1"/>
        <v>+11, 14, CLEFAIRY , &lt;null&gt;, &lt;null&gt;, &lt;null&gt;</v>
      </c>
    </row>
    <row r="47" ht="12.75" customHeight="1">
      <c r="A47" s="2"/>
      <c r="B47" s="1" t="str">
        <f t="shared" si="1"/>
        <v/>
      </c>
    </row>
    <row r="48" ht="12.75" customHeight="1">
      <c r="A48" s="1" t="s">
        <v>2539</v>
      </c>
      <c r="B48" s="1" t="str">
        <f t="shared" si="1"/>
        <v>NEW ROUTE</v>
      </c>
    </row>
    <row r="49" ht="12.75" customHeight="1">
      <c r="A49" s="1" t="s">
        <v>2543</v>
      </c>
      <c r="B49" s="1" t="str">
        <f t="shared" si="1"/>
        <v>+1, 2, 0,</v>
      </c>
    </row>
    <row r="50" ht="12.75" customHeight="1">
      <c r="A50" s="1" t="s">
        <v>2544</v>
      </c>
      <c r="B50" s="1" t="str">
        <f t="shared" si="1"/>
        <v>5, # 20%</v>
      </c>
    </row>
    <row r="51" ht="12.75" customHeight="1">
      <c r="A51" s="1" t="s">
        <v>394</v>
      </c>
      <c r="B51" s="1" t="str">
        <f t="shared" si="1"/>
        <v>10, 12, ZUBAT</v>
      </c>
    </row>
    <row r="52" ht="12.75" customHeight="1">
      <c r="A52" s="1" t="s">
        <v>387</v>
      </c>
      <c r="B52" s="1" t="str">
        <f t="shared" si="1"/>
        <v>+10, 12, ZUBAT</v>
      </c>
    </row>
    <row r="53" ht="12.75" customHeight="1">
      <c r="A53" s="2"/>
      <c r="B53" s="1" t="str">
        <f t="shared" si="1"/>
        <v/>
      </c>
    </row>
    <row r="54" ht="12.75" customHeight="1">
      <c r="A54" s="1" t="s">
        <v>360</v>
      </c>
      <c r="B54" s="1" t="str">
        <f t="shared" si="1"/>
        <v># 10%</v>
      </c>
    </row>
    <row r="55" ht="12.75" customHeight="1">
      <c r="A55" s="1" t="s">
        <v>395</v>
      </c>
      <c r="B55" s="1" t="str">
        <f t="shared" si="1"/>
        <v>+11, 13, ZUBAT</v>
      </c>
    </row>
    <row r="56" ht="12.75" customHeight="1">
      <c r="A56" s="1" t="s">
        <v>395</v>
      </c>
      <c r="B56" s="1" t="str">
        <f t="shared" si="1"/>
        <v>+11, 13, ZUBAT</v>
      </c>
    </row>
    <row r="57" ht="12.75" customHeight="1">
      <c r="A57" s="1" t="s">
        <v>396</v>
      </c>
      <c r="B57" s="1" t="str">
        <f t="shared" si="1"/>
        <v>+11, 13, GEODUDE</v>
      </c>
    </row>
    <row r="58" ht="12.75" customHeight="1">
      <c r="A58" s="1" t="s">
        <v>396</v>
      </c>
      <c r="B58" s="1" t="str">
        <f t="shared" si="1"/>
        <v>+11, 13, GEODUDE</v>
      </c>
    </row>
    <row r="59" ht="12.75" customHeight="1">
      <c r="A59" s="2"/>
      <c r="B59" s="1" t="str">
        <f t="shared" si="1"/>
        <v/>
      </c>
    </row>
    <row r="60" ht="12.75" customHeight="1">
      <c r="A60" s="1" t="s">
        <v>361</v>
      </c>
      <c r="B60" s="1" t="str">
        <f t="shared" si="1"/>
        <v># 5%</v>
      </c>
    </row>
    <row r="61" ht="12.75" customHeight="1">
      <c r="A61" s="1" t="s">
        <v>397</v>
      </c>
      <c r="B61" s="1" t="str">
        <f t="shared" si="1"/>
        <v>+12, 12, SANDSHREW</v>
      </c>
    </row>
    <row r="62" ht="12.75" customHeight="1">
      <c r="A62" s="1" t="s">
        <v>397</v>
      </c>
      <c r="B62" s="1" t="str">
        <f t="shared" si="1"/>
        <v>+12, 12, SANDSHREW</v>
      </c>
    </row>
    <row r="63" ht="12.75" customHeight="1">
      <c r="A63" s="2"/>
      <c r="B63" s="1" t="str">
        <f t="shared" si="1"/>
        <v/>
      </c>
    </row>
    <row r="64" ht="12.75" customHeight="1">
      <c r="A64" s="1" t="s">
        <v>362</v>
      </c>
      <c r="B64" s="1" t="str">
        <f t="shared" si="1"/>
        <v># 4%</v>
      </c>
    </row>
    <row r="65" ht="12.75" customHeight="1">
      <c r="A65" s="1" t="s">
        <v>398</v>
      </c>
      <c r="B65" s="1" t="str">
        <f t="shared" si="1"/>
        <v>+12, 12, PARAS</v>
      </c>
    </row>
    <row r="66" ht="12.75" customHeight="1">
      <c r="A66" s="1" t="s">
        <v>398</v>
      </c>
      <c r="B66" s="1" t="str">
        <f t="shared" si="1"/>
        <v>+12, 12, PARAS</v>
      </c>
    </row>
    <row r="67" ht="12.75" customHeight="1">
      <c r="A67" s="2"/>
      <c r="B67" s="1" t="str">
        <f t="shared" si="1"/>
        <v/>
      </c>
    </row>
    <row r="68" ht="12.75" customHeight="1">
      <c r="A68" s="1" t="s">
        <v>363</v>
      </c>
      <c r="B68" s="1" t="str">
        <f t="shared" si="1"/>
        <v># 1%</v>
      </c>
    </row>
    <row r="69" ht="12.75" customHeight="1">
      <c r="A69" s="1" t="s">
        <v>399</v>
      </c>
      <c r="B69" s="1" t="str">
        <f t="shared" si="1"/>
        <v>+12, 15, ONIX</v>
      </c>
    </row>
    <row r="70" ht="12.75" customHeight="1">
      <c r="A70" s="1" t="s">
        <v>2545</v>
      </c>
      <c r="B70" s="1" t="str">
        <f t="shared" si="1"/>
        <v>+12, 15, CLEFAIRY , &lt;null&gt;, &lt;null&gt;, &lt;null&gt;</v>
      </c>
    </row>
    <row r="71" ht="12.75" customHeight="1">
      <c r="A71" s="2"/>
      <c r="B71" s="1" t="str">
        <f t="shared" si="1"/>
        <v/>
      </c>
    </row>
    <row r="72" ht="12.75" customHeight="1">
      <c r="A72" s="1" t="s">
        <v>2539</v>
      </c>
      <c r="B72" s="1" t="str">
        <f t="shared" si="1"/>
        <v>NEW ROUTE</v>
      </c>
    </row>
    <row r="73" ht="12.75" customHeight="1">
      <c r="A73" s="1" t="s">
        <v>2546</v>
      </c>
      <c r="B73" s="1" t="str">
        <f t="shared" si="1"/>
        <v>+1, 3, 0,</v>
      </c>
    </row>
    <row r="74" ht="12.75" customHeight="1">
      <c r="A74" s="1" t="s">
        <v>2541</v>
      </c>
      <c r="B74" s="1" t="str">
        <f t="shared" si="1"/>
        <v>7, # 20%</v>
      </c>
    </row>
    <row r="75" ht="12.75" customHeight="1">
      <c r="A75" s="1" t="s">
        <v>402</v>
      </c>
      <c r="B75" s="1" t="str">
        <f t="shared" si="1"/>
        <v>10, 13, ZUBAT</v>
      </c>
    </row>
    <row r="76" ht="12.75" customHeight="1">
      <c r="A76" s="1" t="s">
        <v>403</v>
      </c>
      <c r="B76" s="1" t="str">
        <f t="shared" si="1"/>
        <v>+10, 13, ZUBAT</v>
      </c>
    </row>
    <row r="77" ht="12.75" customHeight="1">
      <c r="A77" s="2"/>
      <c r="B77" s="1" t="str">
        <f t="shared" si="1"/>
        <v/>
      </c>
    </row>
    <row r="78" ht="12.75" customHeight="1">
      <c r="A78" s="1" t="s">
        <v>360</v>
      </c>
      <c r="B78" s="1" t="str">
        <f t="shared" si="1"/>
        <v># 10%</v>
      </c>
    </row>
    <row r="79" ht="12.75" customHeight="1">
      <c r="A79" s="1" t="s">
        <v>404</v>
      </c>
      <c r="B79" s="1" t="str">
        <f t="shared" si="1"/>
        <v>+11, 14, ZUBAT</v>
      </c>
    </row>
    <row r="80" ht="12.75" customHeight="1">
      <c r="A80" s="1" t="s">
        <v>405</v>
      </c>
      <c r="B80" s="1" t="str">
        <f t="shared" si="1"/>
        <v>+11, 14, GEODUDE</v>
      </c>
    </row>
    <row r="81" ht="12.75" customHeight="1">
      <c r="A81" s="1" t="s">
        <v>405</v>
      </c>
      <c r="B81" s="1" t="str">
        <f t="shared" si="1"/>
        <v>+11, 14, GEODUDE</v>
      </c>
    </row>
    <row r="82" ht="12.75" customHeight="1">
      <c r="A82" s="1" t="s">
        <v>406</v>
      </c>
      <c r="B82" s="1" t="str">
        <f t="shared" si="1"/>
        <v>+11, 14, SANDSHREW</v>
      </c>
    </row>
    <row r="83" ht="12.75" customHeight="1">
      <c r="A83" s="2"/>
      <c r="B83" s="1" t="str">
        <f t="shared" si="1"/>
        <v/>
      </c>
    </row>
    <row r="84" ht="12.75" customHeight="1">
      <c r="A84" s="1" t="s">
        <v>361</v>
      </c>
      <c r="B84" s="1" t="str">
        <f t="shared" si="1"/>
        <v># 5%</v>
      </c>
    </row>
    <row r="85" ht="12.75" customHeight="1">
      <c r="A85" s="1" t="s">
        <v>407</v>
      </c>
      <c r="B85" s="1" t="str">
        <f t="shared" si="1"/>
        <v>+13, 13, PARAS</v>
      </c>
    </row>
    <row r="86" ht="12.75" customHeight="1">
      <c r="A86" s="1" t="s">
        <v>407</v>
      </c>
      <c r="B86" s="1" t="str">
        <f t="shared" si="1"/>
        <v>+13, 13, PARAS</v>
      </c>
    </row>
    <row r="87" ht="12.75" customHeight="1">
      <c r="A87" s="2"/>
      <c r="B87" s="1" t="str">
        <f t="shared" si="1"/>
        <v/>
      </c>
    </row>
    <row r="88" ht="12.75" customHeight="1">
      <c r="A88" s="1" t="s">
        <v>362</v>
      </c>
      <c r="B88" s="1" t="str">
        <f t="shared" si="1"/>
        <v># 4%</v>
      </c>
    </row>
    <row r="89" ht="12.75" customHeight="1">
      <c r="A89" s="1" t="s">
        <v>408</v>
      </c>
      <c r="B89" s="1" t="str">
        <f t="shared" si="1"/>
        <v>+13, 13, ONIX</v>
      </c>
    </row>
    <row r="90" ht="12.75" customHeight="1">
      <c r="A90" s="1" t="s">
        <v>409</v>
      </c>
      <c r="B90" s="1" t="str">
        <f t="shared" si="1"/>
        <v>+13, 13, CLEFAIRY</v>
      </c>
    </row>
    <row r="91" ht="12.75" customHeight="1">
      <c r="A91" s="2"/>
      <c r="B91" s="1" t="str">
        <f t="shared" si="1"/>
        <v/>
      </c>
    </row>
    <row r="92" ht="12.75" customHeight="1">
      <c r="A92" s="1" t="s">
        <v>363</v>
      </c>
      <c r="B92" s="1" t="str">
        <f t="shared" si="1"/>
        <v># 1%</v>
      </c>
    </row>
    <row r="93" ht="12.75" customHeight="1">
      <c r="A93" s="1" t="s">
        <v>410</v>
      </c>
      <c r="B93" s="1" t="str">
        <f t="shared" si="1"/>
        <v>+13, 16, GOLBAT</v>
      </c>
    </row>
    <row r="94" ht="12.75" customHeight="1">
      <c r="A94" s="1" t="s">
        <v>2547</v>
      </c>
      <c r="B94" s="1" t="str">
        <f t="shared" si="1"/>
        <v>+13, 16, GRAVELER , &lt;null&gt;, &lt;null&gt;, &lt;null&gt;</v>
      </c>
    </row>
    <row r="95" ht="12.75" customHeight="1">
      <c r="A95" s="2"/>
      <c r="B95" s="1" t="str">
        <f t="shared" si="1"/>
        <v/>
      </c>
    </row>
    <row r="96" ht="12.75" customHeight="1">
      <c r="A96" s="1" t="s">
        <v>2539</v>
      </c>
      <c r="B96" s="1" t="str">
        <f t="shared" si="1"/>
        <v>NEW ROUTE</v>
      </c>
    </row>
    <row r="97" ht="12.75" customHeight="1">
      <c r="A97" s="1" t="s">
        <v>2548</v>
      </c>
      <c r="B97" s="1" t="str">
        <f t="shared" si="1"/>
        <v>+1, 4, 0, &lt;null&gt;,</v>
      </c>
    </row>
    <row r="98" ht="12.75" customHeight="1">
      <c r="A98" s="2"/>
      <c r="B98" s="1" t="str">
        <f t="shared" si="1"/>
        <v/>
      </c>
    </row>
    <row r="99" ht="12.75" customHeight="1">
      <c r="A99" s="1" t="s">
        <v>2549</v>
      </c>
      <c r="B99" s="1" t="str">
        <f t="shared" si="1"/>
        <v>1, 5, 10, TENTACOOL</v>
      </c>
    </row>
    <row r="100" ht="12.75" customHeight="1">
      <c r="A100" s="1" t="s">
        <v>413</v>
      </c>
      <c r="B100" s="1" t="str">
        <f t="shared" si="1"/>
        <v>+10, 20, TENTACOOL</v>
      </c>
    </row>
    <row r="101" ht="12.75" customHeight="1">
      <c r="A101" s="1" t="s">
        <v>414</v>
      </c>
      <c r="B101" s="1" t="str">
        <f t="shared" si="1"/>
        <v>+20, 30, TENTACOOL</v>
      </c>
    </row>
    <row r="102" ht="12.75" customHeight="1">
      <c r="A102" s="1" t="s">
        <v>415</v>
      </c>
      <c r="B102" s="1" t="str">
        <f t="shared" si="1"/>
        <v>+30, 35, TENTACOOL</v>
      </c>
    </row>
    <row r="103" ht="12.75" customHeight="1">
      <c r="A103" s="1" t="s">
        <v>2550</v>
      </c>
      <c r="B103" s="1" t="str">
        <f t="shared" si="1"/>
        <v>+35, 40, TENTACOOL</v>
      </c>
    </row>
    <row r="104" ht="12.75" customHeight="1">
      <c r="A104" s="1" t="s">
        <v>2551</v>
      </c>
      <c r="B104" s="1" t="str">
        <f t="shared" si="1"/>
        <v>10, # old rod:</v>
      </c>
    </row>
    <row r="105" ht="12.75" customHeight="1">
      <c r="A105" s="1" t="s">
        <v>417</v>
      </c>
      <c r="B105" s="1" t="str">
        <f t="shared" si="1"/>
        <v>5, 5, MAGIKARP</v>
      </c>
    </row>
    <row r="106" ht="12.75" customHeight="1">
      <c r="A106" s="1" t="s">
        <v>418</v>
      </c>
      <c r="B106" s="1" t="str">
        <f t="shared" si="1"/>
        <v>+5, 5, MAGIKARP</v>
      </c>
    </row>
    <row r="107" ht="12.75" customHeight="1">
      <c r="A107" s="2"/>
      <c r="B107" s="1" t="str">
        <f t="shared" si="1"/>
        <v/>
      </c>
    </row>
    <row r="108" ht="12.75" customHeight="1">
      <c r="A108" s="1" t="s">
        <v>419</v>
      </c>
      <c r="B108" s="1" t="str">
        <f t="shared" si="1"/>
        <v># good rod:</v>
      </c>
    </row>
    <row r="109" ht="12.75" customHeight="1">
      <c r="A109" s="1" t="s">
        <v>420</v>
      </c>
      <c r="B109" s="1" t="str">
        <f t="shared" si="1"/>
        <v>+5, 15, KRABBY</v>
      </c>
    </row>
    <row r="110" ht="12.75" customHeight="1">
      <c r="A110" s="1" t="s">
        <v>421</v>
      </c>
      <c r="B110" s="1" t="str">
        <f t="shared" si="1"/>
        <v>+5, 15, MAGIKARP</v>
      </c>
    </row>
    <row r="111" ht="12.75" customHeight="1">
      <c r="A111" s="1" t="s">
        <v>422</v>
      </c>
      <c r="B111" s="1" t="str">
        <f t="shared" si="1"/>
        <v>+5, 15, HORSEA</v>
      </c>
    </row>
    <row r="112" ht="12.75" customHeight="1">
      <c r="A112" s="2"/>
      <c r="B112" s="1" t="str">
        <f t="shared" si="1"/>
        <v/>
      </c>
    </row>
    <row r="113" ht="12.75" customHeight="1">
      <c r="A113" s="1" t="s">
        <v>423</v>
      </c>
      <c r="B113" s="1" t="str">
        <f t="shared" si="1"/>
        <v># super rod:</v>
      </c>
    </row>
    <row r="114" ht="12.75" customHeight="1">
      <c r="A114" s="1" t="s">
        <v>424</v>
      </c>
      <c r="B114" s="1" t="str">
        <f t="shared" si="1"/>
        <v>+15, 25, KRABBY</v>
      </c>
    </row>
    <row r="115" ht="12.75" customHeight="1">
      <c r="A115" s="1" t="s">
        <v>425</v>
      </c>
      <c r="B115" s="1" t="str">
        <f t="shared" si="1"/>
        <v>+15, 25, STARYU</v>
      </c>
    </row>
    <row r="116" ht="12.75" customHeight="1">
      <c r="A116" s="1" t="s">
        <v>426</v>
      </c>
      <c r="B116" s="1" t="str">
        <f t="shared" si="1"/>
        <v>+15, 25, GYARADOS</v>
      </c>
    </row>
    <row r="117" ht="12.75" customHeight="1">
      <c r="A117" s="1" t="s">
        <v>427</v>
      </c>
      <c r="B117" s="1" t="str">
        <f t="shared" si="1"/>
        <v>+25, 35, KRABBY</v>
      </c>
    </row>
    <row r="118" ht="12.75" customHeight="1">
      <c r="A118" s="1" t="s">
        <v>2552</v>
      </c>
      <c r="B118" s="1" t="str">
        <f t="shared" si="1"/>
        <v>+25, 35, SLOWPOKE</v>
      </c>
    </row>
    <row r="119" ht="12.75" customHeight="1">
      <c r="A119" s="1" t="s">
        <v>2539</v>
      </c>
      <c r="B119" s="1" t="str">
        <f t="shared" si="1"/>
        <v>NEW ROUTE</v>
      </c>
    </row>
    <row r="120" ht="12.75" customHeight="1">
      <c r="A120" s="1" t="s">
        <v>2553</v>
      </c>
      <c r="B120" s="1" t="str">
        <f t="shared" si="1"/>
        <v>+1, 37, 0,</v>
      </c>
    </row>
    <row r="121" ht="12.75" customHeight="1">
      <c r="A121" s="1" t="s">
        <v>2544</v>
      </c>
      <c r="B121" s="1" t="str">
        <f t="shared" si="1"/>
        <v>5, # 20%</v>
      </c>
    </row>
    <row r="122" ht="12.75" customHeight="1">
      <c r="A122" s="1" t="s">
        <v>430</v>
      </c>
      <c r="B122" s="1" t="str">
        <f t="shared" si="1"/>
        <v>18, 18, DIGLETT</v>
      </c>
    </row>
    <row r="123" ht="12.75" customHeight="1">
      <c r="A123" s="1" t="s">
        <v>431</v>
      </c>
      <c r="B123" s="1" t="str">
        <f t="shared" si="1"/>
        <v>+19, 19, DIGLETT</v>
      </c>
    </row>
    <row r="124" ht="12.75" customHeight="1">
      <c r="A124" s="2"/>
      <c r="B124" s="1" t="str">
        <f t="shared" si="1"/>
        <v/>
      </c>
    </row>
    <row r="125" ht="12.75" customHeight="1">
      <c r="A125" s="1" t="s">
        <v>360</v>
      </c>
      <c r="B125" s="1" t="str">
        <f t="shared" si="1"/>
        <v># 10%</v>
      </c>
    </row>
    <row r="126" ht="12.75" customHeight="1">
      <c r="A126" s="1" t="s">
        <v>432</v>
      </c>
      <c r="B126" s="1" t="str">
        <f t="shared" si="1"/>
        <v>+20, 20, DIGLETT</v>
      </c>
    </row>
    <row r="127" ht="12.75" customHeight="1">
      <c r="A127" s="1" t="s">
        <v>433</v>
      </c>
      <c r="B127" s="1" t="str">
        <f t="shared" si="1"/>
        <v>+21, 21, DIGLETT</v>
      </c>
    </row>
    <row r="128" ht="12.75" customHeight="1">
      <c r="A128" s="1" t="s">
        <v>434</v>
      </c>
      <c r="B128" s="1" t="str">
        <f t="shared" si="1"/>
        <v>+22, 22, DIGLETT</v>
      </c>
    </row>
    <row r="129" ht="12.75" customHeight="1">
      <c r="A129" s="1" t="s">
        <v>435</v>
      </c>
      <c r="B129" s="1" t="str">
        <f t="shared" si="1"/>
        <v>+19, 19, DUGTRIO</v>
      </c>
    </row>
    <row r="130" ht="12.75" customHeight="1">
      <c r="A130" s="2"/>
      <c r="B130" s="1" t="str">
        <f t="shared" si="1"/>
        <v/>
      </c>
    </row>
    <row r="131" ht="12.75" customHeight="1">
      <c r="A131" s="1" t="s">
        <v>361</v>
      </c>
      <c r="B131" s="1" t="str">
        <f t="shared" si="1"/>
        <v># 5%</v>
      </c>
    </row>
    <row r="132" ht="12.75" customHeight="1">
      <c r="A132" s="1" t="s">
        <v>436</v>
      </c>
      <c r="B132" s="1" t="str">
        <f t="shared" si="1"/>
        <v>+23, 23, DIGLETT</v>
      </c>
    </row>
    <row r="133" ht="12.75" customHeight="1">
      <c r="A133" s="1" t="s">
        <v>437</v>
      </c>
      <c r="B133" s="1" t="str">
        <f t="shared" si="1"/>
        <v>+24, 24, DIGLETT</v>
      </c>
    </row>
    <row r="134" ht="12.75" customHeight="1">
      <c r="A134" s="2"/>
      <c r="B134" s="1" t="str">
        <f t="shared" si="1"/>
        <v/>
      </c>
    </row>
    <row r="135" ht="12.75" customHeight="1">
      <c r="A135" s="1" t="s">
        <v>362</v>
      </c>
      <c r="B135" s="1" t="str">
        <f t="shared" si="1"/>
        <v># 4%</v>
      </c>
    </row>
    <row r="136" ht="12.75" customHeight="1">
      <c r="A136" s="1" t="s">
        <v>438</v>
      </c>
      <c r="B136" s="1" t="str">
        <f t="shared" si="1"/>
        <v>+20, 23, DUGTRIO</v>
      </c>
    </row>
    <row r="137" ht="12.75" customHeight="1">
      <c r="A137" s="1" t="s">
        <v>439</v>
      </c>
      <c r="B137" s="1" t="str">
        <f t="shared" si="1"/>
        <v>+24, 26, DUGTRIO</v>
      </c>
    </row>
    <row r="138" ht="12.75" customHeight="1">
      <c r="A138" s="2"/>
      <c r="B138" s="1" t="str">
        <f t="shared" si="1"/>
        <v/>
      </c>
    </row>
    <row r="139" ht="12.75" customHeight="1">
      <c r="A139" s="1" t="s">
        <v>363</v>
      </c>
      <c r="B139" s="1" t="str">
        <f t="shared" si="1"/>
        <v># 1%</v>
      </c>
    </row>
    <row r="140" ht="12.75" customHeight="1">
      <c r="A140" s="1" t="s">
        <v>440</v>
      </c>
      <c r="B140" s="1" t="str">
        <f t="shared" si="1"/>
        <v>+27, 28, DUGTRIO</v>
      </c>
    </row>
    <row r="141" ht="12.75" customHeight="1">
      <c r="A141" s="1" t="s">
        <v>2554</v>
      </c>
      <c r="B141" s="1" t="str">
        <f t="shared" si="1"/>
        <v>+30, 30, DUGROUPLE , &lt;null&gt;, &lt;null&gt;, &lt;null&gt;</v>
      </c>
    </row>
    <row r="142" ht="12.75" customHeight="1">
      <c r="A142" s="2"/>
      <c r="B142" s="1" t="str">
        <f t="shared" si="1"/>
        <v/>
      </c>
    </row>
    <row r="143" ht="12.75" customHeight="1">
      <c r="A143" s="1" t="s">
        <v>2539</v>
      </c>
      <c r="B143" s="1" t="str">
        <f t="shared" si="1"/>
        <v>NEW ROUTE</v>
      </c>
    </row>
    <row r="144" ht="12.75" customHeight="1">
      <c r="A144" s="1" t="s">
        <v>2555</v>
      </c>
      <c r="B144" s="1" t="str">
        <f t="shared" si="1"/>
        <v>+1, 39, 0,</v>
      </c>
    </row>
    <row r="145" ht="12.75" customHeight="1">
      <c r="A145" s="1" t="s">
        <v>2541</v>
      </c>
      <c r="B145" s="1" t="str">
        <f t="shared" si="1"/>
        <v>7, # 20%</v>
      </c>
    </row>
    <row r="146" ht="12.75" customHeight="1">
      <c r="A146" s="1" t="s">
        <v>443</v>
      </c>
      <c r="B146" s="1" t="str">
        <f t="shared" si="1"/>
        <v>51, 56, NOHTYP</v>
      </c>
    </row>
    <row r="147" ht="12.75" customHeight="1">
      <c r="A147" s="1" t="s">
        <v>444</v>
      </c>
      <c r="B147" s="1" t="str">
        <f t="shared" si="1"/>
        <v>+51, 56, CROBAT</v>
      </c>
    </row>
    <row r="148" ht="12.75" customHeight="1">
      <c r="A148" s="2"/>
      <c r="B148" s="1" t="str">
        <f t="shared" si="1"/>
        <v/>
      </c>
    </row>
    <row r="149" ht="12.75" customHeight="1">
      <c r="A149" s="1" t="s">
        <v>360</v>
      </c>
      <c r="B149" s="1" t="str">
        <f t="shared" si="1"/>
        <v># 10%</v>
      </c>
    </row>
    <row r="150" ht="12.75" customHeight="1">
      <c r="A150" s="1" t="s">
        <v>445</v>
      </c>
      <c r="B150" s="1" t="str">
        <f t="shared" si="1"/>
        <v>+51, 56, MACHAMP</v>
      </c>
    </row>
    <row r="151" ht="12.75" customHeight="1">
      <c r="A151" s="1" t="s">
        <v>446</v>
      </c>
      <c r="B151" s="1" t="str">
        <f t="shared" si="1"/>
        <v>+51, 56, GOLEM</v>
      </c>
    </row>
    <row r="152" ht="12.75" customHeight="1">
      <c r="A152" s="1" t="s">
        <v>447</v>
      </c>
      <c r="B152" s="1" t="str">
        <f t="shared" si="1"/>
        <v>+53, 57, ADNOKANA</v>
      </c>
    </row>
    <row r="153" ht="12.75" customHeight="1">
      <c r="A153" s="1" t="s">
        <v>448</v>
      </c>
      <c r="B153" s="1" t="str">
        <f t="shared" si="1"/>
        <v>+53, 57, POLABAT</v>
      </c>
    </row>
    <row r="154" ht="12.75" customHeight="1">
      <c r="A154" s="2"/>
      <c r="B154" s="1" t="str">
        <f t="shared" si="1"/>
        <v/>
      </c>
    </row>
    <row r="155" ht="12.75" customHeight="1">
      <c r="A155" s="1" t="s">
        <v>361</v>
      </c>
      <c r="B155" s="1" t="str">
        <f t="shared" si="1"/>
        <v># 5%</v>
      </c>
    </row>
    <row r="156" ht="12.75" customHeight="1">
      <c r="A156" s="1" t="s">
        <v>449</v>
      </c>
      <c r="B156" s="1" t="str">
        <f t="shared" si="1"/>
        <v>+53, 57, MACHULK</v>
      </c>
    </row>
    <row r="157" ht="12.75" customHeight="1">
      <c r="A157" s="1" t="s">
        <v>450</v>
      </c>
      <c r="B157" s="1" t="str">
        <f t="shared" si="1"/>
        <v>+53, 57, RHYMARKABL</v>
      </c>
    </row>
    <row r="158" ht="12.75" customHeight="1">
      <c r="A158" s="2"/>
      <c r="B158" s="1" t="str">
        <f t="shared" si="1"/>
        <v/>
      </c>
    </row>
    <row r="159" ht="12.75" customHeight="1">
      <c r="A159" s="1" t="s">
        <v>362</v>
      </c>
      <c r="B159" s="1" t="str">
        <f t="shared" si="1"/>
        <v># 4%</v>
      </c>
    </row>
    <row r="160" ht="12.75" customHeight="1">
      <c r="A160" s="1" t="s">
        <v>451</v>
      </c>
      <c r="B160" s="1" t="str">
        <f t="shared" si="1"/>
        <v>+55, 57, PLATNIX</v>
      </c>
    </row>
    <row r="161" ht="12.75" customHeight="1">
      <c r="A161" s="1" t="s">
        <v>452</v>
      </c>
      <c r="B161" s="1" t="str">
        <f t="shared" si="1"/>
        <v>+55, 57, SLAGOLEM</v>
      </c>
    </row>
    <row r="162" ht="12.75" customHeight="1">
      <c r="A162" s="2"/>
      <c r="B162" s="1" t="str">
        <f t="shared" si="1"/>
        <v/>
      </c>
    </row>
    <row r="163" ht="12.75" customHeight="1">
      <c r="A163" s="1" t="s">
        <v>363</v>
      </c>
      <c r="B163" s="1" t="str">
        <f t="shared" si="1"/>
        <v># 1%</v>
      </c>
    </row>
    <row r="164" ht="12.75" customHeight="1">
      <c r="A164" s="1" t="s">
        <v>453</v>
      </c>
      <c r="B164" s="1" t="str">
        <f t="shared" si="1"/>
        <v>+58, 60, MOLTREM</v>
      </c>
    </row>
    <row r="165" ht="12.75" customHeight="1">
      <c r="A165" s="1" t="s">
        <v>2556</v>
      </c>
      <c r="B165" s="1" t="str">
        <f t="shared" si="1"/>
        <v>+58, 60, WRAIWRATH , &lt;null&gt;, &lt;null&gt;, &lt;null&gt;</v>
      </c>
    </row>
    <row r="166" ht="12.75" customHeight="1">
      <c r="A166" s="2"/>
      <c r="B166" s="1" t="str">
        <f t="shared" si="1"/>
        <v/>
      </c>
    </row>
    <row r="167" ht="12.75" customHeight="1">
      <c r="A167" s="1" t="s">
        <v>2539</v>
      </c>
      <c r="B167" s="1" t="str">
        <f t="shared" si="1"/>
        <v>NEW ROUTE</v>
      </c>
    </row>
    <row r="168" ht="12.75" customHeight="1">
      <c r="A168" s="1" t="s">
        <v>2557</v>
      </c>
      <c r="B168" s="1" t="str">
        <f t="shared" si="1"/>
        <v>+1, 40, 0,</v>
      </c>
    </row>
    <row r="169" ht="12.75" customHeight="1">
      <c r="A169" s="1" t="s">
        <v>2541</v>
      </c>
      <c r="B169" s="1" t="str">
        <f t="shared" si="1"/>
        <v>7, # 20%</v>
      </c>
    </row>
    <row r="170" ht="12.75" customHeight="1">
      <c r="A170" s="1" t="s">
        <v>443</v>
      </c>
      <c r="B170" s="1" t="str">
        <f t="shared" si="1"/>
        <v>51, 56, NOHTYP</v>
      </c>
    </row>
    <row r="171" ht="12.75" customHeight="1">
      <c r="A171" s="1" t="s">
        <v>444</v>
      </c>
      <c r="B171" s="1" t="str">
        <f t="shared" si="1"/>
        <v>+51, 56, CROBAT</v>
      </c>
    </row>
    <row r="172" ht="12.75" customHeight="1">
      <c r="A172" s="2"/>
      <c r="B172" s="1" t="str">
        <f t="shared" si="1"/>
        <v/>
      </c>
    </row>
    <row r="173" ht="12.75" customHeight="1">
      <c r="A173" s="1" t="s">
        <v>360</v>
      </c>
      <c r="B173" s="1" t="str">
        <f t="shared" si="1"/>
        <v># 10%</v>
      </c>
    </row>
    <row r="174" ht="12.75" customHeight="1">
      <c r="A174" s="1" t="s">
        <v>445</v>
      </c>
      <c r="B174" s="1" t="str">
        <f t="shared" si="1"/>
        <v>+51, 56, MACHAMP</v>
      </c>
    </row>
    <row r="175" ht="12.75" customHeight="1">
      <c r="A175" s="1" t="s">
        <v>446</v>
      </c>
      <c r="B175" s="1" t="str">
        <f t="shared" si="1"/>
        <v>+51, 56, GOLEM</v>
      </c>
    </row>
    <row r="176" ht="12.75" customHeight="1">
      <c r="A176" s="1" t="s">
        <v>447</v>
      </c>
      <c r="B176" s="1" t="str">
        <f t="shared" si="1"/>
        <v>+53, 57, ADNOKANA</v>
      </c>
    </row>
    <row r="177" ht="12.75" customHeight="1">
      <c r="A177" s="1" t="s">
        <v>448</v>
      </c>
      <c r="B177" s="1" t="str">
        <f t="shared" si="1"/>
        <v>+53, 57, POLABAT</v>
      </c>
    </row>
    <row r="178" ht="12.75" customHeight="1">
      <c r="A178" s="2"/>
      <c r="B178" s="1" t="str">
        <f t="shared" si="1"/>
        <v/>
      </c>
    </row>
    <row r="179" ht="12.75" customHeight="1">
      <c r="A179" s="1" t="s">
        <v>361</v>
      </c>
      <c r="B179" s="1" t="str">
        <f t="shared" si="1"/>
        <v># 5%</v>
      </c>
    </row>
    <row r="180" ht="12.75" customHeight="1">
      <c r="A180" s="1" t="s">
        <v>449</v>
      </c>
      <c r="B180" s="1" t="str">
        <f t="shared" si="1"/>
        <v>+53, 57, MACHULK</v>
      </c>
    </row>
    <row r="181" ht="12.75" customHeight="1">
      <c r="A181" s="1" t="s">
        <v>450</v>
      </c>
      <c r="B181" s="1" t="str">
        <f t="shared" si="1"/>
        <v>+53, 57, RHYMARKABL</v>
      </c>
    </row>
    <row r="182" ht="12.75" customHeight="1">
      <c r="A182" s="2"/>
      <c r="B182" s="1" t="str">
        <f t="shared" si="1"/>
        <v/>
      </c>
    </row>
    <row r="183" ht="12.75" customHeight="1">
      <c r="A183" s="1" t="s">
        <v>362</v>
      </c>
      <c r="B183" s="1" t="str">
        <f t="shared" si="1"/>
        <v># 4%</v>
      </c>
    </row>
    <row r="184" ht="12.75" customHeight="1">
      <c r="A184" s="1" t="s">
        <v>451</v>
      </c>
      <c r="B184" s="1" t="str">
        <f t="shared" si="1"/>
        <v>+55, 57, PLATNIX</v>
      </c>
    </row>
    <row r="185" ht="12.75" customHeight="1">
      <c r="A185" s="1" t="s">
        <v>452</v>
      </c>
      <c r="B185" s="1" t="str">
        <f t="shared" si="1"/>
        <v>+55, 57, SLAGOLEM</v>
      </c>
    </row>
    <row r="186" ht="12.75" customHeight="1">
      <c r="A186" s="2"/>
      <c r="B186" s="1" t="str">
        <f t="shared" si="1"/>
        <v/>
      </c>
    </row>
    <row r="187" ht="12.75" customHeight="1">
      <c r="A187" s="1" t="s">
        <v>363</v>
      </c>
      <c r="B187" s="1" t="str">
        <f t="shared" si="1"/>
        <v># 1%</v>
      </c>
    </row>
    <row r="188" ht="12.75" customHeight="1">
      <c r="A188" s="1" t="s">
        <v>456</v>
      </c>
      <c r="B188" s="1" t="str">
        <f t="shared" si="1"/>
        <v>+59, 61, MOLTREM</v>
      </c>
    </row>
    <row r="189" ht="12.75" customHeight="1">
      <c r="A189" s="1" t="s">
        <v>2558</v>
      </c>
      <c r="B189" s="1" t="str">
        <f t="shared" si="1"/>
        <v>+59, 61, FERODILLO , &lt;null&gt;, &lt;null&gt;, &lt;null&gt;</v>
      </c>
    </row>
    <row r="190" ht="12.75" customHeight="1">
      <c r="A190" s="2"/>
      <c r="B190" s="1" t="str">
        <f t="shared" si="1"/>
        <v/>
      </c>
    </row>
    <row r="191" ht="12.75" customHeight="1">
      <c r="A191" s="1" t="s">
        <v>2539</v>
      </c>
      <c r="B191" s="1" t="str">
        <f t="shared" si="1"/>
        <v>NEW ROUTE</v>
      </c>
    </row>
    <row r="192" ht="12.75" customHeight="1">
      <c r="A192" s="1" t="s">
        <v>2559</v>
      </c>
      <c r="B192" s="1" t="str">
        <f t="shared" si="1"/>
        <v>+1, 41, 0,</v>
      </c>
    </row>
    <row r="193" ht="12.75" customHeight="1">
      <c r="A193" s="1" t="s">
        <v>2541</v>
      </c>
      <c r="B193" s="1" t="str">
        <f t="shared" si="1"/>
        <v>7, # 20%</v>
      </c>
    </row>
    <row r="194" ht="12.75" customHeight="1">
      <c r="A194" s="1" t="s">
        <v>443</v>
      </c>
      <c r="B194" s="1" t="str">
        <f t="shared" si="1"/>
        <v>51, 56, NOHTYP</v>
      </c>
    </row>
    <row r="195" ht="12.75" customHeight="1">
      <c r="A195" s="1" t="s">
        <v>444</v>
      </c>
      <c r="B195" s="1" t="str">
        <f t="shared" si="1"/>
        <v>+51, 56, CROBAT</v>
      </c>
    </row>
    <row r="196" ht="12.75" customHeight="1">
      <c r="A196" s="2"/>
      <c r="B196" s="1" t="str">
        <f t="shared" si="1"/>
        <v/>
      </c>
    </row>
    <row r="197" ht="12.75" customHeight="1">
      <c r="A197" s="1" t="s">
        <v>360</v>
      </c>
      <c r="B197" s="1" t="str">
        <f t="shared" si="1"/>
        <v># 10%</v>
      </c>
    </row>
    <row r="198" ht="12.75" customHeight="1">
      <c r="A198" s="1" t="s">
        <v>445</v>
      </c>
      <c r="B198" s="1" t="str">
        <f t="shared" si="1"/>
        <v>+51, 56, MACHAMP</v>
      </c>
    </row>
    <row r="199" ht="12.75" customHeight="1">
      <c r="A199" s="1" t="s">
        <v>446</v>
      </c>
      <c r="B199" s="1" t="str">
        <f t="shared" si="1"/>
        <v>+51, 56, GOLEM</v>
      </c>
    </row>
    <row r="200" ht="12.75" customHeight="1">
      <c r="A200" s="1" t="s">
        <v>447</v>
      </c>
      <c r="B200" s="1" t="str">
        <f t="shared" si="1"/>
        <v>+53, 57, ADNOKANA</v>
      </c>
    </row>
    <row r="201" ht="12.75" customHeight="1">
      <c r="A201" s="1" t="s">
        <v>448</v>
      </c>
      <c r="B201" s="1" t="str">
        <f t="shared" si="1"/>
        <v>+53, 57, POLABAT</v>
      </c>
    </row>
    <row r="202" ht="12.75" customHeight="1">
      <c r="A202" s="2"/>
      <c r="B202" s="1" t="str">
        <f t="shared" si="1"/>
        <v/>
      </c>
    </row>
    <row r="203" ht="12.75" customHeight="1">
      <c r="A203" s="1" t="s">
        <v>361</v>
      </c>
      <c r="B203" s="1" t="str">
        <f t="shared" si="1"/>
        <v># 5%</v>
      </c>
    </row>
    <row r="204" ht="12.75" customHeight="1">
      <c r="A204" s="1" t="s">
        <v>449</v>
      </c>
      <c r="B204" s="1" t="str">
        <f t="shared" si="1"/>
        <v>+53, 57, MACHULK</v>
      </c>
    </row>
    <row r="205" ht="12.75" customHeight="1">
      <c r="A205" s="1" t="s">
        <v>450</v>
      </c>
      <c r="B205" s="1" t="str">
        <f t="shared" si="1"/>
        <v>+53, 57, RHYMARKABL</v>
      </c>
    </row>
    <row r="206" ht="12.75" customHeight="1">
      <c r="A206" s="2"/>
      <c r="B206" s="1" t="str">
        <f t="shared" si="1"/>
        <v/>
      </c>
    </row>
    <row r="207" ht="12.75" customHeight="1">
      <c r="A207" s="1" t="s">
        <v>362</v>
      </c>
      <c r="B207" s="1" t="str">
        <f t="shared" si="1"/>
        <v># 4%</v>
      </c>
    </row>
    <row r="208" ht="12.75" customHeight="1">
      <c r="A208" s="1" t="s">
        <v>451</v>
      </c>
      <c r="B208" s="1" t="str">
        <f t="shared" si="1"/>
        <v>+55, 57, PLATNIX</v>
      </c>
    </row>
    <row r="209" ht="12.75" customHeight="1">
      <c r="A209" s="1" t="s">
        <v>452</v>
      </c>
      <c r="B209" s="1" t="str">
        <f t="shared" si="1"/>
        <v>+55, 57, SLAGOLEM</v>
      </c>
    </row>
    <row r="210" ht="12.75" customHeight="1">
      <c r="A210" s="2"/>
      <c r="B210" s="1" t="str">
        <f t="shared" si="1"/>
        <v/>
      </c>
    </row>
    <row r="211" ht="12.75" customHeight="1">
      <c r="A211" s="1" t="s">
        <v>363</v>
      </c>
      <c r="B211" s="1" t="str">
        <f t="shared" si="1"/>
        <v># 1%</v>
      </c>
    </row>
    <row r="212" ht="12.75" customHeight="1">
      <c r="A212" s="1" t="s">
        <v>459</v>
      </c>
      <c r="B212" s="1" t="str">
        <f t="shared" si="1"/>
        <v>+60, 62, MOLTREM</v>
      </c>
    </row>
    <row r="213" ht="12.75" customHeight="1">
      <c r="A213" s="1" t="s">
        <v>2560</v>
      </c>
      <c r="B213" s="1" t="str">
        <f t="shared" si="1"/>
        <v>+60, 62, CLAYMOR , &lt;null&gt;, &lt;null&gt;, &lt;null&gt;</v>
      </c>
    </row>
    <row r="214" ht="12.75" customHeight="1">
      <c r="A214" s="2"/>
      <c r="B214" s="1" t="str">
        <f t="shared" si="1"/>
        <v/>
      </c>
    </row>
    <row r="215" ht="12.75" customHeight="1">
      <c r="A215" s="1" t="s">
        <v>2539</v>
      </c>
      <c r="B215" s="1" t="str">
        <f t="shared" si="1"/>
        <v>NEW ROUTE</v>
      </c>
    </row>
    <row r="216" ht="12.75" customHeight="1">
      <c r="A216" s="1" t="s">
        <v>2561</v>
      </c>
      <c r="B216" s="1" t="str">
        <f t="shared" si="1"/>
        <v>+1, 59, 0,</v>
      </c>
    </row>
    <row r="217" ht="12.75" customHeight="1">
      <c r="A217" s="1" t="s">
        <v>2541</v>
      </c>
      <c r="B217" s="1" t="str">
        <f t="shared" si="1"/>
        <v>7, # 20%</v>
      </c>
    </row>
    <row r="218" ht="12.75" customHeight="1">
      <c r="A218" s="1" t="s">
        <v>462</v>
      </c>
      <c r="B218" s="1" t="str">
        <f t="shared" si="1"/>
        <v>40, 44, RATTCHET</v>
      </c>
    </row>
    <row r="219" ht="12.75" customHeight="1">
      <c r="A219" s="1" t="s">
        <v>463</v>
      </c>
      <c r="B219" s="1" t="str">
        <f t="shared" si="1"/>
        <v>+40, 44, NINETALES</v>
      </c>
    </row>
    <row r="220" ht="12.75" customHeight="1">
      <c r="A220" s="2"/>
      <c r="B220" s="1" t="str">
        <f t="shared" si="1"/>
        <v/>
      </c>
    </row>
    <row r="221" ht="12.75" customHeight="1">
      <c r="A221" s="1" t="s">
        <v>360</v>
      </c>
      <c r="B221" s="1" t="str">
        <f t="shared" si="1"/>
        <v># 10%</v>
      </c>
    </row>
    <row r="222" ht="12.75" customHeight="1">
      <c r="A222" s="1" t="s">
        <v>464</v>
      </c>
      <c r="B222" s="1" t="str">
        <f t="shared" si="1"/>
        <v>+41, 42, ARCANINE</v>
      </c>
    </row>
    <row r="223" ht="12.75" customHeight="1">
      <c r="A223" s="1" t="s">
        <v>465</v>
      </c>
      <c r="B223" s="1" t="str">
        <f t="shared" si="1"/>
        <v>+43, 44, ARCANINE</v>
      </c>
    </row>
    <row r="224" ht="12.75" customHeight="1">
      <c r="A224" s="1" t="s">
        <v>466</v>
      </c>
      <c r="B224" s="1" t="str">
        <f t="shared" si="1"/>
        <v>+42, 44, WEEZING</v>
      </c>
    </row>
    <row r="225" ht="12.75" customHeight="1">
      <c r="A225" s="1" t="s">
        <v>467</v>
      </c>
      <c r="B225" s="1" t="str">
        <f t="shared" si="1"/>
        <v>+42, 44, MUK</v>
      </c>
    </row>
    <row r="226" ht="12.75" customHeight="1">
      <c r="A226" s="2"/>
      <c r="B226" s="1" t="str">
        <f t="shared" si="1"/>
        <v/>
      </c>
    </row>
    <row r="227" ht="12.75" customHeight="1">
      <c r="A227" s="1" t="s">
        <v>361</v>
      </c>
      <c r="B227" s="1" t="str">
        <f t="shared" si="1"/>
        <v># 5%</v>
      </c>
    </row>
    <row r="228" ht="12.75" customHeight="1">
      <c r="A228" s="1" t="s">
        <v>468</v>
      </c>
      <c r="B228" s="1" t="str">
        <f t="shared" si="1"/>
        <v>+43, 45, SINGESHA</v>
      </c>
    </row>
    <row r="229" ht="12.75" customHeight="1">
      <c r="A229" s="1" t="s">
        <v>469</v>
      </c>
      <c r="B229" s="1" t="str">
        <f t="shared" si="1"/>
        <v>+43, 45, SPIRITALES</v>
      </c>
    </row>
    <row r="230" ht="12.75" customHeight="1">
      <c r="A230" s="2"/>
      <c r="B230" s="1" t="str">
        <f t="shared" si="1"/>
        <v/>
      </c>
    </row>
    <row r="231" ht="12.75" customHeight="1">
      <c r="A231" s="1" t="s">
        <v>362</v>
      </c>
      <c r="B231" s="1" t="str">
        <f t="shared" si="1"/>
        <v># 4%</v>
      </c>
    </row>
    <row r="232" ht="12.75" customHeight="1">
      <c r="A232" s="1" t="s">
        <v>470</v>
      </c>
      <c r="B232" s="1" t="str">
        <f t="shared" si="1"/>
        <v>+45, 46, GUNK</v>
      </c>
    </row>
    <row r="233" ht="12.75" customHeight="1">
      <c r="A233" s="1" t="s">
        <v>471</v>
      </c>
      <c r="B233" s="1" t="str">
        <f t="shared" si="1"/>
        <v>+45, 46, HEEVING</v>
      </c>
    </row>
    <row r="234" ht="12.75" customHeight="1">
      <c r="A234" s="2"/>
      <c r="B234" s="1" t="str">
        <f t="shared" si="1"/>
        <v/>
      </c>
    </row>
    <row r="235" ht="12.75" customHeight="1">
      <c r="A235" s="1" t="s">
        <v>363</v>
      </c>
      <c r="B235" s="1" t="str">
        <f t="shared" si="1"/>
        <v># 1%</v>
      </c>
    </row>
    <row r="236" ht="12.75" customHeight="1">
      <c r="A236" s="1" t="s">
        <v>472</v>
      </c>
      <c r="B236" s="1" t="str">
        <f t="shared" si="1"/>
        <v>+44, 47, RATTARULE</v>
      </c>
    </row>
    <row r="237" ht="12.75" customHeight="1">
      <c r="A237" s="1" t="s">
        <v>2562</v>
      </c>
      <c r="B237" s="1" t="str">
        <f t="shared" si="1"/>
        <v>+20, 25, CHARMANDER , &lt;null&gt;, &lt;null&gt;, &lt;null&gt;</v>
      </c>
    </row>
    <row r="238" ht="12.75" customHeight="1">
      <c r="A238" s="2"/>
      <c r="B238" s="1" t="str">
        <f t="shared" si="1"/>
        <v/>
      </c>
    </row>
    <row r="239" ht="12.75" customHeight="1">
      <c r="A239" s="1" t="s">
        <v>2539</v>
      </c>
      <c r="B239" s="1" t="str">
        <f t="shared" si="1"/>
        <v>NEW ROUTE</v>
      </c>
    </row>
    <row r="240" ht="12.75" customHeight="1">
      <c r="A240" s="1" t="s">
        <v>2563</v>
      </c>
      <c r="B240" s="1" t="str">
        <f t="shared" si="1"/>
        <v>+1, 60, 0,</v>
      </c>
    </row>
    <row r="241" ht="12.75" customHeight="1">
      <c r="A241" s="1" t="s">
        <v>2541</v>
      </c>
      <c r="B241" s="1" t="str">
        <f t="shared" si="1"/>
        <v>7, # 20%</v>
      </c>
    </row>
    <row r="242" ht="12.75" customHeight="1">
      <c r="A242" s="1" t="s">
        <v>462</v>
      </c>
      <c r="B242" s="1" t="str">
        <f t="shared" si="1"/>
        <v>40, 44, RATTCHET</v>
      </c>
    </row>
    <row r="243" ht="12.75" customHeight="1">
      <c r="A243" s="1" t="s">
        <v>463</v>
      </c>
      <c r="B243" s="1" t="str">
        <f t="shared" si="1"/>
        <v>+40, 44, NINETALES</v>
      </c>
    </row>
    <row r="244" ht="12.75" customHeight="1">
      <c r="A244" s="2"/>
      <c r="B244" s="1" t="str">
        <f t="shared" si="1"/>
        <v/>
      </c>
    </row>
    <row r="245" ht="12.75" customHeight="1">
      <c r="A245" s="1" t="s">
        <v>360</v>
      </c>
      <c r="B245" s="1" t="str">
        <f t="shared" si="1"/>
        <v># 10%</v>
      </c>
    </row>
    <row r="246" ht="12.75" customHeight="1">
      <c r="A246" s="1" t="s">
        <v>464</v>
      </c>
      <c r="B246" s="1" t="str">
        <f t="shared" si="1"/>
        <v>+41, 42, ARCANINE</v>
      </c>
    </row>
    <row r="247" ht="12.75" customHeight="1">
      <c r="A247" s="1" t="s">
        <v>465</v>
      </c>
      <c r="B247" s="1" t="str">
        <f t="shared" si="1"/>
        <v>+43, 44, ARCANINE</v>
      </c>
    </row>
    <row r="248" ht="12.75" customHeight="1">
      <c r="A248" s="1" t="s">
        <v>466</v>
      </c>
      <c r="B248" s="1" t="str">
        <f t="shared" si="1"/>
        <v>+42, 44, WEEZING</v>
      </c>
    </row>
    <row r="249" ht="12.75" customHeight="1">
      <c r="A249" s="1" t="s">
        <v>467</v>
      </c>
      <c r="B249" s="1" t="str">
        <f t="shared" si="1"/>
        <v>+42, 44, MUK</v>
      </c>
    </row>
    <row r="250" ht="12.75" customHeight="1">
      <c r="A250" s="2"/>
      <c r="B250" s="1" t="str">
        <f t="shared" si="1"/>
        <v/>
      </c>
    </row>
    <row r="251" ht="12.75" customHeight="1">
      <c r="A251" s="1" t="s">
        <v>361</v>
      </c>
      <c r="B251" s="1" t="str">
        <f t="shared" si="1"/>
        <v># 5%</v>
      </c>
    </row>
    <row r="252" ht="12.75" customHeight="1">
      <c r="A252" s="1" t="s">
        <v>468</v>
      </c>
      <c r="B252" s="1" t="str">
        <f t="shared" si="1"/>
        <v>+43, 45, SINGESHA</v>
      </c>
    </row>
    <row r="253" ht="12.75" customHeight="1">
      <c r="A253" s="1" t="s">
        <v>469</v>
      </c>
      <c r="B253" s="1" t="str">
        <f t="shared" si="1"/>
        <v>+43, 45, SPIRITALES</v>
      </c>
    </row>
    <row r="254" ht="12.75" customHeight="1">
      <c r="A254" s="2"/>
      <c r="B254" s="1" t="str">
        <f t="shared" si="1"/>
        <v/>
      </c>
    </row>
    <row r="255" ht="12.75" customHeight="1">
      <c r="A255" s="1" t="s">
        <v>362</v>
      </c>
      <c r="B255" s="1" t="str">
        <f t="shared" si="1"/>
        <v># 4%</v>
      </c>
    </row>
    <row r="256" ht="12.75" customHeight="1">
      <c r="A256" s="1" t="s">
        <v>470</v>
      </c>
      <c r="B256" s="1" t="str">
        <f t="shared" si="1"/>
        <v>+45, 46, GUNK</v>
      </c>
    </row>
    <row r="257" ht="12.75" customHeight="1">
      <c r="A257" s="1" t="s">
        <v>471</v>
      </c>
      <c r="B257" s="1" t="str">
        <f t="shared" si="1"/>
        <v>+45, 46, HEEVING</v>
      </c>
    </row>
    <row r="258" ht="12.75" customHeight="1">
      <c r="A258" s="2"/>
      <c r="B258" s="1" t="str">
        <f t="shared" si="1"/>
        <v/>
      </c>
    </row>
    <row r="259" ht="12.75" customHeight="1">
      <c r="A259" s="1" t="s">
        <v>363</v>
      </c>
      <c r="B259" s="1" t="str">
        <f t="shared" si="1"/>
        <v># 1%</v>
      </c>
    </row>
    <row r="260" ht="12.75" customHeight="1">
      <c r="A260" s="1" t="s">
        <v>472</v>
      </c>
      <c r="B260" s="1" t="str">
        <f t="shared" si="1"/>
        <v>+44, 47, RATTARULE</v>
      </c>
    </row>
    <row r="261" ht="12.75" customHeight="1">
      <c r="A261" s="1" t="s">
        <v>2562</v>
      </c>
      <c r="B261" s="1" t="str">
        <f t="shared" si="1"/>
        <v>+20, 25, CHARMANDER , &lt;null&gt;, &lt;null&gt;, &lt;null&gt;</v>
      </c>
    </row>
    <row r="262" ht="12.75" customHeight="1">
      <c r="A262" s="2"/>
      <c r="B262" s="1" t="str">
        <f t="shared" si="1"/>
        <v/>
      </c>
    </row>
    <row r="263" ht="12.75" customHeight="1">
      <c r="A263" s="1" t="s">
        <v>2539</v>
      </c>
      <c r="B263" s="1" t="str">
        <f t="shared" si="1"/>
        <v>NEW ROUTE</v>
      </c>
    </row>
    <row r="264" ht="12.75" customHeight="1">
      <c r="A264" s="1" t="s">
        <v>2564</v>
      </c>
      <c r="B264" s="1" t="str">
        <f t="shared" si="1"/>
        <v>+1, 61, 0,</v>
      </c>
    </row>
    <row r="265" ht="12.75" customHeight="1">
      <c r="A265" s="1" t="s">
        <v>2541</v>
      </c>
      <c r="B265" s="1" t="str">
        <f t="shared" si="1"/>
        <v>7, # 20%</v>
      </c>
    </row>
    <row r="266" ht="12.75" customHeight="1">
      <c r="A266" s="1" t="s">
        <v>462</v>
      </c>
      <c r="B266" s="1" t="str">
        <f t="shared" si="1"/>
        <v>40, 44, RATTCHET</v>
      </c>
    </row>
    <row r="267" ht="12.75" customHeight="1">
      <c r="A267" s="1" t="s">
        <v>463</v>
      </c>
      <c r="B267" s="1" t="str">
        <f t="shared" si="1"/>
        <v>+40, 44, NINETALES</v>
      </c>
    </row>
    <row r="268" ht="12.75" customHeight="1">
      <c r="A268" s="2"/>
      <c r="B268" s="1" t="str">
        <f t="shared" si="1"/>
        <v/>
      </c>
    </row>
    <row r="269" ht="12.75" customHeight="1">
      <c r="A269" s="1" t="s">
        <v>360</v>
      </c>
      <c r="B269" s="1" t="str">
        <f t="shared" si="1"/>
        <v># 10%</v>
      </c>
    </row>
    <row r="270" ht="12.75" customHeight="1">
      <c r="A270" s="1" t="s">
        <v>464</v>
      </c>
      <c r="B270" s="1" t="str">
        <f t="shared" si="1"/>
        <v>+41, 42, ARCANINE</v>
      </c>
    </row>
    <row r="271" ht="12.75" customHeight="1">
      <c r="A271" s="1" t="s">
        <v>465</v>
      </c>
      <c r="B271" s="1" t="str">
        <f t="shared" si="1"/>
        <v>+43, 44, ARCANINE</v>
      </c>
    </row>
    <row r="272" ht="12.75" customHeight="1">
      <c r="A272" s="1" t="s">
        <v>466</v>
      </c>
      <c r="B272" s="1" t="str">
        <f t="shared" si="1"/>
        <v>+42, 44, WEEZING</v>
      </c>
    </row>
    <row r="273" ht="12.75" customHeight="1">
      <c r="A273" s="1" t="s">
        <v>467</v>
      </c>
      <c r="B273" s="1" t="str">
        <f t="shared" si="1"/>
        <v>+42, 44, MUK</v>
      </c>
    </row>
    <row r="274" ht="12.75" customHeight="1">
      <c r="A274" s="2"/>
      <c r="B274" s="1" t="str">
        <f t="shared" si="1"/>
        <v/>
      </c>
    </row>
    <row r="275" ht="12.75" customHeight="1">
      <c r="A275" s="1" t="s">
        <v>361</v>
      </c>
      <c r="B275" s="1" t="str">
        <f t="shared" si="1"/>
        <v># 5%</v>
      </c>
    </row>
    <row r="276" ht="12.75" customHeight="1">
      <c r="A276" s="1" t="s">
        <v>468</v>
      </c>
      <c r="B276" s="1" t="str">
        <f t="shared" si="1"/>
        <v>+43, 45, SINGESHA</v>
      </c>
    </row>
    <row r="277" ht="12.75" customHeight="1">
      <c r="A277" s="1" t="s">
        <v>469</v>
      </c>
      <c r="B277" s="1" t="str">
        <f t="shared" si="1"/>
        <v>+43, 45, SPIRITALES</v>
      </c>
    </row>
    <row r="278" ht="12.75" customHeight="1">
      <c r="A278" s="2"/>
      <c r="B278" s="1" t="str">
        <f t="shared" si="1"/>
        <v/>
      </c>
    </row>
    <row r="279" ht="12.75" customHeight="1">
      <c r="A279" s="1" t="s">
        <v>362</v>
      </c>
      <c r="B279" s="1" t="str">
        <f t="shared" si="1"/>
        <v># 4%</v>
      </c>
    </row>
    <row r="280" ht="12.75" customHeight="1">
      <c r="A280" s="1" t="s">
        <v>470</v>
      </c>
      <c r="B280" s="1" t="str">
        <f t="shared" si="1"/>
        <v>+45, 46, GUNK</v>
      </c>
    </row>
    <row r="281" ht="12.75" customHeight="1">
      <c r="A281" s="1" t="s">
        <v>471</v>
      </c>
      <c r="B281" s="1" t="str">
        <f t="shared" si="1"/>
        <v>+45, 46, HEEVING</v>
      </c>
    </row>
    <row r="282" ht="12.75" customHeight="1">
      <c r="A282" s="2"/>
      <c r="B282" s="1" t="str">
        <f t="shared" si="1"/>
        <v/>
      </c>
    </row>
    <row r="283" ht="12.75" customHeight="1">
      <c r="A283" s="1" t="s">
        <v>363</v>
      </c>
      <c r="B283" s="1" t="str">
        <f t="shared" si="1"/>
        <v># 1%</v>
      </c>
    </row>
    <row r="284" ht="12.75" customHeight="1">
      <c r="A284" s="1" t="s">
        <v>472</v>
      </c>
      <c r="B284" s="1" t="str">
        <f t="shared" si="1"/>
        <v>+44, 47, RATTARULE</v>
      </c>
    </row>
    <row r="285" ht="12.75" customHeight="1">
      <c r="A285" s="1" t="s">
        <v>2562</v>
      </c>
      <c r="B285" s="1" t="str">
        <f t="shared" si="1"/>
        <v>+20, 25, CHARMANDER , &lt;null&gt;, &lt;null&gt;, &lt;null&gt;</v>
      </c>
    </row>
    <row r="286" ht="12.75" customHeight="1">
      <c r="A286" s="2"/>
      <c r="B286" s="1" t="str">
        <f t="shared" si="1"/>
        <v/>
      </c>
    </row>
    <row r="287" ht="12.75" customHeight="1">
      <c r="A287" s="1" t="s">
        <v>2539</v>
      </c>
      <c r="B287" s="1" t="str">
        <f t="shared" si="1"/>
        <v>NEW ROUTE</v>
      </c>
    </row>
    <row r="288" ht="12.75" customHeight="1">
      <c r="A288" s="1" t="s">
        <v>2565</v>
      </c>
      <c r="B288" s="1" t="str">
        <f t="shared" si="1"/>
        <v>+1, 62, 0,</v>
      </c>
    </row>
    <row r="289" ht="12.75" customHeight="1">
      <c r="A289" s="1" t="s">
        <v>2544</v>
      </c>
      <c r="B289" s="1" t="str">
        <f t="shared" si="1"/>
        <v>5, # 20%</v>
      </c>
    </row>
    <row r="290" ht="12.75" customHeight="1">
      <c r="A290" s="1" t="s">
        <v>462</v>
      </c>
      <c r="B290" s="1" t="str">
        <f t="shared" si="1"/>
        <v>40, 44, RATTCHET</v>
      </c>
    </row>
    <row r="291" ht="12.75" customHeight="1">
      <c r="A291" s="1" t="s">
        <v>463</v>
      </c>
      <c r="B291" s="1" t="str">
        <f t="shared" si="1"/>
        <v>+40, 44, NINETALES</v>
      </c>
    </row>
    <row r="292" ht="12.75" customHeight="1">
      <c r="A292" s="2"/>
      <c r="B292" s="1" t="str">
        <f t="shared" si="1"/>
        <v/>
      </c>
    </row>
    <row r="293" ht="12.75" customHeight="1">
      <c r="A293" s="1" t="s">
        <v>360</v>
      </c>
      <c r="B293" s="1" t="str">
        <f t="shared" si="1"/>
        <v># 10%</v>
      </c>
    </row>
    <row r="294" ht="12.75" customHeight="1">
      <c r="A294" s="1" t="s">
        <v>464</v>
      </c>
      <c r="B294" s="1" t="str">
        <f t="shared" si="1"/>
        <v>+41, 42, ARCANINE</v>
      </c>
    </row>
    <row r="295" ht="12.75" customHeight="1">
      <c r="A295" s="1" t="s">
        <v>465</v>
      </c>
      <c r="B295" s="1" t="str">
        <f t="shared" si="1"/>
        <v>+43, 44, ARCANINE</v>
      </c>
    </row>
    <row r="296" ht="12.75" customHeight="1">
      <c r="A296" s="1" t="s">
        <v>466</v>
      </c>
      <c r="B296" s="1" t="str">
        <f t="shared" si="1"/>
        <v>+42, 44, WEEZING</v>
      </c>
    </row>
    <row r="297" ht="12.75" customHeight="1">
      <c r="A297" s="1" t="s">
        <v>467</v>
      </c>
      <c r="B297" s="1" t="str">
        <f t="shared" si="1"/>
        <v>+42, 44, MUK</v>
      </c>
    </row>
    <row r="298" ht="12.75" customHeight="1">
      <c r="A298" s="2"/>
      <c r="B298" s="1" t="str">
        <f t="shared" si="1"/>
        <v/>
      </c>
    </row>
    <row r="299" ht="12.75" customHeight="1">
      <c r="A299" s="1" t="s">
        <v>361</v>
      </c>
      <c r="B299" s="1" t="str">
        <f t="shared" si="1"/>
        <v># 5%</v>
      </c>
    </row>
    <row r="300" ht="12.75" customHeight="1">
      <c r="A300" s="1" t="s">
        <v>477</v>
      </c>
      <c r="B300" s="1" t="str">
        <f t="shared" si="1"/>
        <v>+43, 45, GUNK</v>
      </c>
    </row>
    <row r="301" ht="12.75" customHeight="1">
      <c r="A301" s="1" t="s">
        <v>478</v>
      </c>
      <c r="B301" s="1" t="str">
        <f t="shared" si="1"/>
        <v>+43, 45, HEEVING</v>
      </c>
    </row>
    <row r="302" ht="12.75" customHeight="1">
      <c r="A302" s="2"/>
      <c r="B302" s="1" t="str">
        <f t="shared" si="1"/>
        <v/>
      </c>
    </row>
    <row r="303" ht="12.75" customHeight="1">
      <c r="A303" s="1" t="s">
        <v>362</v>
      </c>
      <c r="B303" s="1" t="str">
        <f t="shared" si="1"/>
        <v># 4%</v>
      </c>
    </row>
    <row r="304" ht="12.75" customHeight="1">
      <c r="A304" s="1" t="s">
        <v>479</v>
      </c>
      <c r="B304" s="1" t="str">
        <f t="shared" si="1"/>
        <v>+45, 46, RATTARULE</v>
      </c>
    </row>
    <row r="305" ht="12.75" customHeight="1">
      <c r="A305" s="1" t="s">
        <v>480</v>
      </c>
      <c r="B305" s="1" t="str">
        <f t="shared" si="1"/>
        <v>+45, 46, DITTO</v>
      </c>
    </row>
    <row r="306" ht="12.75" customHeight="1">
      <c r="A306" s="2"/>
      <c r="B306" s="1" t="str">
        <f t="shared" si="1"/>
        <v/>
      </c>
    </row>
    <row r="307" ht="12.75" customHeight="1">
      <c r="A307" s="1" t="s">
        <v>363</v>
      </c>
      <c r="B307" s="1" t="str">
        <f t="shared" si="1"/>
        <v># 1%</v>
      </c>
    </row>
    <row r="308" ht="12.75" customHeight="1">
      <c r="A308" s="1" t="s">
        <v>481</v>
      </c>
      <c r="B308" s="1" t="str">
        <f t="shared" si="1"/>
        <v>+20, 25, KABUTO</v>
      </c>
    </row>
    <row r="309" ht="12.75" customHeight="1">
      <c r="A309" s="1" t="s">
        <v>2566</v>
      </c>
      <c r="B309" s="1" t="str">
        <f t="shared" si="1"/>
        <v>+20, 25, OMANYTE , &lt;null&gt;, &lt;null&gt;, &lt;null&gt;</v>
      </c>
    </row>
    <row r="310" ht="12.75" customHeight="1">
      <c r="A310" s="2"/>
      <c r="B310" s="1" t="str">
        <f t="shared" si="1"/>
        <v/>
      </c>
    </row>
    <row r="311" ht="12.75" customHeight="1">
      <c r="A311" s="1" t="s">
        <v>2539</v>
      </c>
      <c r="B311" s="1" t="str">
        <f t="shared" si="1"/>
        <v>NEW ROUTE</v>
      </c>
    </row>
    <row r="312" ht="12.75" customHeight="1">
      <c r="A312" s="1" t="s">
        <v>2567</v>
      </c>
      <c r="B312" s="1" t="str">
        <f t="shared" si="1"/>
        <v>+1, 63, 0,</v>
      </c>
    </row>
    <row r="313" ht="12.75" customHeight="1">
      <c r="A313" s="1" t="s">
        <v>2568</v>
      </c>
      <c r="B313" s="1" t="str">
        <f t="shared" si="1"/>
        <v>21, # 20%</v>
      </c>
    </row>
    <row r="314" ht="12.75" customHeight="1">
      <c r="A314" s="1" t="s">
        <v>484</v>
      </c>
      <c r="B314" s="1" t="str">
        <f t="shared" si="1"/>
        <v>35, 40, NIDOKING</v>
      </c>
    </row>
    <row r="315" ht="12.75" customHeight="1">
      <c r="A315" s="1" t="s">
        <v>485</v>
      </c>
      <c r="B315" s="1" t="str">
        <f t="shared" si="1"/>
        <v>+35, 40, NIDOQUEEN</v>
      </c>
    </row>
    <row r="316" ht="12.75" customHeight="1">
      <c r="A316" s="2"/>
      <c r="B316" s="1" t="str">
        <f t="shared" si="1"/>
        <v/>
      </c>
    </row>
    <row r="317" ht="12.75" customHeight="1">
      <c r="A317" s="1" t="s">
        <v>360</v>
      </c>
      <c r="B317" s="1" t="str">
        <f t="shared" si="1"/>
        <v># 10%</v>
      </c>
    </row>
    <row r="318" ht="12.75" customHeight="1">
      <c r="A318" s="1" t="s">
        <v>486</v>
      </c>
      <c r="B318" s="1" t="str">
        <f t="shared" si="1"/>
        <v>+36, 41, PARASECT</v>
      </c>
    </row>
    <row r="319" ht="12.75" customHeight="1">
      <c r="A319" s="1" t="s">
        <v>487</v>
      </c>
      <c r="B319" s="1" t="str">
        <f t="shared" si="1"/>
        <v>+36, 41, VENOMOTH</v>
      </c>
    </row>
    <row r="320" ht="12.75" customHeight="1">
      <c r="A320" s="1" t="s">
        <v>488</v>
      </c>
      <c r="B320" s="1" t="str">
        <f t="shared" si="1"/>
        <v>+36, 41, EXEGGUTOR</v>
      </c>
    </row>
    <row r="321" ht="12.75" customHeight="1">
      <c r="A321" s="1" t="s">
        <v>489</v>
      </c>
      <c r="B321" s="1" t="str">
        <f t="shared" si="1"/>
        <v>+36, 41, RHYDON</v>
      </c>
    </row>
    <row r="322" ht="12.75" customHeight="1">
      <c r="A322" s="2"/>
      <c r="B322" s="1" t="str">
        <f t="shared" si="1"/>
        <v/>
      </c>
    </row>
    <row r="323" ht="12.75" customHeight="1">
      <c r="A323" s="1" t="s">
        <v>361</v>
      </c>
      <c r="B323" s="1" t="str">
        <f t="shared" si="1"/>
        <v># 5%</v>
      </c>
    </row>
    <row r="324" ht="12.75" customHeight="1">
      <c r="A324" s="1" t="s">
        <v>490</v>
      </c>
      <c r="B324" s="1" t="str">
        <f t="shared" si="1"/>
        <v>+37, 39, SCIZOR</v>
      </c>
    </row>
    <row r="325" ht="12.75" customHeight="1">
      <c r="A325" s="1" t="s">
        <v>491</v>
      </c>
      <c r="B325" s="1" t="str">
        <f t="shared" si="1"/>
        <v>+37, 39, PINSIRIOR</v>
      </c>
    </row>
    <row r="326" ht="12.75" customHeight="1">
      <c r="A326" s="2"/>
      <c r="B326" s="1" t="str">
        <f t="shared" si="1"/>
        <v/>
      </c>
    </row>
    <row r="327" ht="12.75" customHeight="1">
      <c r="A327" s="1" t="s">
        <v>362</v>
      </c>
      <c r="B327" s="1" t="str">
        <f t="shared" si="1"/>
        <v># 4%</v>
      </c>
    </row>
    <row r="328" ht="12.75" customHeight="1">
      <c r="A328" s="1" t="s">
        <v>492</v>
      </c>
      <c r="B328" s="1" t="str">
        <f t="shared" si="1"/>
        <v>+38, 42, CHANSEY</v>
      </c>
    </row>
    <row r="329" ht="12.75" customHeight="1">
      <c r="A329" s="1" t="s">
        <v>493</v>
      </c>
      <c r="B329" s="1" t="str">
        <f t="shared" si="1"/>
        <v>+38, 42, JOLTEON</v>
      </c>
    </row>
    <row r="330" ht="12.75" customHeight="1">
      <c r="A330" s="2"/>
      <c r="B330" s="1" t="str">
        <f t="shared" si="1"/>
        <v/>
      </c>
    </row>
    <row r="331" ht="12.75" customHeight="1">
      <c r="A331" s="1" t="s">
        <v>363</v>
      </c>
      <c r="B331" s="1" t="str">
        <f t="shared" si="1"/>
        <v># 1%</v>
      </c>
    </row>
    <row r="332" ht="12.75" customHeight="1">
      <c r="A332" s="1" t="s">
        <v>494</v>
      </c>
      <c r="B332" s="1" t="str">
        <f t="shared" si="1"/>
        <v>+40, 40, BLISSEY</v>
      </c>
    </row>
    <row r="333" ht="12.75" customHeight="1">
      <c r="A333" s="1" t="s">
        <v>2569</v>
      </c>
      <c r="B333" s="1" t="str">
        <f t="shared" si="1"/>
        <v>+40, 40, RHYPERIOR</v>
      </c>
    </row>
    <row r="334" ht="12.75" customHeight="1">
      <c r="A334" s="1" t="s">
        <v>2570</v>
      </c>
      <c r="B334" s="1" t="str">
        <f t="shared" si="1"/>
        <v>2, 38, 42, SLOWPOKE</v>
      </c>
    </row>
    <row r="335" ht="12.75" customHeight="1">
      <c r="A335" s="1" t="s">
        <v>496</v>
      </c>
      <c r="B335" s="1" t="str">
        <f t="shared" si="1"/>
        <v>+40, 42, PSYDUCK</v>
      </c>
    </row>
    <row r="336" ht="12.75" customHeight="1">
      <c r="A336" s="1" t="s">
        <v>497</v>
      </c>
      <c r="B336" s="1" t="str">
        <f t="shared" si="1"/>
        <v>+42, 46, SLOWBRO</v>
      </c>
    </row>
    <row r="337" ht="12.75" customHeight="1">
      <c r="A337" s="1" t="s">
        <v>498</v>
      </c>
      <c r="B337" s="1" t="str">
        <f t="shared" si="1"/>
        <v>+42, 46, GOLDUCK</v>
      </c>
    </row>
    <row r="338" ht="12.75" customHeight="1">
      <c r="A338" s="1" t="s">
        <v>2571</v>
      </c>
      <c r="B338" s="1" t="str">
        <f t="shared" si="1"/>
        <v>+44, 48, VAPOREON</v>
      </c>
    </row>
    <row r="339" ht="12.75" customHeight="1">
      <c r="A339" s="1" t="s">
        <v>2572</v>
      </c>
      <c r="B339" s="1" t="str">
        <f t="shared" si="1"/>
        <v>20, # old rod:</v>
      </c>
    </row>
    <row r="340" ht="12.75" customHeight="1">
      <c r="A340" s="1" t="s">
        <v>500</v>
      </c>
      <c r="B340" s="1" t="str">
        <f t="shared" si="1"/>
        <v>19, 26, MAGIKARP</v>
      </c>
    </row>
    <row r="341" ht="12.75" customHeight="1">
      <c r="A341" s="1" t="s">
        <v>501</v>
      </c>
      <c r="B341" s="1" t="str">
        <f t="shared" si="1"/>
        <v>+19, 26, POLIWAG</v>
      </c>
    </row>
    <row r="342" ht="12.75" customHeight="1">
      <c r="A342" s="2"/>
      <c r="B342" s="1" t="str">
        <f t="shared" si="1"/>
        <v/>
      </c>
    </row>
    <row r="343" ht="12.75" customHeight="1">
      <c r="A343" s="1" t="s">
        <v>419</v>
      </c>
      <c r="B343" s="1" t="str">
        <f t="shared" si="1"/>
        <v># good rod:</v>
      </c>
    </row>
    <row r="344" ht="12.75" customHeight="1">
      <c r="A344" s="1" t="s">
        <v>502</v>
      </c>
      <c r="B344" s="1" t="str">
        <f t="shared" si="1"/>
        <v>+29, 33, GYARADOS</v>
      </c>
    </row>
    <row r="345" ht="12.75" customHeight="1">
      <c r="A345" s="1" t="s">
        <v>503</v>
      </c>
      <c r="B345" s="1" t="str">
        <f t="shared" si="1"/>
        <v>+30, 35, POLIWAG</v>
      </c>
    </row>
    <row r="346" ht="12.75" customHeight="1">
      <c r="A346" s="1" t="s">
        <v>504</v>
      </c>
      <c r="B346" s="1" t="str">
        <f t="shared" si="1"/>
        <v>+30, 35, GOLDEEN</v>
      </c>
    </row>
    <row r="347" ht="12.75" customHeight="1">
      <c r="A347" s="2"/>
      <c r="B347" s="1" t="str">
        <f t="shared" si="1"/>
        <v/>
      </c>
    </row>
    <row r="348" ht="12.75" customHeight="1">
      <c r="A348" s="1" t="s">
        <v>423</v>
      </c>
      <c r="B348" s="1" t="str">
        <f t="shared" si="1"/>
        <v># super rod:</v>
      </c>
    </row>
    <row r="349" ht="12.75" customHeight="1">
      <c r="A349" s="1" t="s">
        <v>505</v>
      </c>
      <c r="B349" s="1" t="str">
        <f t="shared" si="1"/>
        <v>+36, 40, POLIWHIRL</v>
      </c>
    </row>
    <row r="350" ht="12.75" customHeight="1">
      <c r="A350" s="1" t="s">
        <v>506</v>
      </c>
      <c r="B350" s="1" t="str">
        <f t="shared" si="1"/>
        <v>+36, 40, SEAKING</v>
      </c>
    </row>
    <row r="351" ht="12.75" customHeight="1">
      <c r="A351" s="1" t="s">
        <v>507</v>
      </c>
      <c r="B351" s="1" t="str">
        <f t="shared" si="1"/>
        <v>+38, 42, DRATINI</v>
      </c>
    </row>
    <row r="352" ht="12.75" customHeight="1">
      <c r="A352" s="1" t="s">
        <v>508</v>
      </c>
      <c r="B352" s="1" t="str">
        <f t="shared" si="1"/>
        <v>+38, 42, DRAGONAIR</v>
      </c>
    </row>
    <row r="353" ht="12.75" customHeight="1">
      <c r="A353" s="1" t="s">
        <v>2573</v>
      </c>
      <c r="B353" s="1" t="str">
        <f t="shared" si="1"/>
        <v>+40, 44, DRAGONITE</v>
      </c>
    </row>
    <row r="354" ht="12.75" customHeight="1">
      <c r="A354" s="1" t="s">
        <v>2539</v>
      </c>
      <c r="B354" s="1" t="str">
        <f t="shared" si="1"/>
        <v>NEW ROUTE</v>
      </c>
    </row>
    <row r="355" ht="12.75" customHeight="1">
      <c r="A355" s="1" t="s">
        <v>2574</v>
      </c>
      <c r="B355" s="1" t="str">
        <f t="shared" si="1"/>
        <v>+1, 64, 0,</v>
      </c>
    </row>
    <row r="356" ht="12.75" customHeight="1">
      <c r="A356" s="1" t="s">
        <v>2568</v>
      </c>
      <c r="B356" s="1" t="str">
        <f t="shared" si="1"/>
        <v>21, # 20%</v>
      </c>
    </row>
    <row r="357" ht="12.75" customHeight="1">
      <c r="A357" s="1" t="s">
        <v>484</v>
      </c>
      <c r="B357" s="1" t="str">
        <f t="shared" si="1"/>
        <v>35, 40, NIDOKING</v>
      </c>
    </row>
    <row r="358" ht="12.75" customHeight="1">
      <c r="A358" s="1" t="s">
        <v>485</v>
      </c>
      <c r="B358" s="1" t="str">
        <f t="shared" si="1"/>
        <v>+35, 40, NIDOQUEEN</v>
      </c>
    </row>
    <row r="359" ht="12.75" customHeight="1">
      <c r="A359" s="2"/>
      <c r="B359" s="1" t="str">
        <f t="shared" si="1"/>
        <v/>
      </c>
    </row>
    <row r="360" ht="12.75" customHeight="1">
      <c r="A360" s="1" t="s">
        <v>360</v>
      </c>
      <c r="B360" s="1" t="str">
        <f t="shared" si="1"/>
        <v># 10%</v>
      </c>
    </row>
    <row r="361" ht="12.75" customHeight="1">
      <c r="A361" s="1" t="s">
        <v>486</v>
      </c>
      <c r="B361" s="1" t="str">
        <f t="shared" si="1"/>
        <v>+36, 41, PARASECT</v>
      </c>
    </row>
    <row r="362" ht="12.75" customHeight="1">
      <c r="A362" s="1" t="s">
        <v>487</v>
      </c>
      <c r="B362" s="1" t="str">
        <f t="shared" si="1"/>
        <v>+36, 41, VENOMOTH</v>
      </c>
    </row>
    <row r="363" ht="12.75" customHeight="1">
      <c r="A363" s="1" t="s">
        <v>511</v>
      </c>
      <c r="B363" s="1" t="str">
        <f t="shared" si="1"/>
        <v>+36, 41, DODRIO</v>
      </c>
    </row>
    <row r="364" ht="12.75" customHeight="1">
      <c r="A364" s="1" t="s">
        <v>512</v>
      </c>
      <c r="B364" s="1" t="str">
        <f t="shared" si="1"/>
        <v>+36, 41, MAGMAR</v>
      </c>
    </row>
    <row r="365" ht="12.75" customHeight="1">
      <c r="A365" s="2"/>
      <c r="B365" s="1" t="str">
        <f t="shared" si="1"/>
        <v/>
      </c>
    </row>
    <row r="366" ht="12.75" customHeight="1">
      <c r="A366" s="1" t="s">
        <v>361</v>
      </c>
      <c r="B366" s="1" t="str">
        <f t="shared" si="1"/>
        <v># 5%</v>
      </c>
    </row>
    <row r="367" ht="12.75" customHeight="1">
      <c r="A367" s="1" t="s">
        <v>490</v>
      </c>
      <c r="B367" s="1" t="str">
        <f t="shared" si="1"/>
        <v>+37, 39, SCIZOR</v>
      </c>
    </row>
    <row r="368" ht="12.75" customHeight="1">
      <c r="A368" s="1" t="s">
        <v>491</v>
      </c>
      <c r="B368" s="1" t="str">
        <f t="shared" si="1"/>
        <v>+37, 39, PINSIRIOR</v>
      </c>
    </row>
    <row r="369" ht="12.75" customHeight="1">
      <c r="A369" s="2"/>
      <c r="B369" s="1" t="str">
        <f t="shared" si="1"/>
        <v/>
      </c>
    </row>
    <row r="370" ht="12.75" customHeight="1">
      <c r="A370" s="1" t="s">
        <v>362</v>
      </c>
      <c r="B370" s="1" t="str">
        <f t="shared" si="1"/>
        <v># 4%</v>
      </c>
    </row>
    <row r="371" ht="12.75" customHeight="1">
      <c r="A371" s="1" t="s">
        <v>513</v>
      </c>
      <c r="B371" s="1" t="str">
        <f t="shared" si="1"/>
        <v>+38, 42, KANGASKHAN</v>
      </c>
    </row>
    <row r="372" ht="12.75" customHeight="1">
      <c r="A372" s="1" t="s">
        <v>514</v>
      </c>
      <c r="B372" s="1" t="str">
        <f t="shared" si="1"/>
        <v>+38, 42, HITMONCHAN</v>
      </c>
    </row>
    <row r="373" ht="12.75" customHeight="1">
      <c r="A373" s="2"/>
      <c r="B373" s="1" t="str">
        <f t="shared" si="1"/>
        <v/>
      </c>
    </row>
    <row r="374" ht="12.75" customHeight="1">
      <c r="A374" s="1" t="s">
        <v>363</v>
      </c>
      <c r="B374" s="1" t="str">
        <f t="shared" si="1"/>
        <v># 1%</v>
      </c>
    </row>
    <row r="375" ht="12.75" customHeight="1">
      <c r="A375" s="1" t="s">
        <v>515</v>
      </c>
      <c r="B375" s="1" t="str">
        <f t="shared" si="1"/>
        <v>+40, 40, KANGALLOUS</v>
      </c>
    </row>
    <row r="376" ht="12.75" customHeight="1">
      <c r="A376" s="1" t="s">
        <v>2575</v>
      </c>
      <c r="B376" s="1" t="str">
        <f t="shared" si="1"/>
        <v>+40, 40, MAGMORTAR</v>
      </c>
    </row>
    <row r="377" ht="12.75" customHeight="1">
      <c r="A377" s="1" t="s">
        <v>2570</v>
      </c>
      <c r="B377" s="1" t="str">
        <f t="shared" si="1"/>
        <v>2, 38, 42, SLOWPOKE</v>
      </c>
    </row>
    <row r="378" ht="12.75" customHeight="1">
      <c r="A378" s="1" t="s">
        <v>496</v>
      </c>
      <c r="B378" s="1" t="str">
        <f t="shared" si="1"/>
        <v>+40, 42, PSYDUCK</v>
      </c>
    </row>
    <row r="379" ht="12.75" customHeight="1">
      <c r="A379" s="1" t="s">
        <v>497</v>
      </c>
      <c r="B379" s="1" t="str">
        <f t="shared" si="1"/>
        <v>+42, 46, SLOWBRO</v>
      </c>
    </row>
    <row r="380" ht="12.75" customHeight="1">
      <c r="A380" s="1" t="s">
        <v>498</v>
      </c>
      <c r="B380" s="1" t="str">
        <f t="shared" si="1"/>
        <v>+42, 46, GOLDUCK</v>
      </c>
    </row>
    <row r="381" ht="12.75" customHeight="1">
      <c r="A381" s="1" t="s">
        <v>2571</v>
      </c>
      <c r="B381" s="1" t="str">
        <f t="shared" si="1"/>
        <v>+44, 48, VAPOREON</v>
      </c>
    </row>
    <row r="382" ht="12.75" customHeight="1">
      <c r="A382" s="1" t="s">
        <v>2572</v>
      </c>
      <c r="B382" s="1" t="str">
        <f t="shared" si="1"/>
        <v>20, # old rod:</v>
      </c>
    </row>
    <row r="383" ht="12.75" customHeight="1">
      <c r="A383" s="1" t="s">
        <v>500</v>
      </c>
      <c r="B383" s="1" t="str">
        <f t="shared" si="1"/>
        <v>19, 26, MAGIKARP</v>
      </c>
    </row>
    <row r="384" ht="12.75" customHeight="1">
      <c r="A384" s="1" t="s">
        <v>501</v>
      </c>
      <c r="B384" s="1" t="str">
        <f t="shared" si="1"/>
        <v>+19, 26, POLIWAG</v>
      </c>
    </row>
    <row r="385" ht="12.75" customHeight="1">
      <c r="A385" s="2"/>
      <c r="B385" s="1" t="str">
        <f t="shared" si="1"/>
        <v/>
      </c>
    </row>
    <row r="386" ht="12.75" customHeight="1">
      <c r="A386" s="1" t="s">
        <v>419</v>
      </c>
      <c r="B386" s="1" t="str">
        <f t="shared" si="1"/>
        <v># good rod:</v>
      </c>
    </row>
    <row r="387" ht="12.75" customHeight="1">
      <c r="A387" s="1" t="s">
        <v>502</v>
      </c>
      <c r="B387" s="1" t="str">
        <f t="shared" si="1"/>
        <v>+29, 33, GYARADOS</v>
      </c>
    </row>
    <row r="388" ht="12.75" customHeight="1">
      <c r="A388" s="1" t="s">
        <v>503</v>
      </c>
      <c r="B388" s="1" t="str">
        <f t="shared" si="1"/>
        <v>+30, 35, POLIWAG</v>
      </c>
    </row>
    <row r="389" ht="12.75" customHeight="1">
      <c r="A389" s="1" t="s">
        <v>504</v>
      </c>
      <c r="B389" s="1" t="str">
        <f t="shared" si="1"/>
        <v>+30, 35, GOLDEEN</v>
      </c>
    </row>
    <row r="390" ht="12.75" customHeight="1">
      <c r="A390" s="2"/>
      <c r="B390" s="1" t="str">
        <f t="shared" si="1"/>
        <v/>
      </c>
    </row>
    <row r="391" ht="12.75" customHeight="1">
      <c r="A391" s="1" t="s">
        <v>423</v>
      </c>
      <c r="B391" s="1" t="str">
        <f t="shared" si="1"/>
        <v># super rod:</v>
      </c>
    </row>
    <row r="392" ht="12.75" customHeight="1">
      <c r="A392" s="1" t="s">
        <v>505</v>
      </c>
      <c r="B392" s="1" t="str">
        <f t="shared" si="1"/>
        <v>+36, 40, POLIWHIRL</v>
      </c>
    </row>
    <row r="393" ht="12.75" customHeight="1">
      <c r="A393" s="1" t="s">
        <v>506</v>
      </c>
      <c r="B393" s="1" t="str">
        <f t="shared" si="1"/>
        <v>+36, 40, SEAKING</v>
      </c>
    </row>
    <row r="394" ht="12.75" customHeight="1">
      <c r="A394" s="1" t="s">
        <v>507</v>
      </c>
      <c r="B394" s="1" t="str">
        <f t="shared" si="1"/>
        <v>+38, 42, DRATINI</v>
      </c>
    </row>
    <row r="395" ht="12.75" customHeight="1">
      <c r="A395" s="1" t="s">
        <v>508</v>
      </c>
      <c r="B395" s="1" t="str">
        <f t="shared" si="1"/>
        <v>+38, 42, DRAGONAIR</v>
      </c>
    </row>
    <row r="396" ht="12.75" customHeight="1">
      <c r="A396" s="1" t="s">
        <v>2573</v>
      </c>
      <c r="B396" s="1" t="str">
        <f t="shared" si="1"/>
        <v>+40, 44, DRAGONITE</v>
      </c>
    </row>
    <row r="397" ht="12.75" customHeight="1">
      <c r="A397" s="1" t="s">
        <v>2539</v>
      </c>
      <c r="B397" s="1" t="str">
        <f t="shared" si="1"/>
        <v>NEW ROUTE</v>
      </c>
    </row>
    <row r="398" ht="12.75" customHeight="1">
      <c r="A398" s="1" t="s">
        <v>2576</v>
      </c>
      <c r="B398" s="1" t="str">
        <f t="shared" si="1"/>
        <v>+1, 65, 0,</v>
      </c>
    </row>
    <row r="399" ht="12.75" customHeight="1">
      <c r="A399" s="1" t="s">
        <v>2568</v>
      </c>
      <c r="B399" s="1" t="str">
        <f t="shared" si="1"/>
        <v>21, # 20%</v>
      </c>
    </row>
    <row r="400" ht="12.75" customHeight="1">
      <c r="A400" s="1" t="s">
        <v>484</v>
      </c>
      <c r="B400" s="1" t="str">
        <f t="shared" si="1"/>
        <v>35, 40, NIDOKING</v>
      </c>
    </row>
    <row r="401" ht="12.75" customHeight="1">
      <c r="A401" s="1" t="s">
        <v>485</v>
      </c>
      <c r="B401" s="1" t="str">
        <f t="shared" si="1"/>
        <v>+35, 40, NIDOQUEEN</v>
      </c>
    </row>
    <row r="402" ht="12.75" customHeight="1">
      <c r="A402" s="2"/>
      <c r="B402" s="1" t="str">
        <f t="shared" si="1"/>
        <v/>
      </c>
    </row>
    <row r="403" ht="12.75" customHeight="1">
      <c r="A403" s="1" t="s">
        <v>360</v>
      </c>
      <c r="B403" s="1" t="str">
        <f t="shared" si="1"/>
        <v># 10%</v>
      </c>
    </row>
    <row r="404" ht="12.75" customHeight="1">
      <c r="A404" s="1" t="s">
        <v>486</v>
      </c>
      <c r="B404" s="1" t="str">
        <f t="shared" si="1"/>
        <v>+36, 41, PARASECT</v>
      </c>
    </row>
    <row r="405" ht="12.75" customHeight="1">
      <c r="A405" s="1" t="s">
        <v>487</v>
      </c>
      <c r="B405" s="1" t="str">
        <f t="shared" si="1"/>
        <v>+36, 41, VENOMOTH</v>
      </c>
    </row>
    <row r="406" ht="12.75" customHeight="1">
      <c r="A406" s="1" t="s">
        <v>518</v>
      </c>
      <c r="B406" s="1" t="str">
        <f t="shared" si="1"/>
        <v>+36, 41, CLEFABLE</v>
      </c>
    </row>
    <row r="407" ht="12.75" customHeight="1">
      <c r="A407" s="1" t="s">
        <v>519</v>
      </c>
      <c r="B407" s="1" t="str">
        <f t="shared" si="1"/>
        <v>+36, 41, ELECTABUZZ</v>
      </c>
    </row>
    <row r="408" ht="12.75" customHeight="1">
      <c r="A408" s="2"/>
      <c r="B408" s="1" t="str">
        <f t="shared" si="1"/>
        <v/>
      </c>
    </row>
    <row r="409" ht="12.75" customHeight="1">
      <c r="A409" s="1" t="s">
        <v>361</v>
      </c>
      <c r="B409" s="1" t="str">
        <f t="shared" si="1"/>
        <v># 5%</v>
      </c>
    </row>
    <row r="410" ht="12.75" customHeight="1">
      <c r="A410" s="1" t="s">
        <v>490</v>
      </c>
      <c r="B410" s="1" t="str">
        <f t="shared" si="1"/>
        <v>+37, 39, SCIZOR</v>
      </c>
    </row>
    <row r="411" ht="12.75" customHeight="1">
      <c r="A411" s="1" t="s">
        <v>491</v>
      </c>
      <c r="B411" s="1" t="str">
        <f t="shared" si="1"/>
        <v>+37, 39, PINSIRIOR</v>
      </c>
    </row>
    <row r="412" ht="12.75" customHeight="1">
      <c r="A412" s="2"/>
      <c r="B412" s="1" t="str">
        <f t="shared" si="1"/>
        <v/>
      </c>
    </row>
    <row r="413" ht="12.75" customHeight="1">
      <c r="A413" s="1" t="s">
        <v>362</v>
      </c>
      <c r="B413" s="1" t="str">
        <f t="shared" si="1"/>
        <v># 4%</v>
      </c>
    </row>
    <row r="414" ht="12.75" customHeight="1">
      <c r="A414" s="1" t="s">
        <v>520</v>
      </c>
      <c r="B414" s="1" t="str">
        <f t="shared" si="1"/>
        <v>+38, 42, TAUROS</v>
      </c>
    </row>
    <row r="415" ht="12.75" customHeight="1">
      <c r="A415" s="1" t="s">
        <v>521</v>
      </c>
      <c r="B415" s="1" t="str">
        <f t="shared" si="1"/>
        <v>+38, 42, FLAREON</v>
      </c>
    </row>
    <row r="416" ht="12.75" customHeight="1">
      <c r="A416" s="2"/>
      <c r="B416" s="1" t="str">
        <f t="shared" si="1"/>
        <v/>
      </c>
    </row>
    <row r="417" ht="12.75" customHeight="1">
      <c r="A417" s="1" t="s">
        <v>363</v>
      </c>
      <c r="B417" s="1" t="str">
        <f t="shared" si="1"/>
        <v># 1%</v>
      </c>
    </row>
    <row r="418" ht="12.75" customHeight="1">
      <c r="A418" s="1" t="s">
        <v>522</v>
      </c>
      <c r="B418" s="1" t="str">
        <f t="shared" si="1"/>
        <v>+40, 40, TAUROX</v>
      </c>
    </row>
    <row r="419" ht="12.75" customHeight="1">
      <c r="A419" s="1" t="s">
        <v>2577</v>
      </c>
      <c r="B419" s="1" t="str">
        <f t="shared" si="1"/>
        <v>+40, 40, ELECTIVIRE</v>
      </c>
    </row>
    <row r="420" ht="12.75" customHeight="1">
      <c r="A420" s="1" t="s">
        <v>2570</v>
      </c>
      <c r="B420" s="1" t="str">
        <f t="shared" si="1"/>
        <v>2, 38, 42, SLOWPOKE</v>
      </c>
    </row>
    <row r="421" ht="12.75" customHeight="1">
      <c r="A421" s="1" t="s">
        <v>496</v>
      </c>
      <c r="B421" s="1" t="str">
        <f t="shared" si="1"/>
        <v>+40, 42, PSYDUCK</v>
      </c>
    </row>
    <row r="422" ht="12.75" customHeight="1">
      <c r="A422" s="1" t="s">
        <v>497</v>
      </c>
      <c r="B422" s="1" t="str">
        <f t="shared" si="1"/>
        <v>+42, 46, SLOWBRO</v>
      </c>
    </row>
    <row r="423" ht="12.75" customHeight="1">
      <c r="A423" s="1" t="s">
        <v>498</v>
      </c>
      <c r="B423" s="1" t="str">
        <f t="shared" si="1"/>
        <v>+42, 46, GOLDUCK</v>
      </c>
    </row>
    <row r="424" ht="12.75" customHeight="1">
      <c r="A424" s="1" t="s">
        <v>2571</v>
      </c>
      <c r="B424" s="1" t="str">
        <f t="shared" si="1"/>
        <v>+44, 48, VAPOREON</v>
      </c>
    </row>
    <row r="425" ht="12.75" customHeight="1">
      <c r="A425" s="1" t="s">
        <v>2572</v>
      </c>
      <c r="B425" s="1" t="str">
        <f t="shared" si="1"/>
        <v>20, # old rod:</v>
      </c>
    </row>
    <row r="426" ht="12.75" customHeight="1">
      <c r="A426" s="1" t="s">
        <v>500</v>
      </c>
      <c r="B426" s="1" t="str">
        <f t="shared" si="1"/>
        <v>19, 26, MAGIKARP</v>
      </c>
    </row>
    <row r="427" ht="12.75" customHeight="1">
      <c r="A427" s="1" t="s">
        <v>501</v>
      </c>
      <c r="B427" s="1" t="str">
        <f t="shared" si="1"/>
        <v>+19, 26, POLIWAG</v>
      </c>
    </row>
    <row r="428" ht="12.75" customHeight="1">
      <c r="A428" s="2"/>
      <c r="B428" s="1" t="str">
        <f t="shared" si="1"/>
        <v/>
      </c>
    </row>
    <row r="429" ht="12.75" customHeight="1">
      <c r="A429" s="1" t="s">
        <v>419</v>
      </c>
      <c r="B429" s="1" t="str">
        <f t="shared" si="1"/>
        <v># good rod:</v>
      </c>
    </row>
    <row r="430" ht="12.75" customHeight="1">
      <c r="A430" s="1" t="s">
        <v>502</v>
      </c>
      <c r="B430" s="1" t="str">
        <f t="shared" si="1"/>
        <v>+29, 33, GYARADOS</v>
      </c>
    </row>
    <row r="431" ht="12.75" customHeight="1">
      <c r="A431" s="1" t="s">
        <v>503</v>
      </c>
      <c r="B431" s="1" t="str">
        <f t="shared" si="1"/>
        <v>+30, 35, POLIWAG</v>
      </c>
    </row>
    <row r="432" ht="12.75" customHeight="1">
      <c r="A432" s="1" t="s">
        <v>504</v>
      </c>
      <c r="B432" s="1" t="str">
        <f t="shared" si="1"/>
        <v>+30, 35, GOLDEEN</v>
      </c>
    </row>
    <row r="433" ht="12.75" customHeight="1">
      <c r="A433" s="2"/>
      <c r="B433" s="1" t="str">
        <f t="shared" si="1"/>
        <v/>
      </c>
    </row>
    <row r="434" ht="12.75" customHeight="1">
      <c r="A434" s="1" t="s">
        <v>423</v>
      </c>
      <c r="B434" s="1" t="str">
        <f t="shared" si="1"/>
        <v># super rod:</v>
      </c>
    </row>
    <row r="435" ht="12.75" customHeight="1">
      <c r="A435" s="1" t="s">
        <v>505</v>
      </c>
      <c r="B435" s="1" t="str">
        <f t="shared" si="1"/>
        <v>+36, 40, POLIWHIRL</v>
      </c>
    </row>
    <row r="436" ht="12.75" customHeight="1">
      <c r="A436" s="1" t="s">
        <v>506</v>
      </c>
      <c r="B436" s="1" t="str">
        <f t="shared" si="1"/>
        <v>+36, 40, SEAKING</v>
      </c>
    </row>
    <row r="437" ht="12.75" customHeight="1">
      <c r="A437" s="1" t="s">
        <v>507</v>
      </c>
      <c r="B437" s="1" t="str">
        <f t="shared" si="1"/>
        <v>+38, 42, DRATINI</v>
      </c>
    </row>
    <row r="438" ht="12.75" customHeight="1">
      <c r="A438" s="1" t="s">
        <v>508</v>
      </c>
      <c r="B438" s="1" t="str">
        <f t="shared" si="1"/>
        <v>+38, 42, DRAGONAIR</v>
      </c>
    </row>
    <row r="439" ht="12.75" customHeight="1">
      <c r="A439" s="1" t="s">
        <v>2573</v>
      </c>
      <c r="B439" s="1" t="str">
        <f t="shared" si="1"/>
        <v>+40, 44, DRAGONITE</v>
      </c>
    </row>
    <row r="440" ht="12.75" customHeight="1">
      <c r="A440" s="1" t="s">
        <v>2539</v>
      </c>
      <c r="B440" s="1" t="str">
        <f t="shared" si="1"/>
        <v>NEW ROUTE</v>
      </c>
    </row>
    <row r="441" ht="12.75" customHeight="1">
      <c r="A441" s="1" t="s">
        <v>2578</v>
      </c>
      <c r="B441" s="1" t="str">
        <f t="shared" si="1"/>
        <v>+1, 66, 0,</v>
      </c>
    </row>
    <row r="442" ht="12.75" customHeight="1">
      <c r="A442" s="1" t="s">
        <v>2568</v>
      </c>
      <c r="B442" s="1" t="str">
        <f t="shared" si="1"/>
        <v>21, # 20%</v>
      </c>
    </row>
    <row r="443" ht="12.75" customHeight="1">
      <c r="A443" s="1" t="s">
        <v>484</v>
      </c>
      <c r="B443" s="1" t="str">
        <f t="shared" si="1"/>
        <v>35, 40, NIDOKING</v>
      </c>
    </row>
    <row r="444" ht="12.75" customHeight="1">
      <c r="A444" s="1" t="s">
        <v>485</v>
      </c>
      <c r="B444" s="1" t="str">
        <f t="shared" si="1"/>
        <v>+35, 40, NIDOQUEEN</v>
      </c>
    </row>
    <row r="445" ht="12.75" customHeight="1">
      <c r="A445" s="2"/>
      <c r="B445" s="1" t="str">
        <f t="shared" si="1"/>
        <v/>
      </c>
    </row>
    <row r="446" ht="12.75" customHeight="1">
      <c r="A446" s="1" t="s">
        <v>360</v>
      </c>
      <c r="B446" s="1" t="str">
        <f t="shared" si="1"/>
        <v># 10%</v>
      </c>
    </row>
    <row r="447" ht="12.75" customHeight="1">
      <c r="A447" s="1" t="s">
        <v>486</v>
      </c>
      <c r="B447" s="1" t="str">
        <f t="shared" si="1"/>
        <v>+36, 41, PARASECT</v>
      </c>
    </row>
    <row r="448" ht="12.75" customHeight="1">
      <c r="A448" s="1" t="s">
        <v>487</v>
      </c>
      <c r="B448" s="1" t="str">
        <f t="shared" si="1"/>
        <v>+36, 41, VENOMOTH</v>
      </c>
    </row>
    <row r="449" ht="12.75" customHeight="1">
      <c r="A449" s="1" t="s">
        <v>525</v>
      </c>
      <c r="B449" s="1" t="str">
        <f t="shared" si="1"/>
        <v>+36, 41, RAPIDASH</v>
      </c>
    </row>
    <row r="450" ht="12.75" customHeight="1">
      <c r="A450" s="1" t="s">
        <v>526</v>
      </c>
      <c r="B450" s="1" t="str">
        <f t="shared" si="1"/>
        <v>+36, 41, TANGELA</v>
      </c>
    </row>
    <row r="451" ht="12.75" customHeight="1">
      <c r="A451" s="2"/>
      <c r="B451" s="1" t="str">
        <f t="shared" si="1"/>
        <v/>
      </c>
    </row>
    <row r="452" ht="12.75" customHeight="1">
      <c r="A452" s="1" t="s">
        <v>361</v>
      </c>
      <c r="B452" s="1" t="str">
        <f t="shared" si="1"/>
        <v># 5%</v>
      </c>
    </row>
    <row r="453" ht="12.75" customHeight="1">
      <c r="A453" s="1" t="s">
        <v>490</v>
      </c>
      <c r="B453" s="1" t="str">
        <f t="shared" si="1"/>
        <v>+37, 39, SCIZOR</v>
      </c>
    </row>
    <row r="454" ht="12.75" customHeight="1">
      <c r="A454" s="1" t="s">
        <v>491</v>
      </c>
      <c r="B454" s="1" t="str">
        <f t="shared" si="1"/>
        <v>+37, 39, PINSIRIOR</v>
      </c>
    </row>
    <row r="455" ht="12.75" customHeight="1">
      <c r="A455" s="2"/>
      <c r="B455" s="1" t="str">
        <f t="shared" si="1"/>
        <v/>
      </c>
    </row>
    <row r="456" ht="12.75" customHeight="1">
      <c r="A456" s="1" t="s">
        <v>362</v>
      </c>
      <c r="B456" s="1" t="str">
        <f t="shared" si="1"/>
        <v># 4%</v>
      </c>
    </row>
    <row r="457" ht="12.75" customHeight="1">
      <c r="A457" s="1" t="s">
        <v>527</v>
      </c>
      <c r="B457" s="1" t="str">
        <f t="shared" si="1"/>
        <v>+38, 42, SNORLAX</v>
      </c>
    </row>
    <row r="458" ht="12.75" customHeight="1">
      <c r="A458" s="1" t="s">
        <v>528</v>
      </c>
      <c r="B458" s="1" t="str">
        <f t="shared" si="1"/>
        <v>+38, 42, HITMONLEE</v>
      </c>
    </row>
    <row r="459" ht="12.75" customHeight="1">
      <c r="A459" s="2"/>
      <c r="B459" s="1" t="str">
        <f t="shared" si="1"/>
        <v/>
      </c>
    </row>
    <row r="460" ht="12.75" customHeight="1">
      <c r="A460" s="1" t="s">
        <v>363</v>
      </c>
      <c r="B460" s="1" t="str">
        <f t="shared" si="1"/>
        <v># 1%</v>
      </c>
    </row>
    <row r="461" ht="12.75" customHeight="1">
      <c r="A461" s="1" t="s">
        <v>529</v>
      </c>
      <c r="B461" s="1" t="str">
        <f t="shared" si="1"/>
        <v>+40, 40, ACTLAX</v>
      </c>
    </row>
    <row r="462" ht="12.75" customHeight="1">
      <c r="A462" s="1" t="s">
        <v>2579</v>
      </c>
      <c r="B462" s="1" t="str">
        <f t="shared" si="1"/>
        <v>+40, 40, TANGROWTH</v>
      </c>
    </row>
    <row r="463" ht="12.75" customHeight="1">
      <c r="A463" s="1" t="s">
        <v>2570</v>
      </c>
      <c r="B463" s="1" t="str">
        <f t="shared" si="1"/>
        <v>2, 38, 42, SLOWPOKE</v>
      </c>
    </row>
    <row r="464" ht="12.75" customHeight="1">
      <c r="A464" s="1" t="s">
        <v>496</v>
      </c>
      <c r="B464" s="1" t="str">
        <f t="shared" si="1"/>
        <v>+40, 42, PSYDUCK</v>
      </c>
    </row>
    <row r="465" ht="12.75" customHeight="1">
      <c r="A465" s="1" t="s">
        <v>497</v>
      </c>
      <c r="B465" s="1" t="str">
        <f t="shared" si="1"/>
        <v>+42, 46, SLOWBRO</v>
      </c>
    </row>
    <row r="466" ht="12.75" customHeight="1">
      <c r="A466" s="1" t="s">
        <v>498</v>
      </c>
      <c r="B466" s="1" t="str">
        <f t="shared" si="1"/>
        <v>+42, 46, GOLDUCK</v>
      </c>
    </row>
    <row r="467" ht="12.75" customHeight="1">
      <c r="A467" s="1" t="s">
        <v>2571</v>
      </c>
      <c r="B467" s="1" t="str">
        <f t="shared" si="1"/>
        <v>+44, 48, VAPOREON</v>
      </c>
    </row>
    <row r="468" ht="12.75" customHeight="1">
      <c r="A468" s="1" t="s">
        <v>2572</v>
      </c>
      <c r="B468" s="1" t="str">
        <f t="shared" si="1"/>
        <v>20, # old rod:</v>
      </c>
    </row>
    <row r="469" ht="12.75" customHeight="1">
      <c r="A469" s="1" t="s">
        <v>500</v>
      </c>
      <c r="B469" s="1" t="str">
        <f t="shared" si="1"/>
        <v>19, 26, MAGIKARP</v>
      </c>
    </row>
    <row r="470" ht="12.75" customHeight="1">
      <c r="A470" s="1" t="s">
        <v>501</v>
      </c>
      <c r="B470" s="1" t="str">
        <f t="shared" si="1"/>
        <v>+19, 26, POLIWAG</v>
      </c>
    </row>
    <row r="471" ht="12.75" customHeight="1">
      <c r="A471" s="2"/>
      <c r="B471" s="1" t="str">
        <f t="shared" si="1"/>
        <v/>
      </c>
    </row>
    <row r="472" ht="12.75" customHeight="1">
      <c r="A472" s="1" t="s">
        <v>419</v>
      </c>
      <c r="B472" s="1" t="str">
        <f t="shared" si="1"/>
        <v># good rod:</v>
      </c>
    </row>
    <row r="473" ht="12.75" customHeight="1">
      <c r="A473" s="1" t="s">
        <v>502</v>
      </c>
      <c r="B473" s="1" t="str">
        <f t="shared" si="1"/>
        <v>+29, 33, GYARADOS</v>
      </c>
    </row>
    <row r="474" ht="12.75" customHeight="1">
      <c r="A474" s="1" t="s">
        <v>503</v>
      </c>
      <c r="B474" s="1" t="str">
        <f t="shared" si="1"/>
        <v>+30, 35, POLIWAG</v>
      </c>
    </row>
    <row r="475" ht="12.75" customHeight="1">
      <c r="A475" s="1" t="s">
        <v>504</v>
      </c>
      <c r="B475" s="1" t="str">
        <f t="shared" si="1"/>
        <v>+30, 35, GOLDEEN</v>
      </c>
    </row>
    <row r="476" ht="12.75" customHeight="1">
      <c r="A476" s="2"/>
      <c r="B476" s="1" t="str">
        <f t="shared" si="1"/>
        <v/>
      </c>
    </row>
    <row r="477" ht="12.75" customHeight="1">
      <c r="A477" s="1" t="s">
        <v>423</v>
      </c>
      <c r="B477" s="1" t="str">
        <f t="shared" si="1"/>
        <v># super rod:</v>
      </c>
    </row>
    <row r="478" ht="12.75" customHeight="1">
      <c r="A478" s="1" t="s">
        <v>505</v>
      </c>
      <c r="B478" s="1" t="str">
        <f t="shared" si="1"/>
        <v>+36, 40, POLIWHIRL</v>
      </c>
    </row>
    <row r="479" ht="12.75" customHeight="1">
      <c r="A479" s="1" t="s">
        <v>506</v>
      </c>
      <c r="B479" s="1" t="str">
        <f t="shared" si="1"/>
        <v>+36, 40, SEAKING</v>
      </c>
    </row>
    <row r="480" ht="12.75" customHeight="1">
      <c r="A480" s="1" t="s">
        <v>507</v>
      </c>
      <c r="B480" s="1" t="str">
        <f t="shared" si="1"/>
        <v>+38, 42, DRATINI</v>
      </c>
    </row>
    <row r="481" ht="12.75" customHeight="1">
      <c r="A481" s="1" t="s">
        <v>508</v>
      </c>
      <c r="B481" s="1" t="str">
        <f t="shared" si="1"/>
        <v>+38, 42, DRAGONAIR</v>
      </c>
    </row>
    <row r="482" ht="12.75" customHeight="1">
      <c r="A482" s="1" t="s">
        <v>2573</v>
      </c>
      <c r="B482" s="1" t="str">
        <f t="shared" si="1"/>
        <v>+40, 44, DRAGONITE</v>
      </c>
    </row>
    <row r="483" ht="12.75" customHeight="1">
      <c r="A483" s="1" t="s">
        <v>2539</v>
      </c>
      <c r="B483" s="1" t="str">
        <f t="shared" si="1"/>
        <v>NEW ROUTE</v>
      </c>
    </row>
    <row r="484" ht="12.75" customHeight="1">
      <c r="A484" s="1" t="s">
        <v>2580</v>
      </c>
      <c r="B484" s="1" t="str">
        <f t="shared" si="1"/>
        <v>+1, 72, 0,</v>
      </c>
    </row>
    <row r="485" ht="12.75" customHeight="1">
      <c r="A485" s="1" t="s">
        <v>2541</v>
      </c>
      <c r="B485" s="1" t="str">
        <f t="shared" si="1"/>
        <v>7, # 20%</v>
      </c>
    </row>
    <row r="486" ht="12.75" customHeight="1">
      <c r="A486" s="1" t="s">
        <v>532</v>
      </c>
      <c r="B486" s="1" t="str">
        <f t="shared" si="1"/>
        <v>50, 55, DUGROUPLE</v>
      </c>
    </row>
    <row r="487" ht="12.75" customHeight="1">
      <c r="A487" s="1" t="s">
        <v>533</v>
      </c>
      <c r="B487" s="1" t="str">
        <f t="shared" si="1"/>
        <v>+50, 55, POLABAT</v>
      </c>
    </row>
    <row r="488" ht="12.75" customHeight="1">
      <c r="A488" s="2"/>
      <c r="B488" s="1" t="str">
        <f t="shared" si="1"/>
        <v/>
      </c>
    </row>
    <row r="489" ht="12.75" customHeight="1">
      <c r="A489" s="1" t="s">
        <v>360</v>
      </c>
      <c r="B489" s="1" t="str">
        <f t="shared" si="1"/>
        <v># 10%</v>
      </c>
    </row>
    <row r="490" ht="12.75" customHeight="1">
      <c r="A490" s="1" t="s">
        <v>534</v>
      </c>
      <c r="B490" s="1" t="str">
        <f t="shared" si="1"/>
        <v>+52, 55, VENOMENON</v>
      </c>
    </row>
    <row r="491" ht="12.75" customHeight="1">
      <c r="A491" s="1" t="s">
        <v>535</v>
      </c>
      <c r="B491" s="1" t="str">
        <f t="shared" si="1"/>
        <v>+52, 55, "MR. JEST"</v>
      </c>
    </row>
    <row r="492" ht="12.75" customHeight="1">
      <c r="A492" s="1" t="s">
        <v>536</v>
      </c>
      <c r="B492" s="1" t="str">
        <f t="shared" si="1"/>
        <v>+52, 55, NIDORULY</v>
      </c>
    </row>
    <row r="493" ht="12.75" customHeight="1">
      <c r="A493" s="1" t="s">
        <v>537</v>
      </c>
      <c r="B493" s="1" t="str">
        <f t="shared" si="1"/>
        <v>+52, 55, NIDOREGAL</v>
      </c>
    </row>
    <row r="494" ht="12.75" customHeight="1">
      <c r="A494" s="2"/>
      <c r="B494" s="1" t="str">
        <f t="shared" si="1"/>
        <v/>
      </c>
    </row>
    <row r="495" ht="12.75" customHeight="1">
      <c r="A495" s="1" t="s">
        <v>361</v>
      </c>
      <c r="B495" s="1" t="str">
        <f t="shared" si="1"/>
        <v># 5%</v>
      </c>
    </row>
    <row r="496" ht="12.75" customHeight="1">
      <c r="A496" s="1" t="s">
        <v>538</v>
      </c>
      <c r="B496" s="1" t="str">
        <f t="shared" si="1"/>
        <v>+54, 56, MORPHO</v>
      </c>
    </row>
    <row r="497" ht="12.75" customHeight="1">
      <c r="A497" s="1" t="s">
        <v>539</v>
      </c>
      <c r="B497" s="1" t="str">
        <f t="shared" si="1"/>
        <v>+54, 56, MAGNEMELD</v>
      </c>
    </row>
    <row r="498" ht="12.75" customHeight="1">
      <c r="A498" s="2"/>
      <c r="B498" s="1" t="str">
        <f t="shared" si="1"/>
        <v/>
      </c>
    </row>
    <row r="499" ht="12.75" customHeight="1">
      <c r="A499" s="1" t="s">
        <v>362</v>
      </c>
      <c r="B499" s="1" t="str">
        <f t="shared" si="1"/>
        <v># 4%</v>
      </c>
    </row>
    <row r="500" ht="12.75" customHeight="1">
      <c r="A500" s="1" t="s">
        <v>540</v>
      </c>
      <c r="B500" s="1" t="str">
        <f t="shared" si="1"/>
        <v>+54, 56, VOHOO-DU</v>
      </c>
    </row>
    <row r="501" ht="12.75" customHeight="1">
      <c r="A501" s="1" t="s">
        <v>541</v>
      </c>
      <c r="B501" s="1" t="str">
        <f t="shared" si="1"/>
        <v>+54, 56, CLEFAEFAE</v>
      </c>
    </row>
    <row r="502" ht="12.75" customHeight="1">
      <c r="A502" s="2"/>
      <c r="B502" s="1" t="str">
        <f t="shared" si="1"/>
        <v/>
      </c>
    </row>
    <row r="503" ht="12.75" customHeight="1">
      <c r="A503" s="1" t="s">
        <v>363</v>
      </c>
      <c r="B503" s="1" t="str">
        <f t="shared" si="1"/>
        <v># 1%</v>
      </c>
    </row>
    <row r="504" ht="12.75" customHeight="1">
      <c r="A504" s="1" t="s">
        <v>542</v>
      </c>
      <c r="B504" s="1" t="str">
        <f t="shared" si="1"/>
        <v>+55, 56, KABUTAK</v>
      </c>
    </row>
    <row r="505" ht="12.75" customHeight="1">
      <c r="A505" s="1" t="s">
        <v>2581</v>
      </c>
      <c r="B505" s="1" t="str">
        <f t="shared" si="1"/>
        <v>+55, 56, OMAPAL</v>
      </c>
    </row>
    <row r="506" ht="12.75" customHeight="1">
      <c r="A506" s="1" t="s">
        <v>2582</v>
      </c>
      <c r="B506" s="1" t="str">
        <f t="shared" si="1"/>
        <v>2, 50, 55, POLITOES</v>
      </c>
    </row>
    <row r="507" ht="12.75" customHeight="1">
      <c r="A507" s="1" t="s">
        <v>544</v>
      </c>
      <c r="B507" s="1" t="str">
        <f t="shared" si="1"/>
        <v>+50, 55, DRAGONITE</v>
      </c>
    </row>
    <row r="508" ht="12.75" customHeight="1">
      <c r="A508" s="1" t="s">
        <v>545</v>
      </c>
      <c r="B508" s="1" t="str">
        <f t="shared" si="1"/>
        <v>+52, 57, POLIWISE</v>
      </c>
    </row>
    <row r="509" ht="12.75" customHeight="1">
      <c r="A509" s="1" t="s">
        <v>546</v>
      </c>
      <c r="B509" s="1" t="str">
        <f t="shared" si="1"/>
        <v>+52, 57, DRAGONIER</v>
      </c>
    </row>
    <row r="510" ht="12.75" customHeight="1">
      <c r="A510" s="1" t="s">
        <v>2583</v>
      </c>
      <c r="B510" s="1" t="str">
        <f t="shared" si="1"/>
        <v>+53, 58, NESSEA</v>
      </c>
    </row>
    <row r="511" ht="12.75" customHeight="1">
      <c r="A511" s="1" t="s">
        <v>2572</v>
      </c>
      <c r="B511" s="1" t="str">
        <f t="shared" si="1"/>
        <v>20, # old rod:</v>
      </c>
    </row>
    <row r="512" ht="12.75" customHeight="1">
      <c r="A512" s="1" t="s">
        <v>548</v>
      </c>
      <c r="B512" s="1" t="str">
        <f t="shared" si="1"/>
        <v>23, 36, CLOYSTER</v>
      </c>
    </row>
    <row r="513" ht="12.75" customHeight="1">
      <c r="A513" s="1" t="s">
        <v>549</v>
      </c>
      <c r="B513" s="1" t="str">
        <f t="shared" si="1"/>
        <v>+23, 36, GYARADOS</v>
      </c>
    </row>
    <row r="514" ht="12.75" customHeight="1">
      <c r="A514" s="2"/>
      <c r="B514" s="1" t="str">
        <f t="shared" si="1"/>
        <v/>
      </c>
    </row>
    <row r="515" ht="12.75" customHeight="1">
      <c r="A515" s="1" t="s">
        <v>419</v>
      </c>
      <c r="B515" s="1" t="str">
        <f t="shared" si="1"/>
        <v># good rod:</v>
      </c>
    </row>
    <row r="516" ht="12.75" customHeight="1">
      <c r="A516" s="1" t="s">
        <v>550</v>
      </c>
      <c r="B516" s="1" t="str">
        <f t="shared" si="1"/>
        <v>+30, 38, CLOYSTER</v>
      </c>
    </row>
    <row r="517" ht="12.75" customHeight="1">
      <c r="A517" s="1" t="s">
        <v>551</v>
      </c>
      <c r="B517" s="1" t="str">
        <f t="shared" si="1"/>
        <v>+32, 40, KINGDRA</v>
      </c>
    </row>
    <row r="518" ht="12.75" customHeight="1">
      <c r="A518" s="1" t="s">
        <v>552</v>
      </c>
      <c r="B518" s="1" t="str">
        <f t="shared" si="1"/>
        <v>+32, 40, HYDRADOS</v>
      </c>
    </row>
    <row r="519" ht="12.75" customHeight="1">
      <c r="A519" s="2"/>
      <c r="B519" s="1" t="str">
        <f t="shared" si="1"/>
        <v/>
      </c>
    </row>
    <row r="520" ht="12.75" customHeight="1">
      <c r="A520" s="1" t="s">
        <v>423</v>
      </c>
      <c r="B520" s="1" t="str">
        <f t="shared" si="1"/>
        <v># super rod:</v>
      </c>
    </row>
    <row r="521" ht="12.75" customHeight="1">
      <c r="A521" s="1" t="s">
        <v>553</v>
      </c>
      <c r="B521" s="1" t="str">
        <f t="shared" si="1"/>
        <v>+50, 55, LORDRA</v>
      </c>
    </row>
    <row r="522" ht="12.75" customHeight="1">
      <c r="A522" s="1" t="s">
        <v>554</v>
      </c>
      <c r="B522" s="1" t="str">
        <f t="shared" si="1"/>
        <v>+50, 55, AN'ENEMY</v>
      </c>
    </row>
    <row r="523" ht="12.75" customHeight="1">
      <c r="A523" s="1" t="s">
        <v>555</v>
      </c>
      <c r="B523" s="1" t="str">
        <f t="shared" si="1"/>
        <v>+52, 57, DRACOSMIC</v>
      </c>
    </row>
    <row r="524" ht="12.75" customHeight="1">
      <c r="A524" s="1" t="s">
        <v>556</v>
      </c>
      <c r="B524" s="1" t="str">
        <f t="shared" si="1"/>
        <v>+52, 57, GLAISHELL</v>
      </c>
    </row>
    <row r="525" ht="12.75" customHeight="1">
      <c r="A525" s="1" t="s">
        <v>2584</v>
      </c>
      <c r="B525" s="1" t="str">
        <f t="shared" si="1"/>
        <v>+53, 58, STARWE</v>
      </c>
    </row>
    <row r="526" ht="12.75" customHeight="1">
      <c r="A526" s="1" t="s">
        <v>2539</v>
      </c>
      <c r="B526" s="1" t="str">
        <f t="shared" si="1"/>
        <v>NEW ROUTE</v>
      </c>
    </row>
    <row r="527" ht="12.75" customHeight="1">
      <c r="A527" s="1" t="s">
        <v>2585</v>
      </c>
      <c r="B527" s="1" t="str">
        <f t="shared" si="1"/>
        <v>+1, 73, 0,</v>
      </c>
    </row>
    <row r="528" ht="12.75" customHeight="1">
      <c r="A528" s="1" t="s">
        <v>2541</v>
      </c>
      <c r="B528" s="1" t="str">
        <f t="shared" si="1"/>
        <v>7, # 20%</v>
      </c>
    </row>
    <row r="529" ht="12.75" customHeight="1">
      <c r="A529" s="1" t="s">
        <v>532</v>
      </c>
      <c r="B529" s="1" t="str">
        <f t="shared" si="1"/>
        <v>50, 55, DUGROUPLE</v>
      </c>
    </row>
    <row r="530" ht="12.75" customHeight="1">
      <c r="A530" s="1" t="s">
        <v>533</v>
      </c>
      <c r="B530" s="1" t="str">
        <f t="shared" si="1"/>
        <v>+50, 55, POLABAT</v>
      </c>
    </row>
    <row r="531" ht="12.75" customHeight="1">
      <c r="A531" s="2"/>
      <c r="B531" s="1" t="str">
        <f t="shared" si="1"/>
        <v/>
      </c>
    </row>
    <row r="532" ht="12.75" customHeight="1">
      <c r="A532" s="1" t="s">
        <v>360</v>
      </c>
      <c r="B532" s="1" t="str">
        <f t="shared" si="1"/>
        <v># 10%</v>
      </c>
    </row>
    <row r="533" ht="12.75" customHeight="1">
      <c r="A533" s="1" t="s">
        <v>534</v>
      </c>
      <c r="B533" s="1" t="str">
        <f t="shared" si="1"/>
        <v>+52, 55, VENOMENON</v>
      </c>
    </row>
    <row r="534" ht="12.75" customHeight="1">
      <c r="A534" s="1" t="s">
        <v>535</v>
      </c>
      <c r="B534" s="1" t="str">
        <f t="shared" si="1"/>
        <v>+52, 55, "MR. JEST"</v>
      </c>
    </row>
    <row r="535" ht="12.75" customHeight="1">
      <c r="A535" s="1" t="s">
        <v>536</v>
      </c>
      <c r="B535" s="1" t="str">
        <f t="shared" si="1"/>
        <v>+52, 55, NIDORULY</v>
      </c>
    </row>
    <row r="536" ht="12.75" customHeight="1">
      <c r="A536" s="1" t="s">
        <v>537</v>
      </c>
      <c r="B536" s="1" t="str">
        <f t="shared" si="1"/>
        <v>+52, 55, NIDOREGAL</v>
      </c>
    </row>
    <row r="537" ht="12.75" customHeight="1">
      <c r="A537" s="2"/>
      <c r="B537" s="1" t="str">
        <f t="shared" si="1"/>
        <v/>
      </c>
    </row>
    <row r="538" ht="12.75" customHeight="1">
      <c r="A538" s="1" t="s">
        <v>361</v>
      </c>
      <c r="B538" s="1" t="str">
        <f t="shared" si="1"/>
        <v># 5%</v>
      </c>
    </row>
    <row r="539" ht="12.75" customHeight="1">
      <c r="A539" s="1" t="s">
        <v>538</v>
      </c>
      <c r="B539" s="1" t="str">
        <f t="shared" si="1"/>
        <v>+54, 56, MORPHO</v>
      </c>
    </row>
    <row r="540" ht="12.75" customHeight="1">
      <c r="A540" s="1" t="s">
        <v>539</v>
      </c>
      <c r="B540" s="1" t="str">
        <f t="shared" si="1"/>
        <v>+54, 56, MAGNEMELD</v>
      </c>
    </row>
    <row r="541" ht="12.75" customHeight="1">
      <c r="A541" s="2"/>
      <c r="B541" s="1" t="str">
        <f t="shared" si="1"/>
        <v/>
      </c>
    </row>
    <row r="542" ht="12.75" customHeight="1">
      <c r="A542" s="1" t="s">
        <v>362</v>
      </c>
      <c r="B542" s="1" t="str">
        <f t="shared" si="1"/>
        <v># 4%</v>
      </c>
    </row>
    <row r="543" ht="12.75" customHeight="1">
      <c r="A543" s="1" t="s">
        <v>540</v>
      </c>
      <c r="B543" s="1" t="str">
        <f t="shared" si="1"/>
        <v>+54, 56, VOHOO-DU</v>
      </c>
    </row>
    <row r="544" ht="12.75" customHeight="1">
      <c r="A544" s="1" t="s">
        <v>541</v>
      </c>
      <c r="B544" s="1" t="str">
        <f t="shared" si="1"/>
        <v>+54, 56, CLEFAEFAE</v>
      </c>
    </row>
    <row r="545" ht="12.75" customHeight="1">
      <c r="A545" s="2"/>
      <c r="B545" s="1" t="str">
        <f t="shared" si="1"/>
        <v/>
      </c>
    </row>
    <row r="546" ht="12.75" customHeight="1">
      <c r="A546" s="1" t="s">
        <v>363</v>
      </c>
      <c r="B546" s="1" t="str">
        <f t="shared" si="1"/>
        <v># 1%</v>
      </c>
    </row>
    <row r="547" ht="12.75" customHeight="1">
      <c r="A547" s="1" t="s">
        <v>542</v>
      </c>
      <c r="B547" s="1" t="str">
        <f t="shared" si="1"/>
        <v>+55, 56, KABUTAK</v>
      </c>
    </row>
    <row r="548" ht="12.75" customHeight="1">
      <c r="A548" s="1" t="s">
        <v>2586</v>
      </c>
      <c r="B548" s="1" t="str">
        <f t="shared" si="1"/>
        <v>+55, 56, OMAPAL , &lt;null&gt;, &lt;null&gt;, &lt;null&gt;</v>
      </c>
    </row>
    <row r="549" ht="12.75" customHeight="1">
      <c r="A549" s="2"/>
      <c r="B549" s="1" t="str">
        <f t="shared" si="1"/>
        <v/>
      </c>
    </row>
    <row r="550" ht="12.75" customHeight="1">
      <c r="A550" s="1" t="s">
        <v>2539</v>
      </c>
      <c r="B550" s="1" t="str">
        <f t="shared" si="1"/>
        <v>NEW ROUTE</v>
      </c>
    </row>
    <row r="551" ht="12.75" customHeight="1">
      <c r="A551" s="1" t="s">
        <v>2587</v>
      </c>
      <c r="B551" s="1" t="str">
        <f t="shared" si="1"/>
        <v>+1, 74, 0,</v>
      </c>
    </row>
    <row r="552" ht="12.75" customHeight="1">
      <c r="A552" s="1" t="s">
        <v>2541</v>
      </c>
      <c r="B552" s="1" t="str">
        <f t="shared" si="1"/>
        <v>7, # 20%</v>
      </c>
    </row>
    <row r="553" ht="12.75" customHeight="1">
      <c r="A553" s="1" t="s">
        <v>532</v>
      </c>
      <c r="B553" s="1" t="str">
        <f t="shared" si="1"/>
        <v>50, 55, DUGROUPLE</v>
      </c>
    </row>
    <row r="554" ht="12.75" customHeight="1">
      <c r="A554" s="1" t="s">
        <v>533</v>
      </c>
      <c r="B554" s="1" t="str">
        <f t="shared" si="1"/>
        <v>+50, 55, POLABAT</v>
      </c>
    </row>
    <row r="555" ht="12.75" customHeight="1">
      <c r="A555" s="2"/>
      <c r="B555" s="1" t="str">
        <f t="shared" si="1"/>
        <v/>
      </c>
    </row>
    <row r="556" ht="12.75" customHeight="1">
      <c r="A556" s="1" t="s">
        <v>360</v>
      </c>
      <c r="B556" s="1" t="str">
        <f t="shared" si="1"/>
        <v># 10%</v>
      </c>
    </row>
    <row r="557" ht="12.75" customHeight="1">
      <c r="A557" s="1" t="s">
        <v>534</v>
      </c>
      <c r="B557" s="1" t="str">
        <f t="shared" si="1"/>
        <v>+52, 55, VENOMENON</v>
      </c>
    </row>
    <row r="558" ht="12.75" customHeight="1">
      <c r="A558" s="1" t="s">
        <v>535</v>
      </c>
      <c r="B558" s="1" t="str">
        <f t="shared" si="1"/>
        <v>+52, 55, "MR. JEST"</v>
      </c>
    </row>
    <row r="559" ht="12.75" customHeight="1">
      <c r="A559" s="1" t="s">
        <v>536</v>
      </c>
      <c r="B559" s="1" t="str">
        <f t="shared" si="1"/>
        <v>+52, 55, NIDORULY</v>
      </c>
    </row>
    <row r="560" ht="12.75" customHeight="1">
      <c r="A560" s="1" t="s">
        <v>537</v>
      </c>
      <c r="B560" s="1" t="str">
        <f t="shared" si="1"/>
        <v>+52, 55, NIDOREGAL</v>
      </c>
    </row>
    <row r="561" ht="12.75" customHeight="1">
      <c r="A561" s="2"/>
      <c r="B561" s="1" t="str">
        <f t="shared" si="1"/>
        <v/>
      </c>
    </row>
    <row r="562" ht="12.75" customHeight="1">
      <c r="A562" s="1" t="s">
        <v>361</v>
      </c>
      <c r="B562" s="1" t="str">
        <f t="shared" si="1"/>
        <v># 5%</v>
      </c>
    </row>
    <row r="563" ht="12.75" customHeight="1">
      <c r="A563" s="1" t="s">
        <v>538</v>
      </c>
      <c r="B563" s="1" t="str">
        <f t="shared" si="1"/>
        <v>+54, 56, MORPHO</v>
      </c>
    </row>
    <row r="564" ht="12.75" customHeight="1">
      <c r="A564" s="1" t="s">
        <v>539</v>
      </c>
      <c r="B564" s="1" t="str">
        <f t="shared" si="1"/>
        <v>+54, 56, MAGNEMELD</v>
      </c>
    </row>
    <row r="565" ht="12.75" customHeight="1">
      <c r="A565" s="2"/>
      <c r="B565" s="1" t="str">
        <f t="shared" si="1"/>
        <v/>
      </c>
    </row>
    <row r="566" ht="12.75" customHeight="1">
      <c r="A566" s="1" t="s">
        <v>362</v>
      </c>
      <c r="B566" s="1" t="str">
        <f t="shared" si="1"/>
        <v># 4%</v>
      </c>
    </row>
    <row r="567" ht="12.75" customHeight="1">
      <c r="A567" s="1" t="s">
        <v>540</v>
      </c>
      <c r="B567" s="1" t="str">
        <f t="shared" si="1"/>
        <v>+54, 56, VOHOO-DU</v>
      </c>
    </row>
    <row r="568" ht="12.75" customHeight="1">
      <c r="A568" s="1" t="s">
        <v>541</v>
      </c>
      <c r="B568" s="1" t="str">
        <f t="shared" si="1"/>
        <v>+54, 56, CLEFAEFAE</v>
      </c>
    </row>
    <row r="569" ht="12.75" customHeight="1">
      <c r="A569" s="2"/>
      <c r="B569" s="1" t="str">
        <f t="shared" si="1"/>
        <v/>
      </c>
    </row>
    <row r="570" ht="12.75" customHeight="1">
      <c r="A570" s="1" t="s">
        <v>363</v>
      </c>
      <c r="B570" s="1" t="str">
        <f t="shared" si="1"/>
        <v># 1%</v>
      </c>
    </row>
    <row r="571" ht="12.75" customHeight="1">
      <c r="A571" s="1" t="s">
        <v>542</v>
      </c>
      <c r="B571" s="1" t="str">
        <f t="shared" si="1"/>
        <v>+55, 56, KABUTAK</v>
      </c>
    </row>
    <row r="572" ht="12.75" customHeight="1">
      <c r="A572" s="1" t="s">
        <v>2581</v>
      </c>
      <c r="B572" s="1" t="str">
        <f t="shared" si="1"/>
        <v>+55, 56, OMAPAL</v>
      </c>
    </row>
    <row r="573" ht="12.75" customHeight="1">
      <c r="A573" s="1" t="s">
        <v>2582</v>
      </c>
      <c r="B573" s="1" t="str">
        <f t="shared" si="1"/>
        <v>2, 50, 55, POLITOES</v>
      </c>
    </row>
    <row r="574" ht="12.75" customHeight="1">
      <c r="A574" s="1" t="s">
        <v>544</v>
      </c>
      <c r="B574" s="1" t="str">
        <f t="shared" si="1"/>
        <v>+50, 55, DRAGONITE</v>
      </c>
    </row>
    <row r="575" ht="12.75" customHeight="1">
      <c r="A575" s="1" t="s">
        <v>545</v>
      </c>
      <c r="B575" s="1" t="str">
        <f t="shared" si="1"/>
        <v>+52, 57, POLIWISE</v>
      </c>
    </row>
    <row r="576" ht="12.75" customHeight="1">
      <c r="A576" s="1" t="s">
        <v>546</v>
      </c>
      <c r="B576" s="1" t="str">
        <f t="shared" si="1"/>
        <v>+52, 57, DRAGONIER</v>
      </c>
    </row>
    <row r="577" ht="12.75" customHeight="1">
      <c r="A577" s="1" t="s">
        <v>2583</v>
      </c>
      <c r="B577" s="1" t="str">
        <f t="shared" si="1"/>
        <v>+53, 58, NESSEA</v>
      </c>
    </row>
    <row r="578" ht="12.75" customHeight="1">
      <c r="A578" s="1" t="s">
        <v>2572</v>
      </c>
      <c r="B578" s="1" t="str">
        <f t="shared" si="1"/>
        <v>20, # old rod:</v>
      </c>
    </row>
    <row r="579" ht="12.75" customHeight="1">
      <c r="A579" s="1" t="s">
        <v>548</v>
      </c>
      <c r="B579" s="1" t="str">
        <f t="shared" si="1"/>
        <v>23, 36, CLOYSTER</v>
      </c>
    </row>
    <row r="580" ht="12.75" customHeight="1">
      <c r="A580" s="1" t="s">
        <v>549</v>
      </c>
      <c r="B580" s="1" t="str">
        <f t="shared" si="1"/>
        <v>+23, 36, GYARADOS</v>
      </c>
    </row>
    <row r="581" ht="12.75" customHeight="1">
      <c r="A581" s="2"/>
      <c r="B581" s="1" t="str">
        <f t="shared" si="1"/>
        <v/>
      </c>
    </row>
    <row r="582" ht="12.75" customHeight="1">
      <c r="A582" s="1" t="s">
        <v>419</v>
      </c>
      <c r="B582" s="1" t="str">
        <f t="shared" si="1"/>
        <v># good rod:</v>
      </c>
    </row>
    <row r="583" ht="12.75" customHeight="1">
      <c r="A583" s="1" t="s">
        <v>550</v>
      </c>
      <c r="B583" s="1" t="str">
        <f t="shared" si="1"/>
        <v>+30, 38, CLOYSTER</v>
      </c>
    </row>
    <row r="584" ht="12.75" customHeight="1">
      <c r="A584" s="1" t="s">
        <v>551</v>
      </c>
      <c r="B584" s="1" t="str">
        <f t="shared" si="1"/>
        <v>+32, 40, KINGDRA</v>
      </c>
    </row>
    <row r="585" ht="12.75" customHeight="1">
      <c r="A585" s="1" t="s">
        <v>552</v>
      </c>
      <c r="B585" s="1" t="str">
        <f t="shared" si="1"/>
        <v>+32, 40, HYDRADOS</v>
      </c>
    </row>
    <row r="586" ht="12.75" customHeight="1">
      <c r="A586" s="2"/>
      <c r="B586" s="1" t="str">
        <f t="shared" si="1"/>
        <v/>
      </c>
    </row>
    <row r="587" ht="12.75" customHeight="1">
      <c r="A587" s="1" t="s">
        <v>423</v>
      </c>
      <c r="B587" s="1" t="str">
        <f t="shared" si="1"/>
        <v># super rod:</v>
      </c>
    </row>
    <row r="588" ht="12.75" customHeight="1">
      <c r="A588" s="1" t="s">
        <v>553</v>
      </c>
      <c r="B588" s="1" t="str">
        <f t="shared" si="1"/>
        <v>+50, 55, LORDRA</v>
      </c>
    </row>
    <row r="589" ht="12.75" customHeight="1">
      <c r="A589" s="1" t="s">
        <v>554</v>
      </c>
      <c r="B589" s="1" t="str">
        <f t="shared" si="1"/>
        <v>+50, 55, AN'ENEMY</v>
      </c>
    </row>
    <row r="590" ht="12.75" customHeight="1">
      <c r="A590" s="1" t="s">
        <v>555</v>
      </c>
      <c r="B590" s="1" t="str">
        <f t="shared" si="1"/>
        <v>+52, 57, DRACOSMIC</v>
      </c>
    </row>
    <row r="591" ht="12.75" customHeight="1">
      <c r="A591" s="1" t="s">
        <v>556</v>
      </c>
      <c r="B591" s="1" t="str">
        <f t="shared" si="1"/>
        <v>+52, 57, GLAISHELL</v>
      </c>
    </row>
    <row r="592" ht="12.75" customHeight="1">
      <c r="A592" s="1" t="s">
        <v>2584</v>
      </c>
      <c r="B592" s="1" t="str">
        <f t="shared" si="1"/>
        <v>+53, 58, STARWE</v>
      </c>
    </row>
    <row r="593" ht="12.75" customHeight="1">
      <c r="A593" s="1" t="s">
        <v>2539</v>
      </c>
      <c r="B593" s="1" t="str">
        <f t="shared" si="1"/>
        <v>NEW ROUTE</v>
      </c>
    </row>
    <row r="594" ht="12.75" customHeight="1">
      <c r="A594" s="1" t="s">
        <v>2588</v>
      </c>
      <c r="B594" s="1" t="str">
        <f t="shared" si="1"/>
        <v>+1, 81, 0,</v>
      </c>
    </row>
    <row r="595" ht="12.75" customHeight="1">
      <c r="A595" s="1" t="s">
        <v>2541</v>
      </c>
      <c r="B595" s="1" t="str">
        <f t="shared" si="1"/>
        <v>7, # 20%</v>
      </c>
    </row>
    <row r="596" ht="12.75" customHeight="1">
      <c r="A596" s="1" t="s">
        <v>562</v>
      </c>
      <c r="B596" s="1" t="str">
        <f t="shared" si="1"/>
        <v>20, 23, RHYHORN</v>
      </c>
    </row>
    <row r="597" ht="12.75" customHeight="1">
      <c r="A597" s="1" t="s">
        <v>563</v>
      </c>
      <c r="B597" s="1" t="str">
        <f t="shared" si="1"/>
        <v>+20, 23, GEODUDE</v>
      </c>
    </row>
    <row r="598" ht="12.75" customHeight="1">
      <c r="A598" s="2"/>
      <c r="B598" s="1" t="str">
        <f t="shared" si="1"/>
        <v/>
      </c>
    </row>
    <row r="599" ht="12.75" customHeight="1">
      <c r="A599" s="1" t="s">
        <v>360</v>
      </c>
      <c r="B599" s="1" t="str">
        <f t="shared" si="1"/>
        <v># 10%</v>
      </c>
    </row>
    <row r="600" ht="12.75" customHeight="1">
      <c r="A600" s="1" t="s">
        <v>564</v>
      </c>
      <c r="B600" s="1" t="str">
        <f t="shared" si="1"/>
        <v>+20, 24, ONIX</v>
      </c>
    </row>
    <row r="601" ht="12.75" customHeight="1">
      <c r="A601" s="1" t="s">
        <v>565</v>
      </c>
      <c r="B601" s="1" t="str">
        <f t="shared" si="1"/>
        <v>+19, 23, MANKEY</v>
      </c>
    </row>
    <row r="602" ht="12.75" customHeight="1">
      <c r="A602" s="1" t="s">
        <v>566</v>
      </c>
      <c r="B602" s="1" t="str">
        <f t="shared" si="1"/>
        <v>+19, 23, MACHOP</v>
      </c>
    </row>
    <row r="603" ht="12.75" customHeight="1">
      <c r="A603" s="1" t="s">
        <v>567</v>
      </c>
      <c r="B603" s="1" t="str">
        <f t="shared" si="1"/>
        <v>+22, 24, GOLBAT</v>
      </c>
    </row>
    <row r="604" ht="12.75" customHeight="1">
      <c r="A604" s="2"/>
      <c r="B604" s="1" t="str">
        <f t="shared" si="1"/>
        <v/>
      </c>
    </row>
    <row r="605" ht="12.75" customHeight="1">
      <c r="A605" s="1" t="s">
        <v>361</v>
      </c>
      <c r="B605" s="1" t="str">
        <f t="shared" si="1"/>
        <v># 5%</v>
      </c>
    </row>
    <row r="606" ht="12.75" customHeight="1">
      <c r="A606" s="1" t="s">
        <v>568</v>
      </c>
      <c r="B606" s="1" t="str">
        <f t="shared" si="1"/>
        <v>+24, 24, RHYHORN</v>
      </c>
    </row>
    <row r="607" ht="12.75" customHeight="1">
      <c r="A607" s="1" t="s">
        <v>569</v>
      </c>
      <c r="B607" s="1" t="str">
        <f t="shared" si="1"/>
        <v>+24, 24, GEODUDE</v>
      </c>
    </row>
    <row r="608" ht="12.75" customHeight="1">
      <c r="A608" s="2"/>
      <c r="B608" s="1" t="str">
        <f t="shared" si="1"/>
        <v/>
      </c>
    </row>
    <row r="609" ht="12.75" customHeight="1">
      <c r="A609" s="1" t="s">
        <v>362</v>
      </c>
      <c r="B609" s="1" t="str">
        <f t="shared" si="1"/>
        <v># 4%</v>
      </c>
    </row>
    <row r="610" ht="12.75" customHeight="1">
      <c r="A610" s="1" t="s">
        <v>570</v>
      </c>
      <c r="B610" s="1" t="str">
        <f t="shared" si="1"/>
        <v>+20, 25, GRAVELER</v>
      </c>
    </row>
    <row r="611" ht="12.75" customHeight="1">
      <c r="A611" s="1" t="s">
        <v>571</v>
      </c>
      <c r="B611" s="1" t="str">
        <f t="shared" si="1"/>
        <v>+25, 25, GOLBAT</v>
      </c>
    </row>
    <row r="612" ht="12.75" customHeight="1">
      <c r="A612" s="2"/>
      <c r="B612" s="1" t="str">
        <f t="shared" si="1"/>
        <v/>
      </c>
    </row>
    <row r="613" ht="12.75" customHeight="1">
      <c r="A613" s="1" t="s">
        <v>363</v>
      </c>
      <c r="B613" s="1" t="str">
        <f t="shared" si="1"/>
        <v># 1%</v>
      </c>
    </row>
    <row r="614" ht="12.75" customHeight="1">
      <c r="A614" s="1" t="s">
        <v>572</v>
      </c>
      <c r="B614" s="1" t="str">
        <f t="shared" si="1"/>
        <v>+20, 25, PINSIR</v>
      </c>
    </row>
    <row r="615" ht="12.75" customHeight="1">
      <c r="A615" s="1" t="s">
        <v>2589</v>
      </c>
      <c r="B615" s="1" t="str">
        <f t="shared" si="1"/>
        <v>+20, 23, KANGASKHAN , &lt;null&gt;, &lt;null&gt;, &lt;null&gt;</v>
      </c>
    </row>
    <row r="616" ht="12.75" customHeight="1">
      <c r="A616" s="2"/>
      <c r="B616" s="1" t="str">
        <f t="shared" si="1"/>
        <v/>
      </c>
    </row>
    <row r="617" ht="12.75" customHeight="1">
      <c r="A617" s="1" t="s">
        <v>2539</v>
      </c>
      <c r="B617" s="1" t="str">
        <f t="shared" si="1"/>
        <v>NEW ROUTE</v>
      </c>
    </row>
    <row r="618" ht="12.75" customHeight="1">
      <c r="A618" s="1" t="s">
        <v>2590</v>
      </c>
      <c r="B618" s="1" t="str">
        <f t="shared" si="1"/>
        <v>+1, 82, 0,</v>
      </c>
    </row>
    <row r="619" ht="12.75" customHeight="1">
      <c r="A619" s="1" t="s">
        <v>2541</v>
      </c>
      <c r="B619" s="1" t="str">
        <f t="shared" si="1"/>
        <v>7, # 20%</v>
      </c>
    </row>
    <row r="620" ht="12.75" customHeight="1">
      <c r="A620" s="1" t="s">
        <v>562</v>
      </c>
      <c r="B620" s="1" t="str">
        <f t="shared" si="1"/>
        <v>20, 23, RHYHORN</v>
      </c>
    </row>
    <row r="621" ht="12.75" customHeight="1">
      <c r="A621" s="1" t="s">
        <v>563</v>
      </c>
      <c r="B621" s="1" t="str">
        <f t="shared" si="1"/>
        <v>+20, 23, GEODUDE</v>
      </c>
    </row>
    <row r="622" ht="12.75" customHeight="1">
      <c r="A622" s="2"/>
      <c r="B622" s="1" t="str">
        <f t="shared" si="1"/>
        <v/>
      </c>
    </row>
    <row r="623" ht="12.75" customHeight="1">
      <c r="A623" s="1" t="s">
        <v>360</v>
      </c>
      <c r="B623" s="1" t="str">
        <f t="shared" si="1"/>
        <v># 10%</v>
      </c>
    </row>
    <row r="624" ht="12.75" customHeight="1">
      <c r="A624" s="1" t="s">
        <v>564</v>
      </c>
      <c r="B624" s="1" t="str">
        <f t="shared" si="1"/>
        <v>+20, 24, ONIX</v>
      </c>
    </row>
    <row r="625" ht="12.75" customHeight="1">
      <c r="A625" s="1" t="s">
        <v>565</v>
      </c>
      <c r="B625" s="1" t="str">
        <f t="shared" si="1"/>
        <v>+19, 23, MANKEY</v>
      </c>
    </row>
    <row r="626" ht="12.75" customHeight="1">
      <c r="A626" s="1" t="s">
        <v>566</v>
      </c>
      <c r="B626" s="1" t="str">
        <f t="shared" si="1"/>
        <v>+19, 23, MACHOP</v>
      </c>
    </row>
    <row r="627" ht="12.75" customHeight="1">
      <c r="A627" s="1" t="s">
        <v>567</v>
      </c>
      <c r="B627" s="1" t="str">
        <f t="shared" si="1"/>
        <v>+22, 24, GOLBAT</v>
      </c>
    </row>
    <row r="628" ht="12.75" customHeight="1">
      <c r="A628" s="2"/>
      <c r="B628" s="1" t="str">
        <f t="shared" si="1"/>
        <v/>
      </c>
    </row>
    <row r="629" ht="12.75" customHeight="1">
      <c r="A629" s="1" t="s">
        <v>361</v>
      </c>
      <c r="B629" s="1" t="str">
        <f t="shared" si="1"/>
        <v># 5%</v>
      </c>
    </row>
    <row r="630" ht="12.75" customHeight="1">
      <c r="A630" s="1" t="s">
        <v>568</v>
      </c>
      <c r="B630" s="1" t="str">
        <f t="shared" si="1"/>
        <v>+24, 24, RHYHORN</v>
      </c>
    </row>
    <row r="631" ht="12.75" customHeight="1">
      <c r="A631" s="1" t="s">
        <v>569</v>
      </c>
      <c r="B631" s="1" t="str">
        <f t="shared" si="1"/>
        <v>+24, 24, GEODUDE</v>
      </c>
    </row>
    <row r="632" ht="12.75" customHeight="1">
      <c r="A632" s="2"/>
      <c r="B632" s="1" t="str">
        <f t="shared" si="1"/>
        <v/>
      </c>
    </row>
    <row r="633" ht="12.75" customHeight="1">
      <c r="A633" s="1" t="s">
        <v>362</v>
      </c>
      <c r="B633" s="1" t="str">
        <f t="shared" si="1"/>
        <v># 4%</v>
      </c>
    </row>
    <row r="634" ht="12.75" customHeight="1">
      <c r="A634" s="1" t="s">
        <v>570</v>
      </c>
      <c r="B634" s="1" t="str">
        <f t="shared" si="1"/>
        <v>+20, 25, GRAVELER</v>
      </c>
    </row>
    <row r="635" ht="12.75" customHeight="1">
      <c r="A635" s="1" t="s">
        <v>571</v>
      </c>
      <c r="B635" s="1" t="str">
        <f t="shared" si="1"/>
        <v>+25, 25, GOLBAT</v>
      </c>
    </row>
    <row r="636" ht="12.75" customHeight="1">
      <c r="A636" s="2"/>
      <c r="B636" s="1" t="str">
        <f t="shared" si="1"/>
        <v/>
      </c>
    </row>
    <row r="637" ht="12.75" customHeight="1">
      <c r="A637" s="1" t="s">
        <v>363</v>
      </c>
      <c r="B637" s="1" t="str">
        <f t="shared" si="1"/>
        <v># 1%</v>
      </c>
    </row>
    <row r="638" ht="12.75" customHeight="1">
      <c r="A638" s="1" t="s">
        <v>572</v>
      </c>
      <c r="B638" s="1" t="str">
        <f t="shared" si="1"/>
        <v>+20, 25, PINSIR</v>
      </c>
    </row>
    <row r="639" ht="12.75" customHeight="1">
      <c r="A639" s="1" t="s">
        <v>2591</v>
      </c>
      <c r="B639" s="1" t="str">
        <f t="shared" si="1"/>
        <v>+21, 24, KANGASKHAN</v>
      </c>
    </row>
    <row r="640" ht="12.75" customHeight="1">
      <c r="A640" s="1" t="s">
        <v>2592</v>
      </c>
      <c r="B640" s="1" t="str">
        <f t="shared" si="1"/>
        <v>50, 5, 20, GEODUDE</v>
      </c>
    </row>
    <row r="641" ht="12.75" customHeight="1">
      <c r="A641" s="1" t="s">
        <v>576</v>
      </c>
      <c r="B641" s="1" t="str">
        <f t="shared" si="1"/>
        <v>+10, 20, GEODUDE</v>
      </c>
    </row>
    <row r="642" ht="12.75" customHeight="1">
      <c r="A642" s="1" t="s">
        <v>577</v>
      </c>
      <c r="B642" s="1" t="str">
        <f t="shared" si="1"/>
        <v>+15, 30, GEODUDE</v>
      </c>
    </row>
    <row r="643" ht="12.75" customHeight="1">
      <c r="A643" s="1" t="s">
        <v>578</v>
      </c>
      <c r="B643" s="1" t="str">
        <f t="shared" si="1"/>
        <v>+25, 40, GRAVELER</v>
      </c>
    </row>
    <row r="644" ht="12.75" customHeight="1">
      <c r="A644" s="1" t="s">
        <v>2593</v>
      </c>
      <c r="B644" s="1" t="str">
        <f t="shared" si="1"/>
        <v>+30, 40, GRAVELER , &lt;null&gt;</v>
      </c>
    </row>
    <row r="645" ht="12.75" customHeight="1">
      <c r="A645" s="2"/>
      <c r="B645" s="1" t="str">
        <f t="shared" si="1"/>
        <v/>
      </c>
    </row>
    <row r="646" ht="12.75" customHeight="1">
      <c r="A646" s="1" t="s">
        <v>2539</v>
      </c>
      <c r="B646" s="1" t="str">
        <f t="shared" si="1"/>
        <v>NEW ROUTE</v>
      </c>
    </row>
    <row r="647" ht="12.75" customHeight="1">
      <c r="A647" s="1" t="s">
        <v>2594</v>
      </c>
      <c r="B647" s="1" t="str">
        <f t="shared" si="1"/>
        <v>+1, 83, 0,</v>
      </c>
    </row>
    <row r="648" ht="12.75" customHeight="1">
      <c r="A648" s="1" t="s">
        <v>2541</v>
      </c>
      <c r="B648" s="1" t="str">
        <f t="shared" si="1"/>
        <v>7, # 20%</v>
      </c>
    </row>
    <row r="649" ht="12.75" customHeight="1">
      <c r="A649" s="1" t="s">
        <v>581</v>
      </c>
      <c r="B649" s="1" t="str">
        <f t="shared" si="1"/>
        <v>40, 44, GOLBAT</v>
      </c>
    </row>
    <row r="650" ht="12.75" customHeight="1">
      <c r="A650" s="1" t="s">
        <v>582</v>
      </c>
      <c r="B650" s="1" t="str">
        <f t="shared" si="1"/>
        <v>+40, 44, GOLDUCK</v>
      </c>
    </row>
    <row r="651" ht="12.75" customHeight="1">
      <c r="A651" s="2"/>
      <c r="B651" s="1" t="str">
        <f t="shared" si="1"/>
        <v/>
      </c>
    </row>
    <row r="652" ht="12.75" customHeight="1">
      <c r="A652" s="1" t="s">
        <v>360</v>
      </c>
      <c r="B652" s="1" t="str">
        <f t="shared" si="1"/>
        <v># 10%</v>
      </c>
    </row>
    <row r="653" ht="12.75" customHeight="1">
      <c r="A653" s="1" t="s">
        <v>583</v>
      </c>
      <c r="B653" s="1" t="str">
        <f t="shared" si="1"/>
        <v>+40, 44, SLOWBRO</v>
      </c>
    </row>
    <row r="654" ht="12.75" customHeight="1">
      <c r="A654" s="1" t="s">
        <v>584</v>
      </c>
      <c r="B654" s="1" t="str">
        <f t="shared" si="1"/>
        <v>+40, 44, CROBAT</v>
      </c>
    </row>
    <row r="655" ht="12.75" customHeight="1">
      <c r="A655" s="1" t="s">
        <v>585</v>
      </c>
      <c r="B655" s="1" t="str">
        <f t="shared" si="1"/>
        <v>+40, 44, DEWGONG</v>
      </c>
    </row>
    <row r="656" ht="12.75" customHeight="1">
      <c r="A656" s="1" t="s">
        <v>586</v>
      </c>
      <c r="B656" s="1" t="str">
        <f t="shared" si="1"/>
        <v>+40, 44, LICKILICKY</v>
      </c>
    </row>
    <row r="657" ht="12.75" customHeight="1">
      <c r="A657" s="2"/>
      <c r="B657" s="1" t="str">
        <f t="shared" si="1"/>
        <v/>
      </c>
    </row>
    <row r="658" ht="12.75" customHeight="1">
      <c r="A658" s="1" t="s">
        <v>361</v>
      </c>
      <c r="B658" s="1" t="str">
        <f t="shared" si="1"/>
        <v># 5%</v>
      </c>
    </row>
    <row r="659" ht="12.75" customHeight="1">
      <c r="A659" s="1" t="s">
        <v>587</v>
      </c>
      <c r="B659" s="1" t="str">
        <f t="shared" si="1"/>
        <v>+42, 46, POLABAT</v>
      </c>
    </row>
    <row r="660" ht="12.75" customHeight="1">
      <c r="A660" s="1" t="s">
        <v>588</v>
      </c>
      <c r="B660" s="1" t="str">
        <f t="shared" si="1"/>
        <v>+42, 46, GILDUCK</v>
      </c>
    </row>
    <row r="661" ht="12.75" customHeight="1">
      <c r="A661" s="2"/>
      <c r="B661" s="1" t="str">
        <f t="shared" si="1"/>
        <v/>
      </c>
    </row>
    <row r="662" ht="12.75" customHeight="1">
      <c r="A662" s="1" t="s">
        <v>362</v>
      </c>
      <c r="B662" s="1" t="str">
        <f t="shared" si="1"/>
        <v># 4%</v>
      </c>
    </row>
    <row r="663" ht="12.75" customHeight="1">
      <c r="A663" s="1" t="s">
        <v>589</v>
      </c>
      <c r="B663" s="1" t="str">
        <f t="shared" si="1"/>
        <v>+44, 47, SLOWMATE</v>
      </c>
    </row>
    <row r="664" ht="12.75" customHeight="1">
      <c r="A664" s="1" t="s">
        <v>590</v>
      </c>
      <c r="B664" s="1" t="str">
        <f t="shared" si="1"/>
        <v>+44, 47, PRECIPED</v>
      </c>
    </row>
    <row r="665" ht="12.75" customHeight="1">
      <c r="A665" s="2"/>
      <c r="B665" s="1" t="str">
        <f t="shared" si="1"/>
        <v/>
      </c>
    </row>
    <row r="666" ht="12.75" customHeight="1">
      <c r="A666" s="1" t="s">
        <v>363</v>
      </c>
      <c r="B666" s="1" t="str">
        <f t="shared" si="1"/>
        <v># 1%</v>
      </c>
    </row>
    <row r="667" ht="12.75" customHeight="1">
      <c r="A667" s="1" t="s">
        <v>591</v>
      </c>
      <c r="B667" s="1" t="str">
        <f t="shared" si="1"/>
        <v>+45, 50, DRAGONITE</v>
      </c>
    </row>
    <row r="668" ht="12.75" customHeight="1">
      <c r="A668" s="1" t="s">
        <v>2595</v>
      </c>
      <c r="B668" s="1" t="str">
        <f t="shared" si="1"/>
        <v>+45, 50, LICKILICKY , &lt;null&gt;, &lt;null&gt;, &lt;null&gt;</v>
      </c>
    </row>
    <row r="669" ht="12.75" customHeight="1">
      <c r="A669" s="2"/>
      <c r="B669" s="1" t="str">
        <f t="shared" si="1"/>
        <v/>
      </c>
    </row>
    <row r="670" ht="12.75" customHeight="1">
      <c r="A670" s="1" t="s">
        <v>2539</v>
      </c>
      <c r="B670" s="1" t="str">
        <f t="shared" si="1"/>
        <v>NEW ROUTE</v>
      </c>
    </row>
    <row r="671" ht="12.75" customHeight="1">
      <c r="A671" s="1" t="s">
        <v>2596</v>
      </c>
      <c r="B671" s="1" t="str">
        <f t="shared" si="1"/>
        <v>+1, 84, 0,</v>
      </c>
    </row>
    <row r="672" ht="12.75" customHeight="1">
      <c r="A672" s="1" t="s">
        <v>2541</v>
      </c>
      <c r="B672" s="1" t="str">
        <f t="shared" si="1"/>
        <v>7, # 20%</v>
      </c>
    </row>
    <row r="673" ht="12.75" customHeight="1">
      <c r="A673" s="1" t="s">
        <v>581</v>
      </c>
      <c r="B673" s="1" t="str">
        <f t="shared" si="1"/>
        <v>40, 44, GOLBAT</v>
      </c>
    </row>
    <row r="674" ht="12.75" customHeight="1">
      <c r="A674" s="1" t="s">
        <v>582</v>
      </c>
      <c r="B674" s="1" t="str">
        <f t="shared" si="1"/>
        <v>+40, 44, GOLDUCK</v>
      </c>
    </row>
    <row r="675" ht="12.75" customHeight="1">
      <c r="A675" s="2"/>
      <c r="B675" s="1" t="str">
        <f t="shared" si="1"/>
        <v/>
      </c>
    </row>
    <row r="676" ht="12.75" customHeight="1">
      <c r="A676" s="1" t="s">
        <v>360</v>
      </c>
      <c r="B676" s="1" t="str">
        <f t="shared" si="1"/>
        <v># 10%</v>
      </c>
    </row>
    <row r="677" ht="12.75" customHeight="1">
      <c r="A677" s="1" t="s">
        <v>583</v>
      </c>
      <c r="B677" s="1" t="str">
        <f t="shared" si="1"/>
        <v>+40, 44, SLOWBRO</v>
      </c>
    </row>
    <row r="678" ht="12.75" customHeight="1">
      <c r="A678" s="1" t="s">
        <v>584</v>
      </c>
      <c r="B678" s="1" t="str">
        <f t="shared" si="1"/>
        <v>+40, 44, CROBAT</v>
      </c>
    </row>
    <row r="679" ht="12.75" customHeight="1">
      <c r="A679" s="1" t="s">
        <v>585</v>
      </c>
      <c r="B679" s="1" t="str">
        <f t="shared" si="1"/>
        <v>+40, 44, DEWGONG</v>
      </c>
    </row>
    <row r="680" ht="12.75" customHeight="1">
      <c r="A680" s="1" t="s">
        <v>586</v>
      </c>
      <c r="B680" s="1" t="str">
        <f t="shared" si="1"/>
        <v>+40, 44, LICKILICKY</v>
      </c>
    </row>
    <row r="681" ht="12.75" customHeight="1">
      <c r="A681" s="2"/>
      <c r="B681" s="1" t="str">
        <f t="shared" si="1"/>
        <v/>
      </c>
    </row>
    <row r="682" ht="12.75" customHeight="1">
      <c r="A682" s="1" t="s">
        <v>361</v>
      </c>
      <c r="B682" s="1" t="str">
        <f t="shared" si="1"/>
        <v># 5%</v>
      </c>
    </row>
    <row r="683" ht="12.75" customHeight="1">
      <c r="A683" s="1" t="s">
        <v>587</v>
      </c>
      <c r="B683" s="1" t="str">
        <f t="shared" si="1"/>
        <v>+42, 46, POLABAT</v>
      </c>
    </row>
    <row r="684" ht="12.75" customHeight="1">
      <c r="A684" s="1" t="s">
        <v>588</v>
      </c>
      <c r="B684" s="1" t="str">
        <f t="shared" si="1"/>
        <v>+42, 46, GILDUCK</v>
      </c>
    </row>
    <row r="685" ht="12.75" customHeight="1">
      <c r="A685" s="2"/>
      <c r="B685" s="1" t="str">
        <f t="shared" si="1"/>
        <v/>
      </c>
    </row>
    <row r="686" ht="12.75" customHeight="1">
      <c r="A686" s="1" t="s">
        <v>362</v>
      </c>
      <c r="B686" s="1" t="str">
        <f t="shared" si="1"/>
        <v># 4%</v>
      </c>
    </row>
    <row r="687" ht="12.75" customHeight="1">
      <c r="A687" s="1" t="s">
        <v>589</v>
      </c>
      <c r="B687" s="1" t="str">
        <f t="shared" si="1"/>
        <v>+44, 47, SLOWMATE</v>
      </c>
    </row>
    <row r="688" ht="12.75" customHeight="1">
      <c r="A688" s="1" t="s">
        <v>590</v>
      </c>
      <c r="B688" s="1" t="str">
        <f t="shared" si="1"/>
        <v>+44, 47, PRECIPED</v>
      </c>
    </row>
    <row r="689" ht="12.75" customHeight="1">
      <c r="A689" s="2"/>
      <c r="B689" s="1" t="str">
        <f t="shared" si="1"/>
        <v/>
      </c>
    </row>
    <row r="690" ht="12.75" customHeight="1">
      <c r="A690" s="1" t="s">
        <v>363</v>
      </c>
      <c r="B690" s="1" t="str">
        <f t="shared" si="1"/>
        <v># 1%</v>
      </c>
    </row>
    <row r="691" ht="12.75" customHeight="1">
      <c r="A691" s="1" t="s">
        <v>591</v>
      </c>
      <c r="B691" s="1" t="str">
        <f t="shared" si="1"/>
        <v>+45, 50, DRAGONITE</v>
      </c>
    </row>
    <row r="692" ht="12.75" customHeight="1">
      <c r="A692" s="1" t="s">
        <v>2597</v>
      </c>
      <c r="B692" s="1" t="str">
        <f t="shared" si="1"/>
        <v>+45, 50, LICKILOLLY , &lt;null&gt;, &lt;null&gt;, &lt;null&gt;</v>
      </c>
    </row>
    <row r="693" ht="12.75" customHeight="1">
      <c r="A693" s="2"/>
      <c r="B693" s="1" t="str">
        <f t="shared" si="1"/>
        <v/>
      </c>
    </row>
    <row r="694" ht="12.75" customHeight="1">
      <c r="A694" s="1" t="s">
        <v>2539</v>
      </c>
      <c r="B694" s="1" t="str">
        <f t="shared" si="1"/>
        <v>NEW ROUTE</v>
      </c>
    </row>
    <row r="695" ht="12.75" customHeight="1">
      <c r="A695" s="1" t="s">
        <v>2598</v>
      </c>
      <c r="B695" s="1" t="str">
        <f t="shared" si="1"/>
        <v>+1, 85, 0,</v>
      </c>
    </row>
    <row r="696" ht="12.75" customHeight="1">
      <c r="A696" s="1" t="s">
        <v>2541</v>
      </c>
      <c r="B696" s="1" t="str">
        <f t="shared" si="1"/>
        <v>7, # 20%</v>
      </c>
    </row>
    <row r="697" ht="12.75" customHeight="1">
      <c r="A697" s="1" t="s">
        <v>581</v>
      </c>
      <c r="B697" s="1" t="str">
        <f t="shared" si="1"/>
        <v>40, 44, GOLBAT</v>
      </c>
    </row>
    <row r="698" ht="12.75" customHeight="1">
      <c r="A698" s="1" t="s">
        <v>582</v>
      </c>
      <c r="B698" s="1" t="str">
        <f t="shared" si="1"/>
        <v>+40, 44, GOLDUCK</v>
      </c>
    </row>
    <row r="699" ht="12.75" customHeight="1">
      <c r="A699" s="2"/>
      <c r="B699" s="1" t="str">
        <f t="shared" si="1"/>
        <v/>
      </c>
    </row>
    <row r="700" ht="12.75" customHeight="1">
      <c r="A700" s="1" t="s">
        <v>360</v>
      </c>
      <c r="B700" s="1" t="str">
        <f t="shared" si="1"/>
        <v># 10%</v>
      </c>
    </row>
    <row r="701" ht="12.75" customHeight="1">
      <c r="A701" s="1" t="s">
        <v>583</v>
      </c>
      <c r="B701" s="1" t="str">
        <f t="shared" si="1"/>
        <v>+40, 44, SLOWBRO</v>
      </c>
    </row>
    <row r="702" ht="12.75" customHeight="1">
      <c r="A702" s="1" t="s">
        <v>584</v>
      </c>
      <c r="B702" s="1" t="str">
        <f t="shared" si="1"/>
        <v>+40, 44, CROBAT</v>
      </c>
    </row>
    <row r="703" ht="12.75" customHeight="1">
      <c r="A703" s="1" t="s">
        <v>585</v>
      </c>
      <c r="B703" s="1" t="str">
        <f t="shared" si="1"/>
        <v>+40, 44, DEWGONG</v>
      </c>
    </row>
    <row r="704" ht="12.75" customHeight="1">
      <c r="A704" s="1" t="s">
        <v>586</v>
      </c>
      <c r="B704" s="1" t="str">
        <f t="shared" si="1"/>
        <v>+40, 44, LICKILICKY</v>
      </c>
    </row>
    <row r="705" ht="12.75" customHeight="1">
      <c r="A705" s="2"/>
      <c r="B705" s="1" t="str">
        <f t="shared" si="1"/>
        <v/>
      </c>
    </row>
    <row r="706" ht="12.75" customHeight="1">
      <c r="A706" s="1" t="s">
        <v>361</v>
      </c>
      <c r="B706" s="1" t="str">
        <f t="shared" si="1"/>
        <v># 5%</v>
      </c>
    </row>
    <row r="707" ht="12.75" customHeight="1">
      <c r="A707" s="1" t="s">
        <v>587</v>
      </c>
      <c r="B707" s="1" t="str">
        <f t="shared" si="1"/>
        <v>+42, 46, POLABAT</v>
      </c>
    </row>
    <row r="708" ht="12.75" customHeight="1">
      <c r="A708" s="1" t="s">
        <v>588</v>
      </c>
      <c r="B708" s="1" t="str">
        <f t="shared" si="1"/>
        <v>+42, 46, GILDUCK</v>
      </c>
    </row>
    <row r="709" ht="12.75" customHeight="1">
      <c r="A709" s="2"/>
      <c r="B709" s="1" t="str">
        <f t="shared" si="1"/>
        <v/>
      </c>
    </row>
    <row r="710" ht="12.75" customHeight="1">
      <c r="A710" s="1" t="s">
        <v>362</v>
      </c>
      <c r="B710" s="1" t="str">
        <f t="shared" si="1"/>
        <v># 4%</v>
      </c>
    </row>
    <row r="711" ht="12.75" customHeight="1">
      <c r="A711" s="1" t="s">
        <v>589</v>
      </c>
      <c r="B711" s="1" t="str">
        <f t="shared" si="1"/>
        <v>+44, 47, SLOWMATE</v>
      </c>
    </row>
    <row r="712" ht="12.75" customHeight="1">
      <c r="A712" s="1" t="s">
        <v>590</v>
      </c>
      <c r="B712" s="1" t="str">
        <f t="shared" si="1"/>
        <v>+44, 47, PRECIPED</v>
      </c>
    </row>
    <row r="713" ht="12.75" customHeight="1">
      <c r="A713" s="2"/>
      <c r="B713" s="1" t="str">
        <f t="shared" si="1"/>
        <v/>
      </c>
    </row>
    <row r="714" ht="12.75" customHeight="1">
      <c r="A714" s="1" t="s">
        <v>363</v>
      </c>
      <c r="B714" s="1" t="str">
        <f t="shared" si="1"/>
        <v># 1%</v>
      </c>
    </row>
    <row r="715" ht="12.75" customHeight="1">
      <c r="A715" s="1" t="s">
        <v>591</v>
      </c>
      <c r="B715" s="1" t="str">
        <f t="shared" si="1"/>
        <v>+45, 50, DRAGONITE</v>
      </c>
    </row>
    <row r="716" ht="12.75" customHeight="1">
      <c r="A716" s="1" t="s">
        <v>2597</v>
      </c>
      <c r="B716" s="1" t="str">
        <f t="shared" si="1"/>
        <v>+45, 50, LICKILOLLY , &lt;null&gt;, &lt;null&gt;, &lt;null&gt;</v>
      </c>
    </row>
    <row r="717" ht="12.75" customHeight="1">
      <c r="A717" s="2"/>
      <c r="B717" s="1" t="str">
        <f t="shared" si="1"/>
        <v/>
      </c>
    </row>
    <row r="718" ht="12.75" customHeight="1">
      <c r="A718" s="1" t="s">
        <v>2539</v>
      </c>
      <c r="B718" s="1" t="str">
        <f t="shared" si="1"/>
        <v>NEW ROUTE</v>
      </c>
    </row>
    <row r="719" ht="12.75" customHeight="1">
      <c r="A719" s="1" t="s">
        <v>2599</v>
      </c>
      <c r="B719" s="1" t="str">
        <f t="shared" si="1"/>
        <v>+1, 86, 0,</v>
      </c>
    </row>
    <row r="720" ht="12.75" customHeight="1">
      <c r="A720" s="1" t="s">
        <v>2541</v>
      </c>
      <c r="B720" s="1" t="str">
        <f t="shared" si="1"/>
        <v>7, # 20%</v>
      </c>
    </row>
    <row r="721" ht="12.75" customHeight="1">
      <c r="A721" s="1" t="s">
        <v>581</v>
      </c>
      <c r="B721" s="1" t="str">
        <f t="shared" si="1"/>
        <v>40, 44, GOLBAT</v>
      </c>
    </row>
    <row r="722" ht="12.75" customHeight="1">
      <c r="A722" s="1" t="s">
        <v>582</v>
      </c>
      <c r="B722" s="1" t="str">
        <f t="shared" si="1"/>
        <v>+40, 44, GOLDUCK</v>
      </c>
    </row>
    <row r="723" ht="12.75" customHeight="1">
      <c r="A723" s="2"/>
      <c r="B723" s="1" t="str">
        <f t="shared" si="1"/>
        <v/>
      </c>
    </row>
    <row r="724" ht="12.75" customHeight="1">
      <c r="A724" s="1" t="s">
        <v>360</v>
      </c>
      <c r="B724" s="1" t="str">
        <f t="shared" si="1"/>
        <v># 10%</v>
      </c>
    </row>
    <row r="725" ht="12.75" customHeight="1">
      <c r="A725" s="1" t="s">
        <v>583</v>
      </c>
      <c r="B725" s="1" t="str">
        <f t="shared" si="1"/>
        <v>+40, 44, SLOWBRO</v>
      </c>
    </row>
    <row r="726" ht="12.75" customHeight="1">
      <c r="A726" s="1" t="s">
        <v>584</v>
      </c>
      <c r="B726" s="1" t="str">
        <f t="shared" si="1"/>
        <v>+40, 44, CROBAT</v>
      </c>
    </row>
    <row r="727" ht="12.75" customHeight="1">
      <c r="A727" s="1" t="s">
        <v>585</v>
      </c>
      <c r="B727" s="1" t="str">
        <f t="shared" si="1"/>
        <v>+40, 44, DEWGONG</v>
      </c>
    </row>
    <row r="728" ht="12.75" customHeight="1">
      <c r="A728" s="1" t="s">
        <v>586</v>
      </c>
      <c r="B728" s="1" t="str">
        <f t="shared" si="1"/>
        <v>+40, 44, LICKILICKY</v>
      </c>
    </row>
    <row r="729" ht="12.75" customHeight="1">
      <c r="A729" s="2"/>
      <c r="B729" s="1" t="str">
        <f t="shared" si="1"/>
        <v/>
      </c>
    </row>
    <row r="730" ht="12.75" customHeight="1">
      <c r="A730" s="1" t="s">
        <v>361</v>
      </c>
      <c r="B730" s="1" t="str">
        <f t="shared" si="1"/>
        <v># 5%</v>
      </c>
    </row>
    <row r="731" ht="12.75" customHeight="1">
      <c r="A731" s="1" t="s">
        <v>587</v>
      </c>
      <c r="B731" s="1" t="str">
        <f t="shared" si="1"/>
        <v>+42, 46, POLABAT</v>
      </c>
    </row>
    <row r="732" ht="12.75" customHeight="1">
      <c r="A732" s="1" t="s">
        <v>588</v>
      </c>
      <c r="B732" s="1" t="str">
        <f t="shared" si="1"/>
        <v>+42, 46, GILDUCK</v>
      </c>
    </row>
    <row r="733" ht="12.75" customHeight="1">
      <c r="A733" s="2"/>
      <c r="B733" s="1" t="str">
        <f t="shared" si="1"/>
        <v/>
      </c>
    </row>
    <row r="734" ht="12.75" customHeight="1">
      <c r="A734" s="1" t="s">
        <v>362</v>
      </c>
      <c r="B734" s="1" t="str">
        <f t="shared" si="1"/>
        <v># 4%</v>
      </c>
    </row>
    <row r="735" ht="12.75" customHeight="1">
      <c r="A735" s="1" t="s">
        <v>589</v>
      </c>
      <c r="B735" s="1" t="str">
        <f t="shared" si="1"/>
        <v>+44, 47, SLOWMATE</v>
      </c>
    </row>
    <row r="736" ht="12.75" customHeight="1">
      <c r="A736" s="1" t="s">
        <v>590</v>
      </c>
      <c r="B736" s="1" t="str">
        <f t="shared" si="1"/>
        <v>+44, 47, PRECIPED</v>
      </c>
    </row>
    <row r="737" ht="12.75" customHeight="1">
      <c r="A737" s="2"/>
      <c r="B737" s="1" t="str">
        <f t="shared" si="1"/>
        <v/>
      </c>
    </row>
    <row r="738" ht="12.75" customHeight="1">
      <c r="A738" s="1" t="s">
        <v>363</v>
      </c>
      <c r="B738" s="1" t="str">
        <f t="shared" si="1"/>
        <v># 1%</v>
      </c>
    </row>
    <row r="739" ht="12.75" customHeight="1">
      <c r="A739" s="1" t="s">
        <v>591</v>
      </c>
      <c r="B739" s="1" t="str">
        <f t="shared" si="1"/>
        <v>+45, 50, DRAGONITE</v>
      </c>
    </row>
    <row r="740" ht="12.75" customHeight="1">
      <c r="A740" s="1" t="s">
        <v>2600</v>
      </c>
      <c r="B740" s="1" t="str">
        <f t="shared" si="1"/>
        <v>+45, 50, LICKILOLLY</v>
      </c>
    </row>
    <row r="741" ht="12.75" customHeight="1">
      <c r="A741" s="1" t="s">
        <v>2601</v>
      </c>
      <c r="B741" s="1" t="str">
        <f t="shared" si="1"/>
        <v>2, 38, 44, DEWGONG</v>
      </c>
    </row>
    <row r="742" ht="12.75" customHeight="1">
      <c r="A742" s="1" t="s">
        <v>598</v>
      </c>
      <c r="B742" s="1" t="str">
        <f t="shared" si="1"/>
        <v>+40, 44, SEADRA</v>
      </c>
    </row>
    <row r="743" ht="12.75" customHeight="1">
      <c r="A743" s="1" t="s">
        <v>599</v>
      </c>
      <c r="B743" s="1" t="str">
        <f t="shared" si="1"/>
        <v>+42, 46, KINGLER</v>
      </c>
    </row>
    <row r="744" ht="12.75" customHeight="1">
      <c r="A744" s="1" t="s">
        <v>600</v>
      </c>
      <c r="B744" s="1" t="str">
        <f t="shared" si="1"/>
        <v>+42, 46, LAPRAS</v>
      </c>
    </row>
    <row r="745" ht="12.75" customHeight="1">
      <c r="A745" s="1" t="s">
        <v>2602</v>
      </c>
      <c r="B745" s="1" t="str">
        <f t="shared" si="1"/>
        <v>+42, 46, SLOWBRO</v>
      </c>
    </row>
    <row r="746" ht="12.75" customHeight="1">
      <c r="A746" s="1" t="s">
        <v>2572</v>
      </c>
      <c r="B746" s="1" t="str">
        <f t="shared" si="1"/>
        <v>20, # old rod:</v>
      </c>
    </row>
    <row r="747" ht="12.75" customHeight="1">
      <c r="A747" s="1" t="s">
        <v>602</v>
      </c>
      <c r="B747" s="1" t="str">
        <f t="shared" si="1"/>
        <v>19, 26, HORSEA</v>
      </c>
    </row>
    <row r="748" ht="12.75" customHeight="1">
      <c r="A748" s="1" t="s">
        <v>603</v>
      </c>
      <c r="B748" s="1" t="str">
        <f t="shared" si="1"/>
        <v>+19, 26, SHELLDER</v>
      </c>
    </row>
    <row r="749" ht="12.75" customHeight="1">
      <c r="A749" s="2"/>
      <c r="B749" s="1" t="str">
        <f t="shared" si="1"/>
        <v/>
      </c>
    </row>
    <row r="750" ht="12.75" customHeight="1">
      <c r="A750" s="1" t="s">
        <v>419</v>
      </c>
      <c r="B750" s="1" t="str">
        <f t="shared" si="1"/>
        <v># good rod:</v>
      </c>
    </row>
    <row r="751" ht="12.75" customHeight="1">
      <c r="A751" s="1" t="s">
        <v>604</v>
      </c>
      <c r="B751" s="1" t="str">
        <f t="shared" si="1"/>
        <v>+29, 33, SEADRA</v>
      </c>
    </row>
    <row r="752" ht="12.75" customHeight="1">
      <c r="A752" s="1" t="s">
        <v>605</v>
      </c>
      <c r="B752" s="1" t="str">
        <f t="shared" si="1"/>
        <v>+30, 35, KRABBY</v>
      </c>
    </row>
    <row r="753" ht="12.75" customHeight="1">
      <c r="A753" s="1" t="s">
        <v>606</v>
      </c>
      <c r="B753" s="1" t="str">
        <f t="shared" si="1"/>
        <v>+30, 35, GOLDUCK</v>
      </c>
    </row>
    <row r="754" ht="12.75" customHeight="1">
      <c r="A754" s="2"/>
      <c r="B754" s="1" t="str">
        <f t="shared" si="1"/>
        <v/>
      </c>
    </row>
    <row r="755" ht="12.75" customHeight="1">
      <c r="A755" s="1" t="s">
        <v>423</v>
      </c>
      <c r="B755" s="1" t="str">
        <f t="shared" si="1"/>
        <v># super rod:</v>
      </c>
    </row>
    <row r="756" ht="12.75" customHeight="1">
      <c r="A756" s="1" t="s">
        <v>607</v>
      </c>
      <c r="B756" s="1" t="str">
        <f t="shared" si="1"/>
        <v>+36, 40, KINGDRA</v>
      </c>
    </row>
    <row r="757" ht="12.75" customHeight="1">
      <c r="A757" s="1" t="s">
        <v>608</v>
      </c>
      <c r="B757" s="1" t="str">
        <f t="shared" si="1"/>
        <v>+36, 40, CLOYSTER</v>
      </c>
    </row>
    <row r="758" ht="12.75" customHeight="1">
      <c r="A758" s="1" t="s">
        <v>609</v>
      </c>
      <c r="B758" s="1" t="str">
        <f t="shared" si="1"/>
        <v>+38, 42, GILDUCK</v>
      </c>
    </row>
    <row r="759" ht="12.75" customHeight="1">
      <c r="A759" s="1" t="s">
        <v>610</v>
      </c>
      <c r="B759" s="1" t="str">
        <f t="shared" si="1"/>
        <v>+38, 42, KRAKLAW</v>
      </c>
    </row>
    <row r="760" ht="12.75" customHeight="1">
      <c r="A760" s="1" t="s">
        <v>2603</v>
      </c>
      <c r="B760" s="1" t="str">
        <f t="shared" si="1"/>
        <v>+40, 44, LORDRA</v>
      </c>
    </row>
    <row r="761" ht="12.75" customHeight="1">
      <c r="A761" s="1" t="s">
        <v>2539</v>
      </c>
      <c r="B761" s="1" t="str">
        <f t="shared" si="1"/>
        <v>NEW ROUTE</v>
      </c>
    </row>
    <row r="762" ht="12.75" customHeight="1">
      <c r="A762" s="1" t="s">
        <v>2604</v>
      </c>
      <c r="B762" s="1" t="str">
        <f t="shared" si="1"/>
        <v>+1, 87, 0,</v>
      </c>
    </row>
    <row r="763" ht="12.75" customHeight="1">
      <c r="A763" s="1" t="s">
        <v>2541</v>
      </c>
      <c r="B763" s="1" t="str">
        <f t="shared" si="1"/>
        <v>7, # 20%</v>
      </c>
    </row>
    <row r="764" ht="12.75" customHeight="1">
      <c r="A764" s="1" t="s">
        <v>581</v>
      </c>
      <c r="B764" s="1" t="str">
        <f t="shared" si="1"/>
        <v>40, 44, GOLBAT</v>
      </c>
    </row>
    <row r="765" ht="12.75" customHeight="1">
      <c r="A765" s="1" t="s">
        <v>582</v>
      </c>
      <c r="B765" s="1" t="str">
        <f t="shared" si="1"/>
        <v>+40, 44, GOLDUCK</v>
      </c>
    </row>
    <row r="766" ht="12.75" customHeight="1">
      <c r="A766" s="2"/>
      <c r="B766" s="1" t="str">
        <f t="shared" si="1"/>
        <v/>
      </c>
    </row>
    <row r="767" ht="12.75" customHeight="1">
      <c r="A767" s="1" t="s">
        <v>360</v>
      </c>
      <c r="B767" s="1" t="str">
        <f t="shared" si="1"/>
        <v># 10%</v>
      </c>
    </row>
    <row r="768" ht="12.75" customHeight="1">
      <c r="A768" s="1" t="s">
        <v>583</v>
      </c>
      <c r="B768" s="1" t="str">
        <f t="shared" si="1"/>
        <v>+40, 44, SLOWBRO</v>
      </c>
    </row>
    <row r="769" ht="12.75" customHeight="1">
      <c r="A769" s="1" t="s">
        <v>584</v>
      </c>
      <c r="B769" s="1" t="str">
        <f t="shared" si="1"/>
        <v>+40, 44, CROBAT</v>
      </c>
    </row>
    <row r="770" ht="12.75" customHeight="1">
      <c r="A770" s="1" t="s">
        <v>585</v>
      </c>
      <c r="B770" s="1" t="str">
        <f t="shared" si="1"/>
        <v>+40, 44, DEWGONG</v>
      </c>
    </row>
    <row r="771" ht="12.75" customHeight="1">
      <c r="A771" s="1" t="s">
        <v>586</v>
      </c>
      <c r="B771" s="1" t="str">
        <f t="shared" si="1"/>
        <v>+40, 44, LICKILICKY</v>
      </c>
    </row>
    <row r="772" ht="12.75" customHeight="1">
      <c r="A772" s="2"/>
      <c r="B772" s="1" t="str">
        <f t="shared" si="1"/>
        <v/>
      </c>
    </row>
    <row r="773" ht="12.75" customHeight="1">
      <c r="A773" s="1" t="s">
        <v>361</v>
      </c>
      <c r="B773" s="1" t="str">
        <f t="shared" si="1"/>
        <v># 5%</v>
      </c>
    </row>
    <row r="774" ht="12.75" customHeight="1">
      <c r="A774" s="1" t="s">
        <v>587</v>
      </c>
      <c r="B774" s="1" t="str">
        <f t="shared" si="1"/>
        <v>+42, 46, POLABAT</v>
      </c>
    </row>
    <row r="775" ht="12.75" customHeight="1">
      <c r="A775" s="1" t="s">
        <v>588</v>
      </c>
      <c r="B775" s="1" t="str">
        <f t="shared" si="1"/>
        <v>+42, 46, GILDUCK</v>
      </c>
    </row>
    <row r="776" ht="12.75" customHeight="1">
      <c r="A776" s="2"/>
      <c r="B776" s="1" t="str">
        <f t="shared" si="1"/>
        <v/>
      </c>
    </row>
    <row r="777" ht="12.75" customHeight="1">
      <c r="A777" s="1" t="s">
        <v>362</v>
      </c>
      <c r="B777" s="1" t="str">
        <f t="shared" si="1"/>
        <v># 4%</v>
      </c>
    </row>
    <row r="778" ht="12.75" customHeight="1">
      <c r="A778" s="1" t="s">
        <v>589</v>
      </c>
      <c r="B778" s="1" t="str">
        <f t="shared" si="1"/>
        <v>+44, 47, SLOWMATE</v>
      </c>
    </row>
    <row r="779" ht="12.75" customHeight="1">
      <c r="A779" s="1" t="s">
        <v>590</v>
      </c>
      <c r="B779" s="1" t="str">
        <f t="shared" si="1"/>
        <v>+44, 47, PRECIPED</v>
      </c>
    </row>
    <row r="780" ht="12.75" customHeight="1">
      <c r="A780" s="2"/>
      <c r="B780" s="1" t="str">
        <f t="shared" si="1"/>
        <v/>
      </c>
    </row>
    <row r="781" ht="12.75" customHeight="1">
      <c r="A781" s="1" t="s">
        <v>363</v>
      </c>
      <c r="B781" s="1" t="str">
        <f t="shared" si="1"/>
        <v># 1%</v>
      </c>
    </row>
    <row r="782" ht="12.75" customHeight="1">
      <c r="A782" s="1" t="s">
        <v>591</v>
      </c>
      <c r="B782" s="1" t="str">
        <f t="shared" si="1"/>
        <v>+45, 50, DRAGONITE</v>
      </c>
    </row>
    <row r="783" ht="12.75" customHeight="1">
      <c r="A783" s="1" t="s">
        <v>2600</v>
      </c>
      <c r="B783" s="1" t="str">
        <f t="shared" si="1"/>
        <v>+45, 50, LICKILOLLY</v>
      </c>
    </row>
    <row r="784" ht="12.75" customHeight="1">
      <c r="A784" s="1" t="s">
        <v>2601</v>
      </c>
      <c r="B784" s="1" t="str">
        <f t="shared" si="1"/>
        <v>2, 38, 44, DEWGONG</v>
      </c>
    </row>
    <row r="785" ht="12.75" customHeight="1">
      <c r="A785" s="1" t="s">
        <v>598</v>
      </c>
      <c r="B785" s="1" t="str">
        <f t="shared" si="1"/>
        <v>+40, 44, SEADRA</v>
      </c>
    </row>
    <row r="786" ht="12.75" customHeight="1">
      <c r="A786" s="1" t="s">
        <v>599</v>
      </c>
      <c r="B786" s="1" t="str">
        <f t="shared" si="1"/>
        <v>+42, 46, KINGLER</v>
      </c>
    </row>
    <row r="787" ht="12.75" customHeight="1">
      <c r="A787" s="1" t="s">
        <v>600</v>
      </c>
      <c r="B787" s="1" t="str">
        <f t="shared" si="1"/>
        <v>+42, 46, LAPRAS</v>
      </c>
    </row>
    <row r="788" ht="12.75" customHeight="1">
      <c r="A788" s="1" t="s">
        <v>2602</v>
      </c>
      <c r="B788" s="1" t="str">
        <f t="shared" si="1"/>
        <v>+42, 46, SLOWBRO</v>
      </c>
    </row>
    <row r="789" ht="12.75" customHeight="1">
      <c r="A789" s="1" t="s">
        <v>2572</v>
      </c>
      <c r="B789" s="1" t="str">
        <f t="shared" si="1"/>
        <v>20, # old rod:</v>
      </c>
    </row>
    <row r="790" ht="12.75" customHeight="1">
      <c r="A790" s="1" t="s">
        <v>602</v>
      </c>
      <c r="B790" s="1" t="str">
        <f t="shared" si="1"/>
        <v>19, 26, HORSEA</v>
      </c>
    </row>
    <row r="791" ht="12.75" customHeight="1">
      <c r="A791" s="1" t="s">
        <v>603</v>
      </c>
      <c r="B791" s="1" t="str">
        <f t="shared" si="1"/>
        <v>+19, 26, SHELLDER</v>
      </c>
    </row>
    <row r="792" ht="12.75" customHeight="1">
      <c r="A792" s="2"/>
      <c r="B792" s="1" t="str">
        <f t="shared" si="1"/>
        <v/>
      </c>
    </row>
    <row r="793" ht="12.75" customHeight="1">
      <c r="A793" s="1" t="s">
        <v>419</v>
      </c>
      <c r="B793" s="1" t="str">
        <f t="shared" si="1"/>
        <v># good rod:</v>
      </c>
    </row>
    <row r="794" ht="12.75" customHeight="1">
      <c r="A794" s="1" t="s">
        <v>604</v>
      </c>
      <c r="B794" s="1" t="str">
        <f t="shared" si="1"/>
        <v>+29, 33, SEADRA</v>
      </c>
    </row>
    <row r="795" ht="12.75" customHeight="1">
      <c r="A795" s="1" t="s">
        <v>605</v>
      </c>
      <c r="B795" s="1" t="str">
        <f t="shared" si="1"/>
        <v>+30, 35, KRABBY</v>
      </c>
    </row>
    <row r="796" ht="12.75" customHeight="1">
      <c r="A796" s="1" t="s">
        <v>606</v>
      </c>
      <c r="B796" s="1" t="str">
        <f t="shared" si="1"/>
        <v>+30, 35, GOLDUCK</v>
      </c>
    </row>
    <row r="797" ht="12.75" customHeight="1">
      <c r="A797" s="2"/>
      <c r="B797" s="1" t="str">
        <f t="shared" si="1"/>
        <v/>
      </c>
    </row>
    <row r="798" ht="12.75" customHeight="1">
      <c r="A798" s="1" t="s">
        <v>423</v>
      </c>
      <c r="B798" s="1" t="str">
        <f t="shared" si="1"/>
        <v># super rod:</v>
      </c>
    </row>
    <row r="799" ht="12.75" customHeight="1">
      <c r="A799" s="1" t="s">
        <v>607</v>
      </c>
      <c r="B799" s="1" t="str">
        <f t="shared" si="1"/>
        <v>+36, 40, KINGDRA</v>
      </c>
    </row>
    <row r="800" ht="12.75" customHeight="1">
      <c r="A800" s="1" t="s">
        <v>608</v>
      </c>
      <c r="B800" s="1" t="str">
        <f t="shared" si="1"/>
        <v>+36, 40, CLOYSTER</v>
      </c>
    </row>
    <row r="801" ht="12.75" customHeight="1">
      <c r="A801" s="1" t="s">
        <v>609</v>
      </c>
      <c r="B801" s="1" t="str">
        <f t="shared" si="1"/>
        <v>+38, 42, GILDUCK</v>
      </c>
    </row>
    <row r="802" ht="12.75" customHeight="1">
      <c r="A802" s="1" t="s">
        <v>610</v>
      </c>
      <c r="B802" s="1" t="str">
        <f t="shared" si="1"/>
        <v>+38, 42, KRAKLAW</v>
      </c>
    </row>
    <row r="803" ht="12.75" customHeight="1">
      <c r="A803" s="1" t="s">
        <v>2603</v>
      </c>
      <c r="B803" s="1" t="str">
        <f t="shared" si="1"/>
        <v>+40, 44, LORDRA</v>
      </c>
    </row>
    <row r="804" ht="12.75" customHeight="1">
      <c r="A804" s="1" t="s">
        <v>2539</v>
      </c>
      <c r="B804" s="1" t="str">
        <f t="shared" si="1"/>
        <v>NEW ROUTE</v>
      </c>
    </row>
    <row r="805" ht="12.75" customHeight="1">
      <c r="A805" s="1" t="s">
        <v>2605</v>
      </c>
      <c r="B805" s="1" t="str">
        <f t="shared" si="1"/>
        <v>+1, 90, 0,</v>
      </c>
    </row>
    <row r="806" ht="12.75" customHeight="1">
      <c r="A806" s="1" t="s">
        <v>2606</v>
      </c>
      <c r="B806" s="1" t="str">
        <f t="shared" si="1"/>
        <v>2, # 20%</v>
      </c>
    </row>
    <row r="807" ht="12.75" customHeight="1">
      <c r="A807" s="1" t="s">
        <v>614</v>
      </c>
      <c r="B807" s="1" t="str">
        <f t="shared" si="1"/>
        <v>28, 31, GASTLY</v>
      </c>
    </row>
    <row r="808" ht="12.75" customHeight="1">
      <c r="A808" s="1" t="s">
        <v>615</v>
      </c>
      <c r="B808" s="1" t="str">
        <f t="shared" si="1"/>
        <v>+29, 32, RATTATA</v>
      </c>
    </row>
    <row r="809" ht="12.75" customHeight="1">
      <c r="A809" s="2"/>
      <c r="B809" s="1" t="str">
        <f t="shared" si="1"/>
        <v/>
      </c>
    </row>
    <row r="810" ht="12.75" customHeight="1">
      <c r="A810" s="1" t="s">
        <v>360</v>
      </c>
      <c r="B810" s="1" t="str">
        <f t="shared" si="1"/>
        <v># 10%</v>
      </c>
    </row>
    <row r="811" ht="12.75" customHeight="1">
      <c r="A811" s="1" t="s">
        <v>616</v>
      </c>
      <c r="B811" s="1" t="str">
        <f t="shared" si="1"/>
        <v>+27, 31, CUBONE</v>
      </c>
    </row>
    <row r="812" ht="12.75" customHeight="1">
      <c r="A812" s="1" t="s">
        <v>617</v>
      </c>
      <c r="B812" s="1" t="str">
        <f t="shared" si="1"/>
        <v>+29, 32, HAUNTER</v>
      </c>
    </row>
    <row r="813" ht="12.75" customHeight="1">
      <c r="A813" s="1" t="s">
        <v>618</v>
      </c>
      <c r="B813" s="1" t="str">
        <f t="shared" si="1"/>
        <v>+28, 31, DROWZEE</v>
      </c>
    </row>
    <row r="814" ht="12.75" customHeight="1">
      <c r="A814" s="1" t="s">
        <v>619</v>
      </c>
      <c r="B814" s="1" t="str">
        <f t="shared" si="1"/>
        <v>+28, 31, VULPIX</v>
      </c>
    </row>
    <row r="815" ht="12.75" customHeight="1">
      <c r="A815" s="2"/>
      <c r="B815" s="1" t="str">
        <f t="shared" si="1"/>
        <v/>
      </c>
    </row>
    <row r="816" ht="12.75" customHeight="1">
      <c r="A816" s="1" t="s">
        <v>361</v>
      </c>
      <c r="B816" s="1" t="str">
        <f t="shared" si="1"/>
        <v># 5%</v>
      </c>
    </row>
    <row r="817" ht="12.75" customHeight="1">
      <c r="A817" s="1" t="s">
        <v>620</v>
      </c>
      <c r="B817" s="1" t="str">
        <f t="shared" si="1"/>
        <v>+29, 32, HYPNO</v>
      </c>
    </row>
    <row r="818" ht="12.75" customHeight="1">
      <c r="A818" s="1" t="s">
        <v>621</v>
      </c>
      <c r="B818" s="1" t="str">
        <f t="shared" si="1"/>
        <v>+28, 31, RATICATE</v>
      </c>
    </row>
    <row r="819" ht="12.75" customHeight="1">
      <c r="A819" s="2"/>
      <c r="B819" s="1" t="str">
        <f t="shared" si="1"/>
        <v/>
      </c>
    </row>
    <row r="820" ht="12.75" customHeight="1">
      <c r="A820" s="1" t="s">
        <v>362</v>
      </c>
      <c r="B820" s="1" t="str">
        <f t="shared" si="1"/>
        <v># 4%</v>
      </c>
    </row>
    <row r="821" ht="12.75" customHeight="1">
      <c r="A821" s="1" t="s">
        <v>622</v>
      </c>
      <c r="B821" s="1" t="str">
        <f t="shared" si="1"/>
        <v>+29, 32, MAROWAK</v>
      </c>
    </row>
    <row r="822" ht="12.75" customHeight="1">
      <c r="A822" s="1" t="s">
        <v>623</v>
      </c>
      <c r="B822" s="1" t="str">
        <f t="shared" si="1"/>
        <v>+28, 31, RATTCHET</v>
      </c>
    </row>
    <row r="823" ht="12.75" customHeight="1">
      <c r="A823" s="2"/>
      <c r="B823" s="1" t="str">
        <f t="shared" si="1"/>
        <v/>
      </c>
    </row>
    <row r="824" ht="12.75" customHeight="1">
      <c r="A824" s="1" t="s">
        <v>363</v>
      </c>
      <c r="B824" s="1" t="str">
        <f t="shared" si="1"/>
        <v># 1%</v>
      </c>
    </row>
    <row r="825" ht="12.75" customHeight="1">
      <c r="A825" s="1" t="s">
        <v>624</v>
      </c>
      <c r="B825" s="1" t="str">
        <f t="shared" si="1"/>
        <v>+33, 33, HAUNTER</v>
      </c>
    </row>
    <row r="826" ht="12.75" customHeight="1">
      <c r="A826" s="1" t="s">
        <v>2607</v>
      </c>
      <c r="B826" s="1" t="str">
        <f t="shared" si="1"/>
        <v>+32, 33, NINETALES , &lt;null&gt;, &lt;null&gt;, &lt;null&gt;</v>
      </c>
    </row>
    <row r="827" ht="12.75" customHeight="1">
      <c r="A827" s="2"/>
      <c r="B827" s="1" t="str">
        <f t="shared" si="1"/>
        <v/>
      </c>
    </row>
    <row r="828" ht="12.75" customHeight="1">
      <c r="A828" s="1" t="s">
        <v>2539</v>
      </c>
      <c r="B828" s="1" t="str">
        <f t="shared" si="1"/>
        <v>NEW ROUTE</v>
      </c>
    </row>
    <row r="829" ht="12.75" customHeight="1">
      <c r="A829" s="1" t="s">
        <v>2608</v>
      </c>
      <c r="B829" s="1" t="str">
        <f t="shared" si="1"/>
        <v>+1, 91, 0,</v>
      </c>
    </row>
    <row r="830" ht="12.75" customHeight="1">
      <c r="A830" s="1" t="s">
        <v>2609</v>
      </c>
      <c r="B830" s="1" t="str">
        <f t="shared" si="1"/>
        <v>4, # 20%</v>
      </c>
    </row>
    <row r="831" ht="12.75" customHeight="1">
      <c r="A831" s="1" t="s">
        <v>614</v>
      </c>
      <c r="B831" s="1" t="str">
        <f t="shared" si="1"/>
        <v>28, 31, GASTLY</v>
      </c>
    </row>
    <row r="832" ht="12.75" customHeight="1">
      <c r="A832" s="1" t="s">
        <v>615</v>
      </c>
      <c r="B832" s="1" t="str">
        <f t="shared" si="1"/>
        <v>+29, 32, RATTATA</v>
      </c>
    </row>
    <row r="833" ht="12.75" customHeight="1">
      <c r="A833" s="2"/>
      <c r="B833" s="1" t="str">
        <f t="shared" si="1"/>
        <v/>
      </c>
    </row>
    <row r="834" ht="12.75" customHeight="1">
      <c r="A834" s="1" t="s">
        <v>360</v>
      </c>
      <c r="B834" s="1" t="str">
        <f t="shared" si="1"/>
        <v># 10%</v>
      </c>
    </row>
    <row r="835" ht="12.75" customHeight="1">
      <c r="A835" s="1" t="s">
        <v>616</v>
      </c>
      <c r="B835" s="1" t="str">
        <f t="shared" si="1"/>
        <v>+27, 31, CUBONE</v>
      </c>
    </row>
    <row r="836" ht="12.75" customHeight="1">
      <c r="A836" s="1" t="s">
        <v>617</v>
      </c>
      <c r="B836" s="1" t="str">
        <f t="shared" si="1"/>
        <v>+29, 32, HAUNTER</v>
      </c>
    </row>
    <row r="837" ht="12.75" customHeight="1">
      <c r="A837" s="1" t="s">
        <v>618</v>
      </c>
      <c r="B837" s="1" t="str">
        <f t="shared" si="1"/>
        <v>+28, 31, DROWZEE</v>
      </c>
    </row>
    <row r="838" ht="12.75" customHeight="1">
      <c r="A838" s="1" t="s">
        <v>619</v>
      </c>
      <c r="B838" s="1" t="str">
        <f t="shared" si="1"/>
        <v>+28, 31, VULPIX</v>
      </c>
    </row>
    <row r="839" ht="12.75" customHeight="1">
      <c r="A839" s="2"/>
      <c r="B839" s="1" t="str">
        <f t="shared" si="1"/>
        <v/>
      </c>
    </row>
    <row r="840" ht="12.75" customHeight="1">
      <c r="A840" s="1" t="s">
        <v>361</v>
      </c>
      <c r="B840" s="1" t="str">
        <f t="shared" si="1"/>
        <v># 5%</v>
      </c>
    </row>
    <row r="841" ht="12.75" customHeight="1">
      <c r="A841" s="1" t="s">
        <v>620</v>
      </c>
      <c r="B841" s="1" t="str">
        <f t="shared" si="1"/>
        <v>+29, 32, HYPNO</v>
      </c>
    </row>
    <row r="842" ht="12.75" customHeight="1">
      <c r="A842" s="1" t="s">
        <v>621</v>
      </c>
      <c r="B842" s="1" t="str">
        <f t="shared" si="1"/>
        <v>+28, 31, RATICATE</v>
      </c>
    </row>
    <row r="843" ht="12.75" customHeight="1">
      <c r="A843" s="2"/>
      <c r="B843" s="1" t="str">
        <f t="shared" si="1"/>
        <v/>
      </c>
    </row>
    <row r="844" ht="12.75" customHeight="1">
      <c r="A844" s="1" t="s">
        <v>362</v>
      </c>
      <c r="B844" s="1" t="str">
        <f t="shared" si="1"/>
        <v># 4%</v>
      </c>
    </row>
    <row r="845" ht="12.75" customHeight="1">
      <c r="A845" s="1" t="s">
        <v>622</v>
      </c>
      <c r="B845" s="1" t="str">
        <f t="shared" si="1"/>
        <v>+29, 32, MAROWAK</v>
      </c>
    </row>
    <row r="846" ht="12.75" customHeight="1">
      <c r="A846" s="1" t="s">
        <v>623</v>
      </c>
      <c r="B846" s="1" t="str">
        <f t="shared" si="1"/>
        <v>+28, 31, RATTCHET</v>
      </c>
    </row>
    <row r="847" ht="12.75" customHeight="1">
      <c r="A847" s="2"/>
      <c r="B847" s="1" t="str">
        <f t="shared" si="1"/>
        <v/>
      </c>
    </row>
    <row r="848" ht="12.75" customHeight="1">
      <c r="A848" s="1" t="s">
        <v>363</v>
      </c>
      <c r="B848" s="1" t="str">
        <f t="shared" si="1"/>
        <v># 1%</v>
      </c>
    </row>
    <row r="849" ht="12.75" customHeight="1">
      <c r="A849" s="1" t="s">
        <v>624</v>
      </c>
      <c r="B849" s="1" t="str">
        <f t="shared" si="1"/>
        <v>+33, 33, HAUNTER</v>
      </c>
    </row>
    <row r="850" ht="12.75" customHeight="1">
      <c r="A850" s="1" t="s">
        <v>2607</v>
      </c>
      <c r="B850" s="1" t="str">
        <f t="shared" si="1"/>
        <v>+32, 33, NINETALES , &lt;null&gt;, &lt;null&gt;, &lt;null&gt;</v>
      </c>
    </row>
    <row r="851" ht="12.75" customHeight="1">
      <c r="A851" s="2"/>
      <c r="B851" s="1" t="str">
        <f t="shared" si="1"/>
        <v/>
      </c>
    </row>
    <row r="852" ht="12.75" customHeight="1">
      <c r="A852" s="1" t="s">
        <v>2539</v>
      </c>
      <c r="B852" s="1" t="str">
        <f t="shared" si="1"/>
        <v>NEW ROUTE</v>
      </c>
    </row>
    <row r="853" ht="12.75" customHeight="1">
      <c r="A853" s="1" t="s">
        <v>2610</v>
      </c>
      <c r="B853" s="1" t="str">
        <f t="shared" si="1"/>
        <v>+1, 92, 0,</v>
      </c>
    </row>
    <row r="854" ht="12.75" customHeight="1">
      <c r="A854" s="1" t="s">
        <v>2611</v>
      </c>
      <c r="B854" s="1" t="str">
        <f t="shared" si="1"/>
        <v>6, # 20%</v>
      </c>
    </row>
    <row r="855" ht="12.75" customHeight="1">
      <c r="A855" s="1" t="s">
        <v>614</v>
      </c>
      <c r="B855" s="1" t="str">
        <f t="shared" si="1"/>
        <v>28, 31, GASTLY</v>
      </c>
    </row>
    <row r="856" ht="12.75" customHeight="1">
      <c r="A856" s="1" t="s">
        <v>615</v>
      </c>
      <c r="B856" s="1" t="str">
        <f t="shared" si="1"/>
        <v>+29, 32, RATTATA</v>
      </c>
    </row>
    <row r="857" ht="12.75" customHeight="1">
      <c r="A857" s="2"/>
      <c r="B857" s="1" t="str">
        <f t="shared" si="1"/>
        <v/>
      </c>
    </row>
    <row r="858" ht="12.75" customHeight="1">
      <c r="A858" s="1" t="s">
        <v>360</v>
      </c>
      <c r="B858" s="1" t="str">
        <f t="shared" si="1"/>
        <v># 10%</v>
      </c>
    </row>
    <row r="859" ht="12.75" customHeight="1">
      <c r="A859" s="1" t="s">
        <v>616</v>
      </c>
      <c r="B859" s="1" t="str">
        <f t="shared" si="1"/>
        <v>+27, 31, CUBONE</v>
      </c>
    </row>
    <row r="860" ht="12.75" customHeight="1">
      <c r="A860" s="1" t="s">
        <v>617</v>
      </c>
      <c r="B860" s="1" t="str">
        <f t="shared" si="1"/>
        <v>+29, 32, HAUNTER</v>
      </c>
    </row>
    <row r="861" ht="12.75" customHeight="1">
      <c r="A861" s="1" t="s">
        <v>618</v>
      </c>
      <c r="B861" s="1" t="str">
        <f t="shared" si="1"/>
        <v>+28, 31, DROWZEE</v>
      </c>
    </row>
    <row r="862" ht="12.75" customHeight="1">
      <c r="A862" s="1" t="s">
        <v>619</v>
      </c>
      <c r="B862" s="1" t="str">
        <f t="shared" si="1"/>
        <v>+28, 31, VULPIX</v>
      </c>
    </row>
    <row r="863" ht="12.75" customHeight="1">
      <c r="A863" s="2"/>
      <c r="B863" s="1" t="str">
        <f t="shared" si="1"/>
        <v/>
      </c>
    </row>
    <row r="864" ht="12.75" customHeight="1">
      <c r="A864" s="1" t="s">
        <v>361</v>
      </c>
      <c r="B864" s="1" t="str">
        <f t="shared" si="1"/>
        <v># 5%</v>
      </c>
    </row>
    <row r="865" ht="12.75" customHeight="1">
      <c r="A865" s="1" t="s">
        <v>620</v>
      </c>
      <c r="B865" s="1" t="str">
        <f t="shared" si="1"/>
        <v>+29, 32, HYPNO</v>
      </c>
    </row>
    <row r="866" ht="12.75" customHeight="1">
      <c r="A866" s="1" t="s">
        <v>621</v>
      </c>
      <c r="B866" s="1" t="str">
        <f t="shared" si="1"/>
        <v>+28, 31, RATICATE</v>
      </c>
    </row>
    <row r="867" ht="12.75" customHeight="1">
      <c r="A867" s="2"/>
      <c r="B867" s="1" t="str">
        <f t="shared" si="1"/>
        <v/>
      </c>
    </row>
    <row r="868" ht="12.75" customHeight="1">
      <c r="A868" s="1" t="s">
        <v>362</v>
      </c>
      <c r="B868" s="1" t="str">
        <f t="shared" si="1"/>
        <v># 4%</v>
      </c>
    </row>
    <row r="869" ht="12.75" customHeight="1">
      <c r="A869" s="1" t="s">
        <v>622</v>
      </c>
      <c r="B869" s="1" t="str">
        <f t="shared" si="1"/>
        <v>+29, 32, MAROWAK</v>
      </c>
    </row>
    <row r="870" ht="12.75" customHeight="1">
      <c r="A870" s="1" t="s">
        <v>623</v>
      </c>
      <c r="B870" s="1" t="str">
        <f t="shared" si="1"/>
        <v>+28, 31, RATTCHET</v>
      </c>
    </row>
    <row r="871" ht="12.75" customHeight="1">
      <c r="A871" s="2"/>
      <c r="B871" s="1" t="str">
        <f t="shared" si="1"/>
        <v/>
      </c>
    </row>
    <row r="872" ht="12.75" customHeight="1">
      <c r="A872" s="1" t="s">
        <v>363</v>
      </c>
      <c r="B872" s="1" t="str">
        <f t="shared" si="1"/>
        <v># 1%</v>
      </c>
    </row>
    <row r="873" ht="12.75" customHeight="1">
      <c r="A873" s="1" t="s">
        <v>624</v>
      </c>
      <c r="B873" s="1" t="str">
        <f t="shared" si="1"/>
        <v>+33, 33, HAUNTER</v>
      </c>
    </row>
    <row r="874" ht="12.75" customHeight="1">
      <c r="A874" s="1" t="s">
        <v>2607</v>
      </c>
      <c r="B874" s="1" t="str">
        <f t="shared" si="1"/>
        <v>+32, 33, NINETALES , &lt;null&gt;, &lt;null&gt;, &lt;null&gt;</v>
      </c>
    </row>
    <row r="875" ht="12.75" customHeight="1">
      <c r="A875" s="2"/>
      <c r="B875" s="1" t="str">
        <f t="shared" si="1"/>
        <v/>
      </c>
    </row>
    <row r="876" ht="12.75" customHeight="1">
      <c r="A876" s="1" t="s">
        <v>2539</v>
      </c>
      <c r="B876" s="1" t="str">
        <f t="shared" si="1"/>
        <v>NEW ROUTE</v>
      </c>
    </row>
    <row r="877" ht="12.75" customHeight="1">
      <c r="A877" s="1" t="s">
        <v>2612</v>
      </c>
      <c r="B877" s="1" t="str">
        <f t="shared" si="1"/>
        <v>+1, 93, 0,</v>
      </c>
    </row>
    <row r="878" ht="12.75" customHeight="1">
      <c r="A878" s="1" t="s">
        <v>2613</v>
      </c>
      <c r="B878" s="1" t="str">
        <f t="shared" si="1"/>
        <v>8, # 20%</v>
      </c>
    </row>
    <row r="879" ht="12.75" customHeight="1">
      <c r="A879" s="1" t="s">
        <v>614</v>
      </c>
      <c r="B879" s="1" t="str">
        <f t="shared" si="1"/>
        <v>28, 31, GASTLY</v>
      </c>
    </row>
    <row r="880" ht="12.75" customHeight="1">
      <c r="A880" s="1" t="s">
        <v>615</v>
      </c>
      <c r="B880" s="1" t="str">
        <f t="shared" si="1"/>
        <v>+29, 32, RATTATA</v>
      </c>
    </row>
    <row r="881" ht="12.75" customHeight="1">
      <c r="A881" s="2"/>
      <c r="B881" s="1" t="str">
        <f t="shared" si="1"/>
        <v/>
      </c>
    </row>
    <row r="882" ht="12.75" customHeight="1">
      <c r="A882" s="1" t="s">
        <v>360</v>
      </c>
      <c r="B882" s="1" t="str">
        <f t="shared" si="1"/>
        <v># 10%</v>
      </c>
    </row>
    <row r="883" ht="12.75" customHeight="1">
      <c r="A883" s="1" t="s">
        <v>616</v>
      </c>
      <c r="B883" s="1" t="str">
        <f t="shared" si="1"/>
        <v>+27, 31, CUBONE</v>
      </c>
    </row>
    <row r="884" ht="12.75" customHeight="1">
      <c r="A884" s="1" t="s">
        <v>617</v>
      </c>
      <c r="B884" s="1" t="str">
        <f t="shared" si="1"/>
        <v>+29, 32, HAUNTER</v>
      </c>
    </row>
    <row r="885" ht="12.75" customHeight="1">
      <c r="A885" s="1" t="s">
        <v>618</v>
      </c>
      <c r="B885" s="1" t="str">
        <f t="shared" si="1"/>
        <v>+28, 31, DROWZEE</v>
      </c>
    </row>
    <row r="886" ht="12.75" customHeight="1">
      <c r="A886" s="1" t="s">
        <v>619</v>
      </c>
      <c r="B886" s="1" t="str">
        <f t="shared" si="1"/>
        <v>+28, 31, VULPIX</v>
      </c>
    </row>
    <row r="887" ht="12.75" customHeight="1">
      <c r="A887" s="2"/>
      <c r="B887" s="1" t="str">
        <f t="shared" si="1"/>
        <v/>
      </c>
    </row>
    <row r="888" ht="12.75" customHeight="1">
      <c r="A888" s="1" t="s">
        <v>361</v>
      </c>
      <c r="B888" s="1" t="str">
        <f t="shared" si="1"/>
        <v># 5%</v>
      </c>
    </row>
    <row r="889" ht="12.75" customHeight="1">
      <c r="A889" s="1" t="s">
        <v>620</v>
      </c>
      <c r="B889" s="1" t="str">
        <f t="shared" si="1"/>
        <v>+29, 32, HYPNO</v>
      </c>
    </row>
    <row r="890" ht="12.75" customHeight="1">
      <c r="A890" s="1" t="s">
        <v>621</v>
      </c>
      <c r="B890" s="1" t="str">
        <f t="shared" si="1"/>
        <v>+28, 31, RATICATE</v>
      </c>
    </row>
    <row r="891" ht="12.75" customHeight="1">
      <c r="A891" s="2"/>
      <c r="B891" s="1" t="str">
        <f t="shared" si="1"/>
        <v/>
      </c>
    </row>
    <row r="892" ht="12.75" customHeight="1">
      <c r="A892" s="1" t="s">
        <v>362</v>
      </c>
      <c r="B892" s="1" t="str">
        <f t="shared" si="1"/>
        <v># 4%</v>
      </c>
    </row>
    <row r="893" ht="12.75" customHeight="1">
      <c r="A893" s="1" t="s">
        <v>622</v>
      </c>
      <c r="B893" s="1" t="str">
        <f t="shared" si="1"/>
        <v>+29, 32, MAROWAK</v>
      </c>
    </row>
    <row r="894" ht="12.75" customHeight="1">
      <c r="A894" s="1" t="s">
        <v>623</v>
      </c>
      <c r="B894" s="1" t="str">
        <f t="shared" si="1"/>
        <v>+28, 31, RATTCHET</v>
      </c>
    </row>
    <row r="895" ht="12.75" customHeight="1">
      <c r="A895" s="2"/>
      <c r="B895" s="1" t="str">
        <f t="shared" si="1"/>
        <v/>
      </c>
    </row>
    <row r="896" ht="12.75" customHeight="1">
      <c r="A896" s="1" t="s">
        <v>363</v>
      </c>
      <c r="B896" s="1" t="str">
        <f t="shared" si="1"/>
        <v># 1%</v>
      </c>
    </row>
    <row r="897" ht="12.75" customHeight="1">
      <c r="A897" s="1" t="s">
        <v>624</v>
      </c>
      <c r="B897" s="1" t="str">
        <f t="shared" si="1"/>
        <v>+33, 33, HAUNTER</v>
      </c>
    </row>
    <row r="898" ht="12.75" customHeight="1">
      <c r="A898" s="1" t="s">
        <v>2607</v>
      </c>
      <c r="B898" s="1" t="str">
        <f t="shared" si="1"/>
        <v>+32, 33, NINETALES , &lt;null&gt;, &lt;null&gt;, &lt;null&gt;</v>
      </c>
    </row>
    <row r="899" ht="12.75" customHeight="1">
      <c r="A899" s="2"/>
      <c r="B899" s="1" t="str">
        <f t="shared" si="1"/>
        <v/>
      </c>
    </row>
    <row r="900" ht="12.75" customHeight="1">
      <c r="A900" s="1" t="s">
        <v>2539</v>
      </c>
      <c r="B900" s="1" t="str">
        <f t="shared" si="1"/>
        <v>NEW ROUTE</v>
      </c>
    </row>
    <row r="901" ht="12.75" customHeight="1">
      <c r="A901" s="1" t="s">
        <v>2614</v>
      </c>
      <c r="B901" s="1" t="str">
        <f t="shared" si="1"/>
        <v>+1, 94, 0,</v>
      </c>
    </row>
    <row r="902" ht="12.75" customHeight="1">
      <c r="A902" s="1" t="s">
        <v>2615</v>
      </c>
      <c r="B902" s="1" t="str">
        <f t="shared" si="1"/>
        <v>10, # 20%</v>
      </c>
    </row>
    <row r="903" ht="12.75" customHeight="1">
      <c r="A903" s="1" t="s">
        <v>614</v>
      </c>
      <c r="B903" s="1" t="str">
        <f t="shared" si="1"/>
        <v>28, 31, GASTLY</v>
      </c>
    </row>
    <row r="904" ht="12.75" customHeight="1">
      <c r="A904" s="1" t="s">
        <v>615</v>
      </c>
      <c r="B904" s="1" t="str">
        <f t="shared" si="1"/>
        <v>+29, 32, RATTATA</v>
      </c>
    </row>
    <row r="905" ht="12.75" customHeight="1">
      <c r="A905" s="2"/>
      <c r="B905" s="1" t="str">
        <f t="shared" si="1"/>
        <v/>
      </c>
    </row>
    <row r="906" ht="12.75" customHeight="1">
      <c r="A906" s="1" t="s">
        <v>360</v>
      </c>
      <c r="B906" s="1" t="str">
        <f t="shared" si="1"/>
        <v># 10%</v>
      </c>
    </row>
    <row r="907" ht="12.75" customHeight="1">
      <c r="A907" s="1" t="s">
        <v>616</v>
      </c>
      <c r="B907" s="1" t="str">
        <f t="shared" si="1"/>
        <v>+27, 31, CUBONE</v>
      </c>
    </row>
    <row r="908" ht="12.75" customHeight="1">
      <c r="A908" s="1" t="s">
        <v>617</v>
      </c>
      <c r="B908" s="1" t="str">
        <f t="shared" si="1"/>
        <v>+29, 32, HAUNTER</v>
      </c>
    </row>
    <row r="909" ht="12.75" customHeight="1">
      <c r="A909" s="1" t="s">
        <v>618</v>
      </c>
      <c r="B909" s="1" t="str">
        <f t="shared" si="1"/>
        <v>+28, 31, DROWZEE</v>
      </c>
    </row>
    <row r="910" ht="12.75" customHeight="1">
      <c r="A910" s="1" t="s">
        <v>619</v>
      </c>
      <c r="B910" s="1" t="str">
        <f t="shared" si="1"/>
        <v>+28, 31, VULPIX</v>
      </c>
    </row>
    <row r="911" ht="12.75" customHeight="1">
      <c r="A911" s="2"/>
      <c r="B911" s="1" t="str">
        <f t="shared" si="1"/>
        <v/>
      </c>
    </row>
    <row r="912" ht="12.75" customHeight="1">
      <c r="A912" s="1" t="s">
        <v>361</v>
      </c>
      <c r="B912" s="1" t="str">
        <f t="shared" si="1"/>
        <v># 5%</v>
      </c>
    </row>
    <row r="913" ht="12.75" customHeight="1">
      <c r="A913" s="1" t="s">
        <v>620</v>
      </c>
      <c r="B913" s="1" t="str">
        <f t="shared" si="1"/>
        <v>+29, 32, HYPNO</v>
      </c>
    </row>
    <row r="914" ht="12.75" customHeight="1">
      <c r="A914" s="1" t="s">
        <v>621</v>
      </c>
      <c r="B914" s="1" t="str">
        <f t="shared" si="1"/>
        <v>+28, 31, RATICATE</v>
      </c>
    </row>
    <row r="915" ht="12.75" customHeight="1">
      <c r="A915" s="2"/>
      <c r="B915" s="1" t="str">
        <f t="shared" si="1"/>
        <v/>
      </c>
    </row>
    <row r="916" ht="12.75" customHeight="1">
      <c r="A916" s="1" t="s">
        <v>362</v>
      </c>
      <c r="B916" s="1" t="str">
        <f t="shared" si="1"/>
        <v># 4%</v>
      </c>
    </row>
    <row r="917" ht="12.75" customHeight="1">
      <c r="A917" s="1" t="s">
        <v>622</v>
      </c>
      <c r="B917" s="1" t="str">
        <f t="shared" si="1"/>
        <v>+29, 32, MAROWAK</v>
      </c>
    </row>
    <row r="918" ht="12.75" customHeight="1">
      <c r="A918" s="1" t="s">
        <v>623</v>
      </c>
      <c r="B918" s="1" t="str">
        <f t="shared" si="1"/>
        <v>+28, 31, RATTCHET</v>
      </c>
    </row>
    <row r="919" ht="12.75" customHeight="1">
      <c r="A919" s="2"/>
      <c r="B919" s="1" t="str">
        <f t="shared" si="1"/>
        <v/>
      </c>
    </row>
    <row r="920" ht="12.75" customHeight="1">
      <c r="A920" s="1" t="s">
        <v>363</v>
      </c>
      <c r="B920" s="1" t="str">
        <f t="shared" si="1"/>
        <v># 1%</v>
      </c>
    </row>
    <row r="921" ht="12.75" customHeight="1">
      <c r="A921" s="1" t="s">
        <v>630</v>
      </c>
      <c r="B921" s="1" t="str">
        <f t="shared" si="1"/>
        <v>+32, 33, GENGAR</v>
      </c>
    </row>
    <row r="922" ht="12.75" customHeight="1">
      <c r="A922" s="1" t="s">
        <v>2607</v>
      </c>
      <c r="B922" s="1" t="str">
        <f t="shared" si="1"/>
        <v>+32, 33, NINETALES , &lt;null&gt;, &lt;null&gt;, &lt;null&gt;</v>
      </c>
    </row>
    <row r="923" ht="12.75" customHeight="1">
      <c r="A923" s="2"/>
      <c r="B923" s="1" t="str">
        <f t="shared" si="1"/>
        <v/>
      </c>
    </row>
    <row r="924" ht="12.75" customHeight="1">
      <c r="A924" s="1" t="s">
        <v>2539</v>
      </c>
      <c r="B924" s="1" t="str">
        <f t="shared" si="1"/>
        <v>NEW ROUTE</v>
      </c>
    </row>
    <row r="925" ht="12.75" customHeight="1">
      <c r="A925" s="1" t="s">
        <v>2616</v>
      </c>
      <c r="B925" s="1" t="str">
        <f t="shared" si="1"/>
        <v>+1, 95, 0,</v>
      </c>
    </row>
    <row r="926" ht="12.75" customHeight="1">
      <c r="A926" s="1" t="s">
        <v>2541</v>
      </c>
      <c r="B926" s="1" t="str">
        <f t="shared" si="1"/>
        <v>7, # 20%</v>
      </c>
    </row>
    <row r="927" ht="12.75" customHeight="1">
      <c r="A927" s="1" t="s">
        <v>632</v>
      </c>
      <c r="B927" s="1" t="str">
        <f t="shared" si="1"/>
        <v>39, 46, MAGNEMITE</v>
      </c>
    </row>
    <row r="928" ht="12.75" customHeight="1">
      <c r="A928" s="1" t="s">
        <v>633</v>
      </c>
      <c r="B928" s="1" t="str">
        <f t="shared" si="1"/>
        <v>+39, 46, PIKACHU</v>
      </c>
    </row>
    <row r="929" ht="12.75" customHeight="1">
      <c r="A929" s="2"/>
      <c r="B929" s="1" t="str">
        <f t="shared" si="1"/>
        <v/>
      </c>
    </row>
    <row r="930" ht="12.75" customHeight="1">
      <c r="A930" s="1" t="s">
        <v>360</v>
      </c>
      <c r="B930" s="1" t="str">
        <f t="shared" si="1"/>
        <v># 10%</v>
      </c>
    </row>
    <row r="931" ht="12.75" customHeight="1">
      <c r="A931" s="1" t="s">
        <v>634</v>
      </c>
      <c r="B931" s="1" t="str">
        <f t="shared" si="1"/>
        <v>+41, 48, VOLTORB</v>
      </c>
    </row>
    <row r="932" ht="12.75" customHeight="1">
      <c r="A932" s="1" t="s">
        <v>635</v>
      </c>
      <c r="B932" s="1" t="str">
        <f t="shared" si="1"/>
        <v>+41, 46, ELECTABUZZ</v>
      </c>
    </row>
    <row r="933" ht="12.75" customHeight="1">
      <c r="A933" s="1" t="s">
        <v>636</v>
      </c>
      <c r="B933" s="1" t="str">
        <f t="shared" si="1"/>
        <v>+41, 48, PORYGON</v>
      </c>
    </row>
    <row r="934" ht="12.75" customHeight="1">
      <c r="A934" s="1" t="s">
        <v>637</v>
      </c>
      <c r="B934" s="1" t="str">
        <f t="shared" si="1"/>
        <v>+41, 48, MAGNETON</v>
      </c>
    </row>
    <row r="935" ht="12.75" customHeight="1">
      <c r="A935" s="2"/>
      <c r="B935" s="1" t="str">
        <f t="shared" si="1"/>
        <v/>
      </c>
    </row>
    <row r="936" ht="12.75" customHeight="1">
      <c r="A936" s="1" t="s">
        <v>361</v>
      </c>
      <c r="B936" s="1" t="str">
        <f t="shared" si="1"/>
        <v># 5%</v>
      </c>
    </row>
    <row r="937" ht="12.75" customHeight="1">
      <c r="A937" s="1" t="s">
        <v>638</v>
      </c>
      <c r="B937" s="1" t="str">
        <f t="shared" si="1"/>
        <v>+43, 50, PORYGON2</v>
      </c>
    </row>
    <row r="938" ht="12.75" customHeight="1">
      <c r="A938" s="1" t="s">
        <v>639</v>
      </c>
      <c r="B938" s="1" t="str">
        <f t="shared" si="1"/>
        <v>+43, 50, ELECTRODE</v>
      </c>
    </row>
    <row r="939" ht="12.75" customHeight="1">
      <c r="A939" s="2"/>
      <c r="B939" s="1" t="str">
        <f t="shared" si="1"/>
        <v/>
      </c>
    </row>
    <row r="940" ht="12.75" customHeight="1">
      <c r="A940" s="1" t="s">
        <v>362</v>
      </c>
      <c r="B940" s="1" t="str">
        <f t="shared" si="1"/>
        <v># 4%</v>
      </c>
    </row>
    <row r="941" ht="12.75" customHeight="1">
      <c r="A941" s="1" t="s">
        <v>640</v>
      </c>
      <c r="B941" s="1" t="str">
        <f t="shared" si="1"/>
        <v>+43, 50, JOLTEON</v>
      </c>
    </row>
    <row r="942" ht="12.75" customHeight="1">
      <c r="A942" s="1" t="s">
        <v>641</v>
      </c>
      <c r="B942" s="1" t="str">
        <f t="shared" si="1"/>
        <v>+43, 50, RAICHU</v>
      </c>
    </row>
    <row r="943" ht="12.75" customHeight="1">
      <c r="A943" s="2"/>
      <c r="B943" s="1" t="str">
        <f t="shared" si="1"/>
        <v/>
      </c>
    </row>
    <row r="944" ht="12.75" customHeight="1">
      <c r="A944" s="1" t="s">
        <v>363</v>
      </c>
      <c r="B944" s="1" t="str">
        <f t="shared" si="1"/>
        <v># 1%</v>
      </c>
    </row>
    <row r="945" ht="12.75" customHeight="1">
      <c r="A945" s="1" t="s">
        <v>642</v>
      </c>
      <c r="B945" s="1" t="str">
        <f t="shared" si="1"/>
        <v>+45, 52, ELECTIVIRE</v>
      </c>
    </row>
    <row r="946" ht="12.75" customHeight="1">
      <c r="A946" s="1" t="s">
        <v>2617</v>
      </c>
      <c r="B946" s="1" t="str">
        <f t="shared" si="1"/>
        <v>+45, 50, MAGNEZONE , &lt;null&gt;, &lt;null&gt;, &lt;null&gt;</v>
      </c>
    </row>
    <row r="947" ht="12.75" customHeight="1">
      <c r="A947" s="2"/>
      <c r="B947" s="1" t="str">
        <f t="shared" si="1"/>
        <v/>
      </c>
    </row>
    <row r="948" ht="12.75" customHeight="1">
      <c r="A948" s="1" t="s">
        <v>2539</v>
      </c>
      <c r="B948" s="1" t="str">
        <f t="shared" si="1"/>
        <v>NEW ROUTE</v>
      </c>
    </row>
    <row r="949" ht="12.75" customHeight="1">
      <c r="A949" s="1" t="s">
        <v>2618</v>
      </c>
      <c r="B949" s="1" t="str">
        <f t="shared" si="1"/>
        <v>+1, 97, 0,</v>
      </c>
    </row>
    <row r="950" ht="12.75" customHeight="1">
      <c r="A950" s="1" t="s">
        <v>2568</v>
      </c>
      <c r="B950" s="1" t="str">
        <f t="shared" si="1"/>
        <v>21, # 20%</v>
      </c>
    </row>
    <row r="951" ht="12.75" customHeight="1">
      <c r="A951" s="1" t="s">
        <v>645</v>
      </c>
      <c r="B951" s="1" t="str">
        <f t="shared" si="1"/>
        <v>30, 30, PONYTA</v>
      </c>
    </row>
    <row r="952" ht="12.75" customHeight="1">
      <c r="A952" s="1" t="s">
        <v>646</v>
      </c>
      <c r="B952" s="1" t="str">
        <f t="shared" si="1"/>
        <v>+38, 38, FEAROW</v>
      </c>
    </row>
    <row r="953" ht="12.75" customHeight="1">
      <c r="A953" s="2"/>
      <c r="B953" s="1" t="str">
        <f t="shared" si="1"/>
        <v/>
      </c>
    </row>
    <row r="954" ht="12.75" customHeight="1">
      <c r="A954" s="1" t="s">
        <v>360</v>
      </c>
      <c r="B954" s="1" t="str">
        <f t="shared" si="1"/>
        <v># 10%</v>
      </c>
    </row>
    <row r="955" ht="12.75" customHeight="1">
      <c r="A955" s="1" t="s">
        <v>647</v>
      </c>
      <c r="B955" s="1" t="str">
        <f t="shared" si="1"/>
        <v>+33, 33, PONYTA</v>
      </c>
    </row>
    <row r="956" ht="12.75" customHeight="1">
      <c r="A956" s="1" t="s">
        <v>648</v>
      </c>
      <c r="B956" s="1" t="str">
        <f t="shared" si="1"/>
        <v>+32, 32, SPEAROW</v>
      </c>
    </row>
    <row r="957" ht="12.75" customHeight="1">
      <c r="A957" s="1" t="s">
        <v>649</v>
      </c>
      <c r="B957" s="1" t="str">
        <f t="shared" si="1"/>
        <v>+35, 35, MACHOP</v>
      </c>
    </row>
    <row r="958" ht="12.75" customHeight="1">
      <c r="A958" s="1" t="s">
        <v>650</v>
      </c>
      <c r="B958" s="1" t="str">
        <f t="shared" si="1"/>
        <v>+33, 33, GEODUDE</v>
      </c>
    </row>
    <row r="959" ht="12.75" customHeight="1">
      <c r="A959" s="2"/>
      <c r="B959" s="1" t="str">
        <f t="shared" si="1"/>
        <v/>
      </c>
    </row>
    <row r="960" ht="12.75" customHeight="1">
      <c r="A960" s="1" t="s">
        <v>361</v>
      </c>
      <c r="B960" s="1" t="str">
        <f t="shared" si="1"/>
        <v># 5%</v>
      </c>
    </row>
    <row r="961" ht="12.75" customHeight="1">
      <c r="A961" s="1" t="s">
        <v>651</v>
      </c>
      <c r="B961" s="1" t="str">
        <f t="shared" si="1"/>
        <v>+36, 36, PONYTA</v>
      </c>
    </row>
    <row r="962" ht="12.75" customHeight="1">
      <c r="A962" s="1" t="s">
        <v>652</v>
      </c>
      <c r="B962" s="1" t="str">
        <f t="shared" si="1"/>
        <v>+40, 40, FEAROW</v>
      </c>
    </row>
    <row r="963" ht="12.75" customHeight="1">
      <c r="A963" s="2"/>
      <c r="B963" s="1" t="str">
        <f t="shared" si="1"/>
        <v/>
      </c>
    </row>
    <row r="964" ht="12.75" customHeight="1">
      <c r="A964" s="1" t="s">
        <v>362</v>
      </c>
      <c r="B964" s="1" t="str">
        <f t="shared" si="1"/>
        <v># 4%</v>
      </c>
    </row>
    <row r="965" ht="12.75" customHeight="1">
      <c r="A965" s="1" t="s">
        <v>653</v>
      </c>
      <c r="B965" s="1" t="str">
        <f t="shared" si="1"/>
        <v>+38, 38, MAGMAR</v>
      </c>
    </row>
    <row r="966" ht="12.75" customHeight="1">
      <c r="A966" s="1" t="s">
        <v>654</v>
      </c>
      <c r="B966" s="1" t="str">
        <f t="shared" si="1"/>
        <v>+39, 39, RAPIDASH</v>
      </c>
    </row>
    <row r="967" ht="12.75" customHeight="1">
      <c r="A967" s="2"/>
      <c r="B967" s="1" t="str">
        <f t="shared" si="1"/>
        <v/>
      </c>
    </row>
    <row r="968" ht="12.75" customHeight="1">
      <c r="A968" s="1" t="s">
        <v>363</v>
      </c>
      <c r="B968" s="1" t="str">
        <f t="shared" si="1"/>
        <v># 1%</v>
      </c>
    </row>
    <row r="969" ht="12.75" customHeight="1">
      <c r="A969" s="1" t="s">
        <v>655</v>
      </c>
      <c r="B969" s="1" t="str">
        <f t="shared" si="1"/>
        <v>+40, 40, MAGMAR</v>
      </c>
    </row>
    <row r="970" ht="12.75" customHeight="1">
      <c r="A970" s="1" t="s">
        <v>2619</v>
      </c>
      <c r="B970" s="1" t="str">
        <f t="shared" si="1"/>
        <v>+42, 42, RAPIDASH</v>
      </c>
    </row>
    <row r="971" ht="12.75" customHeight="1">
      <c r="A971" s="1" t="s">
        <v>2592</v>
      </c>
      <c r="B971" s="1" t="str">
        <f t="shared" si="1"/>
        <v>50, 5, 20, GEODUDE</v>
      </c>
    </row>
    <row r="972" ht="12.75" customHeight="1">
      <c r="A972" s="1" t="s">
        <v>576</v>
      </c>
      <c r="B972" s="1" t="str">
        <f t="shared" si="1"/>
        <v>+10, 20, GEODUDE</v>
      </c>
    </row>
    <row r="973" ht="12.75" customHeight="1">
      <c r="A973" s="1" t="s">
        <v>577</v>
      </c>
      <c r="B973" s="1" t="str">
        <f t="shared" si="1"/>
        <v>+15, 30, GEODUDE</v>
      </c>
    </row>
    <row r="974" ht="12.75" customHeight="1">
      <c r="A974" s="1" t="s">
        <v>578</v>
      </c>
      <c r="B974" s="1" t="str">
        <f t="shared" si="1"/>
        <v>+25, 40, GRAVELER</v>
      </c>
    </row>
    <row r="975" ht="12.75" customHeight="1">
      <c r="A975" s="1" t="s">
        <v>2593</v>
      </c>
      <c r="B975" s="1" t="str">
        <f t="shared" si="1"/>
        <v>+30, 40, GRAVELER , &lt;null&gt;</v>
      </c>
    </row>
    <row r="976" ht="12.75" customHeight="1">
      <c r="A976" s="2"/>
      <c r="B976" s="1" t="str">
        <f t="shared" si="1"/>
        <v/>
      </c>
    </row>
    <row r="977" ht="12.75" customHeight="1">
      <c r="A977" s="1" t="s">
        <v>2539</v>
      </c>
      <c r="B977" s="1" t="str">
        <f t="shared" si="1"/>
        <v>NEW ROUTE</v>
      </c>
    </row>
    <row r="978" ht="12.75" customHeight="1">
      <c r="A978" s="1" t="s">
        <v>2620</v>
      </c>
      <c r="B978" s="1" t="str">
        <f t="shared" si="1"/>
        <v>+1, 98, 0,</v>
      </c>
    </row>
    <row r="979" ht="12.75" customHeight="1">
      <c r="A979" s="1" t="s">
        <v>2541</v>
      </c>
      <c r="B979" s="1" t="str">
        <f t="shared" si="1"/>
        <v>7, # 20%</v>
      </c>
    </row>
    <row r="980" ht="12.75" customHeight="1">
      <c r="A980" s="1" t="s">
        <v>658</v>
      </c>
      <c r="B980" s="1" t="str">
        <f t="shared" si="1"/>
        <v>33, 33, GEODUDE</v>
      </c>
    </row>
    <row r="981" ht="12.75" customHeight="1">
      <c r="A981" s="1" t="s">
        <v>649</v>
      </c>
      <c r="B981" s="1" t="str">
        <f t="shared" si="1"/>
        <v>+35, 35, MACHOP</v>
      </c>
    </row>
    <row r="982" ht="12.75" customHeight="1">
      <c r="A982" s="2"/>
      <c r="B982" s="1" t="str">
        <f t="shared" si="1"/>
        <v/>
      </c>
    </row>
    <row r="983" ht="12.75" customHeight="1">
      <c r="A983" s="1" t="s">
        <v>360</v>
      </c>
      <c r="B983" s="1" t="str">
        <f t="shared" si="1"/>
        <v># 10%</v>
      </c>
    </row>
    <row r="984" ht="12.75" customHeight="1">
      <c r="A984" s="1" t="s">
        <v>659</v>
      </c>
      <c r="B984" s="1" t="str">
        <f t="shared" si="1"/>
        <v>+29, 29, GEODUDE</v>
      </c>
    </row>
    <row r="985" ht="12.75" customHeight="1">
      <c r="A985" s="1" t="s">
        <v>660</v>
      </c>
      <c r="B985" s="1" t="str">
        <f t="shared" si="1"/>
        <v>+31, 31, GEODUDE</v>
      </c>
    </row>
    <row r="986" ht="12.75" customHeight="1">
      <c r="A986" s="1" t="s">
        <v>661</v>
      </c>
      <c r="B986" s="1" t="str">
        <f t="shared" si="1"/>
        <v>+31, 31, MACHOP</v>
      </c>
    </row>
    <row r="987" ht="12.75" customHeight="1">
      <c r="A987" s="1" t="s">
        <v>662</v>
      </c>
      <c r="B987" s="1" t="str">
        <f t="shared" si="1"/>
        <v>+33, 33, MACHOP</v>
      </c>
    </row>
    <row r="988" ht="12.75" customHeight="1">
      <c r="A988" s="2"/>
      <c r="B988" s="1" t="str">
        <f t="shared" si="1"/>
        <v/>
      </c>
    </row>
    <row r="989" ht="12.75" customHeight="1">
      <c r="A989" s="1" t="s">
        <v>361</v>
      </c>
      <c r="B989" s="1" t="str">
        <f t="shared" si="1"/>
        <v># 5%</v>
      </c>
    </row>
    <row r="990" ht="12.75" customHeight="1">
      <c r="A990" s="1" t="s">
        <v>663</v>
      </c>
      <c r="B990" s="1" t="str">
        <f t="shared" si="1"/>
        <v>+35, 35, GEODUDE</v>
      </c>
    </row>
    <row r="991" ht="12.75" customHeight="1">
      <c r="A991" s="1" t="s">
        <v>664</v>
      </c>
      <c r="B991" s="1" t="str">
        <f t="shared" si="1"/>
        <v>+37, 37, MACHOP</v>
      </c>
    </row>
    <row r="992" ht="12.75" customHeight="1">
      <c r="A992" s="2"/>
      <c r="B992" s="1" t="str">
        <f t="shared" si="1"/>
        <v/>
      </c>
    </row>
    <row r="993" ht="12.75" customHeight="1">
      <c r="A993" s="1" t="s">
        <v>362</v>
      </c>
      <c r="B993" s="1" t="str">
        <f t="shared" si="1"/>
        <v># 4%</v>
      </c>
    </row>
    <row r="994" ht="12.75" customHeight="1">
      <c r="A994" s="1" t="s">
        <v>665</v>
      </c>
      <c r="B994" s="1" t="str">
        <f t="shared" si="1"/>
        <v>+37, 37, GEODUDE</v>
      </c>
    </row>
    <row r="995" ht="12.75" customHeight="1">
      <c r="A995" s="1" t="s">
        <v>666</v>
      </c>
      <c r="B995" s="1" t="str">
        <f t="shared" si="1"/>
        <v>+39, 39, MACHOP</v>
      </c>
    </row>
    <row r="996" ht="12.75" customHeight="1">
      <c r="A996" s="2"/>
      <c r="B996" s="1" t="str">
        <f t="shared" si="1"/>
        <v/>
      </c>
    </row>
    <row r="997" ht="12.75" customHeight="1">
      <c r="A997" s="1" t="s">
        <v>363</v>
      </c>
      <c r="B997" s="1" t="str">
        <f t="shared" si="1"/>
        <v># 1%</v>
      </c>
    </row>
    <row r="998" ht="12.75" customHeight="1">
      <c r="A998" s="1" t="s">
        <v>665</v>
      </c>
      <c r="B998" s="1" t="str">
        <f t="shared" si="1"/>
        <v>+37, 37, GEODUDE</v>
      </c>
    </row>
    <row r="999" ht="12.75" customHeight="1">
      <c r="A999" s="1" t="s">
        <v>2621</v>
      </c>
      <c r="B999" s="1" t="str">
        <f t="shared" si="1"/>
        <v>+39, 39, MACHOP , &lt;null&gt;, &lt;null&gt;, &lt;null&gt;</v>
      </c>
    </row>
    <row r="1000" ht="12.75" customHeight="1">
      <c r="A1000" s="2"/>
      <c r="B1000" s="1" t="str">
        <f t="shared" si="1"/>
        <v/>
      </c>
    </row>
    <row r="1001" ht="12.75" customHeight="1">
      <c r="A1001" s="1" t="s">
        <v>2539</v>
      </c>
      <c r="B1001" s="1" t="str">
        <f t="shared" si="1"/>
        <v>NEW ROUTE</v>
      </c>
    </row>
    <row r="1002" ht="12.75" customHeight="1">
      <c r="A1002" s="1" t="s">
        <v>2622</v>
      </c>
      <c r="B1002" s="1" t="str">
        <f t="shared" si="1"/>
        <v>+1, 99, 0,</v>
      </c>
    </row>
    <row r="1003" ht="12.75" customHeight="1">
      <c r="A1003" s="1" t="s">
        <v>2541</v>
      </c>
      <c r="B1003" s="1" t="str">
        <f t="shared" si="1"/>
        <v>7, # 20%</v>
      </c>
    </row>
    <row r="1004" ht="12.75" customHeight="1">
      <c r="A1004" s="1" t="s">
        <v>669</v>
      </c>
      <c r="B1004" s="1" t="str">
        <f t="shared" si="1"/>
        <v>34, 34, GEODUDE</v>
      </c>
    </row>
    <row r="1005" ht="12.75" customHeight="1">
      <c r="A1005" s="1" t="s">
        <v>670</v>
      </c>
      <c r="B1005" s="1" t="str">
        <f t="shared" si="1"/>
        <v>+36, 36, MACHOP</v>
      </c>
    </row>
    <row r="1006" ht="12.75" customHeight="1">
      <c r="A1006" s="2"/>
      <c r="B1006" s="1" t="str">
        <f t="shared" si="1"/>
        <v/>
      </c>
    </row>
    <row r="1007" ht="12.75" customHeight="1">
      <c r="A1007" s="1" t="s">
        <v>360</v>
      </c>
      <c r="B1007" s="1" t="str">
        <f t="shared" si="1"/>
        <v># 10%</v>
      </c>
    </row>
    <row r="1008" ht="12.75" customHeight="1">
      <c r="A1008" s="1" t="s">
        <v>671</v>
      </c>
      <c r="B1008" s="1" t="str">
        <f t="shared" si="1"/>
        <v>+30, 30, GEODUDE</v>
      </c>
    </row>
    <row r="1009" ht="12.75" customHeight="1">
      <c r="A1009" s="1" t="s">
        <v>672</v>
      </c>
      <c r="B1009" s="1" t="str">
        <f t="shared" si="1"/>
        <v>+32, 32, GEODUDE</v>
      </c>
    </row>
    <row r="1010" ht="12.75" customHeight="1">
      <c r="A1010" s="1" t="s">
        <v>673</v>
      </c>
      <c r="B1010" s="1" t="str">
        <f t="shared" si="1"/>
        <v>+32, 32, MACHOP</v>
      </c>
    </row>
    <row r="1011" ht="12.75" customHeight="1">
      <c r="A1011" s="1" t="s">
        <v>674</v>
      </c>
      <c r="B1011" s="1" t="str">
        <f t="shared" si="1"/>
        <v>+34, 34, MACHOP</v>
      </c>
    </row>
    <row r="1012" ht="12.75" customHeight="1">
      <c r="A1012" s="2"/>
      <c r="B1012" s="1" t="str">
        <f t="shared" si="1"/>
        <v/>
      </c>
    </row>
    <row r="1013" ht="12.75" customHeight="1">
      <c r="A1013" s="1" t="s">
        <v>361</v>
      </c>
      <c r="B1013" s="1" t="str">
        <f t="shared" si="1"/>
        <v># 5%</v>
      </c>
    </row>
    <row r="1014" ht="12.75" customHeight="1">
      <c r="A1014" s="1" t="s">
        <v>675</v>
      </c>
      <c r="B1014" s="1" t="str">
        <f t="shared" si="1"/>
        <v>+38, 38, MACHOKE</v>
      </c>
    </row>
    <row r="1015" ht="12.75" customHeight="1">
      <c r="A1015" s="1" t="s">
        <v>675</v>
      </c>
      <c r="B1015" s="1" t="str">
        <f t="shared" si="1"/>
        <v>+38, 38, MACHOKE</v>
      </c>
    </row>
    <row r="1016" ht="12.75" customHeight="1">
      <c r="A1016" s="2"/>
      <c r="B1016" s="1" t="str">
        <f t="shared" si="1"/>
        <v/>
      </c>
    </row>
    <row r="1017" ht="12.75" customHeight="1">
      <c r="A1017" s="1" t="s">
        <v>362</v>
      </c>
      <c r="B1017" s="1" t="str">
        <f t="shared" si="1"/>
        <v># 4%</v>
      </c>
    </row>
    <row r="1018" ht="12.75" customHeight="1">
      <c r="A1018" s="1" t="s">
        <v>676</v>
      </c>
      <c r="B1018" s="1" t="str">
        <f t="shared" si="1"/>
        <v>+40, 40, MACHOKE</v>
      </c>
    </row>
    <row r="1019" ht="12.75" customHeight="1">
      <c r="A1019" s="1" t="s">
        <v>676</v>
      </c>
      <c r="B1019" s="1" t="str">
        <f t="shared" si="1"/>
        <v>+40, 40, MACHOKE</v>
      </c>
    </row>
    <row r="1020" ht="12.75" customHeight="1">
      <c r="A1020" s="2"/>
      <c r="B1020" s="1" t="str">
        <f t="shared" si="1"/>
        <v/>
      </c>
    </row>
    <row r="1021" ht="12.75" customHeight="1">
      <c r="A1021" s="1" t="s">
        <v>363</v>
      </c>
      <c r="B1021" s="1" t="str">
        <f t="shared" si="1"/>
        <v># 1%</v>
      </c>
    </row>
    <row r="1022" ht="12.75" customHeight="1">
      <c r="A1022" s="1" t="s">
        <v>676</v>
      </c>
      <c r="B1022" s="1" t="str">
        <f t="shared" si="1"/>
        <v>+40, 40, MACHOKE</v>
      </c>
    </row>
    <row r="1023" ht="12.75" customHeight="1">
      <c r="A1023" s="1" t="s">
        <v>2623</v>
      </c>
      <c r="B1023" s="1" t="str">
        <f t="shared" si="1"/>
        <v>+40, 40, MACHOKE</v>
      </c>
    </row>
    <row r="1024" ht="12.75" customHeight="1">
      <c r="A1024" s="1" t="s">
        <v>2592</v>
      </c>
      <c r="B1024" s="1" t="str">
        <f t="shared" si="1"/>
        <v>50, 5, 20, GEODUDE</v>
      </c>
    </row>
    <row r="1025" ht="12.75" customHeight="1">
      <c r="A1025" s="1" t="s">
        <v>576</v>
      </c>
      <c r="B1025" s="1" t="str">
        <f t="shared" si="1"/>
        <v>+10, 20, GEODUDE</v>
      </c>
    </row>
    <row r="1026" ht="12.75" customHeight="1">
      <c r="A1026" s="1" t="s">
        <v>577</v>
      </c>
      <c r="B1026" s="1" t="str">
        <f t="shared" si="1"/>
        <v>+15, 30, GEODUDE</v>
      </c>
    </row>
    <row r="1027" ht="12.75" customHeight="1">
      <c r="A1027" s="1" t="s">
        <v>578</v>
      </c>
      <c r="B1027" s="1" t="str">
        <f t="shared" si="1"/>
        <v>+25, 40, GRAVELER</v>
      </c>
    </row>
    <row r="1028" ht="12.75" customHeight="1">
      <c r="A1028" s="1" t="s">
        <v>2593</v>
      </c>
      <c r="B1028" s="1" t="str">
        <f t="shared" si="1"/>
        <v>+30, 40, GRAVELER , &lt;null&gt;</v>
      </c>
    </row>
    <row r="1029" ht="12.75" customHeight="1">
      <c r="A1029" s="2"/>
      <c r="B1029" s="1" t="str">
        <f t="shared" si="1"/>
        <v/>
      </c>
    </row>
    <row r="1030" ht="12.75" customHeight="1">
      <c r="A1030" s="1" t="s">
        <v>2539</v>
      </c>
      <c r="B1030" s="1" t="str">
        <f t="shared" si="1"/>
        <v>NEW ROUTE</v>
      </c>
    </row>
    <row r="1031" ht="12.75" customHeight="1">
      <c r="A1031" s="1" t="s">
        <v>2624</v>
      </c>
      <c r="B1031" s="1" t="str">
        <f t="shared" si="1"/>
        <v>+1, 100, 0,</v>
      </c>
    </row>
    <row r="1032" ht="12.75" customHeight="1">
      <c r="A1032" s="1" t="s">
        <v>2541</v>
      </c>
      <c r="B1032" s="1" t="str">
        <f t="shared" si="1"/>
        <v>7, # 20%</v>
      </c>
    </row>
    <row r="1033" ht="12.75" customHeight="1">
      <c r="A1033" s="1" t="s">
        <v>658</v>
      </c>
      <c r="B1033" s="1" t="str">
        <f t="shared" si="1"/>
        <v>33, 33, GEODUDE</v>
      </c>
    </row>
    <row r="1034" ht="12.75" customHeight="1">
      <c r="A1034" s="1" t="s">
        <v>649</v>
      </c>
      <c r="B1034" s="1" t="str">
        <f t="shared" si="1"/>
        <v>+35, 35, MACHOP</v>
      </c>
    </row>
    <row r="1035" ht="12.75" customHeight="1">
      <c r="A1035" s="2"/>
      <c r="B1035" s="1" t="str">
        <f t="shared" si="1"/>
        <v/>
      </c>
    </row>
    <row r="1036" ht="12.75" customHeight="1">
      <c r="A1036" s="1" t="s">
        <v>360</v>
      </c>
      <c r="B1036" s="1" t="str">
        <f t="shared" si="1"/>
        <v># 10%</v>
      </c>
    </row>
    <row r="1037" ht="12.75" customHeight="1">
      <c r="A1037" s="1" t="s">
        <v>659</v>
      </c>
      <c r="B1037" s="1" t="str">
        <f t="shared" si="1"/>
        <v>+29, 29, GEODUDE</v>
      </c>
    </row>
    <row r="1038" ht="12.75" customHeight="1">
      <c r="A1038" s="1" t="s">
        <v>660</v>
      </c>
      <c r="B1038" s="1" t="str">
        <f t="shared" si="1"/>
        <v>+31, 31, GEODUDE</v>
      </c>
    </row>
    <row r="1039" ht="12.75" customHeight="1">
      <c r="A1039" s="1" t="s">
        <v>661</v>
      </c>
      <c r="B1039" s="1" t="str">
        <f t="shared" si="1"/>
        <v>+31, 31, MACHOP</v>
      </c>
    </row>
    <row r="1040" ht="12.75" customHeight="1">
      <c r="A1040" s="1" t="s">
        <v>662</v>
      </c>
      <c r="B1040" s="1" t="str">
        <f t="shared" si="1"/>
        <v>+33, 33, MACHOP</v>
      </c>
    </row>
    <row r="1041" ht="12.75" customHeight="1">
      <c r="A1041" s="2"/>
      <c r="B1041" s="1" t="str">
        <f t="shared" si="1"/>
        <v/>
      </c>
    </row>
    <row r="1042" ht="12.75" customHeight="1">
      <c r="A1042" s="1" t="s">
        <v>361</v>
      </c>
      <c r="B1042" s="1" t="str">
        <f t="shared" si="1"/>
        <v># 5%</v>
      </c>
    </row>
    <row r="1043" ht="12.75" customHeight="1">
      <c r="A1043" s="1" t="s">
        <v>663</v>
      </c>
      <c r="B1043" s="1" t="str">
        <f t="shared" si="1"/>
        <v>+35, 35, GEODUDE</v>
      </c>
    </row>
    <row r="1044" ht="12.75" customHeight="1">
      <c r="A1044" s="1" t="s">
        <v>664</v>
      </c>
      <c r="B1044" s="1" t="str">
        <f t="shared" si="1"/>
        <v>+37, 37, MACHOP</v>
      </c>
    </row>
    <row r="1045" ht="12.75" customHeight="1">
      <c r="A1045" s="2"/>
      <c r="B1045" s="1" t="str">
        <f t="shared" si="1"/>
        <v/>
      </c>
    </row>
    <row r="1046" ht="12.75" customHeight="1">
      <c r="A1046" s="1" t="s">
        <v>362</v>
      </c>
      <c r="B1046" s="1" t="str">
        <f t="shared" si="1"/>
        <v># 4%</v>
      </c>
    </row>
    <row r="1047" ht="12.75" customHeight="1">
      <c r="A1047" s="1" t="s">
        <v>665</v>
      </c>
      <c r="B1047" s="1" t="str">
        <f t="shared" si="1"/>
        <v>+37, 37, GEODUDE</v>
      </c>
    </row>
    <row r="1048" ht="12.75" customHeight="1">
      <c r="A1048" s="1" t="s">
        <v>666</v>
      </c>
      <c r="B1048" s="1" t="str">
        <f t="shared" si="1"/>
        <v>+39, 39, MACHOP</v>
      </c>
    </row>
    <row r="1049" ht="12.75" customHeight="1">
      <c r="A1049" s="2"/>
      <c r="B1049" s="1" t="str">
        <f t="shared" si="1"/>
        <v/>
      </c>
    </row>
    <row r="1050" ht="12.75" customHeight="1">
      <c r="A1050" s="1" t="s">
        <v>363</v>
      </c>
      <c r="B1050" s="1" t="str">
        <f t="shared" si="1"/>
        <v># 1%</v>
      </c>
    </row>
    <row r="1051" ht="12.75" customHeight="1">
      <c r="A1051" s="1" t="s">
        <v>665</v>
      </c>
      <c r="B1051" s="1" t="str">
        <f t="shared" si="1"/>
        <v>+37, 37, GEODUDE</v>
      </c>
    </row>
    <row r="1052" ht="12.75" customHeight="1">
      <c r="A1052" s="1" t="s">
        <v>2621</v>
      </c>
      <c r="B1052" s="1" t="str">
        <f t="shared" si="1"/>
        <v>+39, 39, MACHOP , &lt;null&gt;, &lt;null&gt;, &lt;null&gt;</v>
      </c>
    </row>
    <row r="1053" ht="12.75" customHeight="1">
      <c r="A1053" s="2"/>
      <c r="B1053" s="1" t="str">
        <f t="shared" si="1"/>
        <v/>
      </c>
    </row>
    <row r="1054" ht="12.75" customHeight="1">
      <c r="A1054" s="1" t="s">
        <v>2539</v>
      </c>
      <c r="B1054" s="1" t="str">
        <f t="shared" si="1"/>
        <v>NEW ROUTE</v>
      </c>
    </row>
    <row r="1055" ht="12.75" customHeight="1">
      <c r="A1055" s="1" t="s">
        <v>2625</v>
      </c>
      <c r="B1055" s="1" t="str">
        <f t="shared" si="1"/>
        <v>+1, 103, 0,</v>
      </c>
    </row>
    <row r="1056" ht="12.75" customHeight="1">
      <c r="A1056" s="1" t="s">
        <v>2541</v>
      </c>
      <c r="B1056" s="1" t="str">
        <f t="shared" si="1"/>
        <v>7, # 20%</v>
      </c>
    </row>
    <row r="1057" ht="12.75" customHeight="1">
      <c r="A1057" s="1" t="s">
        <v>680</v>
      </c>
      <c r="B1057" s="1" t="str">
        <f t="shared" si="1"/>
        <v>36, 36, GEODUDE</v>
      </c>
    </row>
    <row r="1058" ht="12.75" customHeight="1">
      <c r="A1058" s="1" t="s">
        <v>681</v>
      </c>
      <c r="B1058" s="1" t="str">
        <f t="shared" si="1"/>
        <v>+38, 38, MACHOP</v>
      </c>
    </row>
    <row r="1059" ht="12.75" customHeight="1">
      <c r="A1059" s="2"/>
      <c r="B1059" s="1" t="str">
        <f t="shared" si="1"/>
        <v/>
      </c>
    </row>
    <row r="1060" ht="12.75" customHeight="1">
      <c r="A1060" s="1" t="s">
        <v>360</v>
      </c>
      <c r="B1060" s="1" t="str">
        <f t="shared" si="1"/>
        <v># 10%</v>
      </c>
    </row>
    <row r="1061" ht="12.75" customHeight="1">
      <c r="A1061" s="1" t="s">
        <v>672</v>
      </c>
      <c r="B1061" s="1" t="str">
        <f t="shared" si="1"/>
        <v>+32, 32, GEODUDE</v>
      </c>
    </row>
    <row r="1062" ht="12.75" customHeight="1">
      <c r="A1062" s="1" t="s">
        <v>682</v>
      </c>
      <c r="B1062" s="1" t="str">
        <f t="shared" si="1"/>
        <v>+34, 34, GEODUDE</v>
      </c>
    </row>
    <row r="1063" ht="12.75" customHeight="1">
      <c r="A1063" s="1" t="s">
        <v>674</v>
      </c>
      <c r="B1063" s="1" t="str">
        <f t="shared" si="1"/>
        <v>+34, 34, MACHOP</v>
      </c>
    </row>
    <row r="1064" ht="12.75" customHeight="1">
      <c r="A1064" s="1" t="s">
        <v>670</v>
      </c>
      <c r="B1064" s="1" t="str">
        <f t="shared" si="1"/>
        <v>+36, 36, MACHOP</v>
      </c>
    </row>
    <row r="1065" ht="12.75" customHeight="1">
      <c r="A1065" s="2"/>
      <c r="B1065" s="1" t="str">
        <f t="shared" si="1"/>
        <v/>
      </c>
    </row>
    <row r="1066" ht="12.75" customHeight="1">
      <c r="A1066" s="1" t="s">
        <v>361</v>
      </c>
      <c r="B1066" s="1" t="str">
        <f t="shared" si="1"/>
        <v># 5%</v>
      </c>
    </row>
    <row r="1067" ht="12.75" customHeight="1">
      <c r="A1067" s="1" t="s">
        <v>683</v>
      </c>
      <c r="B1067" s="1" t="str">
        <f t="shared" si="1"/>
        <v>+38, 38, GEODUDE</v>
      </c>
    </row>
    <row r="1068" ht="12.75" customHeight="1">
      <c r="A1068" s="1" t="s">
        <v>676</v>
      </c>
      <c r="B1068" s="1" t="str">
        <f t="shared" si="1"/>
        <v>+40, 40, MACHOKE</v>
      </c>
    </row>
    <row r="1069" ht="12.75" customHeight="1">
      <c r="A1069" s="2"/>
      <c r="B1069" s="1" t="str">
        <f t="shared" si="1"/>
        <v/>
      </c>
    </row>
    <row r="1070" ht="12.75" customHeight="1">
      <c r="A1070" s="1" t="s">
        <v>362</v>
      </c>
      <c r="B1070" s="1" t="str">
        <f t="shared" si="1"/>
        <v># 4%</v>
      </c>
    </row>
    <row r="1071" ht="12.75" customHeight="1">
      <c r="A1071" s="1" t="s">
        <v>684</v>
      </c>
      <c r="B1071" s="1" t="str">
        <f t="shared" si="1"/>
        <v>+40, 40, GEODUDE</v>
      </c>
    </row>
    <row r="1072" ht="12.75" customHeight="1">
      <c r="A1072" s="1" t="s">
        <v>685</v>
      </c>
      <c r="B1072" s="1" t="str">
        <f t="shared" si="1"/>
        <v>+42, 42, MACHOKE</v>
      </c>
    </row>
    <row r="1073" ht="12.75" customHeight="1">
      <c r="A1073" s="2"/>
      <c r="B1073" s="1" t="str">
        <f t="shared" si="1"/>
        <v/>
      </c>
    </row>
    <row r="1074" ht="12.75" customHeight="1">
      <c r="A1074" s="1" t="s">
        <v>363</v>
      </c>
      <c r="B1074" s="1" t="str">
        <f t="shared" si="1"/>
        <v># 1%</v>
      </c>
    </row>
    <row r="1075" ht="12.75" customHeight="1">
      <c r="A1075" s="1" t="s">
        <v>684</v>
      </c>
      <c r="B1075" s="1" t="str">
        <f t="shared" si="1"/>
        <v>+40, 40, GEODUDE</v>
      </c>
    </row>
    <row r="1076" ht="12.75" customHeight="1">
      <c r="A1076" s="1" t="s">
        <v>2626</v>
      </c>
      <c r="B1076" s="1" t="str">
        <f t="shared" si="1"/>
        <v>+42, 42, MACHOKE</v>
      </c>
    </row>
    <row r="1077" ht="12.75" customHeight="1">
      <c r="A1077" s="1" t="s">
        <v>2627</v>
      </c>
      <c r="B1077" s="1" t="str">
        <f t="shared" si="1"/>
        <v>50, 25, 35, GEODUDE</v>
      </c>
    </row>
    <row r="1078" ht="12.75" customHeight="1">
      <c r="A1078" s="1" t="s">
        <v>687</v>
      </c>
      <c r="B1078" s="1" t="str">
        <f t="shared" si="1"/>
        <v>+30, 45, GRAVELER</v>
      </c>
    </row>
    <row r="1079" ht="12.75" customHeight="1">
      <c r="A1079" s="1" t="s">
        <v>688</v>
      </c>
      <c r="B1079" s="1" t="str">
        <f t="shared" si="1"/>
        <v>+35, 50, GRAVELER</v>
      </c>
    </row>
    <row r="1080" ht="12.75" customHeight="1">
      <c r="A1080" s="1" t="s">
        <v>689</v>
      </c>
      <c r="B1080" s="1" t="str">
        <f t="shared" si="1"/>
        <v>+30, 40, GEODUDE</v>
      </c>
    </row>
    <row r="1081" ht="12.75" customHeight="1">
      <c r="A1081" s="1" t="s">
        <v>2628</v>
      </c>
      <c r="B1081" s="1" t="str">
        <f t="shared" si="1"/>
        <v>+30, 40, GEODUDE , &lt;null&gt;</v>
      </c>
    </row>
    <row r="1082" ht="12.75" customHeight="1">
      <c r="A1082" s="2"/>
      <c r="B1082" s="1" t="str">
        <f t="shared" si="1"/>
        <v/>
      </c>
    </row>
    <row r="1083" ht="12.75" customHeight="1">
      <c r="A1083" s="1" t="s">
        <v>2539</v>
      </c>
      <c r="B1083" s="1" t="str">
        <f t="shared" si="1"/>
        <v>NEW ROUTE</v>
      </c>
    </row>
    <row r="1084" ht="12.75" customHeight="1">
      <c r="A1084" s="1" t="s">
        <v>2629</v>
      </c>
      <c r="B1084" s="1" t="str">
        <f t="shared" si="1"/>
        <v>+1, 104, 0,</v>
      </c>
    </row>
    <row r="1085" ht="12.75" customHeight="1">
      <c r="A1085" s="1" t="s">
        <v>2541</v>
      </c>
      <c r="B1085" s="1" t="str">
        <f t="shared" si="1"/>
        <v>7, # 20%</v>
      </c>
    </row>
    <row r="1086" ht="12.75" customHeight="1">
      <c r="A1086" s="1" t="s">
        <v>692</v>
      </c>
      <c r="B1086" s="1" t="str">
        <f t="shared" si="1"/>
        <v>38, 38, GEODUDE</v>
      </c>
    </row>
    <row r="1087" ht="12.75" customHeight="1">
      <c r="A1087" s="1" t="s">
        <v>693</v>
      </c>
      <c r="B1087" s="1" t="str">
        <f t="shared" si="1"/>
        <v>+36, 36, GEODUDE</v>
      </c>
    </row>
    <row r="1088" ht="12.75" customHeight="1">
      <c r="A1088" s="2"/>
      <c r="B1088" s="1" t="str">
        <f t="shared" si="1"/>
        <v/>
      </c>
    </row>
    <row r="1089" ht="12.75" customHeight="1">
      <c r="A1089" s="1" t="s">
        <v>360</v>
      </c>
      <c r="B1089" s="1" t="str">
        <f t="shared" si="1"/>
        <v># 10%</v>
      </c>
    </row>
    <row r="1090" ht="12.75" customHeight="1">
      <c r="A1090" s="1" t="s">
        <v>682</v>
      </c>
      <c r="B1090" s="1" t="str">
        <f t="shared" si="1"/>
        <v>+34, 34, GEODUDE</v>
      </c>
    </row>
    <row r="1091" ht="12.75" customHeight="1">
      <c r="A1091" s="1" t="s">
        <v>684</v>
      </c>
      <c r="B1091" s="1" t="str">
        <f t="shared" si="1"/>
        <v>+40, 40, GEODUDE</v>
      </c>
    </row>
    <row r="1092" ht="12.75" customHeight="1">
      <c r="A1092" s="1" t="s">
        <v>694</v>
      </c>
      <c r="B1092" s="1" t="str">
        <f t="shared" si="1"/>
        <v>+24, 24, SLUGMA</v>
      </c>
    </row>
    <row r="1093" ht="12.75" customHeight="1">
      <c r="A1093" s="1" t="s">
        <v>695</v>
      </c>
      <c r="B1093" s="1" t="str">
        <f t="shared" si="1"/>
        <v>+26, 26, SLUGMA</v>
      </c>
    </row>
    <row r="1094" ht="12.75" customHeight="1">
      <c r="A1094" s="2"/>
      <c r="B1094" s="1" t="str">
        <f t="shared" si="1"/>
        <v/>
      </c>
    </row>
    <row r="1095" ht="12.75" customHeight="1">
      <c r="A1095" s="1" t="s">
        <v>361</v>
      </c>
      <c r="B1095" s="1" t="str">
        <f t="shared" si="1"/>
        <v># 5%</v>
      </c>
    </row>
    <row r="1096" ht="12.75" customHeight="1">
      <c r="A1096" s="1" t="s">
        <v>696</v>
      </c>
      <c r="B1096" s="1" t="str">
        <f t="shared" si="1"/>
        <v>+42, 42, GEODUDE</v>
      </c>
    </row>
    <row r="1097" ht="12.75" customHeight="1">
      <c r="A1097" s="1" t="s">
        <v>697</v>
      </c>
      <c r="B1097" s="1" t="str">
        <f t="shared" si="1"/>
        <v>+28, 28, SLUGMA</v>
      </c>
    </row>
    <row r="1098" ht="12.75" customHeight="1">
      <c r="A1098" s="2"/>
      <c r="B1098" s="1" t="str">
        <f t="shared" si="1"/>
        <v/>
      </c>
    </row>
    <row r="1099" ht="12.75" customHeight="1">
      <c r="A1099" s="1" t="s">
        <v>362</v>
      </c>
      <c r="B1099" s="1" t="str">
        <f t="shared" si="1"/>
        <v># 4%</v>
      </c>
    </row>
    <row r="1100" ht="12.75" customHeight="1">
      <c r="A1100" s="1" t="s">
        <v>696</v>
      </c>
      <c r="B1100" s="1" t="str">
        <f t="shared" si="1"/>
        <v>+42, 42, GEODUDE</v>
      </c>
    </row>
    <row r="1101" ht="12.75" customHeight="1">
      <c r="A1101" s="1" t="s">
        <v>698</v>
      </c>
      <c r="B1101" s="1" t="str">
        <f t="shared" si="1"/>
        <v>+30, 30, SLUGMA</v>
      </c>
    </row>
    <row r="1102" ht="12.75" customHeight="1">
      <c r="A1102" s="2"/>
      <c r="B1102" s="1" t="str">
        <f t="shared" si="1"/>
        <v/>
      </c>
    </row>
    <row r="1103" ht="12.75" customHeight="1">
      <c r="A1103" s="1" t="s">
        <v>363</v>
      </c>
      <c r="B1103" s="1" t="str">
        <f t="shared" si="1"/>
        <v># 1%</v>
      </c>
    </row>
    <row r="1104" ht="12.75" customHeight="1">
      <c r="A1104" s="1" t="s">
        <v>696</v>
      </c>
      <c r="B1104" s="1" t="str">
        <f t="shared" si="1"/>
        <v>+42, 42, GEODUDE</v>
      </c>
    </row>
    <row r="1105" ht="12.75" customHeight="1">
      <c r="A1105" s="1" t="s">
        <v>2630</v>
      </c>
      <c r="B1105" s="1" t="str">
        <f t="shared" si="1"/>
        <v>+30, 30, SLUGMA</v>
      </c>
    </row>
    <row r="1106" ht="12.75" customHeight="1">
      <c r="A1106" s="1" t="s">
        <v>2627</v>
      </c>
      <c r="B1106" s="1" t="str">
        <f t="shared" si="1"/>
        <v>50, 25, 35, GEODUDE</v>
      </c>
    </row>
    <row r="1107" ht="12.75" customHeight="1">
      <c r="A1107" s="1" t="s">
        <v>687</v>
      </c>
      <c r="B1107" s="1" t="str">
        <f t="shared" si="1"/>
        <v>+30, 45, GRAVELER</v>
      </c>
    </row>
    <row r="1108" ht="12.75" customHeight="1">
      <c r="A1108" s="1" t="s">
        <v>688</v>
      </c>
      <c r="B1108" s="1" t="str">
        <f t="shared" si="1"/>
        <v>+35, 50, GRAVELER</v>
      </c>
    </row>
    <row r="1109" ht="12.75" customHeight="1">
      <c r="A1109" s="1" t="s">
        <v>689</v>
      </c>
      <c r="B1109" s="1" t="str">
        <f t="shared" si="1"/>
        <v>+30, 40, GEODUDE</v>
      </c>
    </row>
    <row r="1110" ht="12.75" customHeight="1">
      <c r="A1110" s="1" t="s">
        <v>2628</v>
      </c>
      <c r="B1110" s="1" t="str">
        <f t="shared" si="1"/>
        <v>+30, 40, GEODUDE , &lt;null&gt;</v>
      </c>
    </row>
    <row r="1111" ht="12.75" customHeight="1">
      <c r="A1111" s="2"/>
      <c r="B1111" s="1" t="str">
        <f t="shared" si="1"/>
        <v/>
      </c>
    </row>
    <row r="1112" ht="12.75" customHeight="1">
      <c r="A1112" s="1" t="s">
        <v>2539</v>
      </c>
      <c r="B1112" s="1" t="str">
        <f t="shared" si="1"/>
        <v>NEW ROUTE</v>
      </c>
    </row>
    <row r="1113" ht="12.75" customHeight="1">
      <c r="A1113" s="1" t="s">
        <v>2631</v>
      </c>
      <c r="B1113" s="1" t="str">
        <f t="shared" si="1"/>
        <v>+1, 105, 0,</v>
      </c>
    </row>
    <row r="1114" ht="12.75" customHeight="1">
      <c r="A1114" s="1" t="s">
        <v>2541</v>
      </c>
      <c r="B1114" s="1" t="str">
        <f t="shared" si="1"/>
        <v>7, # 20%</v>
      </c>
    </row>
    <row r="1115" ht="12.75" customHeight="1">
      <c r="A1115" s="1" t="s">
        <v>701</v>
      </c>
      <c r="B1115" s="1" t="str">
        <f t="shared" si="1"/>
        <v>40, 40, GEODUDE</v>
      </c>
    </row>
    <row r="1116" ht="12.75" customHeight="1">
      <c r="A1116" s="1" t="s">
        <v>695</v>
      </c>
      <c r="B1116" s="1" t="str">
        <f t="shared" si="1"/>
        <v>+26, 26, SLUGMA</v>
      </c>
    </row>
    <row r="1117" ht="12.75" customHeight="1">
      <c r="A1117" s="2"/>
      <c r="B1117" s="1" t="str">
        <f t="shared" si="1"/>
        <v/>
      </c>
    </row>
    <row r="1118" ht="12.75" customHeight="1">
      <c r="A1118" s="1" t="s">
        <v>360</v>
      </c>
      <c r="B1118" s="1" t="str">
        <f t="shared" si="1"/>
        <v># 10%</v>
      </c>
    </row>
    <row r="1119" ht="12.75" customHeight="1">
      <c r="A1119" s="1" t="s">
        <v>696</v>
      </c>
      <c r="B1119" s="1" t="str">
        <f t="shared" si="1"/>
        <v>+42, 42, GEODUDE</v>
      </c>
    </row>
    <row r="1120" ht="12.75" customHeight="1">
      <c r="A1120" s="1" t="s">
        <v>694</v>
      </c>
      <c r="B1120" s="1" t="str">
        <f t="shared" si="1"/>
        <v>+24, 24, SLUGMA</v>
      </c>
    </row>
    <row r="1121" ht="12.75" customHeight="1">
      <c r="A1121" s="1" t="s">
        <v>697</v>
      </c>
      <c r="B1121" s="1" t="str">
        <f t="shared" si="1"/>
        <v>+28, 28, SLUGMA</v>
      </c>
    </row>
    <row r="1122" ht="12.75" customHeight="1">
      <c r="A1122" s="1" t="s">
        <v>698</v>
      </c>
      <c r="B1122" s="1" t="str">
        <f t="shared" si="1"/>
        <v>+30, 30, SLUGMA</v>
      </c>
    </row>
    <row r="1123" ht="12.75" customHeight="1">
      <c r="A1123" s="2"/>
      <c r="B1123" s="1" t="str">
        <f t="shared" si="1"/>
        <v/>
      </c>
    </row>
    <row r="1124" ht="12.75" customHeight="1">
      <c r="A1124" s="1" t="s">
        <v>361</v>
      </c>
      <c r="B1124" s="1" t="str">
        <f t="shared" si="1"/>
        <v># 5%</v>
      </c>
    </row>
    <row r="1125" ht="12.75" customHeight="1">
      <c r="A1125" s="1" t="s">
        <v>702</v>
      </c>
      <c r="B1125" s="1" t="str">
        <f t="shared" si="1"/>
        <v>+44, 44, GEODUDE</v>
      </c>
    </row>
    <row r="1126" ht="12.75" customHeight="1">
      <c r="A1126" s="1" t="s">
        <v>703</v>
      </c>
      <c r="B1126" s="1" t="str">
        <f t="shared" si="1"/>
        <v>+32, 32, SLUGMA</v>
      </c>
    </row>
    <row r="1127" ht="12.75" customHeight="1">
      <c r="A1127" s="2"/>
      <c r="B1127" s="1" t="str">
        <f t="shared" si="1"/>
        <v/>
      </c>
    </row>
    <row r="1128" ht="12.75" customHeight="1">
      <c r="A1128" s="1" t="s">
        <v>362</v>
      </c>
      <c r="B1128" s="1" t="str">
        <f t="shared" si="1"/>
        <v># 4%</v>
      </c>
    </row>
    <row r="1129" ht="12.75" customHeight="1">
      <c r="A1129" s="1" t="s">
        <v>702</v>
      </c>
      <c r="B1129" s="1" t="str">
        <f t="shared" si="1"/>
        <v>+44, 44, GEODUDE</v>
      </c>
    </row>
    <row r="1130" ht="12.75" customHeight="1">
      <c r="A1130" s="1" t="s">
        <v>704</v>
      </c>
      <c r="B1130" s="1" t="str">
        <f t="shared" si="1"/>
        <v>+22, 22, SLUGMA</v>
      </c>
    </row>
    <row r="1131" ht="12.75" customHeight="1">
      <c r="A1131" s="2"/>
      <c r="B1131" s="1" t="str">
        <f t="shared" si="1"/>
        <v/>
      </c>
    </row>
    <row r="1132" ht="12.75" customHeight="1">
      <c r="A1132" s="1" t="s">
        <v>363</v>
      </c>
      <c r="B1132" s="1" t="str">
        <f t="shared" si="1"/>
        <v># 1%</v>
      </c>
    </row>
    <row r="1133" ht="12.75" customHeight="1">
      <c r="A1133" s="1" t="s">
        <v>702</v>
      </c>
      <c r="B1133" s="1" t="str">
        <f t="shared" si="1"/>
        <v>+44, 44, GEODUDE</v>
      </c>
    </row>
    <row r="1134" ht="12.75" customHeight="1">
      <c r="A1134" s="1" t="s">
        <v>2632</v>
      </c>
      <c r="B1134" s="1" t="str">
        <f t="shared" si="1"/>
        <v>+22, 22, SLUGMA</v>
      </c>
    </row>
    <row r="1135" ht="12.75" customHeight="1">
      <c r="A1135" s="1" t="s">
        <v>2627</v>
      </c>
      <c r="B1135" s="1" t="str">
        <f t="shared" si="1"/>
        <v>50, 25, 35, GEODUDE</v>
      </c>
    </row>
    <row r="1136" ht="12.75" customHeight="1">
      <c r="A1136" s="1" t="s">
        <v>687</v>
      </c>
      <c r="B1136" s="1" t="str">
        <f t="shared" si="1"/>
        <v>+30, 45, GRAVELER</v>
      </c>
    </row>
    <row r="1137" ht="12.75" customHeight="1">
      <c r="A1137" s="1" t="s">
        <v>688</v>
      </c>
      <c r="B1137" s="1" t="str">
        <f t="shared" si="1"/>
        <v>+35, 50, GRAVELER</v>
      </c>
    </row>
    <row r="1138" ht="12.75" customHeight="1">
      <c r="A1138" s="1" t="s">
        <v>689</v>
      </c>
      <c r="B1138" s="1" t="str">
        <f t="shared" si="1"/>
        <v>+30, 40, GEODUDE</v>
      </c>
    </row>
    <row r="1139" ht="12.75" customHeight="1">
      <c r="A1139" s="1" t="s">
        <v>2628</v>
      </c>
      <c r="B1139" s="1" t="str">
        <f t="shared" si="1"/>
        <v>+30, 40, GEODUDE , &lt;null&gt;</v>
      </c>
    </row>
    <row r="1140" ht="12.75" customHeight="1">
      <c r="A1140" s="2"/>
      <c r="B1140" s="1" t="str">
        <f t="shared" si="1"/>
        <v/>
      </c>
    </row>
    <row r="1141" ht="12.75" customHeight="1">
      <c r="A1141" s="1" t="s">
        <v>2539</v>
      </c>
      <c r="B1141" s="1" t="str">
        <f t="shared" si="1"/>
        <v>NEW ROUTE</v>
      </c>
    </row>
    <row r="1142" ht="12.75" customHeight="1">
      <c r="A1142" s="1" t="s">
        <v>2633</v>
      </c>
      <c r="B1142" s="1" t="str">
        <f t="shared" si="1"/>
        <v>+1, 106, 0,</v>
      </c>
    </row>
    <row r="1143" ht="12.75" customHeight="1">
      <c r="A1143" s="1" t="s">
        <v>2541</v>
      </c>
      <c r="B1143" s="1" t="str">
        <f t="shared" si="1"/>
        <v>7, # 20%</v>
      </c>
    </row>
    <row r="1144" ht="12.75" customHeight="1">
      <c r="A1144" s="1" t="s">
        <v>707</v>
      </c>
      <c r="B1144" s="1" t="str">
        <f t="shared" si="1"/>
        <v>26, 26, SLUGMA</v>
      </c>
    </row>
    <row r="1145" ht="12.75" customHeight="1">
      <c r="A1145" s="1" t="s">
        <v>697</v>
      </c>
      <c r="B1145" s="1" t="str">
        <f t="shared" si="1"/>
        <v>+28, 28, SLUGMA</v>
      </c>
    </row>
    <row r="1146" ht="12.75" customHeight="1">
      <c r="A1146" s="2"/>
      <c r="B1146" s="1" t="str">
        <f t="shared" si="1"/>
        <v/>
      </c>
    </row>
    <row r="1147" ht="12.75" customHeight="1">
      <c r="A1147" s="1" t="s">
        <v>360</v>
      </c>
      <c r="B1147" s="1" t="str">
        <f t="shared" si="1"/>
        <v># 10%</v>
      </c>
    </row>
    <row r="1148" ht="12.75" customHeight="1">
      <c r="A1148" s="1" t="s">
        <v>698</v>
      </c>
      <c r="B1148" s="1" t="str">
        <f t="shared" si="1"/>
        <v>+30, 30, SLUGMA</v>
      </c>
    </row>
    <row r="1149" ht="12.75" customHeight="1">
      <c r="A1149" s="1" t="s">
        <v>703</v>
      </c>
      <c r="B1149" s="1" t="str">
        <f t="shared" si="1"/>
        <v>+32, 32, SLUGMA</v>
      </c>
    </row>
    <row r="1150" ht="12.75" customHeight="1">
      <c r="A1150" s="1" t="s">
        <v>694</v>
      </c>
      <c r="B1150" s="1" t="str">
        <f t="shared" si="1"/>
        <v>+24, 24, SLUGMA</v>
      </c>
    </row>
    <row r="1151" ht="12.75" customHeight="1">
      <c r="A1151" s="1" t="s">
        <v>704</v>
      </c>
      <c r="B1151" s="1" t="str">
        <f t="shared" si="1"/>
        <v>+22, 22, SLUGMA</v>
      </c>
    </row>
    <row r="1152" ht="12.75" customHeight="1">
      <c r="A1152" s="2"/>
      <c r="B1152" s="1" t="str">
        <f t="shared" si="1"/>
        <v/>
      </c>
    </row>
    <row r="1153" ht="12.75" customHeight="1">
      <c r="A1153" s="1" t="s">
        <v>361</v>
      </c>
      <c r="B1153" s="1" t="str">
        <f t="shared" si="1"/>
        <v># 5%</v>
      </c>
    </row>
    <row r="1154" ht="12.75" customHeight="1">
      <c r="A1154" s="1" t="s">
        <v>708</v>
      </c>
      <c r="B1154" s="1" t="str">
        <f t="shared" si="1"/>
        <v>+20, 20, SLUGMA</v>
      </c>
    </row>
    <row r="1155" ht="12.75" customHeight="1">
      <c r="A1155" s="1" t="s">
        <v>709</v>
      </c>
      <c r="B1155" s="1" t="str">
        <f t="shared" si="1"/>
        <v>+34, 34, SLUGMA</v>
      </c>
    </row>
    <row r="1156" ht="12.75" customHeight="1">
      <c r="A1156" s="2"/>
      <c r="B1156" s="1" t="str">
        <f t="shared" si="1"/>
        <v/>
      </c>
    </row>
    <row r="1157" ht="12.75" customHeight="1">
      <c r="A1157" s="1" t="s">
        <v>362</v>
      </c>
      <c r="B1157" s="1" t="str">
        <f t="shared" si="1"/>
        <v># 4%</v>
      </c>
    </row>
    <row r="1158" ht="12.75" customHeight="1">
      <c r="A1158" s="1" t="s">
        <v>710</v>
      </c>
      <c r="B1158" s="1" t="str">
        <f t="shared" si="1"/>
        <v>+36, 36, SLUGMA</v>
      </c>
    </row>
    <row r="1159" ht="12.75" customHeight="1">
      <c r="A1159" s="1" t="s">
        <v>711</v>
      </c>
      <c r="B1159" s="1" t="str">
        <f t="shared" si="1"/>
        <v>+18, 18, SLUGMA</v>
      </c>
    </row>
    <row r="1160" ht="12.75" customHeight="1">
      <c r="A1160" s="2"/>
      <c r="B1160" s="1" t="str">
        <f t="shared" si="1"/>
        <v/>
      </c>
    </row>
    <row r="1161" ht="12.75" customHeight="1">
      <c r="A1161" s="1" t="s">
        <v>363</v>
      </c>
      <c r="B1161" s="1" t="str">
        <f t="shared" si="1"/>
        <v># 1%</v>
      </c>
    </row>
    <row r="1162" ht="12.75" customHeight="1">
      <c r="A1162" s="1" t="s">
        <v>710</v>
      </c>
      <c r="B1162" s="1" t="str">
        <f t="shared" si="1"/>
        <v>+36, 36, SLUGMA</v>
      </c>
    </row>
    <row r="1163" ht="12.75" customHeight="1">
      <c r="A1163" s="1" t="s">
        <v>2634</v>
      </c>
      <c r="B1163" s="1" t="str">
        <f t="shared" si="1"/>
        <v>+18, 18, SLUGMA</v>
      </c>
    </row>
    <row r="1164" ht="12.75" customHeight="1">
      <c r="A1164" s="1" t="s">
        <v>2635</v>
      </c>
      <c r="B1164" s="1" t="str">
        <f t="shared" si="1"/>
        <v>50, 15, 25, SLUGMA</v>
      </c>
    </row>
    <row r="1165" ht="12.75" customHeight="1">
      <c r="A1165" s="1" t="s">
        <v>713</v>
      </c>
      <c r="B1165" s="1" t="str">
        <f t="shared" si="1"/>
        <v>+25, 35, SLUGMA</v>
      </c>
    </row>
    <row r="1166" ht="12.75" customHeight="1">
      <c r="A1166" s="1" t="s">
        <v>714</v>
      </c>
      <c r="B1166" s="1" t="str">
        <f t="shared" si="1"/>
        <v>+40, 45, MAGCARGO</v>
      </c>
    </row>
    <row r="1167" ht="12.75" customHeight="1">
      <c r="A1167" s="1" t="s">
        <v>715</v>
      </c>
      <c r="B1167" s="1" t="str">
        <f t="shared" si="1"/>
        <v>+35, 45, MAGCARGO</v>
      </c>
    </row>
    <row r="1168" ht="12.75" customHeight="1">
      <c r="A1168" s="1" t="s">
        <v>2636</v>
      </c>
      <c r="B1168" s="1" t="str">
        <f t="shared" si="1"/>
        <v>+25, 35, MAGCARGO , &lt;null&gt;</v>
      </c>
    </row>
    <row r="1169" ht="12.75" customHeight="1">
      <c r="A1169" s="2"/>
      <c r="B1169" s="1" t="str">
        <f t="shared" si="1"/>
        <v/>
      </c>
    </row>
    <row r="1170" ht="12.75" customHeight="1">
      <c r="A1170" s="1" t="s">
        <v>2539</v>
      </c>
      <c r="B1170" s="1" t="str">
        <f t="shared" si="1"/>
        <v>NEW ROUTE</v>
      </c>
    </row>
    <row r="1171" ht="12.75" customHeight="1">
      <c r="A1171" s="1" t="s">
        <v>2637</v>
      </c>
      <c r="B1171" s="1" t="str">
        <f t="shared" si="1"/>
        <v>+1, 107, 0,</v>
      </c>
    </row>
    <row r="1172" ht="12.75" customHeight="1">
      <c r="A1172" s="1" t="s">
        <v>2541</v>
      </c>
      <c r="B1172" s="1" t="str">
        <f t="shared" si="1"/>
        <v>7, # 20%</v>
      </c>
    </row>
    <row r="1173" ht="12.75" customHeight="1">
      <c r="A1173" s="1" t="s">
        <v>701</v>
      </c>
      <c r="B1173" s="1" t="str">
        <f t="shared" si="1"/>
        <v>40, 40, GEODUDE</v>
      </c>
    </row>
    <row r="1174" ht="12.75" customHeight="1">
      <c r="A1174" s="1" t="s">
        <v>695</v>
      </c>
      <c r="B1174" s="1" t="str">
        <f t="shared" si="1"/>
        <v>+26, 26, SLUGMA</v>
      </c>
    </row>
    <row r="1175" ht="12.75" customHeight="1">
      <c r="A1175" s="2"/>
      <c r="B1175" s="1" t="str">
        <f t="shared" si="1"/>
        <v/>
      </c>
    </row>
    <row r="1176" ht="12.75" customHeight="1">
      <c r="A1176" s="1" t="s">
        <v>360</v>
      </c>
      <c r="B1176" s="1" t="str">
        <f t="shared" si="1"/>
        <v># 10%</v>
      </c>
    </row>
    <row r="1177" ht="12.75" customHeight="1">
      <c r="A1177" s="1" t="s">
        <v>696</v>
      </c>
      <c r="B1177" s="1" t="str">
        <f t="shared" si="1"/>
        <v>+42, 42, GEODUDE</v>
      </c>
    </row>
    <row r="1178" ht="12.75" customHeight="1">
      <c r="A1178" s="1" t="s">
        <v>694</v>
      </c>
      <c r="B1178" s="1" t="str">
        <f t="shared" si="1"/>
        <v>+24, 24, SLUGMA</v>
      </c>
    </row>
    <row r="1179" ht="12.75" customHeight="1">
      <c r="A1179" s="1" t="s">
        <v>697</v>
      </c>
      <c r="B1179" s="1" t="str">
        <f t="shared" si="1"/>
        <v>+28, 28, SLUGMA</v>
      </c>
    </row>
    <row r="1180" ht="12.75" customHeight="1">
      <c r="A1180" s="1" t="s">
        <v>698</v>
      </c>
      <c r="B1180" s="1" t="str">
        <f t="shared" si="1"/>
        <v>+30, 30, SLUGMA</v>
      </c>
    </row>
    <row r="1181" ht="12.75" customHeight="1">
      <c r="A1181" s="2"/>
      <c r="B1181" s="1" t="str">
        <f t="shared" si="1"/>
        <v/>
      </c>
    </row>
    <row r="1182" ht="12.75" customHeight="1">
      <c r="A1182" s="1" t="s">
        <v>361</v>
      </c>
      <c r="B1182" s="1" t="str">
        <f t="shared" si="1"/>
        <v># 5%</v>
      </c>
    </row>
    <row r="1183" ht="12.75" customHeight="1">
      <c r="A1183" s="1" t="s">
        <v>702</v>
      </c>
      <c r="B1183" s="1" t="str">
        <f t="shared" si="1"/>
        <v>+44, 44, GEODUDE</v>
      </c>
    </row>
    <row r="1184" ht="12.75" customHeight="1">
      <c r="A1184" s="1" t="s">
        <v>703</v>
      </c>
      <c r="B1184" s="1" t="str">
        <f t="shared" si="1"/>
        <v>+32, 32, SLUGMA</v>
      </c>
    </row>
    <row r="1185" ht="12.75" customHeight="1">
      <c r="A1185" s="2"/>
      <c r="B1185" s="1" t="str">
        <f t="shared" si="1"/>
        <v/>
      </c>
    </row>
    <row r="1186" ht="12.75" customHeight="1">
      <c r="A1186" s="1" t="s">
        <v>362</v>
      </c>
      <c r="B1186" s="1" t="str">
        <f t="shared" si="1"/>
        <v># 4%</v>
      </c>
    </row>
    <row r="1187" ht="12.75" customHeight="1">
      <c r="A1187" s="1" t="s">
        <v>702</v>
      </c>
      <c r="B1187" s="1" t="str">
        <f t="shared" si="1"/>
        <v>+44, 44, GEODUDE</v>
      </c>
    </row>
    <row r="1188" ht="12.75" customHeight="1">
      <c r="A1188" s="1" t="s">
        <v>704</v>
      </c>
      <c r="B1188" s="1" t="str">
        <f t="shared" si="1"/>
        <v>+22, 22, SLUGMA</v>
      </c>
    </row>
    <row r="1189" ht="12.75" customHeight="1">
      <c r="A1189" s="2"/>
      <c r="B1189" s="1" t="str">
        <f t="shared" si="1"/>
        <v/>
      </c>
    </row>
    <row r="1190" ht="12.75" customHeight="1">
      <c r="A1190" s="1" t="s">
        <v>363</v>
      </c>
      <c r="B1190" s="1" t="str">
        <f t="shared" si="1"/>
        <v># 1%</v>
      </c>
    </row>
    <row r="1191" ht="12.75" customHeight="1">
      <c r="A1191" s="1" t="s">
        <v>702</v>
      </c>
      <c r="B1191" s="1" t="str">
        <f t="shared" si="1"/>
        <v>+44, 44, GEODUDE</v>
      </c>
    </row>
    <row r="1192" ht="12.75" customHeight="1">
      <c r="A1192" s="1" t="s">
        <v>2632</v>
      </c>
      <c r="B1192" s="1" t="str">
        <f t="shared" si="1"/>
        <v>+22, 22, SLUGMA</v>
      </c>
    </row>
    <row r="1193" ht="12.75" customHeight="1">
      <c r="A1193" s="1" t="s">
        <v>2627</v>
      </c>
      <c r="B1193" s="1" t="str">
        <f t="shared" si="1"/>
        <v>50, 25, 35, GEODUDE</v>
      </c>
    </row>
    <row r="1194" ht="12.75" customHeight="1">
      <c r="A1194" s="1" t="s">
        <v>687</v>
      </c>
      <c r="B1194" s="1" t="str">
        <f t="shared" si="1"/>
        <v>+30, 45, GRAVELER</v>
      </c>
    </row>
    <row r="1195" ht="12.75" customHeight="1">
      <c r="A1195" s="1" t="s">
        <v>688</v>
      </c>
      <c r="B1195" s="1" t="str">
        <f t="shared" si="1"/>
        <v>+35, 50, GRAVELER</v>
      </c>
    </row>
    <row r="1196" ht="12.75" customHeight="1">
      <c r="A1196" s="1" t="s">
        <v>689</v>
      </c>
      <c r="B1196" s="1" t="str">
        <f t="shared" si="1"/>
        <v>+30, 40, GEODUDE</v>
      </c>
    </row>
    <row r="1197" ht="12.75" customHeight="1">
      <c r="A1197" s="1" t="s">
        <v>2628</v>
      </c>
      <c r="B1197" s="1" t="str">
        <f t="shared" si="1"/>
        <v>+30, 40, GEODUDE , &lt;null&gt;</v>
      </c>
    </row>
    <row r="1198" ht="12.75" customHeight="1">
      <c r="A1198" s="2"/>
      <c r="B1198" s="1" t="str">
        <f t="shared" si="1"/>
        <v/>
      </c>
    </row>
    <row r="1199" ht="12.75" customHeight="1">
      <c r="A1199" s="1" t="s">
        <v>2539</v>
      </c>
      <c r="B1199" s="1" t="str">
        <f t="shared" si="1"/>
        <v>NEW ROUTE</v>
      </c>
    </row>
    <row r="1200" ht="12.75" customHeight="1">
      <c r="A1200" s="1" t="s">
        <v>2638</v>
      </c>
      <c r="B1200" s="1" t="str">
        <f t="shared" si="1"/>
        <v>+1, 108, 0,</v>
      </c>
    </row>
    <row r="1201" ht="12.75" customHeight="1">
      <c r="A1201" s="1" t="s">
        <v>2541</v>
      </c>
      <c r="B1201" s="1" t="str">
        <f t="shared" si="1"/>
        <v>7, # 20%</v>
      </c>
    </row>
    <row r="1202" ht="12.75" customHeight="1">
      <c r="A1202" s="1" t="s">
        <v>692</v>
      </c>
      <c r="B1202" s="1" t="str">
        <f t="shared" si="1"/>
        <v>38, 38, GEODUDE</v>
      </c>
    </row>
    <row r="1203" ht="12.75" customHeight="1">
      <c r="A1203" s="1" t="s">
        <v>693</v>
      </c>
      <c r="B1203" s="1" t="str">
        <f t="shared" si="1"/>
        <v>+36, 36, GEODUDE</v>
      </c>
    </row>
    <row r="1204" ht="12.75" customHeight="1">
      <c r="A1204" s="2"/>
      <c r="B1204" s="1" t="str">
        <f t="shared" si="1"/>
        <v/>
      </c>
    </row>
    <row r="1205" ht="12.75" customHeight="1">
      <c r="A1205" s="1" t="s">
        <v>360</v>
      </c>
      <c r="B1205" s="1" t="str">
        <f t="shared" si="1"/>
        <v># 10%</v>
      </c>
    </row>
    <row r="1206" ht="12.75" customHeight="1">
      <c r="A1206" s="1" t="s">
        <v>682</v>
      </c>
      <c r="B1206" s="1" t="str">
        <f t="shared" si="1"/>
        <v>+34, 34, GEODUDE</v>
      </c>
    </row>
    <row r="1207" ht="12.75" customHeight="1">
      <c r="A1207" s="1" t="s">
        <v>684</v>
      </c>
      <c r="B1207" s="1" t="str">
        <f t="shared" si="1"/>
        <v>+40, 40, GEODUDE</v>
      </c>
    </row>
    <row r="1208" ht="12.75" customHeight="1">
      <c r="A1208" s="1" t="s">
        <v>694</v>
      </c>
      <c r="B1208" s="1" t="str">
        <f t="shared" si="1"/>
        <v>+24, 24, SLUGMA</v>
      </c>
    </row>
    <row r="1209" ht="12.75" customHeight="1">
      <c r="A1209" s="1" t="s">
        <v>695</v>
      </c>
      <c r="B1209" s="1" t="str">
        <f t="shared" si="1"/>
        <v>+26, 26, SLUGMA</v>
      </c>
    </row>
    <row r="1210" ht="12.75" customHeight="1">
      <c r="A1210" s="2"/>
      <c r="B1210" s="1" t="str">
        <f t="shared" si="1"/>
        <v/>
      </c>
    </row>
    <row r="1211" ht="12.75" customHeight="1">
      <c r="A1211" s="1" t="s">
        <v>361</v>
      </c>
      <c r="B1211" s="1" t="str">
        <f t="shared" si="1"/>
        <v># 5%</v>
      </c>
    </row>
    <row r="1212" ht="12.75" customHeight="1">
      <c r="A1212" s="1" t="s">
        <v>696</v>
      </c>
      <c r="B1212" s="1" t="str">
        <f t="shared" si="1"/>
        <v>+42, 42, GEODUDE</v>
      </c>
    </row>
    <row r="1213" ht="12.75" customHeight="1">
      <c r="A1213" s="1" t="s">
        <v>697</v>
      </c>
      <c r="B1213" s="1" t="str">
        <f t="shared" si="1"/>
        <v>+28, 28, SLUGMA</v>
      </c>
    </row>
    <row r="1214" ht="12.75" customHeight="1">
      <c r="A1214" s="2"/>
      <c r="B1214" s="1" t="str">
        <f t="shared" si="1"/>
        <v/>
      </c>
    </row>
    <row r="1215" ht="12.75" customHeight="1">
      <c r="A1215" s="1" t="s">
        <v>362</v>
      </c>
      <c r="B1215" s="1" t="str">
        <f t="shared" si="1"/>
        <v># 4%</v>
      </c>
    </row>
    <row r="1216" ht="12.75" customHeight="1">
      <c r="A1216" s="1" t="s">
        <v>696</v>
      </c>
      <c r="B1216" s="1" t="str">
        <f t="shared" si="1"/>
        <v>+42, 42, GEODUDE</v>
      </c>
    </row>
    <row r="1217" ht="12.75" customHeight="1">
      <c r="A1217" s="1" t="s">
        <v>698</v>
      </c>
      <c r="B1217" s="1" t="str">
        <f t="shared" si="1"/>
        <v>+30, 30, SLUGMA</v>
      </c>
    </row>
    <row r="1218" ht="12.75" customHeight="1">
      <c r="A1218" s="2"/>
      <c r="B1218" s="1" t="str">
        <f t="shared" si="1"/>
        <v/>
      </c>
    </row>
    <row r="1219" ht="12.75" customHeight="1">
      <c r="A1219" s="1" t="s">
        <v>363</v>
      </c>
      <c r="B1219" s="1" t="str">
        <f t="shared" si="1"/>
        <v># 1%</v>
      </c>
    </row>
    <row r="1220" ht="12.75" customHeight="1">
      <c r="A1220" s="1" t="s">
        <v>696</v>
      </c>
      <c r="B1220" s="1" t="str">
        <f t="shared" si="1"/>
        <v>+42, 42, GEODUDE</v>
      </c>
    </row>
    <row r="1221" ht="12.75" customHeight="1">
      <c r="A1221" s="1" t="s">
        <v>2630</v>
      </c>
      <c r="B1221" s="1" t="str">
        <f t="shared" si="1"/>
        <v>+30, 30, SLUGMA</v>
      </c>
    </row>
    <row r="1222" ht="12.75" customHeight="1">
      <c r="A1222" s="1" t="s">
        <v>2627</v>
      </c>
      <c r="B1222" s="1" t="str">
        <f t="shared" si="1"/>
        <v>50, 25, 35, GEODUDE</v>
      </c>
    </row>
    <row r="1223" ht="12.75" customHeight="1">
      <c r="A1223" s="1" t="s">
        <v>687</v>
      </c>
      <c r="B1223" s="1" t="str">
        <f t="shared" si="1"/>
        <v>+30, 45, GRAVELER</v>
      </c>
    </row>
    <row r="1224" ht="12.75" customHeight="1">
      <c r="A1224" s="1" t="s">
        <v>688</v>
      </c>
      <c r="B1224" s="1" t="str">
        <f t="shared" si="1"/>
        <v>+35, 50, GRAVELER</v>
      </c>
    </row>
    <row r="1225" ht="12.75" customHeight="1">
      <c r="A1225" s="1" t="s">
        <v>689</v>
      </c>
      <c r="B1225" s="1" t="str">
        <f t="shared" si="1"/>
        <v>+30, 40, GEODUDE</v>
      </c>
    </row>
    <row r="1226" ht="12.75" customHeight="1">
      <c r="A1226" s="1" t="s">
        <v>2628</v>
      </c>
      <c r="B1226" s="1" t="str">
        <f t="shared" si="1"/>
        <v>+30, 40, GEODUDE , &lt;null&gt;</v>
      </c>
    </row>
    <row r="1227" ht="12.75" customHeight="1">
      <c r="A1227" s="2"/>
      <c r="B1227" s="1" t="str">
        <f t="shared" si="1"/>
        <v/>
      </c>
    </row>
    <row r="1228" ht="12.75" customHeight="1">
      <c r="A1228" s="1" t="s">
        <v>2539</v>
      </c>
      <c r="B1228" s="1" t="str">
        <f t="shared" si="1"/>
        <v>NEW ROUTE</v>
      </c>
    </row>
    <row r="1229" ht="12.75" customHeight="1">
      <c r="A1229" s="1" t="s">
        <v>2639</v>
      </c>
      <c r="B1229" s="1" t="str">
        <f t="shared" si="1"/>
        <v>+1, 109, 0,</v>
      </c>
    </row>
    <row r="1230" ht="12.75" customHeight="1">
      <c r="A1230" s="1" t="s">
        <v>2568</v>
      </c>
      <c r="B1230" s="1" t="str">
        <f t="shared" si="1"/>
        <v>21, # 20%</v>
      </c>
    </row>
    <row r="1231" ht="12.75" customHeight="1">
      <c r="A1231" s="1" t="s">
        <v>720</v>
      </c>
      <c r="B1231" s="1" t="str">
        <f t="shared" si="1"/>
        <v>37, 37, PIDGEOTTO</v>
      </c>
    </row>
    <row r="1232" ht="12.75" customHeight="1">
      <c r="A1232" s="1" t="s">
        <v>721</v>
      </c>
      <c r="B1232" s="1" t="str">
        <f t="shared" si="1"/>
        <v>+35, 35, WEEPINBELL</v>
      </c>
    </row>
    <row r="1233" ht="12.75" customHeight="1">
      <c r="A1233" s="2"/>
      <c r="B1233" s="1" t="str">
        <f t="shared" si="1"/>
        <v/>
      </c>
    </row>
    <row r="1234" ht="12.75" customHeight="1">
      <c r="A1234" s="1" t="s">
        <v>360</v>
      </c>
      <c r="B1234" s="1" t="str">
        <f t="shared" si="1"/>
        <v># 10%</v>
      </c>
    </row>
    <row r="1235" ht="12.75" customHeight="1">
      <c r="A1235" s="1" t="s">
        <v>722</v>
      </c>
      <c r="B1235" s="1" t="str">
        <f t="shared" si="1"/>
        <v>+32, 32, PIDGEY</v>
      </c>
    </row>
    <row r="1236" ht="12.75" customHeight="1">
      <c r="A1236" s="1" t="s">
        <v>723</v>
      </c>
      <c r="B1236" s="1" t="str">
        <f t="shared" si="1"/>
        <v>+30, 30, BELLSPROUT</v>
      </c>
    </row>
    <row r="1237" ht="12.75" customHeight="1">
      <c r="A1237" s="1" t="s">
        <v>724</v>
      </c>
      <c r="B1237" s="1" t="str">
        <f t="shared" si="1"/>
        <v>+34, 34, VENONAT</v>
      </c>
    </row>
    <row r="1238" ht="12.75" customHeight="1">
      <c r="A1238" s="1" t="s">
        <v>725</v>
      </c>
      <c r="B1238" s="1" t="str">
        <f t="shared" si="1"/>
        <v>+34, 34, DROWZEE</v>
      </c>
    </row>
    <row r="1239" ht="12.75" customHeight="1">
      <c r="A1239" s="2"/>
      <c r="B1239" s="1" t="str">
        <f t="shared" si="1"/>
        <v/>
      </c>
    </row>
    <row r="1240" ht="12.75" customHeight="1">
      <c r="A1240" s="1" t="s">
        <v>361</v>
      </c>
      <c r="B1240" s="1" t="str">
        <f t="shared" si="1"/>
        <v># 5%</v>
      </c>
    </row>
    <row r="1241" ht="12.75" customHeight="1">
      <c r="A1241" s="1" t="s">
        <v>726</v>
      </c>
      <c r="B1241" s="1" t="str">
        <f t="shared" si="1"/>
        <v>+35, 35, EXEGGCUTE</v>
      </c>
    </row>
    <row r="1242" ht="12.75" customHeight="1">
      <c r="A1242" s="1" t="s">
        <v>727</v>
      </c>
      <c r="B1242" s="1" t="str">
        <f t="shared" si="1"/>
        <v>+31, 31, SLOWPOKE</v>
      </c>
    </row>
    <row r="1243" ht="12.75" customHeight="1">
      <c r="A1243" s="2"/>
      <c r="B1243" s="1" t="str">
        <f t="shared" si="1"/>
        <v/>
      </c>
    </row>
    <row r="1244" ht="12.75" customHeight="1">
      <c r="A1244" s="1" t="s">
        <v>362</v>
      </c>
      <c r="B1244" s="1" t="str">
        <f t="shared" si="1"/>
        <v># 4%</v>
      </c>
    </row>
    <row r="1245" ht="12.75" customHeight="1">
      <c r="A1245" s="1" t="s">
        <v>728</v>
      </c>
      <c r="B1245" s="1" t="str">
        <f t="shared" si="1"/>
        <v>+37, 37, VENOMOTH</v>
      </c>
    </row>
    <row r="1246" ht="12.75" customHeight="1">
      <c r="A1246" s="1" t="s">
        <v>729</v>
      </c>
      <c r="B1246" s="1" t="str">
        <f t="shared" si="1"/>
        <v>+37, 37, HYPNO</v>
      </c>
    </row>
    <row r="1247" ht="12.75" customHeight="1">
      <c r="A1247" s="2"/>
      <c r="B1247" s="1" t="str">
        <f t="shared" si="1"/>
        <v/>
      </c>
    </row>
    <row r="1248" ht="12.75" customHeight="1">
      <c r="A1248" s="1" t="s">
        <v>363</v>
      </c>
      <c r="B1248" s="1" t="str">
        <f t="shared" si="1"/>
        <v># 1%</v>
      </c>
    </row>
    <row r="1249" ht="12.75" customHeight="1">
      <c r="A1249" s="1" t="s">
        <v>730</v>
      </c>
      <c r="B1249" s="1" t="str">
        <f t="shared" si="1"/>
        <v>+40, 40, VENOMOTH</v>
      </c>
    </row>
    <row r="1250" ht="12.75" customHeight="1">
      <c r="A1250" s="1" t="s">
        <v>2640</v>
      </c>
      <c r="B1250" s="1" t="str">
        <f t="shared" si="1"/>
        <v>+40, 40, HYPNO</v>
      </c>
    </row>
    <row r="1251" ht="12.75" customHeight="1">
      <c r="A1251" s="1" t="s">
        <v>2641</v>
      </c>
      <c r="B1251" s="1" t="str">
        <f t="shared" si="1"/>
        <v>2, 5, 20, SLOWPOKE</v>
      </c>
    </row>
    <row r="1252" ht="12.75" customHeight="1">
      <c r="A1252" s="1" t="s">
        <v>732</v>
      </c>
      <c r="B1252" s="1" t="str">
        <f t="shared" si="1"/>
        <v>+20, 35, SLOWPOKE</v>
      </c>
    </row>
    <row r="1253" ht="12.75" customHeight="1">
      <c r="A1253" s="1" t="s">
        <v>733</v>
      </c>
      <c r="B1253" s="1" t="str">
        <f t="shared" si="1"/>
        <v>+35, 40, SLOWPOKE</v>
      </c>
    </row>
    <row r="1254" ht="12.75" customHeight="1">
      <c r="A1254" s="1" t="s">
        <v>734</v>
      </c>
      <c r="B1254" s="1" t="str">
        <f t="shared" si="1"/>
        <v>+35, 40, SLOWBRO</v>
      </c>
    </row>
    <row r="1255" ht="12.75" customHeight="1">
      <c r="A1255" s="1" t="s">
        <v>2642</v>
      </c>
      <c r="B1255" s="1" t="str">
        <f t="shared" si="1"/>
        <v>+35, 40, SLOWBRO</v>
      </c>
    </row>
    <row r="1256" ht="12.75" customHeight="1">
      <c r="A1256" s="1" t="s">
        <v>2572</v>
      </c>
      <c r="B1256" s="1" t="str">
        <f t="shared" si="1"/>
        <v>20, # old rod:</v>
      </c>
    </row>
    <row r="1257" ht="12.75" customHeight="1">
      <c r="A1257" s="1" t="s">
        <v>417</v>
      </c>
      <c r="B1257" s="1" t="str">
        <f t="shared" si="1"/>
        <v>5, 5, MAGIKARP</v>
      </c>
    </row>
    <row r="1258" ht="12.75" customHeight="1">
      <c r="A1258" s="1" t="s">
        <v>418</v>
      </c>
      <c r="B1258" s="1" t="str">
        <f t="shared" si="1"/>
        <v>+5, 5, MAGIKARP</v>
      </c>
    </row>
    <row r="1259" ht="12.75" customHeight="1">
      <c r="A1259" s="2"/>
      <c r="B1259" s="1" t="str">
        <f t="shared" si="1"/>
        <v/>
      </c>
    </row>
    <row r="1260" ht="12.75" customHeight="1">
      <c r="A1260" s="1" t="s">
        <v>419</v>
      </c>
      <c r="B1260" s="1" t="str">
        <f t="shared" si="1"/>
        <v># good rod:</v>
      </c>
    </row>
    <row r="1261" ht="12.75" customHeight="1">
      <c r="A1261" s="1" t="s">
        <v>736</v>
      </c>
      <c r="B1261" s="1" t="str">
        <f t="shared" si="1"/>
        <v>+5, 15, GOLDEEN</v>
      </c>
    </row>
    <row r="1262" ht="12.75" customHeight="1">
      <c r="A1262" s="1" t="s">
        <v>421</v>
      </c>
      <c r="B1262" s="1" t="str">
        <f t="shared" si="1"/>
        <v>+5, 15, MAGIKARP</v>
      </c>
    </row>
    <row r="1263" ht="12.75" customHeight="1">
      <c r="A1263" s="1" t="s">
        <v>737</v>
      </c>
      <c r="B1263" s="1" t="str">
        <f t="shared" si="1"/>
        <v>+5, 15, POLIWAG</v>
      </c>
    </row>
    <row r="1264" ht="12.75" customHeight="1">
      <c r="A1264" s="2"/>
      <c r="B1264" s="1" t="str">
        <f t="shared" si="1"/>
        <v/>
      </c>
    </row>
    <row r="1265" ht="12.75" customHeight="1">
      <c r="A1265" s="1" t="s">
        <v>423</v>
      </c>
      <c r="B1265" s="1" t="str">
        <f t="shared" si="1"/>
        <v># super rod:</v>
      </c>
    </row>
    <row r="1266" ht="12.75" customHeight="1">
      <c r="A1266" s="1" t="s">
        <v>738</v>
      </c>
      <c r="B1266" s="1" t="str">
        <f t="shared" si="1"/>
        <v>+15, 25, GOLDEEN</v>
      </c>
    </row>
    <row r="1267" ht="12.75" customHeight="1">
      <c r="A1267" s="1" t="s">
        <v>739</v>
      </c>
      <c r="B1267" s="1" t="str">
        <f t="shared" si="1"/>
        <v>+20, 30, SEAKING</v>
      </c>
    </row>
    <row r="1268" ht="12.75" customHeight="1">
      <c r="A1268" s="1" t="s">
        <v>426</v>
      </c>
      <c r="B1268" s="1" t="str">
        <f t="shared" si="1"/>
        <v>+15, 25, GYARADOS</v>
      </c>
    </row>
    <row r="1269" ht="12.75" customHeight="1">
      <c r="A1269" s="1" t="s">
        <v>740</v>
      </c>
      <c r="B1269" s="1" t="str">
        <f t="shared" si="1"/>
        <v>+15, 25, SLOWPOKE</v>
      </c>
    </row>
    <row r="1270" ht="12.75" customHeight="1">
      <c r="A1270" s="1" t="s">
        <v>2552</v>
      </c>
      <c r="B1270" s="1" t="str">
        <f t="shared" si="1"/>
        <v>+25, 35, SLOWPOKE</v>
      </c>
    </row>
    <row r="1271" ht="12.75" customHeight="1">
      <c r="A1271" s="1" t="s">
        <v>2539</v>
      </c>
      <c r="B1271" s="1" t="str">
        <f t="shared" si="1"/>
        <v>NEW ROUTE</v>
      </c>
    </row>
    <row r="1272" ht="12.75" customHeight="1">
      <c r="A1272" s="1" t="s">
        <v>2643</v>
      </c>
      <c r="B1272" s="1" t="str">
        <f t="shared" si="1"/>
        <v>+1, 110, 0,</v>
      </c>
    </row>
    <row r="1273" ht="12.75" customHeight="1">
      <c r="A1273" s="1" t="s">
        <v>2541</v>
      </c>
      <c r="B1273" s="1" t="str">
        <f t="shared" si="1"/>
        <v>7, # 20%</v>
      </c>
    </row>
    <row r="1274" ht="12.75" customHeight="1">
      <c r="A1274" s="1" t="s">
        <v>742</v>
      </c>
      <c r="B1274" s="1" t="str">
        <f t="shared" si="1"/>
        <v>43, 43, SEEL</v>
      </c>
    </row>
    <row r="1275" ht="12.75" customHeight="1">
      <c r="A1275" s="1" t="s">
        <v>743</v>
      </c>
      <c r="B1275" s="1" t="str">
        <f t="shared" si="1"/>
        <v>+45, 45, GOLBAT</v>
      </c>
    </row>
    <row r="1276" ht="12.75" customHeight="1">
      <c r="A1276" s="2"/>
      <c r="B1276" s="1" t="str">
        <f t="shared" si="1"/>
        <v/>
      </c>
    </row>
    <row r="1277" ht="12.75" customHeight="1">
      <c r="A1277" s="1" t="s">
        <v>360</v>
      </c>
      <c r="B1277" s="1" t="str">
        <f t="shared" si="1"/>
        <v># 10%</v>
      </c>
    </row>
    <row r="1278" ht="12.75" customHeight="1">
      <c r="A1278" s="1" t="s">
        <v>744</v>
      </c>
      <c r="B1278" s="1" t="str">
        <f t="shared" si="1"/>
        <v>+45, 45, SEEL</v>
      </c>
    </row>
    <row r="1279" ht="12.75" customHeight="1">
      <c r="A1279" s="1" t="s">
        <v>745</v>
      </c>
      <c r="B1279" s="1" t="str">
        <f t="shared" si="1"/>
        <v>+47, 47, SEEL</v>
      </c>
    </row>
    <row r="1280" ht="12.75" customHeight="1">
      <c r="A1280" s="1" t="s">
        <v>746</v>
      </c>
      <c r="B1280" s="1" t="str">
        <f t="shared" si="1"/>
        <v>+40, 40, ZUBAT</v>
      </c>
    </row>
    <row r="1281" ht="12.75" customHeight="1">
      <c r="A1281" s="1" t="s">
        <v>747</v>
      </c>
      <c r="B1281" s="1" t="str">
        <f t="shared" si="1"/>
        <v>+49, 49, DEWGONG</v>
      </c>
    </row>
    <row r="1282" ht="12.75" customHeight="1">
      <c r="A1282" s="2"/>
      <c r="B1282" s="1" t="str">
        <f t="shared" si="1"/>
        <v/>
      </c>
    </row>
    <row r="1283" ht="12.75" customHeight="1">
      <c r="A1283" s="1" t="s">
        <v>361</v>
      </c>
      <c r="B1283" s="1" t="str">
        <f t="shared" si="1"/>
        <v># 5%</v>
      </c>
    </row>
    <row r="1284" ht="12.75" customHeight="1">
      <c r="A1284" s="1" t="s">
        <v>748</v>
      </c>
      <c r="B1284" s="1" t="str">
        <f t="shared" si="1"/>
        <v>+51, 51, DEWGONG</v>
      </c>
    </row>
    <row r="1285" ht="12.75" customHeight="1">
      <c r="A1285" s="1" t="s">
        <v>749</v>
      </c>
      <c r="B1285" s="1" t="str">
        <f t="shared" si="1"/>
        <v>+41, 41, SLOWPOKE</v>
      </c>
    </row>
    <row r="1286" ht="12.75" customHeight="1">
      <c r="A1286" s="2"/>
      <c r="B1286" s="1" t="str">
        <f t="shared" si="1"/>
        <v/>
      </c>
    </row>
    <row r="1287" ht="12.75" customHeight="1">
      <c r="A1287" s="1" t="s">
        <v>362</v>
      </c>
      <c r="B1287" s="1" t="str">
        <f t="shared" si="1"/>
        <v># 4%</v>
      </c>
    </row>
    <row r="1288" ht="12.75" customHeight="1">
      <c r="A1288" s="1" t="s">
        <v>750</v>
      </c>
      <c r="B1288" s="1" t="str">
        <f t="shared" si="1"/>
        <v>+48, 48, GOLBAT</v>
      </c>
    </row>
    <row r="1289" ht="12.75" customHeight="1">
      <c r="A1289" s="1" t="s">
        <v>751</v>
      </c>
      <c r="B1289" s="1" t="str">
        <f t="shared" si="1"/>
        <v>+53, 53, DEWGONG</v>
      </c>
    </row>
    <row r="1290" ht="12.75" customHeight="1">
      <c r="A1290" s="2"/>
      <c r="B1290" s="1" t="str">
        <f t="shared" si="1"/>
        <v/>
      </c>
    </row>
    <row r="1291" ht="12.75" customHeight="1">
      <c r="A1291" s="1" t="s">
        <v>363</v>
      </c>
      <c r="B1291" s="1" t="str">
        <f t="shared" si="1"/>
        <v># 1%</v>
      </c>
    </row>
    <row r="1292" ht="12.75" customHeight="1">
      <c r="A1292" s="1" t="s">
        <v>750</v>
      </c>
      <c r="B1292" s="1" t="str">
        <f t="shared" si="1"/>
        <v>+48, 48, GOLBAT</v>
      </c>
    </row>
    <row r="1293" ht="12.75" customHeight="1">
      <c r="A1293" s="1" t="s">
        <v>2644</v>
      </c>
      <c r="B1293" s="1" t="str">
        <f t="shared" si="1"/>
        <v>+53, 53, DEWGONG</v>
      </c>
    </row>
    <row r="1294" ht="12.75" customHeight="1">
      <c r="A1294" s="1" t="s">
        <v>2645</v>
      </c>
      <c r="B1294" s="1" t="str">
        <f t="shared" si="1"/>
        <v>2, 5, 35, SEEL</v>
      </c>
    </row>
    <row r="1295" ht="12.75" customHeight="1">
      <c r="A1295" s="1" t="s">
        <v>753</v>
      </c>
      <c r="B1295" s="1" t="str">
        <f t="shared" si="1"/>
        <v>+5, 35, SLOWPOKE</v>
      </c>
    </row>
    <row r="1296" ht="12.75" customHeight="1">
      <c r="A1296" s="1" t="s">
        <v>754</v>
      </c>
      <c r="B1296" s="1" t="str">
        <f t="shared" si="1"/>
        <v>+35, 40, DEWGONG</v>
      </c>
    </row>
    <row r="1297" ht="12.75" customHeight="1">
      <c r="A1297" s="1" t="s">
        <v>755</v>
      </c>
      <c r="B1297" s="1" t="str">
        <f t="shared" si="1"/>
        <v>+5, 15, MARILL</v>
      </c>
    </row>
    <row r="1298" ht="12.75" customHeight="1">
      <c r="A1298" s="1" t="s">
        <v>2646</v>
      </c>
      <c r="B1298" s="1" t="str">
        <f t="shared" si="1"/>
        <v>+5, 15, MARILL</v>
      </c>
    </row>
    <row r="1299" ht="12.75" customHeight="1">
      <c r="A1299" s="1" t="s">
        <v>2572</v>
      </c>
      <c r="B1299" s="1" t="str">
        <f t="shared" si="1"/>
        <v>20, # old rod:</v>
      </c>
    </row>
    <row r="1300" ht="12.75" customHeight="1">
      <c r="A1300" s="1" t="s">
        <v>417</v>
      </c>
      <c r="B1300" s="1" t="str">
        <f t="shared" si="1"/>
        <v>5, 5, MAGIKARP</v>
      </c>
    </row>
    <row r="1301" ht="12.75" customHeight="1">
      <c r="A1301" s="1" t="s">
        <v>418</v>
      </c>
      <c r="B1301" s="1" t="str">
        <f t="shared" si="1"/>
        <v>+5, 5, MAGIKARP</v>
      </c>
    </row>
    <row r="1302" ht="12.75" customHeight="1">
      <c r="A1302" s="2"/>
      <c r="B1302" s="1" t="str">
        <f t="shared" si="1"/>
        <v/>
      </c>
    </row>
    <row r="1303" ht="12.75" customHeight="1">
      <c r="A1303" s="1" t="s">
        <v>419</v>
      </c>
      <c r="B1303" s="1" t="str">
        <f t="shared" si="1"/>
        <v># good rod:</v>
      </c>
    </row>
    <row r="1304" ht="12.75" customHeight="1">
      <c r="A1304" s="1" t="s">
        <v>737</v>
      </c>
      <c r="B1304" s="1" t="str">
        <f t="shared" si="1"/>
        <v>+5, 15, POLIWAG</v>
      </c>
    </row>
    <row r="1305" ht="12.75" customHeight="1">
      <c r="A1305" s="1" t="s">
        <v>421</v>
      </c>
      <c r="B1305" s="1" t="str">
        <f t="shared" si="1"/>
        <v>+5, 15, MAGIKARP</v>
      </c>
    </row>
    <row r="1306" ht="12.75" customHeight="1">
      <c r="A1306" s="1" t="s">
        <v>736</v>
      </c>
      <c r="B1306" s="1" t="str">
        <f t="shared" si="1"/>
        <v>+5, 15, GOLDEEN</v>
      </c>
    </row>
    <row r="1307" ht="12.75" customHeight="1">
      <c r="A1307" s="2"/>
      <c r="B1307" s="1" t="str">
        <f t="shared" si="1"/>
        <v/>
      </c>
    </row>
    <row r="1308" ht="12.75" customHeight="1">
      <c r="A1308" s="1" t="s">
        <v>423</v>
      </c>
      <c r="B1308" s="1" t="str">
        <f t="shared" si="1"/>
        <v># super rod:</v>
      </c>
    </row>
    <row r="1309" ht="12.75" customHeight="1">
      <c r="A1309" s="1" t="s">
        <v>757</v>
      </c>
      <c r="B1309" s="1" t="str">
        <f t="shared" si="1"/>
        <v>+15, 25, POLIWAG</v>
      </c>
    </row>
    <row r="1310" ht="12.75" customHeight="1">
      <c r="A1310" s="1" t="s">
        <v>758</v>
      </c>
      <c r="B1310" s="1" t="str">
        <f t="shared" si="1"/>
        <v>+20, 30, POLIWHIRL</v>
      </c>
    </row>
    <row r="1311" ht="12.75" customHeight="1">
      <c r="A1311" s="1" t="s">
        <v>426</v>
      </c>
      <c r="B1311" s="1" t="str">
        <f t="shared" si="1"/>
        <v>+15, 25, GYARADOS</v>
      </c>
    </row>
    <row r="1312" ht="12.75" customHeight="1">
      <c r="A1312" s="1" t="s">
        <v>740</v>
      </c>
      <c r="B1312" s="1" t="str">
        <f t="shared" si="1"/>
        <v>+15, 25, SLOWPOKE</v>
      </c>
    </row>
    <row r="1313" ht="12.75" customHeight="1">
      <c r="A1313" s="1" t="s">
        <v>2552</v>
      </c>
      <c r="B1313" s="1" t="str">
        <f t="shared" si="1"/>
        <v>+25, 35, SLOWPOKE</v>
      </c>
    </row>
    <row r="1314" ht="12.75" customHeight="1">
      <c r="A1314" s="1" t="s">
        <v>2539</v>
      </c>
      <c r="B1314" s="1" t="str">
        <f t="shared" si="1"/>
        <v>NEW ROUTE</v>
      </c>
    </row>
    <row r="1315" ht="12.75" customHeight="1">
      <c r="A1315" s="1" t="s">
        <v>2647</v>
      </c>
      <c r="B1315" s="1" t="str">
        <f t="shared" si="1"/>
        <v>+1, 111, 0,</v>
      </c>
    </row>
    <row r="1316" ht="12.75" customHeight="1">
      <c r="A1316" s="1" t="s">
        <v>2541</v>
      </c>
      <c r="B1316" s="1" t="str">
        <f t="shared" si="1"/>
        <v>7, # 20%</v>
      </c>
    </row>
    <row r="1317" ht="12.75" customHeight="1">
      <c r="A1317" s="1" t="s">
        <v>760</v>
      </c>
      <c r="B1317" s="1" t="str">
        <f t="shared" si="1"/>
        <v>25, 25, SWINUB</v>
      </c>
    </row>
    <row r="1318" ht="12.75" customHeight="1">
      <c r="A1318" s="1" t="s">
        <v>743</v>
      </c>
      <c r="B1318" s="1" t="str">
        <f t="shared" si="1"/>
        <v>+45, 45, GOLBAT</v>
      </c>
    </row>
    <row r="1319" ht="12.75" customHeight="1">
      <c r="A1319" s="2"/>
      <c r="B1319" s="1" t="str">
        <f t="shared" si="1"/>
        <v/>
      </c>
    </row>
    <row r="1320" ht="12.75" customHeight="1">
      <c r="A1320" s="1" t="s">
        <v>360</v>
      </c>
      <c r="B1320" s="1" t="str">
        <f t="shared" si="1"/>
        <v># 10%</v>
      </c>
    </row>
    <row r="1321" ht="12.75" customHeight="1">
      <c r="A1321" s="1" t="s">
        <v>744</v>
      </c>
      <c r="B1321" s="1" t="str">
        <f t="shared" si="1"/>
        <v>+45, 45, SEEL</v>
      </c>
    </row>
    <row r="1322" ht="12.75" customHeight="1">
      <c r="A1322" s="1" t="s">
        <v>761</v>
      </c>
      <c r="B1322" s="1" t="str">
        <f t="shared" si="1"/>
        <v>+27, 27, SWINUB</v>
      </c>
    </row>
    <row r="1323" ht="12.75" customHeight="1">
      <c r="A1323" s="1" t="s">
        <v>746</v>
      </c>
      <c r="B1323" s="1" t="str">
        <f t="shared" si="1"/>
        <v>+40, 40, ZUBAT</v>
      </c>
    </row>
    <row r="1324" ht="12.75" customHeight="1">
      <c r="A1324" s="1" t="s">
        <v>762</v>
      </c>
      <c r="B1324" s="1" t="str">
        <f t="shared" si="1"/>
        <v>+29, 29, SWINUB</v>
      </c>
    </row>
    <row r="1325" ht="12.75" customHeight="1">
      <c r="A1325" s="2"/>
      <c r="B1325" s="1" t="str">
        <f t="shared" si="1"/>
        <v/>
      </c>
    </row>
    <row r="1326" ht="12.75" customHeight="1">
      <c r="A1326" s="1" t="s">
        <v>361</v>
      </c>
      <c r="B1326" s="1" t="str">
        <f t="shared" si="1"/>
        <v># 5%</v>
      </c>
    </row>
    <row r="1327" ht="12.75" customHeight="1">
      <c r="A1327" s="1" t="s">
        <v>763</v>
      </c>
      <c r="B1327" s="1" t="str">
        <f t="shared" si="1"/>
        <v>+30, 30, SNEASEL</v>
      </c>
    </row>
    <row r="1328" ht="12.75" customHeight="1">
      <c r="A1328" s="1" t="s">
        <v>764</v>
      </c>
      <c r="B1328" s="1" t="str">
        <f t="shared" si="1"/>
        <v>+31, 31, SWINUB</v>
      </c>
    </row>
    <row r="1329" ht="12.75" customHeight="1">
      <c r="A1329" s="2"/>
      <c r="B1329" s="1" t="str">
        <f t="shared" si="1"/>
        <v/>
      </c>
    </row>
    <row r="1330" ht="12.75" customHeight="1">
      <c r="A1330" s="1" t="s">
        <v>362</v>
      </c>
      <c r="B1330" s="1" t="str">
        <f t="shared" si="1"/>
        <v># 4%</v>
      </c>
    </row>
    <row r="1331" ht="12.75" customHeight="1">
      <c r="A1331" s="1" t="s">
        <v>750</v>
      </c>
      <c r="B1331" s="1" t="str">
        <f t="shared" si="1"/>
        <v>+48, 48, GOLBAT</v>
      </c>
    </row>
    <row r="1332" ht="12.75" customHeight="1">
      <c r="A1332" s="1" t="s">
        <v>765</v>
      </c>
      <c r="B1332" s="1" t="str">
        <f t="shared" si="1"/>
        <v>+23, 23, SWINUB</v>
      </c>
    </row>
    <row r="1333" ht="12.75" customHeight="1">
      <c r="A1333" s="2"/>
      <c r="B1333" s="1" t="str">
        <f t="shared" si="1"/>
        <v/>
      </c>
    </row>
    <row r="1334" ht="12.75" customHeight="1">
      <c r="A1334" s="1" t="s">
        <v>363</v>
      </c>
      <c r="B1334" s="1" t="str">
        <f t="shared" si="1"/>
        <v># 1%</v>
      </c>
    </row>
    <row r="1335" ht="12.75" customHeight="1">
      <c r="A1335" s="1" t="s">
        <v>750</v>
      </c>
      <c r="B1335" s="1" t="str">
        <f t="shared" si="1"/>
        <v>+48, 48, GOLBAT</v>
      </c>
    </row>
    <row r="1336" ht="12.75" customHeight="1">
      <c r="A1336" s="1" t="s">
        <v>2648</v>
      </c>
      <c r="B1336" s="1" t="str">
        <f t="shared" si="1"/>
        <v>+23, 23, SWINUB , &lt;null&gt;, &lt;null&gt;, &lt;null&gt;</v>
      </c>
    </row>
    <row r="1337" ht="12.75" customHeight="1">
      <c r="A1337" s="2"/>
      <c r="B1337" s="1" t="str">
        <f t="shared" si="1"/>
        <v/>
      </c>
    </row>
    <row r="1338" ht="12.75" customHeight="1">
      <c r="A1338" s="1" t="s">
        <v>2539</v>
      </c>
      <c r="B1338" s="1" t="str">
        <f t="shared" si="1"/>
        <v>NEW ROUTE</v>
      </c>
    </row>
    <row r="1339" ht="12.75" customHeight="1">
      <c r="A1339" s="1" t="s">
        <v>2649</v>
      </c>
      <c r="B1339" s="1" t="str">
        <f t="shared" si="1"/>
        <v>+1, 112, 0,</v>
      </c>
    </row>
    <row r="1340" ht="12.75" customHeight="1">
      <c r="A1340" s="1" t="s">
        <v>2541</v>
      </c>
      <c r="B1340" s="1" t="str">
        <f t="shared" si="1"/>
        <v>7, # 20%</v>
      </c>
    </row>
    <row r="1341" ht="12.75" customHeight="1">
      <c r="A1341" s="1" t="s">
        <v>760</v>
      </c>
      <c r="B1341" s="1" t="str">
        <f t="shared" si="1"/>
        <v>25, 25, SWINUB</v>
      </c>
    </row>
    <row r="1342" ht="12.75" customHeight="1">
      <c r="A1342" s="1" t="s">
        <v>743</v>
      </c>
      <c r="B1342" s="1" t="str">
        <f t="shared" si="1"/>
        <v>+45, 45, GOLBAT</v>
      </c>
    </row>
    <row r="1343" ht="12.75" customHeight="1">
      <c r="A1343" s="2"/>
      <c r="B1343" s="1" t="str">
        <f t="shared" si="1"/>
        <v/>
      </c>
    </row>
    <row r="1344" ht="12.75" customHeight="1">
      <c r="A1344" s="1" t="s">
        <v>360</v>
      </c>
      <c r="B1344" s="1" t="str">
        <f t="shared" si="1"/>
        <v># 10%</v>
      </c>
    </row>
    <row r="1345" ht="12.75" customHeight="1">
      <c r="A1345" s="1" t="s">
        <v>744</v>
      </c>
      <c r="B1345" s="1" t="str">
        <f t="shared" si="1"/>
        <v>+45, 45, SEEL</v>
      </c>
    </row>
    <row r="1346" ht="12.75" customHeight="1">
      <c r="A1346" s="1" t="s">
        <v>761</v>
      </c>
      <c r="B1346" s="1" t="str">
        <f t="shared" si="1"/>
        <v>+27, 27, SWINUB</v>
      </c>
    </row>
    <row r="1347" ht="12.75" customHeight="1">
      <c r="A1347" s="1" t="s">
        <v>746</v>
      </c>
      <c r="B1347" s="1" t="str">
        <f t="shared" si="1"/>
        <v>+40, 40, ZUBAT</v>
      </c>
    </row>
    <row r="1348" ht="12.75" customHeight="1">
      <c r="A1348" s="1" t="s">
        <v>762</v>
      </c>
      <c r="B1348" s="1" t="str">
        <f t="shared" si="1"/>
        <v>+29, 29, SWINUB</v>
      </c>
    </row>
    <row r="1349" ht="12.75" customHeight="1">
      <c r="A1349" s="2"/>
      <c r="B1349" s="1" t="str">
        <f t="shared" si="1"/>
        <v/>
      </c>
    </row>
    <row r="1350" ht="12.75" customHeight="1">
      <c r="A1350" s="1" t="s">
        <v>361</v>
      </c>
      <c r="B1350" s="1" t="str">
        <f t="shared" si="1"/>
        <v># 5%</v>
      </c>
    </row>
    <row r="1351" ht="12.75" customHeight="1">
      <c r="A1351" s="1" t="s">
        <v>763</v>
      </c>
      <c r="B1351" s="1" t="str">
        <f t="shared" si="1"/>
        <v>+30, 30, SNEASEL</v>
      </c>
    </row>
    <row r="1352" ht="12.75" customHeight="1">
      <c r="A1352" s="1" t="s">
        <v>764</v>
      </c>
      <c r="B1352" s="1" t="str">
        <f t="shared" si="1"/>
        <v>+31, 31, SWINUB</v>
      </c>
    </row>
    <row r="1353" ht="12.75" customHeight="1">
      <c r="A1353" s="2"/>
      <c r="B1353" s="1" t="str">
        <f t="shared" si="1"/>
        <v/>
      </c>
    </row>
    <row r="1354" ht="12.75" customHeight="1">
      <c r="A1354" s="1" t="s">
        <v>362</v>
      </c>
      <c r="B1354" s="1" t="str">
        <f t="shared" si="1"/>
        <v># 4%</v>
      </c>
    </row>
    <row r="1355" ht="12.75" customHeight="1">
      <c r="A1355" s="1" t="s">
        <v>750</v>
      </c>
      <c r="B1355" s="1" t="str">
        <f t="shared" si="1"/>
        <v>+48, 48, GOLBAT</v>
      </c>
    </row>
    <row r="1356" ht="12.75" customHeight="1">
      <c r="A1356" s="1" t="s">
        <v>765</v>
      </c>
      <c r="B1356" s="1" t="str">
        <f t="shared" si="1"/>
        <v>+23, 23, SWINUB</v>
      </c>
    </row>
    <row r="1357" ht="12.75" customHeight="1">
      <c r="A1357" s="2"/>
      <c r="B1357" s="1" t="str">
        <f t="shared" si="1"/>
        <v/>
      </c>
    </row>
    <row r="1358" ht="12.75" customHeight="1">
      <c r="A1358" s="1" t="s">
        <v>363</v>
      </c>
      <c r="B1358" s="1" t="str">
        <f t="shared" si="1"/>
        <v># 1%</v>
      </c>
    </row>
    <row r="1359" ht="12.75" customHeight="1">
      <c r="A1359" s="1" t="s">
        <v>750</v>
      </c>
      <c r="B1359" s="1" t="str">
        <f t="shared" si="1"/>
        <v>+48, 48, GOLBAT</v>
      </c>
    </row>
    <row r="1360" ht="12.75" customHeight="1">
      <c r="A1360" s="1" t="s">
        <v>2648</v>
      </c>
      <c r="B1360" s="1" t="str">
        <f t="shared" si="1"/>
        <v>+23, 23, SWINUB , &lt;null&gt;, &lt;null&gt;, &lt;null&gt;</v>
      </c>
    </row>
    <row r="1361" ht="12.75" customHeight="1">
      <c r="A1361" s="2"/>
      <c r="B1361" s="1" t="str">
        <f t="shared" si="1"/>
        <v/>
      </c>
    </row>
    <row r="1362" ht="12.75" customHeight="1">
      <c r="A1362" s="1" t="s">
        <v>2539</v>
      </c>
      <c r="B1362" s="1" t="str">
        <f t="shared" si="1"/>
        <v>NEW ROUTE</v>
      </c>
    </row>
    <row r="1363" ht="12.75" customHeight="1">
      <c r="A1363" s="1" t="s">
        <v>2650</v>
      </c>
      <c r="B1363" s="1" t="str">
        <f t="shared" si="1"/>
        <v>+1, 113, 0,</v>
      </c>
    </row>
    <row r="1364" ht="12.75" customHeight="1">
      <c r="A1364" s="1" t="s">
        <v>2541</v>
      </c>
      <c r="B1364" s="1" t="str">
        <f t="shared" si="1"/>
        <v>7, # 20%</v>
      </c>
    </row>
    <row r="1365" ht="12.75" customHeight="1">
      <c r="A1365" s="1" t="s">
        <v>742</v>
      </c>
      <c r="B1365" s="1" t="str">
        <f t="shared" si="1"/>
        <v>43, 43, SEEL</v>
      </c>
    </row>
    <row r="1366" ht="12.75" customHeight="1">
      <c r="A1366" s="1" t="s">
        <v>743</v>
      </c>
      <c r="B1366" s="1" t="str">
        <f t="shared" si="1"/>
        <v>+45, 45, GOLBAT</v>
      </c>
    </row>
    <row r="1367" ht="12.75" customHeight="1">
      <c r="A1367" s="2"/>
      <c r="B1367" s="1" t="str">
        <f t="shared" si="1"/>
        <v/>
      </c>
    </row>
    <row r="1368" ht="12.75" customHeight="1">
      <c r="A1368" s="1" t="s">
        <v>360</v>
      </c>
      <c r="B1368" s="1" t="str">
        <f t="shared" si="1"/>
        <v># 10%</v>
      </c>
    </row>
    <row r="1369" ht="12.75" customHeight="1">
      <c r="A1369" s="1" t="s">
        <v>744</v>
      </c>
      <c r="B1369" s="1" t="str">
        <f t="shared" si="1"/>
        <v>+45, 45, SEEL</v>
      </c>
    </row>
    <row r="1370" ht="12.75" customHeight="1">
      <c r="A1370" s="1" t="s">
        <v>745</v>
      </c>
      <c r="B1370" s="1" t="str">
        <f t="shared" si="1"/>
        <v>+47, 47, SEEL</v>
      </c>
    </row>
    <row r="1371" ht="12.75" customHeight="1">
      <c r="A1371" s="1" t="s">
        <v>746</v>
      </c>
      <c r="B1371" s="1" t="str">
        <f t="shared" si="1"/>
        <v>+40, 40, ZUBAT</v>
      </c>
    </row>
    <row r="1372" ht="12.75" customHeight="1">
      <c r="A1372" s="1" t="s">
        <v>747</v>
      </c>
      <c r="B1372" s="1" t="str">
        <f t="shared" si="1"/>
        <v>+49, 49, DEWGONG</v>
      </c>
    </row>
    <row r="1373" ht="12.75" customHeight="1">
      <c r="A1373" s="2"/>
      <c r="B1373" s="1" t="str">
        <f t="shared" si="1"/>
        <v/>
      </c>
    </row>
    <row r="1374" ht="12.75" customHeight="1">
      <c r="A1374" s="1" t="s">
        <v>361</v>
      </c>
      <c r="B1374" s="1" t="str">
        <f t="shared" si="1"/>
        <v># 5%</v>
      </c>
    </row>
    <row r="1375" ht="12.75" customHeight="1">
      <c r="A1375" s="1" t="s">
        <v>748</v>
      </c>
      <c r="B1375" s="1" t="str">
        <f t="shared" si="1"/>
        <v>+51, 51, DEWGONG</v>
      </c>
    </row>
    <row r="1376" ht="12.75" customHeight="1">
      <c r="A1376" s="1" t="s">
        <v>749</v>
      </c>
      <c r="B1376" s="1" t="str">
        <f t="shared" si="1"/>
        <v>+41, 41, SLOWPOKE</v>
      </c>
    </row>
    <row r="1377" ht="12.75" customHeight="1">
      <c r="A1377" s="2"/>
      <c r="B1377" s="1" t="str">
        <f t="shared" si="1"/>
        <v/>
      </c>
    </row>
    <row r="1378" ht="12.75" customHeight="1">
      <c r="A1378" s="1" t="s">
        <v>362</v>
      </c>
      <c r="B1378" s="1" t="str">
        <f t="shared" si="1"/>
        <v># 4%</v>
      </c>
    </row>
    <row r="1379" ht="12.75" customHeight="1">
      <c r="A1379" s="1" t="s">
        <v>750</v>
      </c>
      <c r="B1379" s="1" t="str">
        <f t="shared" si="1"/>
        <v>+48, 48, GOLBAT</v>
      </c>
    </row>
    <row r="1380" ht="12.75" customHeight="1">
      <c r="A1380" s="1" t="s">
        <v>751</v>
      </c>
      <c r="B1380" s="1" t="str">
        <f t="shared" si="1"/>
        <v>+53, 53, DEWGONG</v>
      </c>
    </row>
    <row r="1381" ht="12.75" customHeight="1">
      <c r="A1381" s="2"/>
      <c r="B1381" s="1" t="str">
        <f t="shared" si="1"/>
        <v/>
      </c>
    </row>
    <row r="1382" ht="12.75" customHeight="1">
      <c r="A1382" s="1" t="s">
        <v>363</v>
      </c>
      <c r="B1382" s="1" t="str">
        <f t="shared" si="1"/>
        <v># 1%</v>
      </c>
    </row>
    <row r="1383" ht="12.75" customHeight="1">
      <c r="A1383" s="1" t="s">
        <v>750</v>
      </c>
      <c r="B1383" s="1" t="str">
        <f t="shared" si="1"/>
        <v>+48, 48, GOLBAT</v>
      </c>
    </row>
    <row r="1384" ht="12.75" customHeight="1">
      <c r="A1384" s="1" t="s">
        <v>2644</v>
      </c>
      <c r="B1384" s="1" t="str">
        <f t="shared" si="1"/>
        <v>+53, 53, DEWGONG</v>
      </c>
    </row>
    <row r="1385" ht="12.75" customHeight="1">
      <c r="A1385" s="1" t="s">
        <v>2651</v>
      </c>
      <c r="B1385" s="1" t="str">
        <f t="shared" si="1"/>
        <v>2, 5, 20, TENTACOOL</v>
      </c>
    </row>
    <row r="1386" ht="12.75" customHeight="1">
      <c r="A1386" s="1" t="s">
        <v>770</v>
      </c>
      <c r="B1386" s="1" t="str">
        <f t="shared" si="1"/>
        <v>+20, 35, TENTACOOL</v>
      </c>
    </row>
    <row r="1387" ht="12.75" customHeight="1">
      <c r="A1387" s="1" t="s">
        <v>771</v>
      </c>
      <c r="B1387" s="1" t="str">
        <f t="shared" si="1"/>
        <v>+35, 45, TENTACOOL</v>
      </c>
    </row>
    <row r="1388" ht="12.75" customHeight="1">
      <c r="A1388" s="1" t="s">
        <v>772</v>
      </c>
      <c r="B1388" s="1" t="str">
        <f t="shared" si="1"/>
        <v>+35, 45, TENTACRUEL</v>
      </c>
    </row>
    <row r="1389" ht="12.75" customHeight="1">
      <c r="A1389" s="1" t="s">
        <v>2652</v>
      </c>
      <c r="B1389" s="1" t="str">
        <f t="shared" si="1"/>
        <v>+30, 45, LAPRAS</v>
      </c>
    </row>
    <row r="1390" ht="12.75" customHeight="1">
      <c r="A1390" s="1" t="s">
        <v>2572</v>
      </c>
      <c r="B1390" s="1" t="str">
        <f t="shared" si="1"/>
        <v>20, # old rod:</v>
      </c>
    </row>
    <row r="1391" ht="12.75" customHeight="1">
      <c r="A1391" s="1" t="s">
        <v>417</v>
      </c>
      <c r="B1391" s="1" t="str">
        <f t="shared" si="1"/>
        <v>5, 5, MAGIKARP</v>
      </c>
    </row>
    <row r="1392" ht="12.75" customHeight="1">
      <c r="A1392" s="1" t="s">
        <v>418</v>
      </c>
      <c r="B1392" s="1" t="str">
        <f t="shared" si="1"/>
        <v>+5, 5, MAGIKARP</v>
      </c>
    </row>
    <row r="1393" ht="12.75" customHeight="1">
      <c r="A1393" s="2"/>
      <c r="B1393" s="1" t="str">
        <f t="shared" si="1"/>
        <v/>
      </c>
    </row>
    <row r="1394" ht="12.75" customHeight="1">
      <c r="A1394" s="1" t="s">
        <v>419</v>
      </c>
      <c r="B1394" s="1" t="str">
        <f t="shared" si="1"/>
        <v># good rod:</v>
      </c>
    </row>
    <row r="1395" ht="12.75" customHeight="1">
      <c r="A1395" s="1" t="s">
        <v>420</v>
      </c>
      <c r="B1395" s="1" t="str">
        <f t="shared" si="1"/>
        <v>+5, 15, KRABBY</v>
      </c>
    </row>
    <row r="1396" ht="12.75" customHeight="1">
      <c r="A1396" s="1" t="s">
        <v>421</v>
      </c>
      <c r="B1396" s="1" t="str">
        <f t="shared" si="1"/>
        <v>+5, 15, MAGIKARP</v>
      </c>
    </row>
    <row r="1397" ht="12.75" customHeight="1">
      <c r="A1397" s="1" t="s">
        <v>420</v>
      </c>
      <c r="B1397" s="1" t="str">
        <f t="shared" si="1"/>
        <v>+5, 15, KRABBY</v>
      </c>
    </row>
    <row r="1398" ht="12.75" customHeight="1">
      <c r="A1398" s="2"/>
      <c r="B1398" s="1" t="str">
        <f t="shared" si="1"/>
        <v/>
      </c>
    </row>
    <row r="1399" ht="12.75" customHeight="1">
      <c r="A1399" s="1" t="s">
        <v>423</v>
      </c>
      <c r="B1399" s="1" t="str">
        <f t="shared" si="1"/>
        <v># super rod:</v>
      </c>
    </row>
    <row r="1400" ht="12.75" customHeight="1">
      <c r="A1400" s="1" t="s">
        <v>424</v>
      </c>
      <c r="B1400" s="1" t="str">
        <f t="shared" si="1"/>
        <v>+15, 25, KRABBY</v>
      </c>
    </row>
    <row r="1401" ht="12.75" customHeight="1">
      <c r="A1401" s="1" t="s">
        <v>425</v>
      </c>
      <c r="B1401" s="1" t="str">
        <f t="shared" si="1"/>
        <v>+15, 25, STARYU</v>
      </c>
    </row>
    <row r="1402" ht="12.75" customHeight="1">
      <c r="A1402" s="1" t="s">
        <v>426</v>
      </c>
      <c r="B1402" s="1" t="str">
        <f t="shared" si="1"/>
        <v>+15, 25, GYARADOS</v>
      </c>
    </row>
    <row r="1403" ht="12.75" customHeight="1">
      <c r="A1403" s="1" t="s">
        <v>774</v>
      </c>
      <c r="B1403" s="1" t="str">
        <f t="shared" si="1"/>
        <v>+25, 35, KINGLER</v>
      </c>
    </row>
    <row r="1404" ht="12.75" customHeight="1">
      <c r="A1404" s="1" t="s">
        <v>2552</v>
      </c>
      <c r="B1404" s="1" t="str">
        <f t="shared" si="1"/>
        <v>+25, 35, SLOWPOKE</v>
      </c>
    </row>
    <row r="1405" ht="12.75" customHeight="1">
      <c r="A1405" s="1" t="s">
        <v>2539</v>
      </c>
      <c r="B1405" s="1" t="str">
        <f t="shared" si="1"/>
        <v>NEW ROUTE</v>
      </c>
    </row>
    <row r="1406" ht="12.75" customHeight="1">
      <c r="A1406" s="1" t="s">
        <v>2653</v>
      </c>
      <c r="B1406" s="1" t="str">
        <f t="shared" si="1"/>
        <v>+1, 121, 0,</v>
      </c>
    </row>
    <row r="1407" ht="12.75" customHeight="1">
      <c r="A1407" s="1" t="s">
        <v>2568</v>
      </c>
      <c r="B1407" s="1" t="str">
        <f t="shared" si="1"/>
        <v>21, # 20%</v>
      </c>
    </row>
    <row r="1408" ht="12.75" customHeight="1">
      <c r="A1408" s="1" t="s">
        <v>776</v>
      </c>
      <c r="B1408" s="1" t="str">
        <f t="shared" si="1"/>
        <v>9, 9, LEDYBA</v>
      </c>
    </row>
    <row r="1409" ht="12.75" customHeight="1">
      <c r="A1409" s="1" t="s">
        <v>777</v>
      </c>
      <c r="B1409" s="1" t="str">
        <f t="shared" si="1"/>
        <v>+9, 9, KAKUNA</v>
      </c>
    </row>
    <row r="1410" ht="12.75" customHeight="1">
      <c r="A1410" s="2"/>
      <c r="B1410" s="1" t="str">
        <f t="shared" si="1"/>
        <v/>
      </c>
    </row>
    <row r="1411" ht="12.75" customHeight="1">
      <c r="A1411" s="1" t="s">
        <v>360</v>
      </c>
      <c r="B1411" s="1" t="str">
        <f t="shared" si="1"/>
        <v># 10%</v>
      </c>
    </row>
    <row r="1412" ht="12.75" customHeight="1">
      <c r="A1412" s="1" t="s">
        <v>778</v>
      </c>
      <c r="B1412" s="1" t="str">
        <f t="shared" si="1"/>
        <v>+14, 14, LEDYBA</v>
      </c>
    </row>
    <row r="1413" ht="12.75" customHeight="1">
      <c r="A1413" s="1" t="s">
        <v>779</v>
      </c>
      <c r="B1413" s="1" t="str">
        <f t="shared" si="1"/>
        <v>+6, 6, CATERPIE</v>
      </c>
    </row>
    <row r="1414" ht="12.75" customHeight="1">
      <c r="A1414" s="1" t="s">
        <v>780</v>
      </c>
      <c r="B1414" s="1" t="str">
        <f t="shared" si="1"/>
        <v>+6, 6, WEEDLE</v>
      </c>
    </row>
    <row r="1415" ht="12.75" customHeight="1">
      <c r="A1415" s="1" t="s">
        <v>781</v>
      </c>
      <c r="B1415" s="1" t="str">
        <f t="shared" si="1"/>
        <v>+15, 15, HERACROSS</v>
      </c>
    </row>
    <row r="1416" ht="12.75" customHeight="1">
      <c r="A1416" s="2"/>
      <c r="B1416" s="1" t="str">
        <f t="shared" si="1"/>
        <v/>
      </c>
    </row>
    <row r="1417" ht="12.75" customHeight="1">
      <c r="A1417" s="1" t="s">
        <v>361</v>
      </c>
      <c r="B1417" s="1" t="str">
        <f t="shared" si="1"/>
        <v># 5%</v>
      </c>
    </row>
    <row r="1418" ht="12.75" customHeight="1">
      <c r="A1418" s="1" t="s">
        <v>782</v>
      </c>
      <c r="B1418" s="1" t="str">
        <f t="shared" si="1"/>
        <v>+9, 9, METAPOD</v>
      </c>
    </row>
    <row r="1419" ht="12.75" customHeight="1">
      <c r="A1419" s="1" t="s">
        <v>783</v>
      </c>
      <c r="B1419" s="1" t="str">
        <f t="shared" si="1"/>
        <v>+20, 20, HERACROSS</v>
      </c>
    </row>
    <row r="1420" ht="12.75" customHeight="1">
      <c r="A1420" s="2"/>
      <c r="B1420" s="1" t="str">
        <f t="shared" si="1"/>
        <v/>
      </c>
    </row>
    <row r="1421" ht="12.75" customHeight="1">
      <c r="A1421" s="1" t="s">
        <v>362</v>
      </c>
      <c r="B1421" s="1" t="str">
        <f t="shared" si="1"/>
        <v># 4%</v>
      </c>
    </row>
    <row r="1422" ht="12.75" customHeight="1">
      <c r="A1422" s="1" t="s">
        <v>784</v>
      </c>
      <c r="B1422" s="1" t="str">
        <f t="shared" si="1"/>
        <v>+9, 9, SPINARAK</v>
      </c>
    </row>
    <row r="1423" ht="12.75" customHeight="1">
      <c r="A1423" s="1" t="s">
        <v>785</v>
      </c>
      <c r="B1423" s="1" t="str">
        <f t="shared" si="1"/>
        <v>+25, 25, HERACROSS</v>
      </c>
    </row>
    <row r="1424" ht="12.75" customHeight="1">
      <c r="A1424" s="2"/>
      <c r="B1424" s="1" t="str">
        <f t="shared" si="1"/>
        <v/>
      </c>
    </row>
    <row r="1425" ht="12.75" customHeight="1">
      <c r="A1425" s="1" t="s">
        <v>363</v>
      </c>
      <c r="B1425" s="1" t="str">
        <f t="shared" si="1"/>
        <v># 1%</v>
      </c>
    </row>
    <row r="1426" ht="12.75" customHeight="1">
      <c r="A1426" s="1" t="s">
        <v>786</v>
      </c>
      <c r="B1426" s="1" t="str">
        <f t="shared" si="1"/>
        <v>+14, 14, SPINARAK</v>
      </c>
    </row>
    <row r="1427" ht="12.75" customHeight="1">
      <c r="A1427" s="1" t="s">
        <v>2654</v>
      </c>
      <c r="B1427" s="1" t="str">
        <f t="shared" si="1"/>
        <v>+30, 30, HERACROSS , &lt;null&gt;, &lt;null&gt;, &lt;null&gt;</v>
      </c>
    </row>
    <row r="1428" ht="12.75" customHeight="1">
      <c r="A1428" s="2"/>
      <c r="B1428" s="1" t="str">
        <f t="shared" si="1"/>
        <v/>
      </c>
    </row>
    <row r="1429" ht="12.75" customHeight="1">
      <c r="A1429" s="1" t="s">
        <v>2539</v>
      </c>
      <c r="B1429" s="1" t="str">
        <f t="shared" si="1"/>
        <v>NEW ROUTE</v>
      </c>
    </row>
    <row r="1430" ht="12.75" customHeight="1">
      <c r="A1430" s="1" t="s">
        <v>2655</v>
      </c>
      <c r="B1430" s="1" t="str">
        <f t="shared" si="1"/>
        <v>+2, 13, 0,</v>
      </c>
    </row>
    <row r="1431" ht="12.75" customHeight="1">
      <c r="A1431" s="1" t="s">
        <v>2656</v>
      </c>
      <c r="B1431" s="1" t="str">
        <f t="shared" si="1"/>
        <v>1, # 20%</v>
      </c>
    </row>
    <row r="1432" ht="12.75" customHeight="1">
      <c r="A1432" s="1" t="s">
        <v>789</v>
      </c>
      <c r="B1432" s="1" t="str">
        <f t="shared" si="1"/>
        <v>40, 40, GASTLY</v>
      </c>
    </row>
    <row r="1433" ht="12.75" customHeight="1">
      <c r="A1433" s="1" t="s">
        <v>790</v>
      </c>
      <c r="B1433" s="1" t="str">
        <f t="shared" si="1"/>
        <v>+37, 37, ZUBAT</v>
      </c>
    </row>
    <row r="1434" ht="12.75" customHeight="1">
      <c r="A1434" s="2"/>
      <c r="B1434" s="1" t="str">
        <f t="shared" si="1"/>
        <v/>
      </c>
    </row>
    <row r="1435" ht="12.75" customHeight="1">
      <c r="A1435" s="1" t="s">
        <v>360</v>
      </c>
      <c r="B1435" s="1" t="str">
        <f t="shared" si="1"/>
        <v># 10%</v>
      </c>
    </row>
    <row r="1436" ht="12.75" customHeight="1">
      <c r="A1436" s="1" t="s">
        <v>791</v>
      </c>
      <c r="B1436" s="1" t="str">
        <f t="shared" si="1"/>
        <v>+44, 44, HAUNTER</v>
      </c>
    </row>
    <row r="1437" ht="12.75" customHeight="1">
      <c r="A1437" s="1" t="s">
        <v>792</v>
      </c>
      <c r="B1437" s="1" t="str">
        <f t="shared" si="1"/>
        <v>+46, 46, HAUNTER</v>
      </c>
    </row>
    <row r="1438" ht="12.75" customHeight="1">
      <c r="A1438" s="1" t="s">
        <v>793</v>
      </c>
      <c r="B1438" s="1" t="str">
        <f t="shared" si="1"/>
        <v>+41, 41, GOLBAT</v>
      </c>
    </row>
    <row r="1439" ht="12.75" customHeight="1">
      <c r="A1439" s="1" t="s">
        <v>794</v>
      </c>
      <c r="B1439" s="1" t="str">
        <f t="shared" si="1"/>
        <v>+43, 43, GOLBAT</v>
      </c>
    </row>
    <row r="1440" ht="12.75" customHeight="1">
      <c r="A1440" s="2"/>
      <c r="B1440" s="1" t="str">
        <f t="shared" si="1"/>
        <v/>
      </c>
    </row>
    <row r="1441" ht="12.75" customHeight="1">
      <c r="A1441" s="1" t="s">
        <v>361</v>
      </c>
      <c r="B1441" s="1" t="str">
        <f t="shared" si="1"/>
        <v># 5%</v>
      </c>
    </row>
    <row r="1442" ht="12.75" customHeight="1">
      <c r="A1442" s="1" t="s">
        <v>795</v>
      </c>
      <c r="B1442" s="1" t="str">
        <f t="shared" si="1"/>
        <v>+38, 38, GASTLY</v>
      </c>
    </row>
    <row r="1443" ht="12.75" customHeight="1">
      <c r="A1443" s="1" t="s">
        <v>796</v>
      </c>
      <c r="B1443" s="1" t="str">
        <f t="shared" si="1"/>
        <v>+48, 48, HAUNTER</v>
      </c>
    </row>
    <row r="1444" ht="12.75" customHeight="1">
      <c r="A1444" s="2"/>
      <c r="B1444" s="1" t="str">
        <f t="shared" si="1"/>
        <v/>
      </c>
    </row>
    <row r="1445" ht="12.75" customHeight="1">
      <c r="A1445" s="1" t="s">
        <v>362</v>
      </c>
      <c r="B1445" s="1" t="str">
        <f t="shared" si="1"/>
        <v># 4%</v>
      </c>
    </row>
    <row r="1446" ht="12.75" customHeight="1">
      <c r="A1446" s="1" t="s">
        <v>797</v>
      </c>
      <c r="B1446" s="1" t="str">
        <f t="shared" si="1"/>
        <v>+50, 50, HAUNTER</v>
      </c>
    </row>
    <row r="1447" ht="12.75" customHeight="1">
      <c r="A1447" s="1" t="s">
        <v>798</v>
      </c>
      <c r="B1447" s="1" t="str">
        <f t="shared" si="1"/>
        <v>+22, 22, MISDREAVUS</v>
      </c>
    </row>
    <row r="1448" ht="12.75" customHeight="1">
      <c r="A1448" s="2"/>
      <c r="B1448" s="1" t="str">
        <f t="shared" si="1"/>
        <v/>
      </c>
    </row>
    <row r="1449" ht="12.75" customHeight="1">
      <c r="A1449" s="1" t="s">
        <v>363</v>
      </c>
      <c r="B1449" s="1" t="str">
        <f t="shared" si="1"/>
        <v># 1%</v>
      </c>
    </row>
    <row r="1450" ht="12.75" customHeight="1">
      <c r="A1450" s="1" t="s">
        <v>799</v>
      </c>
      <c r="B1450" s="1" t="str">
        <f t="shared" si="1"/>
        <v>+52, 52, HAUNTER</v>
      </c>
    </row>
    <row r="1451" ht="12.75" customHeight="1">
      <c r="A1451" s="1" t="s">
        <v>2657</v>
      </c>
      <c r="B1451" s="1" t="str">
        <f t="shared" si="1"/>
        <v>+22, 22, MISDREAVUS , &lt;null&gt;, &lt;null&gt;, &lt;null&gt;</v>
      </c>
    </row>
    <row r="1452" ht="12.75" customHeight="1">
      <c r="A1452" s="2"/>
      <c r="B1452" s="1" t="str">
        <f t="shared" si="1"/>
        <v/>
      </c>
    </row>
    <row r="1453" ht="12.75" customHeight="1">
      <c r="A1453" s="1" t="s">
        <v>2539</v>
      </c>
      <c r="B1453" s="1" t="str">
        <f t="shared" si="1"/>
        <v>NEW ROUTE</v>
      </c>
    </row>
    <row r="1454" ht="12.75" customHeight="1">
      <c r="A1454" s="1" t="s">
        <v>2658</v>
      </c>
      <c r="B1454" s="1" t="str">
        <f t="shared" si="1"/>
        <v>+2, 14, 0,</v>
      </c>
    </row>
    <row r="1455" ht="12.75" customHeight="1">
      <c r="A1455" s="1" t="s">
        <v>2606</v>
      </c>
      <c r="B1455" s="1" t="str">
        <f t="shared" si="1"/>
        <v>2, # 20%</v>
      </c>
    </row>
    <row r="1456" ht="12.75" customHeight="1">
      <c r="A1456" s="1" t="s">
        <v>789</v>
      </c>
      <c r="B1456" s="1" t="str">
        <f t="shared" si="1"/>
        <v>40, 40, GASTLY</v>
      </c>
    </row>
    <row r="1457" ht="12.75" customHeight="1">
      <c r="A1457" s="1" t="s">
        <v>790</v>
      </c>
      <c r="B1457" s="1" t="str">
        <f t="shared" si="1"/>
        <v>+37, 37, ZUBAT</v>
      </c>
    </row>
    <row r="1458" ht="12.75" customHeight="1">
      <c r="A1458" s="2"/>
      <c r="B1458" s="1" t="str">
        <f t="shared" si="1"/>
        <v/>
      </c>
    </row>
    <row r="1459" ht="12.75" customHeight="1">
      <c r="A1459" s="1" t="s">
        <v>360</v>
      </c>
      <c r="B1459" s="1" t="str">
        <f t="shared" si="1"/>
        <v># 10%</v>
      </c>
    </row>
    <row r="1460" ht="12.75" customHeight="1">
      <c r="A1460" s="1" t="s">
        <v>791</v>
      </c>
      <c r="B1460" s="1" t="str">
        <f t="shared" si="1"/>
        <v>+44, 44, HAUNTER</v>
      </c>
    </row>
    <row r="1461" ht="12.75" customHeight="1">
      <c r="A1461" s="1" t="s">
        <v>792</v>
      </c>
      <c r="B1461" s="1" t="str">
        <f t="shared" si="1"/>
        <v>+46, 46, HAUNTER</v>
      </c>
    </row>
    <row r="1462" ht="12.75" customHeight="1">
      <c r="A1462" s="1" t="s">
        <v>793</v>
      </c>
      <c r="B1462" s="1" t="str">
        <f t="shared" si="1"/>
        <v>+41, 41, GOLBAT</v>
      </c>
    </row>
    <row r="1463" ht="12.75" customHeight="1">
      <c r="A1463" s="1" t="s">
        <v>794</v>
      </c>
      <c r="B1463" s="1" t="str">
        <f t="shared" si="1"/>
        <v>+43, 43, GOLBAT</v>
      </c>
    </row>
    <row r="1464" ht="12.75" customHeight="1">
      <c r="A1464" s="2"/>
      <c r="B1464" s="1" t="str">
        <f t="shared" si="1"/>
        <v/>
      </c>
    </row>
    <row r="1465" ht="12.75" customHeight="1">
      <c r="A1465" s="1" t="s">
        <v>361</v>
      </c>
      <c r="B1465" s="1" t="str">
        <f t="shared" si="1"/>
        <v># 5%</v>
      </c>
    </row>
    <row r="1466" ht="12.75" customHeight="1">
      <c r="A1466" s="1" t="s">
        <v>795</v>
      </c>
      <c r="B1466" s="1" t="str">
        <f t="shared" si="1"/>
        <v>+38, 38, GASTLY</v>
      </c>
    </row>
    <row r="1467" ht="12.75" customHeight="1">
      <c r="A1467" s="1" t="s">
        <v>796</v>
      </c>
      <c r="B1467" s="1" t="str">
        <f t="shared" si="1"/>
        <v>+48, 48, HAUNTER</v>
      </c>
    </row>
    <row r="1468" ht="12.75" customHeight="1">
      <c r="A1468" s="2"/>
      <c r="B1468" s="1" t="str">
        <f t="shared" si="1"/>
        <v/>
      </c>
    </row>
    <row r="1469" ht="12.75" customHeight="1">
      <c r="A1469" s="1" t="s">
        <v>362</v>
      </c>
      <c r="B1469" s="1" t="str">
        <f t="shared" si="1"/>
        <v># 4%</v>
      </c>
    </row>
    <row r="1470" ht="12.75" customHeight="1">
      <c r="A1470" s="1" t="s">
        <v>797</v>
      </c>
      <c r="B1470" s="1" t="str">
        <f t="shared" si="1"/>
        <v>+50, 50, HAUNTER</v>
      </c>
    </row>
    <row r="1471" ht="12.75" customHeight="1">
      <c r="A1471" s="1" t="s">
        <v>798</v>
      </c>
      <c r="B1471" s="1" t="str">
        <f t="shared" si="1"/>
        <v>+22, 22, MISDREAVUS</v>
      </c>
    </row>
    <row r="1472" ht="12.75" customHeight="1">
      <c r="A1472" s="2"/>
      <c r="B1472" s="1" t="str">
        <f t="shared" si="1"/>
        <v/>
      </c>
    </row>
    <row r="1473" ht="12.75" customHeight="1">
      <c r="A1473" s="1" t="s">
        <v>363</v>
      </c>
      <c r="B1473" s="1" t="str">
        <f t="shared" si="1"/>
        <v># 1%</v>
      </c>
    </row>
    <row r="1474" ht="12.75" customHeight="1">
      <c r="A1474" s="1" t="s">
        <v>799</v>
      </c>
      <c r="B1474" s="1" t="str">
        <f t="shared" si="1"/>
        <v>+52, 52, HAUNTER</v>
      </c>
    </row>
    <row r="1475" ht="12.75" customHeight="1">
      <c r="A1475" s="1" t="s">
        <v>2657</v>
      </c>
      <c r="B1475" s="1" t="str">
        <f t="shared" si="1"/>
        <v>+22, 22, MISDREAVUS , &lt;null&gt;, &lt;null&gt;, &lt;null&gt;</v>
      </c>
    </row>
    <row r="1476" ht="12.75" customHeight="1">
      <c r="A1476" s="2"/>
      <c r="B1476" s="1" t="str">
        <f t="shared" si="1"/>
        <v/>
      </c>
    </row>
    <row r="1477" ht="12.75" customHeight="1">
      <c r="A1477" s="1" t="s">
        <v>2539</v>
      </c>
      <c r="B1477" s="1" t="str">
        <f t="shared" si="1"/>
        <v>NEW ROUTE</v>
      </c>
    </row>
    <row r="1478" ht="12.75" customHeight="1">
      <c r="A1478" s="1" t="s">
        <v>2659</v>
      </c>
      <c r="B1478" s="1" t="str">
        <f t="shared" si="1"/>
        <v>+2, 15, 0,</v>
      </c>
    </row>
    <row r="1479" ht="12.75" customHeight="1">
      <c r="A1479" s="1" t="s">
        <v>2660</v>
      </c>
      <c r="B1479" s="1" t="str">
        <f t="shared" si="1"/>
        <v>3, # 20%</v>
      </c>
    </row>
    <row r="1480" ht="12.75" customHeight="1">
      <c r="A1480" s="1" t="s">
        <v>789</v>
      </c>
      <c r="B1480" s="1" t="str">
        <f t="shared" si="1"/>
        <v>40, 40, GASTLY</v>
      </c>
    </row>
    <row r="1481" ht="12.75" customHeight="1">
      <c r="A1481" s="1" t="s">
        <v>790</v>
      </c>
      <c r="B1481" s="1" t="str">
        <f t="shared" si="1"/>
        <v>+37, 37, ZUBAT</v>
      </c>
    </row>
    <row r="1482" ht="12.75" customHeight="1">
      <c r="A1482" s="2"/>
      <c r="B1482" s="1" t="str">
        <f t="shared" si="1"/>
        <v/>
      </c>
    </row>
    <row r="1483" ht="12.75" customHeight="1">
      <c r="A1483" s="1" t="s">
        <v>360</v>
      </c>
      <c r="B1483" s="1" t="str">
        <f t="shared" si="1"/>
        <v># 10%</v>
      </c>
    </row>
    <row r="1484" ht="12.75" customHeight="1">
      <c r="A1484" s="1" t="s">
        <v>791</v>
      </c>
      <c r="B1484" s="1" t="str">
        <f t="shared" si="1"/>
        <v>+44, 44, HAUNTER</v>
      </c>
    </row>
    <row r="1485" ht="12.75" customHeight="1">
      <c r="A1485" s="1" t="s">
        <v>792</v>
      </c>
      <c r="B1485" s="1" t="str">
        <f t="shared" si="1"/>
        <v>+46, 46, HAUNTER</v>
      </c>
    </row>
    <row r="1486" ht="12.75" customHeight="1">
      <c r="A1486" s="1" t="s">
        <v>793</v>
      </c>
      <c r="B1486" s="1" t="str">
        <f t="shared" si="1"/>
        <v>+41, 41, GOLBAT</v>
      </c>
    </row>
    <row r="1487" ht="12.75" customHeight="1">
      <c r="A1487" s="1" t="s">
        <v>794</v>
      </c>
      <c r="B1487" s="1" t="str">
        <f t="shared" si="1"/>
        <v>+43, 43, GOLBAT</v>
      </c>
    </row>
    <row r="1488" ht="12.75" customHeight="1">
      <c r="A1488" s="2"/>
      <c r="B1488" s="1" t="str">
        <f t="shared" si="1"/>
        <v/>
      </c>
    </row>
    <row r="1489" ht="12.75" customHeight="1">
      <c r="A1489" s="1" t="s">
        <v>361</v>
      </c>
      <c r="B1489" s="1" t="str">
        <f t="shared" si="1"/>
        <v># 5%</v>
      </c>
    </row>
    <row r="1490" ht="12.75" customHeight="1">
      <c r="A1490" s="1" t="s">
        <v>795</v>
      </c>
      <c r="B1490" s="1" t="str">
        <f t="shared" si="1"/>
        <v>+38, 38, GASTLY</v>
      </c>
    </row>
    <row r="1491" ht="12.75" customHeight="1">
      <c r="A1491" s="1" t="s">
        <v>796</v>
      </c>
      <c r="B1491" s="1" t="str">
        <f t="shared" si="1"/>
        <v>+48, 48, HAUNTER</v>
      </c>
    </row>
    <row r="1492" ht="12.75" customHeight="1">
      <c r="A1492" s="2"/>
      <c r="B1492" s="1" t="str">
        <f t="shared" si="1"/>
        <v/>
      </c>
    </row>
    <row r="1493" ht="12.75" customHeight="1">
      <c r="A1493" s="1" t="s">
        <v>362</v>
      </c>
      <c r="B1493" s="1" t="str">
        <f t="shared" si="1"/>
        <v># 4%</v>
      </c>
    </row>
    <row r="1494" ht="12.75" customHeight="1">
      <c r="A1494" s="1" t="s">
        <v>797</v>
      </c>
      <c r="B1494" s="1" t="str">
        <f t="shared" si="1"/>
        <v>+50, 50, HAUNTER</v>
      </c>
    </row>
    <row r="1495" ht="12.75" customHeight="1">
      <c r="A1495" s="1" t="s">
        <v>798</v>
      </c>
      <c r="B1495" s="1" t="str">
        <f t="shared" si="1"/>
        <v>+22, 22, MISDREAVUS</v>
      </c>
    </row>
    <row r="1496" ht="12.75" customHeight="1">
      <c r="A1496" s="2"/>
      <c r="B1496" s="1" t="str">
        <f t="shared" si="1"/>
        <v/>
      </c>
    </row>
    <row r="1497" ht="12.75" customHeight="1">
      <c r="A1497" s="1" t="s">
        <v>363</v>
      </c>
      <c r="B1497" s="1" t="str">
        <f t="shared" si="1"/>
        <v># 1%</v>
      </c>
    </row>
    <row r="1498" ht="12.75" customHeight="1">
      <c r="A1498" s="1" t="s">
        <v>799</v>
      </c>
      <c r="B1498" s="1" t="str">
        <f t="shared" si="1"/>
        <v>+52, 52, HAUNTER</v>
      </c>
    </row>
    <row r="1499" ht="12.75" customHeight="1">
      <c r="A1499" s="1" t="s">
        <v>2657</v>
      </c>
      <c r="B1499" s="1" t="str">
        <f t="shared" si="1"/>
        <v>+22, 22, MISDREAVUS , &lt;null&gt;, &lt;null&gt;, &lt;null&gt;</v>
      </c>
    </row>
    <row r="1500" ht="12.75" customHeight="1">
      <c r="A1500" s="2"/>
      <c r="B1500" s="1" t="str">
        <f t="shared" si="1"/>
        <v/>
      </c>
    </row>
    <row r="1501" ht="12.75" customHeight="1">
      <c r="A1501" s="1" t="s">
        <v>2539</v>
      </c>
      <c r="B1501" s="1" t="str">
        <f t="shared" si="1"/>
        <v>NEW ROUTE</v>
      </c>
    </row>
    <row r="1502" ht="12.75" customHeight="1">
      <c r="A1502" s="1" t="s">
        <v>2661</v>
      </c>
      <c r="B1502" s="1" t="str">
        <f t="shared" si="1"/>
        <v>+2, 16, 0,</v>
      </c>
    </row>
    <row r="1503" ht="12.75" customHeight="1">
      <c r="A1503" s="1" t="s">
        <v>2609</v>
      </c>
      <c r="B1503" s="1" t="str">
        <f t="shared" si="1"/>
        <v>4, # 20%</v>
      </c>
    </row>
    <row r="1504" ht="12.75" customHeight="1">
      <c r="A1504" s="1" t="s">
        <v>789</v>
      </c>
      <c r="B1504" s="1" t="str">
        <f t="shared" si="1"/>
        <v>40, 40, GASTLY</v>
      </c>
    </row>
    <row r="1505" ht="12.75" customHeight="1">
      <c r="A1505" s="1" t="s">
        <v>790</v>
      </c>
      <c r="B1505" s="1" t="str">
        <f t="shared" si="1"/>
        <v>+37, 37, ZUBAT</v>
      </c>
    </row>
    <row r="1506" ht="12.75" customHeight="1">
      <c r="A1506" s="2"/>
      <c r="B1506" s="1" t="str">
        <f t="shared" si="1"/>
        <v/>
      </c>
    </row>
    <row r="1507" ht="12.75" customHeight="1">
      <c r="A1507" s="1" t="s">
        <v>360</v>
      </c>
      <c r="B1507" s="1" t="str">
        <f t="shared" si="1"/>
        <v># 10%</v>
      </c>
    </row>
    <row r="1508" ht="12.75" customHeight="1">
      <c r="A1508" s="1" t="s">
        <v>791</v>
      </c>
      <c r="B1508" s="1" t="str">
        <f t="shared" si="1"/>
        <v>+44, 44, HAUNTER</v>
      </c>
    </row>
    <row r="1509" ht="12.75" customHeight="1">
      <c r="A1509" s="1" t="s">
        <v>792</v>
      </c>
      <c r="B1509" s="1" t="str">
        <f t="shared" si="1"/>
        <v>+46, 46, HAUNTER</v>
      </c>
    </row>
    <row r="1510" ht="12.75" customHeight="1">
      <c r="A1510" s="1" t="s">
        <v>793</v>
      </c>
      <c r="B1510" s="1" t="str">
        <f t="shared" si="1"/>
        <v>+41, 41, GOLBAT</v>
      </c>
    </row>
    <row r="1511" ht="12.75" customHeight="1">
      <c r="A1511" s="1" t="s">
        <v>794</v>
      </c>
      <c r="B1511" s="1" t="str">
        <f t="shared" si="1"/>
        <v>+43, 43, GOLBAT</v>
      </c>
    </row>
    <row r="1512" ht="12.75" customHeight="1">
      <c r="A1512" s="2"/>
      <c r="B1512" s="1" t="str">
        <f t="shared" si="1"/>
        <v/>
      </c>
    </row>
    <row r="1513" ht="12.75" customHeight="1">
      <c r="A1513" s="1" t="s">
        <v>361</v>
      </c>
      <c r="B1513" s="1" t="str">
        <f t="shared" si="1"/>
        <v># 5%</v>
      </c>
    </row>
    <row r="1514" ht="12.75" customHeight="1">
      <c r="A1514" s="1" t="s">
        <v>795</v>
      </c>
      <c r="B1514" s="1" t="str">
        <f t="shared" si="1"/>
        <v>+38, 38, GASTLY</v>
      </c>
    </row>
    <row r="1515" ht="12.75" customHeight="1">
      <c r="A1515" s="1" t="s">
        <v>796</v>
      </c>
      <c r="B1515" s="1" t="str">
        <f t="shared" si="1"/>
        <v>+48, 48, HAUNTER</v>
      </c>
    </row>
    <row r="1516" ht="12.75" customHeight="1">
      <c r="A1516" s="2"/>
      <c r="B1516" s="1" t="str">
        <f t="shared" si="1"/>
        <v/>
      </c>
    </row>
    <row r="1517" ht="12.75" customHeight="1">
      <c r="A1517" s="1" t="s">
        <v>362</v>
      </c>
      <c r="B1517" s="1" t="str">
        <f t="shared" si="1"/>
        <v># 4%</v>
      </c>
    </row>
    <row r="1518" ht="12.75" customHeight="1">
      <c r="A1518" s="1" t="s">
        <v>797</v>
      </c>
      <c r="B1518" s="1" t="str">
        <f t="shared" si="1"/>
        <v>+50, 50, HAUNTER</v>
      </c>
    </row>
    <row r="1519" ht="12.75" customHeight="1">
      <c r="A1519" s="1" t="s">
        <v>798</v>
      </c>
      <c r="B1519" s="1" t="str">
        <f t="shared" si="1"/>
        <v>+22, 22, MISDREAVUS</v>
      </c>
    </row>
    <row r="1520" ht="12.75" customHeight="1">
      <c r="A1520" s="2"/>
      <c r="B1520" s="1" t="str">
        <f t="shared" si="1"/>
        <v/>
      </c>
    </row>
    <row r="1521" ht="12.75" customHeight="1">
      <c r="A1521" s="1" t="s">
        <v>363</v>
      </c>
      <c r="B1521" s="1" t="str">
        <f t="shared" si="1"/>
        <v># 1%</v>
      </c>
    </row>
    <row r="1522" ht="12.75" customHeight="1">
      <c r="A1522" s="1" t="s">
        <v>799</v>
      </c>
      <c r="B1522" s="1" t="str">
        <f t="shared" si="1"/>
        <v>+52, 52, HAUNTER</v>
      </c>
    </row>
    <row r="1523" ht="12.75" customHeight="1">
      <c r="A1523" s="1" t="s">
        <v>2657</v>
      </c>
      <c r="B1523" s="1" t="str">
        <f t="shared" si="1"/>
        <v>+22, 22, MISDREAVUS , &lt;null&gt;, &lt;null&gt;, &lt;null&gt;</v>
      </c>
    </row>
    <row r="1524" ht="12.75" customHeight="1">
      <c r="A1524" s="2"/>
      <c r="B1524" s="1" t="str">
        <f t="shared" si="1"/>
        <v/>
      </c>
    </row>
    <row r="1525" ht="12.75" customHeight="1">
      <c r="A1525" s="1" t="s">
        <v>2539</v>
      </c>
      <c r="B1525" s="1" t="str">
        <f t="shared" si="1"/>
        <v>NEW ROUTE</v>
      </c>
    </row>
    <row r="1526" ht="12.75" customHeight="1">
      <c r="A1526" s="1" t="s">
        <v>2662</v>
      </c>
      <c r="B1526" s="1" t="str">
        <f t="shared" si="1"/>
        <v>+2, 17, 0,</v>
      </c>
    </row>
    <row r="1527" ht="12.75" customHeight="1">
      <c r="A1527" s="1" t="s">
        <v>2544</v>
      </c>
      <c r="B1527" s="1" t="str">
        <f t="shared" si="1"/>
        <v>5, # 20%</v>
      </c>
    </row>
    <row r="1528" ht="12.75" customHeight="1">
      <c r="A1528" s="1" t="s">
        <v>789</v>
      </c>
      <c r="B1528" s="1" t="str">
        <f t="shared" si="1"/>
        <v>40, 40, GASTLY</v>
      </c>
    </row>
    <row r="1529" ht="12.75" customHeight="1">
      <c r="A1529" s="1" t="s">
        <v>790</v>
      </c>
      <c r="B1529" s="1" t="str">
        <f t="shared" si="1"/>
        <v>+37, 37, ZUBAT</v>
      </c>
    </row>
    <row r="1530" ht="12.75" customHeight="1">
      <c r="A1530" s="2"/>
      <c r="B1530" s="1" t="str">
        <f t="shared" si="1"/>
        <v/>
      </c>
    </row>
    <row r="1531" ht="12.75" customHeight="1">
      <c r="A1531" s="1" t="s">
        <v>360</v>
      </c>
      <c r="B1531" s="1" t="str">
        <f t="shared" si="1"/>
        <v># 10%</v>
      </c>
    </row>
    <row r="1532" ht="12.75" customHeight="1">
      <c r="A1532" s="1" t="s">
        <v>791</v>
      </c>
      <c r="B1532" s="1" t="str">
        <f t="shared" si="1"/>
        <v>+44, 44, HAUNTER</v>
      </c>
    </row>
    <row r="1533" ht="12.75" customHeight="1">
      <c r="A1533" s="1" t="s">
        <v>792</v>
      </c>
      <c r="B1533" s="1" t="str">
        <f t="shared" si="1"/>
        <v>+46, 46, HAUNTER</v>
      </c>
    </row>
    <row r="1534" ht="12.75" customHeight="1">
      <c r="A1534" s="1" t="s">
        <v>793</v>
      </c>
      <c r="B1534" s="1" t="str">
        <f t="shared" si="1"/>
        <v>+41, 41, GOLBAT</v>
      </c>
    </row>
    <row r="1535" ht="12.75" customHeight="1">
      <c r="A1535" s="1" t="s">
        <v>794</v>
      </c>
      <c r="B1535" s="1" t="str">
        <f t="shared" si="1"/>
        <v>+43, 43, GOLBAT</v>
      </c>
    </row>
    <row r="1536" ht="12.75" customHeight="1">
      <c r="A1536" s="2"/>
      <c r="B1536" s="1" t="str">
        <f t="shared" si="1"/>
        <v/>
      </c>
    </row>
    <row r="1537" ht="12.75" customHeight="1">
      <c r="A1537" s="1" t="s">
        <v>361</v>
      </c>
      <c r="B1537" s="1" t="str">
        <f t="shared" si="1"/>
        <v># 5%</v>
      </c>
    </row>
    <row r="1538" ht="12.75" customHeight="1">
      <c r="A1538" s="1" t="s">
        <v>795</v>
      </c>
      <c r="B1538" s="1" t="str">
        <f t="shared" si="1"/>
        <v>+38, 38, GASTLY</v>
      </c>
    </row>
    <row r="1539" ht="12.75" customHeight="1">
      <c r="A1539" s="1" t="s">
        <v>796</v>
      </c>
      <c r="B1539" s="1" t="str">
        <f t="shared" si="1"/>
        <v>+48, 48, HAUNTER</v>
      </c>
    </row>
    <row r="1540" ht="12.75" customHeight="1">
      <c r="A1540" s="2"/>
      <c r="B1540" s="1" t="str">
        <f t="shared" si="1"/>
        <v/>
      </c>
    </row>
    <row r="1541" ht="12.75" customHeight="1">
      <c r="A1541" s="1" t="s">
        <v>362</v>
      </c>
      <c r="B1541" s="1" t="str">
        <f t="shared" si="1"/>
        <v># 4%</v>
      </c>
    </row>
    <row r="1542" ht="12.75" customHeight="1">
      <c r="A1542" s="1" t="s">
        <v>797</v>
      </c>
      <c r="B1542" s="1" t="str">
        <f t="shared" si="1"/>
        <v>+50, 50, HAUNTER</v>
      </c>
    </row>
    <row r="1543" ht="12.75" customHeight="1">
      <c r="A1543" s="1" t="s">
        <v>798</v>
      </c>
      <c r="B1543" s="1" t="str">
        <f t="shared" si="1"/>
        <v>+22, 22, MISDREAVUS</v>
      </c>
    </row>
    <row r="1544" ht="12.75" customHeight="1">
      <c r="A1544" s="2"/>
      <c r="B1544" s="1" t="str">
        <f t="shared" si="1"/>
        <v/>
      </c>
    </row>
    <row r="1545" ht="12.75" customHeight="1">
      <c r="A1545" s="1" t="s">
        <v>363</v>
      </c>
      <c r="B1545" s="1" t="str">
        <f t="shared" si="1"/>
        <v># 1%</v>
      </c>
    </row>
    <row r="1546" ht="12.75" customHeight="1">
      <c r="A1546" s="1" t="s">
        <v>799</v>
      </c>
      <c r="B1546" s="1" t="str">
        <f t="shared" si="1"/>
        <v>+52, 52, HAUNTER</v>
      </c>
    </row>
    <row r="1547" ht="12.75" customHeight="1">
      <c r="A1547" s="1" t="s">
        <v>2657</v>
      </c>
      <c r="B1547" s="1" t="str">
        <f t="shared" si="1"/>
        <v>+22, 22, MISDREAVUS , &lt;null&gt;, &lt;null&gt;, &lt;null&gt;</v>
      </c>
    </row>
    <row r="1548" ht="12.75" customHeight="1">
      <c r="A1548" s="2"/>
      <c r="B1548" s="1" t="str">
        <f t="shared" si="1"/>
        <v/>
      </c>
    </row>
    <row r="1549" ht="12.75" customHeight="1">
      <c r="A1549" s="1" t="s">
        <v>2539</v>
      </c>
      <c r="B1549" s="1" t="str">
        <f t="shared" si="1"/>
        <v>NEW ROUTE</v>
      </c>
    </row>
    <row r="1550" ht="12.75" customHeight="1">
      <c r="A1550" s="1" t="s">
        <v>2663</v>
      </c>
      <c r="B1550" s="1" t="str">
        <f t="shared" si="1"/>
        <v>+2, 18, 0,</v>
      </c>
    </row>
    <row r="1551" ht="12.75" customHeight="1">
      <c r="A1551" s="1" t="s">
        <v>2611</v>
      </c>
      <c r="B1551" s="1" t="str">
        <f t="shared" si="1"/>
        <v>6, # 20%</v>
      </c>
    </row>
    <row r="1552" ht="12.75" customHeight="1">
      <c r="A1552" s="1" t="s">
        <v>789</v>
      </c>
      <c r="B1552" s="1" t="str">
        <f t="shared" si="1"/>
        <v>40, 40, GASTLY</v>
      </c>
    </row>
    <row r="1553" ht="12.75" customHeight="1">
      <c r="A1553" s="1" t="s">
        <v>790</v>
      </c>
      <c r="B1553" s="1" t="str">
        <f t="shared" si="1"/>
        <v>+37, 37, ZUBAT</v>
      </c>
    </row>
    <row r="1554" ht="12.75" customHeight="1">
      <c r="A1554" s="2"/>
      <c r="B1554" s="1" t="str">
        <f t="shared" si="1"/>
        <v/>
      </c>
    </row>
    <row r="1555" ht="12.75" customHeight="1">
      <c r="A1555" s="1" t="s">
        <v>360</v>
      </c>
      <c r="B1555" s="1" t="str">
        <f t="shared" si="1"/>
        <v># 10%</v>
      </c>
    </row>
    <row r="1556" ht="12.75" customHeight="1">
      <c r="A1556" s="1" t="s">
        <v>791</v>
      </c>
      <c r="B1556" s="1" t="str">
        <f t="shared" si="1"/>
        <v>+44, 44, HAUNTER</v>
      </c>
    </row>
    <row r="1557" ht="12.75" customHeight="1">
      <c r="A1557" s="1" t="s">
        <v>792</v>
      </c>
      <c r="B1557" s="1" t="str">
        <f t="shared" si="1"/>
        <v>+46, 46, HAUNTER</v>
      </c>
    </row>
    <row r="1558" ht="12.75" customHeight="1">
      <c r="A1558" s="1" t="s">
        <v>793</v>
      </c>
      <c r="B1558" s="1" t="str">
        <f t="shared" si="1"/>
        <v>+41, 41, GOLBAT</v>
      </c>
    </row>
    <row r="1559" ht="12.75" customHeight="1">
      <c r="A1559" s="1" t="s">
        <v>794</v>
      </c>
      <c r="B1559" s="1" t="str">
        <f t="shared" si="1"/>
        <v>+43, 43, GOLBAT</v>
      </c>
    </row>
    <row r="1560" ht="12.75" customHeight="1">
      <c r="A1560" s="2"/>
      <c r="B1560" s="1" t="str">
        <f t="shared" si="1"/>
        <v/>
      </c>
    </row>
    <row r="1561" ht="12.75" customHeight="1">
      <c r="A1561" s="1" t="s">
        <v>361</v>
      </c>
      <c r="B1561" s="1" t="str">
        <f t="shared" si="1"/>
        <v># 5%</v>
      </c>
    </row>
    <row r="1562" ht="12.75" customHeight="1">
      <c r="A1562" s="1" t="s">
        <v>795</v>
      </c>
      <c r="B1562" s="1" t="str">
        <f t="shared" si="1"/>
        <v>+38, 38, GASTLY</v>
      </c>
    </row>
    <row r="1563" ht="12.75" customHeight="1">
      <c r="A1563" s="1" t="s">
        <v>796</v>
      </c>
      <c r="B1563" s="1" t="str">
        <f t="shared" si="1"/>
        <v>+48, 48, HAUNTER</v>
      </c>
    </row>
    <row r="1564" ht="12.75" customHeight="1">
      <c r="A1564" s="2"/>
      <c r="B1564" s="1" t="str">
        <f t="shared" si="1"/>
        <v/>
      </c>
    </row>
    <row r="1565" ht="12.75" customHeight="1">
      <c r="A1565" s="1" t="s">
        <v>362</v>
      </c>
      <c r="B1565" s="1" t="str">
        <f t="shared" si="1"/>
        <v># 4%</v>
      </c>
    </row>
    <row r="1566" ht="12.75" customHeight="1">
      <c r="A1566" s="1" t="s">
        <v>797</v>
      </c>
      <c r="B1566" s="1" t="str">
        <f t="shared" si="1"/>
        <v>+50, 50, HAUNTER</v>
      </c>
    </row>
    <row r="1567" ht="12.75" customHeight="1">
      <c r="A1567" s="1" t="s">
        <v>798</v>
      </c>
      <c r="B1567" s="1" t="str">
        <f t="shared" si="1"/>
        <v>+22, 22, MISDREAVUS</v>
      </c>
    </row>
    <row r="1568" ht="12.75" customHeight="1">
      <c r="A1568" s="2"/>
      <c r="B1568" s="1" t="str">
        <f t="shared" si="1"/>
        <v/>
      </c>
    </row>
    <row r="1569" ht="12.75" customHeight="1">
      <c r="A1569" s="1" t="s">
        <v>363</v>
      </c>
      <c r="B1569" s="1" t="str">
        <f t="shared" si="1"/>
        <v># 1%</v>
      </c>
    </row>
    <row r="1570" ht="12.75" customHeight="1">
      <c r="A1570" s="1" t="s">
        <v>799</v>
      </c>
      <c r="B1570" s="1" t="str">
        <f t="shared" si="1"/>
        <v>+52, 52, HAUNTER</v>
      </c>
    </row>
    <row r="1571" ht="12.75" customHeight="1">
      <c r="A1571" s="1" t="s">
        <v>2657</v>
      </c>
      <c r="B1571" s="1" t="str">
        <f t="shared" si="1"/>
        <v>+22, 22, MISDREAVUS , &lt;null&gt;, &lt;null&gt;, &lt;null&gt;</v>
      </c>
    </row>
    <row r="1572" ht="12.75" customHeight="1">
      <c r="A1572" s="2"/>
      <c r="B1572" s="1" t="str">
        <f t="shared" si="1"/>
        <v/>
      </c>
    </row>
    <row r="1573" ht="12.75" customHeight="1">
      <c r="A1573" s="1" t="s">
        <v>2539</v>
      </c>
      <c r="B1573" s="1" t="str">
        <f t="shared" si="1"/>
        <v>NEW ROUTE</v>
      </c>
    </row>
    <row r="1574" ht="12.75" customHeight="1">
      <c r="A1574" s="1" t="s">
        <v>2664</v>
      </c>
      <c r="B1574" s="1" t="str">
        <f t="shared" si="1"/>
        <v>+2, 19, 0,</v>
      </c>
    </row>
    <row r="1575" ht="12.75" customHeight="1">
      <c r="A1575" s="1" t="s">
        <v>2541</v>
      </c>
      <c r="B1575" s="1" t="str">
        <f t="shared" si="1"/>
        <v>7, # 20%</v>
      </c>
    </row>
    <row r="1576" ht="12.75" customHeight="1">
      <c r="A1576" s="1" t="s">
        <v>789</v>
      </c>
      <c r="B1576" s="1" t="str">
        <f t="shared" si="1"/>
        <v>40, 40, GASTLY</v>
      </c>
    </row>
    <row r="1577" ht="12.75" customHeight="1">
      <c r="A1577" s="1" t="s">
        <v>790</v>
      </c>
      <c r="B1577" s="1" t="str">
        <f t="shared" si="1"/>
        <v>+37, 37, ZUBAT</v>
      </c>
    </row>
    <row r="1578" ht="12.75" customHeight="1">
      <c r="A1578" s="2"/>
      <c r="B1578" s="1" t="str">
        <f t="shared" si="1"/>
        <v/>
      </c>
    </row>
    <row r="1579" ht="12.75" customHeight="1">
      <c r="A1579" s="1" t="s">
        <v>360</v>
      </c>
      <c r="B1579" s="1" t="str">
        <f t="shared" si="1"/>
        <v># 10%</v>
      </c>
    </row>
    <row r="1580" ht="12.75" customHeight="1">
      <c r="A1580" s="1" t="s">
        <v>791</v>
      </c>
      <c r="B1580" s="1" t="str">
        <f t="shared" si="1"/>
        <v>+44, 44, HAUNTER</v>
      </c>
    </row>
    <row r="1581" ht="12.75" customHeight="1">
      <c r="A1581" s="1" t="s">
        <v>792</v>
      </c>
      <c r="B1581" s="1" t="str">
        <f t="shared" si="1"/>
        <v>+46, 46, HAUNTER</v>
      </c>
    </row>
    <row r="1582" ht="12.75" customHeight="1">
      <c r="A1582" s="1" t="s">
        <v>793</v>
      </c>
      <c r="B1582" s="1" t="str">
        <f t="shared" si="1"/>
        <v>+41, 41, GOLBAT</v>
      </c>
    </row>
    <row r="1583" ht="12.75" customHeight="1">
      <c r="A1583" s="1" t="s">
        <v>794</v>
      </c>
      <c r="B1583" s="1" t="str">
        <f t="shared" si="1"/>
        <v>+43, 43, GOLBAT</v>
      </c>
    </row>
    <row r="1584" ht="12.75" customHeight="1">
      <c r="A1584" s="2"/>
      <c r="B1584" s="1" t="str">
        <f t="shared" si="1"/>
        <v/>
      </c>
    </row>
    <row r="1585" ht="12.75" customHeight="1">
      <c r="A1585" s="1" t="s">
        <v>361</v>
      </c>
      <c r="B1585" s="1" t="str">
        <f t="shared" si="1"/>
        <v># 5%</v>
      </c>
    </row>
    <row r="1586" ht="12.75" customHeight="1">
      <c r="A1586" s="1" t="s">
        <v>795</v>
      </c>
      <c r="B1586" s="1" t="str">
        <f t="shared" si="1"/>
        <v>+38, 38, GASTLY</v>
      </c>
    </row>
    <row r="1587" ht="12.75" customHeight="1">
      <c r="A1587" s="1" t="s">
        <v>796</v>
      </c>
      <c r="B1587" s="1" t="str">
        <f t="shared" si="1"/>
        <v>+48, 48, HAUNTER</v>
      </c>
    </row>
    <row r="1588" ht="12.75" customHeight="1">
      <c r="A1588" s="2"/>
      <c r="B1588" s="1" t="str">
        <f t="shared" si="1"/>
        <v/>
      </c>
    </row>
    <row r="1589" ht="12.75" customHeight="1">
      <c r="A1589" s="1" t="s">
        <v>362</v>
      </c>
      <c r="B1589" s="1" t="str">
        <f t="shared" si="1"/>
        <v># 4%</v>
      </c>
    </row>
    <row r="1590" ht="12.75" customHeight="1">
      <c r="A1590" s="1" t="s">
        <v>797</v>
      </c>
      <c r="B1590" s="1" t="str">
        <f t="shared" si="1"/>
        <v>+50, 50, HAUNTER</v>
      </c>
    </row>
    <row r="1591" ht="12.75" customHeight="1">
      <c r="A1591" s="1" t="s">
        <v>798</v>
      </c>
      <c r="B1591" s="1" t="str">
        <f t="shared" si="1"/>
        <v>+22, 22, MISDREAVUS</v>
      </c>
    </row>
    <row r="1592" ht="12.75" customHeight="1">
      <c r="A1592" s="2"/>
      <c r="B1592" s="1" t="str">
        <f t="shared" si="1"/>
        <v/>
      </c>
    </row>
    <row r="1593" ht="12.75" customHeight="1">
      <c r="A1593" s="1" t="s">
        <v>363</v>
      </c>
      <c r="B1593" s="1" t="str">
        <f t="shared" si="1"/>
        <v># 1%</v>
      </c>
    </row>
    <row r="1594" ht="12.75" customHeight="1">
      <c r="A1594" s="1" t="s">
        <v>799</v>
      </c>
      <c r="B1594" s="1" t="str">
        <f t="shared" si="1"/>
        <v>+52, 52, HAUNTER</v>
      </c>
    </row>
    <row r="1595" ht="12.75" customHeight="1">
      <c r="A1595" s="1" t="s">
        <v>2657</v>
      </c>
      <c r="B1595" s="1" t="str">
        <f t="shared" si="1"/>
        <v>+22, 22, MISDREAVUS , &lt;null&gt;, &lt;null&gt;, &lt;null&gt;</v>
      </c>
    </row>
    <row r="1596" ht="12.75" customHeight="1">
      <c r="A1596" s="2"/>
      <c r="B1596" s="1" t="str">
        <f t="shared" si="1"/>
        <v/>
      </c>
    </row>
    <row r="1597" ht="12.75" customHeight="1">
      <c r="A1597" s="1" t="s">
        <v>2539</v>
      </c>
      <c r="B1597" s="1" t="str">
        <f t="shared" si="1"/>
        <v>NEW ROUTE</v>
      </c>
    </row>
    <row r="1598" ht="12.75" customHeight="1">
      <c r="A1598" s="1" t="s">
        <v>2665</v>
      </c>
      <c r="B1598" s="1" t="str">
        <f t="shared" si="1"/>
        <v>+2, 20, 0,</v>
      </c>
    </row>
    <row r="1599" ht="12.75" customHeight="1">
      <c r="A1599" s="1" t="s">
        <v>2613</v>
      </c>
      <c r="B1599" s="1" t="str">
        <f t="shared" si="1"/>
        <v>8, # 20%</v>
      </c>
    </row>
    <row r="1600" ht="12.75" customHeight="1">
      <c r="A1600" s="1" t="s">
        <v>789</v>
      </c>
      <c r="B1600" s="1" t="str">
        <f t="shared" si="1"/>
        <v>40, 40, GASTLY</v>
      </c>
    </row>
    <row r="1601" ht="12.75" customHeight="1">
      <c r="A1601" s="1" t="s">
        <v>790</v>
      </c>
      <c r="B1601" s="1" t="str">
        <f t="shared" si="1"/>
        <v>+37, 37, ZUBAT</v>
      </c>
    </row>
    <row r="1602" ht="12.75" customHeight="1">
      <c r="A1602" s="2"/>
      <c r="B1602" s="1" t="str">
        <f t="shared" si="1"/>
        <v/>
      </c>
    </row>
    <row r="1603" ht="12.75" customHeight="1">
      <c r="A1603" s="1" t="s">
        <v>360</v>
      </c>
      <c r="B1603" s="1" t="str">
        <f t="shared" si="1"/>
        <v># 10%</v>
      </c>
    </row>
    <row r="1604" ht="12.75" customHeight="1">
      <c r="A1604" s="1" t="s">
        <v>791</v>
      </c>
      <c r="B1604" s="1" t="str">
        <f t="shared" si="1"/>
        <v>+44, 44, HAUNTER</v>
      </c>
    </row>
    <row r="1605" ht="12.75" customHeight="1">
      <c r="A1605" s="1" t="s">
        <v>792</v>
      </c>
      <c r="B1605" s="1" t="str">
        <f t="shared" si="1"/>
        <v>+46, 46, HAUNTER</v>
      </c>
    </row>
    <row r="1606" ht="12.75" customHeight="1">
      <c r="A1606" s="1" t="s">
        <v>793</v>
      </c>
      <c r="B1606" s="1" t="str">
        <f t="shared" si="1"/>
        <v>+41, 41, GOLBAT</v>
      </c>
    </row>
    <row r="1607" ht="12.75" customHeight="1">
      <c r="A1607" s="1" t="s">
        <v>794</v>
      </c>
      <c r="B1607" s="1" t="str">
        <f t="shared" si="1"/>
        <v>+43, 43, GOLBAT</v>
      </c>
    </row>
    <row r="1608" ht="12.75" customHeight="1">
      <c r="A1608" s="2"/>
      <c r="B1608" s="1" t="str">
        <f t="shared" si="1"/>
        <v/>
      </c>
    </row>
    <row r="1609" ht="12.75" customHeight="1">
      <c r="A1609" s="1" t="s">
        <v>361</v>
      </c>
      <c r="B1609" s="1" t="str">
        <f t="shared" si="1"/>
        <v># 5%</v>
      </c>
    </row>
    <row r="1610" ht="12.75" customHeight="1">
      <c r="A1610" s="1" t="s">
        <v>795</v>
      </c>
      <c r="B1610" s="1" t="str">
        <f t="shared" si="1"/>
        <v>+38, 38, GASTLY</v>
      </c>
    </row>
    <row r="1611" ht="12.75" customHeight="1">
      <c r="A1611" s="1" t="s">
        <v>796</v>
      </c>
      <c r="B1611" s="1" t="str">
        <f t="shared" si="1"/>
        <v>+48, 48, HAUNTER</v>
      </c>
    </row>
    <row r="1612" ht="12.75" customHeight="1">
      <c r="A1612" s="2"/>
      <c r="B1612" s="1" t="str">
        <f t="shared" si="1"/>
        <v/>
      </c>
    </row>
    <row r="1613" ht="12.75" customHeight="1">
      <c r="A1613" s="1" t="s">
        <v>362</v>
      </c>
      <c r="B1613" s="1" t="str">
        <f t="shared" si="1"/>
        <v># 4%</v>
      </c>
    </row>
    <row r="1614" ht="12.75" customHeight="1">
      <c r="A1614" s="1" t="s">
        <v>797</v>
      </c>
      <c r="B1614" s="1" t="str">
        <f t="shared" si="1"/>
        <v>+50, 50, HAUNTER</v>
      </c>
    </row>
    <row r="1615" ht="12.75" customHeight="1">
      <c r="A1615" s="1" t="s">
        <v>798</v>
      </c>
      <c r="B1615" s="1" t="str">
        <f t="shared" si="1"/>
        <v>+22, 22, MISDREAVUS</v>
      </c>
    </row>
    <row r="1616" ht="12.75" customHeight="1">
      <c r="A1616" s="2"/>
      <c r="B1616" s="1" t="str">
        <f t="shared" si="1"/>
        <v/>
      </c>
    </row>
    <row r="1617" ht="12.75" customHeight="1">
      <c r="A1617" s="1" t="s">
        <v>363</v>
      </c>
      <c r="B1617" s="1" t="str">
        <f t="shared" si="1"/>
        <v># 1%</v>
      </c>
    </row>
    <row r="1618" ht="12.75" customHeight="1">
      <c r="A1618" s="1" t="s">
        <v>799</v>
      </c>
      <c r="B1618" s="1" t="str">
        <f t="shared" si="1"/>
        <v>+52, 52, HAUNTER</v>
      </c>
    </row>
    <row r="1619" ht="12.75" customHeight="1">
      <c r="A1619" s="1" t="s">
        <v>2657</v>
      </c>
      <c r="B1619" s="1" t="str">
        <f t="shared" si="1"/>
        <v>+22, 22, MISDREAVUS , &lt;null&gt;, &lt;null&gt;, &lt;null&gt;</v>
      </c>
    </row>
    <row r="1620" ht="12.75" customHeight="1">
      <c r="A1620" s="2"/>
      <c r="B1620" s="1" t="str">
        <f t="shared" si="1"/>
        <v/>
      </c>
    </row>
    <row r="1621" ht="12.75" customHeight="1">
      <c r="A1621" s="1" t="s">
        <v>2539</v>
      </c>
      <c r="B1621" s="1" t="str">
        <f t="shared" si="1"/>
        <v>NEW ROUTE</v>
      </c>
    </row>
    <row r="1622" ht="12.75" customHeight="1">
      <c r="A1622" s="1" t="s">
        <v>2666</v>
      </c>
      <c r="B1622" s="1" t="str">
        <f t="shared" si="1"/>
        <v>+2, 21, 0,</v>
      </c>
    </row>
    <row r="1623" ht="12.75" customHeight="1">
      <c r="A1623" s="1" t="s">
        <v>2667</v>
      </c>
      <c r="B1623" s="1" t="str">
        <f t="shared" si="1"/>
        <v>9, # 20%</v>
      </c>
    </row>
    <row r="1624" ht="12.75" customHeight="1">
      <c r="A1624" s="1" t="s">
        <v>789</v>
      </c>
      <c r="B1624" s="1" t="str">
        <f t="shared" si="1"/>
        <v>40, 40, GASTLY</v>
      </c>
    </row>
    <row r="1625" ht="12.75" customHeight="1">
      <c r="A1625" s="1" t="s">
        <v>790</v>
      </c>
      <c r="B1625" s="1" t="str">
        <f t="shared" si="1"/>
        <v>+37, 37, ZUBAT</v>
      </c>
    </row>
    <row r="1626" ht="12.75" customHeight="1">
      <c r="A1626" s="2"/>
      <c r="B1626" s="1" t="str">
        <f t="shared" si="1"/>
        <v/>
      </c>
    </row>
    <row r="1627" ht="12.75" customHeight="1">
      <c r="A1627" s="1" t="s">
        <v>360</v>
      </c>
      <c r="B1627" s="1" t="str">
        <f t="shared" si="1"/>
        <v># 10%</v>
      </c>
    </row>
    <row r="1628" ht="12.75" customHeight="1">
      <c r="A1628" s="1" t="s">
        <v>791</v>
      </c>
      <c r="B1628" s="1" t="str">
        <f t="shared" si="1"/>
        <v>+44, 44, HAUNTER</v>
      </c>
    </row>
    <row r="1629" ht="12.75" customHeight="1">
      <c r="A1629" s="1" t="s">
        <v>792</v>
      </c>
      <c r="B1629" s="1" t="str">
        <f t="shared" si="1"/>
        <v>+46, 46, HAUNTER</v>
      </c>
    </row>
    <row r="1630" ht="12.75" customHeight="1">
      <c r="A1630" s="1" t="s">
        <v>793</v>
      </c>
      <c r="B1630" s="1" t="str">
        <f t="shared" si="1"/>
        <v>+41, 41, GOLBAT</v>
      </c>
    </row>
    <row r="1631" ht="12.75" customHeight="1">
      <c r="A1631" s="1" t="s">
        <v>794</v>
      </c>
      <c r="B1631" s="1" t="str">
        <f t="shared" si="1"/>
        <v>+43, 43, GOLBAT</v>
      </c>
    </row>
    <row r="1632" ht="12.75" customHeight="1">
      <c r="A1632" s="2"/>
      <c r="B1632" s="1" t="str">
        <f t="shared" si="1"/>
        <v/>
      </c>
    </row>
    <row r="1633" ht="12.75" customHeight="1">
      <c r="A1633" s="1" t="s">
        <v>361</v>
      </c>
      <c r="B1633" s="1" t="str">
        <f t="shared" si="1"/>
        <v># 5%</v>
      </c>
    </row>
    <row r="1634" ht="12.75" customHeight="1">
      <c r="A1634" s="1" t="s">
        <v>795</v>
      </c>
      <c r="B1634" s="1" t="str">
        <f t="shared" si="1"/>
        <v>+38, 38, GASTLY</v>
      </c>
    </row>
    <row r="1635" ht="12.75" customHeight="1">
      <c r="A1635" s="1" t="s">
        <v>796</v>
      </c>
      <c r="B1635" s="1" t="str">
        <f t="shared" si="1"/>
        <v>+48, 48, HAUNTER</v>
      </c>
    </row>
    <row r="1636" ht="12.75" customHeight="1">
      <c r="A1636" s="2"/>
      <c r="B1636" s="1" t="str">
        <f t="shared" si="1"/>
        <v/>
      </c>
    </row>
    <row r="1637" ht="12.75" customHeight="1">
      <c r="A1637" s="1" t="s">
        <v>362</v>
      </c>
      <c r="B1637" s="1" t="str">
        <f t="shared" si="1"/>
        <v># 4%</v>
      </c>
    </row>
    <row r="1638" ht="12.75" customHeight="1">
      <c r="A1638" s="1" t="s">
        <v>797</v>
      </c>
      <c r="B1638" s="1" t="str">
        <f t="shared" si="1"/>
        <v>+50, 50, HAUNTER</v>
      </c>
    </row>
    <row r="1639" ht="12.75" customHeight="1">
      <c r="A1639" s="1" t="s">
        <v>798</v>
      </c>
      <c r="B1639" s="1" t="str">
        <f t="shared" si="1"/>
        <v>+22, 22, MISDREAVUS</v>
      </c>
    </row>
    <row r="1640" ht="12.75" customHeight="1">
      <c r="A1640" s="2"/>
      <c r="B1640" s="1" t="str">
        <f t="shared" si="1"/>
        <v/>
      </c>
    </row>
    <row r="1641" ht="12.75" customHeight="1">
      <c r="A1641" s="1" t="s">
        <v>363</v>
      </c>
      <c r="B1641" s="1" t="str">
        <f t="shared" si="1"/>
        <v># 1%</v>
      </c>
    </row>
    <row r="1642" ht="12.75" customHeight="1">
      <c r="A1642" s="1" t="s">
        <v>799</v>
      </c>
      <c r="B1642" s="1" t="str">
        <f t="shared" si="1"/>
        <v>+52, 52, HAUNTER</v>
      </c>
    </row>
    <row r="1643" ht="12.75" customHeight="1">
      <c r="A1643" s="1" t="s">
        <v>2657</v>
      </c>
      <c r="B1643" s="1" t="str">
        <f t="shared" si="1"/>
        <v>+22, 22, MISDREAVUS , &lt;null&gt;, &lt;null&gt;, &lt;null&gt;</v>
      </c>
    </row>
    <row r="1644" ht="12.75" customHeight="1">
      <c r="A1644" s="2"/>
      <c r="B1644" s="1" t="str">
        <f t="shared" si="1"/>
        <v/>
      </c>
    </row>
    <row r="1645" ht="12.75" customHeight="1">
      <c r="A1645" s="1" t="s">
        <v>2539</v>
      </c>
      <c r="B1645" s="1" t="str">
        <f t="shared" si="1"/>
        <v>NEW ROUTE</v>
      </c>
    </row>
    <row r="1646" ht="12.75" customHeight="1">
      <c r="A1646" s="1" t="s">
        <v>2668</v>
      </c>
      <c r="B1646" s="1" t="str">
        <f t="shared" si="1"/>
        <v>+2, 22, 0,</v>
      </c>
    </row>
    <row r="1647" ht="12.75" customHeight="1">
      <c r="A1647" s="1" t="s">
        <v>2615</v>
      </c>
      <c r="B1647" s="1" t="str">
        <f t="shared" si="1"/>
        <v>10, # 20%</v>
      </c>
    </row>
    <row r="1648" ht="12.75" customHeight="1">
      <c r="A1648" s="1" t="s">
        <v>789</v>
      </c>
      <c r="B1648" s="1" t="str">
        <f t="shared" si="1"/>
        <v>40, 40, GASTLY</v>
      </c>
    </row>
    <row r="1649" ht="12.75" customHeight="1">
      <c r="A1649" s="1" t="s">
        <v>790</v>
      </c>
      <c r="B1649" s="1" t="str">
        <f t="shared" si="1"/>
        <v>+37, 37, ZUBAT</v>
      </c>
    </row>
    <row r="1650" ht="12.75" customHeight="1">
      <c r="A1650" s="2"/>
      <c r="B1650" s="1" t="str">
        <f t="shared" si="1"/>
        <v/>
      </c>
    </row>
    <row r="1651" ht="12.75" customHeight="1">
      <c r="A1651" s="1" t="s">
        <v>360</v>
      </c>
      <c r="B1651" s="1" t="str">
        <f t="shared" si="1"/>
        <v># 10%</v>
      </c>
    </row>
    <row r="1652" ht="12.75" customHeight="1">
      <c r="A1652" s="1" t="s">
        <v>791</v>
      </c>
      <c r="B1652" s="1" t="str">
        <f t="shared" si="1"/>
        <v>+44, 44, HAUNTER</v>
      </c>
    </row>
    <row r="1653" ht="12.75" customHeight="1">
      <c r="A1653" s="1" t="s">
        <v>792</v>
      </c>
      <c r="B1653" s="1" t="str">
        <f t="shared" si="1"/>
        <v>+46, 46, HAUNTER</v>
      </c>
    </row>
    <row r="1654" ht="12.75" customHeight="1">
      <c r="A1654" s="1" t="s">
        <v>793</v>
      </c>
      <c r="B1654" s="1" t="str">
        <f t="shared" si="1"/>
        <v>+41, 41, GOLBAT</v>
      </c>
    </row>
    <row r="1655" ht="12.75" customHeight="1">
      <c r="A1655" s="1" t="s">
        <v>794</v>
      </c>
      <c r="B1655" s="1" t="str">
        <f t="shared" si="1"/>
        <v>+43, 43, GOLBAT</v>
      </c>
    </row>
    <row r="1656" ht="12.75" customHeight="1">
      <c r="A1656" s="2"/>
      <c r="B1656" s="1" t="str">
        <f t="shared" si="1"/>
        <v/>
      </c>
    </row>
    <row r="1657" ht="12.75" customHeight="1">
      <c r="A1657" s="1" t="s">
        <v>361</v>
      </c>
      <c r="B1657" s="1" t="str">
        <f t="shared" si="1"/>
        <v># 5%</v>
      </c>
    </row>
    <row r="1658" ht="12.75" customHeight="1">
      <c r="A1658" s="1" t="s">
        <v>795</v>
      </c>
      <c r="B1658" s="1" t="str">
        <f t="shared" si="1"/>
        <v>+38, 38, GASTLY</v>
      </c>
    </row>
    <row r="1659" ht="12.75" customHeight="1">
      <c r="A1659" s="1" t="s">
        <v>796</v>
      </c>
      <c r="B1659" s="1" t="str">
        <f t="shared" si="1"/>
        <v>+48, 48, HAUNTER</v>
      </c>
    </row>
    <row r="1660" ht="12.75" customHeight="1">
      <c r="A1660" s="2"/>
      <c r="B1660" s="1" t="str">
        <f t="shared" si="1"/>
        <v/>
      </c>
    </row>
    <row r="1661" ht="12.75" customHeight="1">
      <c r="A1661" s="1" t="s">
        <v>362</v>
      </c>
      <c r="B1661" s="1" t="str">
        <f t="shared" si="1"/>
        <v># 4%</v>
      </c>
    </row>
    <row r="1662" ht="12.75" customHeight="1">
      <c r="A1662" s="1" t="s">
        <v>797</v>
      </c>
      <c r="B1662" s="1" t="str">
        <f t="shared" si="1"/>
        <v>+50, 50, HAUNTER</v>
      </c>
    </row>
    <row r="1663" ht="12.75" customHeight="1">
      <c r="A1663" s="1" t="s">
        <v>798</v>
      </c>
      <c r="B1663" s="1" t="str">
        <f t="shared" si="1"/>
        <v>+22, 22, MISDREAVUS</v>
      </c>
    </row>
    <row r="1664" ht="12.75" customHeight="1">
      <c r="A1664" s="2"/>
      <c r="B1664" s="1" t="str">
        <f t="shared" si="1"/>
        <v/>
      </c>
    </row>
    <row r="1665" ht="12.75" customHeight="1">
      <c r="A1665" s="1" t="s">
        <v>363</v>
      </c>
      <c r="B1665" s="1" t="str">
        <f t="shared" si="1"/>
        <v># 1%</v>
      </c>
    </row>
    <row r="1666" ht="12.75" customHeight="1">
      <c r="A1666" s="1" t="s">
        <v>799</v>
      </c>
      <c r="B1666" s="1" t="str">
        <f t="shared" si="1"/>
        <v>+52, 52, HAUNTER</v>
      </c>
    </row>
    <row r="1667" ht="12.75" customHeight="1">
      <c r="A1667" s="1" t="s">
        <v>2657</v>
      </c>
      <c r="B1667" s="1" t="str">
        <f t="shared" si="1"/>
        <v>+22, 22, MISDREAVUS , &lt;null&gt;, &lt;null&gt;, &lt;null&gt;</v>
      </c>
    </row>
    <row r="1668" ht="12.75" customHeight="1">
      <c r="A1668" s="2"/>
      <c r="B1668" s="1" t="str">
        <f t="shared" si="1"/>
        <v/>
      </c>
    </row>
    <row r="1669" ht="12.75" customHeight="1">
      <c r="A1669" s="1" t="s">
        <v>2539</v>
      </c>
      <c r="B1669" s="1" t="str">
        <f t="shared" si="1"/>
        <v>NEW ROUTE</v>
      </c>
    </row>
    <row r="1670" ht="12.75" customHeight="1">
      <c r="A1670" s="1" t="s">
        <v>2669</v>
      </c>
      <c r="B1670" s="1" t="str">
        <f t="shared" si="1"/>
        <v>+2, 23, 0,</v>
      </c>
    </row>
    <row r="1671" ht="12.75" customHeight="1">
      <c r="A1671" s="1" t="s">
        <v>2544</v>
      </c>
      <c r="B1671" s="1" t="str">
        <f t="shared" si="1"/>
        <v>5, # 20%</v>
      </c>
    </row>
    <row r="1672" ht="12.75" customHeight="1">
      <c r="A1672" s="1" t="s">
        <v>789</v>
      </c>
      <c r="B1672" s="1" t="str">
        <f t="shared" si="1"/>
        <v>40, 40, GASTLY</v>
      </c>
    </row>
    <row r="1673" ht="12.75" customHeight="1">
      <c r="A1673" s="1" t="s">
        <v>790</v>
      </c>
      <c r="B1673" s="1" t="str">
        <f t="shared" si="1"/>
        <v>+37, 37, ZUBAT</v>
      </c>
    </row>
    <row r="1674" ht="12.75" customHeight="1">
      <c r="A1674" s="2"/>
      <c r="B1674" s="1" t="str">
        <f t="shared" si="1"/>
        <v/>
      </c>
    </row>
    <row r="1675" ht="12.75" customHeight="1">
      <c r="A1675" s="1" t="s">
        <v>360</v>
      </c>
      <c r="B1675" s="1" t="str">
        <f t="shared" si="1"/>
        <v># 10%</v>
      </c>
    </row>
    <row r="1676" ht="12.75" customHeight="1">
      <c r="A1676" s="1" t="s">
        <v>791</v>
      </c>
      <c r="B1676" s="1" t="str">
        <f t="shared" si="1"/>
        <v>+44, 44, HAUNTER</v>
      </c>
    </row>
    <row r="1677" ht="12.75" customHeight="1">
      <c r="A1677" s="1" t="s">
        <v>792</v>
      </c>
      <c r="B1677" s="1" t="str">
        <f t="shared" si="1"/>
        <v>+46, 46, HAUNTER</v>
      </c>
    </row>
    <row r="1678" ht="12.75" customHeight="1">
      <c r="A1678" s="1" t="s">
        <v>793</v>
      </c>
      <c r="B1678" s="1" t="str">
        <f t="shared" si="1"/>
        <v>+41, 41, GOLBAT</v>
      </c>
    </row>
    <row r="1679" ht="12.75" customHeight="1">
      <c r="A1679" s="1" t="s">
        <v>811</v>
      </c>
      <c r="B1679" s="1" t="str">
        <f t="shared" si="1"/>
        <v>+15, 15, MISDREAVUS</v>
      </c>
    </row>
    <row r="1680" ht="12.75" customHeight="1">
      <c r="A1680" s="2"/>
      <c r="B1680" s="1" t="str">
        <f t="shared" si="1"/>
        <v/>
      </c>
    </row>
    <row r="1681" ht="12.75" customHeight="1">
      <c r="A1681" s="1" t="s">
        <v>361</v>
      </c>
      <c r="B1681" s="1" t="str">
        <f t="shared" si="1"/>
        <v># 5%</v>
      </c>
    </row>
    <row r="1682" ht="12.75" customHeight="1">
      <c r="A1682" s="1" t="s">
        <v>812</v>
      </c>
      <c r="B1682" s="1" t="str">
        <f t="shared" si="1"/>
        <v>+20, 20, MISDREAVUS</v>
      </c>
    </row>
    <row r="1683" ht="12.75" customHeight="1">
      <c r="A1683" s="1" t="s">
        <v>796</v>
      </c>
      <c r="B1683" s="1" t="str">
        <f t="shared" si="1"/>
        <v>+48, 48, HAUNTER</v>
      </c>
    </row>
    <row r="1684" ht="12.75" customHeight="1">
      <c r="A1684" s="2"/>
      <c r="B1684" s="1" t="str">
        <f t="shared" si="1"/>
        <v/>
      </c>
    </row>
    <row r="1685" ht="12.75" customHeight="1">
      <c r="A1685" s="1" t="s">
        <v>362</v>
      </c>
      <c r="B1685" s="1" t="str">
        <f t="shared" si="1"/>
        <v># 4%</v>
      </c>
    </row>
    <row r="1686" ht="12.75" customHeight="1">
      <c r="A1686" s="1" t="s">
        <v>797</v>
      </c>
      <c r="B1686" s="1" t="str">
        <f t="shared" si="1"/>
        <v>+50, 50, HAUNTER</v>
      </c>
    </row>
    <row r="1687" ht="12.75" customHeight="1">
      <c r="A1687" s="1" t="s">
        <v>798</v>
      </c>
      <c r="B1687" s="1" t="str">
        <f t="shared" si="1"/>
        <v>+22, 22, MISDREAVUS</v>
      </c>
    </row>
    <row r="1688" ht="12.75" customHeight="1">
      <c r="A1688" s="2"/>
      <c r="B1688" s="1" t="str">
        <f t="shared" si="1"/>
        <v/>
      </c>
    </row>
    <row r="1689" ht="12.75" customHeight="1">
      <c r="A1689" s="1" t="s">
        <v>363</v>
      </c>
      <c r="B1689" s="1" t="str">
        <f t="shared" si="1"/>
        <v># 1%</v>
      </c>
    </row>
    <row r="1690" ht="12.75" customHeight="1">
      <c r="A1690" s="1" t="s">
        <v>799</v>
      </c>
      <c r="B1690" s="1" t="str">
        <f t="shared" si="1"/>
        <v>+52, 52, HAUNTER</v>
      </c>
    </row>
    <row r="1691" ht="12.75" customHeight="1">
      <c r="A1691" s="1" t="s">
        <v>2657</v>
      </c>
      <c r="B1691" s="1" t="str">
        <f t="shared" si="1"/>
        <v>+22, 22, MISDREAVUS , &lt;null&gt;, &lt;null&gt;, &lt;null&gt;</v>
      </c>
    </row>
    <row r="1692" ht="12.75" customHeight="1">
      <c r="A1692" s="2"/>
      <c r="B1692" s="1" t="str">
        <f t="shared" si="1"/>
        <v/>
      </c>
    </row>
    <row r="1693" ht="12.75" customHeight="1">
      <c r="A1693" s="1" t="s">
        <v>2539</v>
      </c>
      <c r="B1693" s="1" t="str">
        <f t="shared" si="1"/>
        <v>NEW ROUTE</v>
      </c>
    </row>
    <row r="1694" ht="12.75" customHeight="1">
      <c r="A1694" s="1" t="s">
        <v>2670</v>
      </c>
      <c r="B1694" s="1" t="str">
        <f t="shared" si="1"/>
        <v>+2, 24, 0,</v>
      </c>
    </row>
    <row r="1695" ht="12.75" customHeight="1">
      <c r="A1695" s="1" t="s">
        <v>2544</v>
      </c>
      <c r="B1695" s="1" t="str">
        <f t="shared" si="1"/>
        <v>5, # 20%</v>
      </c>
    </row>
    <row r="1696" ht="12.75" customHeight="1">
      <c r="A1696" s="1" t="s">
        <v>789</v>
      </c>
      <c r="B1696" s="1" t="str">
        <f t="shared" si="1"/>
        <v>40, 40, GASTLY</v>
      </c>
    </row>
    <row r="1697" ht="12.75" customHeight="1">
      <c r="A1697" s="1" t="s">
        <v>790</v>
      </c>
      <c r="B1697" s="1" t="str">
        <f t="shared" si="1"/>
        <v>+37, 37, ZUBAT</v>
      </c>
    </row>
    <row r="1698" ht="12.75" customHeight="1">
      <c r="A1698" s="2"/>
      <c r="B1698" s="1" t="str">
        <f t="shared" si="1"/>
        <v/>
      </c>
    </row>
    <row r="1699" ht="12.75" customHeight="1">
      <c r="A1699" s="1" t="s">
        <v>360</v>
      </c>
      <c r="B1699" s="1" t="str">
        <f t="shared" si="1"/>
        <v># 10%</v>
      </c>
    </row>
    <row r="1700" ht="12.75" customHeight="1">
      <c r="A1700" s="1" t="s">
        <v>791</v>
      </c>
      <c r="B1700" s="1" t="str">
        <f t="shared" si="1"/>
        <v>+44, 44, HAUNTER</v>
      </c>
    </row>
    <row r="1701" ht="12.75" customHeight="1">
      <c r="A1701" s="1" t="s">
        <v>792</v>
      </c>
      <c r="B1701" s="1" t="str">
        <f t="shared" si="1"/>
        <v>+46, 46, HAUNTER</v>
      </c>
    </row>
    <row r="1702" ht="12.75" customHeight="1">
      <c r="A1702" s="1" t="s">
        <v>793</v>
      </c>
      <c r="B1702" s="1" t="str">
        <f t="shared" si="1"/>
        <v>+41, 41, GOLBAT</v>
      </c>
    </row>
    <row r="1703" ht="12.75" customHeight="1">
      <c r="A1703" s="1" t="s">
        <v>811</v>
      </c>
      <c r="B1703" s="1" t="str">
        <f t="shared" si="1"/>
        <v>+15, 15, MISDREAVUS</v>
      </c>
    </row>
    <row r="1704" ht="12.75" customHeight="1">
      <c r="A1704" s="2"/>
      <c r="B1704" s="1" t="str">
        <f t="shared" si="1"/>
        <v/>
      </c>
    </row>
    <row r="1705" ht="12.75" customHeight="1">
      <c r="A1705" s="1" t="s">
        <v>361</v>
      </c>
      <c r="B1705" s="1" t="str">
        <f t="shared" si="1"/>
        <v># 5%</v>
      </c>
    </row>
    <row r="1706" ht="12.75" customHeight="1">
      <c r="A1706" s="1" t="s">
        <v>812</v>
      </c>
      <c r="B1706" s="1" t="str">
        <f t="shared" si="1"/>
        <v>+20, 20, MISDREAVUS</v>
      </c>
    </row>
    <row r="1707" ht="12.75" customHeight="1">
      <c r="A1707" s="1" t="s">
        <v>796</v>
      </c>
      <c r="B1707" s="1" t="str">
        <f t="shared" si="1"/>
        <v>+48, 48, HAUNTER</v>
      </c>
    </row>
    <row r="1708" ht="12.75" customHeight="1">
      <c r="A1708" s="2"/>
      <c r="B1708" s="1" t="str">
        <f t="shared" si="1"/>
        <v/>
      </c>
    </row>
    <row r="1709" ht="12.75" customHeight="1">
      <c r="A1709" s="1" t="s">
        <v>362</v>
      </c>
      <c r="B1709" s="1" t="str">
        <f t="shared" si="1"/>
        <v># 4%</v>
      </c>
    </row>
    <row r="1710" ht="12.75" customHeight="1">
      <c r="A1710" s="1" t="s">
        <v>797</v>
      </c>
      <c r="B1710" s="1" t="str">
        <f t="shared" si="1"/>
        <v>+50, 50, HAUNTER</v>
      </c>
    </row>
    <row r="1711" ht="12.75" customHeight="1">
      <c r="A1711" s="1" t="s">
        <v>798</v>
      </c>
      <c r="B1711" s="1" t="str">
        <f t="shared" si="1"/>
        <v>+22, 22, MISDREAVUS</v>
      </c>
    </row>
    <row r="1712" ht="12.75" customHeight="1">
      <c r="A1712" s="2"/>
      <c r="B1712" s="1" t="str">
        <f t="shared" si="1"/>
        <v/>
      </c>
    </row>
    <row r="1713" ht="12.75" customHeight="1">
      <c r="A1713" s="1" t="s">
        <v>363</v>
      </c>
      <c r="B1713" s="1" t="str">
        <f t="shared" si="1"/>
        <v># 1%</v>
      </c>
    </row>
    <row r="1714" ht="12.75" customHeight="1">
      <c r="A1714" s="1" t="s">
        <v>799</v>
      </c>
      <c r="B1714" s="1" t="str">
        <f t="shared" si="1"/>
        <v>+52, 52, HAUNTER</v>
      </c>
    </row>
    <row r="1715" ht="12.75" customHeight="1">
      <c r="A1715" s="1" t="s">
        <v>2657</v>
      </c>
      <c r="B1715" s="1" t="str">
        <f t="shared" si="1"/>
        <v>+22, 22, MISDREAVUS , &lt;null&gt;, &lt;null&gt;, &lt;null&gt;</v>
      </c>
    </row>
    <row r="1716" ht="12.75" customHeight="1">
      <c r="A1716" s="2"/>
      <c r="B1716" s="1" t="str">
        <f t="shared" si="1"/>
        <v/>
      </c>
    </row>
    <row r="1717" ht="12.75" customHeight="1">
      <c r="A1717" s="1" t="s">
        <v>2539</v>
      </c>
      <c r="B1717" s="1" t="str">
        <f t="shared" si="1"/>
        <v>NEW ROUTE</v>
      </c>
    </row>
    <row r="1718" ht="12.75" customHeight="1">
      <c r="A1718" s="1" t="s">
        <v>2671</v>
      </c>
      <c r="B1718" s="1" t="str">
        <f t="shared" si="1"/>
        <v>+2, 25, 0,</v>
      </c>
    </row>
    <row r="1719" ht="12.75" customHeight="1">
      <c r="A1719" s="1" t="s">
        <v>2544</v>
      </c>
      <c r="B1719" s="1" t="str">
        <f t="shared" si="1"/>
        <v>5, # 20%</v>
      </c>
    </row>
    <row r="1720" ht="12.75" customHeight="1">
      <c r="A1720" s="1" t="s">
        <v>789</v>
      </c>
      <c r="B1720" s="1" t="str">
        <f t="shared" si="1"/>
        <v>40, 40, GASTLY</v>
      </c>
    </row>
    <row r="1721" ht="12.75" customHeight="1">
      <c r="A1721" s="1" t="s">
        <v>790</v>
      </c>
      <c r="B1721" s="1" t="str">
        <f t="shared" si="1"/>
        <v>+37, 37, ZUBAT</v>
      </c>
    </row>
    <row r="1722" ht="12.75" customHeight="1">
      <c r="A1722" s="2"/>
      <c r="B1722" s="1" t="str">
        <f t="shared" si="1"/>
        <v/>
      </c>
    </row>
    <row r="1723" ht="12.75" customHeight="1">
      <c r="A1723" s="1" t="s">
        <v>360</v>
      </c>
      <c r="B1723" s="1" t="str">
        <f t="shared" si="1"/>
        <v># 10%</v>
      </c>
    </row>
    <row r="1724" ht="12.75" customHeight="1">
      <c r="A1724" s="1" t="s">
        <v>791</v>
      </c>
      <c r="B1724" s="1" t="str">
        <f t="shared" si="1"/>
        <v>+44, 44, HAUNTER</v>
      </c>
    </row>
    <row r="1725" ht="12.75" customHeight="1">
      <c r="A1725" s="1" t="s">
        <v>792</v>
      </c>
      <c r="B1725" s="1" t="str">
        <f t="shared" si="1"/>
        <v>+46, 46, HAUNTER</v>
      </c>
    </row>
    <row r="1726" ht="12.75" customHeight="1">
      <c r="A1726" s="1" t="s">
        <v>793</v>
      </c>
      <c r="B1726" s="1" t="str">
        <f t="shared" si="1"/>
        <v>+41, 41, GOLBAT</v>
      </c>
    </row>
    <row r="1727" ht="12.75" customHeight="1">
      <c r="A1727" s="1" t="s">
        <v>811</v>
      </c>
      <c r="B1727" s="1" t="str">
        <f t="shared" si="1"/>
        <v>+15, 15, MISDREAVUS</v>
      </c>
    </row>
    <row r="1728" ht="12.75" customHeight="1">
      <c r="A1728" s="2"/>
      <c r="B1728" s="1" t="str">
        <f t="shared" si="1"/>
        <v/>
      </c>
    </row>
    <row r="1729" ht="12.75" customHeight="1">
      <c r="A1729" s="1" t="s">
        <v>361</v>
      </c>
      <c r="B1729" s="1" t="str">
        <f t="shared" si="1"/>
        <v># 5%</v>
      </c>
    </row>
    <row r="1730" ht="12.75" customHeight="1">
      <c r="A1730" s="1" t="s">
        <v>812</v>
      </c>
      <c r="B1730" s="1" t="str">
        <f t="shared" si="1"/>
        <v>+20, 20, MISDREAVUS</v>
      </c>
    </row>
    <row r="1731" ht="12.75" customHeight="1">
      <c r="A1731" s="1" t="s">
        <v>796</v>
      </c>
      <c r="B1731" s="1" t="str">
        <f t="shared" si="1"/>
        <v>+48, 48, HAUNTER</v>
      </c>
    </row>
    <row r="1732" ht="12.75" customHeight="1">
      <c r="A1732" s="2"/>
      <c r="B1732" s="1" t="str">
        <f t="shared" si="1"/>
        <v/>
      </c>
    </row>
    <row r="1733" ht="12.75" customHeight="1">
      <c r="A1733" s="1" t="s">
        <v>362</v>
      </c>
      <c r="B1733" s="1" t="str">
        <f t="shared" si="1"/>
        <v># 4%</v>
      </c>
    </row>
    <row r="1734" ht="12.75" customHeight="1">
      <c r="A1734" s="1" t="s">
        <v>797</v>
      </c>
      <c r="B1734" s="1" t="str">
        <f t="shared" si="1"/>
        <v>+50, 50, HAUNTER</v>
      </c>
    </row>
    <row r="1735" ht="12.75" customHeight="1">
      <c r="A1735" s="1" t="s">
        <v>798</v>
      </c>
      <c r="B1735" s="1" t="str">
        <f t="shared" si="1"/>
        <v>+22, 22, MISDREAVUS</v>
      </c>
    </row>
    <row r="1736" ht="12.75" customHeight="1">
      <c r="A1736" s="2"/>
      <c r="B1736" s="1" t="str">
        <f t="shared" si="1"/>
        <v/>
      </c>
    </row>
    <row r="1737" ht="12.75" customHeight="1">
      <c r="A1737" s="1" t="s">
        <v>363</v>
      </c>
      <c r="B1737" s="1" t="str">
        <f t="shared" si="1"/>
        <v># 1%</v>
      </c>
    </row>
    <row r="1738" ht="12.75" customHeight="1">
      <c r="A1738" s="1" t="s">
        <v>799</v>
      </c>
      <c r="B1738" s="1" t="str">
        <f t="shared" si="1"/>
        <v>+52, 52, HAUNTER</v>
      </c>
    </row>
    <row r="1739" ht="12.75" customHeight="1">
      <c r="A1739" s="1" t="s">
        <v>2657</v>
      </c>
      <c r="B1739" s="1" t="str">
        <f t="shared" si="1"/>
        <v>+22, 22, MISDREAVUS , &lt;null&gt;, &lt;null&gt;, &lt;null&gt;</v>
      </c>
    </row>
    <row r="1740" ht="12.75" customHeight="1">
      <c r="A1740" s="2"/>
      <c r="B1740" s="1" t="str">
        <f t="shared" si="1"/>
        <v/>
      </c>
    </row>
    <row r="1741" ht="12.75" customHeight="1">
      <c r="A1741" s="1" t="s">
        <v>2539</v>
      </c>
      <c r="B1741" s="1" t="str">
        <f t="shared" si="1"/>
        <v>NEW ROUTE</v>
      </c>
    </row>
    <row r="1742" ht="12.75" customHeight="1">
      <c r="A1742" s="1" t="s">
        <v>2672</v>
      </c>
      <c r="B1742" s="1" t="str">
        <f t="shared" si="1"/>
        <v>+2, 26, 0,</v>
      </c>
    </row>
    <row r="1743" ht="12.75" customHeight="1">
      <c r="A1743" s="1" t="s">
        <v>2544</v>
      </c>
      <c r="B1743" s="1" t="str">
        <f t="shared" si="1"/>
        <v>5, # 20%</v>
      </c>
    </row>
    <row r="1744" ht="12.75" customHeight="1">
      <c r="A1744" s="1" t="s">
        <v>789</v>
      </c>
      <c r="B1744" s="1" t="str">
        <f t="shared" si="1"/>
        <v>40, 40, GASTLY</v>
      </c>
    </row>
    <row r="1745" ht="12.75" customHeight="1">
      <c r="A1745" s="1" t="s">
        <v>790</v>
      </c>
      <c r="B1745" s="1" t="str">
        <f t="shared" si="1"/>
        <v>+37, 37, ZUBAT</v>
      </c>
    </row>
    <row r="1746" ht="12.75" customHeight="1">
      <c r="A1746" s="2"/>
      <c r="B1746" s="1" t="str">
        <f t="shared" si="1"/>
        <v/>
      </c>
    </row>
    <row r="1747" ht="12.75" customHeight="1">
      <c r="A1747" s="1" t="s">
        <v>360</v>
      </c>
      <c r="B1747" s="1" t="str">
        <f t="shared" si="1"/>
        <v># 10%</v>
      </c>
    </row>
    <row r="1748" ht="12.75" customHeight="1">
      <c r="A1748" s="1" t="s">
        <v>791</v>
      </c>
      <c r="B1748" s="1" t="str">
        <f t="shared" si="1"/>
        <v>+44, 44, HAUNTER</v>
      </c>
    </row>
    <row r="1749" ht="12.75" customHeight="1">
      <c r="A1749" s="1" t="s">
        <v>792</v>
      </c>
      <c r="B1749" s="1" t="str">
        <f t="shared" si="1"/>
        <v>+46, 46, HAUNTER</v>
      </c>
    </row>
    <row r="1750" ht="12.75" customHeight="1">
      <c r="A1750" s="1" t="s">
        <v>793</v>
      </c>
      <c r="B1750" s="1" t="str">
        <f t="shared" si="1"/>
        <v>+41, 41, GOLBAT</v>
      </c>
    </row>
    <row r="1751" ht="12.75" customHeight="1">
      <c r="A1751" s="1" t="s">
        <v>811</v>
      </c>
      <c r="B1751" s="1" t="str">
        <f t="shared" si="1"/>
        <v>+15, 15, MISDREAVUS</v>
      </c>
    </row>
    <row r="1752" ht="12.75" customHeight="1">
      <c r="A1752" s="2"/>
      <c r="B1752" s="1" t="str">
        <f t="shared" si="1"/>
        <v/>
      </c>
    </row>
    <row r="1753" ht="12.75" customHeight="1">
      <c r="A1753" s="1" t="s">
        <v>361</v>
      </c>
      <c r="B1753" s="1" t="str">
        <f t="shared" si="1"/>
        <v># 5%</v>
      </c>
    </row>
    <row r="1754" ht="12.75" customHeight="1">
      <c r="A1754" s="1" t="s">
        <v>812</v>
      </c>
      <c r="B1754" s="1" t="str">
        <f t="shared" si="1"/>
        <v>+20, 20, MISDREAVUS</v>
      </c>
    </row>
    <row r="1755" ht="12.75" customHeight="1">
      <c r="A1755" s="1" t="s">
        <v>796</v>
      </c>
      <c r="B1755" s="1" t="str">
        <f t="shared" si="1"/>
        <v>+48, 48, HAUNTER</v>
      </c>
    </row>
    <row r="1756" ht="12.75" customHeight="1">
      <c r="A1756" s="2"/>
      <c r="B1756" s="1" t="str">
        <f t="shared" si="1"/>
        <v/>
      </c>
    </row>
    <row r="1757" ht="12.75" customHeight="1">
      <c r="A1757" s="1" t="s">
        <v>362</v>
      </c>
      <c r="B1757" s="1" t="str">
        <f t="shared" si="1"/>
        <v># 4%</v>
      </c>
    </row>
    <row r="1758" ht="12.75" customHeight="1">
      <c r="A1758" s="1" t="s">
        <v>797</v>
      </c>
      <c r="B1758" s="1" t="str">
        <f t="shared" si="1"/>
        <v>+50, 50, HAUNTER</v>
      </c>
    </row>
    <row r="1759" ht="12.75" customHeight="1">
      <c r="A1759" s="1" t="s">
        <v>798</v>
      </c>
      <c r="B1759" s="1" t="str">
        <f t="shared" si="1"/>
        <v>+22, 22, MISDREAVUS</v>
      </c>
    </row>
    <row r="1760" ht="12.75" customHeight="1">
      <c r="A1760" s="2"/>
      <c r="B1760" s="1" t="str">
        <f t="shared" si="1"/>
        <v/>
      </c>
    </row>
    <row r="1761" ht="12.75" customHeight="1">
      <c r="A1761" s="1" t="s">
        <v>363</v>
      </c>
      <c r="B1761" s="1" t="str">
        <f t="shared" si="1"/>
        <v># 1%</v>
      </c>
    </row>
    <row r="1762" ht="12.75" customHeight="1">
      <c r="A1762" s="1" t="s">
        <v>799</v>
      </c>
      <c r="B1762" s="1" t="str">
        <f t="shared" si="1"/>
        <v>+52, 52, HAUNTER</v>
      </c>
    </row>
    <row r="1763" ht="12.75" customHeight="1">
      <c r="A1763" s="1" t="s">
        <v>2657</v>
      </c>
      <c r="B1763" s="1" t="str">
        <f t="shared" si="1"/>
        <v>+22, 22, MISDREAVUS , &lt;null&gt;, &lt;null&gt;, &lt;null&gt;</v>
      </c>
    </row>
    <row r="1764" ht="12.75" customHeight="1">
      <c r="A1764" s="2"/>
      <c r="B1764" s="1" t="str">
        <f t="shared" si="1"/>
        <v/>
      </c>
    </row>
    <row r="1765" ht="12.75" customHeight="1">
      <c r="A1765" s="1" t="s">
        <v>2539</v>
      </c>
      <c r="B1765" s="1" t="str">
        <f t="shared" si="1"/>
        <v>NEW ROUTE</v>
      </c>
    </row>
    <row r="1766" ht="12.75" customHeight="1">
      <c r="A1766" s="1" t="s">
        <v>2673</v>
      </c>
      <c r="B1766" s="1" t="str">
        <f t="shared" si="1"/>
        <v>+3, 45, 0,</v>
      </c>
    </row>
    <row r="1767" ht="12.75" customHeight="1">
      <c r="A1767" s="1" t="s">
        <v>2568</v>
      </c>
      <c r="B1767" s="1" t="str">
        <f t="shared" si="1"/>
        <v>21, # 20%</v>
      </c>
    </row>
    <row r="1768" ht="12.75" customHeight="1">
      <c r="A1768" s="1" t="s">
        <v>817</v>
      </c>
      <c r="B1768" s="1" t="str">
        <f t="shared" si="1"/>
        <v>32, 32, SPEAROW</v>
      </c>
    </row>
    <row r="1769" ht="12.75" customHeight="1">
      <c r="A1769" s="1" t="s">
        <v>818</v>
      </c>
      <c r="B1769" s="1" t="str">
        <f t="shared" si="1"/>
        <v>+34, 34, PONYTA</v>
      </c>
    </row>
    <row r="1770" ht="12.75" customHeight="1">
      <c r="A1770" s="2"/>
      <c r="B1770" s="1" t="str">
        <f t="shared" si="1"/>
        <v/>
      </c>
    </row>
    <row r="1771" ht="12.75" customHeight="1">
      <c r="A1771" s="1" t="s">
        <v>360</v>
      </c>
      <c r="B1771" s="1" t="str">
        <f t="shared" si="1"/>
        <v># 10%</v>
      </c>
    </row>
    <row r="1772" ht="12.75" customHeight="1">
      <c r="A1772" s="1" t="s">
        <v>819</v>
      </c>
      <c r="B1772" s="1" t="str">
        <f t="shared" si="1"/>
        <v>+36, 36, FEAROW</v>
      </c>
    </row>
    <row r="1773" ht="12.75" customHeight="1">
      <c r="A1773" s="1" t="s">
        <v>820</v>
      </c>
      <c r="B1773" s="1" t="str">
        <f t="shared" si="1"/>
        <v>+31, 31, PONYTA</v>
      </c>
    </row>
    <row r="1774" ht="12.75" customHeight="1">
      <c r="A1774" s="1" t="s">
        <v>660</v>
      </c>
      <c r="B1774" s="1" t="str">
        <f t="shared" si="1"/>
        <v>+31, 31, GEODUDE</v>
      </c>
    </row>
    <row r="1775" ht="12.75" customHeight="1">
      <c r="A1775" s="1" t="s">
        <v>821</v>
      </c>
      <c r="B1775" s="1" t="str">
        <f t="shared" si="1"/>
        <v>+31, 31, MEOWTH</v>
      </c>
    </row>
    <row r="1776" ht="12.75" customHeight="1">
      <c r="A1776" s="2"/>
      <c r="B1776" s="1" t="str">
        <f t="shared" si="1"/>
        <v/>
      </c>
    </row>
    <row r="1777" ht="12.75" customHeight="1">
      <c r="A1777" s="1" t="s">
        <v>361</v>
      </c>
      <c r="B1777" s="1" t="str">
        <f t="shared" si="1"/>
        <v># 5%</v>
      </c>
    </row>
    <row r="1778" ht="12.75" customHeight="1">
      <c r="A1778" s="1" t="s">
        <v>822</v>
      </c>
      <c r="B1778" s="1" t="str">
        <f t="shared" si="1"/>
        <v>+30, 30, SPEAROW</v>
      </c>
    </row>
    <row r="1779" ht="12.75" customHeight="1">
      <c r="A1779" s="1" t="s">
        <v>823</v>
      </c>
      <c r="B1779" s="1" t="str">
        <f t="shared" si="1"/>
        <v>+34, 34, SLOWPOKE</v>
      </c>
    </row>
    <row r="1780" ht="12.75" customHeight="1">
      <c r="A1780" s="2"/>
      <c r="B1780" s="1" t="str">
        <f t="shared" si="1"/>
        <v/>
      </c>
    </row>
    <row r="1781" ht="12.75" customHeight="1">
      <c r="A1781" s="1" t="s">
        <v>362</v>
      </c>
      <c r="B1781" s="1" t="str">
        <f t="shared" si="1"/>
        <v># 4%</v>
      </c>
    </row>
    <row r="1782" ht="12.75" customHeight="1">
      <c r="A1782" s="1" t="s">
        <v>824</v>
      </c>
      <c r="B1782" s="1" t="str">
        <f t="shared" si="1"/>
        <v>+37, 37, RAPIDASH</v>
      </c>
    </row>
    <row r="1783" ht="12.75" customHeight="1">
      <c r="A1783" s="1" t="s">
        <v>825</v>
      </c>
      <c r="B1783" s="1" t="str">
        <f t="shared" si="1"/>
        <v>+37, 37, PERSIAN</v>
      </c>
    </row>
    <row r="1784" ht="12.75" customHeight="1">
      <c r="A1784" s="2"/>
      <c r="B1784" s="1" t="str">
        <f t="shared" si="1"/>
        <v/>
      </c>
    </row>
    <row r="1785" ht="12.75" customHeight="1">
      <c r="A1785" s="1" t="s">
        <v>363</v>
      </c>
      <c r="B1785" s="1" t="str">
        <f t="shared" si="1"/>
        <v># 1%</v>
      </c>
    </row>
    <row r="1786" ht="12.75" customHeight="1">
      <c r="A1786" s="1" t="s">
        <v>826</v>
      </c>
      <c r="B1786" s="1" t="str">
        <f t="shared" si="1"/>
        <v>+40, 40, RAPIDASH</v>
      </c>
    </row>
    <row r="1787" ht="12.75" customHeight="1">
      <c r="A1787" s="1" t="s">
        <v>2674</v>
      </c>
      <c r="B1787" s="1" t="str">
        <f t="shared" si="1"/>
        <v>+40, 40, PERSIAN</v>
      </c>
    </row>
    <row r="1788" ht="12.75" customHeight="1">
      <c r="A1788" s="1" t="s">
        <v>2651</v>
      </c>
      <c r="B1788" s="1" t="str">
        <f t="shared" si="1"/>
        <v>2, 5, 20, TENTACOOL</v>
      </c>
    </row>
    <row r="1789" ht="12.75" customHeight="1">
      <c r="A1789" s="1" t="s">
        <v>770</v>
      </c>
      <c r="B1789" s="1" t="str">
        <f t="shared" si="1"/>
        <v>+20, 35, TENTACOOL</v>
      </c>
    </row>
    <row r="1790" ht="12.75" customHeight="1">
      <c r="A1790" s="1" t="s">
        <v>828</v>
      </c>
      <c r="B1790" s="1" t="str">
        <f t="shared" si="1"/>
        <v>+35, 40, TENTACOOL</v>
      </c>
    </row>
    <row r="1791" ht="12.75" customHeight="1">
      <c r="A1791" s="1" t="s">
        <v>829</v>
      </c>
      <c r="B1791" s="1" t="str">
        <f t="shared" si="1"/>
        <v>+35, 40, TENTACRUEL</v>
      </c>
    </row>
    <row r="1792" ht="12.75" customHeight="1">
      <c r="A1792" s="1" t="s">
        <v>2675</v>
      </c>
      <c r="B1792" s="1" t="str">
        <f t="shared" si="1"/>
        <v>+35, 40, TENTACRUEL</v>
      </c>
    </row>
    <row r="1793" ht="12.75" customHeight="1">
      <c r="A1793" s="1" t="s">
        <v>2676</v>
      </c>
      <c r="B1793" s="1" t="str">
        <f t="shared" si="1"/>
        <v>25, 5, 20, GEODUDE</v>
      </c>
    </row>
    <row r="1794" ht="12.75" customHeight="1">
      <c r="A1794" s="1" t="s">
        <v>576</v>
      </c>
      <c r="B1794" s="1" t="str">
        <f t="shared" si="1"/>
        <v>+10, 20, GEODUDE</v>
      </c>
    </row>
    <row r="1795" ht="12.75" customHeight="1">
      <c r="A1795" s="1" t="s">
        <v>577</v>
      </c>
      <c r="B1795" s="1" t="str">
        <f t="shared" si="1"/>
        <v>+15, 30, GEODUDE</v>
      </c>
    </row>
    <row r="1796" ht="12.75" customHeight="1">
      <c r="A1796" s="1" t="s">
        <v>578</v>
      </c>
      <c r="B1796" s="1" t="str">
        <f t="shared" si="1"/>
        <v>+25, 40, GRAVELER</v>
      </c>
    </row>
    <row r="1797" ht="12.75" customHeight="1">
      <c r="A1797" s="1" t="s">
        <v>2677</v>
      </c>
      <c r="B1797" s="1" t="str">
        <f t="shared" si="1"/>
        <v>+30, 40, GRAVELER</v>
      </c>
    </row>
    <row r="1798" ht="12.75" customHeight="1">
      <c r="A1798" s="1" t="s">
        <v>2572</v>
      </c>
      <c r="B1798" s="1" t="str">
        <f t="shared" si="1"/>
        <v>20, # old rod:</v>
      </c>
    </row>
    <row r="1799" ht="12.75" customHeight="1">
      <c r="A1799" s="1" t="s">
        <v>417</v>
      </c>
      <c r="B1799" s="1" t="str">
        <f t="shared" si="1"/>
        <v>5, 5, MAGIKARP</v>
      </c>
    </row>
    <row r="1800" ht="12.75" customHeight="1">
      <c r="A1800" s="1" t="s">
        <v>418</v>
      </c>
      <c r="B1800" s="1" t="str">
        <f t="shared" si="1"/>
        <v>+5, 5, MAGIKARP</v>
      </c>
    </row>
    <row r="1801" ht="12.75" customHeight="1">
      <c r="A1801" s="2"/>
      <c r="B1801" s="1" t="str">
        <f t="shared" si="1"/>
        <v/>
      </c>
    </row>
    <row r="1802" ht="12.75" customHeight="1">
      <c r="A1802" s="1" t="s">
        <v>419</v>
      </c>
      <c r="B1802" s="1" t="str">
        <f t="shared" si="1"/>
        <v># good rod:</v>
      </c>
    </row>
    <row r="1803" ht="12.75" customHeight="1">
      <c r="A1803" s="1" t="s">
        <v>420</v>
      </c>
      <c r="B1803" s="1" t="str">
        <f t="shared" si="1"/>
        <v>+5, 15, KRABBY</v>
      </c>
    </row>
    <row r="1804" ht="12.75" customHeight="1">
      <c r="A1804" s="1" t="s">
        <v>421</v>
      </c>
      <c r="B1804" s="1" t="str">
        <f t="shared" si="1"/>
        <v>+5, 15, MAGIKARP</v>
      </c>
    </row>
    <row r="1805" ht="12.75" customHeight="1">
      <c r="A1805" s="1" t="s">
        <v>420</v>
      </c>
      <c r="B1805" s="1" t="str">
        <f t="shared" si="1"/>
        <v>+5, 15, KRABBY</v>
      </c>
    </row>
    <row r="1806" ht="12.75" customHeight="1">
      <c r="A1806" s="2"/>
      <c r="B1806" s="1" t="str">
        <f t="shared" si="1"/>
        <v/>
      </c>
    </row>
    <row r="1807" ht="12.75" customHeight="1">
      <c r="A1807" s="1" t="s">
        <v>423</v>
      </c>
      <c r="B1807" s="1" t="str">
        <f t="shared" si="1"/>
        <v># super rod:</v>
      </c>
    </row>
    <row r="1808" ht="12.75" customHeight="1">
      <c r="A1808" s="1" t="s">
        <v>424</v>
      </c>
      <c r="B1808" s="1" t="str">
        <f t="shared" si="1"/>
        <v>+15, 25, KRABBY</v>
      </c>
    </row>
    <row r="1809" ht="12.75" customHeight="1">
      <c r="A1809" s="1" t="s">
        <v>424</v>
      </c>
      <c r="B1809" s="1" t="str">
        <f t="shared" si="1"/>
        <v>+15, 25, KRABBY</v>
      </c>
    </row>
    <row r="1810" ht="12.75" customHeight="1">
      <c r="A1810" s="1" t="s">
        <v>426</v>
      </c>
      <c r="B1810" s="1" t="str">
        <f t="shared" si="1"/>
        <v>+15, 25, GYARADOS</v>
      </c>
    </row>
    <row r="1811" ht="12.75" customHeight="1">
      <c r="A1811" s="1" t="s">
        <v>774</v>
      </c>
      <c r="B1811" s="1" t="str">
        <f t="shared" si="1"/>
        <v>+25, 35, KINGLER</v>
      </c>
    </row>
    <row r="1812" ht="12.75" customHeight="1">
      <c r="A1812" s="1" t="s">
        <v>2552</v>
      </c>
      <c r="B1812" s="1" t="str">
        <f t="shared" si="1"/>
        <v>+25, 35, SLOWPOKE</v>
      </c>
    </row>
    <row r="1813" ht="12.75" customHeight="1">
      <c r="A1813" s="1" t="s">
        <v>2539</v>
      </c>
      <c r="B1813" s="1" t="str">
        <f t="shared" si="1"/>
        <v>NEW ROUTE</v>
      </c>
    </row>
    <row r="1814" ht="12.75" customHeight="1">
      <c r="A1814" s="1" t="s">
        <v>2678</v>
      </c>
      <c r="B1814" s="1" t="str">
        <f t="shared" si="1"/>
        <v>+3, 46, 0,</v>
      </c>
    </row>
    <row r="1815" ht="12.75" customHeight="1">
      <c r="A1815" s="1" t="s">
        <v>2568</v>
      </c>
      <c r="B1815" s="1" t="str">
        <f t="shared" si="1"/>
        <v>21, # 20%</v>
      </c>
    </row>
    <row r="1816" ht="12.75" customHeight="1">
      <c r="A1816" s="1" t="s">
        <v>817</v>
      </c>
      <c r="B1816" s="1" t="str">
        <f t="shared" si="1"/>
        <v>32, 32, SPEAROW</v>
      </c>
    </row>
    <row r="1817" ht="12.75" customHeight="1">
      <c r="A1817" s="1" t="s">
        <v>833</v>
      </c>
      <c r="B1817" s="1" t="str">
        <f t="shared" si="1"/>
        <v>+33, 33, TANGELA</v>
      </c>
    </row>
    <row r="1818" ht="12.75" customHeight="1">
      <c r="A1818" s="2"/>
      <c r="B1818" s="1" t="str">
        <f t="shared" si="1"/>
        <v/>
      </c>
    </row>
    <row r="1819" ht="12.75" customHeight="1">
      <c r="A1819" s="1" t="s">
        <v>360</v>
      </c>
      <c r="B1819" s="1" t="str">
        <f t="shared" si="1"/>
        <v># 10%</v>
      </c>
    </row>
    <row r="1820" ht="12.75" customHeight="1">
      <c r="A1820" s="1" t="s">
        <v>834</v>
      </c>
      <c r="B1820" s="1" t="str">
        <f t="shared" si="1"/>
        <v>+31, 31, SPEAROW</v>
      </c>
    </row>
    <row r="1821" ht="12.75" customHeight="1">
      <c r="A1821" s="1" t="s">
        <v>835</v>
      </c>
      <c r="B1821" s="1" t="str">
        <f t="shared" si="1"/>
        <v>+35, 35, TANGELA</v>
      </c>
    </row>
    <row r="1822" ht="12.75" customHeight="1">
      <c r="A1822" s="1" t="s">
        <v>819</v>
      </c>
      <c r="B1822" s="1" t="str">
        <f t="shared" si="1"/>
        <v>+36, 36, FEAROW</v>
      </c>
    </row>
    <row r="1823" ht="12.75" customHeight="1">
      <c r="A1823" s="1" t="s">
        <v>821</v>
      </c>
      <c r="B1823" s="1" t="str">
        <f t="shared" si="1"/>
        <v>+31, 31, MEOWTH</v>
      </c>
    </row>
    <row r="1824" ht="12.75" customHeight="1">
      <c r="A1824" s="2"/>
      <c r="B1824" s="1" t="str">
        <f t="shared" si="1"/>
        <v/>
      </c>
    </row>
    <row r="1825" ht="12.75" customHeight="1">
      <c r="A1825" s="1" t="s">
        <v>361</v>
      </c>
      <c r="B1825" s="1" t="str">
        <f t="shared" si="1"/>
        <v># 5%</v>
      </c>
    </row>
    <row r="1826" ht="12.75" customHeight="1">
      <c r="A1826" s="1" t="s">
        <v>646</v>
      </c>
      <c r="B1826" s="1" t="str">
        <f t="shared" si="1"/>
        <v>+38, 38, FEAROW</v>
      </c>
    </row>
    <row r="1827" ht="12.75" customHeight="1">
      <c r="A1827" s="1" t="s">
        <v>727</v>
      </c>
      <c r="B1827" s="1" t="str">
        <f t="shared" si="1"/>
        <v>+31, 31, SLOWPOKE</v>
      </c>
    </row>
    <row r="1828" ht="12.75" customHeight="1">
      <c r="A1828" s="2"/>
      <c r="B1828" s="1" t="str">
        <f t="shared" si="1"/>
        <v/>
      </c>
    </row>
    <row r="1829" ht="12.75" customHeight="1">
      <c r="A1829" s="1" t="s">
        <v>362</v>
      </c>
      <c r="B1829" s="1" t="str">
        <f t="shared" si="1"/>
        <v># 4%</v>
      </c>
    </row>
    <row r="1830" ht="12.75" customHeight="1">
      <c r="A1830" s="1" t="s">
        <v>652</v>
      </c>
      <c r="B1830" s="1" t="str">
        <f t="shared" si="1"/>
        <v>+40, 40, FEAROW</v>
      </c>
    </row>
    <row r="1831" ht="12.75" customHeight="1">
      <c r="A1831" s="1" t="s">
        <v>825</v>
      </c>
      <c r="B1831" s="1" t="str">
        <f t="shared" si="1"/>
        <v>+37, 37, PERSIAN</v>
      </c>
    </row>
    <row r="1832" ht="12.75" customHeight="1">
      <c r="A1832" s="2"/>
      <c r="B1832" s="1" t="str">
        <f t="shared" si="1"/>
        <v/>
      </c>
    </row>
    <row r="1833" ht="12.75" customHeight="1">
      <c r="A1833" s="1" t="s">
        <v>363</v>
      </c>
      <c r="B1833" s="1" t="str">
        <f t="shared" si="1"/>
        <v># 1%</v>
      </c>
    </row>
    <row r="1834" ht="12.75" customHeight="1">
      <c r="A1834" s="1" t="s">
        <v>652</v>
      </c>
      <c r="B1834" s="1" t="str">
        <f t="shared" si="1"/>
        <v>+40, 40, FEAROW</v>
      </c>
    </row>
    <row r="1835" ht="12.75" customHeight="1">
      <c r="A1835" s="1" t="s">
        <v>2674</v>
      </c>
      <c r="B1835" s="1" t="str">
        <f t="shared" si="1"/>
        <v>+40, 40, PERSIAN</v>
      </c>
    </row>
    <row r="1836" ht="12.75" customHeight="1">
      <c r="A1836" s="1" t="s">
        <v>2651</v>
      </c>
      <c r="B1836" s="1" t="str">
        <f t="shared" si="1"/>
        <v>2, 5, 20, TENTACOOL</v>
      </c>
    </row>
    <row r="1837" ht="12.75" customHeight="1">
      <c r="A1837" s="1" t="s">
        <v>770</v>
      </c>
      <c r="B1837" s="1" t="str">
        <f t="shared" si="1"/>
        <v>+20, 35, TENTACOOL</v>
      </c>
    </row>
    <row r="1838" ht="12.75" customHeight="1">
      <c r="A1838" s="1" t="s">
        <v>828</v>
      </c>
      <c r="B1838" s="1" t="str">
        <f t="shared" si="1"/>
        <v>+35, 40, TENTACOOL</v>
      </c>
    </row>
    <row r="1839" ht="12.75" customHeight="1">
      <c r="A1839" s="1" t="s">
        <v>829</v>
      </c>
      <c r="B1839" s="1" t="str">
        <f t="shared" si="1"/>
        <v>+35, 40, TENTACRUEL</v>
      </c>
    </row>
    <row r="1840" ht="12.75" customHeight="1">
      <c r="A1840" s="1" t="s">
        <v>2675</v>
      </c>
      <c r="B1840" s="1" t="str">
        <f t="shared" si="1"/>
        <v>+35, 40, TENTACRUEL</v>
      </c>
    </row>
    <row r="1841" ht="12.75" customHeight="1">
      <c r="A1841" s="1" t="s">
        <v>2572</v>
      </c>
      <c r="B1841" s="1" t="str">
        <f t="shared" si="1"/>
        <v>20, # old rod:</v>
      </c>
    </row>
    <row r="1842" ht="12.75" customHeight="1">
      <c r="A1842" s="1" t="s">
        <v>417</v>
      </c>
      <c r="B1842" s="1" t="str">
        <f t="shared" si="1"/>
        <v>5, 5, MAGIKARP</v>
      </c>
    </row>
    <row r="1843" ht="12.75" customHeight="1">
      <c r="A1843" s="1" t="s">
        <v>418</v>
      </c>
      <c r="B1843" s="1" t="str">
        <f t="shared" si="1"/>
        <v>+5, 5, MAGIKARP</v>
      </c>
    </row>
    <row r="1844" ht="12.75" customHeight="1">
      <c r="A1844" s="2"/>
      <c r="B1844" s="1" t="str">
        <f t="shared" si="1"/>
        <v/>
      </c>
    </row>
    <row r="1845" ht="12.75" customHeight="1">
      <c r="A1845" s="1" t="s">
        <v>419</v>
      </c>
      <c r="B1845" s="1" t="str">
        <f t="shared" si="1"/>
        <v># good rod:</v>
      </c>
    </row>
    <row r="1846" ht="12.75" customHeight="1">
      <c r="A1846" s="1" t="s">
        <v>420</v>
      </c>
      <c r="B1846" s="1" t="str">
        <f t="shared" si="1"/>
        <v>+5, 15, KRABBY</v>
      </c>
    </row>
    <row r="1847" ht="12.75" customHeight="1">
      <c r="A1847" s="1" t="s">
        <v>421</v>
      </c>
      <c r="B1847" s="1" t="str">
        <f t="shared" si="1"/>
        <v>+5, 15, MAGIKARP</v>
      </c>
    </row>
    <row r="1848" ht="12.75" customHeight="1">
      <c r="A1848" s="1" t="s">
        <v>420</v>
      </c>
      <c r="B1848" s="1" t="str">
        <f t="shared" si="1"/>
        <v>+5, 15, KRABBY</v>
      </c>
    </row>
    <row r="1849" ht="12.75" customHeight="1">
      <c r="A1849" s="2"/>
      <c r="B1849" s="1" t="str">
        <f t="shared" si="1"/>
        <v/>
      </c>
    </row>
    <row r="1850" ht="12.75" customHeight="1">
      <c r="A1850" s="1" t="s">
        <v>423</v>
      </c>
      <c r="B1850" s="1" t="str">
        <f t="shared" si="1"/>
        <v># super rod:</v>
      </c>
    </row>
    <row r="1851" ht="12.75" customHeight="1">
      <c r="A1851" s="1" t="s">
        <v>424</v>
      </c>
      <c r="B1851" s="1" t="str">
        <f t="shared" si="1"/>
        <v>+15, 25, KRABBY</v>
      </c>
    </row>
    <row r="1852" ht="12.75" customHeight="1">
      <c r="A1852" s="1" t="s">
        <v>424</v>
      </c>
      <c r="B1852" s="1" t="str">
        <f t="shared" si="1"/>
        <v>+15, 25, KRABBY</v>
      </c>
    </row>
    <row r="1853" ht="12.75" customHeight="1">
      <c r="A1853" s="1" t="s">
        <v>426</v>
      </c>
      <c r="B1853" s="1" t="str">
        <f t="shared" si="1"/>
        <v>+15, 25, GYARADOS</v>
      </c>
    </row>
    <row r="1854" ht="12.75" customHeight="1">
      <c r="A1854" s="1" t="s">
        <v>774</v>
      </c>
      <c r="B1854" s="1" t="str">
        <f t="shared" si="1"/>
        <v>+25, 35, KINGLER</v>
      </c>
    </row>
    <row r="1855" ht="12.75" customHeight="1">
      <c r="A1855" s="1" t="s">
        <v>2552</v>
      </c>
      <c r="B1855" s="1" t="str">
        <f t="shared" si="1"/>
        <v>+25, 35, SLOWPOKE</v>
      </c>
    </row>
    <row r="1856" ht="12.75" customHeight="1">
      <c r="A1856" s="1" t="s">
        <v>2539</v>
      </c>
      <c r="B1856" s="1" t="str">
        <f t="shared" si="1"/>
        <v>NEW ROUTE</v>
      </c>
    </row>
    <row r="1857" ht="12.75" customHeight="1">
      <c r="A1857" s="1" t="s">
        <v>2679</v>
      </c>
      <c r="B1857" s="1" t="str">
        <f t="shared" si="1"/>
        <v>+3, 47, 0,</v>
      </c>
    </row>
    <row r="1858" ht="12.75" customHeight="1">
      <c r="A1858" s="1" t="s">
        <v>2568</v>
      </c>
      <c r="B1858" s="1" t="str">
        <f t="shared" si="1"/>
        <v>21, # 20%</v>
      </c>
    </row>
    <row r="1859" ht="12.75" customHeight="1">
      <c r="A1859" s="1" t="s">
        <v>838</v>
      </c>
      <c r="B1859" s="1" t="str">
        <f t="shared" si="1"/>
        <v>31, 31, SPEAROW</v>
      </c>
    </row>
    <row r="1860" ht="12.75" customHeight="1">
      <c r="A1860" s="1" t="s">
        <v>723</v>
      </c>
      <c r="B1860" s="1" t="str">
        <f t="shared" si="1"/>
        <v>+30, 30, BELLSPROUT</v>
      </c>
    </row>
    <row r="1861" ht="12.75" customHeight="1">
      <c r="A1861" s="2"/>
      <c r="B1861" s="1" t="str">
        <f t="shared" si="1"/>
        <v/>
      </c>
    </row>
    <row r="1862" ht="12.75" customHeight="1">
      <c r="A1862" s="1" t="s">
        <v>360</v>
      </c>
      <c r="B1862" s="1" t="str">
        <f t="shared" si="1"/>
        <v># 10%</v>
      </c>
    </row>
    <row r="1863" ht="12.75" customHeight="1">
      <c r="A1863" s="1" t="s">
        <v>839</v>
      </c>
      <c r="B1863" s="1" t="str">
        <f t="shared" si="1"/>
        <v>+32, 32, BELLSPROUT</v>
      </c>
    </row>
    <row r="1864" ht="12.75" customHeight="1">
      <c r="A1864" s="1" t="s">
        <v>840</v>
      </c>
      <c r="B1864" s="1" t="str">
        <f t="shared" si="1"/>
        <v>+36, 36, WEEPINBELL</v>
      </c>
    </row>
    <row r="1865" ht="12.75" customHeight="1">
      <c r="A1865" s="1" t="s">
        <v>819</v>
      </c>
      <c r="B1865" s="1" t="str">
        <f t="shared" si="1"/>
        <v>+36, 36, FEAROW</v>
      </c>
    </row>
    <row r="1866" ht="12.75" customHeight="1">
      <c r="A1866" s="1" t="s">
        <v>821</v>
      </c>
      <c r="B1866" s="1" t="str">
        <f t="shared" si="1"/>
        <v>+31, 31, MEOWTH</v>
      </c>
    </row>
    <row r="1867" ht="12.75" customHeight="1">
      <c r="A1867" s="2"/>
      <c r="B1867" s="1" t="str">
        <f t="shared" si="1"/>
        <v/>
      </c>
    </row>
    <row r="1868" ht="12.75" customHeight="1">
      <c r="A1868" s="1" t="s">
        <v>361</v>
      </c>
      <c r="B1868" s="1" t="str">
        <f t="shared" si="1"/>
        <v># 5%</v>
      </c>
    </row>
    <row r="1869" ht="12.75" customHeight="1">
      <c r="A1869" s="1" t="s">
        <v>841</v>
      </c>
      <c r="B1869" s="1" t="str">
        <f t="shared" si="1"/>
        <v>+38, 38, WEEPINBELL</v>
      </c>
    </row>
    <row r="1870" ht="12.75" customHeight="1">
      <c r="A1870" s="1" t="s">
        <v>727</v>
      </c>
      <c r="B1870" s="1" t="str">
        <f t="shared" si="1"/>
        <v>+31, 31, SLOWPOKE</v>
      </c>
    </row>
    <row r="1871" ht="12.75" customHeight="1">
      <c r="A1871" s="2"/>
      <c r="B1871" s="1" t="str">
        <f t="shared" si="1"/>
        <v/>
      </c>
    </row>
    <row r="1872" ht="12.75" customHeight="1">
      <c r="A1872" s="1" t="s">
        <v>362</v>
      </c>
      <c r="B1872" s="1" t="str">
        <f t="shared" si="1"/>
        <v># 4%</v>
      </c>
    </row>
    <row r="1873" ht="12.75" customHeight="1">
      <c r="A1873" s="1" t="s">
        <v>842</v>
      </c>
      <c r="B1873" s="1" t="str">
        <f t="shared" si="1"/>
        <v>+37, 37, SLOWBRO</v>
      </c>
    </row>
    <row r="1874" ht="12.75" customHeight="1">
      <c r="A1874" s="1" t="s">
        <v>825</v>
      </c>
      <c r="B1874" s="1" t="str">
        <f t="shared" si="1"/>
        <v>+37, 37, PERSIAN</v>
      </c>
    </row>
    <row r="1875" ht="12.75" customHeight="1">
      <c r="A1875" s="2"/>
      <c r="B1875" s="1" t="str">
        <f t="shared" si="1"/>
        <v/>
      </c>
    </row>
    <row r="1876" ht="12.75" customHeight="1">
      <c r="A1876" s="1" t="s">
        <v>363</v>
      </c>
      <c r="B1876" s="1" t="str">
        <f t="shared" si="1"/>
        <v># 1%</v>
      </c>
    </row>
    <row r="1877" ht="12.75" customHeight="1">
      <c r="A1877" s="1" t="s">
        <v>843</v>
      </c>
      <c r="B1877" s="1" t="str">
        <f t="shared" si="1"/>
        <v>+40, 40, SLOWBRO</v>
      </c>
    </row>
    <row r="1878" ht="12.75" customHeight="1">
      <c r="A1878" s="1" t="s">
        <v>2674</v>
      </c>
      <c r="B1878" s="1" t="str">
        <f t="shared" si="1"/>
        <v>+40, 40, PERSIAN</v>
      </c>
    </row>
    <row r="1879" ht="12.75" customHeight="1">
      <c r="A1879" s="1" t="s">
        <v>2641</v>
      </c>
      <c r="B1879" s="1" t="str">
        <f t="shared" si="1"/>
        <v>2, 5, 20, SLOWPOKE</v>
      </c>
    </row>
    <row r="1880" ht="12.75" customHeight="1">
      <c r="A1880" s="1" t="s">
        <v>732</v>
      </c>
      <c r="B1880" s="1" t="str">
        <f t="shared" si="1"/>
        <v>+20, 35, SLOWPOKE</v>
      </c>
    </row>
    <row r="1881" ht="12.75" customHeight="1">
      <c r="A1881" s="1" t="s">
        <v>733</v>
      </c>
      <c r="B1881" s="1" t="str">
        <f t="shared" si="1"/>
        <v>+35, 40, SLOWPOKE</v>
      </c>
    </row>
    <row r="1882" ht="12.75" customHeight="1">
      <c r="A1882" s="1" t="s">
        <v>734</v>
      </c>
      <c r="B1882" s="1" t="str">
        <f t="shared" si="1"/>
        <v>+35, 40, SLOWBRO</v>
      </c>
    </row>
    <row r="1883" ht="12.75" customHeight="1">
      <c r="A1883" s="1" t="s">
        <v>2642</v>
      </c>
      <c r="B1883" s="1" t="str">
        <f t="shared" si="1"/>
        <v>+35, 40, SLOWBRO</v>
      </c>
    </row>
    <row r="1884" ht="12.75" customHeight="1">
      <c r="A1884" s="1" t="s">
        <v>2572</v>
      </c>
      <c r="B1884" s="1" t="str">
        <f t="shared" si="1"/>
        <v>20, # old rod:</v>
      </c>
    </row>
    <row r="1885" ht="12.75" customHeight="1">
      <c r="A1885" s="1" t="s">
        <v>417</v>
      </c>
      <c r="B1885" s="1" t="str">
        <f t="shared" si="1"/>
        <v>5, 5, MAGIKARP</v>
      </c>
    </row>
    <row r="1886" ht="12.75" customHeight="1">
      <c r="A1886" s="1" t="s">
        <v>418</v>
      </c>
      <c r="B1886" s="1" t="str">
        <f t="shared" si="1"/>
        <v>+5, 5, MAGIKARP</v>
      </c>
    </row>
    <row r="1887" ht="12.75" customHeight="1">
      <c r="A1887" s="2"/>
      <c r="B1887" s="1" t="str">
        <f t="shared" si="1"/>
        <v/>
      </c>
    </row>
    <row r="1888" ht="12.75" customHeight="1">
      <c r="A1888" s="1" t="s">
        <v>419</v>
      </c>
      <c r="B1888" s="1" t="str">
        <f t="shared" si="1"/>
        <v># good rod:</v>
      </c>
    </row>
    <row r="1889" ht="12.75" customHeight="1">
      <c r="A1889" s="1" t="s">
        <v>737</v>
      </c>
      <c r="B1889" s="1" t="str">
        <f t="shared" si="1"/>
        <v>+5, 15, POLIWAG</v>
      </c>
    </row>
    <row r="1890" ht="12.75" customHeight="1">
      <c r="A1890" s="1" t="s">
        <v>421</v>
      </c>
      <c r="B1890" s="1" t="str">
        <f t="shared" si="1"/>
        <v>+5, 15, MAGIKARP</v>
      </c>
    </row>
    <row r="1891" ht="12.75" customHeight="1">
      <c r="A1891" s="1" t="s">
        <v>736</v>
      </c>
      <c r="B1891" s="1" t="str">
        <f t="shared" si="1"/>
        <v>+5, 15, GOLDEEN</v>
      </c>
    </row>
    <row r="1892" ht="12.75" customHeight="1">
      <c r="A1892" s="2"/>
      <c r="B1892" s="1" t="str">
        <f t="shared" si="1"/>
        <v/>
      </c>
    </row>
    <row r="1893" ht="12.75" customHeight="1">
      <c r="A1893" s="1" t="s">
        <v>423</v>
      </c>
      <c r="B1893" s="1" t="str">
        <f t="shared" si="1"/>
        <v># super rod:</v>
      </c>
    </row>
    <row r="1894" ht="12.75" customHeight="1">
      <c r="A1894" s="1" t="s">
        <v>757</v>
      </c>
      <c r="B1894" s="1" t="str">
        <f t="shared" si="1"/>
        <v>+15, 25, POLIWAG</v>
      </c>
    </row>
    <row r="1895" ht="12.75" customHeight="1">
      <c r="A1895" s="1" t="s">
        <v>758</v>
      </c>
      <c r="B1895" s="1" t="str">
        <f t="shared" si="1"/>
        <v>+20, 30, POLIWHIRL</v>
      </c>
    </row>
    <row r="1896" ht="12.75" customHeight="1">
      <c r="A1896" s="1" t="s">
        <v>426</v>
      </c>
      <c r="B1896" s="1" t="str">
        <f t="shared" si="1"/>
        <v>+15, 25, GYARADOS</v>
      </c>
    </row>
    <row r="1897" ht="12.75" customHeight="1">
      <c r="A1897" s="1" t="s">
        <v>740</v>
      </c>
      <c r="B1897" s="1" t="str">
        <f t="shared" si="1"/>
        <v>+15, 25, SLOWPOKE</v>
      </c>
    </row>
    <row r="1898" ht="12.75" customHeight="1">
      <c r="A1898" s="1" t="s">
        <v>2552</v>
      </c>
      <c r="B1898" s="1" t="str">
        <f t="shared" si="1"/>
        <v>+25, 35, SLOWPOKE</v>
      </c>
    </row>
    <row r="1899" ht="12.75" customHeight="1">
      <c r="A1899" s="1" t="s">
        <v>2539</v>
      </c>
      <c r="B1899" s="1" t="str">
        <f t="shared" si="1"/>
        <v>NEW ROUTE</v>
      </c>
    </row>
    <row r="1900" ht="12.75" customHeight="1">
      <c r="A1900" s="1" t="s">
        <v>2680</v>
      </c>
      <c r="B1900" s="1" t="str">
        <f t="shared" si="1"/>
        <v>+3, 48, 0,</v>
      </c>
    </row>
    <row r="1901" ht="12.75" customHeight="1">
      <c r="A1901" s="1" t="s">
        <v>2568</v>
      </c>
      <c r="B1901" s="1" t="str">
        <f t="shared" si="1"/>
        <v>21, # 20%</v>
      </c>
    </row>
    <row r="1902" ht="12.75" customHeight="1">
      <c r="A1902" s="1" t="s">
        <v>846</v>
      </c>
      <c r="B1902" s="1" t="str">
        <f t="shared" si="1"/>
        <v>32, 32, PIDGEY</v>
      </c>
    </row>
    <row r="1903" ht="12.75" customHeight="1">
      <c r="A1903" s="1" t="s">
        <v>847</v>
      </c>
      <c r="B1903" s="1" t="str">
        <f t="shared" si="1"/>
        <v>+31, 31, BELLSPROUT</v>
      </c>
    </row>
    <row r="1904" ht="12.75" customHeight="1">
      <c r="A1904" s="2"/>
      <c r="B1904" s="1" t="str">
        <f t="shared" si="1"/>
        <v/>
      </c>
    </row>
    <row r="1905" ht="12.75" customHeight="1">
      <c r="A1905" s="1" t="s">
        <v>360</v>
      </c>
      <c r="B1905" s="1" t="str">
        <f t="shared" si="1"/>
        <v># 10%</v>
      </c>
    </row>
    <row r="1906" ht="12.75" customHeight="1">
      <c r="A1906" s="1" t="s">
        <v>848</v>
      </c>
      <c r="B1906" s="1" t="str">
        <f t="shared" si="1"/>
        <v>+29, 29, PIDGEY</v>
      </c>
    </row>
    <row r="1907" ht="12.75" customHeight="1">
      <c r="A1907" s="1" t="s">
        <v>840</v>
      </c>
      <c r="B1907" s="1" t="str">
        <f t="shared" si="1"/>
        <v>+36, 36, WEEPINBELL</v>
      </c>
    </row>
    <row r="1908" ht="12.75" customHeight="1">
      <c r="A1908" s="1" t="s">
        <v>849</v>
      </c>
      <c r="B1908" s="1" t="str">
        <f t="shared" si="1"/>
        <v>+34, 34, PIDGEOTTO</v>
      </c>
    </row>
    <row r="1909" ht="12.75" customHeight="1">
      <c r="A1909" s="1" t="s">
        <v>821</v>
      </c>
      <c r="B1909" s="1" t="str">
        <f t="shared" si="1"/>
        <v>+31, 31, MEOWTH</v>
      </c>
    </row>
    <row r="1910" ht="12.75" customHeight="1">
      <c r="A1910" s="2"/>
      <c r="B1910" s="1" t="str">
        <f t="shared" si="1"/>
        <v/>
      </c>
    </row>
    <row r="1911" ht="12.75" customHeight="1">
      <c r="A1911" s="1" t="s">
        <v>361</v>
      </c>
      <c r="B1911" s="1" t="str">
        <f t="shared" si="1"/>
        <v># 5%</v>
      </c>
    </row>
    <row r="1912" ht="12.75" customHeight="1">
      <c r="A1912" s="1" t="s">
        <v>724</v>
      </c>
      <c r="B1912" s="1" t="str">
        <f t="shared" si="1"/>
        <v>+34, 34, VENONAT</v>
      </c>
    </row>
    <row r="1913" ht="12.75" customHeight="1">
      <c r="A1913" s="1" t="s">
        <v>727</v>
      </c>
      <c r="B1913" s="1" t="str">
        <f t="shared" si="1"/>
        <v>+31, 31, SLOWPOKE</v>
      </c>
    </row>
    <row r="1914" ht="12.75" customHeight="1">
      <c r="A1914" s="2"/>
      <c r="B1914" s="1" t="str">
        <f t="shared" si="1"/>
        <v/>
      </c>
    </row>
    <row r="1915" ht="12.75" customHeight="1">
      <c r="A1915" s="1" t="s">
        <v>362</v>
      </c>
      <c r="B1915" s="1" t="str">
        <f t="shared" si="1"/>
        <v># 4%</v>
      </c>
    </row>
    <row r="1916" ht="12.75" customHeight="1">
      <c r="A1916" s="1" t="s">
        <v>850</v>
      </c>
      <c r="B1916" s="1" t="str">
        <f t="shared" si="1"/>
        <v>+37, 37, PIDGEOTTO</v>
      </c>
    </row>
    <row r="1917" ht="12.75" customHeight="1">
      <c r="A1917" s="1" t="s">
        <v>825</v>
      </c>
      <c r="B1917" s="1" t="str">
        <f t="shared" si="1"/>
        <v>+37, 37, PERSIAN</v>
      </c>
    </row>
    <row r="1918" ht="12.75" customHeight="1">
      <c r="A1918" s="2"/>
      <c r="B1918" s="1" t="str">
        <f t="shared" si="1"/>
        <v/>
      </c>
    </row>
    <row r="1919" ht="12.75" customHeight="1">
      <c r="A1919" s="1" t="s">
        <v>363</v>
      </c>
      <c r="B1919" s="1" t="str">
        <f t="shared" si="1"/>
        <v># 1%</v>
      </c>
    </row>
    <row r="1920" ht="12.75" customHeight="1">
      <c r="A1920" s="1" t="s">
        <v>851</v>
      </c>
      <c r="B1920" s="1" t="str">
        <f t="shared" si="1"/>
        <v>+40, 40, PIDGEOTTO</v>
      </c>
    </row>
    <row r="1921" ht="12.75" customHeight="1">
      <c r="A1921" s="1" t="s">
        <v>2674</v>
      </c>
      <c r="B1921" s="1" t="str">
        <f t="shared" si="1"/>
        <v>+40, 40, PERSIAN</v>
      </c>
    </row>
    <row r="1922" ht="12.75" customHeight="1">
      <c r="A1922" s="1" t="s">
        <v>2651</v>
      </c>
      <c r="B1922" s="1" t="str">
        <f t="shared" si="1"/>
        <v>2, 5, 20, TENTACOOL</v>
      </c>
    </row>
    <row r="1923" ht="12.75" customHeight="1">
      <c r="A1923" s="1" t="s">
        <v>770</v>
      </c>
      <c r="B1923" s="1" t="str">
        <f t="shared" si="1"/>
        <v>+20, 35, TENTACOOL</v>
      </c>
    </row>
    <row r="1924" ht="12.75" customHeight="1">
      <c r="A1924" s="1" t="s">
        <v>828</v>
      </c>
      <c r="B1924" s="1" t="str">
        <f t="shared" si="1"/>
        <v>+35, 40, TENTACOOL</v>
      </c>
    </row>
    <row r="1925" ht="12.75" customHeight="1">
      <c r="A1925" s="1" t="s">
        <v>829</v>
      </c>
      <c r="B1925" s="1" t="str">
        <f t="shared" si="1"/>
        <v>+35, 40, TENTACRUEL</v>
      </c>
    </row>
    <row r="1926" ht="12.75" customHeight="1">
      <c r="A1926" s="1" t="s">
        <v>2675</v>
      </c>
      <c r="B1926" s="1" t="str">
        <f t="shared" si="1"/>
        <v>+35, 40, TENTACRUEL</v>
      </c>
    </row>
    <row r="1927" ht="12.75" customHeight="1">
      <c r="A1927" s="1" t="s">
        <v>2572</v>
      </c>
      <c r="B1927" s="1" t="str">
        <f t="shared" si="1"/>
        <v>20, # old rod:</v>
      </c>
    </row>
    <row r="1928" ht="12.75" customHeight="1">
      <c r="A1928" s="1" t="s">
        <v>417</v>
      </c>
      <c r="B1928" s="1" t="str">
        <f t="shared" si="1"/>
        <v>5, 5, MAGIKARP</v>
      </c>
    </row>
    <row r="1929" ht="12.75" customHeight="1">
      <c r="A1929" s="1" t="s">
        <v>418</v>
      </c>
      <c r="B1929" s="1" t="str">
        <f t="shared" si="1"/>
        <v>+5, 5, MAGIKARP</v>
      </c>
    </row>
    <row r="1930" ht="12.75" customHeight="1">
      <c r="A1930" s="2"/>
      <c r="B1930" s="1" t="str">
        <f t="shared" si="1"/>
        <v/>
      </c>
    </row>
    <row r="1931" ht="12.75" customHeight="1">
      <c r="A1931" s="1" t="s">
        <v>419</v>
      </c>
      <c r="B1931" s="1" t="str">
        <f t="shared" si="1"/>
        <v># good rod:</v>
      </c>
    </row>
    <row r="1932" ht="12.75" customHeight="1">
      <c r="A1932" s="1" t="s">
        <v>420</v>
      </c>
      <c r="B1932" s="1" t="str">
        <f t="shared" si="1"/>
        <v>+5, 15, KRABBY</v>
      </c>
    </row>
    <row r="1933" ht="12.75" customHeight="1">
      <c r="A1933" s="1" t="s">
        <v>421</v>
      </c>
      <c r="B1933" s="1" t="str">
        <f t="shared" si="1"/>
        <v>+5, 15, MAGIKARP</v>
      </c>
    </row>
    <row r="1934" ht="12.75" customHeight="1">
      <c r="A1934" s="1" t="s">
        <v>420</v>
      </c>
      <c r="B1934" s="1" t="str">
        <f t="shared" si="1"/>
        <v>+5, 15, KRABBY</v>
      </c>
    </row>
    <row r="1935" ht="12.75" customHeight="1">
      <c r="A1935" s="2"/>
      <c r="B1935" s="1" t="str">
        <f t="shared" si="1"/>
        <v/>
      </c>
    </row>
    <row r="1936" ht="12.75" customHeight="1">
      <c r="A1936" s="1" t="s">
        <v>423</v>
      </c>
      <c r="B1936" s="1" t="str">
        <f t="shared" si="1"/>
        <v># super rod:</v>
      </c>
    </row>
    <row r="1937" ht="12.75" customHeight="1">
      <c r="A1937" s="1" t="s">
        <v>424</v>
      </c>
      <c r="B1937" s="1" t="str">
        <f t="shared" si="1"/>
        <v>+15, 25, KRABBY</v>
      </c>
    </row>
    <row r="1938" ht="12.75" customHeight="1">
      <c r="A1938" s="1" t="s">
        <v>424</v>
      </c>
      <c r="B1938" s="1" t="str">
        <f t="shared" si="1"/>
        <v>+15, 25, KRABBY</v>
      </c>
    </row>
    <row r="1939" ht="12.75" customHeight="1">
      <c r="A1939" s="1" t="s">
        <v>426</v>
      </c>
      <c r="B1939" s="1" t="str">
        <f t="shared" si="1"/>
        <v>+15, 25, GYARADOS</v>
      </c>
    </row>
    <row r="1940" ht="12.75" customHeight="1">
      <c r="A1940" s="1" t="s">
        <v>774</v>
      </c>
      <c r="B1940" s="1" t="str">
        <f t="shared" si="1"/>
        <v>+25, 35, KINGLER</v>
      </c>
    </row>
    <row r="1941" ht="12.75" customHeight="1">
      <c r="A1941" s="1" t="s">
        <v>2552</v>
      </c>
      <c r="B1941" s="1" t="str">
        <f t="shared" si="1"/>
        <v>+25, 35, SLOWPOKE</v>
      </c>
    </row>
    <row r="1942" ht="12.75" customHeight="1">
      <c r="A1942" s="1" t="s">
        <v>2539</v>
      </c>
      <c r="B1942" s="1" t="str">
        <f t="shared" si="1"/>
        <v>NEW ROUTE</v>
      </c>
    </row>
    <row r="1943" ht="12.75" customHeight="1">
      <c r="A1943" s="1" t="s">
        <v>2681</v>
      </c>
      <c r="B1943" s="1" t="str">
        <f t="shared" si="1"/>
        <v>+3, 49, 0,</v>
      </c>
    </row>
    <row r="1944" ht="12.75" customHeight="1">
      <c r="A1944" s="1" t="s">
        <v>2656</v>
      </c>
      <c r="B1944" s="1" t="str">
        <f t="shared" si="1"/>
        <v>1, # 20%</v>
      </c>
    </row>
    <row r="1945" ht="12.75" customHeight="1">
      <c r="A1945" s="1" t="s">
        <v>853</v>
      </c>
      <c r="B1945" s="1" t="str">
        <f t="shared" si="1"/>
        <v>15, 15, DUNSPARCE</v>
      </c>
    </row>
    <row r="1946" ht="12.75" customHeight="1">
      <c r="A1946" s="1" t="s">
        <v>854</v>
      </c>
      <c r="B1946" s="1" t="str">
        <f t="shared" si="1"/>
        <v>+15, 15, DUNSPARCE</v>
      </c>
    </row>
    <row r="1947" ht="12.75" customHeight="1">
      <c r="A1947" s="2"/>
      <c r="B1947" s="1" t="str">
        <f t="shared" si="1"/>
        <v/>
      </c>
    </row>
    <row r="1948" ht="12.75" customHeight="1">
      <c r="A1948" s="1" t="s">
        <v>360</v>
      </c>
      <c r="B1948" s="1" t="str">
        <f t="shared" si="1"/>
        <v># 10%</v>
      </c>
    </row>
    <row r="1949" ht="12.75" customHeight="1">
      <c r="A1949" s="1" t="s">
        <v>855</v>
      </c>
      <c r="B1949" s="1" t="str">
        <f t="shared" si="1"/>
        <v>+10, 10, DUNSPARCE</v>
      </c>
    </row>
    <row r="1950" ht="12.75" customHeight="1">
      <c r="A1950" s="1" t="s">
        <v>855</v>
      </c>
      <c r="B1950" s="1" t="str">
        <f t="shared" si="1"/>
        <v>+10, 10, DUNSPARCE</v>
      </c>
    </row>
    <row r="1951" ht="12.75" customHeight="1">
      <c r="A1951" s="1" t="s">
        <v>856</v>
      </c>
      <c r="B1951" s="1" t="str">
        <f t="shared" si="1"/>
        <v>+20, 20, DUNSPARCE</v>
      </c>
    </row>
    <row r="1952" ht="12.75" customHeight="1">
      <c r="A1952" s="1" t="s">
        <v>856</v>
      </c>
      <c r="B1952" s="1" t="str">
        <f t="shared" si="1"/>
        <v>+20, 20, DUNSPARCE</v>
      </c>
    </row>
    <row r="1953" ht="12.75" customHeight="1">
      <c r="A1953" s="2"/>
      <c r="B1953" s="1" t="str">
        <f t="shared" si="1"/>
        <v/>
      </c>
    </row>
    <row r="1954" ht="12.75" customHeight="1">
      <c r="A1954" s="1" t="s">
        <v>361</v>
      </c>
      <c r="B1954" s="1" t="str">
        <f t="shared" si="1"/>
        <v># 5%</v>
      </c>
    </row>
    <row r="1955" ht="12.75" customHeight="1">
      <c r="A1955" s="1" t="s">
        <v>857</v>
      </c>
      <c r="B1955" s="1" t="str">
        <f t="shared" si="1"/>
        <v>+25, 25, DUNSPARCE</v>
      </c>
    </row>
    <row r="1956" ht="12.75" customHeight="1">
      <c r="A1956" s="1" t="s">
        <v>858</v>
      </c>
      <c r="B1956" s="1" t="str">
        <f t="shared" si="1"/>
        <v>+30, 30, DUNSPARCE</v>
      </c>
    </row>
    <row r="1957" ht="12.75" customHeight="1">
      <c r="A1957" s="2"/>
      <c r="B1957" s="1" t="str">
        <f t="shared" si="1"/>
        <v/>
      </c>
    </row>
    <row r="1958" ht="12.75" customHeight="1">
      <c r="A1958" s="1" t="s">
        <v>362</v>
      </c>
      <c r="B1958" s="1" t="str">
        <f t="shared" si="1"/>
        <v># 4%</v>
      </c>
    </row>
    <row r="1959" ht="12.75" customHeight="1">
      <c r="A1959" s="1" t="s">
        <v>857</v>
      </c>
      <c r="B1959" s="1" t="str">
        <f t="shared" si="1"/>
        <v>+25, 25, DUNSPARCE</v>
      </c>
    </row>
    <row r="1960" ht="12.75" customHeight="1">
      <c r="A1960" s="1" t="s">
        <v>858</v>
      </c>
      <c r="B1960" s="1" t="str">
        <f t="shared" si="1"/>
        <v>+30, 30, DUNSPARCE</v>
      </c>
    </row>
    <row r="1961" ht="12.75" customHeight="1">
      <c r="A1961" s="2"/>
      <c r="B1961" s="1" t="str">
        <f t="shared" si="1"/>
        <v/>
      </c>
    </row>
    <row r="1962" ht="12.75" customHeight="1">
      <c r="A1962" s="1" t="s">
        <v>363</v>
      </c>
      <c r="B1962" s="1" t="str">
        <f t="shared" si="1"/>
        <v># 1%</v>
      </c>
    </row>
    <row r="1963" ht="12.75" customHeight="1">
      <c r="A1963" s="1" t="s">
        <v>859</v>
      </c>
      <c r="B1963" s="1" t="str">
        <f t="shared" si="1"/>
        <v>+5, 5, DUNSPARCE</v>
      </c>
    </row>
    <row r="1964" ht="12.75" customHeight="1">
      <c r="A1964" s="1" t="s">
        <v>2682</v>
      </c>
      <c r="B1964" s="1" t="str">
        <f t="shared" si="1"/>
        <v>+35, 35, DUNSPARCE , &lt;null&gt;, &lt;null&gt;, &lt;null&gt;</v>
      </c>
    </row>
    <row r="1965" ht="12.75" customHeight="1">
      <c r="A1965" s="2"/>
      <c r="B1965" s="1" t="str">
        <f t="shared" si="1"/>
        <v/>
      </c>
    </row>
    <row r="1966" ht="12.75" customHeight="1">
      <c r="A1966" s="1" t="s">
        <v>2539</v>
      </c>
      <c r="B1966" s="1" t="str">
        <f t="shared" si="1"/>
        <v>NEW ROUTE</v>
      </c>
    </row>
    <row r="1967" ht="12.75" customHeight="1">
      <c r="A1967" s="1" t="s">
        <v>2683</v>
      </c>
      <c r="B1967" s="1" t="str">
        <f t="shared" si="1"/>
        <v>+3, 54, 0, &lt;null&gt;,</v>
      </c>
    </row>
    <row r="1968" ht="12.75" customHeight="1">
      <c r="A1968" s="2"/>
      <c r="B1968" s="1" t="str">
        <f t="shared" si="1"/>
        <v/>
      </c>
    </row>
    <row r="1969" ht="12.75" customHeight="1">
      <c r="A1969" s="1" t="s">
        <v>2684</v>
      </c>
      <c r="B1969" s="1" t="str">
        <f t="shared" si="1"/>
        <v>2, 5, 35, TENTACOOL</v>
      </c>
    </row>
    <row r="1970" ht="12.75" customHeight="1">
      <c r="A1970" s="1" t="s">
        <v>862</v>
      </c>
      <c r="B1970" s="1" t="str">
        <f t="shared" si="1"/>
        <v>+5, 15, HOPPIP</v>
      </c>
    </row>
    <row r="1971" ht="12.75" customHeight="1">
      <c r="A1971" s="1" t="s">
        <v>828</v>
      </c>
      <c r="B1971" s="1" t="str">
        <f t="shared" si="1"/>
        <v>+35, 40, TENTACOOL</v>
      </c>
    </row>
    <row r="1972" ht="12.75" customHeight="1">
      <c r="A1972" s="1" t="s">
        <v>829</v>
      </c>
      <c r="B1972" s="1" t="str">
        <f t="shared" si="1"/>
        <v>+35, 40, TENTACRUEL</v>
      </c>
    </row>
    <row r="1973" ht="12.75" customHeight="1">
      <c r="A1973" s="1" t="s">
        <v>2675</v>
      </c>
      <c r="B1973" s="1" t="str">
        <f t="shared" si="1"/>
        <v>+35, 40, TENTACRUEL</v>
      </c>
    </row>
    <row r="1974" ht="12.75" customHeight="1">
      <c r="A1974" s="1" t="s">
        <v>2572</v>
      </c>
      <c r="B1974" s="1" t="str">
        <f t="shared" si="1"/>
        <v>20, # old rod:</v>
      </c>
    </row>
    <row r="1975" ht="12.75" customHeight="1">
      <c r="A1975" s="1" t="s">
        <v>417</v>
      </c>
      <c r="B1975" s="1" t="str">
        <f t="shared" si="1"/>
        <v>5, 5, MAGIKARP</v>
      </c>
    </row>
    <row r="1976" ht="12.75" customHeight="1">
      <c r="A1976" s="1" t="s">
        <v>418</v>
      </c>
      <c r="B1976" s="1" t="str">
        <f t="shared" si="1"/>
        <v>+5, 5, MAGIKARP</v>
      </c>
    </row>
    <row r="1977" ht="12.75" customHeight="1">
      <c r="A1977" s="2"/>
      <c r="B1977" s="1" t="str">
        <f t="shared" si="1"/>
        <v/>
      </c>
    </row>
    <row r="1978" ht="12.75" customHeight="1">
      <c r="A1978" s="1" t="s">
        <v>419</v>
      </c>
      <c r="B1978" s="1" t="str">
        <f t="shared" si="1"/>
        <v># good rod:</v>
      </c>
    </row>
    <row r="1979" ht="12.75" customHeight="1">
      <c r="A1979" s="1" t="s">
        <v>420</v>
      </c>
      <c r="B1979" s="1" t="str">
        <f t="shared" si="1"/>
        <v>+5, 15, KRABBY</v>
      </c>
    </row>
    <row r="1980" ht="12.75" customHeight="1">
      <c r="A1980" s="1" t="s">
        <v>421</v>
      </c>
      <c r="B1980" s="1" t="str">
        <f t="shared" si="1"/>
        <v>+5, 15, MAGIKARP</v>
      </c>
    </row>
    <row r="1981" ht="12.75" customHeight="1">
      <c r="A1981" s="1" t="s">
        <v>420</v>
      </c>
      <c r="B1981" s="1" t="str">
        <f t="shared" si="1"/>
        <v>+5, 15, KRABBY</v>
      </c>
    </row>
    <row r="1982" ht="12.75" customHeight="1">
      <c r="A1982" s="2"/>
      <c r="B1982" s="1" t="str">
        <f t="shared" si="1"/>
        <v/>
      </c>
    </row>
    <row r="1983" ht="12.75" customHeight="1">
      <c r="A1983" s="1" t="s">
        <v>423</v>
      </c>
      <c r="B1983" s="1" t="str">
        <f t="shared" si="1"/>
        <v># super rod:</v>
      </c>
    </row>
    <row r="1984" ht="12.75" customHeight="1">
      <c r="A1984" s="1" t="s">
        <v>424</v>
      </c>
      <c r="B1984" s="1" t="str">
        <f t="shared" si="1"/>
        <v>+15, 25, KRABBY</v>
      </c>
    </row>
    <row r="1985" ht="12.75" customHeight="1">
      <c r="A1985" s="1" t="s">
        <v>863</v>
      </c>
      <c r="B1985" s="1" t="str">
        <f t="shared" si="1"/>
        <v>+15, 25, REMORAID</v>
      </c>
    </row>
    <row r="1986" ht="12.75" customHeight="1">
      <c r="A1986" s="1" t="s">
        <v>426</v>
      </c>
      <c r="B1986" s="1" t="str">
        <f t="shared" si="1"/>
        <v>+15, 25, GYARADOS</v>
      </c>
    </row>
    <row r="1987" ht="12.75" customHeight="1">
      <c r="A1987" s="1" t="s">
        <v>774</v>
      </c>
      <c r="B1987" s="1" t="str">
        <f t="shared" si="1"/>
        <v>+25, 35, KINGLER</v>
      </c>
    </row>
    <row r="1988" ht="12.75" customHeight="1">
      <c r="A1988" s="1" t="s">
        <v>2552</v>
      </c>
      <c r="B1988" s="1" t="str">
        <f t="shared" si="1"/>
        <v>+25, 35, SLOWPOKE</v>
      </c>
    </row>
    <row r="1989" ht="12.75" customHeight="1">
      <c r="A1989" s="1" t="s">
        <v>2539</v>
      </c>
      <c r="B1989" s="1" t="str">
        <f t="shared" si="1"/>
        <v>NEW ROUTE</v>
      </c>
    </row>
    <row r="1990" ht="12.75" customHeight="1">
      <c r="A1990" s="1" t="s">
        <v>2685</v>
      </c>
      <c r="B1990" s="1" t="str">
        <f t="shared" si="1"/>
        <v>+3, 55, 0, &lt;null&gt;,</v>
      </c>
    </row>
    <row r="1991" ht="12.75" customHeight="1">
      <c r="A1991" s="2"/>
      <c r="B1991" s="1" t="str">
        <f t="shared" si="1"/>
        <v/>
      </c>
    </row>
    <row r="1992" ht="12.75" customHeight="1">
      <c r="A1992" s="1" t="s">
        <v>2684</v>
      </c>
      <c r="B1992" s="1" t="str">
        <f t="shared" si="1"/>
        <v>2, 5, 35, TENTACOOL</v>
      </c>
    </row>
    <row r="1993" ht="12.75" customHeight="1">
      <c r="A1993" s="1" t="s">
        <v>862</v>
      </c>
      <c r="B1993" s="1" t="str">
        <f t="shared" si="1"/>
        <v>+5, 15, HOPPIP</v>
      </c>
    </row>
    <row r="1994" ht="12.75" customHeight="1">
      <c r="A1994" s="1" t="s">
        <v>828</v>
      </c>
      <c r="B1994" s="1" t="str">
        <f t="shared" si="1"/>
        <v>+35, 40, TENTACOOL</v>
      </c>
    </row>
    <row r="1995" ht="12.75" customHeight="1">
      <c r="A1995" s="1" t="s">
        <v>829</v>
      </c>
      <c r="B1995" s="1" t="str">
        <f t="shared" si="1"/>
        <v>+35, 40, TENTACRUEL</v>
      </c>
    </row>
    <row r="1996" ht="12.75" customHeight="1">
      <c r="A1996" s="1" t="s">
        <v>2675</v>
      </c>
      <c r="B1996" s="1" t="str">
        <f t="shared" si="1"/>
        <v>+35, 40, TENTACRUEL</v>
      </c>
    </row>
    <row r="1997" ht="12.75" customHeight="1">
      <c r="A1997" s="1" t="s">
        <v>2572</v>
      </c>
      <c r="B1997" s="1" t="str">
        <f t="shared" si="1"/>
        <v>20, # old rod:</v>
      </c>
    </row>
    <row r="1998" ht="12.75" customHeight="1">
      <c r="A1998" s="1" t="s">
        <v>417</v>
      </c>
      <c r="B1998" s="1" t="str">
        <f t="shared" si="1"/>
        <v>5, 5, MAGIKARP</v>
      </c>
    </row>
    <row r="1999" ht="12.75" customHeight="1">
      <c r="A1999" s="1" t="s">
        <v>418</v>
      </c>
      <c r="B1999" s="1" t="str">
        <f t="shared" si="1"/>
        <v>+5, 5, MAGIKARP</v>
      </c>
    </row>
    <row r="2000" ht="12.75" customHeight="1">
      <c r="A2000" s="2"/>
      <c r="B2000" s="1" t="str">
        <f t="shared" si="1"/>
        <v/>
      </c>
    </row>
    <row r="2001" ht="12.75" customHeight="1">
      <c r="A2001" s="1" t="s">
        <v>419</v>
      </c>
      <c r="B2001" s="1" t="str">
        <f t="shared" si="1"/>
        <v># good rod:</v>
      </c>
    </row>
    <row r="2002" ht="12.75" customHeight="1">
      <c r="A2002" s="1" t="s">
        <v>420</v>
      </c>
      <c r="B2002" s="1" t="str">
        <f t="shared" si="1"/>
        <v>+5, 15, KRABBY</v>
      </c>
    </row>
    <row r="2003" ht="12.75" customHeight="1">
      <c r="A2003" s="1" t="s">
        <v>421</v>
      </c>
      <c r="B2003" s="1" t="str">
        <f t="shared" si="1"/>
        <v>+5, 15, MAGIKARP</v>
      </c>
    </row>
    <row r="2004" ht="12.75" customHeight="1">
      <c r="A2004" s="1" t="s">
        <v>420</v>
      </c>
      <c r="B2004" s="1" t="str">
        <f t="shared" si="1"/>
        <v>+5, 15, KRABBY</v>
      </c>
    </row>
    <row r="2005" ht="12.75" customHeight="1">
      <c r="A2005" s="2"/>
      <c r="B2005" s="1" t="str">
        <f t="shared" si="1"/>
        <v/>
      </c>
    </row>
    <row r="2006" ht="12.75" customHeight="1">
      <c r="A2006" s="1" t="s">
        <v>423</v>
      </c>
      <c r="B2006" s="1" t="str">
        <f t="shared" si="1"/>
        <v># super rod:</v>
      </c>
    </row>
    <row r="2007" ht="12.75" customHeight="1">
      <c r="A2007" s="1" t="s">
        <v>424</v>
      </c>
      <c r="B2007" s="1" t="str">
        <f t="shared" si="1"/>
        <v>+15, 25, KRABBY</v>
      </c>
    </row>
    <row r="2008" ht="12.75" customHeight="1">
      <c r="A2008" s="1" t="s">
        <v>863</v>
      </c>
      <c r="B2008" s="1" t="str">
        <f t="shared" si="1"/>
        <v>+15, 25, REMORAID</v>
      </c>
    </row>
    <row r="2009" ht="12.75" customHeight="1">
      <c r="A2009" s="1" t="s">
        <v>426</v>
      </c>
      <c r="B2009" s="1" t="str">
        <f t="shared" si="1"/>
        <v>+15, 25, GYARADOS</v>
      </c>
    </row>
    <row r="2010" ht="12.75" customHeight="1">
      <c r="A2010" s="1" t="s">
        <v>774</v>
      </c>
      <c r="B2010" s="1" t="str">
        <f t="shared" si="1"/>
        <v>+25, 35, KINGLER</v>
      </c>
    </row>
    <row r="2011" ht="12.75" customHeight="1">
      <c r="A2011" s="1" t="s">
        <v>2552</v>
      </c>
      <c r="B2011" s="1" t="str">
        <f t="shared" si="1"/>
        <v>+25, 35, SLOWPOKE</v>
      </c>
    </row>
    <row r="2012" ht="12.75" customHeight="1">
      <c r="A2012" s="1" t="s">
        <v>2539</v>
      </c>
      <c r="B2012" s="1" t="str">
        <f t="shared" si="1"/>
        <v>NEW ROUTE</v>
      </c>
    </row>
    <row r="2013" ht="12.75" customHeight="1">
      <c r="A2013" s="1" t="s">
        <v>2686</v>
      </c>
      <c r="B2013" s="1" t="str">
        <f t="shared" si="1"/>
        <v>+3, 56, 0,</v>
      </c>
    </row>
    <row r="2014" ht="12.75" customHeight="1">
      <c r="A2014" s="1" t="s">
        <v>2568</v>
      </c>
      <c r="B2014" s="1" t="str">
        <f t="shared" si="1"/>
        <v>21, # 20%</v>
      </c>
    </row>
    <row r="2015" ht="12.75" customHeight="1">
      <c r="A2015" s="1" t="s">
        <v>866</v>
      </c>
      <c r="B2015" s="1" t="str">
        <f t="shared" si="1"/>
        <v>44, 44, PIDGEY</v>
      </c>
    </row>
    <row r="2016" ht="12.75" customHeight="1">
      <c r="A2016" s="1" t="s">
        <v>867</v>
      </c>
      <c r="B2016" s="1" t="str">
        <f t="shared" si="1"/>
        <v>+10, 10, SENTRET</v>
      </c>
    </row>
    <row r="2017" ht="12.75" customHeight="1">
      <c r="A2017" s="2"/>
      <c r="B2017" s="1" t="str">
        <f t="shared" si="1"/>
        <v/>
      </c>
    </row>
    <row r="2018" ht="12.75" customHeight="1">
      <c r="A2018" s="1" t="s">
        <v>360</v>
      </c>
      <c r="B2018" s="1" t="str">
        <f t="shared" si="1"/>
        <v># 10%</v>
      </c>
    </row>
    <row r="2019" ht="12.75" customHeight="1">
      <c r="A2019" s="1" t="s">
        <v>868</v>
      </c>
      <c r="B2019" s="1" t="str">
        <f t="shared" si="1"/>
        <v>+48, 48, PIDGEOTTO</v>
      </c>
    </row>
    <row r="2020" ht="12.75" customHeight="1">
      <c r="A2020" s="1" t="s">
        <v>869</v>
      </c>
      <c r="B2020" s="1" t="str">
        <f t="shared" si="1"/>
        <v>+10, 10, HOPPIP</v>
      </c>
    </row>
    <row r="2021" ht="12.75" customHeight="1">
      <c r="A2021" s="1" t="s">
        <v>870</v>
      </c>
      <c r="B2021" s="1" t="str">
        <f t="shared" si="1"/>
        <v>+15, 15, SENTRET</v>
      </c>
    </row>
    <row r="2022" ht="12.75" customHeight="1">
      <c r="A2022" s="1" t="s">
        <v>871</v>
      </c>
      <c r="B2022" s="1" t="str">
        <f t="shared" si="1"/>
        <v>+41, 41, MEOWTH</v>
      </c>
    </row>
    <row r="2023" ht="12.75" customHeight="1">
      <c r="A2023" s="2"/>
      <c r="B2023" s="1" t="str">
        <f t="shared" si="1"/>
        <v/>
      </c>
    </row>
    <row r="2024" ht="12.75" customHeight="1">
      <c r="A2024" s="1" t="s">
        <v>361</v>
      </c>
      <c r="B2024" s="1" t="str">
        <f t="shared" si="1"/>
        <v># 5%</v>
      </c>
    </row>
    <row r="2025" ht="12.75" customHeight="1">
      <c r="A2025" s="1" t="s">
        <v>872</v>
      </c>
      <c r="B2025" s="1" t="str">
        <f t="shared" si="1"/>
        <v>+15, 15, HOPPIP</v>
      </c>
    </row>
    <row r="2026" ht="12.75" customHeight="1">
      <c r="A2026" s="1" t="s">
        <v>749</v>
      </c>
      <c r="B2026" s="1" t="str">
        <f t="shared" si="1"/>
        <v>+41, 41, SLOWPOKE</v>
      </c>
    </row>
    <row r="2027" ht="12.75" customHeight="1">
      <c r="A2027" s="2"/>
      <c r="B2027" s="1" t="str">
        <f t="shared" si="1"/>
        <v/>
      </c>
    </row>
    <row r="2028" ht="12.75" customHeight="1">
      <c r="A2028" s="1" t="s">
        <v>362</v>
      </c>
      <c r="B2028" s="1" t="str">
        <f t="shared" si="1"/>
        <v># 4%</v>
      </c>
    </row>
    <row r="2029" ht="12.75" customHeight="1">
      <c r="A2029" s="1" t="s">
        <v>873</v>
      </c>
      <c r="B2029" s="1" t="str">
        <f t="shared" si="1"/>
        <v>+50, 50, PIDGEOTTO</v>
      </c>
    </row>
    <row r="2030" ht="12.75" customHeight="1">
      <c r="A2030" s="1" t="s">
        <v>874</v>
      </c>
      <c r="B2030" s="1" t="str">
        <f t="shared" si="1"/>
        <v>+47, 47, PERSIAN</v>
      </c>
    </row>
    <row r="2031" ht="12.75" customHeight="1">
      <c r="A2031" s="2"/>
      <c r="B2031" s="1" t="str">
        <f t="shared" si="1"/>
        <v/>
      </c>
    </row>
    <row r="2032" ht="12.75" customHeight="1">
      <c r="A2032" s="1" t="s">
        <v>363</v>
      </c>
      <c r="B2032" s="1" t="str">
        <f t="shared" si="1"/>
        <v># 1%</v>
      </c>
    </row>
    <row r="2033" ht="12.75" customHeight="1">
      <c r="A2033" s="1" t="s">
        <v>873</v>
      </c>
      <c r="B2033" s="1" t="str">
        <f t="shared" si="1"/>
        <v>+50, 50, PIDGEOTTO</v>
      </c>
    </row>
    <row r="2034" ht="12.75" customHeight="1">
      <c r="A2034" s="1" t="s">
        <v>2687</v>
      </c>
      <c r="B2034" s="1" t="str">
        <f t="shared" si="1"/>
        <v>+50, 50, PERSIAN</v>
      </c>
    </row>
    <row r="2035" ht="12.75" customHeight="1">
      <c r="A2035" s="1" t="s">
        <v>2684</v>
      </c>
      <c r="B2035" s="1" t="str">
        <f t="shared" si="1"/>
        <v>2, 5, 35, TENTACOOL</v>
      </c>
    </row>
    <row r="2036" ht="12.75" customHeight="1">
      <c r="A2036" s="1" t="s">
        <v>862</v>
      </c>
      <c r="B2036" s="1" t="str">
        <f t="shared" si="1"/>
        <v>+5, 15, HOPPIP</v>
      </c>
    </row>
    <row r="2037" ht="12.75" customHeight="1">
      <c r="A2037" s="1" t="s">
        <v>828</v>
      </c>
      <c r="B2037" s="1" t="str">
        <f t="shared" si="1"/>
        <v>+35, 40, TENTACOOL</v>
      </c>
    </row>
    <row r="2038" ht="12.75" customHeight="1">
      <c r="A2038" s="1" t="s">
        <v>829</v>
      </c>
      <c r="B2038" s="1" t="str">
        <f t="shared" si="1"/>
        <v>+35, 40, TENTACRUEL</v>
      </c>
    </row>
    <row r="2039" ht="12.75" customHeight="1">
      <c r="A2039" s="1" t="s">
        <v>2675</v>
      </c>
      <c r="B2039" s="1" t="str">
        <f t="shared" si="1"/>
        <v>+35, 40, TENTACRUEL</v>
      </c>
    </row>
    <row r="2040" ht="12.75" customHeight="1">
      <c r="A2040" s="1" t="s">
        <v>2572</v>
      </c>
      <c r="B2040" s="1" t="str">
        <f t="shared" si="1"/>
        <v>20, # old rod:</v>
      </c>
    </row>
    <row r="2041" ht="12.75" customHeight="1">
      <c r="A2041" s="1" t="s">
        <v>417</v>
      </c>
      <c r="B2041" s="1" t="str">
        <f t="shared" si="1"/>
        <v>5, 5, MAGIKARP</v>
      </c>
    </row>
    <row r="2042" ht="12.75" customHeight="1">
      <c r="A2042" s="1" t="s">
        <v>418</v>
      </c>
      <c r="B2042" s="1" t="str">
        <f t="shared" si="1"/>
        <v>+5, 5, MAGIKARP</v>
      </c>
    </row>
    <row r="2043" ht="12.75" customHeight="1">
      <c r="A2043" s="2"/>
      <c r="B2043" s="1" t="str">
        <f t="shared" si="1"/>
        <v/>
      </c>
    </row>
    <row r="2044" ht="12.75" customHeight="1">
      <c r="A2044" s="1" t="s">
        <v>419</v>
      </c>
      <c r="B2044" s="1" t="str">
        <f t="shared" si="1"/>
        <v># good rod:</v>
      </c>
    </row>
    <row r="2045" ht="12.75" customHeight="1">
      <c r="A2045" s="1" t="s">
        <v>420</v>
      </c>
      <c r="B2045" s="1" t="str">
        <f t="shared" si="1"/>
        <v>+5, 15, KRABBY</v>
      </c>
    </row>
    <row r="2046" ht="12.75" customHeight="1">
      <c r="A2046" s="1" t="s">
        <v>421</v>
      </c>
      <c r="B2046" s="1" t="str">
        <f t="shared" si="1"/>
        <v>+5, 15, MAGIKARP</v>
      </c>
    </row>
    <row r="2047" ht="12.75" customHeight="1">
      <c r="A2047" s="1" t="s">
        <v>420</v>
      </c>
      <c r="B2047" s="1" t="str">
        <f t="shared" si="1"/>
        <v>+5, 15, KRABBY</v>
      </c>
    </row>
    <row r="2048" ht="12.75" customHeight="1">
      <c r="A2048" s="2"/>
      <c r="B2048" s="1" t="str">
        <f t="shared" si="1"/>
        <v/>
      </c>
    </row>
    <row r="2049" ht="12.75" customHeight="1">
      <c r="A2049" s="1" t="s">
        <v>423</v>
      </c>
      <c r="B2049" s="1" t="str">
        <f t="shared" si="1"/>
        <v># super rod:</v>
      </c>
    </row>
    <row r="2050" ht="12.75" customHeight="1">
      <c r="A2050" s="1" t="s">
        <v>424</v>
      </c>
      <c r="B2050" s="1" t="str">
        <f t="shared" si="1"/>
        <v>+15, 25, KRABBY</v>
      </c>
    </row>
    <row r="2051" ht="12.75" customHeight="1">
      <c r="A2051" s="1" t="s">
        <v>863</v>
      </c>
      <c r="B2051" s="1" t="str">
        <f t="shared" si="1"/>
        <v>+15, 25, REMORAID</v>
      </c>
    </row>
    <row r="2052" ht="12.75" customHeight="1">
      <c r="A2052" s="1" t="s">
        <v>426</v>
      </c>
      <c r="B2052" s="1" t="str">
        <f t="shared" si="1"/>
        <v>+15, 25, GYARADOS</v>
      </c>
    </row>
    <row r="2053" ht="12.75" customHeight="1">
      <c r="A2053" s="1" t="s">
        <v>774</v>
      </c>
      <c r="B2053" s="1" t="str">
        <f t="shared" si="1"/>
        <v>+25, 35, KINGLER</v>
      </c>
    </row>
    <row r="2054" ht="12.75" customHeight="1">
      <c r="A2054" s="1" t="s">
        <v>2552</v>
      </c>
      <c r="B2054" s="1" t="str">
        <f t="shared" si="1"/>
        <v>+25, 35, SLOWPOKE</v>
      </c>
    </row>
    <row r="2055" ht="12.75" customHeight="1">
      <c r="A2055" s="1" t="s">
        <v>2539</v>
      </c>
      <c r="B2055" s="1" t="str">
        <f t="shared" si="1"/>
        <v>NEW ROUTE</v>
      </c>
    </row>
    <row r="2056" ht="12.75" customHeight="1">
      <c r="A2056" s="1" t="s">
        <v>2688</v>
      </c>
      <c r="B2056" s="1" t="str">
        <f t="shared" si="1"/>
        <v>+3, 57, 0,</v>
      </c>
    </row>
    <row r="2057" ht="12.75" customHeight="1">
      <c r="A2057" s="1" t="s">
        <v>2568</v>
      </c>
      <c r="B2057" s="1" t="str">
        <f t="shared" si="1"/>
        <v>21, # 20%</v>
      </c>
    </row>
    <row r="2058" ht="12.75" customHeight="1">
      <c r="A2058" s="1" t="s">
        <v>877</v>
      </c>
      <c r="B2058" s="1" t="str">
        <f t="shared" si="1"/>
        <v>10, 10, HOPPIP</v>
      </c>
    </row>
    <row r="2059" ht="12.75" customHeight="1">
      <c r="A2059" s="1" t="s">
        <v>878</v>
      </c>
      <c r="B2059" s="1" t="str">
        <f t="shared" si="1"/>
        <v>+12, 12, HOPPIP</v>
      </c>
    </row>
    <row r="2060" ht="12.75" customHeight="1">
      <c r="A2060" s="2"/>
      <c r="B2060" s="1" t="str">
        <f t="shared" si="1"/>
        <v/>
      </c>
    </row>
    <row r="2061" ht="12.75" customHeight="1">
      <c r="A2061" s="1" t="s">
        <v>360</v>
      </c>
      <c r="B2061" s="1" t="str">
        <f t="shared" si="1"/>
        <v># 10%</v>
      </c>
    </row>
    <row r="2062" ht="12.75" customHeight="1">
      <c r="A2062" s="1" t="s">
        <v>879</v>
      </c>
      <c r="B2062" s="1" t="str">
        <f t="shared" si="1"/>
        <v>+8, 8, HOPPIP</v>
      </c>
    </row>
    <row r="2063" ht="12.75" customHeight="1">
      <c r="A2063" s="1" t="s">
        <v>880</v>
      </c>
      <c r="B2063" s="1" t="str">
        <f t="shared" si="1"/>
        <v>+14, 14, HOPPIP</v>
      </c>
    </row>
    <row r="2064" ht="12.75" customHeight="1">
      <c r="A2064" s="1" t="s">
        <v>869</v>
      </c>
      <c r="B2064" s="1" t="str">
        <f t="shared" si="1"/>
        <v>+10, 10, HOPPIP</v>
      </c>
    </row>
    <row r="2065" ht="12.75" customHeight="1">
      <c r="A2065" s="1" t="s">
        <v>878</v>
      </c>
      <c r="B2065" s="1" t="str">
        <f t="shared" si="1"/>
        <v>+12, 12, HOPPIP</v>
      </c>
    </row>
    <row r="2066" ht="12.75" customHeight="1">
      <c r="A2066" s="2"/>
      <c r="B2066" s="1" t="str">
        <f t="shared" si="1"/>
        <v/>
      </c>
    </row>
    <row r="2067" ht="12.75" customHeight="1">
      <c r="A2067" s="1" t="s">
        <v>361</v>
      </c>
      <c r="B2067" s="1" t="str">
        <f t="shared" si="1"/>
        <v># 5%</v>
      </c>
    </row>
    <row r="2068" ht="12.75" customHeight="1">
      <c r="A2068" s="1" t="s">
        <v>881</v>
      </c>
      <c r="B2068" s="1" t="str">
        <f t="shared" si="1"/>
        <v>+16, 16, HOPPIP</v>
      </c>
    </row>
    <row r="2069" ht="12.75" customHeight="1">
      <c r="A2069" s="1" t="s">
        <v>882</v>
      </c>
      <c r="B2069" s="1" t="str">
        <f t="shared" si="1"/>
        <v>+6, 6, HOPPIP</v>
      </c>
    </row>
    <row r="2070" ht="12.75" customHeight="1">
      <c r="A2070" s="2"/>
      <c r="B2070" s="1" t="str">
        <f t="shared" si="1"/>
        <v/>
      </c>
    </row>
    <row r="2071" ht="12.75" customHeight="1">
      <c r="A2071" s="1" t="s">
        <v>362</v>
      </c>
      <c r="B2071" s="1" t="str">
        <f t="shared" si="1"/>
        <v># 4%</v>
      </c>
    </row>
    <row r="2072" ht="12.75" customHeight="1">
      <c r="A2072" s="1" t="s">
        <v>879</v>
      </c>
      <c r="B2072" s="1" t="str">
        <f t="shared" si="1"/>
        <v>+8, 8, HOPPIP</v>
      </c>
    </row>
    <row r="2073" ht="12.75" customHeight="1">
      <c r="A2073" s="1" t="s">
        <v>880</v>
      </c>
      <c r="B2073" s="1" t="str">
        <f t="shared" si="1"/>
        <v>+14, 14, HOPPIP</v>
      </c>
    </row>
    <row r="2074" ht="12.75" customHeight="1">
      <c r="A2074" s="2"/>
      <c r="B2074" s="1" t="str">
        <f t="shared" si="1"/>
        <v/>
      </c>
    </row>
    <row r="2075" ht="12.75" customHeight="1">
      <c r="A2075" s="1" t="s">
        <v>363</v>
      </c>
      <c r="B2075" s="1" t="str">
        <f t="shared" si="1"/>
        <v># 1%</v>
      </c>
    </row>
    <row r="2076" ht="12.75" customHeight="1">
      <c r="A2076" s="1" t="s">
        <v>879</v>
      </c>
      <c r="B2076" s="1" t="str">
        <f t="shared" si="1"/>
        <v>+8, 8, HOPPIP</v>
      </c>
    </row>
    <row r="2077" ht="12.75" customHeight="1">
      <c r="A2077" s="1" t="s">
        <v>2689</v>
      </c>
      <c r="B2077" s="1" t="str">
        <f t="shared" si="1"/>
        <v>+14, 14, HOPPIP</v>
      </c>
    </row>
    <row r="2078" ht="12.75" customHeight="1">
      <c r="A2078" s="1" t="s">
        <v>2684</v>
      </c>
      <c r="B2078" s="1" t="str">
        <f t="shared" si="1"/>
        <v>2, 5, 35, TENTACOOL</v>
      </c>
    </row>
    <row r="2079" ht="12.75" customHeight="1">
      <c r="A2079" s="1" t="s">
        <v>862</v>
      </c>
      <c r="B2079" s="1" t="str">
        <f t="shared" si="1"/>
        <v>+5, 15, HOPPIP</v>
      </c>
    </row>
    <row r="2080" ht="12.75" customHeight="1">
      <c r="A2080" s="1" t="s">
        <v>828</v>
      </c>
      <c r="B2080" s="1" t="str">
        <f t="shared" si="1"/>
        <v>+35, 40, TENTACOOL</v>
      </c>
    </row>
    <row r="2081" ht="12.75" customHeight="1">
      <c r="A2081" s="1" t="s">
        <v>829</v>
      </c>
      <c r="B2081" s="1" t="str">
        <f t="shared" si="1"/>
        <v>+35, 40, TENTACRUEL</v>
      </c>
    </row>
    <row r="2082" ht="12.75" customHeight="1">
      <c r="A2082" s="1" t="s">
        <v>2675</v>
      </c>
      <c r="B2082" s="1" t="str">
        <f t="shared" si="1"/>
        <v>+35, 40, TENTACRUEL</v>
      </c>
    </row>
    <row r="2083" ht="12.75" customHeight="1">
      <c r="A2083" s="1" t="s">
        <v>2572</v>
      </c>
      <c r="B2083" s="1" t="str">
        <f t="shared" si="1"/>
        <v>20, # old rod:</v>
      </c>
    </row>
    <row r="2084" ht="12.75" customHeight="1">
      <c r="A2084" s="1" t="s">
        <v>417</v>
      </c>
      <c r="B2084" s="1" t="str">
        <f t="shared" si="1"/>
        <v>5, 5, MAGIKARP</v>
      </c>
    </row>
    <row r="2085" ht="12.75" customHeight="1">
      <c r="A2085" s="1" t="s">
        <v>418</v>
      </c>
      <c r="B2085" s="1" t="str">
        <f t="shared" si="1"/>
        <v>+5, 5, MAGIKARP</v>
      </c>
    </row>
    <row r="2086" ht="12.75" customHeight="1">
      <c r="A2086" s="2"/>
      <c r="B2086" s="1" t="str">
        <f t="shared" si="1"/>
        <v/>
      </c>
    </row>
    <row r="2087" ht="12.75" customHeight="1">
      <c r="A2087" s="1" t="s">
        <v>419</v>
      </c>
      <c r="B2087" s="1" t="str">
        <f t="shared" si="1"/>
        <v># good rod:</v>
      </c>
    </row>
    <row r="2088" ht="12.75" customHeight="1">
      <c r="A2088" s="1" t="s">
        <v>420</v>
      </c>
      <c r="B2088" s="1" t="str">
        <f t="shared" si="1"/>
        <v>+5, 15, KRABBY</v>
      </c>
    </row>
    <row r="2089" ht="12.75" customHeight="1">
      <c r="A2089" s="1" t="s">
        <v>421</v>
      </c>
      <c r="B2089" s="1" t="str">
        <f t="shared" si="1"/>
        <v>+5, 15, MAGIKARP</v>
      </c>
    </row>
    <row r="2090" ht="12.75" customHeight="1">
      <c r="A2090" s="1" t="s">
        <v>420</v>
      </c>
      <c r="B2090" s="1" t="str">
        <f t="shared" si="1"/>
        <v>+5, 15, KRABBY</v>
      </c>
    </row>
    <row r="2091" ht="12.75" customHeight="1">
      <c r="A2091" s="2"/>
      <c r="B2091" s="1" t="str">
        <f t="shared" si="1"/>
        <v/>
      </c>
    </row>
    <row r="2092" ht="12.75" customHeight="1">
      <c r="A2092" s="1" t="s">
        <v>423</v>
      </c>
      <c r="B2092" s="1" t="str">
        <f t="shared" si="1"/>
        <v># super rod:</v>
      </c>
    </row>
    <row r="2093" ht="12.75" customHeight="1">
      <c r="A2093" s="1" t="s">
        <v>424</v>
      </c>
      <c r="B2093" s="1" t="str">
        <f t="shared" si="1"/>
        <v>+15, 25, KRABBY</v>
      </c>
    </row>
    <row r="2094" ht="12.75" customHeight="1">
      <c r="A2094" s="1" t="s">
        <v>863</v>
      </c>
      <c r="B2094" s="1" t="str">
        <f t="shared" si="1"/>
        <v>+15, 25, REMORAID</v>
      </c>
    </row>
    <row r="2095" ht="12.75" customHeight="1">
      <c r="A2095" s="1" t="s">
        <v>426</v>
      </c>
      <c r="B2095" s="1" t="str">
        <f t="shared" si="1"/>
        <v>+15, 25, GYARADOS</v>
      </c>
    </row>
    <row r="2096" ht="12.75" customHeight="1">
      <c r="A2096" s="1" t="s">
        <v>774</v>
      </c>
      <c r="B2096" s="1" t="str">
        <f t="shared" si="1"/>
        <v>+25, 35, KINGLER</v>
      </c>
    </row>
    <row r="2097" ht="12.75" customHeight="1">
      <c r="A2097" s="1" t="s">
        <v>2552</v>
      </c>
      <c r="B2097" s="1" t="str">
        <f t="shared" si="1"/>
        <v>+25, 35, SLOWPOKE</v>
      </c>
    </row>
    <row r="2098" ht="12.75" customHeight="1">
      <c r="A2098" s="1" t="s">
        <v>2539</v>
      </c>
      <c r="B2098" s="1" t="str">
        <f t="shared" si="1"/>
        <v>NEW ROUTE</v>
      </c>
    </row>
    <row r="2099" ht="12.75" customHeight="1">
      <c r="A2099" s="1" t="s">
        <v>2690</v>
      </c>
      <c r="B2099" s="1" t="str">
        <f t="shared" si="1"/>
        <v>+3, 58, 0, &lt;null&gt;,</v>
      </c>
    </row>
    <row r="2100" ht="12.75" customHeight="1">
      <c r="A2100" s="2"/>
      <c r="B2100" s="1" t="str">
        <f t="shared" si="1"/>
        <v/>
      </c>
    </row>
    <row r="2101" ht="12.75" customHeight="1">
      <c r="A2101" s="1" t="s">
        <v>2651</v>
      </c>
      <c r="B2101" s="1" t="str">
        <f t="shared" si="1"/>
        <v>2, 5, 20, TENTACOOL</v>
      </c>
    </row>
    <row r="2102" ht="12.75" customHeight="1">
      <c r="A2102" s="1" t="s">
        <v>770</v>
      </c>
      <c r="B2102" s="1" t="str">
        <f t="shared" si="1"/>
        <v>+20, 35, TENTACOOL</v>
      </c>
    </row>
    <row r="2103" ht="12.75" customHeight="1">
      <c r="A2103" s="1" t="s">
        <v>828</v>
      </c>
      <c r="B2103" s="1" t="str">
        <f t="shared" si="1"/>
        <v>+35, 40, TENTACOOL</v>
      </c>
    </row>
    <row r="2104" ht="12.75" customHeight="1">
      <c r="A2104" s="1" t="s">
        <v>829</v>
      </c>
      <c r="B2104" s="1" t="str">
        <f t="shared" si="1"/>
        <v>+35, 40, TENTACRUEL</v>
      </c>
    </row>
    <row r="2105" ht="12.75" customHeight="1">
      <c r="A2105" s="1" t="s">
        <v>2675</v>
      </c>
      <c r="B2105" s="1" t="str">
        <f t="shared" si="1"/>
        <v>+35, 40, TENTACRUEL</v>
      </c>
    </row>
    <row r="2106" ht="12.75" customHeight="1">
      <c r="A2106" s="1" t="s">
        <v>2572</v>
      </c>
      <c r="B2106" s="1" t="str">
        <f t="shared" si="1"/>
        <v>20, # old rod:</v>
      </c>
    </row>
    <row r="2107" ht="12.75" customHeight="1">
      <c r="A2107" s="1" t="s">
        <v>417</v>
      </c>
      <c r="B2107" s="1" t="str">
        <f t="shared" si="1"/>
        <v>5, 5, MAGIKARP</v>
      </c>
    </row>
    <row r="2108" ht="12.75" customHeight="1">
      <c r="A2108" s="1" t="s">
        <v>418</v>
      </c>
      <c r="B2108" s="1" t="str">
        <f t="shared" si="1"/>
        <v>+5, 5, MAGIKARP</v>
      </c>
    </row>
    <row r="2109" ht="12.75" customHeight="1">
      <c r="A2109" s="2"/>
      <c r="B2109" s="1" t="str">
        <f t="shared" si="1"/>
        <v/>
      </c>
    </row>
    <row r="2110" ht="12.75" customHeight="1">
      <c r="A2110" s="1" t="s">
        <v>419</v>
      </c>
      <c r="B2110" s="1" t="str">
        <f t="shared" si="1"/>
        <v># good rod:</v>
      </c>
    </row>
    <row r="2111" ht="12.75" customHeight="1">
      <c r="A2111" s="1" t="s">
        <v>420</v>
      </c>
      <c r="B2111" s="1" t="str">
        <f t="shared" si="1"/>
        <v>+5, 15, KRABBY</v>
      </c>
    </row>
    <row r="2112" ht="12.75" customHeight="1">
      <c r="A2112" s="1" t="s">
        <v>421</v>
      </c>
      <c r="B2112" s="1" t="str">
        <f t="shared" si="1"/>
        <v>+5, 15, MAGIKARP</v>
      </c>
    </row>
    <row r="2113" ht="12.75" customHeight="1">
      <c r="A2113" s="1" t="s">
        <v>420</v>
      </c>
      <c r="B2113" s="1" t="str">
        <f t="shared" si="1"/>
        <v>+5, 15, KRABBY</v>
      </c>
    </row>
    <row r="2114" ht="12.75" customHeight="1">
      <c r="A2114" s="2"/>
      <c r="B2114" s="1" t="str">
        <f t="shared" si="1"/>
        <v/>
      </c>
    </row>
    <row r="2115" ht="12.75" customHeight="1">
      <c r="A2115" s="1" t="s">
        <v>423</v>
      </c>
      <c r="B2115" s="1" t="str">
        <f t="shared" si="1"/>
        <v># super rod:</v>
      </c>
    </row>
    <row r="2116" ht="12.75" customHeight="1">
      <c r="A2116" s="1" t="s">
        <v>424</v>
      </c>
      <c r="B2116" s="1" t="str">
        <f t="shared" si="1"/>
        <v>+15, 25, KRABBY</v>
      </c>
    </row>
    <row r="2117" ht="12.75" customHeight="1">
      <c r="A2117" s="1" t="s">
        <v>863</v>
      </c>
      <c r="B2117" s="1" t="str">
        <f t="shared" si="1"/>
        <v>+15, 25, REMORAID</v>
      </c>
    </row>
    <row r="2118" ht="12.75" customHeight="1">
      <c r="A2118" s="1" t="s">
        <v>426</v>
      </c>
      <c r="B2118" s="1" t="str">
        <f t="shared" si="1"/>
        <v>+15, 25, GYARADOS</v>
      </c>
    </row>
    <row r="2119" ht="12.75" customHeight="1">
      <c r="A2119" s="1" t="s">
        <v>774</v>
      </c>
      <c r="B2119" s="1" t="str">
        <f t="shared" si="1"/>
        <v>+25, 35, KINGLER</v>
      </c>
    </row>
    <row r="2120" ht="12.75" customHeight="1">
      <c r="A2120" s="1" t="s">
        <v>2552</v>
      </c>
      <c r="B2120" s="1" t="str">
        <f t="shared" si="1"/>
        <v>+25, 35, SLOWPOKE</v>
      </c>
    </row>
    <row r="2121" ht="12.75" customHeight="1">
      <c r="A2121" s="1" t="s">
        <v>2539</v>
      </c>
      <c r="B2121" s="1" t="str">
        <f t="shared" si="1"/>
        <v>NEW ROUTE</v>
      </c>
    </row>
    <row r="2122" ht="12.75" customHeight="1">
      <c r="A2122" s="1" t="s">
        <v>2691</v>
      </c>
      <c r="B2122" s="1" t="str">
        <f t="shared" si="1"/>
        <v>+3, 59, 0, &lt;null&gt;,</v>
      </c>
    </row>
    <row r="2123" ht="12.75" customHeight="1">
      <c r="A2123" s="2"/>
      <c r="B2123" s="1" t="str">
        <f t="shared" si="1"/>
        <v/>
      </c>
    </row>
    <row r="2124" ht="12.75" customHeight="1">
      <c r="A2124" s="1" t="s">
        <v>2651</v>
      </c>
      <c r="B2124" s="1" t="str">
        <f t="shared" si="1"/>
        <v>2, 5, 20, TENTACOOL</v>
      </c>
    </row>
    <row r="2125" ht="12.75" customHeight="1">
      <c r="A2125" s="1" t="s">
        <v>770</v>
      </c>
      <c r="B2125" s="1" t="str">
        <f t="shared" si="1"/>
        <v>+20, 35, TENTACOOL</v>
      </c>
    </row>
    <row r="2126" ht="12.75" customHeight="1">
      <c r="A2126" s="1" t="s">
        <v>828</v>
      </c>
      <c r="B2126" s="1" t="str">
        <f t="shared" si="1"/>
        <v>+35, 40, TENTACOOL</v>
      </c>
    </row>
    <row r="2127" ht="12.75" customHeight="1">
      <c r="A2127" s="1" t="s">
        <v>829</v>
      </c>
      <c r="B2127" s="1" t="str">
        <f t="shared" si="1"/>
        <v>+35, 40, TENTACRUEL</v>
      </c>
    </row>
    <row r="2128" ht="12.75" customHeight="1">
      <c r="A2128" s="1" t="s">
        <v>2675</v>
      </c>
      <c r="B2128" s="1" t="str">
        <f t="shared" si="1"/>
        <v>+35, 40, TENTACRUEL</v>
      </c>
    </row>
    <row r="2129" ht="12.75" customHeight="1">
      <c r="A2129" s="1" t="s">
        <v>2572</v>
      </c>
      <c r="B2129" s="1" t="str">
        <f t="shared" si="1"/>
        <v>20, # old rod:</v>
      </c>
    </row>
    <row r="2130" ht="12.75" customHeight="1">
      <c r="A2130" s="1" t="s">
        <v>417</v>
      </c>
      <c r="B2130" s="1" t="str">
        <f t="shared" si="1"/>
        <v>5, 5, MAGIKARP</v>
      </c>
    </row>
    <row r="2131" ht="12.75" customHeight="1">
      <c r="A2131" s="1" t="s">
        <v>418</v>
      </c>
      <c r="B2131" s="1" t="str">
        <f t="shared" si="1"/>
        <v>+5, 5, MAGIKARP</v>
      </c>
    </row>
    <row r="2132" ht="12.75" customHeight="1">
      <c r="A2132" s="2"/>
      <c r="B2132" s="1" t="str">
        <f t="shared" si="1"/>
        <v/>
      </c>
    </row>
    <row r="2133" ht="12.75" customHeight="1">
      <c r="A2133" s="1" t="s">
        <v>419</v>
      </c>
      <c r="B2133" s="1" t="str">
        <f t="shared" si="1"/>
        <v># good rod:</v>
      </c>
    </row>
    <row r="2134" ht="12.75" customHeight="1">
      <c r="A2134" s="1" t="s">
        <v>420</v>
      </c>
      <c r="B2134" s="1" t="str">
        <f t="shared" si="1"/>
        <v>+5, 15, KRABBY</v>
      </c>
    </row>
    <row r="2135" ht="12.75" customHeight="1">
      <c r="A2135" s="1" t="s">
        <v>421</v>
      </c>
      <c r="B2135" s="1" t="str">
        <f t="shared" si="1"/>
        <v>+5, 15, MAGIKARP</v>
      </c>
    </row>
    <row r="2136" ht="12.75" customHeight="1">
      <c r="A2136" s="1" t="s">
        <v>420</v>
      </c>
      <c r="B2136" s="1" t="str">
        <f t="shared" si="1"/>
        <v>+5, 15, KRABBY</v>
      </c>
    </row>
    <row r="2137" ht="12.75" customHeight="1">
      <c r="A2137" s="2"/>
      <c r="B2137" s="1" t="str">
        <f t="shared" si="1"/>
        <v/>
      </c>
    </row>
    <row r="2138" ht="12.75" customHeight="1">
      <c r="A2138" s="1" t="s">
        <v>423</v>
      </c>
      <c r="B2138" s="1" t="str">
        <f t="shared" si="1"/>
        <v># super rod:</v>
      </c>
    </row>
    <row r="2139" ht="12.75" customHeight="1">
      <c r="A2139" s="1" t="s">
        <v>424</v>
      </c>
      <c r="B2139" s="1" t="str">
        <f t="shared" si="1"/>
        <v>+15, 25, KRABBY</v>
      </c>
    </row>
    <row r="2140" ht="12.75" customHeight="1">
      <c r="A2140" s="1" t="s">
        <v>863</v>
      </c>
      <c r="B2140" s="1" t="str">
        <f t="shared" si="1"/>
        <v>+15, 25, REMORAID</v>
      </c>
    </row>
    <row r="2141" ht="12.75" customHeight="1">
      <c r="A2141" s="1" t="s">
        <v>426</v>
      </c>
      <c r="B2141" s="1" t="str">
        <f t="shared" si="1"/>
        <v>+15, 25, GYARADOS</v>
      </c>
    </row>
    <row r="2142" ht="12.75" customHeight="1">
      <c r="A2142" s="1" t="s">
        <v>774</v>
      </c>
      <c r="B2142" s="1" t="str">
        <f t="shared" si="1"/>
        <v>+25, 35, KINGLER</v>
      </c>
    </row>
    <row r="2143" ht="12.75" customHeight="1">
      <c r="A2143" s="1" t="s">
        <v>2552</v>
      </c>
      <c r="B2143" s="1" t="str">
        <f t="shared" si="1"/>
        <v>+25, 35, SLOWPOKE</v>
      </c>
    </row>
    <row r="2144" ht="12.75" customHeight="1">
      <c r="A2144" s="1" t="s">
        <v>2539</v>
      </c>
      <c r="B2144" s="1" t="str">
        <f t="shared" si="1"/>
        <v>NEW ROUTE</v>
      </c>
    </row>
    <row r="2145" ht="12.75" customHeight="1">
      <c r="A2145" s="1" t="s">
        <v>2692</v>
      </c>
      <c r="B2145" s="1" t="str">
        <f t="shared" si="1"/>
        <v>+3, 60, 0,</v>
      </c>
    </row>
    <row r="2146" ht="12.75" customHeight="1">
      <c r="A2146" s="1" t="s">
        <v>2568</v>
      </c>
      <c r="B2146" s="1" t="str">
        <f t="shared" si="1"/>
        <v>21, # 20%</v>
      </c>
    </row>
    <row r="2147" ht="12.75" customHeight="1">
      <c r="A2147" s="1" t="s">
        <v>887</v>
      </c>
      <c r="B2147" s="1" t="str">
        <f t="shared" si="1"/>
        <v>44, 44, SPEAROW</v>
      </c>
    </row>
    <row r="2148" ht="12.75" customHeight="1">
      <c r="A2148" s="1" t="s">
        <v>867</v>
      </c>
      <c r="B2148" s="1" t="str">
        <f t="shared" si="1"/>
        <v>+10, 10, SENTRET</v>
      </c>
    </row>
    <row r="2149" ht="12.75" customHeight="1">
      <c r="A2149" s="2"/>
      <c r="B2149" s="1" t="str">
        <f t="shared" si="1"/>
        <v/>
      </c>
    </row>
    <row r="2150" ht="12.75" customHeight="1">
      <c r="A2150" s="1" t="s">
        <v>360</v>
      </c>
      <c r="B2150" s="1" t="str">
        <f t="shared" si="1"/>
        <v># 10%</v>
      </c>
    </row>
    <row r="2151" ht="12.75" customHeight="1">
      <c r="A2151" s="1" t="s">
        <v>888</v>
      </c>
      <c r="B2151" s="1" t="str">
        <f t="shared" si="1"/>
        <v>+44, 44, BELLSPROUT</v>
      </c>
    </row>
    <row r="2152" ht="12.75" customHeight="1">
      <c r="A2152" s="1" t="s">
        <v>889</v>
      </c>
      <c r="B2152" s="1" t="str">
        <f t="shared" si="1"/>
        <v>+48, 48, FEAROW</v>
      </c>
    </row>
    <row r="2153" ht="12.75" customHeight="1">
      <c r="A2153" s="1" t="s">
        <v>870</v>
      </c>
      <c r="B2153" s="1" t="str">
        <f t="shared" si="1"/>
        <v>+15, 15, SENTRET</v>
      </c>
    </row>
    <row r="2154" ht="12.75" customHeight="1">
      <c r="A2154" s="1" t="s">
        <v>871</v>
      </c>
      <c r="B2154" s="1" t="str">
        <f t="shared" si="1"/>
        <v>+41, 41, MEOWTH</v>
      </c>
    </row>
    <row r="2155" ht="12.75" customHeight="1">
      <c r="A2155" s="2"/>
      <c r="B2155" s="1" t="str">
        <f t="shared" si="1"/>
        <v/>
      </c>
    </row>
    <row r="2156" ht="12.75" customHeight="1">
      <c r="A2156" s="1" t="s">
        <v>361</v>
      </c>
      <c r="B2156" s="1" t="str">
        <f t="shared" si="1"/>
        <v># 5%</v>
      </c>
    </row>
    <row r="2157" ht="12.75" customHeight="1">
      <c r="A2157" s="1" t="s">
        <v>890</v>
      </c>
      <c r="B2157" s="1" t="str">
        <f t="shared" si="1"/>
        <v>+48, 48, WEEPINBELL</v>
      </c>
    </row>
    <row r="2158" ht="12.75" customHeight="1">
      <c r="A2158" s="1" t="s">
        <v>749</v>
      </c>
      <c r="B2158" s="1" t="str">
        <f t="shared" si="1"/>
        <v>+41, 41, SLOWPOKE</v>
      </c>
    </row>
    <row r="2159" ht="12.75" customHeight="1">
      <c r="A2159" s="2"/>
      <c r="B2159" s="1" t="str">
        <f t="shared" si="1"/>
        <v/>
      </c>
    </row>
    <row r="2160" ht="12.75" customHeight="1">
      <c r="A2160" s="1" t="s">
        <v>362</v>
      </c>
      <c r="B2160" s="1" t="str">
        <f t="shared" si="1"/>
        <v># 4%</v>
      </c>
    </row>
    <row r="2161" ht="12.75" customHeight="1">
      <c r="A2161" s="1" t="s">
        <v>891</v>
      </c>
      <c r="B2161" s="1" t="str">
        <f t="shared" si="1"/>
        <v>+50, 50, FEAROW</v>
      </c>
    </row>
    <row r="2162" ht="12.75" customHeight="1">
      <c r="A2162" s="1" t="s">
        <v>874</v>
      </c>
      <c r="B2162" s="1" t="str">
        <f t="shared" si="1"/>
        <v>+47, 47, PERSIAN</v>
      </c>
    </row>
    <row r="2163" ht="12.75" customHeight="1">
      <c r="A2163" s="2"/>
      <c r="B2163" s="1" t="str">
        <f t="shared" si="1"/>
        <v/>
      </c>
    </row>
    <row r="2164" ht="12.75" customHeight="1">
      <c r="A2164" s="1" t="s">
        <v>363</v>
      </c>
      <c r="B2164" s="1" t="str">
        <f t="shared" si="1"/>
        <v># 1%</v>
      </c>
    </row>
    <row r="2165" ht="12.75" customHeight="1">
      <c r="A2165" s="1" t="s">
        <v>891</v>
      </c>
      <c r="B2165" s="1" t="str">
        <f t="shared" si="1"/>
        <v>+50, 50, FEAROW</v>
      </c>
    </row>
    <row r="2166" ht="12.75" customHeight="1">
      <c r="A2166" s="1" t="s">
        <v>2687</v>
      </c>
      <c r="B2166" s="1" t="str">
        <f t="shared" si="1"/>
        <v>+50, 50, PERSIAN</v>
      </c>
    </row>
    <row r="2167" ht="12.75" customHeight="1">
      <c r="A2167" s="1" t="s">
        <v>2651</v>
      </c>
      <c r="B2167" s="1" t="str">
        <f t="shared" si="1"/>
        <v>2, 5, 20, TENTACOOL</v>
      </c>
    </row>
    <row r="2168" ht="12.75" customHeight="1">
      <c r="A2168" s="1" t="s">
        <v>770</v>
      </c>
      <c r="B2168" s="1" t="str">
        <f t="shared" si="1"/>
        <v>+20, 35, TENTACOOL</v>
      </c>
    </row>
    <row r="2169" ht="12.75" customHeight="1">
      <c r="A2169" s="1" t="s">
        <v>828</v>
      </c>
      <c r="B2169" s="1" t="str">
        <f t="shared" si="1"/>
        <v>+35, 40, TENTACOOL</v>
      </c>
    </row>
    <row r="2170" ht="12.75" customHeight="1">
      <c r="A2170" s="1" t="s">
        <v>829</v>
      </c>
      <c r="B2170" s="1" t="str">
        <f t="shared" si="1"/>
        <v>+35, 40, TENTACRUEL</v>
      </c>
    </row>
    <row r="2171" ht="12.75" customHeight="1">
      <c r="A2171" s="1" t="s">
        <v>2675</v>
      </c>
      <c r="B2171" s="1" t="str">
        <f t="shared" si="1"/>
        <v>+35, 40, TENTACRUEL</v>
      </c>
    </row>
    <row r="2172" ht="12.75" customHeight="1">
      <c r="A2172" s="1" t="s">
        <v>2572</v>
      </c>
      <c r="B2172" s="1" t="str">
        <f t="shared" si="1"/>
        <v>20, # old rod:</v>
      </c>
    </row>
    <row r="2173" ht="12.75" customHeight="1">
      <c r="A2173" s="1" t="s">
        <v>417</v>
      </c>
      <c r="B2173" s="1" t="str">
        <f t="shared" si="1"/>
        <v>5, 5, MAGIKARP</v>
      </c>
    </row>
    <row r="2174" ht="12.75" customHeight="1">
      <c r="A2174" s="1" t="s">
        <v>418</v>
      </c>
      <c r="B2174" s="1" t="str">
        <f t="shared" si="1"/>
        <v>+5, 5, MAGIKARP</v>
      </c>
    </row>
    <row r="2175" ht="12.75" customHeight="1">
      <c r="A2175" s="2"/>
      <c r="B2175" s="1" t="str">
        <f t="shared" si="1"/>
        <v/>
      </c>
    </row>
    <row r="2176" ht="12.75" customHeight="1">
      <c r="A2176" s="1" t="s">
        <v>419</v>
      </c>
      <c r="B2176" s="1" t="str">
        <f t="shared" si="1"/>
        <v># good rod:</v>
      </c>
    </row>
    <row r="2177" ht="12.75" customHeight="1">
      <c r="A2177" s="1" t="s">
        <v>420</v>
      </c>
      <c r="B2177" s="1" t="str">
        <f t="shared" si="1"/>
        <v>+5, 15, KRABBY</v>
      </c>
    </row>
    <row r="2178" ht="12.75" customHeight="1">
      <c r="A2178" s="1" t="s">
        <v>421</v>
      </c>
      <c r="B2178" s="1" t="str">
        <f t="shared" si="1"/>
        <v>+5, 15, MAGIKARP</v>
      </c>
    </row>
    <row r="2179" ht="12.75" customHeight="1">
      <c r="A2179" s="1" t="s">
        <v>420</v>
      </c>
      <c r="B2179" s="1" t="str">
        <f t="shared" si="1"/>
        <v>+5, 15, KRABBY</v>
      </c>
    </row>
    <row r="2180" ht="12.75" customHeight="1">
      <c r="A2180" s="2"/>
      <c r="B2180" s="1" t="str">
        <f t="shared" si="1"/>
        <v/>
      </c>
    </row>
    <row r="2181" ht="12.75" customHeight="1">
      <c r="A2181" s="1" t="s">
        <v>423</v>
      </c>
      <c r="B2181" s="1" t="str">
        <f t="shared" si="1"/>
        <v># super rod:</v>
      </c>
    </row>
    <row r="2182" ht="12.75" customHeight="1">
      <c r="A2182" s="1" t="s">
        <v>424</v>
      </c>
      <c r="B2182" s="1" t="str">
        <f t="shared" si="1"/>
        <v>+15, 25, KRABBY</v>
      </c>
    </row>
    <row r="2183" ht="12.75" customHeight="1">
      <c r="A2183" s="1" t="s">
        <v>863</v>
      </c>
      <c r="B2183" s="1" t="str">
        <f t="shared" si="1"/>
        <v>+15, 25, REMORAID</v>
      </c>
    </row>
    <row r="2184" ht="12.75" customHeight="1">
      <c r="A2184" s="1" t="s">
        <v>426</v>
      </c>
      <c r="B2184" s="1" t="str">
        <f t="shared" si="1"/>
        <v>+15, 25, GYARADOS</v>
      </c>
    </row>
    <row r="2185" ht="12.75" customHeight="1">
      <c r="A2185" s="1" t="s">
        <v>774</v>
      </c>
      <c r="B2185" s="1" t="str">
        <f t="shared" si="1"/>
        <v>+25, 35, KINGLER</v>
      </c>
    </row>
    <row r="2186" ht="12.75" customHeight="1">
      <c r="A2186" s="1" t="s">
        <v>2552</v>
      </c>
      <c r="B2186" s="1" t="str">
        <f t="shared" si="1"/>
        <v>+25, 35, SLOWPOKE</v>
      </c>
    </row>
    <row r="2187" ht="12.75" customHeight="1">
      <c r="A2187" s="1" t="s">
        <v>2539</v>
      </c>
      <c r="B2187" s="1" t="str">
        <f t="shared" si="1"/>
        <v>NEW ROUTE</v>
      </c>
    </row>
    <row r="2188" ht="12.75" customHeight="1">
      <c r="A2188" s="1" t="s">
        <v>2693</v>
      </c>
      <c r="B2188" s="1" t="str">
        <f t="shared" si="1"/>
        <v>+3, 61, 0,</v>
      </c>
    </row>
    <row r="2189" ht="12.75" customHeight="1">
      <c r="A2189" s="1" t="s">
        <v>2568</v>
      </c>
      <c r="B2189" s="1" t="str">
        <f t="shared" si="1"/>
        <v>21, # 20%</v>
      </c>
    </row>
    <row r="2190" ht="12.75" customHeight="1">
      <c r="A2190" s="1" t="s">
        <v>894</v>
      </c>
      <c r="B2190" s="1" t="str">
        <f t="shared" si="1"/>
        <v>15, 15, NATU</v>
      </c>
    </row>
    <row r="2191" ht="12.75" customHeight="1">
      <c r="A2191" s="1" t="s">
        <v>895</v>
      </c>
      <c r="B2191" s="1" t="str">
        <f t="shared" si="1"/>
        <v>+44, 44, SPEAROW</v>
      </c>
    </row>
    <row r="2192" ht="12.75" customHeight="1">
      <c r="A2192" s="2"/>
      <c r="B2192" s="1" t="str">
        <f t="shared" si="1"/>
        <v/>
      </c>
    </row>
    <row r="2193" ht="12.75" customHeight="1">
      <c r="A2193" s="1" t="s">
        <v>360</v>
      </c>
      <c r="B2193" s="1" t="str">
        <f t="shared" si="1"/>
        <v># 10%</v>
      </c>
    </row>
    <row r="2194" ht="12.75" customHeight="1">
      <c r="A2194" s="1" t="s">
        <v>896</v>
      </c>
      <c r="B2194" s="1" t="str">
        <f t="shared" si="1"/>
        <v>+18, 18, YANMA</v>
      </c>
    </row>
    <row r="2195" ht="12.75" customHeight="1">
      <c r="A2195" s="1" t="s">
        <v>897</v>
      </c>
      <c r="B2195" s="1" t="str">
        <f t="shared" si="1"/>
        <v>+15, 15, MARILL</v>
      </c>
    </row>
    <row r="2196" ht="12.75" customHeight="1">
      <c r="A2196" s="1" t="s">
        <v>898</v>
      </c>
      <c r="B2196" s="1" t="str">
        <f t="shared" si="1"/>
        <v>+49, 49, FEAROW</v>
      </c>
    </row>
    <row r="2197" ht="12.75" customHeight="1">
      <c r="A2197" s="1" t="s">
        <v>899</v>
      </c>
      <c r="B2197" s="1" t="str">
        <f t="shared" si="1"/>
        <v>+43, 43, MEOWTH</v>
      </c>
    </row>
    <row r="2198" ht="12.75" customHeight="1">
      <c r="A2198" s="2"/>
      <c r="B2198" s="1" t="str">
        <f t="shared" si="1"/>
        <v/>
      </c>
    </row>
    <row r="2199" ht="12.75" customHeight="1">
      <c r="A2199" s="1" t="s">
        <v>361</v>
      </c>
      <c r="B2199" s="1" t="str">
        <f t="shared" si="1"/>
        <v># 5%</v>
      </c>
    </row>
    <row r="2200" ht="12.75" customHeight="1">
      <c r="A2200" s="1" t="s">
        <v>900</v>
      </c>
      <c r="B2200" s="1" t="str">
        <f t="shared" si="1"/>
        <v>+25, 25, WOBBUFFET</v>
      </c>
    </row>
    <row r="2201" ht="12.75" customHeight="1">
      <c r="A2201" s="1" t="s">
        <v>749</v>
      </c>
      <c r="B2201" s="1" t="str">
        <f t="shared" si="1"/>
        <v>+41, 41, SLOWPOKE</v>
      </c>
    </row>
    <row r="2202" ht="12.75" customHeight="1">
      <c r="A2202" s="2"/>
      <c r="B2202" s="1" t="str">
        <f t="shared" si="1"/>
        <v/>
      </c>
    </row>
    <row r="2203" ht="12.75" customHeight="1">
      <c r="A2203" s="1" t="s">
        <v>362</v>
      </c>
      <c r="B2203" s="1" t="str">
        <f t="shared" si="1"/>
        <v># 4%</v>
      </c>
    </row>
    <row r="2204" ht="12.75" customHeight="1">
      <c r="A2204" s="1" t="s">
        <v>901</v>
      </c>
      <c r="B2204" s="1" t="str">
        <f t="shared" si="1"/>
        <v>+20, 20, NATU</v>
      </c>
    </row>
    <row r="2205" ht="12.75" customHeight="1">
      <c r="A2205" s="1" t="s">
        <v>902</v>
      </c>
      <c r="B2205" s="1" t="str">
        <f t="shared" si="1"/>
        <v>+49, 49, PERSIAN</v>
      </c>
    </row>
    <row r="2206" ht="12.75" customHeight="1">
      <c r="A2206" s="2"/>
      <c r="B2206" s="1" t="str">
        <f t="shared" si="1"/>
        <v/>
      </c>
    </row>
    <row r="2207" ht="12.75" customHeight="1">
      <c r="A2207" s="1" t="s">
        <v>363</v>
      </c>
      <c r="B2207" s="1" t="str">
        <f t="shared" si="1"/>
        <v># 1%</v>
      </c>
    </row>
    <row r="2208" ht="12.75" customHeight="1">
      <c r="A2208" s="1" t="s">
        <v>901</v>
      </c>
      <c r="B2208" s="1" t="str">
        <f t="shared" si="1"/>
        <v>+20, 20, NATU</v>
      </c>
    </row>
    <row r="2209" ht="12.75" customHeight="1">
      <c r="A2209" s="1" t="s">
        <v>2694</v>
      </c>
      <c r="B2209" s="1" t="str">
        <f t="shared" si="1"/>
        <v>+52, 52, PERSIAN</v>
      </c>
    </row>
    <row r="2210" ht="12.75" customHeight="1">
      <c r="A2210" s="1" t="s">
        <v>2695</v>
      </c>
      <c r="B2210" s="1" t="str">
        <f t="shared" si="1"/>
        <v>2, 5, 20, MARILL</v>
      </c>
    </row>
    <row r="2211" ht="12.75" customHeight="1">
      <c r="A2211" s="1" t="s">
        <v>904</v>
      </c>
      <c r="B2211" s="1" t="str">
        <f t="shared" si="1"/>
        <v>+10, 20, MARILL</v>
      </c>
    </row>
    <row r="2212" ht="12.75" customHeight="1">
      <c r="A2212" s="1" t="s">
        <v>905</v>
      </c>
      <c r="B2212" s="1" t="str">
        <f t="shared" si="1"/>
        <v>+15, 25, MARILL</v>
      </c>
    </row>
    <row r="2213" ht="12.75" customHeight="1">
      <c r="A2213" s="1" t="s">
        <v>906</v>
      </c>
      <c r="B2213" s="1" t="str">
        <f t="shared" si="1"/>
        <v>+20, 25, MARILL</v>
      </c>
    </row>
    <row r="2214" ht="12.75" customHeight="1">
      <c r="A2214" s="1" t="s">
        <v>2696</v>
      </c>
      <c r="B2214" s="1" t="str">
        <f t="shared" si="1"/>
        <v>+20, 25, MARILL</v>
      </c>
    </row>
    <row r="2215" ht="12.75" customHeight="1">
      <c r="A2215" s="1" t="s">
        <v>2572</v>
      </c>
      <c r="B2215" s="1" t="str">
        <f t="shared" si="1"/>
        <v>20, # old rod:</v>
      </c>
    </row>
    <row r="2216" ht="12.75" customHeight="1">
      <c r="A2216" s="1" t="s">
        <v>417</v>
      </c>
      <c r="B2216" s="1" t="str">
        <f t="shared" si="1"/>
        <v>5, 5, MAGIKARP</v>
      </c>
    </row>
    <row r="2217" ht="12.75" customHeight="1">
      <c r="A2217" s="1" t="s">
        <v>418</v>
      </c>
      <c r="B2217" s="1" t="str">
        <f t="shared" si="1"/>
        <v>+5, 5, MAGIKARP</v>
      </c>
    </row>
    <row r="2218" ht="12.75" customHeight="1">
      <c r="A2218" s="2"/>
      <c r="B2218" s="1" t="str">
        <f t="shared" si="1"/>
        <v/>
      </c>
    </row>
    <row r="2219" ht="12.75" customHeight="1">
      <c r="A2219" s="1" t="s">
        <v>419</v>
      </c>
      <c r="B2219" s="1" t="str">
        <f t="shared" si="1"/>
        <v># good rod:</v>
      </c>
    </row>
    <row r="2220" ht="12.75" customHeight="1">
      <c r="A2220" s="1" t="s">
        <v>737</v>
      </c>
      <c r="B2220" s="1" t="str">
        <f t="shared" si="1"/>
        <v>+5, 15, POLIWAG</v>
      </c>
    </row>
    <row r="2221" ht="12.75" customHeight="1">
      <c r="A2221" s="1" t="s">
        <v>421</v>
      </c>
      <c r="B2221" s="1" t="str">
        <f t="shared" si="1"/>
        <v>+5, 15, MAGIKARP</v>
      </c>
    </row>
    <row r="2222" ht="12.75" customHeight="1">
      <c r="A2222" s="1" t="s">
        <v>736</v>
      </c>
      <c r="B2222" s="1" t="str">
        <f t="shared" si="1"/>
        <v>+5, 15, GOLDEEN</v>
      </c>
    </row>
    <row r="2223" ht="12.75" customHeight="1">
      <c r="A2223" s="2"/>
      <c r="B2223" s="1" t="str">
        <f t="shared" si="1"/>
        <v/>
      </c>
    </row>
    <row r="2224" ht="12.75" customHeight="1">
      <c r="A2224" s="1" t="s">
        <v>423</v>
      </c>
      <c r="B2224" s="1" t="str">
        <f t="shared" si="1"/>
        <v># super rod:</v>
      </c>
    </row>
    <row r="2225" ht="12.75" customHeight="1">
      <c r="A2225" s="1" t="s">
        <v>757</v>
      </c>
      <c r="B2225" s="1" t="str">
        <f t="shared" si="1"/>
        <v>+15, 25, POLIWAG</v>
      </c>
    </row>
    <row r="2226" ht="12.75" customHeight="1">
      <c r="A2226" s="1" t="s">
        <v>758</v>
      </c>
      <c r="B2226" s="1" t="str">
        <f t="shared" si="1"/>
        <v>+20, 30, POLIWHIRL</v>
      </c>
    </row>
    <row r="2227" ht="12.75" customHeight="1">
      <c r="A2227" s="1" t="s">
        <v>426</v>
      </c>
      <c r="B2227" s="1" t="str">
        <f t="shared" si="1"/>
        <v>+15, 25, GYARADOS</v>
      </c>
    </row>
    <row r="2228" ht="12.75" customHeight="1">
      <c r="A2228" s="1" t="s">
        <v>740</v>
      </c>
      <c r="B2228" s="1" t="str">
        <f t="shared" si="1"/>
        <v>+15, 25, SLOWPOKE</v>
      </c>
    </row>
    <row r="2229" ht="12.75" customHeight="1">
      <c r="A2229" s="1" t="s">
        <v>2552</v>
      </c>
      <c r="B2229" s="1" t="str">
        <f t="shared" si="1"/>
        <v>+25, 35, SLOWPOKE</v>
      </c>
    </row>
    <row r="2230" ht="12.75" customHeight="1">
      <c r="A2230" s="1" t="s">
        <v>2539</v>
      </c>
      <c r="B2230" s="1" t="str">
        <f t="shared" si="1"/>
        <v>NEW ROUTE</v>
      </c>
    </row>
    <row r="2231" ht="12.75" customHeight="1">
      <c r="A2231" s="1" t="s">
        <v>2697</v>
      </c>
      <c r="B2231" s="1" t="str">
        <f t="shared" si="1"/>
        <v>+3, 62, 0, &lt;null&gt;,</v>
      </c>
    </row>
    <row r="2232" ht="12.75" customHeight="1">
      <c r="A2232" s="2"/>
      <c r="B2232" s="1" t="str">
        <f t="shared" si="1"/>
        <v/>
      </c>
    </row>
    <row r="2233" ht="12.75" customHeight="1">
      <c r="A2233" s="1" t="s">
        <v>2651</v>
      </c>
      <c r="B2233" s="1" t="str">
        <f t="shared" si="1"/>
        <v>2, 5, 20, TENTACOOL</v>
      </c>
    </row>
    <row r="2234" ht="12.75" customHeight="1">
      <c r="A2234" s="1" t="s">
        <v>770</v>
      </c>
      <c r="B2234" s="1" t="str">
        <f t="shared" si="1"/>
        <v>+20, 35, TENTACOOL</v>
      </c>
    </row>
    <row r="2235" ht="12.75" customHeight="1">
      <c r="A2235" s="1" t="s">
        <v>909</v>
      </c>
      <c r="B2235" s="1" t="str">
        <f t="shared" si="1"/>
        <v>+35, 40, MANTINE</v>
      </c>
    </row>
    <row r="2236" ht="12.75" customHeight="1">
      <c r="A2236" s="1" t="s">
        <v>829</v>
      </c>
      <c r="B2236" s="1" t="str">
        <f t="shared" si="1"/>
        <v>+35, 40, TENTACRUEL</v>
      </c>
    </row>
    <row r="2237" ht="12.75" customHeight="1">
      <c r="A2237" s="1" t="s">
        <v>2675</v>
      </c>
      <c r="B2237" s="1" t="str">
        <f t="shared" si="1"/>
        <v>+35, 40, TENTACRUEL</v>
      </c>
    </row>
    <row r="2238" ht="12.75" customHeight="1">
      <c r="A2238" s="1" t="s">
        <v>2572</v>
      </c>
      <c r="B2238" s="1" t="str">
        <f t="shared" si="1"/>
        <v>20, # old rod:</v>
      </c>
    </row>
    <row r="2239" ht="12.75" customHeight="1">
      <c r="A2239" s="1" t="s">
        <v>417</v>
      </c>
      <c r="B2239" s="1" t="str">
        <f t="shared" si="1"/>
        <v>5, 5, MAGIKARP</v>
      </c>
    </row>
    <row r="2240" ht="12.75" customHeight="1">
      <c r="A2240" s="1" t="s">
        <v>418</v>
      </c>
      <c r="B2240" s="1" t="str">
        <f t="shared" si="1"/>
        <v>+5, 5, MAGIKARP</v>
      </c>
    </row>
    <row r="2241" ht="12.75" customHeight="1">
      <c r="A2241" s="2"/>
      <c r="B2241" s="1" t="str">
        <f t="shared" si="1"/>
        <v/>
      </c>
    </row>
    <row r="2242" ht="12.75" customHeight="1">
      <c r="A2242" s="1" t="s">
        <v>419</v>
      </c>
      <c r="B2242" s="1" t="str">
        <f t="shared" si="1"/>
        <v># good rod:</v>
      </c>
    </row>
    <row r="2243" ht="12.75" customHeight="1">
      <c r="A2243" s="1" t="s">
        <v>420</v>
      </c>
      <c r="B2243" s="1" t="str">
        <f t="shared" si="1"/>
        <v>+5, 15, KRABBY</v>
      </c>
    </row>
    <row r="2244" ht="12.75" customHeight="1">
      <c r="A2244" s="1" t="s">
        <v>421</v>
      </c>
      <c r="B2244" s="1" t="str">
        <f t="shared" si="1"/>
        <v>+5, 15, MAGIKARP</v>
      </c>
    </row>
    <row r="2245" ht="12.75" customHeight="1">
      <c r="A2245" s="1" t="s">
        <v>420</v>
      </c>
      <c r="B2245" s="1" t="str">
        <f t="shared" si="1"/>
        <v>+5, 15, KRABBY</v>
      </c>
    </row>
    <row r="2246" ht="12.75" customHeight="1">
      <c r="A2246" s="2"/>
      <c r="B2246" s="1" t="str">
        <f t="shared" si="1"/>
        <v/>
      </c>
    </row>
    <row r="2247" ht="12.75" customHeight="1">
      <c r="A2247" s="1" t="s">
        <v>423</v>
      </c>
      <c r="B2247" s="1" t="str">
        <f t="shared" si="1"/>
        <v># super rod:</v>
      </c>
    </row>
    <row r="2248" ht="12.75" customHeight="1">
      <c r="A2248" s="1" t="s">
        <v>424</v>
      </c>
      <c r="B2248" s="1" t="str">
        <f t="shared" si="1"/>
        <v>+15, 25, KRABBY</v>
      </c>
    </row>
    <row r="2249" ht="12.75" customHeight="1">
      <c r="A2249" s="1" t="s">
        <v>863</v>
      </c>
      <c r="B2249" s="1" t="str">
        <f t="shared" si="1"/>
        <v>+15, 25, REMORAID</v>
      </c>
    </row>
    <row r="2250" ht="12.75" customHeight="1">
      <c r="A2250" s="1" t="s">
        <v>426</v>
      </c>
      <c r="B2250" s="1" t="str">
        <f t="shared" si="1"/>
        <v>+15, 25, GYARADOS</v>
      </c>
    </row>
    <row r="2251" ht="12.75" customHeight="1">
      <c r="A2251" s="1" t="s">
        <v>774</v>
      </c>
      <c r="B2251" s="1" t="str">
        <f t="shared" si="1"/>
        <v>+25, 35, KINGLER</v>
      </c>
    </row>
    <row r="2252" ht="12.75" customHeight="1">
      <c r="A2252" s="1" t="s">
        <v>2552</v>
      </c>
      <c r="B2252" s="1" t="str">
        <f t="shared" si="1"/>
        <v>+25, 35, SLOWPOKE</v>
      </c>
    </row>
    <row r="2253" ht="12.75" customHeight="1">
      <c r="A2253" s="1" t="s">
        <v>2539</v>
      </c>
      <c r="B2253" s="1" t="str">
        <f t="shared" si="1"/>
        <v>NEW ROUTE</v>
      </c>
    </row>
    <row r="2254" ht="12.75" customHeight="1">
      <c r="A2254" s="1" t="s">
        <v>2698</v>
      </c>
      <c r="B2254" s="1" t="str">
        <f t="shared" si="1"/>
        <v>+3, 63, 0,</v>
      </c>
    </row>
    <row r="2255" ht="12.75" customHeight="1">
      <c r="A2255" s="1" t="s">
        <v>2568</v>
      </c>
      <c r="B2255" s="1" t="str">
        <f t="shared" si="1"/>
        <v>21, # 20%</v>
      </c>
    </row>
    <row r="2256" ht="12.75" customHeight="1">
      <c r="A2256" s="1" t="s">
        <v>887</v>
      </c>
      <c r="B2256" s="1" t="str">
        <f t="shared" si="1"/>
        <v>44, 44, SPEAROW</v>
      </c>
    </row>
    <row r="2257" ht="12.75" customHeight="1">
      <c r="A2257" s="1" t="s">
        <v>867</v>
      </c>
      <c r="B2257" s="1" t="str">
        <f t="shared" si="1"/>
        <v>+10, 10, SENTRET</v>
      </c>
    </row>
    <row r="2258" ht="12.75" customHeight="1">
      <c r="A2258" s="2"/>
      <c r="B2258" s="1" t="str">
        <f t="shared" si="1"/>
        <v/>
      </c>
    </row>
    <row r="2259" ht="12.75" customHeight="1">
      <c r="A2259" s="1" t="s">
        <v>360</v>
      </c>
      <c r="B2259" s="1" t="str">
        <f t="shared" si="1"/>
        <v># 10%</v>
      </c>
    </row>
    <row r="2260" ht="12.75" customHeight="1">
      <c r="A2260" s="1" t="s">
        <v>911</v>
      </c>
      <c r="B2260" s="1" t="str">
        <f t="shared" si="1"/>
        <v>+10, 10, PHANPY</v>
      </c>
    </row>
    <row r="2261" ht="12.75" customHeight="1">
      <c r="A2261" s="1" t="s">
        <v>889</v>
      </c>
      <c r="B2261" s="1" t="str">
        <f t="shared" si="1"/>
        <v>+48, 48, FEAROW</v>
      </c>
    </row>
    <row r="2262" ht="12.75" customHeight="1">
      <c r="A2262" s="1" t="s">
        <v>870</v>
      </c>
      <c r="B2262" s="1" t="str">
        <f t="shared" si="1"/>
        <v>+15, 15, SENTRET</v>
      </c>
    </row>
    <row r="2263" ht="12.75" customHeight="1">
      <c r="A2263" s="1" t="s">
        <v>871</v>
      </c>
      <c r="B2263" s="1" t="str">
        <f t="shared" si="1"/>
        <v>+41, 41, MEOWTH</v>
      </c>
    </row>
    <row r="2264" ht="12.75" customHeight="1">
      <c r="A2264" s="2"/>
      <c r="B2264" s="1" t="str">
        <f t="shared" si="1"/>
        <v/>
      </c>
    </row>
    <row r="2265" ht="12.75" customHeight="1">
      <c r="A2265" s="1" t="s">
        <v>361</v>
      </c>
      <c r="B2265" s="1" t="str">
        <f t="shared" si="1"/>
        <v># 5%</v>
      </c>
    </row>
    <row r="2266" ht="12.75" customHeight="1">
      <c r="A2266" s="1" t="s">
        <v>891</v>
      </c>
      <c r="B2266" s="1" t="str">
        <f t="shared" si="1"/>
        <v>+50, 50, FEAROW</v>
      </c>
    </row>
    <row r="2267" ht="12.75" customHeight="1">
      <c r="A2267" s="1" t="s">
        <v>749</v>
      </c>
      <c r="B2267" s="1" t="str">
        <f t="shared" si="1"/>
        <v>+41, 41, SLOWPOKE</v>
      </c>
    </row>
    <row r="2268" ht="12.75" customHeight="1">
      <c r="A2268" s="2"/>
      <c r="B2268" s="1" t="str">
        <f t="shared" si="1"/>
        <v/>
      </c>
    </row>
    <row r="2269" ht="12.75" customHeight="1">
      <c r="A2269" s="1" t="s">
        <v>362</v>
      </c>
      <c r="B2269" s="1" t="str">
        <f t="shared" si="1"/>
        <v># 4%</v>
      </c>
    </row>
    <row r="2270" ht="12.75" customHeight="1">
      <c r="A2270" s="1" t="s">
        <v>912</v>
      </c>
      <c r="B2270" s="1" t="str">
        <f t="shared" si="1"/>
        <v>+15, 15, PHANPY</v>
      </c>
    </row>
    <row r="2271" ht="12.75" customHeight="1">
      <c r="A2271" s="1" t="s">
        <v>874</v>
      </c>
      <c r="B2271" s="1" t="str">
        <f t="shared" si="1"/>
        <v>+47, 47, PERSIAN</v>
      </c>
    </row>
    <row r="2272" ht="12.75" customHeight="1">
      <c r="A2272" s="2"/>
      <c r="B2272" s="1" t="str">
        <f t="shared" si="1"/>
        <v/>
      </c>
    </row>
    <row r="2273" ht="12.75" customHeight="1">
      <c r="A2273" s="1" t="s">
        <v>363</v>
      </c>
      <c r="B2273" s="1" t="str">
        <f t="shared" si="1"/>
        <v># 1%</v>
      </c>
    </row>
    <row r="2274" ht="12.75" customHeight="1">
      <c r="A2274" s="1" t="s">
        <v>912</v>
      </c>
      <c r="B2274" s="1" t="str">
        <f t="shared" si="1"/>
        <v>+15, 15, PHANPY</v>
      </c>
    </row>
    <row r="2275" ht="12.75" customHeight="1">
      <c r="A2275" s="1" t="s">
        <v>2699</v>
      </c>
      <c r="B2275" s="1" t="str">
        <f t="shared" si="1"/>
        <v>+50, 50, PERSIAN , &lt;null&gt;, &lt;null&gt;, &lt;null&gt;</v>
      </c>
    </row>
    <row r="2276" ht="12.75" customHeight="1">
      <c r="A2276" s="2"/>
      <c r="B2276" s="1" t="str">
        <f t="shared" si="1"/>
        <v/>
      </c>
    </row>
    <row r="2277" ht="12.75" customHeight="1">
      <c r="A2277" s="1" t="s">
        <v>2539</v>
      </c>
      <c r="B2277" s="1" t="str">
        <f t="shared" si="1"/>
        <v>NEW ROUTE</v>
      </c>
    </row>
    <row r="2278" ht="12.75" customHeight="1">
      <c r="A2278" s="1" t="s">
        <v>2700</v>
      </c>
      <c r="B2278" s="1" t="str">
        <f t="shared" si="1"/>
        <v>+3, 64, 0,</v>
      </c>
    </row>
    <row r="2279" ht="12.75" customHeight="1">
      <c r="A2279" s="1" t="s">
        <v>2568</v>
      </c>
      <c r="B2279" s="1" t="str">
        <f t="shared" si="1"/>
        <v>21, # 20%</v>
      </c>
    </row>
    <row r="2280" ht="12.75" customHeight="1">
      <c r="A2280" s="1" t="s">
        <v>915</v>
      </c>
      <c r="B2280" s="1" t="str">
        <f t="shared" si="1"/>
        <v>46, 46, GEODUDE</v>
      </c>
    </row>
    <row r="2281" ht="12.75" customHeight="1">
      <c r="A2281" s="1" t="s">
        <v>912</v>
      </c>
      <c r="B2281" s="1" t="str">
        <f t="shared" si="1"/>
        <v>+15, 15, PHANPY</v>
      </c>
    </row>
    <row r="2282" ht="12.75" customHeight="1">
      <c r="A2282" s="2"/>
      <c r="B2282" s="1" t="str">
        <f t="shared" si="1"/>
        <v/>
      </c>
    </row>
    <row r="2283" ht="12.75" customHeight="1">
      <c r="A2283" s="1" t="s">
        <v>360</v>
      </c>
      <c r="B2283" s="1" t="str">
        <f t="shared" si="1"/>
        <v># 10%</v>
      </c>
    </row>
    <row r="2284" ht="12.75" customHeight="1">
      <c r="A2284" s="1" t="s">
        <v>916</v>
      </c>
      <c r="B2284" s="1" t="str">
        <f t="shared" si="1"/>
        <v>+46, 46, CUBONE</v>
      </c>
    </row>
    <row r="2285" ht="12.75" customHeight="1">
      <c r="A2285" s="1" t="s">
        <v>891</v>
      </c>
      <c r="B2285" s="1" t="str">
        <f t="shared" si="1"/>
        <v>+50, 50, FEAROW</v>
      </c>
    </row>
    <row r="2286" ht="12.75" customHeight="1">
      <c r="A2286" s="1" t="s">
        <v>917</v>
      </c>
      <c r="B2286" s="1" t="str">
        <f t="shared" si="1"/>
        <v>+52, 52, MAROWAK</v>
      </c>
    </row>
    <row r="2287" ht="12.75" customHeight="1">
      <c r="A2287" s="1" t="s">
        <v>899</v>
      </c>
      <c r="B2287" s="1" t="str">
        <f t="shared" si="1"/>
        <v>+43, 43, MEOWTH</v>
      </c>
    </row>
    <row r="2288" ht="12.75" customHeight="1">
      <c r="A2288" s="2"/>
      <c r="B2288" s="1" t="str">
        <f t="shared" si="1"/>
        <v/>
      </c>
    </row>
    <row r="2289" ht="12.75" customHeight="1">
      <c r="A2289" s="1" t="s">
        <v>361</v>
      </c>
      <c r="B2289" s="1" t="str">
        <f t="shared" si="1"/>
        <v># 5%</v>
      </c>
    </row>
    <row r="2290" ht="12.75" customHeight="1">
      <c r="A2290" s="1" t="s">
        <v>918</v>
      </c>
      <c r="B2290" s="1" t="str">
        <f t="shared" si="1"/>
        <v>+54, 54, ONIX</v>
      </c>
    </row>
    <row r="2291" ht="12.75" customHeight="1">
      <c r="A2291" s="1" t="s">
        <v>891</v>
      </c>
      <c r="B2291" s="1" t="str">
        <f t="shared" si="1"/>
        <v>+50, 50, FEAROW</v>
      </c>
    </row>
    <row r="2292" ht="12.75" customHeight="1">
      <c r="A2292" s="2"/>
      <c r="B2292" s="1" t="str">
        <f t="shared" si="1"/>
        <v/>
      </c>
    </row>
    <row r="2293" ht="12.75" customHeight="1">
      <c r="A2293" s="1" t="s">
        <v>362</v>
      </c>
      <c r="B2293" s="1" t="str">
        <f t="shared" si="1"/>
        <v># 4%</v>
      </c>
    </row>
    <row r="2294" ht="12.75" customHeight="1">
      <c r="A2294" s="1" t="s">
        <v>919</v>
      </c>
      <c r="B2294" s="1" t="str">
        <f t="shared" si="1"/>
        <v>+15, 15, LARVITAR</v>
      </c>
    </row>
    <row r="2295" ht="12.75" customHeight="1">
      <c r="A2295" s="1" t="s">
        <v>902</v>
      </c>
      <c r="B2295" s="1" t="str">
        <f t="shared" si="1"/>
        <v>+49, 49, PERSIAN</v>
      </c>
    </row>
    <row r="2296" ht="12.75" customHeight="1">
      <c r="A2296" s="2"/>
      <c r="B2296" s="1" t="str">
        <f t="shared" si="1"/>
        <v/>
      </c>
    </row>
    <row r="2297" ht="12.75" customHeight="1">
      <c r="A2297" s="1" t="s">
        <v>363</v>
      </c>
      <c r="B2297" s="1" t="str">
        <f t="shared" si="1"/>
        <v># 1%</v>
      </c>
    </row>
    <row r="2298" ht="12.75" customHeight="1">
      <c r="A2298" s="1" t="s">
        <v>920</v>
      </c>
      <c r="B2298" s="1" t="str">
        <f t="shared" si="1"/>
        <v>+20, 20, LARVITAR</v>
      </c>
    </row>
    <row r="2299" ht="12.75" customHeight="1">
      <c r="A2299" s="1" t="s">
        <v>2694</v>
      </c>
      <c r="B2299" s="1" t="str">
        <f t="shared" si="1"/>
        <v>+52, 52, PERSIAN</v>
      </c>
    </row>
    <row r="2300" ht="12.75" customHeight="1">
      <c r="A2300" s="1" t="s">
        <v>2701</v>
      </c>
      <c r="B2300" s="1" t="str">
        <f t="shared" si="1"/>
        <v>25, 25, 35, GEODUDE</v>
      </c>
    </row>
    <row r="2301" ht="12.75" customHeight="1">
      <c r="A2301" s="1" t="s">
        <v>687</v>
      </c>
      <c r="B2301" s="1" t="str">
        <f t="shared" si="1"/>
        <v>+30, 45, GRAVELER</v>
      </c>
    </row>
    <row r="2302" ht="12.75" customHeight="1">
      <c r="A2302" s="1" t="s">
        <v>688</v>
      </c>
      <c r="B2302" s="1" t="str">
        <f t="shared" si="1"/>
        <v>+35, 50, GRAVELER</v>
      </c>
    </row>
    <row r="2303" ht="12.75" customHeight="1">
      <c r="A2303" s="1" t="s">
        <v>689</v>
      </c>
      <c r="B2303" s="1" t="str">
        <f t="shared" si="1"/>
        <v>+30, 40, GEODUDE</v>
      </c>
    </row>
    <row r="2304" ht="12.75" customHeight="1">
      <c r="A2304" s="1" t="s">
        <v>2628</v>
      </c>
      <c r="B2304" s="1" t="str">
        <f t="shared" si="1"/>
        <v>+30, 40, GEODUDE , &lt;null&gt;</v>
      </c>
    </row>
    <row r="2305" ht="12.75" customHeight="1">
      <c r="A2305" s="2"/>
      <c r="B2305" s="1" t="str">
        <f t="shared" si="1"/>
        <v/>
      </c>
    </row>
    <row r="2306" ht="12.75" customHeight="1">
      <c r="A2306" s="1" t="s">
        <v>2539</v>
      </c>
      <c r="B2306" s="1" t="str">
        <f t="shared" si="1"/>
        <v>NEW ROUTE</v>
      </c>
    </row>
    <row r="2307" ht="12.75" customHeight="1">
      <c r="A2307" s="1" t="s">
        <v>2702</v>
      </c>
      <c r="B2307" s="1" t="str">
        <f t="shared" si="1"/>
        <v>+3, 65, 0, &lt;null&gt;,</v>
      </c>
    </row>
    <row r="2308" ht="12.75" customHeight="1">
      <c r="A2308" s="2"/>
      <c r="B2308" s="1" t="str">
        <f t="shared" si="1"/>
        <v/>
      </c>
    </row>
    <row r="2309" ht="12.75" customHeight="1">
      <c r="A2309" s="1" t="s">
        <v>2651</v>
      </c>
      <c r="B2309" s="1" t="str">
        <f t="shared" si="1"/>
        <v>2, 5, 20, TENTACOOL</v>
      </c>
    </row>
    <row r="2310" ht="12.75" customHeight="1">
      <c r="A2310" s="1" t="s">
        <v>770</v>
      </c>
      <c r="B2310" s="1" t="str">
        <f t="shared" si="1"/>
        <v>+20, 35, TENTACOOL</v>
      </c>
    </row>
    <row r="2311" ht="12.75" customHeight="1">
      <c r="A2311" s="1" t="s">
        <v>909</v>
      </c>
      <c r="B2311" s="1" t="str">
        <f t="shared" si="1"/>
        <v>+35, 40, MANTINE</v>
      </c>
    </row>
    <row r="2312" ht="12.75" customHeight="1">
      <c r="A2312" s="1" t="s">
        <v>829</v>
      </c>
      <c r="B2312" s="1" t="str">
        <f t="shared" si="1"/>
        <v>+35, 40, TENTACRUEL</v>
      </c>
    </row>
    <row r="2313" ht="12.75" customHeight="1">
      <c r="A2313" s="1" t="s">
        <v>2675</v>
      </c>
      <c r="B2313" s="1" t="str">
        <f t="shared" si="1"/>
        <v>+35, 40, TENTACRUEL</v>
      </c>
    </row>
    <row r="2314" ht="12.75" customHeight="1">
      <c r="A2314" s="1" t="s">
        <v>2572</v>
      </c>
      <c r="B2314" s="1" t="str">
        <f t="shared" si="1"/>
        <v>20, # old rod:</v>
      </c>
    </row>
    <row r="2315" ht="12.75" customHeight="1">
      <c r="A2315" s="1" t="s">
        <v>417</v>
      </c>
      <c r="B2315" s="1" t="str">
        <f t="shared" si="1"/>
        <v>5, 5, MAGIKARP</v>
      </c>
    </row>
    <row r="2316" ht="12.75" customHeight="1">
      <c r="A2316" s="1" t="s">
        <v>418</v>
      </c>
      <c r="B2316" s="1" t="str">
        <f t="shared" si="1"/>
        <v>+5, 5, MAGIKARP</v>
      </c>
    </row>
    <row r="2317" ht="12.75" customHeight="1">
      <c r="A2317" s="2"/>
      <c r="B2317" s="1" t="str">
        <f t="shared" si="1"/>
        <v/>
      </c>
    </row>
    <row r="2318" ht="12.75" customHeight="1">
      <c r="A2318" s="1" t="s">
        <v>419</v>
      </c>
      <c r="B2318" s="1" t="str">
        <f t="shared" si="1"/>
        <v># good rod:</v>
      </c>
    </row>
    <row r="2319" ht="12.75" customHeight="1">
      <c r="A2319" s="1" t="s">
        <v>420</v>
      </c>
      <c r="B2319" s="1" t="str">
        <f t="shared" si="1"/>
        <v>+5, 15, KRABBY</v>
      </c>
    </row>
    <row r="2320" ht="12.75" customHeight="1">
      <c r="A2320" s="1" t="s">
        <v>421</v>
      </c>
      <c r="B2320" s="1" t="str">
        <f t="shared" si="1"/>
        <v>+5, 15, MAGIKARP</v>
      </c>
    </row>
    <row r="2321" ht="12.75" customHeight="1">
      <c r="A2321" s="1" t="s">
        <v>420</v>
      </c>
      <c r="B2321" s="1" t="str">
        <f t="shared" si="1"/>
        <v>+5, 15, KRABBY</v>
      </c>
    </row>
    <row r="2322" ht="12.75" customHeight="1">
      <c r="A2322" s="2"/>
      <c r="B2322" s="1" t="str">
        <f t="shared" si="1"/>
        <v/>
      </c>
    </row>
    <row r="2323" ht="12.75" customHeight="1">
      <c r="A2323" s="1" t="s">
        <v>423</v>
      </c>
      <c r="B2323" s="1" t="str">
        <f t="shared" si="1"/>
        <v># super rod:</v>
      </c>
    </row>
    <row r="2324" ht="12.75" customHeight="1">
      <c r="A2324" s="1" t="s">
        <v>424</v>
      </c>
      <c r="B2324" s="1" t="str">
        <f t="shared" si="1"/>
        <v>+15, 25, KRABBY</v>
      </c>
    </row>
    <row r="2325" ht="12.75" customHeight="1">
      <c r="A2325" s="1" t="s">
        <v>863</v>
      </c>
      <c r="B2325" s="1" t="str">
        <f t="shared" si="1"/>
        <v>+15, 25, REMORAID</v>
      </c>
    </row>
    <row r="2326" ht="12.75" customHeight="1">
      <c r="A2326" s="1" t="s">
        <v>426</v>
      </c>
      <c r="B2326" s="1" t="str">
        <f t="shared" si="1"/>
        <v>+15, 25, GYARADOS</v>
      </c>
    </row>
    <row r="2327" ht="12.75" customHeight="1">
      <c r="A2327" s="1" t="s">
        <v>774</v>
      </c>
      <c r="B2327" s="1" t="str">
        <f t="shared" si="1"/>
        <v>+25, 35, KINGLER</v>
      </c>
    </row>
    <row r="2328" ht="12.75" customHeight="1">
      <c r="A2328" s="1" t="s">
        <v>2552</v>
      </c>
      <c r="B2328" s="1" t="str">
        <f t="shared" si="1"/>
        <v>+25, 35, SLOWPOKE</v>
      </c>
    </row>
    <row r="2329" ht="12.75" customHeight="1">
      <c r="A2329" s="1" t="s">
        <v>2539</v>
      </c>
      <c r="B2329" s="1" t="str">
        <f t="shared" si="1"/>
        <v>NEW ROUTE</v>
      </c>
    </row>
    <row r="2330" ht="12.75" customHeight="1">
      <c r="A2330" s="1" t="s">
        <v>2703</v>
      </c>
      <c r="B2330" s="1" t="str">
        <f t="shared" si="1"/>
        <v>+3, 19, 0,</v>
      </c>
    </row>
    <row r="2331" ht="12.75" customHeight="1">
      <c r="A2331" s="1" t="s">
        <v>2568</v>
      </c>
      <c r="B2331" s="1" t="str">
        <f t="shared" si="1"/>
        <v>21, # 20%</v>
      </c>
    </row>
    <row r="2332" ht="12.75" customHeight="1">
      <c r="A2332" s="1" t="s">
        <v>924</v>
      </c>
      <c r="B2332" s="1" t="str">
        <f t="shared" si="1"/>
        <v>2, 5, PIDGEY</v>
      </c>
    </row>
    <row r="2333" ht="12.75" customHeight="1">
      <c r="A2333" s="1" t="s">
        <v>925</v>
      </c>
      <c r="B2333" s="1" t="str">
        <f t="shared" si="1"/>
        <v>+2, 5, PIDGEY</v>
      </c>
    </row>
    <row r="2334" ht="12.75" customHeight="1">
      <c r="A2334" s="2"/>
      <c r="B2334" s="1" t="str">
        <f t="shared" si="1"/>
        <v/>
      </c>
    </row>
    <row r="2335" ht="12.75" customHeight="1">
      <c r="A2335" s="1" t="s">
        <v>360</v>
      </c>
      <c r="B2335" s="1" t="str">
        <f t="shared" si="1"/>
        <v># 10%</v>
      </c>
    </row>
    <row r="2336" ht="12.75" customHeight="1">
      <c r="A2336" s="1" t="s">
        <v>926</v>
      </c>
      <c r="B2336" s="1" t="str">
        <f t="shared" si="1"/>
        <v>+2, 4, RATTATA</v>
      </c>
    </row>
    <row r="2337" ht="12.75" customHeight="1">
      <c r="A2337" s="1" t="s">
        <v>926</v>
      </c>
      <c r="B2337" s="1" t="str">
        <f t="shared" si="1"/>
        <v>+2, 4, RATTATA</v>
      </c>
    </row>
    <row r="2338" ht="12.75" customHeight="1">
      <c r="A2338" s="1" t="s">
        <v>927</v>
      </c>
      <c r="B2338" s="1" t="str">
        <f t="shared" si="1"/>
        <v>+2, 4, BELLSPROUT</v>
      </c>
    </row>
    <row r="2339" ht="12.75" customHeight="1">
      <c r="A2339" s="1" t="s">
        <v>927</v>
      </c>
      <c r="B2339" s="1" t="str">
        <f t="shared" si="1"/>
        <v>+2, 4, BELLSPROUT</v>
      </c>
    </row>
    <row r="2340" ht="12.75" customHeight="1">
      <c r="A2340" s="2"/>
      <c r="B2340" s="1" t="str">
        <f t="shared" si="1"/>
        <v/>
      </c>
    </row>
    <row r="2341" ht="12.75" customHeight="1">
      <c r="A2341" s="1" t="s">
        <v>361</v>
      </c>
      <c r="B2341" s="1" t="str">
        <f t="shared" si="1"/>
        <v># 5%</v>
      </c>
    </row>
    <row r="2342" ht="12.75" customHeight="1">
      <c r="A2342" s="1" t="s">
        <v>928</v>
      </c>
      <c r="B2342" s="1" t="str">
        <f t="shared" si="1"/>
        <v>+2, 4, ODDISH</v>
      </c>
    </row>
    <row r="2343" ht="12.75" customHeight="1">
      <c r="A2343" s="1" t="s">
        <v>928</v>
      </c>
      <c r="B2343" s="1" t="str">
        <f t="shared" si="1"/>
        <v>+2, 4, ODDISH</v>
      </c>
    </row>
    <row r="2344" ht="12.75" customHeight="1">
      <c r="A2344" s="2"/>
      <c r="B2344" s="1" t="str">
        <f t="shared" si="1"/>
        <v/>
      </c>
    </row>
    <row r="2345" ht="12.75" customHeight="1">
      <c r="A2345" s="1" t="s">
        <v>362</v>
      </c>
      <c r="B2345" s="1" t="str">
        <f t="shared" si="1"/>
        <v># 4%</v>
      </c>
    </row>
    <row r="2346" ht="12.75" customHeight="1">
      <c r="A2346" s="1" t="s">
        <v>929</v>
      </c>
      <c r="B2346" s="1" t="str">
        <f t="shared" si="1"/>
        <v>+2, 4, VENONAT</v>
      </c>
    </row>
    <row r="2347" ht="12.75" customHeight="1">
      <c r="A2347" s="1" t="s">
        <v>929</v>
      </c>
      <c r="B2347" s="1" t="str">
        <f t="shared" si="1"/>
        <v>+2, 4, VENONAT</v>
      </c>
    </row>
    <row r="2348" ht="12.75" customHeight="1">
      <c r="A2348" s="2"/>
      <c r="B2348" s="1" t="str">
        <f t="shared" si="1"/>
        <v/>
      </c>
    </row>
    <row r="2349" ht="12.75" customHeight="1">
      <c r="A2349" s="1" t="s">
        <v>363</v>
      </c>
      <c r="B2349" s="1" t="str">
        <f t="shared" si="1"/>
        <v># 1%</v>
      </c>
    </row>
    <row r="2350" ht="12.75" customHeight="1">
      <c r="A2350" s="1" t="s">
        <v>930</v>
      </c>
      <c r="B2350" s="1" t="str">
        <f t="shared" si="1"/>
        <v>+3, 3, EEVEE</v>
      </c>
    </row>
    <row r="2351" ht="12.75" customHeight="1">
      <c r="A2351" s="1" t="s">
        <v>2704</v>
      </c>
      <c r="B2351" s="1" t="str">
        <f t="shared" si="1"/>
        <v>+3, 3, EEVEE , &lt;null&gt;, &lt;null&gt;, &lt;null&gt;</v>
      </c>
    </row>
    <row r="2352" ht="12.75" customHeight="1">
      <c r="A2352" s="2"/>
      <c r="B2352" s="1" t="str">
        <f t="shared" si="1"/>
        <v/>
      </c>
    </row>
    <row r="2353" ht="12.75" customHeight="1">
      <c r="A2353" s="1" t="s">
        <v>2539</v>
      </c>
      <c r="B2353" s="1" t="str">
        <f t="shared" si="1"/>
        <v>NEW ROUTE</v>
      </c>
    </row>
    <row r="2354" ht="12.75" customHeight="1">
      <c r="A2354" s="1" t="s">
        <v>2705</v>
      </c>
      <c r="B2354" s="1" t="str">
        <f t="shared" si="1"/>
        <v>+3, 20, 0,</v>
      </c>
    </row>
    <row r="2355" ht="12.75" customHeight="1">
      <c r="A2355" s="1" t="s">
        <v>2568</v>
      </c>
      <c r="B2355" s="1" t="str">
        <f t="shared" si="1"/>
        <v>21, # 20%</v>
      </c>
    </row>
    <row r="2356" ht="12.75" customHeight="1">
      <c r="A2356" s="1" t="s">
        <v>933</v>
      </c>
      <c r="B2356" s="1" t="str">
        <f t="shared" si="1"/>
        <v>3, 5, CATERPIE</v>
      </c>
    </row>
    <row r="2357" ht="12.75" customHeight="1">
      <c r="A2357" s="1" t="s">
        <v>934</v>
      </c>
      <c r="B2357" s="1" t="str">
        <f t="shared" si="1"/>
        <v>+3, 5, WEEDLE</v>
      </c>
    </row>
    <row r="2358" ht="12.75" customHeight="1">
      <c r="A2358" s="2"/>
      <c r="B2358" s="1" t="str">
        <f t="shared" si="1"/>
        <v/>
      </c>
    </row>
    <row r="2359" ht="12.75" customHeight="1">
      <c r="A2359" s="1" t="s">
        <v>360</v>
      </c>
      <c r="B2359" s="1" t="str">
        <f t="shared" si="1"/>
        <v># 10%</v>
      </c>
    </row>
    <row r="2360" ht="12.75" customHeight="1">
      <c r="A2360" s="1" t="s">
        <v>935</v>
      </c>
      <c r="B2360" s="1" t="str">
        <f t="shared" si="1"/>
        <v>+4, 6, PIDGEY</v>
      </c>
    </row>
    <row r="2361" ht="12.75" customHeight="1">
      <c r="A2361" s="1" t="s">
        <v>936</v>
      </c>
      <c r="B2361" s="1" t="str">
        <f t="shared" si="1"/>
        <v>+4, 6, RATTATA</v>
      </c>
    </row>
    <row r="2362" ht="12.75" customHeight="1">
      <c r="A2362" s="1" t="s">
        <v>936</v>
      </c>
      <c r="B2362" s="1" t="str">
        <f t="shared" si="1"/>
        <v>+4, 6, RATTATA</v>
      </c>
    </row>
    <row r="2363" ht="12.75" customHeight="1">
      <c r="A2363" s="1" t="s">
        <v>935</v>
      </c>
      <c r="B2363" s="1" t="str">
        <f t="shared" si="1"/>
        <v>+4, 6, PIDGEY</v>
      </c>
    </row>
    <row r="2364" ht="12.75" customHeight="1">
      <c r="A2364" s="2"/>
      <c r="B2364" s="1" t="str">
        <f t="shared" si="1"/>
        <v/>
      </c>
    </row>
    <row r="2365" ht="12.75" customHeight="1">
      <c r="A2365" s="1" t="s">
        <v>361</v>
      </c>
      <c r="B2365" s="1" t="str">
        <f t="shared" si="1"/>
        <v># 5%</v>
      </c>
    </row>
    <row r="2366" ht="12.75" customHeight="1">
      <c r="A2366" s="1" t="s">
        <v>937</v>
      </c>
      <c r="B2366" s="1" t="str">
        <f t="shared" si="1"/>
        <v>+5, 8, MEOWTH</v>
      </c>
    </row>
    <row r="2367" ht="12.75" customHeight="1">
      <c r="A2367" s="1" t="s">
        <v>938</v>
      </c>
      <c r="B2367" s="1" t="str">
        <f t="shared" si="1"/>
        <v>+5, 8, FARFETCH'D</v>
      </c>
    </row>
    <row r="2368" ht="12.75" customHeight="1">
      <c r="A2368" s="2"/>
      <c r="B2368" s="1" t="str">
        <f t="shared" si="1"/>
        <v/>
      </c>
    </row>
    <row r="2369" ht="12.75" customHeight="1">
      <c r="A2369" s="1" t="s">
        <v>362</v>
      </c>
      <c r="B2369" s="1" t="str">
        <f t="shared" si="1"/>
        <v># 4%</v>
      </c>
    </row>
    <row r="2370" ht="12.75" customHeight="1">
      <c r="A2370" s="1" t="s">
        <v>939</v>
      </c>
      <c r="B2370" s="1" t="str">
        <f t="shared" si="1"/>
        <v>+5, 8, MAGNEMITE</v>
      </c>
    </row>
    <row r="2371" ht="12.75" customHeight="1">
      <c r="A2371" s="1" t="s">
        <v>940</v>
      </c>
      <c r="B2371" s="1" t="str">
        <f t="shared" si="1"/>
        <v>+5, 8, GROWLITHE</v>
      </c>
    </row>
    <row r="2372" ht="12.75" customHeight="1">
      <c r="A2372" s="2"/>
      <c r="B2372" s="1" t="str">
        <f t="shared" si="1"/>
        <v/>
      </c>
    </row>
    <row r="2373" ht="12.75" customHeight="1">
      <c r="A2373" s="1" t="s">
        <v>363</v>
      </c>
      <c r="B2373" s="1" t="str">
        <f t="shared" si="1"/>
        <v># 1%</v>
      </c>
    </row>
    <row r="2374" ht="12.75" customHeight="1">
      <c r="A2374" s="1" t="s">
        <v>941</v>
      </c>
      <c r="B2374" s="1" t="str">
        <f t="shared" si="1"/>
        <v>+7, 7, MAGNEMITE</v>
      </c>
    </row>
    <row r="2375" ht="12.75" customHeight="1">
      <c r="A2375" s="1" t="s">
        <v>2706</v>
      </c>
      <c r="B2375" s="1" t="str">
        <f t="shared" si="1"/>
        <v>+7, 7, GROWLITHE , &lt;null&gt;, &lt;null&gt;, &lt;null&gt;</v>
      </c>
    </row>
    <row r="2376" ht="12.75" customHeight="1">
      <c r="A2376" s="2"/>
      <c r="B2376" s="1" t="str">
        <f t="shared" si="1"/>
        <v/>
      </c>
    </row>
    <row r="2377" ht="12.75" customHeight="1">
      <c r="A2377" s="1" t="s">
        <v>2539</v>
      </c>
      <c r="B2377" s="1" t="str">
        <f t="shared" si="1"/>
        <v>NEW ROUTE</v>
      </c>
    </row>
    <row r="2378" ht="12.75" customHeight="1">
      <c r="A2378" s="1" t="s">
        <v>2707</v>
      </c>
      <c r="B2378" s="1" t="str">
        <f t="shared" si="1"/>
        <v>+3, 21, 0,</v>
      </c>
    </row>
    <row r="2379" ht="12.75" customHeight="1">
      <c r="A2379" s="1" t="s">
        <v>2568</v>
      </c>
      <c r="B2379" s="1" t="str">
        <f t="shared" si="1"/>
        <v>21, # 20%</v>
      </c>
    </row>
    <row r="2380" ht="12.75" customHeight="1">
      <c r="A2380" s="1" t="s">
        <v>944</v>
      </c>
      <c r="B2380" s="1" t="str">
        <f t="shared" si="1"/>
        <v>7, 9, SPEAROW</v>
      </c>
    </row>
    <row r="2381" ht="12.75" customHeight="1">
      <c r="A2381" s="1" t="s">
        <v>945</v>
      </c>
      <c r="B2381" s="1" t="str">
        <f t="shared" si="1"/>
        <v>+7, 9, PIDGEY</v>
      </c>
    </row>
    <row r="2382" ht="12.75" customHeight="1">
      <c r="A2382" s="2"/>
      <c r="B2382" s="1" t="str">
        <f t="shared" si="1"/>
        <v/>
      </c>
    </row>
    <row r="2383" ht="12.75" customHeight="1">
      <c r="A2383" s="1" t="s">
        <v>360</v>
      </c>
      <c r="B2383" s="1" t="str">
        <f t="shared" si="1"/>
        <v># 10%</v>
      </c>
    </row>
    <row r="2384" ht="12.75" customHeight="1">
      <c r="A2384" s="1" t="s">
        <v>946</v>
      </c>
      <c r="B2384" s="1" t="str">
        <f t="shared" si="1"/>
        <v>+8, 10, NIDORAN\sf</v>
      </c>
    </row>
    <row r="2385" ht="12.75" customHeight="1">
      <c r="A2385" s="1" t="s">
        <v>947</v>
      </c>
      <c r="B2385" s="1" t="str">
        <f t="shared" si="1"/>
        <v>+8, 10, NIDORAN\sm</v>
      </c>
    </row>
    <row r="2386" ht="12.75" customHeight="1">
      <c r="A2386" s="1" t="s">
        <v>948</v>
      </c>
      <c r="B2386" s="1" t="str">
        <f t="shared" si="1"/>
        <v>+8, 10, EKANS</v>
      </c>
    </row>
    <row r="2387" ht="12.75" customHeight="1">
      <c r="A2387" s="1" t="s">
        <v>949</v>
      </c>
      <c r="B2387" s="1" t="str">
        <f t="shared" si="1"/>
        <v>+8, 10, SANDSHREW</v>
      </c>
    </row>
    <row r="2388" ht="12.75" customHeight="1">
      <c r="A2388" s="2"/>
      <c r="B2388" s="1" t="str">
        <f t="shared" si="1"/>
        <v/>
      </c>
    </row>
    <row r="2389" ht="12.75" customHeight="1">
      <c r="A2389" s="1" t="s">
        <v>361</v>
      </c>
      <c r="B2389" s="1" t="str">
        <f t="shared" si="1"/>
        <v># 5%</v>
      </c>
    </row>
    <row r="2390" ht="12.75" customHeight="1">
      <c r="A2390" s="1" t="s">
        <v>950</v>
      </c>
      <c r="B2390" s="1" t="str">
        <f t="shared" si="1"/>
        <v>+9, 10, JIGGLYPUFF</v>
      </c>
    </row>
    <row r="2391" ht="12.75" customHeight="1">
      <c r="A2391" s="1" t="s">
        <v>951</v>
      </c>
      <c r="B2391" s="1" t="str">
        <f t="shared" si="1"/>
        <v>+9, 10, CLEFAIRY</v>
      </c>
    </row>
    <row r="2392" ht="12.75" customHeight="1">
      <c r="A2392" s="2"/>
      <c r="B2392" s="1" t="str">
        <f t="shared" si="1"/>
        <v/>
      </c>
    </row>
    <row r="2393" ht="12.75" customHeight="1">
      <c r="A2393" s="1" t="s">
        <v>362</v>
      </c>
      <c r="B2393" s="1" t="str">
        <f t="shared" si="1"/>
        <v># 4%</v>
      </c>
    </row>
    <row r="2394" ht="12.75" customHeight="1">
      <c r="A2394" s="1" t="s">
        <v>952</v>
      </c>
      <c r="B2394" s="1" t="str">
        <f t="shared" si="1"/>
        <v>+9, 11, MACHOP</v>
      </c>
    </row>
    <row r="2395" ht="12.75" customHeight="1">
      <c r="A2395" s="1" t="s">
        <v>952</v>
      </c>
      <c r="B2395" s="1" t="str">
        <f t="shared" si="1"/>
        <v>+9, 11, MACHOP</v>
      </c>
    </row>
    <row r="2396" ht="12.75" customHeight="1">
      <c r="A2396" s="2"/>
      <c r="B2396" s="1" t="str">
        <f t="shared" si="1"/>
        <v/>
      </c>
    </row>
    <row r="2397" ht="12.75" customHeight="1">
      <c r="A2397" s="1" t="s">
        <v>363</v>
      </c>
      <c r="B2397" s="1" t="str">
        <f t="shared" si="1"/>
        <v># 1%</v>
      </c>
    </row>
    <row r="2398" ht="12.75" customHeight="1">
      <c r="A2398" s="1" t="s">
        <v>953</v>
      </c>
      <c r="B2398" s="1" t="str">
        <f t="shared" si="1"/>
        <v>+10, 13, NIDORAN\sf</v>
      </c>
    </row>
    <row r="2399" ht="12.75" customHeight="1">
      <c r="A2399" s="1" t="s">
        <v>2708</v>
      </c>
      <c r="B2399" s="1" t="str">
        <f t="shared" si="1"/>
        <v>+10, 13, NIDORAN\sm , &lt;null&gt;, &lt;null&gt;, &lt;null&gt;</v>
      </c>
    </row>
    <row r="2400" ht="12.75" customHeight="1">
      <c r="A2400" s="2"/>
      <c r="B2400" s="1" t="str">
        <f t="shared" si="1"/>
        <v/>
      </c>
    </row>
    <row r="2401" ht="12.75" customHeight="1">
      <c r="A2401" s="1" t="s">
        <v>2539</v>
      </c>
      <c r="B2401" s="1" t="str">
        <f t="shared" si="1"/>
        <v>NEW ROUTE</v>
      </c>
    </row>
    <row r="2402" ht="12.75" customHeight="1">
      <c r="A2402" s="1" t="s">
        <v>2709</v>
      </c>
      <c r="B2402" s="1" t="str">
        <f t="shared" si="1"/>
        <v>+3, 22, 0,</v>
      </c>
    </row>
    <row r="2403" ht="12.75" customHeight="1">
      <c r="A2403" s="1" t="s">
        <v>2568</v>
      </c>
      <c r="B2403" s="1" t="str">
        <f t="shared" si="1"/>
        <v>21, # 20%</v>
      </c>
    </row>
    <row r="2404" ht="12.75" customHeight="1">
      <c r="A2404" s="1" t="s">
        <v>956</v>
      </c>
      <c r="B2404" s="1" t="str">
        <f t="shared" si="1"/>
        <v>13, 16, RATTATA</v>
      </c>
    </row>
    <row r="2405" ht="12.75" customHeight="1">
      <c r="A2405" s="1" t="s">
        <v>957</v>
      </c>
      <c r="B2405" s="1" t="str">
        <f t="shared" si="1"/>
        <v>+13, 16, SPEAROW</v>
      </c>
    </row>
    <row r="2406" ht="12.75" customHeight="1">
      <c r="A2406" s="2"/>
      <c r="B2406" s="1" t="str">
        <f t="shared" si="1"/>
        <v/>
      </c>
    </row>
    <row r="2407" ht="12.75" customHeight="1">
      <c r="A2407" s="1" t="s">
        <v>360</v>
      </c>
      <c r="B2407" s="1" t="str">
        <f t="shared" si="1"/>
        <v># 10%</v>
      </c>
    </row>
    <row r="2408" ht="12.75" customHeight="1">
      <c r="A2408" s="1" t="s">
        <v>958</v>
      </c>
      <c r="B2408" s="1" t="str">
        <f t="shared" si="1"/>
        <v>+14, 16, PSYDUCK</v>
      </c>
    </row>
    <row r="2409" ht="12.75" customHeight="1">
      <c r="A2409" s="1" t="s">
        <v>959</v>
      </c>
      <c r="B2409" s="1" t="str">
        <f t="shared" si="1"/>
        <v>+14, 16, NIDORAN\sm</v>
      </c>
    </row>
    <row r="2410" ht="12.75" customHeight="1">
      <c r="A2410" s="1" t="s">
        <v>960</v>
      </c>
      <c r="B2410" s="1" t="str">
        <f t="shared" si="1"/>
        <v>+14, 16, NIDORAN\sf</v>
      </c>
    </row>
    <row r="2411" ht="12.75" customHeight="1">
      <c r="A2411" s="1" t="s">
        <v>961</v>
      </c>
      <c r="B2411" s="1" t="str">
        <f t="shared" si="1"/>
        <v>+14, 16, EKANS</v>
      </c>
    </row>
    <row r="2412" ht="12.75" customHeight="1">
      <c r="A2412" s="2"/>
      <c r="B2412" s="1" t="str">
        <f t="shared" si="1"/>
        <v/>
      </c>
    </row>
    <row r="2413" ht="12.75" customHeight="1">
      <c r="A2413" s="1" t="s">
        <v>361</v>
      </c>
      <c r="B2413" s="1" t="str">
        <f t="shared" si="1"/>
        <v># 5%</v>
      </c>
    </row>
    <row r="2414" ht="12.75" customHeight="1">
      <c r="A2414" s="1" t="s">
        <v>962</v>
      </c>
      <c r="B2414" s="1" t="str">
        <f t="shared" si="1"/>
        <v>+15, 15, JIGGLYPUFF</v>
      </c>
    </row>
    <row r="2415" ht="12.75" customHeight="1">
      <c r="A2415" s="1" t="s">
        <v>963</v>
      </c>
      <c r="B2415" s="1" t="str">
        <f t="shared" si="1"/>
        <v>+15, 15, CLEFAIRY</v>
      </c>
    </row>
    <row r="2416" ht="12.75" customHeight="1">
      <c r="A2416" s="2"/>
      <c r="B2416" s="1" t="str">
        <f t="shared" si="1"/>
        <v/>
      </c>
    </row>
    <row r="2417" ht="12.75" customHeight="1">
      <c r="A2417" s="1" t="s">
        <v>362</v>
      </c>
      <c r="B2417" s="1" t="str">
        <f t="shared" si="1"/>
        <v># 4%</v>
      </c>
    </row>
    <row r="2418" ht="12.75" customHeight="1">
      <c r="A2418" s="1" t="s">
        <v>964</v>
      </c>
      <c r="B2418" s="1" t="str">
        <f t="shared" si="1"/>
        <v>+13, 18, MANKEY</v>
      </c>
    </row>
    <row r="2419" ht="12.75" customHeight="1">
      <c r="A2419" s="1" t="s">
        <v>965</v>
      </c>
      <c r="B2419" s="1" t="str">
        <f t="shared" si="1"/>
        <v>+13, 18, MACHOP</v>
      </c>
    </row>
    <row r="2420" ht="12.75" customHeight="1">
      <c r="A2420" s="2"/>
      <c r="B2420" s="1" t="str">
        <f t="shared" si="1"/>
        <v/>
      </c>
    </row>
    <row r="2421" ht="12.75" customHeight="1">
      <c r="A2421" s="1" t="s">
        <v>363</v>
      </c>
      <c r="B2421" s="1" t="str">
        <f t="shared" si="1"/>
        <v># 1%</v>
      </c>
    </row>
    <row r="2422" ht="12.75" customHeight="1">
      <c r="A2422" s="1" t="s">
        <v>966</v>
      </c>
      <c r="B2422" s="1" t="str">
        <f t="shared" si="1"/>
        <v>+16, 16, NIDORINO</v>
      </c>
    </row>
    <row r="2423" ht="12.75" customHeight="1">
      <c r="A2423" s="1" t="s">
        <v>2710</v>
      </c>
      <c r="B2423" s="1" t="str">
        <f t="shared" si="1"/>
        <v>+16, 16, NIDORINA</v>
      </c>
    </row>
    <row r="2424" ht="12.75" customHeight="1">
      <c r="A2424" s="1" t="s">
        <v>2711</v>
      </c>
      <c r="B2424" s="1" t="str">
        <f t="shared" si="1"/>
        <v>2, 38, 42, TENTACOOL</v>
      </c>
    </row>
    <row r="2425" ht="12.75" customHeight="1">
      <c r="A2425" s="1" t="s">
        <v>968</v>
      </c>
      <c r="B2425" s="1" t="str">
        <f t="shared" si="1"/>
        <v>+40, 44, PSYDUCK</v>
      </c>
    </row>
    <row r="2426" ht="12.75" customHeight="1">
      <c r="A2426" s="1" t="s">
        <v>969</v>
      </c>
      <c r="B2426" s="1" t="str">
        <f t="shared" si="1"/>
        <v>+42, 46, TENTACRUEL</v>
      </c>
    </row>
    <row r="2427" ht="12.75" customHeight="1">
      <c r="A2427" s="1" t="s">
        <v>498</v>
      </c>
      <c r="B2427" s="1" t="str">
        <f t="shared" si="1"/>
        <v>+42, 46, GOLDUCK</v>
      </c>
    </row>
    <row r="2428" ht="12.75" customHeight="1">
      <c r="A2428" s="1" t="s">
        <v>2571</v>
      </c>
      <c r="B2428" s="1" t="str">
        <f t="shared" si="1"/>
        <v>+44, 48, VAPOREON</v>
      </c>
    </row>
    <row r="2429" ht="12.75" customHeight="1">
      <c r="A2429" s="1" t="s">
        <v>2572</v>
      </c>
      <c r="B2429" s="1" t="str">
        <f t="shared" si="1"/>
        <v>20, # old rod:</v>
      </c>
    </row>
    <row r="2430" ht="12.75" customHeight="1">
      <c r="A2430" s="1" t="s">
        <v>500</v>
      </c>
      <c r="B2430" s="1" t="str">
        <f t="shared" si="1"/>
        <v>19, 26, MAGIKARP</v>
      </c>
    </row>
    <row r="2431" ht="12.75" customHeight="1">
      <c r="A2431" s="1" t="s">
        <v>970</v>
      </c>
      <c r="B2431" s="1" t="str">
        <f t="shared" si="1"/>
        <v>+19, 26, GYARADOS</v>
      </c>
    </row>
    <row r="2432" ht="12.75" customHeight="1">
      <c r="A2432" s="2"/>
      <c r="B2432" s="1" t="str">
        <f t="shared" si="1"/>
        <v/>
      </c>
    </row>
    <row r="2433" ht="12.75" customHeight="1">
      <c r="A2433" s="1" t="s">
        <v>419</v>
      </c>
      <c r="B2433" s="1" t="str">
        <f t="shared" si="1"/>
        <v># good rod:</v>
      </c>
    </row>
    <row r="2434" ht="12.75" customHeight="1">
      <c r="A2434" s="1" t="s">
        <v>971</v>
      </c>
      <c r="B2434" s="1" t="str">
        <f t="shared" si="1"/>
        <v>+29, 33, SLOWPOKE</v>
      </c>
    </row>
    <row r="2435" ht="12.75" customHeight="1">
      <c r="A2435" s="1" t="s">
        <v>605</v>
      </c>
      <c r="B2435" s="1" t="str">
        <f t="shared" si="1"/>
        <v>+30, 35, KRABBY</v>
      </c>
    </row>
    <row r="2436" ht="12.75" customHeight="1">
      <c r="A2436" s="1" t="s">
        <v>972</v>
      </c>
      <c r="B2436" s="1" t="str">
        <f t="shared" si="1"/>
        <v>+30, 35, PSYDUCK</v>
      </c>
    </row>
    <row r="2437" ht="12.75" customHeight="1">
      <c r="A2437" s="2"/>
      <c r="B2437" s="1" t="str">
        <f t="shared" si="1"/>
        <v/>
      </c>
    </row>
    <row r="2438" ht="12.75" customHeight="1">
      <c r="A2438" s="1" t="s">
        <v>423</v>
      </c>
      <c r="B2438" s="1" t="str">
        <f t="shared" si="1"/>
        <v># super rod:</v>
      </c>
    </row>
    <row r="2439" ht="12.75" customHeight="1">
      <c r="A2439" s="1" t="s">
        <v>973</v>
      </c>
      <c r="B2439" s="1" t="str">
        <f t="shared" si="1"/>
        <v>+36, 40, SLOWBRO</v>
      </c>
    </row>
    <row r="2440" ht="12.75" customHeight="1">
      <c r="A2440" s="1" t="s">
        <v>974</v>
      </c>
      <c r="B2440" s="1" t="str">
        <f t="shared" si="1"/>
        <v>+36, 40, GYARADOS</v>
      </c>
    </row>
    <row r="2441" ht="12.75" customHeight="1">
      <c r="A2441" s="1" t="s">
        <v>975</v>
      </c>
      <c r="B2441" s="1" t="str">
        <f t="shared" si="1"/>
        <v>+38, 42, GOLDUCK</v>
      </c>
    </row>
    <row r="2442" ht="12.75" customHeight="1">
      <c r="A2442" s="1" t="s">
        <v>976</v>
      </c>
      <c r="B2442" s="1" t="str">
        <f t="shared" si="1"/>
        <v>+38, 42, KINGLER</v>
      </c>
    </row>
    <row r="2443" ht="12.75" customHeight="1">
      <c r="A2443" s="1" t="s">
        <v>2712</v>
      </c>
      <c r="B2443" s="1" t="str">
        <f t="shared" si="1"/>
        <v>+40, 44, SLOWMATE</v>
      </c>
    </row>
    <row r="2444" ht="12.75" customHeight="1">
      <c r="A2444" s="1" t="s">
        <v>2539</v>
      </c>
      <c r="B2444" s="1" t="str">
        <f t="shared" si="1"/>
        <v>NEW ROUTE</v>
      </c>
    </row>
    <row r="2445" ht="12.75" customHeight="1">
      <c r="A2445" s="1" t="s">
        <v>2713</v>
      </c>
      <c r="B2445" s="1" t="str">
        <f t="shared" si="1"/>
        <v>+3, 23, 0,</v>
      </c>
    </row>
    <row r="2446" ht="12.75" customHeight="1">
      <c r="A2446" s="1" t="s">
        <v>2568</v>
      </c>
      <c r="B2446" s="1" t="str">
        <f t="shared" si="1"/>
        <v>21, # 20%</v>
      </c>
    </row>
    <row r="2447" ht="12.75" customHeight="1">
      <c r="A2447" s="1" t="s">
        <v>979</v>
      </c>
      <c r="B2447" s="1" t="str">
        <f t="shared" si="1"/>
        <v>15, 17, PIDGEY</v>
      </c>
    </row>
    <row r="2448" ht="12.75" customHeight="1">
      <c r="A2448" s="1" t="s">
        <v>980</v>
      </c>
      <c r="B2448" s="1" t="str">
        <f t="shared" si="1"/>
        <v>+15, 17, MEOWTH</v>
      </c>
    </row>
    <row r="2449" ht="12.75" customHeight="1">
      <c r="A2449" s="2"/>
      <c r="B2449" s="1" t="str">
        <f t="shared" si="1"/>
        <v/>
      </c>
    </row>
    <row r="2450" ht="12.75" customHeight="1">
      <c r="A2450" s="1" t="s">
        <v>360</v>
      </c>
      <c r="B2450" s="1" t="str">
        <f t="shared" si="1"/>
        <v># 10%</v>
      </c>
    </row>
    <row r="2451" ht="12.75" customHeight="1">
      <c r="A2451" s="1" t="s">
        <v>981</v>
      </c>
      <c r="B2451" s="1" t="str">
        <f t="shared" si="1"/>
        <v>+16, 19, ODDISH</v>
      </c>
    </row>
    <row r="2452" ht="12.75" customHeight="1">
      <c r="A2452" s="1" t="s">
        <v>982</v>
      </c>
      <c r="B2452" s="1" t="str">
        <f t="shared" si="1"/>
        <v>+16, 19, BELLSPROUT</v>
      </c>
    </row>
    <row r="2453" ht="12.75" customHeight="1">
      <c r="A2453" s="1" t="s">
        <v>983</v>
      </c>
      <c r="B2453" s="1" t="str">
        <f t="shared" si="1"/>
        <v>+16, 19, EKANS</v>
      </c>
    </row>
    <row r="2454" ht="12.75" customHeight="1">
      <c r="A2454" s="1" t="s">
        <v>984</v>
      </c>
      <c r="B2454" s="1" t="str">
        <f t="shared" si="1"/>
        <v>+16, 19, PARAS</v>
      </c>
    </row>
    <row r="2455" ht="12.75" customHeight="1">
      <c r="A2455" s="2"/>
      <c r="B2455" s="1" t="str">
        <f t="shared" si="1"/>
        <v/>
      </c>
    </row>
    <row r="2456" ht="12.75" customHeight="1">
      <c r="A2456" s="1" t="s">
        <v>361</v>
      </c>
      <c r="B2456" s="1" t="str">
        <f t="shared" si="1"/>
        <v># 5%</v>
      </c>
    </row>
    <row r="2457" ht="12.75" customHeight="1">
      <c r="A2457" s="1" t="s">
        <v>985</v>
      </c>
      <c r="B2457" s="1" t="str">
        <f t="shared" si="1"/>
        <v>+17, 17, VULPIX</v>
      </c>
    </row>
    <row r="2458" ht="12.75" customHeight="1">
      <c r="A2458" s="1" t="s">
        <v>986</v>
      </c>
      <c r="B2458" s="1" t="str">
        <f t="shared" si="1"/>
        <v>+17, 17, GROWLITHE</v>
      </c>
    </row>
    <row r="2459" ht="12.75" customHeight="1">
      <c r="A2459" s="2"/>
      <c r="B2459" s="1" t="str">
        <f t="shared" si="1"/>
        <v/>
      </c>
    </row>
    <row r="2460" ht="12.75" customHeight="1">
      <c r="A2460" s="1" t="s">
        <v>362</v>
      </c>
      <c r="B2460" s="1" t="str">
        <f t="shared" si="1"/>
        <v># 4%</v>
      </c>
    </row>
    <row r="2461" ht="12.75" customHeight="1">
      <c r="A2461" s="1" t="s">
        <v>987</v>
      </c>
      <c r="B2461" s="1" t="str">
        <f t="shared" si="1"/>
        <v>+16, 18, PIKACHU</v>
      </c>
    </row>
    <row r="2462" ht="12.75" customHeight="1">
      <c r="A2462" s="1" t="s">
        <v>988</v>
      </c>
      <c r="B2462" s="1" t="str">
        <f t="shared" si="1"/>
        <v>+16, 18, EEVEE</v>
      </c>
    </row>
    <row r="2463" ht="12.75" customHeight="1">
      <c r="A2463" s="2"/>
      <c r="B2463" s="1" t="str">
        <f t="shared" si="1"/>
        <v/>
      </c>
    </row>
    <row r="2464" ht="12.75" customHeight="1">
      <c r="A2464" s="1" t="s">
        <v>363</v>
      </c>
      <c r="B2464" s="1" t="str">
        <f t="shared" si="1"/>
        <v># 1%</v>
      </c>
    </row>
    <row r="2465" ht="12.75" customHeight="1">
      <c r="A2465" s="1" t="s">
        <v>989</v>
      </c>
      <c r="B2465" s="1" t="str">
        <f t="shared" si="1"/>
        <v>+20, 20, FEAROW</v>
      </c>
    </row>
    <row r="2466" ht="12.75" customHeight="1">
      <c r="A2466" s="1" t="s">
        <v>2714</v>
      </c>
      <c r="B2466" s="1" t="str">
        <f t="shared" si="1"/>
        <v>+20, 20, WEEPINBELL , &lt;null&gt;, &lt;null&gt;, &lt;null&gt;</v>
      </c>
    </row>
    <row r="2467" ht="12.75" customHeight="1">
      <c r="A2467" s="2"/>
      <c r="B2467" s="1" t="str">
        <f t="shared" si="1"/>
        <v/>
      </c>
    </row>
    <row r="2468" ht="12.75" customHeight="1">
      <c r="A2468" s="1" t="s">
        <v>2539</v>
      </c>
      <c r="B2468" s="1" t="str">
        <f t="shared" si="1"/>
        <v>NEW ROUTE</v>
      </c>
    </row>
    <row r="2469" ht="12.75" customHeight="1">
      <c r="A2469" s="1" t="s">
        <v>2715</v>
      </c>
      <c r="B2469" s="1" t="str">
        <f t="shared" si="1"/>
        <v>+3, 24, 0,</v>
      </c>
    </row>
    <row r="2470" ht="12.75" customHeight="1">
      <c r="A2470" s="1" t="s">
        <v>2568</v>
      </c>
      <c r="B2470" s="1" t="str">
        <f t="shared" si="1"/>
        <v>21, # 20%</v>
      </c>
    </row>
    <row r="2471" ht="12.75" customHeight="1">
      <c r="A2471" s="1" t="s">
        <v>979</v>
      </c>
      <c r="B2471" s="1" t="str">
        <f t="shared" si="1"/>
        <v>15, 17, PIDGEY</v>
      </c>
    </row>
    <row r="2472" ht="12.75" customHeight="1">
      <c r="A2472" s="1" t="s">
        <v>980</v>
      </c>
      <c r="B2472" s="1" t="str">
        <f t="shared" si="1"/>
        <v>+15, 17, MEOWTH</v>
      </c>
    </row>
    <row r="2473" ht="12.75" customHeight="1">
      <c r="A2473" s="2"/>
      <c r="B2473" s="1" t="str">
        <f t="shared" si="1"/>
        <v/>
      </c>
    </row>
    <row r="2474" ht="12.75" customHeight="1">
      <c r="A2474" s="1" t="s">
        <v>360</v>
      </c>
      <c r="B2474" s="1" t="str">
        <f t="shared" si="1"/>
        <v># 10%</v>
      </c>
    </row>
    <row r="2475" ht="12.75" customHeight="1">
      <c r="A2475" s="1" t="s">
        <v>981</v>
      </c>
      <c r="B2475" s="1" t="str">
        <f t="shared" si="1"/>
        <v>+16, 19, ODDISH</v>
      </c>
    </row>
    <row r="2476" ht="12.75" customHeight="1">
      <c r="A2476" s="1" t="s">
        <v>982</v>
      </c>
      <c r="B2476" s="1" t="str">
        <f t="shared" si="1"/>
        <v>+16, 19, BELLSPROUT</v>
      </c>
    </row>
    <row r="2477" ht="12.75" customHeight="1">
      <c r="A2477" s="1" t="s">
        <v>983</v>
      </c>
      <c r="B2477" s="1" t="str">
        <f t="shared" si="1"/>
        <v>+16, 19, EKANS</v>
      </c>
    </row>
    <row r="2478" ht="12.75" customHeight="1">
      <c r="A2478" s="1" t="s">
        <v>984</v>
      </c>
      <c r="B2478" s="1" t="str">
        <f t="shared" si="1"/>
        <v>+16, 19, PARAS</v>
      </c>
    </row>
    <row r="2479" ht="12.75" customHeight="1">
      <c r="A2479" s="2"/>
      <c r="B2479" s="1" t="str">
        <f t="shared" si="1"/>
        <v/>
      </c>
    </row>
    <row r="2480" ht="12.75" customHeight="1">
      <c r="A2480" s="1" t="s">
        <v>361</v>
      </c>
      <c r="B2480" s="1" t="str">
        <f t="shared" si="1"/>
        <v># 5%</v>
      </c>
    </row>
    <row r="2481" ht="12.75" customHeight="1">
      <c r="A2481" s="1" t="s">
        <v>985</v>
      </c>
      <c r="B2481" s="1" t="str">
        <f t="shared" si="1"/>
        <v>+17, 17, VULPIX</v>
      </c>
    </row>
    <row r="2482" ht="12.75" customHeight="1">
      <c r="A2482" s="1" t="s">
        <v>986</v>
      </c>
      <c r="B2482" s="1" t="str">
        <f t="shared" si="1"/>
        <v>+17, 17, GROWLITHE</v>
      </c>
    </row>
    <row r="2483" ht="12.75" customHeight="1">
      <c r="A2483" s="2"/>
      <c r="B2483" s="1" t="str">
        <f t="shared" si="1"/>
        <v/>
      </c>
    </row>
    <row r="2484" ht="12.75" customHeight="1">
      <c r="A2484" s="1" t="s">
        <v>362</v>
      </c>
      <c r="B2484" s="1" t="str">
        <f t="shared" si="1"/>
        <v># 4%</v>
      </c>
    </row>
    <row r="2485" ht="12.75" customHeight="1">
      <c r="A2485" s="1" t="s">
        <v>987</v>
      </c>
      <c r="B2485" s="1" t="str">
        <f t="shared" si="1"/>
        <v>+16, 18, PIKACHU</v>
      </c>
    </row>
    <row r="2486" ht="12.75" customHeight="1">
      <c r="A2486" s="1" t="s">
        <v>988</v>
      </c>
      <c r="B2486" s="1" t="str">
        <f t="shared" si="1"/>
        <v>+16, 18, EEVEE</v>
      </c>
    </row>
    <row r="2487" ht="12.75" customHeight="1">
      <c r="A2487" s="2"/>
      <c r="B2487" s="1" t="str">
        <f t="shared" si="1"/>
        <v/>
      </c>
    </row>
    <row r="2488" ht="12.75" customHeight="1">
      <c r="A2488" s="1" t="s">
        <v>363</v>
      </c>
      <c r="B2488" s="1" t="str">
        <f t="shared" si="1"/>
        <v># 1%</v>
      </c>
    </row>
    <row r="2489" ht="12.75" customHeight="1">
      <c r="A2489" s="1" t="s">
        <v>989</v>
      </c>
      <c r="B2489" s="1" t="str">
        <f t="shared" si="1"/>
        <v>+20, 20, FEAROW</v>
      </c>
    </row>
    <row r="2490" ht="12.75" customHeight="1">
      <c r="A2490" s="1" t="s">
        <v>2716</v>
      </c>
      <c r="B2490" s="1" t="str">
        <f t="shared" si="1"/>
        <v>+20, 20, WEEPINBELL</v>
      </c>
    </row>
    <row r="2491" ht="12.75" customHeight="1">
      <c r="A2491" s="1" t="s">
        <v>2711</v>
      </c>
      <c r="B2491" s="1" t="str">
        <f t="shared" si="1"/>
        <v>2, 38, 42, TENTACOOL</v>
      </c>
    </row>
    <row r="2492" ht="12.75" customHeight="1">
      <c r="A2492" s="1" t="s">
        <v>993</v>
      </c>
      <c r="B2492" s="1" t="str">
        <f t="shared" si="1"/>
        <v>+40, 44, SLOWPOKE</v>
      </c>
    </row>
    <row r="2493" ht="12.75" customHeight="1">
      <c r="A2493" s="1" t="s">
        <v>969</v>
      </c>
      <c r="B2493" s="1" t="str">
        <f t="shared" si="1"/>
        <v>+42, 46, TENTACRUEL</v>
      </c>
    </row>
    <row r="2494" ht="12.75" customHeight="1">
      <c r="A2494" s="1" t="s">
        <v>498</v>
      </c>
      <c r="B2494" s="1" t="str">
        <f t="shared" si="1"/>
        <v>+42, 46, GOLDUCK</v>
      </c>
    </row>
    <row r="2495" ht="12.75" customHeight="1">
      <c r="A2495" s="1" t="s">
        <v>2717</v>
      </c>
      <c r="B2495" s="1" t="str">
        <f t="shared" si="1"/>
        <v>+44, 48, SLOWBRO</v>
      </c>
    </row>
    <row r="2496" ht="12.75" customHeight="1">
      <c r="A2496" s="1" t="s">
        <v>2572</v>
      </c>
      <c r="B2496" s="1" t="str">
        <f t="shared" si="1"/>
        <v>20, # old rod:</v>
      </c>
    </row>
    <row r="2497" ht="12.75" customHeight="1">
      <c r="A2497" s="1" t="s">
        <v>500</v>
      </c>
      <c r="B2497" s="1" t="str">
        <f t="shared" si="1"/>
        <v>19, 26, MAGIKARP</v>
      </c>
    </row>
    <row r="2498" ht="12.75" customHeight="1">
      <c r="A2498" s="1" t="s">
        <v>970</v>
      </c>
      <c r="B2498" s="1" t="str">
        <f t="shared" si="1"/>
        <v>+19, 26, GYARADOS</v>
      </c>
    </row>
    <row r="2499" ht="12.75" customHeight="1">
      <c r="A2499" s="2"/>
      <c r="B2499" s="1" t="str">
        <f t="shared" si="1"/>
        <v/>
      </c>
    </row>
    <row r="2500" ht="12.75" customHeight="1">
      <c r="A2500" s="1" t="s">
        <v>419</v>
      </c>
      <c r="B2500" s="1" t="str">
        <f t="shared" si="1"/>
        <v># good rod:</v>
      </c>
    </row>
    <row r="2501" ht="12.75" customHeight="1">
      <c r="A2501" s="1" t="s">
        <v>995</v>
      </c>
      <c r="B2501" s="1" t="str">
        <f t="shared" si="1"/>
        <v>+29, 33, POLIWAG</v>
      </c>
    </row>
    <row r="2502" ht="12.75" customHeight="1">
      <c r="A2502" s="1" t="s">
        <v>504</v>
      </c>
      <c r="B2502" s="1" t="str">
        <f t="shared" si="1"/>
        <v>+30, 35, GOLDEEN</v>
      </c>
    </row>
    <row r="2503" ht="12.75" customHeight="1">
      <c r="A2503" s="1" t="s">
        <v>972</v>
      </c>
      <c r="B2503" s="1" t="str">
        <f t="shared" si="1"/>
        <v>+30, 35, PSYDUCK</v>
      </c>
    </row>
    <row r="2504" ht="12.75" customHeight="1">
      <c r="A2504" s="2"/>
      <c r="B2504" s="1" t="str">
        <f t="shared" si="1"/>
        <v/>
      </c>
    </row>
    <row r="2505" ht="12.75" customHeight="1">
      <c r="A2505" s="1" t="s">
        <v>423</v>
      </c>
      <c r="B2505" s="1" t="str">
        <f t="shared" si="1"/>
        <v># super rod:</v>
      </c>
    </row>
    <row r="2506" ht="12.75" customHeight="1">
      <c r="A2506" s="1" t="s">
        <v>505</v>
      </c>
      <c r="B2506" s="1" t="str">
        <f t="shared" si="1"/>
        <v>+36, 40, POLIWHIRL</v>
      </c>
    </row>
    <row r="2507" ht="12.75" customHeight="1">
      <c r="A2507" s="1" t="s">
        <v>506</v>
      </c>
      <c r="B2507" s="1" t="str">
        <f t="shared" si="1"/>
        <v>+36, 40, SEAKING</v>
      </c>
    </row>
    <row r="2508" ht="12.75" customHeight="1">
      <c r="A2508" s="1" t="s">
        <v>996</v>
      </c>
      <c r="B2508" s="1" t="str">
        <f t="shared" si="1"/>
        <v>+38, 42, GYARADOS</v>
      </c>
    </row>
    <row r="2509" ht="12.75" customHeight="1">
      <c r="A2509" s="1" t="s">
        <v>997</v>
      </c>
      <c r="B2509" s="1" t="str">
        <f t="shared" si="1"/>
        <v>+38, 42, POLIWRATH</v>
      </c>
    </row>
    <row r="2510" ht="12.75" customHeight="1">
      <c r="A2510" s="1" t="s">
        <v>2718</v>
      </c>
      <c r="B2510" s="1" t="str">
        <f t="shared" si="1"/>
        <v>+40, 44, POLITOES</v>
      </c>
    </row>
    <row r="2511" ht="12.75" customHeight="1">
      <c r="A2511" s="1" t="s">
        <v>2539</v>
      </c>
      <c r="B2511" s="1" t="str">
        <f t="shared" si="1"/>
        <v>NEW ROUTE</v>
      </c>
    </row>
    <row r="2512" ht="12.75" customHeight="1">
      <c r="A2512" s="1" t="s">
        <v>2719</v>
      </c>
      <c r="B2512" s="1" t="str">
        <f t="shared" si="1"/>
        <v>+3, 25, 0,</v>
      </c>
    </row>
    <row r="2513" ht="12.75" customHeight="1">
      <c r="A2513" s="1" t="s">
        <v>2568</v>
      </c>
      <c r="B2513" s="1" t="str">
        <f t="shared" si="1"/>
        <v>21, # 20%</v>
      </c>
    </row>
    <row r="2514" ht="12.75" customHeight="1">
      <c r="A2514" s="1" t="s">
        <v>1000</v>
      </c>
      <c r="B2514" s="1" t="str">
        <f t="shared" si="1"/>
        <v>24, 26, PONYTA</v>
      </c>
    </row>
    <row r="2515" ht="12.75" customHeight="1">
      <c r="A2515" s="1" t="s">
        <v>1001</v>
      </c>
      <c r="B2515" s="1" t="str">
        <f t="shared" si="1"/>
        <v>+24, 26, KOFFING</v>
      </c>
    </row>
    <row r="2516" ht="12.75" customHeight="1">
      <c r="A2516" s="2"/>
      <c r="B2516" s="1" t="str">
        <f t="shared" si="1"/>
        <v/>
      </c>
    </row>
    <row r="2517" ht="12.75" customHeight="1">
      <c r="A2517" s="1" t="s">
        <v>360</v>
      </c>
      <c r="B2517" s="1" t="str">
        <f t="shared" si="1"/>
        <v># 10%</v>
      </c>
    </row>
    <row r="2518" ht="12.75" customHeight="1">
      <c r="A2518" s="1" t="s">
        <v>1002</v>
      </c>
      <c r="B2518" s="1" t="str">
        <f t="shared" si="1"/>
        <v>+25, 27, SANDSHREW</v>
      </c>
    </row>
    <row r="2519" ht="12.75" customHeight="1">
      <c r="A2519" s="1" t="s">
        <v>1003</v>
      </c>
      <c r="B2519" s="1" t="str">
        <f t="shared" si="1"/>
        <v>+25, 27, MEOWTH</v>
      </c>
    </row>
    <row r="2520" ht="12.75" customHeight="1">
      <c r="A2520" s="1" t="s">
        <v>1004</v>
      </c>
      <c r="B2520" s="1" t="str">
        <f t="shared" si="1"/>
        <v>+25, 27, PARAS</v>
      </c>
    </row>
    <row r="2521" ht="12.75" customHeight="1">
      <c r="A2521" s="1" t="s">
        <v>1005</v>
      </c>
      <c r="B2521" s="1" t="str">
        <f t="shared" si="1"/>
        <v>+25, 27, VULPIX</v>
      </c>
    </row>
    <row r="2522" ht="12.75" customHeight="1">
      <c r="A2522" s="2"/>
      <c r="B2522" s="1" t="str">
        <f t="shared" si="1"/>
        <v/>
      </c>
    </row>
    <row r="2523" ht="12.75" customHeight="1">
      <c r="A2523" s="1" t="s">
        <v>361</v>
      </c>
      <c r="B2523" s="1" t="str">
        <f t="shared" si="1"/>
        <v># 5%</v>
      </c>
    </row>
    <row r="2524" ht="12.75" customHeight="1">
      <c r="A2524" s="1" t="s">
        <v>1006</v>
      </c>
      <c r="B2524" s="1" t="str">
        <f t="shared" si="1"/>
        <v>+24, 28, WEEZING</v>
      </c>
    </row>
    <row r="2525" ht="12.75" customHeight="1">
      <c r="A2525" s="1" t="s">
        <v>1007</v>
      </c>
      <c r="B2525" s="1" t="str">
        <f t="shared" si="1"/>
        <v>+24, 28, LICKITUNG</v>
      </c>
    </row>
    <row r="2526" ht="12.75" customHeight="1">
      <c r="A2526" s="2"/>
      <c r="B2526" s="1" t="str">
        <f t="shared" si="1"/>
        <v/>
      </c>
    </row>
    <row r="2527" ht="12.75" customHeight="1">
      <c r="A2527" s="1" t="s">
        <v>362</v>
      </c>
      <c r="B2527" s="1" t="str">
        <f t="shared" si="1"/>
        <v># 4%</v>
      </c>
    </row>
    <row r="2528" ht="12.75" customHeight="1">
      <c r="A2528" s="1" t="s">
        <v>1008</v>
      </c>
      <c r="B2528" s="1" t="str">
        <f t="shared" si="1"/>
        <v>+26, 26, PERSIAN</v>
      </c>
    </row>
    <row r="2529" ht="12.75" customHeight="1">
      <c r="A2529" s="1" t="s">
        <v>1009</v>
      </c>
      <c r="B2529" s="1" t="str">
        <f t="shared" si="1"/>
        <v>+21, 26, EEVEE</v>
      </c>
    </row>
    <row r="2530" ht="12.75" customHeight="1">
      <c r="A2530" s="2"/>
      <c r="B2530" s="1" t="str">
        <f t="shared" si="1"/>
        <v/>
      </c>
    </row>
    <row r="2531" ht="12.75" customHeight="1">
      <c r="A2531" s="1" t="s">
        <v>363</v>
      </c>
      <c r="B2531" s="1" t="str">
        <f t="shared" si="1"/>
        <v># 1%</v>
      </c>
    </row>
    <row r="2532" ht="12.75" customHeight="1">
      <c r="A2532" s="1" t="s">
        <v>1010</v>
      </c>
      <c r="B2532" s="1" t="str">
        <f t="shared" si="1"/>
        <v>+24, 28, SANDSLASH</v>
      </c>
    </row>
    <row r="2533" ht="12.75" customHeight="1">
      <c r="A2533" s="1" t="s">
        <v>2720</v>
      </c>
      <c r="B2533" s="1" t="str">
        <f t="shared" si="1"/>
        <v>+24, 28, PARASECT , &lt;null&gt;, &lt;null&gt;, &lt;null&gt;</v>
      </c>
    </row>
    <row r="2534" ht="12.75" customHeight="1">
      <c r="A2534" s="2"/>
      <c r="B2534" s="1" t="str">
        <f t="shared" si="1"/>
        <v/>
      </c>
    </row>
    <row r="2535" ht="12.75" customHeight="1">
      <c r="A2535" s="1" t="s">
        <v>2539</v>
      </c>
      <c r="B2535" s="1" t="str">
        <f t="shared" si="1"/>
        <v>NEW ROUTE</v>
      </c>
    </row>
    <row r="2536" ht="12.75" customHeight="1">
      <c r="A2536" s="1" t="s">
        <v>2721</v>
      </c>
      <c r="B2536" s="1" t="str">
        <f t="shared" si="1"/>
        <v>+3, 26, 0,</v>
      </c>
    </row>
    <row r="2537" ht="12.75" customHeight="1">
      <c r="A2537" s="1" t="s">
        <v>2568</v>
      </c>
      <c r="B2537" s="1" t="str">
        <f t="shared" si="1"/>
        <v>21, # 20%</v>
      </c>
    </row>
    <row r="2538" ht="12.75" customHeight="1">
      <c r="A2538" s="1" t="s">
        <v>1013</v>
      </c>
      <c r="B2538" s="1" t="str">
        <f t="shared" si="1"/>
        <v>23, 25, PONYTA</v>
      </c>
    </row>
    <row r="2539" ht="12.75" customHeight="1">
      <c r="A2539" s="1" t="s">
        <v>1014</v>
      </c>
      <c r="B2539" s="1" t="str">
        <f t="shared" si="1"/>
        <v>+23, 25, EKANS</v>
      </c>
    </row>
    <row r="2540" ht="12.75" customHeight="1">
      <c r="A2540" s="2"/>
      <c r="B2540" s="1" t="str">
        <f t="shared" si="1"/>
        <v/>
      </c>
    </row>
    <row r="2541" ht="12.75" customHeight="1">
      <c r="A2541" s="1" t="s">
        <v>360</v>
      </c>
      <c r="B2541" s="1" t="str">
        <f t="shared" si="1"/>
        <v># 10%</v>
      </c>
    </row>
    <row r="2542" ht="12.75" customHeight="1">
      <c r="A2542" s="1" t="s">
        <v>1015</v>
      </c>
      <c r="B2542" s="1" t="str">
        <f t="shared" si="1"/>
        <v>+24, 26, SANDSHREW</v>
      </c>
    </row>
    <row r="2543" ht="12.75" customHeight="1">
      <c r="A2543" s="1" t="s">
        <v>1016</v>
      </c>
      <c r="B2543" s="1" t="str">
        <f t="shared" si="1"/>
        <v>+24, 26, MEOWTH</v>
      </c>
    </row>
    <row r="2544" ht="12.75" customHeight="1">
      <c r="A2544" s="1" t="s">
        <v>1017</v>
      </c>
      <c r="B2544" s="1" t="str">
        <f t="shared" si="1"/>
        <v>+24, 26, VENONAT</v>
      </c>
    </row>
    <row r="2545" ht="12.75" customHeight="1">
      <c r="A2545" s="1" t="s">
        <v>1018</v>
      </c>
      <c r="B2545" s="1" t="str">
        <f t="shared" si="1"/>
        <v>+24, 26, GROWLITHE</v>
      </c>
    </row>
    <row r="2546" ht="12.75" customHeight="1">
      <c r="A2546" s="2"/>
      <c r="B2546" s="1" t="str">
        <f t="shared" si="1"/>
        <v/>
      </c>
    </row>
    <row r="2547" ht="12.75" customHeight="1">
      <c r="A2547" s="1" t="s">
        <v>361</v>
      </c>
      <c r="B2547" s="1" t="str">
        <f t="shared" si="1"/>
        <v># 5%</v>
      </c>
    </row>
    <row r="2548" ht="12.75" customHeight="1">
      <c r="A2548" s="1" t="s">
        <v>1019</v>
      </c>
      <c r="B2548" s="1" t="str">
        <f t="shared" si="1"/>
        <v>+23, 27, ARBOK</v>
      </c>
    </row>
    <row r="2549" ht="12.75" customHeight="1">
      <c r="A2549" s="1" t="s">
        <v>1020</v>
      </c>
      <c r="B2549" s="1" t="str">
        <f t="shared" si="1"/>
        <v>+23, 27, LICKITUNG</v>
      </c>
    </row>
    <row r="2550" ht="12.75" customHeight="1">
      <c r="A2550" s="2"/>
      <c r="B2550" s="1" t="str">
        <f t="shared" si="1"/>
        <v/>
      </c>
    </row>
    <row r="2551" ht="12.75" customHeight="1">
      <c r="A2551" s="1" t="s">
        <v>362</v>
      </c>
      <c r="B2551" s="1" t="str">
        <f t="shared" si="1"/>
        <v># 4%</v>
      </c>
    </row>
    <row r="2552" ht="12.75" customHeight="1">
      <c r="A2552" s="1" t="s">
        <v>1021</v>
      </c>
      <c r="B2552" s="1" t="str">
        <f t="shared" si="1"/>
        <v>+25, 25, PERSIAN</v>
      </c>
    </row>
    <row r="2553" ht="12.75" customHeight="1">
      <c r="A2553" s="1" t="s">
        <v>1022</v>
      </c>
      <c r="B2553" s="1" t="str">
        <f t="shared" si="1"/>
        <v>+20, 25, EEVEE</v>
      </c>
    </row>
    <row r="2554" ht="12.75" customHeight="1">
      <c r="A2554" s="2"/>
      <c r="B2554" s="1" t="str">
        <f t="shared" si="1"/>
        <v/>
      </c>
    </row>
    <row r="2555" ht="12.75" customHeight="1">
      <c r="A2555" s="1" t="s">
        <v>363</v>
      </c>
      <c r="B2555" s="1" t="str">
        <f t="shared" si="1"/>
        <v># 1%</v>
      </c>
    </row>
    <row r="2556" ht="12.75" customHeight="1">
      <c r="A2556" s="1" t="s">
        <v>1023</v>
      </c>
      <c r="B2556" s="1" t="str">
        <f t="shared" si="1"/>
        <v>+23, 27, SANDSLASH</v>
      </c>
    </row>
    <row r="2557" ht="12.75" customHeight="1">
      <c r="A2557" s="1" t="s">
        <v>2722</v>
      </c>
      <c r="B2557" s="1" t="str">
        <f t="shared" si="1"/>
        <v>+23, 27, VENOMOTH , &lt;null&gt;, &lt;null&gt;, &lt;null&gt;</v>
      </c>
    </row>
    <row r="2558" ht="12.75" customHeight="1">
      <c r="A2558" s="2"/>
      <c r="B2558" s="1" t="str">
        <f t="shared" si="1"/>
        <v/>
      </c>
    </row>
    <row r="2559" ht="12.75" customHeight="1">
      <c r="A2559" s="1" t="s">
        <v>2539</v>
      </c>
      <c r="B2559" s="1" t="str">
        <f t="shared" si="1"/>
        <v>NEW ROUTE</v>
      </c>
    </row>
    <row r="2560" ht="12.75" customHeight="1">
      <c r="A2560" s="1" t="s">
        <v>2723</v>
      </c>
      <c r="B2560" s="1" t="str">
        <f t="shared" si="1"/>
        <v>+3, 27, 0,</v>
      </c>
    </row>
    <row r="2561" ht="12.75" customHeight="1">
      <c r="A2561" s="1" t="s">
        <v>2568</v>
      </c>
      <c r="B2561" s="1" t="str">
        <f t="shared" si="1"/>
        <v>21, # 20%</v>
      </c>
    </row>
    <row r="2562" ht="12.75" customHeight="1">
      <c r="A2562" s="1" t="s">
        <v>1026</v>
      </c>
      <c r="B2562" s="1" t="str">
        <f t="shared" si="1"/>
        <v>17, 22, NIDORINA</v>
      </c>
    </row>
    <row r="2563" ht="12.75" customHeight="1">
      <c r="A2563" s="1" t="s">
        <v>1027</v>
      </c>
      <c r="B2563" s="1" t="str">
        <f t="shared" si="1"/>
        <v>+17, 22, NIDORINO</v>
      </c>
    </row>
    <row r="2564" ht="12.75" customHeight="1">
      <c r="A2564" s="2"/>
      <c r="B2564" s="1" t="str">
        <f t="shared" si="1"/>
        <v/>
      </c>
    </row>
    <row r="2565" ht="12.75" customHeight="1">
      <c r="A2565" s="1" t="s">
        <v>360</v>
      </c>
      <c r="B2565" s="1" t="str">
        <f t="shared" si="1"/>
        <v># 10%</v>
      </c>
    </row>
    <row r="2566" ht="12.75" customHeight="1">
      <c r="A2566" s="1" t="s">
        <v>1028</v>
      </c>
      <c r="B2566" s="1" t="str">
        <f t="shared" si="1"/>
        <v>+16, 19, SPEAROW</v>
      </c>
    </row>
    <row r="2567" ht="12.75" customHeight="1">
      <c r="A2567" s="1" t="s">
        <v>1029</v>
      </c>
      <c r="B2567" s="1" t="str">
        <f t="shared" si="1"/>
        <v>+16, 19, CUBONE</v>
      </c>
    </row>
    <row r="2568" ht="12.75" customHeight="1">
      <c r="A2568" s="1" t="s">
        <v>1030</v>
      </c>
      <c r="B2568" s="1" t="str">
        <f t="shared" si="1"/>
        <v>+16, 19, MACHOP</v>
      </c>
    </row>
    <row r="2569" ht="12.75" customHeight="1">
      <c r="A2569" s="1" t="s">
        <v>1031</v>
      </c>
      <c r="B2569" s="1" t="str">
        <f t="shared" si="1"/>
        <v>+16, 19, SANDSHREW</v>
      </c>
    </row>
    <row r="2570" ht="12.75" customHeight="1">
      <c r="A2570" s="2"/>
      <c r="B2570" s="1" t="str">
        <f t="shared" si="1"/>
        <v/>
      </c>
    </row>
    <row r="2571" ht="12.75" customHeight="1">
      <c r="A2571" s="1" t="s">
        <v>361</v>
      </c>
      <c r="B2571" s="1" t="str">
        <f t="shared" si="1"/>
        <v># 5%</v>
      </c>
    </row>
    <row r="2572" ht="12.75" customHeight="1">
      <c r="A2572" s="1" t="s">
        <v>1032</v>
      </c>
      <c r="B2572" s="1" t="str">
        <f t="shared" si="1"/>
        <v>+17, 18, DODUO</v>
      </c>
    </row>
    <row r="2573" ht="12.75" customHeight="1">
      <c r="A2573" s="1" t="s">
        <v>1033</v>
      </c>
      <c r="B2573" s="1" t="str">
        <f t="shared" si="1"/>
        <v>+17, 18, DROWZEE</v>
      </c>
    </row>
    <row r="2574" ht="12.75" customHeight="1">
      <c r="A2574" s="2"/>
      <c r="B2574" s="1" t="str">
        <f t="shared" si="1"/>
        <v/>
      </c>
    </row>
    <row r="2575" ht="12.75" customHeight="1">
      <c r="A2575" s="1" t="s">
        <v>362</v>
      </c>
      <c r="B2575" s="1" t="str">
        <f t="shared" si="1"/>
        <v># 4%</v>
      </c>
    </row>
    <row r="2576" ht="12.75" customHeight="1">
      <c r="A2576" s="1" t="s">
        <v>1034</v>
      </c>
      <c r="B2576" s="1" t="str">
        <f t="shared" si="1"/>
        <v>+16, 25, FEAROW</v>
      </c>
    </row>
    <row r="2577" ht="12.75" customHeight="1">
      <c r="A2577" s="1" t="s">
        <v>1035</v>
      </c>
      <c r="B2577" s="1" t="str">
        <f t="shared" si="1"/>
        <v>+22, 22, SANDSLASH</v>
      </c>
    </row>
    <row r="2578" ht="12.75" customHeight="1">
      <c r="A2578" s="2"/>
      <c r="B2578" s="1" t="str">
        <f t="shared" si="1"/>
        <v/>
      </c>
    </row>
    <row r="2579" ht="12.75" customHeight="1">
      <c r="A2579" s="1" t="s">
        <v>363</v>
      </c>
      <c r="B2579" s="1" t="str">
        <f t="shared" si="1"/>
        <v># 1%</v>
      </c>
    </row>
    <row r="2580" ht="12.75" customHeight="1">
      <c r="A2580" s="1" t="s">
        <v>1036</v>
      </c>
      <c r="B2580" s="1" t="str">
        <f t="shared" si="1"/>
        <v>+14, 17, KANGAKID</v>
      </c>
    </row>
    <row r="2581" ht="12.75" customHeight="1">
      <c r="A2581" s="1" t="s">
        <v>2724</v>
      </c>
      <c r="B2581" s="1" t="str">
        <f t="shared" si="1"/>
        <v>+18, 18, KANGAKID , &lt;null&gt;, &lt;null&gt;, &lt;null&gt;</v>
      </c>
    </row>
    <row r="2582" ht="12.75" customHeight="1">
      <c r="A2582" s="2"/>
      <c r="B2582" s="1" t="str">
        <f t="shared" si="1"/>
        <v/>
      </c>
    </row>
    <row r="2583" ht="12.75" customHeight="1">
      <c r="A2583" s="1" t="s">
        <v>2539</v>
      </c>
      <c r="B2583" s="1" t="str">
        <f t="shared" si="1"/>
        <v>NEW ROUTE</v>
      </c>
    </row>
    <row r="2584" ht="12.75" customHeight="1">
      <c r="A2584" s="1" t="s">
        <v>2725</v>
      </c>
      <c r="B2584" s="1" t="str">
        <f t="shared" si="1"/>
        <v>+3, 28, 0,</v>
      </c>
    </row>
    <row r="2585" ht="12.75" customHeight="1">
      <c r="A2585" s="1" t="s">
        <v>2568</v>
      </c>
      <c r="B2585" s="1" t="str">
        <f t="shared" si="1"/>
        <v>21, # 20%</v>
      </c>
    </row>
    <row r="2586" ht="12.75" customHeight="1">
      <c r="A2586" s="1" t="s">
        <v>1039</v>
      </c>
      <c r="B2586" s="1" t="str">
        <f t="shared" si="1"/>
        <v>19, 23, NIDORINA</v>
      </c>
    </row>
    <row r="2587" ht="12.75" customHeight="1">
      <c r="A2587" s="1" t="s">
        <v>1040</v>
      </c>
      <c r="B2587" s="1" t="str">
        <f t="shared" si="1"/>
        <v>+19, 23, NIDORINO</v>
      </c>
    </row>
    <row r="2588" ht="12.75" customHeight="1">
      <c r="A2588" s="2"/>
      <c r="B2588" s="1" t="str">
        <f t="shared" si="1"/>
        <v/>
      </c>
    </row>
    <row r="2589" ht="12.75" customHeight="1">
      <c r="A2589" s="1" t="s">
        <v>360</v>
      </c>
      <c r="B2589" s="1" t="str">
        <f t="shared" si="1"/>
        <v># 10%</v>
      </c>
    </row>
    <row r="2590" ht="12.75" customHeight="1">
      <c r="A2590" s="1" t="s">
        <v>1041</v>
      </c>
      <c r="B2590" s="1" t="str">
        <f t="shared" si="1"/>
        <v>+18, 20, SPEAROW</v>
      </c>
    </row>
    <row r="2591" ht="12.75" customHeight="1">
      <c r="A2591" s="1" t="s">
        <v>1042</v>
      </c>
      <c r="B2591" s="1" t="str">
        <f t="shared" si="1"/>
        <v>+18, 20, CUBONE</v>
      </c>
    </row>
    <row r="2592" ht="12.75" customHeight="1">
      <c r="A2592" s="1" t="s">
        <v>1043</v>
      </c>
      <c r="B2592" s="1" t="str">
        <f t="shared" si="1"/>
        <v>+18, 20, MAGNEMITE</v>
      </c>
    </row>
    <row r="2593" ht="12.75" customHeight="1">
      <c r="A2593" s="1" t="s">
        <v>1044</v>
      </c>
      <c r="B2593" s="1" t="str">
        <f t="shared" si="1"/>
        <v>+18, 20, POLIWAG</v>
      </c>
    </row>
    <row r="2594" ht="12.75" customHeight="1">
      <c r="A2594" s="2"/>
      <c r="B2594" s="1" t="str">
        <f t="shared" si="1"/>
        <v/>
      </c>
    </row>
    <row r="2595" ht="12.75" customHeight="1">
      <c r="A2595" s="1" t="s">
        <v>361</v>
      </c>
      <c r="B2595" s="1" t="str">
        <f t="shared" si="1"/>
        <v># 5%</v>
      </c>
    </row>
    <row r="2596" ht="12.75" customHeight="1">
      <c r="A2596" s="1" t="s">
        <v>1045</v>
      </c>
      <c r="B2596" s="1" t="str">
        <f t="shared" si="1"/>
        <v>+19, 19, DODUO</v>
      </c>
    </row>
    <row r="2597" ht="12.75" customHeight="1">
      <c r="A2597" s="1" t="s">
        <v>1046</v>
      </c>
      <c r="B2597" s="1" t="str">
        <f t="shared" si="1"/>
        <v>+19, 19, VOLTORB</v>
      </c>
    </row>
    <row r="2598" ht="12.75" customHeight="1">
      <c r="A2598" s="2"/>
      <c r="B2598" s="1" t="str">
        <f t="shared" si="1"/>
        <v/>
      </c>
    </row>
    <row r="2599" ht="12.75" customHeight="1">
      <c r="A2599" s="1" t="s">
        <v>362</v>
      </c>
      <c r="B2599" s="1" t="str">
        <f t="shared" si="1"/>
        <v># 4%</v>
      </c>
    </row>
    <row r="2600" ht="12.75" customHeight="1">
      <c r="A2600" s="1" t="s">
        <v>1047</v>
      </c>
      <c r="B2600" s="1" t="str">
        <f t="shared" si="1"/>
        <v>+20, 25, FEAROW</v>
      </c>
    </row>
    <row r="2601" ht="12.75" customHeight="1">
      <c r="A2601" s="1" t="s">
        <v>1048</v>
      </c>
      <c r="B2601" s="1" t="str">
        <f t="shared" si="1"/>
        <v>+22, 22, POLIWHIRL</v>
      </c>
    </row>
    <row r="2602" ht="12.75" customHeight="1">
      <c r="A2602" s="2"/>
      <c r="B2602" s="1" t="str">
        <f t="shared" si="1"/>
        <v/>
      </c>
    </row>
    <row r="2603" ht="12.75" customHeight="1">
      <c r="A2603" s="1" t="s">
        <v>363</v>
      </c>
      <c r="B2603" s="1" t="str">
        <f t="shared" si="1"/>
        <v># 1%</v>
      </c>
    </row>
    <row r="2604" ht="12.75" customHeight="1">
      <c r="A2604" s="1" t="s">
        <v>1049</v>
      </c>
      <c r="B2604" s="1" t="str">
        <f t="shared" si="1"/>
        <v>+19, 21, TANGELA</v>
      </c>
    </row>
    <row r="2605" ht="12.75" customHeight="1">
      <c r="A2605" s="1" t="s">
        <v>2726</v>
      </c>
      <c r="B2605" s="1" t="str">
        <f t="shared" si="1"/>
        <v>+19, 21, PONYTA</v>
      </c>
    </row>
    <row r="2606" ht="12.75" customHeight="1">
      <c r="A2606" s="1" t="s">
        <v>2711</v>
      </c>
      <c r="B2606" s="1" t="str">
        <f t="shared" si="1"/>
        <v>2, 38, 42, TENTACOOL</v>
      </c>
    </row>
    <row r="2607" ht="12.75" customHeight="1">
      <c r="A2607" s="1" t="s">
        <v>1051</v>
      </c>
      <c r="B2607" s="1" t="str">
        <f t="shared" si="1"/>
        <v>+40, 44, TENTACRUEL</v>
      </c>
    </row>
    <row r="2608" ht="12.75" customHeight="1">
      <c r="A2608" s="1" t="s">
        <v>600</v>
      </c>
      <c r="B2608" s="1" t="str">
        <f t="shared" si="1"/>
        <v>+42, 46, LAPRAS</v>
      </c>
    </row>
    <row r="2609" ht="12.75" customHeight="1">
      <c r="A2609" s="1" t="s">
        <v>1052</v>
      </c>
      <c r="B2609" s="1" t="str">
        <f t="shared" si="1"/>
        <v>+42, 46, TENTACATE</v>
      </c>
    </row>
    <row r="2610" ht="12.75" customHeight="1">
      <c r="A2610" s="1" t="s">
        <v>2571</v>
      </c>
      <c r="B2610" s="1" t="str">
        <f t="shared" si="1"/>
        <v>+44, 48, VAPOREON</v>
      </c>
    </row>
    <row r="2611" ht="12.75" customHeight="1">
      <c r="A2611" s="1" t="s">
        <v>2572</v>
      </c>
      <c r="B2611" s="1" t="str">
        <f t="shared" si="1"/>
        <v>20, # old rod:</v>
      </c>
    </row>
    <row r="2612" ht="12.75" customHeight="1">
      <c r="A2612" s="1" t="s">
        <v>602</v>
      </c>
      <c r="B2612" s="1" t="str">
        <f t="shared" si="1"/>
        <v>19, 26, HORSEA</v>
      </c>
    </row>
    <row r="2613" ht="12.75" customHeight="1">
      <c r="A2613" s="1" t="s">
        <v>1053</v>
      </c>
      <c r="B2613" s="1" t="str">
        <f t="shared" si="1"/>
        <v>+19, 26, PSYDUCK</v>
      </c>
    </row>
    <row r="2614" ht="12.75" customHeight="1">
      <c r="A2614" s="2"/>
      <c r="B2614" s="1" t="str">
        <f t="shared" si="1"/>
        <v/>
      </c>
    </row>
    <row r="2615" ht="12.75" customHeight="1">
      <c r="A2615" s="1" t="s">
        <v>419</v>
      </c>
      <c r="B2615" s="1" t="str">
        <f t="shared" si="1"/>
        <v># good rod:</v>
      </c>
    </row>
    <row r="2616" ht="12.75" customHeight="1">
      <c r="A2616" s="1" t="s">
        <v>1054</v>
      </c>
      <c r="B2616" s="1" t="str">
        <f t="shared" si="1"/>
        <v>+29, 33, HORSEA</v>
      </c>
    </row>
    <row r="2617" ht="12.75" customHeight="1">
      <c r="A2617" s="1" t="s">
        <v>1055</v>
      </c>
      <c r="B2617" s="1" t="str">
        <f t="shared" si="1"/>
        <v>+30, 35, SLOWPOKE</v>
      </c>
    </row>
    <row r="2618" ht="12.75" customHeight="1">
      <c r="A2618" s="1" t="s">
        <v>972</v>
      </c>
      <c r="B2618" s="1" t="str">
        <f t="shared" si="1"/>
        <v>+30, 35, PSYDUCK</v>
      </c>
    </row>
    <row r="2619" ht="12.75" customHeight="1">
      <c r="A2619" s="2"/>
      <c r="B2619" s="1" t="str">
        <f t="shared" si="1"/>
        <v/>
      </c>
    </row>
    <row r="2620" ht="12.75" customHeight="1">
      <c r="A2620" s="1" t="s">
        <v>423</v>
      </c>
      <c r="B2620" s="1" t="str">
        <f t="shared" si="1"/>
        <v># super rod:</v>
      </c>
    </row>
    <row r="2621" ht="12.75" customHeight="1">
      <c r="A2621" s="1" t="s">
        <v>1056</v>
      </c>
      <c r="B2621" s="1" t="str">
        <f t="shared" si="1"/>
        <v>+36, 40, SEADRA</v>
      </c>
    </row>
    <row r="2622" ht="12.75" customHeight="1">
      <c r="A2622" s="1" t="s">
        <v>1057</v>
      </c>
      <c r="B2622" s="1" t="str">
        <f t="shared" si="1"/>
        <v>+36, 40, GOLDUCK</v>
      </c>
    </row>
    <row r="2623" ht="12.75" customHeight="1">
      <c r="A2623" s="1" t="s">
        <v>1058</v>
      </c>
      <c r="B2623" s="1" t="str">
        <f t="shared" si="1"/>
        <v>+38, 42, SLOWBRO</v>
      </c>
    </row>
    <row r="2624" ht="12.75" customHeight="1">
      <c r="A2624" s="1" t="s">
        <v>1059</v>
      </c>
      <c r="B2624" s="1" t="str">
        <f t="shared" si="1"/>
        <v>+38, 42, KINGDRA</v>
      </c>
    </row>
    <row r="2625" ht="12.75" customHeight="1">
      <c r="A2625" s="1" t="s">
        <v>2727</v>
      </c>
      <c r="B2625" s="1" t="str">
        <f t="shared" si="1"/>
        <v>+40, 44, GILDUCK</v>
      </c>
    </row>
    <row r="2626" ht="12.75" customHeight="1">
      <c r="A2626" s="1" t="s">
        <v>2539</v>
      </c>
      <c r="B2626" s="1" t="str">
        <f t="shared" si="1"/>
        <v>NEW ROUTE</v>
      </c>
    </row>
    <row r="2627" ht="12.75" customHeight="1">
      <c r="A2627" s="1" t="s">
        <v>2728</v>
      </c>
      <c r="B2627" s="1" t="str">
        <f t="shared" si="1"/>
        <v>+3, 29, 0,</v>
      </c>
    </row>
    <row r="2628" ht="12.75" customHeight="1">
      <c r="A2628" s="1" t="s">
        <v>2568</v>
      </c>
      <c r="B2628" s="1" t="str">
        <f t="shared" si="1"/>
        <v>21, # 20%</v>
      </c>
    </row>
    <row r="2629" ht="12.75" customHeight="1">
      <c r="A2629" s="1" t="s">
        <v>1062</v>
      </c>
      <c r="B2629" s="1" t="str">
        <f t="shared" si="1"/>
        <v>16, 18, EKANS</v>
      </c>
    </row>
    <row r="2630" ht="12.75" customHeight="1">
      <c r="A2630" s="1" t="s">
        <v>1063</v>
      </c>
      <c r="B2630" s="1" t="str">
        <f t="shared" si="1"/>
        <v>+16, 18, SPEAROW</v>
      </c>
    </row>
    <row r="2631" ht="12.75" customHeight="1">
      <c r="A2631" s="2"/>
      <c r="B2631" s="1" t="str">
        <f t="shared" si="1"/>
        <v/>
      </c>
    </row>
    <row r="2632" ht="12.75" customHeight="1">
      <c r="A2632" s="1" t="s">
        <v>360</v>
      </c>
      <c r="B2632" s="1" t="str">
        <f t="shared" si="1"/>
        <v># 10%</v>
      </c>
    </row>
    <row r="2633" ht="12.75" customHeight="1">
      <c r="A2633" s="1" t="s">
        <v>1064</v>
      </c>
      <c r="B2633" s="1" t="str">
        <f t="shared" si="1"/>
        <v>+17, 20, SANDSHREW</v>
      </c>
    </row>
    <row r="2634" ht="12.75" customHeight="1">
      <c r="A2634" s="1" t="s">
        <v>1065</v>
      </c>
      <c r="B2634" s="1" t="str">
        <f t="shared" si="1"/>
        <v>+17, 20, DROWZEE</v>
      </c>
    </row>
    <row r="2635" ht="12.75" customHeight="1">
      <c r="A2635" s="1" t="s">
        <v>1066</v>
      </c>
      <c r="B2635" s="1" t="str">
        <f t="shared" si="1"/>
        <v>+17, 20, MAGNEMITE</v>
      </c>
    </row>
    <row r="2636" ht="12.75" customHeight="1">
      <c r="A2636" s="1" t="s">
        <v>1067</v>
      </c>
      <c r="B2636" s="1" t="str">
        <f t="shared" si="1"/>
        <v>+17, 20, VOLTORB</v>
      </c>
    </row>
    <row r="2637" ht="12.75" customHeight="1">
      <c r="A2637" s="2"/>
      <c r="B2637" s="1" t="str">
        <f t="shared" si="1"/>
        <v/>
      </c>
    </row>
    <row r="2638" ht="12.75" customHeight="1">
      <c r="A2638" s="1" t="s">
        <v>361</v>
      </c>
      <c r="B2638" s="1" t="str">
        <f t="shared" si="1"/>
        <v># 5%</v>
      </c>
    </row>
    <row r="2639" ht="12.75" customHeight="1">
      <c r="A2639" s="1" t="s">
        <v>1068</v>
      </c>
      <c r="B2639" s="1" t="str">
        <f t="shared" si="1"/>
        <v>+18, 18, FARFETCH'D</v>
      </c>
    </row>
    <row r="2640" ht="12.75" customHeight="1">
      <c r="A2640" s="1" t="s">
        <v>1069</v>
      </c>
      <c r="B2640" s="1" t="str">
        <f t="shared" si="1"/>
        <v>+18, 18, ABRA</v>
      </c>
    </row>
    <row r="2641" ht="12.75" customHeight="1">
      <c r="A2641" s="2"/>
      <c r="B2641" s="1" t="str">
        <f t="shared" si="1"/>
        <v/>
      </c>
    </row>
    <row r="2642" ht="12.75" customHeight="1">
      <c r="A2642" s="1" t="s">
        <v>362</v>
      </c>
      <c r="B2642" s="1" t="str">
        <f t="shared" si="1"/>
        <v># 4%</v>
      </c>
    </row>
    <row r="2643" ht="12.75" customHeight="1">
      <c r="A2643" s="1" t="s">
        <v>1070</v>
      </c>
      <c r="B2643" s="1" t="str">
        <f t="shared" si="1"/>
        <v>+15, 19, PIKACHU</v>
      </c>
    </row>
    <row r="2644" ht="12.75" customHeight="1">
      <c r="A2644" s="1" t="s">
        <v>1071</v>
      </c>
      <c r="B2644" s="1" t="str">
        <f t="shared" si="1"/>
        <v>+15, 19, KADABRA</v>
      </c>
    </row>
    <row r="2645" ht="12.75" customHeight="1">
      <c r="A2645" s="2"/>
      <c r="B2645" s="1" t="str">
        <f t="shared" si="1"/>
        <v/>
      </c>
    </row>
    <row r="2646" ht="12.75" customHeight="1">
      <c r="A2646" s="1" t="s">
        <v>363</v>
      </c>
      <c r="B2646" s="1" t="str">
        <f t="shared" si="1"/>
        <v># 1%</v>
      </c>
    </row>
    <row r="2647" ht="12.75" customHeight="1">
      <c r="A2647" s="1" t="s">
        <v>1072</v>
      </c>
      <c r="B2647" s="1" t="str">
        <f t="shared" si="1"/>
        <v>+22, 22, ARBOK</v>
      </c>
    </row>
    <row r="2648" ht="12.75" customHeight="1">
      <c r="A2648" s="1" t="s">
        <v>2729</v>
      </c>
      <c r="B2648" s="1" t="str">
        <f t="shared" si="1"/>
        <v>+22, 22, LICKITUNG</v>
      </c>
    </row>
    <row r="2649" ht="12.75" customHeight="1">
      <c r="A2649" s="1" t="s">
        <v>2711</v>
      </c>
      <c r="B2649" s="1" t="str">
        <f t="shared" si="1"/>
        <v>2, 38, 42, TENTACOOL</v>
      </c>
    </row>
    <row r="2650" ht="12.75" customHeight="1">
      <c r="A2650" s="1" t="s">
        <v>1051</v>
      </c>
      <c r="B2650" s="1" t="str">
        <f t="shared" si="1"/>
        <v>+40, 44, TENTACRUEL</v>
      </c>
    </row>
    <row r="2651" ht="12.75" customHeight="1">
      <c r="A2651" s="1" t="s">
        <v>600</v>
      </c>
      <c r="B2651" s="1" t="str">
        <f t="shared" si="1"/>
        <v>+42, 46, LAPRAS</v>
      </c>
    </row>
    <row r="2652" ht="12.75" customHeight="1">
      <c r="A2652" s="1" t="s">
        <v>1052</v>
      </c>
      <c r="B2652" s="1" t="str">
        <f t="shared" si="1"/>
        <v>+42, 46, TENTACATE</v>
      </c>
    </row>
    <row r="2653" ht="12.75" customHeight="1">
      <c r="A2653" s="1" t="s">
        <v>2730</v>
      </c>
      <c r="B2653" s="1" t="str">
        <f t="shared" si="1"/>
        <v>+44, 48, LOCHLASS</v>
      </c>
    </row>
    <row r="2654" ht="12.75" customHeight="1">
      <c r="A2654" s="1" t="s">
        <v>2572</v>
      </c>
      <c r="B2654" s="1" t="str">
        <f t="shared" si="1"/>
        <v>20, # old rod:</v>
      </c>
    </row>
    <row r="2655" ht="12.75" customHeight="1">
      <c r="A2655" s="1" t="s">
        <v>500</v>
      </c>
      <c r="B2655" s="1" t="str">
        <f t="shared" si="1"/>
        <v>19, 26, MAGIKARP</v>
      </c>
    </row>
    <row r="2656" ht="12.75" customHeight="1">
      <c r="A2656" s="1" t="s">
        <v>970</v>
      </c>
      <c r="B2656" s="1" t="str">
        <f t="shared" si="1"/>
        <v>+19, 26, GYARADOS</v>
      </c>
    </row>
    <row r="2657" ht="12.75" customHeight="1">
      <c r="A2657" s="2"/>
      <c r="B2657" s="1" t="str">
        <f t="shared" si="1"/>
        <v/>
      </c>
    </row>
    <row r="2658" ht="12.75" customHeight="1">
      <c r="A2658" s="1" t="s">
        <v>419</v>
      </c>
      <c r="B2658" s="1" t="str">
        <f t="shared" si="1"/>
        <v># good rod:</v>
      </c>
    </row>
    <row r="2659" ht="12.75" customHeight="1">
      <c r="A2659" s="1" t="s">
        <v>1054</v>
      </c>
      <c r="B2659" s="1" t="str">
        <f t="shared" si="1"/>
        <v>+29, 33, HORSEA</v>
      </c>
    </row>
    <row r="2660" ht="12.75" customHeight="1">
      <c r="A2660" s="1" t="s">
        <v>1075</v>
      </c>
      <c r="B2660" s="1" t="str">
        <f t="shared" si="1"/>
        <v>+30, 35, SHELLDER</v>
      </c>
    </row>
    <row r="2661" ht="12.75" customHeight="1">
      <c r="A2661" s="1" t="s">
        <v>1076</v>
      </c>
      <c r="B2661" s="1" t="str">
        <f t="shared" si="1"/>
        <v>+30, 35, STARYU</v>
      </c>
    </row>
    <row r="2662" ht="12.75" customHeight="1">
      <c r="A2662" s="2"/>
      <c r="B2662" s="1" t="str">
        <f t="shared" si="1"/>
        <v/>
      </c>
    </row>
    <row r="2663" ht="12.75" customHeight="1">
      <c r="A2663" s="1" t="s">
        <v>423</v>
      </c>
      <c r="B2663" s="1" t="str">
        <f t="shared" si="1"/>
        <v># super rod:</v>
      </c>
    </row>
    <row r="2664" ht="12.75" customHeight="1">
      <c r="A2664" s="1" t="s">
        <v>604</v>
      </c>
      <c r="B2664" s="1" t="str">
        <f t="shared" si="1"/>
        <v>+29, 33, SEADRA</v>
      </c>
    </row>
    <row r="2665" ht="12.75" customHeight="1">
      <c r="A2665" s="1" t="s">
        <v>974</v>
      </c>
      <c r="B2665" s="1" t="str">
        <f t="shared" si="1"/>
        <v>+36, 40, GYARADOS</v>
      </c>
    </row>
    <row r="2666" ht="12.75" customHeight="1">
      <c r="A2666" s="1" t="s">
        <v>1077</v>
      </c>
      <c r="B2666" s="1" t="str">
        <f t="shared" si="1"/>
        <v>+38, 42, STARMIE</v>
      </c>
    </row>
    <row r="2667" ht="12.75" customHeight="1">
      <c r="A2667" s="1" t="s">
        <v>1078</v>
      </c>
      <c r="B2667" s="1" t="str">
        <f t="shared" si="1"/>
        <v>+38, 42, CLOYSTER</v>
      </c>
    </row>
    <row r="2668" ht="12.75" customHeight="1">
      <c r="A2668" s="1" t="s">
        <v>2731</v>
      </c>
      <c r="B2668" s="1" t="str">
        <f t="shared" si="1"/>
        <v>+38, 42, STARUS</v>
      </c>
    </row>
    <row r="2669" ht="12.75" customHeight="1">
      <c r="A2669" s="1" t="s">
        <v>2539</v>
      </c>
      <c r="B2669" s="1" t="str">
        <f t="shared" si="1"/>
        <v>NEW ROUTE</v>
      </c>
    </row>
    <row r="2670" ht="12.75" customHeight="1">
      <c r="A2670" s="1" t="s">
        <v>2732</v>
      </c>
      <c r="B2670" s="1" t="str">
        <f t="shared" si="1"/>
        <v>+3, 30, 0,</v>
      </c>
    </row>
    <row r="2671" ht="12.75" customHeight="1">
      <c r="A2671" s="1" t="s">
        <v>2568</v>
      </c>
      <c r="B2671" s="1" t="str">
        <f t="shared" si="1"/>
        <v>21, # 20%</v>
      </c>
    </row>
    <row r="2672" ht="12.75" customHeight="1">
      <c r="A2672" s="1" t="s">
        <v>1081</v>
      </c>
      <c r="B2672" s="1" t="str">
        <f t="shared" si="1"/>
        <v>29, 34, BELLSPROUT</v>
      </c>
    </row>
    <row r="2673" ht="12.75" customHeight="1">
      <c r="A2673" s="1" t="s">
        <v>1082</v>
      </c>
      <c r="B2673" s="1" t="str">
        <f t="shared" si="1"/>
        <v>+29, 34, PIDGEOTTO</v>
      </c>
    </row>
    <row r="2674" ht="12.75" customHeight="1">
      <c r="A2674" s="2"/>
      <c r="B2674" s="1" t="str">
        <f t="shared" si="1"/>
        <v/>
      </c>
    </row>
    <row r="2675" ht="12.75" customHeight="1">
      <c r="A2675" s="1" t="s">
        <v>360</v>
      </c>
      <c r="B2675" s="1" t="str">
        <f t="shared" si="1"/>
        <v># 10%</v>
      </c>
    </row>
    <row r="2676" ht="12.75" customHeight="1">
      <c r="A2676" s="1" t="s">
        <v>1083</v>
      </c>
      <c r="B2676" s="1" t="str">
        <f t="shared" si="1"/>
        <v>+29, 31, WEEPINBELL</v>
      </c>
    </row>
    <row r="2677" ht="12.75" customHeight="1">
      <c r="A2677" s="1" t="s">
        <v>1084</v>
      </c>
      <c r="B2677" s="1" t="str">
        <f t="shared" si="1"/>
        <v>+29, 31, DODUO</v>
      </c>
    </row>
    <row r="2678" ht="12.75" customHeight="1">
      <c r="A2678" s="1" t="s">
        <v>1085</v>
      </c>
      <c r="B2678" s="1" t="str">
        <f t="shared" si="1"/>
        <v>+31, 31, PIDGEOT</v>
      </c>
    </row>
    <row r="2679" ht="12.75" customHeight="1">
      <c r="A2679" s="1" t="s">
        <v>1086</v>
      </c>
      <c r="B2679" s="1" t="str">
        <f t="shared" si="1"/>
        <v>+29, 31, EXEGGCUTE</v>
      </c>
    </row>
    <row r="2680" ht="12.75" customHeight="1">
      <c r="A2680" s="2"/>
      <c r="B2680" s="1" t="str">
        <f t="shared" si="1"/>
        <v/>
      </c>
    </row>
    <row r="2681" ht="12.75" customHeight="1">
      <c r="A2681" s="1" t="s">
        <v>361</v>
      </c>
      <c r="B2681" s="1" t="str">
        <f t="shared" si="1"/>
        <v># 5%</v>
      </c>
    </row>
    <row r="2682" ht="12.75" customHeight="1">
      <c r="A2682" s="1" t="s">
        <v>1087</v>
      </c>
      <c r="B2682" s="1" t="str">
        <f t="shared" si="1"/>
        <v>+30, 34, SCYTHER</v>
      </c>
    </row>
    <row r="2683" ht="12.75" customHeight="1">
      <c r="A2683" s="1" t="s">
        <v>1088</v>
      </c>
      <c r="B2683" s="1" t="str">
        <f t="shared" si="1"/>
        <v>+30, 34, JYNX</v>
      </c>
    </row>
    <row r="2684" ht="12.75" customHeight="1">
      <c r="A2684" s="2"/>
      <c r="B2684" s="1" t="str">
        <f t="shared" si="1"/>
        <v/>
      </c>
    </row>
    <row r="2685" ht="12.75" customHeight="1">
      <c r="A2685" s="1" t="s">
        <v>362</v>
      </c>
      <c r="B2685" s="1" t="str">
        <f t="shared" si="1"/>
        <v># 4%</v>
      </c>
    </row>
    <row r="2686" ht="12.75" customHeight="1">
      <c r="A2686" s="1" t="s">
        <v>1089</v>
      </c>
      <c r="B2686" s="1" t="str">
        <f t="shared" si="1"/>
        <v>+31, 31, DODRIO</v>
      </c>
    </row>
    <row r="2687" ht="12.75" customHeight="1">
      <c r="A2687" s="1" t="s">
        <v>1090</v>
      </c>
      <c r="B2687" s="1" t="str">
        <f t="shared" si="1"/>
        <v>+31, 31, EXEGGUTOR</v>
      </c>
    </row>
    <row r="2688" ht="12.75" customHeight="1">
      <c r="A2688" s="2"/>
      <c r="B2688" s="1" t="str">
        <f t="shared" si="1"/>
        <v/>
      </c>
    </row>
    <row r="2689" ht="12.75" customHeight="1">
      <c r="A2689" s="1" t="s">
        <v>363</v>
      </c>
      <c r="B2689" s="1" t="str">
        <f t="shared" si="1"/>
        <v># 1%</v>
      </c>
    </row>
    <row r="2690" ht="12.75" customHeight="1">
      <c r="A2690" s="1" t="s">
        <v>1091</v>
      </c>
      <c r="B2690" s="1" t="str">
        <f t="shared" si="1"/>
        <v>+29, 34, VICTREEBEL</v>
      </c>
    </row>
    <row r="2691" ht="12.75" customHeight="1">
      <c r="A2691" s="1" t="s">
        <v>2733</v>
      </c>
      <c r="B2691" s="1" t="str">
        <f t="shared" si="1"/>
        <v>+20, 25, SQUIRTLE</v>
      </c>
    </row>
    <row r="2692" ht="12.75" customHeight="1">
      <c r="A2692" s="1" t="s">
        <v>2711</v>
      </c>
      <c r="B2692" s="1" t="str">
        <f t="shared" si="1"/>
        <v>2, 38, 42, TENTACOOL</v>
      </c>
    </row>
    <row r="2693" ht="12.75" customHeight="1">
      <c r="A2693" s="1" t="s">
        <v>1051</v>
      </c>
      <c r="B2693" s="1" t="str">
        <f t="shared" si="1"/>
        <v>+40, 44, TENTACRUEL</v>
      </c>
    </row>
    <row r="2694" ht="12.75" customHeight="1">
      <c r="A2694" s="1" t="s">
        <v>600</v>
      </c>
      <c r="B2694" s="1" t="str">
        <f t="shared" si="1"/>
        <v>+42, 46, LAPRAS</v>
      </c>
    </row>
    <row r="2695" ht="12.75" customHeight="1">
      <c r="A2695" s="1" t="s">
        <v>1052</v>
      </c>
      <c r="B2695" s="1" t="str">
        <f t="shared" si="1"/>
        <v>+42, 46, TENTACATE</v>
      </c>
    </row>
    <row r="2696" ht="12.75" customHeight="1">
      <c r="A2696" s="1" t="s">
        <v>2730</v>
      </c>
      <c r="B2696" s="1" t="str">
        <f t="shared" si="1"/>
        <v>+44, 48, LOCHLASS</v>
      </c>
    </row>
    <row r="2697" ht="12.75" customHeight="1">
      <c r="A2697" s="1" t="s">
        <v>2734</v>
      </c>
      <c r="B2697" s="1" t="str">
        <f t="shared" si="1"/>
        <v>60, # old rod:</v>
      </c>
    </row>
    <row r="2698" ht="12.75" customHeight="1">
      <c r="A2698" s="1" t="s">
        <v>500</v>
      </c>
      <c r="B2698" s="1" t="str">
        <f t="shared" si="1"/>
        <v>19, 26, MAGIKARP</v>
      </c>
    </row>
    <row r="2699" ht="12.75" customHeight="1">
      <c r="A2699" s="1" t="s">
        <v>970</v>
      </c>
      <c r="B2699" s="1" t="str">
        <f t="shared" si="1"/>
        <v>+19, 26, GYARADOS</v>
      </c>
    </row>
    <row r="2700" ht="12.75" customHeight="1">
      <c r="A2700" s="2"/>
      <c r="B2700" s="1" t="str">
        <f t="shared" si="1"/>
        <v/>
      </c>
    </row>
    <row r="2701" ht="12.75" customHeight="1">
      <c r="A2701" s="1" t="s">
        <v>419</v>
      </c>
      <c r="B2701" s="1" t="str">
        <f t="shared" si="1"/>
        <v># good rod:</v>
      </c>
    </row>
    <row r="2702" ht="12.75" customHeight="1">
      <c r="A2702" s="1" t="s">
        <v>1054</v>
      </c>
      <c r="B2702" s="1" t="str">
        <f t="shared" si="1"/>
        <v>+29, 33, HORSEA</v>
      </c>
    </row>
    <row r="2703" ht="12.75" customHeight="1">
      <c r="A2703" s="1" t="s">
        <v>605</v>
      </c>
      <c r="B2703" s="1" t="str">
        <f t="shared" si="1"/>
        <v>+30, 35, KRABBY</v>
      </c>
    </row>
    <row r="2704" ht="12.75" customHeight="1">
      <c r="A2704" s="1" t="s">
        <v>972</v>
      </c>
      <c r="B2704" s="1" t="str">
        <f t="shared" si="1"/>
        <v>+30, 35, PSYDUCK</v>
      </c>
    </row>
    <row r="2705" ht="12.75" customHeight="1">
      <c r="A2705" s="2"/>
      <c r="B2705" s="1" t="str">
        <f t="shared" si="1"/>
        <v/>
      </c>
    </row>
    <row r="2706" ht="12.75" customHeight="1">
      <c r="A2706" s="1" t="s">
        <v>423</v>
      </c>
      <c r="B2706" s="1" t="str">
        <f t="shared" si="1"/>
        <v># super rod:</v>
      </c>
    </row>
    <row r="2707" ht="12.75" customHeight="1">
      <c r="A2707" s="1" t="s">
        <v>1056</v>
      </c>
      <c r="B2707" s="1" t="str">
        <f t="shared" si="1"/>
        <v>+36, 40, SEADRA</v>
      </c>
    </row>
    <row r="2708" ht="12.75" customHeight="1">
      <c r="A2708" s="1" t="s">
        <v>974</v>
      </c>
      <c r="B2708" s="1" t="str">
        <f t="shared" si="1"/>
        <v>+36, 40, GYARADOS</v>
      </c>
    </row>
    <row r="2709" ht="12.75" customHeight="1">
      <c r="A2709" s="1" t="s">
        <v>975</v>
      </c>
      <c r="B2709" s="1" t="str">
        <f t="shared" si="1"/>
        <v>+38, 42, GOLDUCK</v>
      </c>
    </row>
    <row r="2710" ht="12.75" customHeight="1">
      <c r="A2710" s="1" t="s">
        <v>976</v>
      </c>
      <c r="B2710" s="1" t="str">
        <f t="shared" si="1"/>
        <v>+38, 42, KINGLER</v>
      </c>
    </row>
    <row r="2711" ht="12.75" customHeight="1">
      <c r="A2711" s="1" t="s">
        <v>2727</v>
      </c>
      <c r="B2711" s="1" t="str">
        <f t="shared" si="1"/>
        <v>+40, 44, GILDUCK</v>
      </c>
    </row>
    <row r="2712" ht="12.75" customHeight="1">
      <c r="A2712" s="1" t="s">
        <v>2539</v>
      </c>
      <c r="B2712" s="1" t="str">
        <f t="shared" si="1"/>
        <v>NEW ROUTE</v>
      </c>
    </row>
    <row r="2713" ht="12.75" customHeight="1">
      <c r="A2713" s="1" t="s">
        <v>2735</v>
      </c>
      <c r="B2713" s="1" t="str">
        <f t="shared" si="1"/>
        <v>+3, 31, 0,</v>
      </c>
    </row>
    <row r="2714" ht="12.75" customHeight="1">
      <c r="A2714" s="1" t="s">
        <v>2568</v>
      </c>
      <c r="B2714" s="1" t="str">
        <f t="shared" si="1"/>
        <v>21, # 20%</v>
      </c>
    </row>
    <row r="2715" ht="12.75" customHeight="1">
      <c r="A2715" s="1" t="s">
        <v>1095</v>
      </c>
      <c r="B2715" s="1" t="str">
        <f t="shared" si="1"/>
        <v>30, 35, BELLSPROUT</v>
      </c>
    </row>
    <row r="2716" ht="12.75" customHeight="1">
      <c r="A2716" s="1" t="s">
        <v>1096</v>
      </c>
      <c r="B2716" s="1" t="str">
        <f t="shared" si="1"/>
        <v>+30, 35, PIDGEOTTO</v>
      </c>
    </row>
    <row r="2717" ht="12.75" customHeight="1">
      <c r="A2717" s="2"/>
      <c r="B2717" s="1" t="str">
        <f t="shared" si="1"/>
        <v/>
      </c>
    </row>
    <row r="2718" ht="12.75" customHeight="1">
      <c r="A2718" s="1" t="s">
        <v>360</v>
      </c>
      <c r="B2718" s="1" t="str">
        <f t="shared" si="1"/>
        <v># 10%</v>
      </c>
    </row>
    <row r="2719" ht="12.75" customHeight="1">
      <c r="A2719" s="1" t="s">
        <v>1097</v>
      </c>
      <c r="B2719" s="1" t="str">
        <f t="shared" si="1"/>
        <v>+30, 32, WEEPINBELL</v>
      </c>
    </row>
    <row r="2720" ht="12.75" customHeight="1">
      <c r="A2720" s="1" t="s">
        <v>1098</v>
      </c>
      <c r="B2720" s="1" t="str">
        <f t="shared" si="1"/>
        <v>+30, 32, DODUO</v>
      </c>
    </row>
    <row r="2721" ht="12.75" customHeight="1">
      <c r="A2721" s="1" t="s">
        <v>1099</v>
      </c>
      <c r="B2721" s="1" t="str">
        <f t="shared" si="1"/>
        <v>+32, 32, PIDGEOT</v>
      </c>
    </row>
    <row r="2722" ht="12.75" customHeight="1">
      <c r="A2722" s="1" t="s">
        <v>1100</v>
      </c>
      <c r="B2722" s="1" t="str">
        <f t="shared" si="1"/>
        <v>+30, 32, EXEGGCUTE</v>
      </c>
    </row>
    <row r="2723" ht="12.75" customHeight="1">
      <c r="A2723" s="2"/>
      <c r="B2723" s="1" t="str">
        <f t="shared" si="1"/>
        <v/>
      </c>
    </row>
    <row r="2724" ht="12.75" customHeight="1">
      <c r="A2724" s="1" t="s">
        <v>361</v>
      </c>
      <c r="B2724" s="1" t="str">
        <f t="shared" si="1"/>
        <v># 5%</v>
      </c>
    </row>
    <row r="2725" ht="12.75" customHeight="1">
      <c r="A2725" s="1" t="s">
        <v>1101</v>
      </c>
      <c r="B2725" s="1" t="str">
        <f t="shared" si="1"/>
        <v>+31, 35, SCYTHER</v>
      </c>
    </row>
    <row r="2726" ht="12.75" customHeight="1">
      <c r="A2726" s="1" t="s">
        <v>1102</v>
      </c>
      <c r="B2726" s="1" t="str">
        <f t="shared" si="1"/>
        <v>+31, 35, JYNX</v>
      </c>
    </row>
    <row r="2727" ht="12.75" customHeight="1">
      <c r="A2727" s="2"/>
      <c r="B2727" s="1" t="str">
        <f t="shared" si="1"/>
        <v/>
      </c>
    </row>
    <row r="2728" ht="12.75" customHeight="1">
      <c r="A2728" s="1" t="s">
        <v>362</v>
      </c>
      <c r="B2728" s="1" t="str">
        <f t="shared" si="1"/>
        <v># 4%</v>
      </c>
    </row>
    <row r="2729" ht="12.75" customHeight="1">
      <c r="A2729" s="1" t="s">
        <v>1103</v>
      </c>
      <c r="B2729" s="1" t="str">
        <f t="shared" si="1"/>
        <v>+32, 32, DODRIO</v>
      </c>
    </row>
    <row r="2730" ht="12.75" customHeight="1">
      <c r="A2730" s="1" t="s">
        <v>1104</v>
      </c>
      <c r="B2730" s="1" t="str">
        <f t="shared" si="1"/>
        <v>+32, 32, EXEGGUTOR</v>
      </c>
    </row>
    <row r="2731" ht="12.75" customHeight="1">
      <c r="A2731" s="2"/>
      <c r="B2731" s="1" t="str">
        <f t="shared" si="1"/>
        <v/>
      </c>
    </row>
    <row r="2732" ht="12.75" customHeight="1">
      <c r="A2732" s="1" t="s">
        <v>363</v>
      </c>
      <c r="B2732" s="1" t="str">
        <f t="shared" si="1"/>
        <v># 1%</v>
      </c>
    </row>
    <row r="2733" ht="12.75" customHeight="1">
      <c r="A2733" s="1" t="s">
        <v>1105</v>
      </c>
      <c r="B2733" s="1" t="str">
        <f t="shared" si="1"/>
        <v>+30, 35, VICTREEBEL</v>
      </c>
    </row>
    <row r="2734" ht="12.75" customHeight="1">
      <c r="A2734" s="1" t="s">
        <v>2733</v>
      </c>
      <c r="B2734" s="1" t="str">
        <f t="shared" si="1"/>
        <v>+20, 25, SQUIRTLE</v>
      </c>
    </row>
    <row r="2735" ht="12.75" customHeight="1">
      <c r="A2735" s="1" t="s">
        <v>2711</v>
      </c>
      <c r="B2735" s="1" t="str">
        <f t="shared" si="1"/>
        <v>2, 38, 42, TENTACOOL</v>
      </c>
    </row>
    <row r="2736" ht="12.75" customHeight="1">
      <c r="A2736" s="1" t="s">
        <v>1051</v>
      </c>
      <c r="B2736" s="1" t="str">
        <f t="shared" si="1"/>
        <v>+40, 44, TENTACRUEL</v>
      </c>
    </row>
    <row r="2737" ht="12.75" customHeight="1">
      <c r="A2737" s="1" t="s">
        <v>600</v>
      </c>
      <c r="B2737" s="1" t="str">
        <f t="shared" si="1"/>
        <v>+42, 46, LAPRAS</v>
      </c>
    </row>
    <row r="2738" ht="12.75" customHeight="1">
      <c r="A2738" s="1" t="s">
        <v>1052</v>
      </c>
      <c r="B2738" s="1" t="str">
        <f t="shared" si="1"/>
        <v>+42, 46, TENTACATE</v>
      </c>
    </row>
    <row r="2739" ht="12.75" customHeight="1">
      <c r="A2739" s="1" t="s">
        <v>2730</v>
      </c>
      <c r="B2739" s="1" t="str">
        <f t="shared" si="1"/>
        <v>+44, 48, LOCHLASS</v>
      </c>
    </row>
    <row r="2740" ht="12.75" customHeight="1">
      <c r="A2740" s="1" t="s">
        <v>2572</v>
      </c>
      <c r="B2740" s="1" t="str">
        <f t="shared" si="1"/>
        <v>20, # old rod:</v>
      </c>
    </row>
    <row r="2741" ht="12.75" customHeight="1">
      <c r="A2741" s="1" t="s">
        <v>500</v>
      </c>
      <c r="B2741" s="1" t="str">
        <f t="shared" si="1"/>
        <v>19, 26, MAGIKARP</v>
      </c>
    </row>
    <row r="2742" ht="12.75" customHeight="1">
      <c r="A2742" s="1" t="s">
        <v>970</v>
      </c>
      <c r="B2742" s="1" t="str">
        <f t="shared" si="1"/>
        <v>+19, 26, GYARADOS</v>
      </c>
    </row>
    <row r="2743" ht="12.75" customHeight="1">
      <c r="A2743" s="2"/>
      <c r="B2743" s="1" t="str">
        <f t="shared" si="1"/>
        <v/>
      </c>
    </row>
    <row r="2744" ht="12.75" customHeight="1">
      <c r="A2744" s="1" t="s">
        <v>419</v>
      </c>
      <c r="B2744" s="1" t="str">
        <f t="shared" si="1"/>
        <v># good rod:</v>
      </c>
    </row>
    <row r="2745" ht="12.75" customHeight="1">
      <c r="A2745" s="1" t="s">
        <v>1054</v>
      </c>
      <c r="B2745" s="1" t="str">
        <f t="shared" si="1"/>
        <v>+29, 33, HORSEA</v>
      </c>
    </row>
    <row r="2746" ht="12.75" customHeight="1">
      <c r="A2746" s="1" t="s">
        <v>605</v>
      </c>
      <c r="B2746" s="1" t="str">
        <f t="shared" si="1"/>
        <v>+30, 35, KRABBY</v>
      </c>
    </row>
    <row r="2747" ht="12.75" customHeight="1">
      <c r="A2747" s="1" t="s">
        <v>972</v>
      </c>
      <c r="B2747" s="1" t="str">
        <f t="shared" si="1"/>
        <v>+30, 35, PSYDUCK</v>
      </c>
    </row>
    <row r="2748" ht="12.75" customHeight="1">
      <c r="A2748" s="2"/>
      <c r="B2748" s="1" t="str">
        <f t="shared" si="1"/>
        <v/>
      </c>
    </row>
    <row r="2749" ht="12.75" customHeight="1">
      <c r="A2749" s="1" t="s">
        <v>423</v>
      </c>
      <c r="B2749" s="1" t="str">
        <f t="shared" si="1"/>
        <v># super rod:</v>
      </c>
    </row>
    <row r="2750" ht="12.75" customHeight="1">
      <c r="A2750" s="1" t="s">
        <v>1056</v>
      </c>
      <c r="B2750" s="1" t="str">
        <f t="shared" si="1"/>
        <v>+36, 40, SEADRA</v>
      </c>
    </row>
    <row r="2751" ht="12.75" customHeight="1">
      <c r="A2751" s="1" t="s">
        <v>974</v>
      </c>
      <c r="B2751" s="1" t="str">
        <f t="shared" si="1"/>
        <v>+36, 40, GYARADOS</v>
      </c>
    </row>
    <row r="2752" ht="12.75" customHeight="1">
      <c r="A2752" s="1" t="s">
        <v>975</v>
      </c>
      <c r="B2752" s="1" t="str">
        <f t="shared" si="1"/>
        <v>+38, 42, GOLDUCK</v>
      </c>
    </row>
    <row r="2753" ht="12.75" customHeight="1">
      <c r="A2753" s="1" t="s">
        <v>976</v>
      </c>
      <c r="B2753" s="1" t="str">
        <f t="shared" si="1"/>
        <v>+38, 42, KINGLER</v>
      </c>
    </row>
    <row r="2754" ht="12.75" customHeight="1">
      <c r="A2754" s="1" t="s">
        <v>2727</v>
      </c>
      <c r="B2754" s="1" t="str">
        <f t="shared" si="1"/>
        <v>+40, 44, GILDUCK</v>
      </c>
    </row>
    <row r="2755" ht="12.75" customHeight="1">
      <c r="A2755" s="1" t="s">
        <v>2539</v>
      </c>
      <c r="B2755" s="1" t="str">
        <f t="shared" si="1"/>
        <v>NEW ROUTE</v>
      </c>
    </row>
    <row r="2756" ht="12.75" customHeight="1">
      <c r="A2756" s="1" t="s">
        <v>2736</v>
      </c>
      <c r="B2756" s="1" t="str">
        <f t="shared" si="1"/>
        <v>+3, 32, 0,</v>
      </c>
    </row>
    <row r="2757" ht="12.75" customHeight="1">
      <c r="A2757" s="1" t="s">
        <v>2568</v>
      </c>
      <c r="B2757" s="1" t="str">
        <f t="shared" si="1"/>
        <v>21, # 20%</v>
      </c>
    </row>
    <row r="2758" ht="12.75" customHeight="1">
      <c r="A2758" s="1" t="s">
        <v>1107</v>
      </c>
      <c r="B2758" s="1" t="str">
        <f t="shared" si="1"/>
        <v>32, 36, BELLSPROUT</v>
      </c>
    </row>
    <row r="2759" ht="12.75" customHeight="1">
      <c r="A2759" s="1" t="s">
        <v>1108</v>
      </c>
      <c r="B2759" s="1" t="str">
        <f t="shared" si="1"/>
        <v>+32, 36, PIDGEOTTO</v>
      </c>
    </row>
    <row r="2760" ht="12.75" customHeight="1">
      <c r="A2760" s="2"/>
      <c r="B2760" s="1" t="str">
        <f t="shared" si="1"/>
        <v/>
      </c>
    </row>
    <row r="2761" ht="12.75" customHeight="1">
      <c r="A2761" s="1" t="s">
        <v>360</v>
      </c>
      <c r="B2761" s="1" t="str">
        <f t="shared" si="1"/>
        <v># 10%</v>
      </c>
    </row>
    <row r="2762" ht="12.75" customHeight="1">
      <c r="A2762" s="1" t="s">
        <v>1109</v>
      </c>
      <c r="B2762" s="1" t="str">
        <f t="shared" si="1"/>
        <v>+31, 33, WEEPINBELL</v>
      </c>
    </row>
    <row r="2763" ht="12.75" customHeight="1">
      <c r="A2763" s="1" t="s">
        <v>1110</v>
      </c>
      <c r="B2763" s="1" t="str">
        <f t="shared" si="1"/>
        <v>+31, 33, DODUO</v>
      </c>
    </row>
    <row r="2764" ht="12.75" customHeight="1">
      <c r="A2764" s="1" t="s">
        <v>1111</v>
      </c>
      <c r="B2764" s="1" t="str">
        <f t="shared" si="1"/>
        <v>+33, 33, PIDGEOT</v>
      </c>
    </row>
    <row r="2765" ht="12.75" customHeight="1">
      <c r="A2765" s="1" t="s">
        <v>1112</v>
      </c>
      <c r="B2765" s="1" t="str">
        <f t="shared" si="1"/>
        <v>+31, 33, EXEGGCUTE</v>
      </c>
    </row>
    <row r="2766" ht="12.75" customHeight="1">
      <c r="A2766" s="2"/>
      <c r="B2766" s="1" t="str">
        <f t="shared" si="1"/>
        <v/>
      </c>
    </row>
    <row r="2767" ht="12.75" customHeight="1">
      <c r="A2767" s="1" t="s">
        <v>361</v>
      </c>
      <c r="B2767" s="1" t="str">
        <f t="shared" si="1"/>
        <v># 5%</v>
      </c>
    </row>
    <row r="2768" ht="12.75" customHeight="1">
      <c r="A2768" s="1" t="s">
        <v>1113</v>
      </c>
      <c r="B2768" s="1" t="str">
        <f t="shared" si="1"/>
        <v>+32, 36, SCYTHER</v>
      </c>
    </row>
    <row r="2769" ht="12.75" customHeight="1">
      <c r="A2769" s="1" t="s">
        <v>1114</v>
      </c>
      <c r="B2769" s="1" t="str">
        <f t="shared" si="1"/>
        <v>+32, 36, JYNX</v>
      </c>
    </row>
    <row r="2770" ht="12.75" customHeight="1">
      <c r="A2770" s="2"/>
      <c r="B2770" s="1" t="str">
        <f t="shared" si="1"/>
        <v/>
      </c>
    </row>
    <row r="2771" ht="12.75" customHeight="1">
      <c r="A2771" s="1" t="s">
        <v>362</v>
      </c>
      <c r="B2771" s="1" t="str">
        <f t="shared" si="1"/>
        <v># 4%</v>
      </c>
    </row>
    <row r="2772" ht="12.75" customHeight="1">
      <c r="A2772" s="1" t="s">
        <v>1115</v>
      </c>
      <c r="B2772" s="1" t="str">
        <f t="shared" si="1"/>
        <v>+33, 33, DODRIO</v>
      </c>
    </row>
    <row r="2773" ht="12.75" customHeight="1">
      <c r="A2773" s="1" t="s">
        <v>1116</v>
      </c>
      <c r="B2773" s="1" t="str">
        <f t="shared" si="1"/>
        <v>+33, 33, EXEGGUTOR</v>
      </c>
    </row>
    <row r="2774" ht="12.75" customHeight="1">
      <c r="A2774" s="2"/>
      <c r="B2774" s="1" t="str">
        <f t="shared" si="1"/>
        <v/>
      </c>
    </row>
    <row r="2775" ht="12.75" customHeight="1">
      <c r="A2775" s="1" t="s">
        <v>363</v>
      </c>
      <c r="B2775" s="1" t="str">
        <f t="shared" si="1"/>
        <v># 1%</v>
      </c>
    </row>
    <row r="2776" ht="12.75" customHeight="1">
      <c r="A2776" s="1" t="s">
        <v>1117</v>
      </c>
      <c r="B2776" s="1" t="str">
        <f t="shared" si="1"/>
        <v>+31, 36, VICTREEBEL</v>
      </c>
    </row>
    <row r="2777" ht="12.75" customHeight="1">
      <c r="A2777" s="1" t="s">
        <v>2737</v>
      </c>
      <c r="B2777" s="1" t="str">
        <f t="shared" si="1"/>
        <v>+20, 25, SQUIRTLE , &lt;null&gt;, &lt;null&gt;, &lt;null&gt;</v>
      </c>
    </row>
    <row r="2778" ht="12.75" customHeight="1">
      <c r="A2778" s="2"/>
      <c r="B2778" s="1" t="str">
        <f t="shared" si="1"/>
        <v/>
      </c>
    </row>
    <row r="2779" ht="12.75" customHeight="1">
      <c r="A2779" s="1" t="s">
        <v>2539</v>
      </c>
      <c r="B2779" s="1" t="str">
        <f t="shared" si="1"/>
        <v>NEW ROUTE</v>
      </c>
    </row>
    <row r="2780" ht="12.75" customHeight="1">
      <c r="A2780" s="1" t="s">
        <v>2738</v>
      </c>
      <c r="B2780" s="1" t="str">
        <f t="shared" si="1"/>
        <v>+3, 33, 0,</v>
      </c>
    </row>
    <row r="2781" ht="12.75" customHeight="1">
      <c r="A2781" s="1" t="s">
        <v>2568</v>
      </c>
      <c r="B2781" s="1" t="str">
        <f t="shared" si="1"/>
        <v>21, # 20%</v>
      </c>
    </row>
    <row r="2782" ht="12.75" customHeight="1">
      <c r="A2782" s="1" t="s">
        <v>1120</v>
      </c>
      <c r="B2782" s="1" t="str">
        <f t="shared" si="1"/>
        <v>33, 37, BELLSPROUT</v>
      </c>
    </row>
    <row r="2783" ht="12.75" customHeight="1">
      <c r="A2783" s="1" t="s">
        <v>1121</v>
      </c>
      <c r="B2783" s="1" t="str">
        <f t="shared" si="1"/>
        <v>+33, 37, PIDGEOTTO</v>
      </c>
    </row>
    <row r="2784" ht="12.75" customHeight="1">
      <c r="A2784" s="2"/>
      <c r="B2784" s="1" t="str">
        <f t="shared" si="1"/>
        <v/>
      </c>
    </row>
    <row r="2785" ht="12.75" customHeight="1">
      <c r="A2785" s="1" t="s">
        <v>360</v>
      </c>
      <c r="B2785" s="1" t="str">
        <f t="shared" si="1"/>
        <v># 10%</v>
      </c>
    </row>
    <row r="2786" ht="12.75" customHeight="1">
      <c r="A2786" s="1" t="s">
        <v>1122</v>
      </c>
      <c r="B2786" s="1" t="str">
        <f t="shared" si="1"/>
        <v>+32, 34, WEEPINBELL</v>
      </c>
    </row>
    <row r="2787" ht="12.75" customHeight="1">
      <c r="A2787" s="1" t="s">
        <v>1123</v>
      </c>
      <c r="B2787" s="1" t="str">
        <f t="shared" si="1"/>
        <v>+32, 34, DODUO</v>
      </c>
    </row>
    <row r="2788" ht="12.75" customHeight="1">
      <c r="A2788" s="1" t="s">
        <v>1124</v>
      </c>
      <c r="B2788" s="1" t="str">
        <f t="shared" si="1"/>
        <v>+34, 34, PIDGEOT</v>
      </c>
    </row>
    <row r="2789" ht="12.75" customHeight="1">
      <c r="A2789" s="1" t="s">
        <v>1125</v>
      </c>
      <c r="B2789" s="1" t="str">
        <f t="shared" si="1"/>
        <v>+32, 34, EXEGGCUTE</v>
      </c>
    </row>
    <row r="2790" ht="12.75" customHeight="1">
      <c r="A2790" s="2"/>
      <c r="B2790" s="1" t="str">
        <f t="shared" si="1"/>
        <v/>
      </c>
    </row>
    <row r="2791" ht="12.75" customHeight="1">
      <c r="A2791" s="1" t="s">
        <v>361</v>
      </c>
      <c r="B2791" s="1" t="str">
        <f t="shared" si="1"/>
        <v># 5%</v>
      </c>
    </row>
    <row r="2792" ht="12.75" customHeight="1">
      <c r="A2792" s="1" t="s">
        <v>1126</v>
      </c>
      <c r="B2792" s="1" t="str">
        <f t="shared" si="1"/>
        <v>+33, 37, SCYTHER</v>
      </c>
    </row>
    <row r="2793" ht="12.75" customHeight="1">
      <c r="A2793" s="1" t="s">
        <v>1127</v>
      </c>
      <c r="B2793" s="1" t="str">
        <f t="shared" si="1"/>
        <v>+33, 37, JYNX</v>
      </c>
    </row>
    <row r="2794" ht="12.75" customHeight="1">
      <c r="A2794" s="2"/>
      <c r="B2794" s="1" t="str">
        <f t="shared" si="1"/>
        <v/>
      </c>
    </row>
    <row r="2795" ht="12.75" customHeight="1">
      <c r="A2795" s="1" t="s">
        <v>362</v>
      </c>
      <c r="B2795" s="1" t="str">
        <f t="shared" si="1"/>
        <v># 4%</v>
      </c>
    </row>
    <row r="2796" ht="12.75" customHeight="1">
      <c r="A2796" s="1" t="s">
        <v>1128</v>
      </c>
      <c r="B2796" s="1" t="str">
        <f t="shared" si="1"/>
        <v>+34, 34, DODRIO</v>
      </c>
    </row>
    <row r="2797" ht="12.75" customHeight="1">
      <c r="A2797" s="1" t="s">
        <v>1129</v>
      </c>
      <c r="B2797" s="1" t="str">
        <f t="shared" si="1"/>
        <v>+34, 34, EXEGGUTOR</v>
      </c>
    </row>
    <row r="2798" ht="12.75" customHeight="1">
      <c r="A2798" s="2"/>
      <c r="B2798" s="1" t="str">
        <f t="shared" si="1"/>
        <v/>
      </c>
    </row>
    <row r="2799" ht="12.75" customHeight="1">
      <c r="A2799" s="1" t="s">
        <v>363</v>
      </c>
      <c r="B2799" s="1" t="str">
        <f t="shared" si="1"/>
        <v># 1%</v>
      </c>
    </row>
    <row r="2800" ht="12.75" customHeight="1">
      <c r="A2800" s="1" t="s">
        <v>1130</v>
      </c>
      <c r="B2800" s="1" t="str">
        <f t="shared" si="1"/>
        <v>+32, 37, VICTREEBEL</v>
      </c>
    </row>
    <row r="2801" ht="12.75" customHeight="1">
      <c r="A2801" s="1" t="s">
        <v>2737</v>
      </c>
      <c r="B2801" s="1" t="str">
        <f t="shared" si="1"/>
        <v>+20, 25, SQUIRTLE , &lt;null&gt;, &lt;null&gt;, &lt;null&gt;</v>
      </c>
    </row>
    <row r="2802" ht="12.75" customHeight="1">
      <c r="A2802" s="2"/>
      <c r="B2802" s="1" t="str">
        <f t="shared" si="1"/>
        <v/>
      </c>
    </row>
    <row r="2803" ht="12.75" customHeight="1">
      <c r="A2803" s="1" t="s">
        <v>2539</v>
      </c>
      <c r="B2803" s="1" t="str">
        <f t="shared" si="1"/>
        <v>NEW ROUTE</v>
      </c>
    </row>
    <row r="2804" ht="12.75" customHeight="1">
      <c r="A2804" s="1" t="s">
        <v>2739</v>
      </c>
      <c r="B2804" s="1" t="str">
        <f t="shared" si="1"/>
        <v>+3, 34, 0,</v>
      </c>
    </row>
    <row r="2805" ht="12.75" customHeight="1">
      <c r="A2805" s="1" t="s">
        <v>2568</v>
      </c>
      <c r="B2805" s="1" t="str">
        <f t="shared" si="1"/>
        <v>21, # 20%</v>
      </c>
    </row>
    <row r="2806" ht="12.75" customHeight="1">
      <c r="A2806" s="1" t="s">
        <v>1132</v>
      </c>
      <c r="B2806" s="1" t="str">
        <f t="shared" si="1"/>
        <v>29, 34, ODDISH</v>
      </c>
    </row>
    <row r="2807" ht="12.75" customHeight="1">
      <c r="A2807" s="1" t="s">
        <v>1082</v>
      </c>
      <c r="B2807" s="1" t="str">
        <f t="shared" si="1"/>
        <v>+29, 34, PIDGEOTTO</v>
      </c>
    </row>
    <row r="2808" ht="12.75" customHeight="1">
      <c r="A2808" s="2"/>
      <c r="B2808" s="1" t="str">
        <f t="shared" si="1"/>
        <v/>
      </c>
    </row>
    <row r="2809" ht="12.75" customHeight="1">
      <c r="A2809" s="1" t="s">
        <v>360</v>
      </c>
      <c r="B2809" s="1" t="str">
        <f t="shared" si="1"/>
        <v># 10%</v>
      </c>
    </row>
    <row r="2810" ht="12.75" customHeight="1">
      <c r="A2810" s="1" t="s">
        <v>1133</v>
      </c>
      <c r="B2810" s="1" t="str">
        <f t="shared" si="1"/>
        <v>+29, 31, GLOOM</v>
      </c>
    </row>
    <row r="2811" ht="12.75" customHeight="1">
      <c r="A2811" s="1" t="s">
        <v>1084</v>
      </c>
      <c r="B2811" s="1" t="str">
        <f t="shared" si="1"/>
        <v>+29, 31, DODUO</v>
      </c>
    </row>
    <row r="2812" ht="12.75" customHeight="1">
      <c r="A2812" s="1" t="s">
        <v>1085</v>
      </c>
      <c r="B2812" s="1" t="str">
        <f t="shared" si="1"/>
        <v>+31, 31, PIDGEOT</v>
      </c>
    </row>
    <row r="2813" ht="12.75" customHeight="1">
      <c r="A2813" s="1" t="s">
        <v>1134</v>
      </c>
      <c r="B2813" s="1" t="str">
        <f t="shared" si="1"/>
        <v>+29, 31, LICKITUNG</v>
      </c>
    </row>
    <row r="2814" ht="12.75" customHeight="1">
      <c r="A2814" s="2"/>
      <c r="B2814" s="1" t="str">
        <f t="shared" si="1"/>
        <v/>
      </c>
    </row>
    <row r="2815" ht="12.75" customHeight="1">
      <c r="A2815" s="1" t="s">
        <v>361</v>
      </c>
      <c r="B2815" s="1" t="str">
        <f t="shared" si="1"/>
        <v># 5%</v>
      </c>
    </row>
    <row r="2816" ht="12.75" customHeight="1">
      <c r="A2816" s="1" t="s">
        <v>1135</v>
      </c>
      <c r="B2816" s="1" t="str">
        <f t="shared" si="1"/>
        <v>+30, 34, TAUROS</v>
      </c>
    </row>
    <row r="2817" ht="12.75" customHeight="1">
      <c r="A2817" s="1" t="s">
        <v>1136</v>
      </c>
      <c r="B2817" s="1" t="str">
        <f t="shared" si="1"/>
        <v>+30, 34, "MR. MIME"</v>
      </c>
    </row>
    <row r="2818" ht="12.75" customHeight="1">
      <c r="A2818" s="2"/>
      <c r="B2818" s="1" t="str">
        <f t="shared" si="1"/>
        <v/>
      </c>
    </row>
    <row r="2819" ht="12.75" customHeight="1">
      <c r="A2819" s="1" t="s">
        <v>362</v>
      </c>
      <c r="B2819" s="1" t="str">
        <f t="shared" si="1"/>
        <v># 4%</v>
      </c>
    </row>
    <row r="2820" ht="12.75" customHeight="1">
      <c r="A2820" s="1" t="s">
        <v>1089</v>
      </c>
      <c r="B2820" s="1" t="str">
        <f t="shared" si="1"/>
        <v>+31, 31, DODRIO</v>
      </c>
    </row>
    <row r="2821" ht="12.75" customHeight="1">
      <c r="A2821" s="1" t="s">
        <v>1137</v>
      </c>
      <c r="B2821" s="1" t="str">
        <f t="shared" si="1"/>
        <v>+31, 31, LICKILICKY</v>
      </c>
    </row>
    <row r="2822" ht="12.75" customHeight="1">
      <c r="A2822" s="2"/>
      <c r="B2822" s="1" t="str">
        <f t="shared" si="1"/>
        <v/>
      </c>
    </row>
    <row r="2823" ht="12.75" customHeight="1">
      <c r="A2823" s="1" t="s">
        <v>363</v>
      </c>
      <c r="B2823" s="1" t="str">
        <f t="shared" si="1"/>
        <v># 1%</v>
      </c>
    </row>
    <row r="2824" ht="12.75" customHeight="1">
      <c r="A2824" s="1" t="s">
        <v>1138</v>
      </c>
      <c r="B2824" s="1" t="str">
        <f t="shared" si="1"/>
        <v>+29, 34, VILEPLUME</v>
      </c>
    </row>
    <row r="2825" ht="12.75" customHeight="1">
      <c r="A2825" s="1" t="s">
        <v>2740</v>
      </c>
      <c r="B2825" s="1" t="str">
        <f t="shared" si="1"/>
        <v>+20, 25, BULBASAUR , &lt;null&gt;, &lt;null&gt;, &lt;null&gt;</v>
      </c>
    </row>
    <row r="2826" ht="12.75" customHeight="1">
      <c r="A2826" s="2"/>
      <c r="B2826" s="1" t="str">
        <f t="shared" si="1"/>
        <v/>
      </c>
    </row>
    <row r="2827" ht="12.75" customHeight="1">
      <c r="A2827" s="1" t="s">
        <v>2539</v>
      </c>
      <c r="B2827" s="1" t="str">
        <f t="shared" si="1"/>
        <v>NEW ROUTE</v>
      </c>
    </row>
    <row r="2828" ht="12.75" customHeight="1">
      <c r="A2828" s="1" t="s">
        <v>2741</v>
      </c>
      <c r="B2828" s="1" t="str">
        <f t="shared" si="1"/>
        <v>+3, 35, 0,</v>
      </c>
    </row>
    <row r="2829" ht="12.75" customHeight="1">
      <c r="A2829" s="1" t="s">
        <v>2568</v>
      </c>
      <c r="B2829" s="1" t="str">
        <f t="shared" si="1"/>
        <v>21, # 20%</v>
      </c>
    </row>
    <row r="2830" ht="12.75" customHeight="1">
      <c r="A2830" s="1" t="s">
        <v>1141</v>
      </c>
      <c r="B2830" s="1" t="str">
        <f t="shared" si="1"/>
        <v>30, 35, ODDISH</v>
      </c>
    </row>
    <row r="2831" ht="12.75" customHeight="1">
      <c r="A2831" s="1" t="s">
        <v>1096</v>
      </c>
      <c r="B2831" s="1" t="str">
        <f t="shared" si="1"/>
        <v>+30, 35, PIDGEOTTO</v>
      </c>
    </row>
    <row r="2832" ht="12.75" customHeight="1">
      <c r="A2832" s="2"/>
      <c r="B2832" s="1" t="str">
        <f t="shared" si="1"/>
        <v/>
      </c>
    </row>
    <row r="2833" ht="12.75" customHeight="1">
      <c r="A2833" s="1" t="s">
        <v>360</v>
      </c>
      <c r="B2833" s="1" t="str">
        <f t="shared" si="1"/>
        <v># 10%</v>
      </c>
    </row>
    <row r="2834" ht="12.75" customHeight="1">
      <c r="A2834" s="1" t="s">
        <v>1142</v>
      </c>
      <c r="B2834" s="1" t="str">
        <f t="shared" si="1"/>
        <v>+30, 35, GLOOM</v>
      </c>
    </row>
    <row r="2835" ht="12.75" customHeight="1">
      <c r="A2835" s="1" t="s">
        <v>1143</v>
      </c>
      <c r="B2835" s="1" t="str">
        <f t="shared" si="1"/>
        <v>+30, 35, DODUO</v>
      </c>
    </row>
    <row r="2836" ht="12.75" customHeight="1">
      <c r="A2836" s="1" t="s">
        <v>1099</v>
      </c>
      <c r="B2836" s="1" t="str">
        <f t="shared" si="1"/>
        <v>+32, 32, PIDGEOT</v>
      </c>
    </row>
    <row r="2837" ht="12.75" customHeight="1">
      <c r="A2837" s="1" t="s">
        <v>1144</v>
      </c>
      <c r="B2837" s="1" t="str">
        <f t="shared" si="1"/>
        <v>+30, 32, LICKITUNG</v>
      </c>
    </row>
    <row r="2838" ht="12.75" customHeight="1">
      <c r="A2838" s="2"/>
      <c r="B2838" s="1" t="str">
        <f t="shared" si="1"/>
        <v/>
      </c>
    </row>
    <row r="2839" ht="12.75" customHeight="1">
      <c r="A2839" s="1" t="s">
        <v>361</v>
      </c>
      <c r="B2839" s="1" t="str">
        <f t="shared" si="1"/>
        <v># 5%</v>
      </c>
    </row>
    <row r="2840" ht="12.75" customHeight="1">
      <c r="A2840" s="1" t="s">
        <v>1145</v>
      </c>
      <c r="B2840" s="1" t="str">
        <f t="shared" si="1"/>
        <v>+31, 35, TAUROS</v>
      </c>
    </row>
    <row r="2841" ht="12.75" customHeight="1">
      <c r="A2841" s="1" t="s">
        <v>1146</v>
      </c>
      <c r="B2841" s="1" t="str">
        <f t="shared" si="1"/>
        <v>+31, 35, "MR. MIME"</v>
      </c>
    </row>
    <row r="2842" ht="12.75" customHeight="1">
      <c r="A2842" s="2"/>
      <c r="B2842" s="1" t="str">
        <f t="shared" si="1"/>
        <v/>
      </c>
    </row>
    <row r="2843" ht="12.75" customHeight="1">
      <c r="A2843" s="1" t="s">
        <v>362</v>
      </c>
      <c r="B2843" s="1" t="str">
        <f t="shared" si="1"/>
        <v># 4%</v>
      </c>
    </row>
    <row r="2844" ht="12.75" customHeight="1">
      <c r="A2844" s="1" t="s">
        <v>1103</v>
      </c>
      <c r="B2844" s="1" t="str">
        <f t="shared" si="1"/>
        <v>+32, 32, DODRIO</v>
      </c>
    </row>
    <row r="2845" ht="12.75" customHeight="1">
      <c r="A2845" s="1" t="s">
        <v>1147</v>
      </c>
      <c r="B2845" s="1" t="str">
        <f t="shared" si="1"/>
        <v>+32, 32, LICKILICKY</v>
      </c>
    </row>
    <row r="2846" ht="12.75" customHeight="1">
      <c r="A2846" s="2"/>
      <c r="B2846" s="1" t="str">
        <f t="shared" si="1"/>
        <v/>
      </c>
    </row>
    <row r="2847" ht="12.75" customHeight="1">
      <c r="A2847" s="1" t="s">
        <v>363</v>
      </c>
      <c r="B2847" s="1" t="str">
        <f t="shared" si="1"/>
        <v># 1%</v>
      </c>
    </row>
    <row r="2848" ht="12.75" customHeight="1">
      <c r="A2848" s="1" t="s">
        <v>1148</v>
      </c>
      <c r="B2848" s="1" t="str">
        <f t="shared" si="1"/>
        <v>+30, 35, VILEPLUME</v>
      </c>
    </row>
    <row r="2849" ht="12.75" customHeight="1">
      <c r="A2849" s="1" t="s">
        <v>2740</v>
      </c>
      <c r="B2849" s="1" t="str">
        <f t="shared" si="1"/>
        <v>+20, 25, BULBASAUR , &lt;null&gt;, &lt;null&gt;, &lt;null&gt;</v>
      </c>
    </row>
    <row r="2850" ht="12.75" customHeight="1">
      <c r="A2850" s="2"/>
      <c r="B2850" s="1" t="str">
        <f t="shared" si="1"/>
        <v/>
      </c>
    </row>
    <row r="2851" ht="12.75" customHeight="1">
      <c r="A2851" s="1" t="s">
        <v>2539</v>
      </c>
      <c r="B2851" s="1" t="str">
        <f t="shared" si="1"/>
        <v>NEW ROUTE</v>
      </c>
    </row>
    <row r="2852" ht="12.75" customHeight="1">
      <c r="A2852" s="1" t="s">
        <v>2742</v>
      </c>
      <c r="B2852" s="1" t="str">
        <f t="shared" si="1"/>
        <v>+3, 36, 0,</v>
      </c>
    </row>
    <row r="2853" ht="12.75" customHeight="1">
      <c r="A2853" s="1" t="s">
        <v>2568</v>
      </c>
      <c r="B2853" s="1" t="str">
        <f t="shared" si="1"/>
        <v>21, # 20%</v>
      </c>
    </row>
    <row r="2854" ht="12.75" customHeight="1">
      <c r="A2854" s="1" t="s">
        <v>1150</v>
      </c>
      <c r="B2854" s="1" t="str">
        <f t="shared" si="1"/>
        <v>32, 36, ODDISH</v>
      </c>
    </row>
    <row r="2855" ht="12.75" customHeight="1">
      <c r="A2855" s="1" t="s">
        <v>1108</v>
      </c>
      <c r="B2855" s="1" t="str">
        <f t="shared" si="1"/>
        <v>+32, 36, PIDGEOTTO</v>
      </c>
    </row>
    <row r="2856" ht="12.75" customHeight="1">
      <c r="A2856" s="2"/>
      <c r="B2856" s="1" t="str">
        <f t="shared" si="1"/>
        <v/>
      </c>
    </row>
    <row r="2857" ht="12.75" customHeight="1">
      <c r="A2857" s="1" t="s">
        <v>360</v>
      </c>
      <c r="B2857" s="1" t="str">
        <f t="shared" si="1"/>
        <v># 10%</v>
      </c>
    </row>
    <row r="2858" ht="12.75" customHeight="1">
      <c r="A2858" s="1" t="s">
        <v>1151</v>
      </c>
      <c r="B2858" s="1" t="str">
        <f t="shared" si="1"/>
        <v>+31, 33, GLOOM</v>
      </c>
    </row>
    <row r="2859" ht="12.75" customHeight="1">
      <c r="A2859" s="1" t="s">
        <v>1110</v>
      </c>
      <c r="B2859" s="1" t="str">
        <f t="shared" si="1"/>
        <v>+31, 33, DODUO</v>
      </c>
    </row>
    <row r="2860" ht="12.75" customHeight="1">
      <c r="A2860" s="1" t="s">
        <v>1111</v>
      </c>
      <c r="B2860" s="1" t="str">
        <f t="shared" si="1"/>
        <v>+33, 33, PIDGEOT</v>
      </c>
    </row>
    <row r="2861" ht="12.75" customHeight="1">
      <c r="A2861" s="1" t="s">
        <v>1152</v>
      </c>
      <c r="B2861" s="1" t="str">
        <f t="shared" si="1"/>
        <v>+31, 33, LICKITUNG</v>
      </c>
    </row>
    <row r="2862" ht="12.75" customHeight="1">
      <c r="A2862" s="2"/>
      <c r="B2862" s="1" t="str">
        <f t="shared" si="1"/>
        <v/>
      </c>
    </row>
    <row r="2863" ht="12.75" customHeight="1">
      <c r="A2863" s="1" t="s">
        <v>361</v>
      </c>
      <c r="B2863" s="1" t="str">
        <f t="shared" si="1"/>
        <v># 5%</v>
      </c>
    </row>
    <row r="2864" ht="12.75" customHeight="1">
      <c r="A2864" s="1" t="s">
        <v>1153</v>
      </c>
      <c r="B2864" s="1" t="str">
        <f t="shared" si="1"/>
        <v>+32, 36, TAUROS</v>
      </c>
    </row>
    <row r="2865" ht="12.75" customHeight="1">
      <c r="A2865" s="1" t="s">
        <v>1154</v>
      </c>
      <c r="B2865" s="1" t="str">
        <f t="shared" si="1"/>
        <v>+32, 36, "MR. MIME"</v>
      </c>
    </row>
    <row r="2866" ht="12.75" customHeight="1">
      <c r="A2866" s="2"/>
      <c r="B2866" s="1" t="str">
        <f t="shared" si="1"/>
        <v/>
      </c>
    </row>
    <row r="2867" ht="12.75" customHeight="1">
      <c r="A2867" s="1" t="s">
        <v>362</v>
      </c>
      <c r="B2867" s="1" t="str">
        <f t="shared" si="1"/>
        <v># 4%</v>
      </c>
    </row>
    <row r="2868" ht="12.75" customHeight="1">
      <c r="A2868" s="1" t="s">
        <v>1155</v>
      </c>
      <c r="B2868" s="1" t="str">
        <f t="shared" si="1"/>
        <v>+34, 36, DODRIO</v>
      </c>
    </row>
    <row r="2869" ht="12.75" customHeight="1">
      <c r="A2869" s="1" t="s">
        <v>1156</v>
      </c>
      <c r="B2869" s="1" t="str">
        <f t="shared" si="1"/>
        <v>+33, 33, LICKILICKY</v>
      </c>
    </row>
    <row r="2870" ht="12.75" customHeight="1">
      <c r="A2870" s="2"/>
      <c r="B2870" s="1" t="str">
        <f t="shared" si="1"/>
        <v/>
      </c>
    </row>
    <row r="2871" ht="12.75" customHeight="1">
      <c r="A2871" s="1" t="s">
        <v>363</v>
      </c>
      <c r="B2871" s="1" t="str">
        <f t="shared" si="1"/>
        <v># 1%</v>
      </c>
    </row>
    <row r="2872" ht="12.75" customHeight="1">
      <c r="A2872" s="1" t="s">
        <v>1157</v>
      </c>
      <c r="B2872" s="1" t="str">
        <f t="shared" si="1"/>
        <v>+31, 36, VILEPLUME</v>
      </c>
    </row>
    <row r="2873" ht="12.75" customHeight="1">
      <c r="A2873" s="1" t="s">
        <v>2740</v>
      </c>
      <c r="B2873" s="1" t="str">
        <f t="shared" si="1"/>
        <v>+20, 25, BULBASAUR , &lt;null&gt;, &lt;null&gt;, &lt;null&gt;</v>
      </c>
    </row>
    <row r="2874" ht="12.75" customHeight="1">
      <c r="A2874" s="2"/>
      <c r="B2874" s="1" t="str">
        <f t="shared" si="1"/>
        <v/>
      </c>
    </row>
    <row r="2875" ht="12.75" customHeight="1">
      <c r="A2875" s="1" t="s">
        <v>2539</v>
      </c>
      <c r="B2875" s="1" t="str">
        <f t="shared" si="1"/>
        <v>NEW ROUTE</v>
      </c>
    </row>
    <row r="2876" ht="12.75" customHeight="1">
      <c r="A2876" s="1" t="s">
        <v>2743</v>
      </c>
      <c r="B2876" s="1" t="str">
        <f t="shared" si="1"/>
        <v>+3, 37, 0, &lt;null&gt;,</v>
      </c>
    </row>
    <row r="2877" ht="12.75" customHeight="1">
      <c r="A2877" s="2"/>
      <c r="B2877" s="1" t="str">
        <f t="shared" si="1"/>
        <v/>
      </c>
    </row>
    <row r="2878" ht="12.75" customHeight="1">
      <c r="A2878" s="1" t="s">
        <v>2711</v>
      </c>
      <c r="B2878" s="1" t="str">
        <f t="shared" si="1"/>
        <v>2, 38, 42, TENTACOOL</v>
      </c>
    </row>
    <row r="2879" ht="12.75" customHeight="1">
      <c r="A2879" s="1" t="s">
        <v>1051</v>
      </c>
      <c r="B2879" s="1" t="str">
        <f t="shared" si="1"/>
        <v>+40, 44, TENTACRUEL</v>
      </c>
    </row>
    <row r="2880" ht="12.75" customHeight="1">
      <c r="A2880" s="1" t="s">
        <v>1052</v>
      </c>
      <c r="B2880" s="1" t="str">
        <f t="shared" si="1"/>
        <v>+42, 46, TENTACATE</v>
      </c>
    </row>
    <row r="2881" ht="12.75" customHeight="1">
      <c r="A2881" s="1" t="s">
        <v>600</v>
      </c>
      <c r="B2881" s="1" t="str">
        <f t="shared" si="1"/>
        <v>+42, 46, LAPRAS</v>
      </c>
    </row>
    <row r="2882" ht="12.75" customHeight="1">
      <c r="A2882" s="1" t="s">
        <v>2730</v>
      </c>
      <c r="B2882" s="1" t="str">
        <f t="shared" si="1"/>
        <v>+44, 48, LOCHLASS</v>
      </c>
    </row>
    <row r="2883" ht="12.75" customHeight="1">
      <c r="A2883" s="1" t="s">
        <v>2572</v>
      </c>
      <c r="B2883" s="1" t="str">
        <f t="shared" si="1"/>
        <v>20, # old rod:</v>
      </c>
    </row>
    <row r="2884" ht="12.75" customHeight="1">
      <c r="A2884" s="1" t="s">
        <v>1159</v>
      </c>
      <c r="B2884" s="1" t="str">
        <f t="shared" si="1"/>
        <v>19, 26, PSYDUCK</v>
      </c>
    </row>
    <row r="2885" ht="12.75" customHeight="1">
      <c r="A2885" s="1" t="s">
        <v>1160</v>
      </c>
      <c r="B2885" s="1" t="str">
        <f t="shared" si="1"/>
        <v>+19, 26, HORSEA</v>
      </c>
    </row>
    <row r="2886" ht="12.75" customHeight="1">
      <c r="A2886" s="2"/>
      <c r="B2886" s="1" t="str">
        <f t="shared" si="1"/>
        <v/>
      </c>
    </row>
    <row r="2887" ht="12.75" customHeight="1">
      <c r="A2887" s="1" t="s">
        <v>419</v>
      </c>
      <c r="B2887" s="1" t="str">
        <f t="shared" si="1"/>
        <v># good rod:</v>
      </c>
    </row>
    <row r="2888" ht="12.75" customHeight="1">
      <c r="A2888" s="1" t="s">
        <v>604</v>
      </c>
      <c r="B2888" s="1" t="str">
        <f t="shared" si="1"/>
        <v>+29, 33, SEADRA</v>
      </c>
    </row>
    <row r="2889" ht="12.75" customHeight="1">
      <c r="A2889" s="1" t="s">
        <v>605</v>
      </c>
      <c r="B2889" s="1" t="str">
        <f t="shared" si="1"/>
        <v>+30, 35, KRABBY</v>
      </c>
    </row>
    <row r="2890" ht="12.75" customHeight="1">
      <c r="A2890" s="1" t="s">
        <v>606</v>
      </c>
      <c r="B2890" s="1" t="str">
        <f t="shared" si="1"/>
        <v>+30, 35, GOLDUCK</v>
      </c>
    </row>
    <row r="2891" ht="12.75" customHeight="1">
      <c r="A2891" s="2"/>
      <c r="B2891" s="1" t="str">
        <f t="shared" si="1"/>
        <v/>
      </c>
    </row>
    <row r="2892" ht="12.75" customHeight="1">
      <c r="A2892" s="1" t="s">
        <v>423</v>
      </c>
      <c r="B2892" s="1" t="str">
        <f t="shared" si="1"/>
        <v># super rod:</v>
      </c>
    </row>
    <row r="2893" ht="12.75" customHeight="1">
      <c r="A2893" s="1" t="s">
        <v>607</v>
      </c>
      <c r="B2893" s="1" t="str">
        <f t="shared" si="1"/>
        <v>+36, 40, KINGDRA</v>
      </c>
    </row>
    <row r="2894" ht="12.75" customHeight="1">
      <c r="A2894" s="1" t="s">
        <v>1161</v>
      </c>
      <c r="B2894" s="1" t="str">
        <f t="shared" si="1"/>
        <v>+36, 40, KINGLER</v>
      </c>
    </row>
    <row r="2895" ht="12.75" customHeight="1">
      <c r="A2895" s="1" t="s">
        <v>609</v>
      </c>
      <c r="B2895" s="1" t="str">
        <f t="shared" si="1"/>
        <v>+38, 42, GILDUCK</v>
      </c>
    </row>
    <row r="2896" ht="12.75" customHeight="1">
      <c r="A2896" s="1" t="s">
        <v>610</v>
      </c>
      <c r="B2896" s="1" t="str">
        <f t="shared" si="1"/>
        <v>+38, 42, KRAKLAW</v>
      </c>
    </row>
    <row r="2897" ht="12.75" customHeight="1">
      <c r="A2897" s="1" t="s">
        <v>2603</v>
      </c>
      <c r="B2897" s="1" t="str">
        <f t="shared" si="1"/>
        <v>+40, 44, LORDRA</v>
      </c>
    </row>
    <row r="2898" ht="12.75" customHeight="1">
      <c r="A2898" s="1" t="s">
        <v>2539</v>
      </c>
      <c r="B2898" s="1" t="str">
        <f t="shared" si="1"/>
        <v>NEW ROUTE</v>
      </c>
    </row>
    <row r="2899" ht="12.75" customHeight="1">
      <c r="A2899" s="1" t="s">
        <v>2744</v>
      </c>
      <c r="B2899" s="1" t="str">
        <f t="shared" si="1"/>
        <v>+3, 38, 0, &lt;null&gt;,</v>
      </c>
    </row>
    <row r="2900" ht="12.75" customHeight="1">
      <c r="A2900" s="2"/>
      <c r="B2900" s="1" t="str">
        <f t="shared" si="1"/>
        <v/>
      </c>
    </row>
    <row r="2901" ht="12.75" customHeight="1">
      <c r="A2901" s="1" t="s">
        <v>2711</v>
      </c>
      <c r="B2901" s="1" t="str">
        <f t="shared" si="1"/>
        <v>2, 38, 42, TENTACOOL</v>
      </c>
    </row>
    <row r="2902" ht="12.75" customHeight="1">
      <c r="A2902" s="1" t="s">
        <v>1051</v>
      </c>
      <c r="B2902" s="1" t="str">
        <f t="shared" si="1"/>
        <v>+40, 44, TENTACRUEL</v>
      </c>
    </row>
    <row r="2903" ht="12.75" customHeight="1">
      <c r="A2903" s="1" t="s">
        <v>1052</v>
      </c>
      <c r="B2903" s="1" t="str">
        <f t="shared" si="1"/>
        <v>+42, 46, TENTACATE</v>
      </c>
    </row>
    <row r="2904" ht="12.75" customHeight="1">
      <c r="A2904" s="1" t="s">
        <v>600</v>
      </c>
      <c r="B2904" s="1" t="str">
        <f t="shared" si="1"/>
        <v>+42, 46, LAPRAS</v>
      </c>
    </row>
    <row r="2905" ht="12.75" customHeight="1">
      <c r="A2905" s="1" t="s">
        <v>2730</v>
      </c>
      <c r="B2905" s="1" t="str">
        <f t="shared" si="1"/>
        <v>+44, 48, LOCHLASS</v>
      </c>
    </row>
    <row r="2906" ht="12.75" customHeight="1">
      <c r="A2906" s="1" t="s">
        <v>2572</v>
      </c>
      <c r="B2906" s="1" t="str">
        <f t="shared" si="1"/>
        <v>20, # old rod:</v>
      </c>
    </row>
    <row r="2907" ht="12.75" customHeight="1">
      <c r="A2907" s="1" t="s">
        <v>1159</v>
      </c>
      <c r="B2907" s="1" t="str">
        <f t="shared" si="1"/>
        <v>19, 26, PSYDUCK</v>
      </c>
    </row>
    <row r="2908" ht="12.75" customHeight="1">
      <c r="A2908" s="1" t="s">
        <v>1160</v>
      </c>
      <c r="B2908" s="1" t="str">
        <f t="shared" si="1"/>
        <v>+19, 26, HORSEA</v>
      </c>
    </row>
    <row r="2909" ht="12.75" customHeight="1">
      <c r="A2909" s="2"/>
      <c r="B2909" s="1" t="str">
        <f t="shared" si="1"/>
        <v/>
      </c>
    </row>
    <row r="2910" ht="12.75" customHeight="1">
      <c r="A2910" s="1" t="s">
        <v>419</v>
      </c>
      <c r="B2910" s="1" t="str">
        <f t="shared" si="1"/>
        <v># good rod:</v>
      </c>
    </row>
    <row r="2911" ht="12.75" customHeight="1">
      <c r="A2911" s="1" t="s">
        <v>604</v>
      </c>
      <c r="B2911" s="1" t="str">
        <f t="shared" si="1"/>
        <v>+29, 33, SEADRA</v>
      </c>
    </row>
    <row r="2912" ht="12.75" customHeight="1">
      <c r="A2912" s="1" t="s">
        <v>605</v>
      </c>
      <c r="B2912" s="1" t="str">
        <f t="shared" si="1"/>
        <v>+30, 35, KRABBY</v>
      </c>
    </row>
    <row r="2913" ht="12.75" customHeight="1">
      <c r="A2913" s="1" t="s">
        <v>606</v>
      </c>
      <c r="B2913" s="1" t="str">
        <f t="shared" si="1"/>
        <v>+30, 35, GOLDUCK</v>
      </c>
    </row>
    <row r="2914" ht="12.75" customHeight="1">
      <c r="A2914" s="2"/>
      <c r="B2914" s="1" t="str">
        <f t="shared" si="1"/>
        <v/>
      </c>
    </row>
    <row r="2915" ht="12.75" customHeight="1">
      <c r="A2915" s="1" t="s">
        <v>423</v>
      </c>
      <c r="B2915" s="1" t="str">
        <f t="shared" si="1"/>
        <v># super rod:</v>
      </c>
    </row>
    <row r="2916" ht="12.75" customHeight="1">
      <c r="A2916" s="1" t="s">
        <v>607</v>
      </c>
      <c r="B2916" s="1" t="str">
        <f t="shared" si="1"/>
        <v>+36, 40, KINGDRA</v>
      </c>
    </row>
    <row r="2917" ht="12.75" customHeight="1">
      <c r="A2917" s="1" t="s">
        <v>1161</v>
      </c>
      <c r="B2917" s="1" t="str">
        <f t="shared" si="1"/>
        <v>+36, 40, KINGLER</v>
      </c>
    </row>
    <row r="2918" ht="12.75" customHeight="1">
      <c r="A2918" s="1" t="s">
        <v>609</v>
      </c>
      <c r="B2918" s="1" t="str">
        <f t="shared" si="1"/>
        <v>+38, 42, GILDUCK</v>
      </c>
    </row>
    <row r="2919" ht="12.75" customHeight="1">
      <c r="A2919" s="1" t="s">
        <v>610</v>
      </c>
      <c r="B2919" s="1" t="str">
        <f t="shared" si="1"/>
        <v>+38, 42, KRAKLAW</v>
      </c>
    </row>
    <row r="2920" ht="12.75" customHeight="1">
      <c r="A2920" s="1" t="s">
        <v>2603</v>
      </c>
      <c r="B2920" s="1" t="str">
        <f t="shared" si="1"/>
        <v>+40, 44, LORDRA</v>
      </c>
    </row>
    <row r="2921" ht="12.75" customHeight="1">
      <c r="A2921" s="1" t="s">
        <v>2539</v>
      </c>
      <c r="B2921" s="1" t="str">
        <f t="shared" si="1"/>
        <v>NEW ROUTE</v>
      </c>
    </row>
    <row r="2922" ht="12.75" customHeight="1">
      <c r="A2922" s="1" t="s">
        <v>2745</v>
      </c>
      <c r="B2922" s="1" t="str">
        <f t="shared" si="1"/>
        <v>+3, 39, 0,</v>
      </c>
    </row>
    <row r="2923" ht="12.75" customHeight="1">
      <c r="A2923" s="1" t="s">
        <v>2537</v>
      </c>
      <c r="B2923" s="1" t="str">
        <f t="shared" si="1"/>
        <v>14, # 20%</v>
      </c>
    </row>
    <row r="2924" ht="12.75" customHeight="1">
      <c r="A2924" s="1" t="s">
        <v>1164</v>
      </c>
      <c r="B2924" s="1" t="str">
        <f t="shared" si="1"/>
        <v>39, 46, TANGROWTH</v>
      </c>
    </row>
    <row r="2925" ht="12.75" customHeight="1">
      <c r="A2925" s="1" t="s">
        <v>1165</v>
      </c>
      <c r="B2925" s="1" t="str">
        <f t="shared" si="1"/>
        <v>+39, 46, EXEGGUTOR</v>
      </c>
    </row>
    <row r="2926" ht="12.75" customHeight="1">
      <c r="A2926" s="2"/>
      <c r="B2926" s="1" t="str">
        <f t="shared" si="1"/>
        <v/>
      </c>
    </row>
    <row r="2927" ht="12.75" customHeight="1">
      <c r="A2927" s="1" t="s">
        <v>360</v>
      </c>
      <c r="B2927" s="1" t="str">
        <f t="shared" si="1"/>
        <v># 10%</v>
      </c>
    </row>
    <row r="2928" ht="12.75" customHeight="1">
      <c r="A2928" s="1" t="s">
        <v>1166</v>
      </c>
      <c r="B2928" s="1" t="str">
        <f t="shared" si="1"/>
        <v>+39, 42, DODRIO</v>
      </c>
    </row>
    <row r="2929" ht="12.75" customHeight="1">
      <c r="A2929" s="1" t="s">
        <v>1167</v>
      </c>
      <c r="B2929" s="1" t="str">
        <f t="shared" si="1"/>
        <v>+39, 42, GOLDUCK</v>
      </c>
    </row>
    <row r="2930" ht="12.75" customHeight="1">
      <c r="A2930" s="1" t="s">
        <v>1168</v>
      </c>
      <c r="B2930" s="1" t="str">
        <f t="shared" si="1"/>
        <v>+43, 46, DODRIO</v>
      </c>
    </row>
    <row r="2931" ht="12.75" customHeight="1">
      <c r="A2931" s="1" t="s">
        <v>1169</v>
      </c>
      <c r="B2931" s="1" t="str">
        <f t="shared" si="1"/>
        <v>+43, 46, GOLDUCK</v>
      </c>
    </row>
    <row r="2932" ht="12.75" customHeight="1">
      <c r="A2932" s="2"/>
      <c r="B2932" s="1" t="str">
        <f t="shared" si="1"/>
        <v/>
      </c>
    </row>
    <row r="2933" ht="12.75" customHeight="1">
      <c r="A2933" s="1" t="s">
        <v>361</v>
      </c>
      <c r="B2933" s="1" t="str">
        <f t="shared" si="1"/>
        <v># 5%</v>
      </c>
    </row>
    <row r="2934" ht="12.75" customHeight="1">
      <c r="A2934" s="1" t="s">
        <v>1170</v>
      </c>
      <c r="B2934" s="1" t="str">
        <f t="shared" si="1"/>
        <v>+43, 50, TANGATHER</v>
      </c>
    </row>
    <row r="2935" ht="12.75" customHeight="1">
      <c r="A2935" s="1" t="s">
        <v>1171</v>
      </c>
      <c r="B2935" s="1" t="str">
        <f t="shared" si="1"/>
        <v>+43, 50, EXEGGITY</v>
      </c>
    </row>
    <row r="2936" ht="12.75" customHeight="1">
      <c r="A2936" s="2"/>
      <c r="B2936" s="1" t="str">
        <f t="shared" si="1"/>
        <v/>
      </c>
    </row>
    <row r="2937" ht="12.75" customHeight="1">
      <c r="A2937" s="1" t="s">
        <v>362</v>
      </c>
      <c r="B2937" s="1" t="str">
        <f t="shared" si="1"/>
        <v># 4%</v>
      </c>
    </row>
    <row r="2938" ht="12.75" customHeight="1">
      <c r="A2938" s="1" t="s">
        <v>1172</v>
      </c>
      <c r="B2938" s="1" t="str">
        <f t="shared" si="1"/>
        <v>+43, 50, GILDUCK</v>
      </c>
    </row>
    <row r="2939" ht="12.75" customHeight="1">
      <c r="A2939" s="1" t="s">
        <v>1173</v>
      </c>
      <c r="B2939" s="1" t="str">
        <f t="shared" si="1"/>
        <v>+43, 50, QUADODO</v>
      </c>
    </row>
    <row r="2940" ht="12.75" customHeight="1">
      <c r="A2940" s="2"/>
      <c r="B2940" s="1" t="str">
        <f t="shared" si="1"/>
        <v/>
      </c>
    </row>
    <row r="2941" ht="12.75" customHeight="1">
      <c r="A2941" s="1" t="s">
        <v>363</v>
      </c>
      <c r="B2941" s="1" t="str">
        <f t="shared" si="1"/>
        <v># 1%</v>
      </c>
    </row>
    <row r="2942" ht="12.75" customHeight="1">
      <c r="A2942" s="1" t="s">
        <v>1174</v>
      </c>
      <c r="B2942" s="1" t="str">
        <f t="shared" si="1"/>
        <v>+45, 52, TANGOLIATH</v>
      </c>
    </row>
    <row r="2943" ht="12.75" customHeight="1">
      <c r="A2943" s="1" t="s">
        <v>2746</v>
      </c>
      <c r="B2943" s="1" t="str">
        <f t="shared" si="1"/>
        <v>+44, 44, TANGOLIATH</v>
      </c>
    </row>
    <row r="2944" ht="12.75" customHeight="1">
      <c r="A2944" s="1" t="s">
        <v>2711</v>
      </c>
      <c r="B2944" s="1" t="str">
        <f t="shared" si="1"/>
        <v>2, 38, 42, TENTACOOL</v>
      </c>
    </row>
    <row r="2945" ht="12.75" customHeight="1">
      <c r="A2945" s="1" t="s">
        <v>1051</v>
      </c>
      <c r="B2945" s="1" t="str">
        <f t="shared" si="1"/>
        <v>+40, 44, TENTACRUEL</v>
      </c>
    </row>
    <row r="2946" ht="12.75" customHeight="1">
      <c r="A2946" s="1" t="s">
        <v>1052</v>
      </c>
      <c r="B2946" s="1" t="str">
        <f t="shared" si="1"/>
        <v>+42, 46, TENTACATE</v>
      </c>
    </row>
    <row r="2947" ht="12.75" customHeight="1">
      <c r="A2947" s="1" t="s">
        <v>600</v>
      </c>
      <c r="B2947" s="1" t="str">
        <f t="shared" si="1"/>
        <v>+42, 46, LAPRAS</v>
      </c>
    </row>
    <row r="2948" ht="12.75" customHeight="1">
      <c r="A2948" s="1" t="s">
        <v>2730</v>
      </c>
      <c r="B2948" s="1" t="str">
        <f t="shared" si="1"/>
        <v>+44, 48, LOCHLASS</v>
      </c>
    </row>
    <row r="2949" ht="12.75" customHeight="1">
      <c r="A2949" s="1" t="s">
        <v>2572</v>
      </c>
      <c r="B2949" s="1" t="str">
        <f t="shared" si="1"/>
        <v>20, # old rod:</v>
      </c>
    </row>
    <row r="2950" ht="12.75" customHeight="1">
      <c r="A2950" s="1" t="s">
        <v>1159</v>
      </c>
      <c r="B2950" s="1" t="str">
        <f t="shared" si="1"/>
        <v>19, 26, PSYDUCK</v>
      </c>
    </row>
    <row r="2951" ht="12.75" customHeight="1">
      <c r="A2951" s="1" t="s">
        <v>1160</v>
      </c>
      <c r="B2951" s="1" t="str">
        <f t="shared" si="1"/>
        <v>+19, 26, HORSEA</v>
      </c>
    </row>
    <row r="2952" ht="12.75" customHeight="1">
      <c r="A2952" s="2"/>
      <c r="B2952" s="1" t="str">
        <f t="shared" si="1"/>
        <v/>
      </c>
    </row>
    <row r="2953" ht="12.75" customHeight="1">
      <c r="A2953" s="1" t="s">
        <v>419</v>
      </c>
      <c r="B2953" s="1" t="str">
        <f t="shared" si="1"/>
        <v># good rod:</v>
      </c>
    </row>
    <row r="2954" ht="12.75" customHeight="1">
      <c r="A2954" s="1" t="s">
        <v>604</v>
      </c>
      <c r="B2954" s="1" t="str">
        <f t="shared" si="1"/>
        <v>+29, 33, SEADRA</v>
      </c>
    </row>
    <row r="2955" ht="12.75" customHeight="1">
      <c r="A2955" s="1" t="s">
        <v>605</v>
      </c>
      <c r="B2955" s="1" t="str">
        <f t="shared" si="1"/>
        <v>+30, 35, KRABBY</v>
      </c>
    </row>
    <row r="2956" ht="12.75" customHeight="1">
      <c r="A2956" s="1" t="s">
        <v>606</v>
      </c>
      <c r="B2956" s="1" t="str">
        <f t="shared" si="1"/>
        <v>+30, 35, GOLDUCK</v>
      </c>
    </row>
    <row r="2957" ht="12.75" customHeight="1">
      <c r="A2957" s="2"/>
      <c r="B2957" s="1" t="str">
        <f t="shared" si="1"/>
        <v/>
      </c>
    </row>
    <row r="2958" ht="12.75" customHeight="1">
      <c r="A2958" s="1" t="s">
        <v>423</v>
      </c>
      <c r="B2958" s="1" t="str">
        <f t="shared" si="1"/>
        <v># super rod:</v>
      </c>
    </row>
    <row r="2959" ht="12.75" customHeight="1">
      <c r="A2959" s="1" t="s">
        <v>607</v>
      </c>
      <c r="B2959" s="1" t="str">
        <f t="shared" si="1"/>
        <v>+36, 40, KINGDRA</v>
      </c>
    </row>
    <row r="2960" ht="12.75" customHeight="1">
      <c r="A2960" s="1" t="s">
        <v>1161</v>
      </c>
      <c r="B2960" s="1" t="str">
        <f t="shared" si="1"/>
        <v>+36, 40, KINGLER</v>
      </c>
    </row>
    <row r="2961" ht="12.75" customHeight="1">
      <c r="A2961" s="1" t="s">
        <v>609</v>
      </c>
      <c r="B2961" s="1" t="str">
        <f t="shared" si="1"/>
        <v>+38, 42, GILDUCK</v>
      </c>
    </row>
    <row r="2962" ht="12.75" customHeight="1">
      <c r="A2962" s="1" t="s">
        <v>610</v>
      </c>
      <c r="B2962" s="1" t="str">
        <f t="shared" si="1"/>
        <v>+38, 42, KRAKLAW</v>
      </c>
    </row>
    <row r="2963" ht="12.75" customHeight="1">
      <c r="A2963" s="1" t="s">
        <v>2603</v>
      </c>
      <c r="B2963" s="1" t="str">
        <f t="shared" si="1"/>
        <v>+40, 44, LORDRA</v>
      </c>
    </row>
    <row r="2964" ht="12.75" customHeight="1">
      <c r="A2964" s="1" t="s">
        <v>2539</v>
      </c>
      <c r="B2964" s="1" t="str">
        <f t="shared" si="1"/>
        <v>NEW ROUTE</v>
      </c>
    </row>
    <row r="2965" ht="12.75" customHeight="1">
      <c r="A2965" s="1" t="s">
        <v>2747</v>
      </c>
      <c r="B2965" s="1" t="str">
        <f t="shared" si="1"/>
        <v>+3, 40, 0,</v>
      </c>
    </row>
    <row r="2966" ht="12.75" customHeight="1">
      <c r="A2966" s="1" t="s">
        <v>2537</v>
      </c>
      <c r="B2966" s="1" t="str">
        <f t="shared" si="1"/>
        <v>14, # 20%</v>
      </c>
    </row>
    <row r="2967" ht="12.75" customHeight="1">
      <c r="A2967" s="1" t="s">
        <v>1164</v>
      </c>
      <c r="B2967" s="1" t="str">
        <f t="shared" si="1"/>
        <v>39, 46, TANGROWTH</v>
      </c>
    </row>
    <row r="2968" ht="12.75" customHeight="1">
      <c r="A2968" s="1" t="s">
        <v>1165</v>
      </c>
      <c r="B2968" s="1" t="str">
        <f t="shared" si="1"/>
        <v>+39, 46, EXEGGUTOR</v>
      </c>
    </row>
    <row r="2969" ht="12.75" customHeight="1">
      <c r="A2969" s="2"/>
      <c r="B2969" s="1" t="str">
        <f t="shared" si="1"/>
        <v/>
      </c>
    </row>
    <row r="2970" ht="12.75" customHeight="1">
      <c r="A2970" s="1" t="s">
        <v>360</v>
      </c>
      <c r="B2970" s="1" t="str">
        <f t="shared" si="1"/>
        <v># 10%</v>
      </c>
    </row>
    <row r="2971" ht="12.75" customHeight="1">
      <c r="A2971" s="1" t="s">
        <v>1166</v>
      </c>
      <c r="B2971" s="1" t="str">
        <f t="shared" si="1"/>
        <v>+39, 42, DODRIO</v>
      </c>
    </row>
    <row r="2972" ht="12.75" customHeight="1">
      <c r="A2972" s="1" t="s">
        <v>1167</v>
      </c>
      <c r="B2972" s="1" t="str">
        <f t="shared" si="1"/>
        <v>+39, 42, GOLDUCK</v>
      </c>
    </row>
    <row r="2973" ht="12.75" customHeight="1">
      <c r="A2973" s="1" t="s">
        <v>1168</v>
      </c>
      <c r="B2973" s="1" t="str">
        <f t="shared" si="1"/>
        <v>+43, 46, DODRIO</v>
      </c>
    </row>
    <row r="2974" ht="12.75" customHeight="1">
      <c r="A2974" s="1" t="s">
        <v>1169</v>
      </c>
      <c r="B2974" s="1" t="str">
        <f t="shared" si="1"/>
        <v>+43, 46, GOLDUCK</v>
      </c>
    </row>
    <row r="2975" ht="12.75" customHeight="1">
      <c r="A2975" s="2"/>
      <c r="B2975" s="1" t="str">
        <f t="shared" si="1"/>
        <v/>
      </c>
    </row>
    <row r="2976" ht="12.75" customHeight="1">
      <c r="A2976" s="1" t="s">
        <v>361</v>
      </c>
      <c r="B2976" s="1" t="str">
        <f t="shared" si="1"/>
        <v># 5%</v>
      </c>
    </row>
    <row r="2977" ht="12.75" customHeight="1">
      <c r="A2977" s="1" t="s">
        <v>1170</v>
      </c>
      <c r="B2977" s="1" t="str">
        <f t="shared" si="1"/>
        <v>+43, 50, TANGATHER</v>
      </c>
    </row>
    <row r="2978" ht="12.75" customHeight="1">
      <c r="A2978" s="1" t="s">
        <v>1171</v>
      </c>
      <c r="B2978" s="1" t="str">
        <f t="shared" si="1"/>
        <v>+43, 50, EXEGGITY</v>
      </c>
    </row>
    <row r="2979" ht="12.75" customHeight="1">
      <c r="A2979" s="2"/>
      <c r="B2979" s="1" t="str">
        <f t="shared" si="1"/>
        <v/>
      </c>
    </row>
    <row r="2980" ht="12.75" customHeight="1">
      <c r="A2980" s="1" t="s">
        <v>362</v>
      </c>
      <c r="B2980" s="1" t="str">
        <f t="shared" si="1"/>
        <v># 4%</v>
      </c>
    </row>
    <row r="2981" ht="12.75" customHeight="1">
      <c r="A2981" s="1" t="s">
        <v>1172</v>
      </c>
      <c r="B2981" s="1" t="str">
        <f t="shared" si="1"/>
        <v>+43, 50, GILDUCK</v>
      </c>
    </row>
    <row r="2982" ht="12.75" customHeight="1">
      <c r="A2982" s="1" t="s">
        <v>1173</v>
      </c>
      <c r="B2982" s="1" t="str">
        <f t="shared" si="1"/>
        <v>+43, 50, QUADODO</v>
      </c>
    </row>
    <row r="2983" ht="12.75" customHeight="1">
      <c r="A2983" s="2"/>
      <c r="B2983" s="1" t="str">
        <f t="shared" si="1"/>
        <v/>
      </c>
    </row>
    <row r="2984" ht="12.75" customHeight="1">
      <c r="A2984" s="1" t="s">
        <v>363</v>
      </c>
      <c r="B2984" s="1" t="str">
        <f t="shared" si="1"/>
        <v># 1%</v>
      </c>
    </row>
    <row r="2985" ht="12.75" customHeight="1">
      <c r="A2985" s="1" t="s">
        <v>1174</v>
      </c>
      <c r="B2985" s="1" t="str">
        <f t="shared" si="1"/>
        <v>+45, 52, TANGOLIATH</v>
      </c>
    </row>
    <row r="2986" ht="12.75" customHeight="1">
      <c r="A2986" s="1" t="s">
        <v>2746</v>
      </c>
      <c r="B2986" s="1" t="str">
        <f t="shared" si="1"/>
        <v>+44, 44, TANGOLIATH</v>
      </c>
    </row>
    <row r="2987" ht="12.75" customHeight="1">
      <c r="A2987" s="1" t="s">
        <v>2711</v>
      </c>
      <c r="B2987" s="1" t="str">
        <f t="shared" si="1"/>
        <v>2, 38, 42, TENTACOOL</v>
      </c>
    </row>
    <row r="2988" ht="12.75" customHeight="1">
      <c r="A2988" s="1" t="s">
        <v>1051</v>
      </c>
      <c r="B2988" s="1" t="str">
        <f t="shared" si="1"/>
        <v>+40, 44, TENTACRUEL</v>
      </c>
    </row>
    <row r="2989" ht="12.75" customHeight="1">
      <c r="A2989" s="1" t="s">
        <v>1052</v>
      </c>
      <c r="B2989" s="1" t="str">
        <f t="shared" si="1"/>
        <v>+42, 46, TENTACATE</v>
      </c>
    </row>
    <row r="2990" ht="12.75" customHeight="1">
      <c r="A2990" s="1" t="s">
        <v>600</v>
      </c>
      <c r="B2990" s="1" t="str">
        <f t="shared" si="1"/>
        <v>+42, 46, LAPRAS</v>
      </c>
    </row>
    <row r="2991" ht="12.75" customHeight="1">
      <c r="A2991" s="1" t="s">
        <v>2730</v>
      </c>
      <c r="B2991" s="1" t="str">
        <f t="shared" si="1"/>
        <v>+44, 48, LOCHLASS</v>
      </c>
    </row>
    <row r="2992" ht="12.75" customHeight="1">
      <c r="A2992" s="1" t="s">
        <v>2572</v>
      </c>
      <c r="B2992" s="1" t="str">
        <f t="shared" si="1"/>
        <v>20, # old rod:</v>
      </c>
    </row>
    <row r="2993" ht="12.75" customHeight="1">
      <c r="A2993" s="1" t="s">
        <v>1159</v>
      </c>
      <c r="B2993" s="1" t="str">
        <f t="shared" si="1"/>
        <v>19, 26, PSYDUCK</v>
      </c>
    </row>
    <row r="2994" ht="12.75" customHeight="1">
      <c r="A2994" s="1" t="s">
        <v>1160</v>
      </c>
      <c r="B2994" s="1" t="str">
        <f t="shared" si="1"/>
        <v>+19, 26, HORSEA</v>
      </c>
    </row>
    <row r="2995" ht="12.75" customHeight="1">
      <c r="A2995" s="2"/>
      <c r="B2995" s="1" t="str">
        <f t="shared" si="1"/>
        <v/>
      </c>
    </row>
    <row r="2996" ht="12.75" customHeight="1">
      <c r="A2996" s="1" t="s">
        <v>419</v>
      </c>
      <c r="B2996" s="1" t="str">
        <f t="shared" si="1"/>
        <v># good rod:</v>
      </c>
    </row>
    <row r="2997" ht="12.75" customHeight="1">
      <c r="A2997" s="1" t="s">
        <v>604</v>
      </c>
      <c r="B2997" s="1" t="str">
        <f t="shared" si="1"/>
        <v>+29, 33, SEADRA</v>
      </c>
    </row>
    <row r="2998" ht="12.75" customHeight="1">
      <c r="A2998" s="1" t="s">
        <v>605</v>
      </c>
      <c r="B2998" s="1" t="str">
        <f t="shared" si="1"/>
        <v>+30, 35, KRABBY</v>
      </c>
    </row>
    <row r="2999" ht="12.75" customHeight="1">
      <c r="A2999" s="1" t="s">
        <v>606</v>
      </c>
      <c r="B2999" s="1" t="str">
        <f t="shared" si="1"/>
        <v>+30, 35, GOLDUCK</v>
      </c>
    </row>
    <row r="3000" ht="12.75" customHeight="1">
      <c r="A3000" s="2"/>
      <c r="B3000" s="1" t="str">
        <f t="shared" si="1"/>
        <v/>
      </c>
    </row>
    <row r="3001" ht="12.75" customHeight="1">
      <c r="A3001" s="1" t="s">
        <v>423</v>
      </c>
      <c r="B3001" s="1" t="str">
        <f t="shared" si="1"/>
        <v># super rod:</v>
      </c>
    </row>
    <row r="3002" ht="12.75" customHeight="1">
      <c r="A3002" s="1" t="s">
        <v>607</v>
      </c>
      <c r="B3002" s="1" t="str">
        <f t="shared" si="1"/>
        <v>+36, 40, KINGDRA</v>
      </c>
    </row>
    <row r="3003" ht="12.75" customHeight="1">
      <c r="A3003" s="1" t="s">
        <v>1161</v>
      </c>
      <c r="B3003" s="1" t="str">
        <f t="shared" si="1"/>
        <v>+36, 40, KINGLER</v>
      </c>
    </row>
    <row r="3004" ht="12.75" customHeight="1">
      <c r="A3004" s="1" t="s">
        <v>609</v>
      </c>
      <c r="B3004" s="1" t="str">
        <f t="shared" si="1"/>
        <v>+38, 42, GILDUCK</v>
      </c>
    </row>
    <row r="3005" ht="12.75" customHeight="1">
      <c r="A3005" s="1" t="s">
        <v>610</v>
      </c>
      <c r="B3005" s="1" t="str">
        <f t="shared" si="1"/>
        <v>+38, 42, KRAKLAW</v>
      </c>
    </row>
    <row r="3006" ht="12.75" customHeight="1">
      <c r="A3006" s="1" t="s">
        <v>2603</v>
      </c>
      <c r="B3006" s="1" t="str">
        <f t="shared" si="1"/>
        <v>+40, 44, LORDRA</v>
      </c>
    </row>
    <row r="3007" ht="12.75" customHeight="1">
      <c r="A3007" s="1" t="s">
        <v>2539</v>
      </c>
      <c r="B3007" s="1" t="str">
        <f t="shared" si="1"/>
        <v>NEW ROUTE</v>
      </c>
    </row>
    <row r="3008" ht="12.75" customHeight="1">
      <c r="A3008" s="1" t="s">
        <v>2748</v>
      </c>
      <c r="B3008" s="1" t="str">
        <f t="shared" si="1"/>
        <v>+3, 41, 0,</v>
      </c>
    </row>
    <row r="3009" ht="12.75" customHeight="1">
      <c r="A3009" s="1" t="s">
        <v>2568</v>
      </c>
      <c r="B3009" s="1" t="str">
        <f t="shared" si="1"/>
        <v>21, # 20%</v>
      </c>
    </row>
    <row r="3010" ht="12.75" customHeight="1">
      <c r="A3010" s="1" t="s">
        <v>1178</v>
      </c>
      <c r="B3010" s="1" t="str">
        <f t="shared" si="1"/>
        <v>2, 3, RATTATA</v>
      </c>
    </row>
    <row r="3011" ht="12.75" customHeight="1">
      <c r="A3011" s="1" t="s">
        <v>1179</v>
      </c>
      <c r="B3011" s="1" t="str">
        <f t="shared" si="1"/>
        <v>+4, 5, RATTATA</v>
      </c>
    </row>
    <row r="3012" ht="12.75" customHeight="1">
      <c r="A3012" s="2"/>
      <c r="B3012" s="1" t="str">
        <f t="shared" si="1"/>
        <v/>
      </c>
    </row>
    <row r="3013" ht="12.75" customHeight="1">
      <c r="A3013" s="1" t="s">
        <v>360</v>
      </c>
      <c r="B3013" s="1" t="str">
        <f t="shared" si="1"/>
        <v># 10%</v>
      </c>
    </row>
    <row r="3014" ht="12.75" customHeight="1">
      <c r="A3014" s="1" t="s">
        <v>1180</v>
      </c>
      <c r="B3014" s="1" t="str">
        <f t="shared" si="1"/>
        <v>+2, 3, MEOWTH</v>
      </c>
    </row>
    <row r="3015" ht="12.75" customHeight="1">
      <c r="A3015" s="1" t="s">
        <v>1181</v>
      </c>
      <c r="B3015" s="1" t="str">
        <f t="shared" si="1"/>
        <v>+4, 5, MEOWTH</v>
      </c>
    </row>
    <row r="3016" ht="12.75" customHeight="1">
      <c r="A3016" s="1" t="s">
        <v>1182</v>
      </c>
      <c r="B3016" s="1" t="str">
        <f t="shared" si="1"/>
        <v>+2, 3, SPEAROW</v>
      </c>
    </row>
    <row r="3017" ht="12.75" customHeight="1">
      <c r="A3017" s="1" t="s">
        <v>1183</v>
      </c>
      <c r="B3017" s="1" t="str">
        <f t="shared" si="1"/>
        <v>+4, 5, SPEAROW</v>
      </c>
    </row>
    <row r="3018" ht="12.75" customHeight="1">
      <c r="A3018" s="2"/>
      <c r="B3018" s="1" t="str">
        <f t="shared" si="1"/>
        <v/>
      </c>
    </row>
    <row r="3019" ht="12.75" customHeight="1">
      <c r="A3019" s="1" t="s">
        <v>361</v>
      </c>
      <c r="B3019" s="1" t="str">
        <f t="shared" si="1"/>
        <v># 5%</v>
      </c>
    </row>
    <row r="3020" ht="12.75" customHeight="1">
      <c r="A3020" s="1" t="s">
        <v>1184</v>
      </c>
      <c r="B3020" s="1" t="str">
        <f t="shared" si="1"/>
        <v>+2, 3, GROWLITHE</v>
      </c>
    </row>
    <row r="3021" ht="12.75" customHeight="1">
      <c r="A3021" s="1" t="s">
        <v>1185</v>
      </c>
      <c r="B3021" s="1" t="str">
        <f t="shared" si="1"/>
        <v>+4, 5, GROWLITHE</v>
      </c>
    </row>
    <row r="3022" ht="12.75" customHeight="1">
      <c r="A3022" s="2"/>
      <c r="B3022" s="1" t="str">
        <f t="shared" si="1"/>
        <v/>
      </c>
    </row>
    <row r="3023" ht="12.75" customHeight="1">
      <c r="A3023" s="1" t="s">
        <v>362</v>
      </c>
      <c r="B3023" s="1" t="str">
        <f t="shared" si="1"/>
        <v># 4%</v>
      </c>
    </row>
    <row r="3024" ht="12.75" customHeight="1">
      <c r="A3024" s="1" t="s">
        <v>1186</v>
      </c>
      <c r="B3024" s="1" t="str">
        <f t="shared" si="1"/>
        <v>+2, 5, ABRA</v>
      </c>
    </row>
    <row r="3025" ht="12.75" customHeight="1">
      <c r="A3025" s="1" t="s">
        <v>1187</v>
      </c>
      <c r="B3025" s="1" t="str">
        <f t="shared" si="1"/>
        <v>+2, 5, KANGAKID</v>
      </c>
    </row>
    <row r="3026" ht="12.75" customHeight="1">
      <c r="A3026" s="2"/>
      <c r="B3026" s="1" t="str">
        <f t="shared" si="1"/>
        <v/>
      </c>
    </row>
    <row r="3027" ht="12.75" customHeight="1">
      <c r="A3027" s="1" t="s">
        <v>363</v>
      </c>
      <c r="B3027" s="1" t="str">
        <f t="shared" si="1"/>
        <v># 1%</v>
      </c>
    </row>
    <row r="3028" ht="12.75" customHeight="1">
      <c r="A3028" s="1" t="s">
        <v>1188</v>
      </c>
      <c r="B3028" s="1" t="str">
        <f t="shared" si="1"/>
        <v>+2, 5, EEVEE</v>
      </c>
    </row>
    <row r="3029" ht="12.75" customHeight="1">
      <c r="A3029" s="1" t="s">
        <v>2749</v>
      </c>
      <c r="B3029" s="1" t="str">
        <f t="shared" si="1"/>
        <v>+2, 5, SCYTHER</v>
      </c>
    </row>
    <row r="3030" ht="12.75" customHeight="1">
      <c r="A3030" s="1" t="s">
        <v>2750</v>
      </c>
      <c r="B3030" s="1" t="str">
        <f t="shared" si="1"/>
        <v>2, 40, 44, PSYDUCK</v>
      </c>
    </row>
    <row r="3031" ht="12.75" customHeight="1">
      <c r="A3031" s="1" t="s">
        <v>1190</v>
      </c>
      <c r="B3031" s="1" t="str">
        <f t="shared" si="1"/>
        <v>+42, 46, SLOWPOKE</v>
      </c>
    </row>
    <row r="3032" ht="12.75" customHeight="1">
      <c r="A3032" s="1" t="s">
        <v>1191</v>
      </c>
      <c r="B3032" s="1" t="str">
        <f t="shared" si="1"/>
        <v>+44, 47, GOLDUCK</v>
      </c>
    </row>
    <row r="3033" ht="12.75" customHeight="1">
      <c r="A3033" s="1" t="s">
        <v>1192</v>
      </c>
      <c r="B3033" s="1" t="str">
        <f t="shared" si="1"/>
        <v>+44, 47, SLOWBRO</v>
      </c>
    </row>
    <row r="3034" ht="12.75" customHeight="1">
      <c r="A3034" s="1" t="s">
        <v>2751</v>
      </c>
      <c r="B3034" s="1" t="str">
        <f t="shared" si="1"/>
        <v>+45, 50, GILDUCK</v>
      </c>
    </row>
    <row r="3035" ht="12.75" customHeight="1">
      <c r="A3035" s="1" t="s">
        <v>2572</v>
      </c>
      <c r="B3035" s="1" t="str">
        <f t="shared" si="1"/>
        <v>20, # old rod:</v>
      </c>
    </row>
    <row r="3036" ht="12.75" customHeight="1">
      <c r="A3036" s="1" t="s">
        <v>500</v>
      </c>
      <c r="B3036" s="1" t="str">
        <f t="shared" si="1"/>
        <v>19, 26, MAGIKARP</v>
      </c>
    </row>
    <row r="3037" ht="12.75" customHeight="1">
      <c r="A3037" s="1" t="s">
        <v>501</v>
      </c>
      <c r="B3037" s="1" t="str">
        <f t="shared" si="1"/>
        <v>+19, 26, POLIWAG</v>
      </c>
    </row>
    <row r="3038" ht="12.75" customHeight="1">
      <c r="A3038" s="2"/>
      <c r="B3038" s="1" t="str">
        <f t="shared" si="1"/>
        <v/>
      </c>
    </row>
    <row r="3039" ht="12.75" customHeight="1">
      <c r="A3039" s="1" t="s">
        <v>419</v>
      </c>
      <c r="B3039" s="1" t="str">
        <f t="shared" si="1"/>
        <v># good rod:</v>
      </c>
    </row>
    <row r="3040" ht="12.75" customHeight="1">
      <c r="A3040" s="1" t="s">
        <v>1194</v>
      </c>
      <c r="B3040" s="1" t="str">
        <f t="shared" si="1"/>
        <v>+29, 33, MAGIKARP</v>
      </c>
    </row>
    <row r="3041" ht="12.75" customHeight="1">
      <c r="A3041" s="1" t="s">
        <v>1195</v>
      </c>
      <c r="B3041" s="1" t="str">
        <f t="shared" si="1"/>
        <v>+30, 35, GYARADOS</v>
      </c>
    </row>
    <row r="3042" ht="12.75" customHeight="1">
      <c r="A3042" s="1" t="s">
        <v>1196</v>
      </c>
      <c r="B3042" s="1" t="str">
        <f t="shared" si="1"/>
        <v>+30, 35, POLIWHIRL</v>
      </c>
    </row>
    <row r="3043" ht="12.75" customHeight="1">
      <c r="A3043" s="2"/>
      <c r="B3043" s="1" t="str">
        <f t="shared" si="1"/>
        <v/>
      </c>
    </row>
    <row r="3044" ht="12.75" customHeight="1">
      <c r="A3044" s="1" t="s">
        <v>423</v>
      </c>
      <c r="B3044" s="1" t="str">
        <f t="shared" si="1"/>
        <v># super rod:</v>
      </c>
    </row>
    <row r="3045" ht="12.75" customHeight="1">
      <c r="A3045" s="1" t="s">
        <v>1197</v>
      </c>
      <c r="B3045" s="1" t="str">
        <f t="shared" si="1"/>
        <v>+36, 40, MAGIKARP</v>
      </c>
    </row>
    <row r="3046" ht="12.75" customHeight="1">
      <c r="A3046" s="1" t="s">
        <v>974</v>
      </c>
      <c r="B3046" s="1" t="str">
        <f t="shared" si="1"/>
        <v>+36, 40, GYARADOS</v>
      </c>
    </row>
    <row r="3047" ht="12.75" customHeight="1">
      <c r="A3047" s="1" t="s">
        <v>1198</v>
      </c>
      <c r="B3047" s="1" t="str">
        <f t="shared" si="1"/>
        <v>+38, 42, POLIWHIRL</v>
      </c>
    </row>
    <row r="3048" ht="12.75" customHeight="1">
      <c r="A3048" s="1" t="s">
        <v>997</v>
      </c>
      <c r="B3048" s="1" t="str">
        <f t="shared" si="1"/>
        <v>+38, 42, POLIWRATH</v>
      </c>
    </row>
    <row r="3049" ht="12.75" customHeight="1">
      <c r="A3049" s="1" t="s">
        <v>2718</v>
      </c>
      <c r="B3049" s="1" t="str">
        <f t="shared" si="1"/>
        <v>+40, 44, POLITOES</v>
      </c>
    </row>
    <row r="3050" ht="12.75" customHeight="1">
      <c r="A3050" s="1" t="s">
        <v>2539</v>
      </c>
      <c r="B3050" s="1" t="str">
        <f t="shared" si="1"/>
        <v>NEW ROUTE</v>
      </c>
    </row>
    <row r="3051" ht="12.75" customHeight="1">
      <c r="A3051" s="1" t="s">
        <v>2752</v>
      </c>
      <c r="B3051" s="1" t="str">
        <f t="shared" si="1"/>
        <v>+3, 42, 0,</v>
      </c>
    </row>
    <row r="3052" ht="12.75" customHeight="1">
      <c r="A3052" s="1" t="s">
        <v>2568</v>
      </c>
      <c r="B3052" s="1" t="str">
        <f t="shared" si="1"/>
        <v>21, # 20%</v>
      </c>
    </row>
    <row r="3053" ht="12.75" customHeight="1">
      <c r="A3053" s="1" t="s">
        <v>1200</v>
      </c>
      <c r="B3053" s="1" t="str">
        <f t="shared" si="1"/>
        <v>51, 56, PRIMEAPE</v>
      </c>
    </row>
    <row r="3054" ht="12.75" customHeight="1">
      <c r="A3054" s="1" t="s">
        <v>1201</v>
      </c>
      <c r="B3054" s="1" t="str">
        <f t="shared" si="1"/>
        <v>+51, 56, SNEEROW</v>
      </c>
    </row>
    <row r="3055" ht="12.75" customHeight="1">
      <c r="A3055" s="2"/>
      <c r="B3055" s="1" t="str">
        <f t="shared" si="1"/>
        <v/>
      </c>
    </row>
    <row r="3056" ht="12.75" customHeight="1">
      <c r="A3056" s="1" t="s">
        <v>360</v>
      </c>
      <c r="B3056" s="1" t="str">
        <f t="shared" si="1"/>
        <v># 10%</v>
      </c>
    </row>
    <row r="3057" ht="12.75" customHeight="1">
      <c r="A3057" s="1" t="s">
        <v>1202</v>
      </c>
      <c r="B3057" s="1" t="str">
        <f t="shared" si="1"/>
        <v>+53, 57, GORILLASH</v>
      </c>
    </row>
    <row r="3058" ht="12.75" customHeight="1">
      <c r="A3058" s="1" t="s">
        <v>1203</v>
      </c>
      <c r="B3058" s="1" t="str">
        <f t="shared" si="1"/>
        <v>+53, 57, ORNITHOW</v>
      </c>
    </row>
    <row r="3059" ht="12.75" customHeight="1">
      <c r="A3059" s="1" t="s">
        <v>447</v>
      </c>
      <c r="B3059" s="1" t="str">
        <f t="shared" si="1"/>
        <v>+53, 57, ADNOKANA</v>
      </c>
    </row>
    <row r="3060" ht="12.75" customHeight="1">
      <c r="A3060" s="1" t="s">
        <v>1204</v>
      </c>
      <c r="B3060" s="1" t="str">
        <f t="shared" si="1"/>
        <v>+53, 57, SANDSLAM</v>
      </c>
    </row>
    <row r="3061" ht="12.75" customHeight="1">
      <c r="A3061" s="2"/>
      <c r="B3061" s="1" t="str">
        <f t="shared" si="1"/>
        <v/>
      </c>
    </row>
    <row r="3062" ht="12.75" customHeight="1">
      <c r="A3062" s="1" t="s">
        <v>361</v>
      </c>
      <c r="B3062" s="1" t="str">
        <f t="shared" si="1"/>
        <v># 5%</v>
      </c>
    </row>
    <row r="3063" ht="12.75" customHeight="1">
      <c r="A3063" s="1" t="s">
        <v>1205</v>
      </c>
      <c r="B3063" s="1" t="str">
        <f t="shared" si="1"/>
        <v>+54, 56, "MR. JEST"</v>
      </c>
    </row>
    <row r="3064" ht="12.75" customHeight="1">
      <c r="A3064" s="1" t="s">
        <v>1206</v>
      </c>
      <c r="B3064" s="1" t="str">
        <f t="shared" si="1"/>
        <v>+54, 56, ELECTIVINE</v>
      </c>
    </row>
    <row r="3065" ht="12.75" customHeight="1">
      <c r="A3065" s="2"/>
      <c r="B3065" s="1" t="str">
        <f t="shared" si="1"/>
        <v/>
      </c>
    </row>
    <row r="3066" ht="12.75" customHeight="1">
      <c r="A3066" s="1" t="s">
        <v>362</v>
      </c>
      <c r="B3066" s="1" t="str">
        <f t="shared" si="1"/>
        <v># 4%</v>
      </c>
    </row>
    <row r="3067" ht="12.75" customHeight="1">
      <c r="A3067" s="1" t="s">
        <v>1207</v>
      </c>
      <c r="B3067" s="1" t="str">
        <f t="shared" si="1"/>
        <v>+54, 55, FELANKH</v>
      </c>
    </row>
    <row r="3068" ht="12.75" customHeight="1">
      <c r="A3068" s="1" t="s">
        <v>1208</v>
      </c>
      <c r="B3068" s="1" t="str">
        <f t="shared" si="1"/>
        <v>+56, 57, FELANKH</v>
      </c>
    </row>
    <row r="3069" ht="12.75" customHeight="1">
      <c r="A3069" s="2"/>
      <c r="B3069" s="1" t="str">
        <f t="shared" si="1"/>
        <v/>
      </c>
    </row>
    <row r="3070" ht="12.75" customHeight="1">
      <c r="A3070" s="1" t="s">
        <v>363</v>
      </c>
      <c r="B3070" s="1" t="str">
        <f t="shared" si="1"/>
        <v># 1%</v>
      </c>
    </row>
    <row r="3071" ht="12.75" customHeight="1">
      <c r="A3071" s="1" t="s">
        <v>1209</v>
      </c>
      <c r="B3071" s="1" t="str">
        <f t="shared" si="1"/>
        <v>+40, 50, AERODACTYL</v>
      </c>
    </row>
    <row r="3072" ht="12.75" customHeight="1">
      <c r="A3072" s="1" t="s">
        <v>2753</v>
      </c>
      <c r="B3072" s="1" t="str">
        <f t="shared" si="1"/>
        <v>+57, 59, LUKKEY</v>
      </c>
    </row>
    <row r="3073" ht="12.75" customHeight="1">
      <c r="A3073" s="1" t="s">
        <v>2754</v>
      </c>
      <c r="B3073" s="1" t="str">
        <f t="shared" si="1"/>
        <v>2, 50, 55, GILDUCK</v>
      </c>
    </row>
    <row r="3074" ht="12.75" customHeight="1">
      <c r="A3074" s="1" t="s">
        <v>1211</v>
      </c>
      <c r="B3074" s="1" t="str">
        <f t="shared" si="1"/>
        <v>+50, 55, POLITOES</v>
      </c>
    </row>
    <row r="3075" ht="12.75" customHeight="1">
      <c r="A3075" s="1" t="s">
        <v>1212</v>
      </c>
      <c r="B3075" s="1" t="str">
        <f t="shared" si="1"/>
        <v>+52, 57, SLOWMATE</v>
      </c>
    </row>
    <row r="3076" ht="12.75" customHeight="1">
      <c r="A3076" s="1" t="s">
        <v>545</v>
      </c>
      <c r="B3076" s="1" t="str">
        <f t="shared" si="1"/>
        <v>+52, 57, POLIWISE</v>
      </c>
    </row>
    <row r="3077" ht="12.75" customHeight="1">
      <c r="A3077" s="1" t="s">
        <v>2755</v>
      </c>
      <c r="B3077" s="1" t="str">
        <f t="shared" si="1"/>
        <v>+53, 58, PLATINUPUS</v>
      </c>
    </row>
    <row r="3078" ht="12.75" customHeight="1">
      <c r="A3078" s="1" t="s">
        <v>2572</v>
      </c>
      <c r="B3078" s="1" t="str">
        <f t="shared" si="1"/>
        <v>20, # old rod:</v>
      </c>
    </row>
    <row r="3079" ht="12.75" customHeight="1">
      <c r="A3079" s="1" t="s">
        <v>1214</v>
      </c>
      <c r="B3079" s="1" t="str">
        <f t="shared" si="1"/>
        <v>24, 36, GOLDEEN</v>
      </c>
    </row>
    <row r="3080" ht="12.75" customHeight="1">
      <c r="A3080" s="1" t="s">
        <v>1215</v>
      </c>
      <c r="B3080" s="1" t="str">
        <f t="shared" si="1"/>
        <v>+23, 36, KRABBY</v>
      </c>
    </row>
    <row r="3081" ht="12.75" customHeight="1">
      <c r="A3081" s="2"/>
      <c r="B3081" s="1" t="str">
        <f t="shared" si="1"/>
        <v/>
      </c>
    </row>
    <row r="3082" ht="12.75" customHeight="1">
      <c r="A3082" s="1" t="s">
        <v>419</v>
      </c>
      <c r="B3082" s="1" t="str">
        <f t="shared" si="1"/>
        <v># good rod:</v>
      </c>
    </row>
    <row r="3083" ht="12.75" customHeight="1">
      <c r="A3083" s="1" t="s">
        <v>1216</v>
      </c>
      <c r="B3083" s="1" t="str">
        <f t="shared" si="1"/>
        <v>+30, 38, SEAKING</v>
      </c>
    </row>
    <row r="3084" ht="12.75" customHeight="1">
      <c r="A3084" s="1" t="s">
        <v>1217</v>
      </c>
      <c r="B3084" s="1" t="str">
        <f t="shared" si="1"/>
        <v>+32, 40, KINGLER</v>
      </c>
    </row>
    <row r="3085" ht="12.75" customHeight="1">
      <c r="A3085" s="1" t="s">
        <v>1218</v>
      </c>
      <c r="B3085" s="1" t="str">
        <f t="shared" si="1"/>
        <v>+32, 40, DRAGONAIR</v>
      </c>
    </row>
    <row r="3086" ht="12.75" customHeight="1">
      <c r="A3086" s="2"/>
      <c r="B3086" s="1" t="str">
        <f t="shared" si="1"/>
        <v/>
      </c>
    </row>
    <row r="3087" ht="12.75" customHeight="1">
      <c r="A3087" s="1" t="s">
        <v>423</v>
      </c>
      <c r="B3087" s="1" t="str">
        <f t="shared" si="1"/>
        <v># super rod:</v>
      </c>
    </row>
    <row r="3088" ht="12.75" customHeight="1">
      <c r="A3088" s="1" t="s">
        <v>1219</v>
      </c>
      <c r="B3088" s="1" t="str">
        <f t="shared" si="1"/>
        <v>+50, 55, SEAREX</v>
      </c>
    </row>
    <row r="3089" ht="12.75" customHeight="1">
      <c r="A3089" s="1" t="s">
        <v>544</v>
      </c>
      <c r="B3089" s="1" t="str">
        <f t="shared" si="1"/>
        <v>+50, 55, DRAGONITE</v>
      </c>
    </row>
    <row r="3090" ht="12.75" customHeight="1">
      <c r="A3090" s="1" t="s">
        <v>1220</v>
      </c>
      <c r="B3090" s="1" t="str">
        <f t="shared" si="1"/>
        <v>+52, 57, KRAKLAW</v>
      </c>
    </row>
    <row r="3091" ht="12.75" customHeight="1">
      <c r="A3091" s="1" t="s">
        <v>1221</v>
      </c>
      <c r="B3091" s="1" t="str">
        <f t="shared" si="1"/>
        <v>+52, 57, CAPRISEA</v>
      </c>
    </row>
    <row r="3092" ht="12.75" customHeight="1">
      <c r="A3092" s="1" t="s">
        <v>2756</v>
      </c>
      <c r="B3092" s="1" t="str">
        <f t="shared" si="1"/>
        <v>+53, 58, DRAGONIER</v>
      </c>
    </row>
    <row r="3093" ht="12.75" customHeight="1">
      <c r="A3093" s="1" t="s">
        <v>2539</v>
      </c>
      <c r="B3093" s="1" t="str">
        <f t="shared" si="1"/>
        <v>NEW ROUTE</v>
      </c>
    </row>
    <row r="3094" ht="12.75" customHeight="1">
      <c r="A3094" s="1" t="s">
        <v>2757</v>
      </c>
      <c r="B3094" s="1" t="str">
        <f t="shared" si="1"/>
        <v>+3, 43, 0,</v>
      </c>
    </row>
    <row r="3095" ht="12.75" customHeight="1">
      <c r="A3095" s="1" t="s">
        <v>2568</v>
      </c>
      <c r="B3095" s="1" t="str">
        <f t="shared" si="1"/>
        <v>21, # 20%</v>
      </c>
    </row>
    <row r="3096" ht="12.75" customHeight="1">
      <c r="A3096" s="1" t="s">
        <v>1224</v>
      </c>
      <c r="B3096" s="1" t="str">
        <f t="shared" si="1"/>
        <v>13, 17, PIDGEY</v>
      </c>
    </row>
    <row r="3097" ht="12.75" customHeight="1">
      <c r="A3097" s="1" t="s">
        <v>1225</v>
      </c>
      <c r="B3097" s="1" t="str">
        <f t="shared" si="1"/>
        <v>+13, 17, ODDISH</v>
      </c>
    </row>
    <row r="3098" ht="12.75" customHeight="1">
      <c r="A3098" s="2"/>
      <c r="B3098" s="1" t="str">
        <f t="shared" si="1"/>
        <v/>
      </c>
    </row>
    <row r="3099" ht="12.75" customHeight="1">
      <c r="A3099" s="1" t="s">
        <v>360</v>
      </c>
      <c r="B3099" s="1" t="str">
        <f t="shared" si="1"/>
        <v># 10%</v>
      </c>
    </row>
    <row r="3100" ht="12.75" customHeight="1">
      <c r="A3100" s="1" t="s">
        <v>1226</v>
      </c>
      <c r="B3100" s="1" t="str">
        <f t="shared" si="1"/>
        <v>+14, 17, BELLSPROUT</v>
      </c>
    </row>
    <row r="3101" ht="12.75" customHeight="1">
      <c r="A3101" s="1" t="s">
        <v>1227</v>
      </c>
      <c r="B3101" s="1" t="str">
        <f t="shared" si="1"/>
        <v>+14, 17, MEOWTH</v>
      </c>
    </row>
    <row r="3102" ht="12.75" customHeight="1">
      <c r="A3102" s="1" t="s">
        <v>1228</v>
      </c>
      <c r="B3102" s="1" t="str">
        <f t="shared" si="1"/>
        <v>+14, 17, PSYDUCK</v>
      </c>
    </row>
    <row r="3103" ht="12.75" customHeight="1">
      <c r="A3103" s="1" t="s">
        <v>1229</v>
      </c>
      <c r="B3103" s="1" t="str">
        <f t="shared" si="1"/>
        <v>+14, 17, PIDGEOTTO</v>
      </c>
    </row>
    <row r="3104" ht="12.75" customHeight="1">
      <c r="A3104" s="2"/>
      <c r="B3104" s="1" t="str">
        <f t="shared" si="1"/>
        <v/>
      </c>
    </row>
    <row r="3105" ht="12.75" customHeight="1">
      <c r="A3105" s="1" t="s">
        <v>361</v>
      </c>
      <c r="B3105" s="1" t="str">
        <f t="shared" si="1"/>
        <v># 5%</v>
      </c>
    </row>
    <row r="3106" ht="12.75" customHeight="1">
      <c r="A3106" s="1" t="s">
        <v>1230</v>
      </c>
      <c r="B3106" s="1" t="str">
        <f t="shared" si="1"/>
        <v>+16, 16, PIKACHU</v>
      </c>
    </row>
    <row r="3107" ht="12.75" customHeight="1">
      <c r="A3107" s="1" t="s">
        <v>1231</v>
      </c>
      <c r="B3107" s="1" t="str">
        <f t="shared" si="1"/>
        <v>+16, 16, ABRA</v>
      </c>
    </row>
    <row r="3108" ht="12.75" customHeight="1">
      <c r="A3108" s="2"/>
      <c r="B3108" s="1" t="str">
        <f t="shared" si="1"/>
        <v/>
      </c>
    </row>
    <row r="3109" ht="12.75" customHeight="1">
      <c r="A3109" s="1" t="s">
        <v>362</v>
      </c>
      <c r="B3109" s="1" t="str">
        <f t="shared" si="1"/>
        <v># 4%</v>
      </c>
    </row>
    <row r="3110" ht="12.75" customHeight="1">
      <c r="A3110" s="1" t="s">
        <v>1232</v>
      </c>
      <c r="B3110" s="1" t="str">
        <f t="shared" si="1"/>
        <v>+15, 18, VENONAT</v>
      </c>
    </row>
    <row r="3111" ht="12.75" customHeight="1">
      <c r="A3111" s="1" t="s">
        <v>1233</v>
      </c>
      <c r="B3111" s="1" t="str">
        <f t="shared" si="1"/>
        <v>+15, 18, GLOOM</v>
      </c>
    </row>
    <row r="3112" ht="12.75" customHeight="1">
      <c r="A3112" s="2"/>
      <c r="B3112" s="1" t="str">
        <f t="shared" si="1"/>
        <v/>
      </c>
    </row>
    <row r="3113" ht="12.75" customHeight="1">
      <c r="A3113" s="1" t="s">
        <v>363</v>
      </c>
      <c r="B3113" s="1" t="str">
        <f t="shared" si="1"/>
        <v># 1%</v>
      </c>
    </row>
    <row r="3114" ht="12.75" customHeight="1">
      <c r="A3114" s="1" t="s">
        <v>1234</v>
      </c>
      <c r="B3114" s="1" t="str">
        <f t="shared" si="1"/>
        <v>+17, 17, KADABRA</v>
      </c>
    </row>
    <row r="3115" ht="12.75" customHeight="1">
      <c r="A3115" s="1" t="s">
        <v>2758</v>
      </c>
      <c r="B3115" s="1" t="str">
        <f t="shared" si="1"/>
        <v>+17, 17, KADABRA</v>
      </c>
    </row>
    <row r="3116" ht="12.75" customHeight="1">
      <c r="A3116" s="1" t="s">
        <v>2759</v>
      </c>
      <c r="B3116" s="1" t="str">
        <f t="shared" si="1"/>
        <v>2, 34, 40, TENTACOOL</v>
      </c>
    </row>
    <row r="3117" ht="12.75" customHeight="1">
      <c r="A3117" s="1" t="s">
        <v>1236</v>
      </c>
      <c r="B3117" s="1" t="str">
        <f t="shared" si="1"/>
        <v>+34, 40, PSYDUCK</v>
      </c>
    </row>
    <row r="3118" ht="12.75" customHeight="1">
      <c r="A3118" s="1" t="s">
        <v>1237</v>
      </c>
      <c r="B3118" s="1" t="str">
        <f t="shared" si="1"/>
        <v>+36, 42, TENTACRUEL</v>
      </c>
    </row>
    <row r="3119" ht="12.75" customHeight="1">
      <c r="A3119" s="1" t="s">
        <v>1167</v>
      </c>
      <c r="B3119" s="1" t="str">
        <f t="shared" si="1"/>
        <v>+39, 42, GOLDUCK</v>
      </c>
    </row>
    <row r="3120" ht="12.75" customHeight="1">
      <c r="A3120" s="1" t="s">
        <v>2760</v>
      </c>
      <c r="B3120" s="1" t="str">
        <f t="shared" si="1"/>
        <v>+39, 42, VAPOREON</v>
      </c>
    </row>
    <row r="3121" ht="12.75" customHeight="1">
      <c r="A3121" s="1" t="s">
        <v>2572</v>
      </c>
      <c r="B3121" s="1" t="str">
        <f t="shared" si="1"/>
        <v>20, # old rod:</v>
      </c>
    </row>
    <row r="3122" ht="12.75" customHeight="1">
      <c r="A3122" s="1" t="s">
        <v>500</v>
      </c>
      <c r="B3122" s="1" t="str">
        <f t="shared" si="1"/>
        <v>19, 26, MAGIKARP</v>
      </c>
    </row>
    <row r="3123" ht="12.75" customHeight="1">
      <c r="A3123" s="1" t="s">
        <v>970</v>
      </c>
      <c r="B3123" s="1" t="str">
        <f t="shared" si="1"/>
        <v>+19, 26, GYARADOS</v>
      </c>
    </row>
    <row r="3124" ht="12.75" customHeight="1">
      <c r="A3124" s="2"/>
      <c r="B3124" s="1" t="str">
        <f t="shared" si="1"/>
        <v/>
      </c>
    </row>
    <row r="3125" ht="12.75" customHeight="1">
      <c r="A3125" s="1" t="s">
        <v>419</v>
      </c>
      <c r="B3125" s="1" t="str">
        <f t="shared" si="1"/>
        <v># good rod:</v>
      </c>
    </row>
    <row r="3126" ht="12.75" customHeight="1">
      <c r="A3126" s="1" t="s">
        <v>971</v>
      </c>
      <c r="B3126" s="1" t="str">
        <f t="shared" si="1"/>
        <v>+29, 33, SLOWPOKE</v>
      </c>
    </row>
    <row r="3127" ht="12.75" customHeight="1">
      <c r="A3127" s="1" t="s">
        <v>605</v>
      </c>
      <c r="B3127" s="1" t="str">
        <f t="shared" si="1"/>
        <v>+30, 35, KRABBY</v>
      </c>
    </row>
    <row r="3128" ht="12.75" customHeight="1">
      <c r="A3128" s="1" t="s">
        <v>972</v>
      </c>
      <c r="B3128" s="1" t="str">
        <f t="shared" si="1"/>
        <v>+30, 35, PSYDUCK</v>
      </c>
    </row>
    <row r="3129" ht="12.75" customHeight="1">
      <c r="A3129" s="2"/>
      <c r="B3129" s="1" t="str">
        <f t="shared" si="1"/>
        <v/>
      </c>
    </row>
    <row r="3130" ht="12.75" customHeight="1">
      <c r="A3130" s="1" t="s">
        <v>423</v>
      </c>
      <c r="B3130" s="1" t="str">
        <f t="shared" si="1"/>
        <v># super rod:</v>
      </c>
    </row>
    <row r="3131" ht="12.75" customHeight="1">
      <c r="A3131" s="1" t="s">
        <v>973</v>
      </c>
      <c r="B3131" s="1" t="str">
        <f t="shared" si="1"/>
        <v>+36, 40, SLOWBRO</v>
      </c>
    </row>
    <row r="3132" ht="12.75" customHeight="1">
      <c r="A3132" s="1" t="s">
        <v>974</v>
      </c>
      <c r="B3132" s="1" t="str">
        <f t="shared" si="1"/>
        <v>+36, 40, GYARADOS</v>
      </c>
    </row>
    <row r="3133" ht="12.75" customHeight="1">
      <c r="A3133" s="1" t="s">
        <v>975</v>
      </c>
      <c r="B3133" s="1" t="str">
        <f t="shared" si="1"/>
        <v>+38, 42, GOLDUCK</v>
      </c>
    </row>
    <row r="3134" ht="12.75" customHeight="1">
      <c r="A3134" s="1" t="s">
        <v>976</v>
      </c>
      <c r="B3134" s="1" t="str">
        <f t="shared" si="1"/>
        <v>+38, 42, KINGLER</v>
      </c>
    </row>
    <row r="3135" ht="12.75" customHeight="1">
      <c r="A3135" s="1" t="s">
        <v>2712</v>
      </c>
      <c r="B3135" s="1" t="str">
        <f t="shared" si="1"/>
        <v>+40, 44, SLOWMATE</v>
      </c>
    </row>
    <row r="3136" ht="12.75" customHeight="1">
      <c r="A3136" s="1" t="s">
        <v>2539</v>
      </c>
      <c r="B3136" s="1" t="str">
        <f t="shared" si="1"/>
        <v>NEW ROUTE</v>
      </c>
    </row>
    <row r="3137" ht="12.75" customHeight="1">
      <c r="A3137" s="1" t="s">
        <v>2761</v>
      </c>
      <c r="B3137" s="1" t="str">
        <f t="shared" si="1"/>
        <v>+3, 44, 0,</v>
      </c>
    </row>
    <row r="3138" ht="12.75" customHeight="1">
      <c r="A3138" s="1" t="s">
        <v>2568</v>
      </c>
      <c r="B3138" s="1" t="str">
        <f t="shared" si="1"/>
        <v>21, # 20%</v>
      </c>
    </row>
    <row r="3139" ht="12.75" customHeight="1">
      <c r="A3139" s="1" t="s">
        <v>1240</v>
      </c>
      <c r="B3139" s="1" t="str">
        <f t="shared" si="1"/>
        <v>14, 17, PIDGEY</v>
      </c>
    </row>
    <row r="3140" ht="12.75" customHeight="1">
      <c r="A3140" s="1" t="s">
        <v>1241</v>
      </c>
      <c r="B3140" s="1" t="str">
        <f t="shared" si="1"/>
        <v>+14, 17, ODDISH</v>
      </c>
    </row>
    <row r="3141" ht="12.75" customHeight="1">
      <c r="A3141" s="2"/>
      <c r="B3141" s="1" t="str">
        <f t="shared" si="1"/>
        <v/>
      </c>
    </row>
    <row r="3142" ht="12.75" customHeight="1">
      <c r="A3142" s="1" t="s">
        <v>360</v>
      </c>
      <c r="B3142" s="1" t="str">
        <f t="shared" si="1"/>
        <v># 10%</v>
      </c>
    </row>
    <row r="3143" ht="12.75" customHeight="1">
      <c r="A3143" s="1" t="s">
        <v>1242</v>
      </c>
      <c r="B3143" s="1" t="str">
        <f t="shared" si="1"/>
        <v>+15, 17, BELLSPROUT</v>
      </c>
    </row>
    <row r="3144" ht="12.75" customHeight="1">
      <c r="A3144" s="1" t="s">
        <v>980</v>
      </c>
      <c r="B3144" s="1" t="str">
        <f t="shared" si="1"/>
        <v>+15, 17, MEOWTH</v>
      </c>
    </row>
    <row r="3145" ht="12.75" customHeight="1">
      <c r="A3145" s="1" t="s">
        <v>1243</v>
      </c>
      <c r="B3145" s="1" t="str">
        <f t="shared" si="1"/>
        <v>+15, 17, PSYDUCK</v>
      </c>
    </row>
    <row r="3146" ht="12.75" customHeight="1">
      <c r="A3146" s="1" t="s">
        <v>1244</v>
      </c>
      <c r="B3146" s="1" t="str">
        <f t="shared" si="1"/>
        <v>+15, 17, PIDGEOTTO</v>
      </c>
    </row>
    <row r="3147" ht="12.75" customHeight="1">
      <c r="A3147" s="2"/>
      <c r="B3147" s="1" t="str">
        <f t="shared" si="1"/>
        <v/>
      </c>
    </row>
    <row r="3148" ht="12.75" customHeight="1">
      <c r="A3148" s="1" t="s">
        <v>361</v>
      </c>
      <c r="B3148" s="1" t="str">
        <f t="shared" si="1"/>
        <v># 5%</v>
      </c>
    </row>
    <row r="3149" ht="12.75" customHeight="1">
      <c r="A3149" s="1" t="s">
        <v>1230</v>
      </c>
      <c r="B3149" s="1" t="str">
        <f t="shared" si="1"/>
        <v>+16, 16, PIKACHU</v>
      </c>
    </row>
    <row r="3150" ht="12.75" customHeight="1">
      <c r="A3150" s="1" t="s">
        <v>1231</v>
      </c>
      <c r="B3150" s="1" t="str">
        <f t="shared" si="1"/>
        <v>+16, 16, ABRA</v>
      </c>
    </row>
    <row r="3151" ht="12.75" customHeight="1">
      <c r="A3151" s="2"/>
      <c r="B3151" s="1" t="str">
        <f t="shared" si="1"/>
        <v/>
      </c>
    </row>
    <row r="3152" ht="12.75" customHeight="1">
      <c r="A3152" s="1" t="s">
        <v>362</v>
      </c>
      <c r="B3152" s="1" t="str">
        <f t="shared" si="1"/>
        <v># 4%</v>
      </c>
    </row>
    <row r="3153" ht="12.75" customHeight="1">
      <c r="A3153" s="1" t="s">
        <v>1232</v>
      </c>
      <c r="B3153" s="1" t="str">
        <f t="shared" si="1"/>
        <v>+15, 18, VENONAT</v>
      </c>
    </row>
    <row r="3154" ht="12.75" customHeight="1">
      <c r="A3154" s="1" t="s">
        <v>1233</v>
      </c>
      <c r="B3154" s="1" t="str">
        <f t="shared" si="1"/>
        <v>+15, 18, GLOOM</v>
      </c>
    </row>
    <row r="3155" ht="12.75" customHeight="1">
      <c r="A3155" s="2"/>
      <c r="B3155" s="1" t="str">
        <f t="shared" si="1"/>
        <v/>
      </c>
    </row>
    <row r="3156" ht="12.75" customHeight="1">
      <c r="A3156" s="1" t="s">
        <v>363</v>
      </c>
      <c r="B3156" s="1" t="str">
        <f t="shared" si="1"/>
        <v># 1%</v>
      </c>
    </row>
    <row r="3157" ht="12.75" customHeight="1">
      <c r="A3157" s="1" t="s">
        <v>1245</v>
      </c>
      <c r="B3157" s="1" t="str">
        <f t="shared" si="1"/>
        <v>+18, 18, KADABRA</v>
      </c>
    </row>
    <row r="3158" ht="12.75" customHeight="1">
      <c r="A3158" s="1" t="s">
        <v>2762</v>
      </c>
      <c r="B3158" s="1" t="str">
        <f t="shared" si="1"/>
        <v>+18, 18, KADABRA</v>
      </c>
    </row>
    <row r="3159" ht="12.75" customHeight="1">
      <c r="A3159" s="1" t="s">
        <v>2759</v>
      </c>
      <c r="B3159" s="1" t="str">
        <f t="shared" si="1"/>
        <v>2, 34, 40, TENTACOOL</v>
      </c>
    </row>
    <row r="3160" ht="12.75" customHeight="1">
      <c r="A3160" s="1" t="s">
        <v>1236</v>
      </c>
      <c r="B3160" s="1" t="str">
        <f t="shared" si="1"/>
        <v>+34, 40, PSYDUCK</v>
      </c>
    </row>
    <row r="3161" ht="12.75" customHeight="1">
      <c r="A3161" s="1" t="s">
        <v>1237</v>
      </c>
      <c r="B3161" s="1" t="str">
        <f t="shared" si="1"/>
        <v>+36, 42, TENTACRUEL</v>
      </c>
    </row>
    <row r="3162" ht="12.75" customHeight="1">
      <c r="A3162" s="1" t="s">
        <v>1167</v>
      </c>
      <c r="B3162" s="1" t="str">
        <f t="shared" si="1"/>
        <v>+39, 42, GOLDUCK</v>
      </c>
    </row>
    <row r="3163" ht="12.75" customHeight="1">
      <c r="A3163" s="1" t="s">
        <v>2760</v>
      </c>
      <c r="B3163" s="1" t="str">
        <f t="shared" si="1"/>
        <v>+39, 42, VAPOREON</v>
      </c>
    </row>
    <row r="3164" ht="12.75" customHeight="1">
      <c r="A3164" s="1" t="s">
        <v>2572</v>
      </c>
      <c r="B3164" s="1" t="str">
        <f t="shared" si="1"/>
        <v>20, # old rod:</v>
      </c>
    </row>
    <row r="3165" ht="12.75" customHeight="1">
      <c r="A3165" s="1" t="s">
        <v>500</v>
      </c>
      <c r="B3165" s="1" t="str">
        <f t="shared" si="1"/>
        <v>19, 26, MAGIKARP</v>
      </c>
    </row>
    <row r="3166" ht="12.75" customHeight="1">
      <c r="A3166" s="1" t="s">
        <v>970</v>
      </c>
      <c r="B3166" s="1" t="str">
        <f t="shared" si="1"/>
        <v>+19, 26, GYARADOS</v>
      </c>
    </row>
    <row r="3167" ht="12.75" customHeight="1">
      <c r="A3167" s="2"/>
      <c r="B3167" s="1" t="str">
        <f t="shared" si="1"/>
        <v/>
      </c>
    </row>
    <row r="3168" ht="12.75" customHeight="1">
      <c r="A3168" s="1" t="s">
        <v>419</v>
      </c>
      <c r="B3168" s="1" t="str">
        <f t="shared" si="1"/>
        <v># good rod:</v>
      </c>
    </row>
    <row r="3169" ht="12.75" customHeight="1">
      <c r="A3169" s="1" t="s">
        <v>971</v>
      </c>
      <c r="B3169" s="1" t="str">
        <f t="shared" si="1"/>
        <v>+29, 33, SLOWPOKE</v>
      </c>
    </row>
    <row r="3170" ht="12.75" customHeight="1">
      <c r="A3170" s="1" t="s">
        <v>605</v>
      </c>
      <c r="B3170" s="1" t="str">
        <f t="shared" si="1"/>
        <v>+30, 35, KRABBY</v>
      </c>
    </row>
    <row r="3171" ht="12.75" customHeight="1">
      <c r="A3171" s="1" t="s">
        <v>972</v>
      </c>
      <c r="B3171" s="1" t="str">
        <f t="shared" si="1"/>
        <v>+30, 35, PSYDUCK</v>
      </c>
    </row>
    <row r="3172" ht="12.75" customHeight="1">
      <c r="A3172" s="2"/>
      <c r="B3172" s="1" t="str">
        <f t="shared" si="1"/>
        <v/>
      </c>
    </row>
    <row r="3173" ht="12.75" customHeight="1">
      <c r="A3173" s="1" t="s">
        <v>423</v>
      </c>
      <c r="B3173" s="1" t="str">
        <f t="shared" si="1"/>
        <v># super rod:</v>
      </c>
    </row>
    <row r="3174" ht="12.75" customHeight="1">
      <c r="A3174" s="1" t="s">
        <v>973</v>
      </c>
      <c r="B3174" s="1" t="str">
        <f t="shared" si="1"/>
        <v>+36, 40, SLOWBRO</v>
      </c>
    </row>
    <row r="3175" ht="12.75" customHeight="1">
      <c r="A3175" s="1" t="s">
        <v>974</v>
      </c>
      <c r="B3175" s="1" t="str">
        <f t="shared" si="1"/>
        <v>+36, 40, GYARADOS</v>
      </c>
    </row>
    <row r="3176" ht="12.75" customHeight="1">
      <c r="A3176" s="1" t="s">
        <v>975</v>
      </c>
      <c r="B3176" s="1" t="str">
        <f t="shared" si="1"/>
        <v>+38, 42, GOLDUCK</v>
      </c>
    </row>
    <row r="3177" ht="12.75" customHeight="1">
      <c r="A3177" s="1" t="s">
        <v>976</v>
      </c>
      <c r="B3177" s="1" t="str">
        <f t="shared" si="1"/>
        <v>+38, 42, KINGLER</v>
      </c>
    </row>
    <row r="3178" ht="12.75" customHeight="1">
      <c r="A3178" s="1" t="s">
        <v>2712</v>
      </c>
      <c r="B3178" s="1" t="str">
        <f t="shared" si="1"/>
        <v>+40, 44, SLOWMATE</v>
      </c>
    </row>
    <row r="3179" ht="12.75" customHeight="1">
      <c r="A3179" s="1" t="s">
        <v>2539</v>
      </c>
      <c r="B3179" s="1" t="str">
        <f t="shared" si="1"/>
        <v>NEW ROUTE</v>
      </c>
    </row>
    <row r="3180" ht="12.75" customHeight="1">
      <c r="A3180" s="1" t="s">
        <v>2763</v>
      </c>
      <c r="B3180" s="1" t="str">
        <f t="shared" si="1"/>
        <v>+3, 0, 0, &lt;null&gt;,</v>
      </c>
    </row>
    <row r="3181" ht="12.75" customHeight="1">
      <c r="A3181" s="2"/>
      <c r="B3181" s="1" t="str">
        <f t="shared" si="1"/>
        <v/>
      </c>
    </row>
    <row r="3182" ht="12.75" customHeight="1">
      <c r="A3182" s="1" t="s">
        <v>2764</v>
      </c>
      <c r="B3182" s="1" t="str">
        <f t="shared" si="1"/>
        <v>1, 38, 42, TENTACOOL</v>
      </c>
    </row>
    <row r="3183" ht="12.75" customHeight="1">
      <c r="A3183" s="1" t="s">
        <v>1051</v>
      </c>
      <c r="B3183" s="1" t="str">
        <f t="shared" si="1"/>
        <v>+40, 44, TENTACRUEL</v>
      </c>
    </row>
    <row r="3184" ht="12.75" customHeight="1">
      <c r="A3184" s="1" t="s">
        <v>600</v>
      </c>
      <c r="B3184" s="1" t="str">
        <f t="shared" si="1"/>
        <v>+42, 46, LAPRAS</v>
      </c>
    </row>
    <row r="3185" ht="12.75" customHeight="1">
      <c r="A3185" s="1" t="s">
        <v>1052</v>
      </c>
      <c r="B3185" s="1" t="str">
        <f t="shared" si="1"/>
        <v>+42, 46, TENTACATE</v>
      </c>
    </row>
    <row r="3186" ht="12.75" customHeight="1">
      <c r="A3186" s="1" t="s">
        <v>2730</v>
      </c>
      <c r="B3186" s="1" t="str">
        <f t="shared" si="1"/>
        <v>+44, 48, LOCHLASS</v>
      </c>
    </row>
    <row r="3187" ht="12.75" customHeight="1">
      <c r="A3187" s="1" t="s">
        <v>2551</v>
      </c>
      <c r="B3187" s="1" t="str">
        <f t="shared" si="1"/>
        <v>10, # old rod:</v>
      </c>
    </row>
    <row r="3188" ht="12.75" customHeight="1">
      <c r="A3188" s="1" t="s">
        <v>500</v>
      </c>
      <c r="B3188" s="1" t="str">
        <f t="shared" si="1"/>
        <v>19, 26, MAGIKARP</v>
      </c>
    </row>
    <row r="3189" ht="12.75" customHeight="1">
      <c r="A3189" s="1" t="s">
        <v>970</v>
      </c>
      <c r="B3189" s="1" t="str">
        <f t="shared" si="1"/>
        <v>+19, 26, GYARADOS</v>
      </c>
    </row>
    <row r="3190" ht="12.75" customHeight="1">
      <c r="A3190" s="2"/>
      <c r="B3190" s="1" t="str">
        <f t="shared" si="1"/>
        <v/>
      </c>
    </row>
    <row r="3191" ht="12.75" customHeight="1">
      <c r="A3191" s="1" t="s">
        <v>419</v>
      </c>
      <c r="B3191" s="1" t="str">
        <f t="shared" si="1"/>
        <v># good rod:</v>
      </c>
    </row>
    <row r="3192" ht="12.75" customHeight="1">
      <c r="A3192" s="1" t="s">
        <v>1054</v>
      </c>
      <c r="B3192" s="1" t="str">
        <f t="shared" si="1"/>
        <v>+29, 33, HORSEA</v>
      </c>
    </row>
    <row r="3193" ht="12.75" customHeight="1">
      <c r="A3193" s="1" t="s">
        <v>605</v>
      </c>
      <c r="B3193" s="1" t="str">
        <f t="shared" si="1"/>
        <v>+30, 35, KRABBY</v>
      </c>
    </row>
    <row r="3194" ht="12.75" customHeight="1">
      <c r="A3194" s="1" t="s">
        <v>1076</v>
      </c>
      <c r="B3194" s="1" t="str">
        <f t="shared" si="1"/>
        <v>+30, 35, STARYU</v>
      </c>
    </row>
    <row r="3195" ht="12.75" customHeight="1">
      <c r="A3195" s="2"/>
      <c r="B3195" s="1" t="str">
        <f t="shared" si="1"/>
        <v/>
      </c>
    </row>
    <row r="3196" ht="12.75" customHeight="1">
      <c r="A3196" s="1" t="s">
        <v>423</v>
      </c>
      <c r="B3196" s="1" t="str">
        <f t="shared" si="1"/>
        <v># super rod:</v>
      </c>
    </row>
    <row r="3197" ht="12.75" customHeight="1">
      <c r="A3197" s="1" t="s">
        <v>1056</v>
      </c>
      <c r="B3197" s="1" t="str">
        <f t="shared" si="1"/>
        <v>+36, 40, SEADRA</v>
      </c>
    </row>
    <row r="3198" ht="12.75" customHeight="1">
      <c r="A3198" s="1" t="s">
        <v>974</v>
      </c>
      <c r="B3198" s="1" t="str">
        <f t="shared" si="1"/>
        <v>+36, 40, GYARADOS</v>
      </c>
    </row>
    <row r="3199" ht="12.75" customHeight="1">
      <c r="A3199" s="1" t="s">
        <v>1077</v>
      </c>
      <c r="B3199" s="1" t="str">
        <f t="shared" si="1"/>
        <v>+38, 42, STARMIE</v>
      </c>
    </row>
    <row r="3200" ht="12.75" customHeight="1">
      <c r="A3200" s="1" t="s">
        <v>976</v>
      </c>
      <c r="B3200" s="1" t="str">
        <f t="shared" si="1"/>
        <v>+38, 42, KINGLER</v>
      </c>
    </row>
    <row r="3201" ht="12.75" customHeight="1">
      <c r="A3201" s="1" t="s">
        <v>2765</v>
      </c>
      <c r="B3201" s="1" t="str">
        <f t="shared" si="1"/>
        <v>+40, 44, STARUS</v>
      </c>
    </row>
    <row r="3202" ht="12.75" customHeight="1">
      <c r="A3202" s="1" t="s">
        <v>2539</v>
      </c>
      <c r="B3202" s="1" t="str">
        <f t="shared" si="1"/>
        <v>NEW ROUTE</v>
      </c>
    </row>
    <row r="3203" ht="12.75" customHeight="1">
      <c r="A3203" s="1" t="s">
        <v>2766</v>
      </c>
      <c r="B3203" s="1" t="str">
        <f t="shared" si="1"/>
        <v>+3, 1, 0, &lt;null&gt;,</v>
      </c>
    </row>
    <row r="3204" ht="12.75" customHeight="1">
      <c r="A3204" s="2"/>
      <c r="B3204" s="1" t="str">
        <f t="shared" si="1"/>
        <v/>
      </c>
    </row>
    <row r="3205" ht="12.75" customHeight="1">
      <c r="A3205" s="1" t="s">
        <v>2767</v>
      </c>
      <c r="B3205" s="1" t="str">
        <f t="shared" si="1"/>
        <v>1, 38, 42, PSYDUCK</v>
      </c>
    </row>
    <row r="3206" ht="12.75" customHeight="1">
      <c r="A3206" s="1" t="s">
        <v>993</v>
      </c>
      <c r="B3206" s="1" t="str">
        <f t="shared" si="1"/>
        <v>+40, 44, SLOWPOKE</v>
      </c>
    </row>
    <row r="3207" ht="12.75" customHeight="1">
      <c r="A3207" s="1" t="s">
        <v>498</v>
      </c>
      <c r="B3207" s="1" t="str">
        <f t="shared" si="1"/>
        <v>+42, 46, GOLDUCK</v>
      </c>
    </row>
    <row r="3208" ht="12.75" customHeight="1">
      <c r="A3208" s="1" t="s">
        <v>497</v>
      </c>
      <c r="B3208" s="1" t="str">
        <f t="shared" si="1"/>
        <v>+42, 46, SLOWBRO</v>
      </c>
    </row>
    <row r="3209" ht="12.75" customHeight="1">
      <c r="A3209" s="1" t="s">
        <v>2768</v>
      </c>
      <c r="B3209" s="1" t="str">
        <f t="shared" si="1"/>
        <v>+44, 48, GILDUCK</v>
      </c>
    </row>
    <row r="3210" ht="12.75" customHeight="1">
      <c r="A3210" s="1" t="s">
        <v>2551</v>
      </c>
      <c r="B3210" s="1" t="str">
        <f t="shared" si="1"/>
        <v>10, # old rod:</v>
      </c>
    </row>
    <row r="3211" ht="12.75" customHeight="1">
      <c r="A3211" s="1" t="s">
        <v>500</v>
      </c>
      <c r="B3211" s="1" t="str">
        <f t="shared" si="1"/>
        <v>19, 26, MAGIKARP</v>
      </c>
    </row>
    <row r="3212" ht="12.75" customHeight="1">
      <c r="A3212" s="1" t="s">
        <v>501</v>
      </c>
      <c r="B3212" s="1" t="str">
        <f t="shared" si="1"/>
        <v>+19, 26, POLIWAG</v>
      </c>
    </row>
    <row r="3213" ht="12.75" customHeight="1">
      <c r="A3213" s="2"/>
      <c r="B3213" s="1" t="str">
        <f t="shared" si="1"/>
        <v/>
      </c>
    </row>
    <row r="3214" ht="12.75" customHeight="1">
      <c r="A3214" s="1" t="s">
        <v>419</v>
      </c>
      <c r="B3214" s="1" t="str">
        <f t="shared" si="1"/>
        <v># good rod:</v>
      </c>
    </row>
    <row r="3215" ht="12.75" customHeight="1">
      <c r="A3215" s="1" t="s">
        <v>1194</v>
      </c>
      <c r="B3215" s="1" t="str">
        <f t="shared" si="1"/>
        <v>+29, 33, MAGIKARP</v>
      </c>
    </row>
    <row r="3216" ht="12.75" customHeight="1">
      <c r="A3216" s="1" t="s">
        <v>1195</v>
      </c>
      <c r="B3216" s="1" t="str">
        <f t="shared" si="1"/>
        <v>+30, 35, GYARADOS</v>
      </c>
    </row>
    <row r="3217" ht="12.75" customHeight="1">
      <c r="A3217" s="1" t="s">
        <v>1196</v>
      </c>
      <c r="B3217" s="1" t="str">
        <f t="shared" si="1"/>
        <v>+30, 35, POLIWHIRL</v>
      </c>
    </row>
    <row r="3218" ht="12.75" customHeight="1">
      <c r="A3218" s="2"/>
      <c r="B3218" s="1" t="str">
        <f t="shared" si="1"/>
        <v/>
      </c>
    </row>
    <row r="3219" ht="12.75" customHeight="1">
      <c r="A3219" s="1" t="s">
        <v>423</v>
      </c>
      <c r="B3219" s="1" t="str">
        <f t="shared" si="1"/>
        <v># super rod:</v>
      </c>
    </row>
    <row r="3220" ht="12.75" customHeight="1">
      <c r="A3220" s="1" t="s">
        <v>1197</v>
      </c>
      <c r="B3220" s="1" t="str">
        <f t="shared" si="1"/>
        <v>+36, 40, MAGIKARP</v>
      </c>
    </row>
    <row r="3221" ht="12.75" customHeight="1">
      <c r="A3221" s="1" t="s">
        <v>974</v>
      </c>
      <c r="B3221" s="1" t="str">
        <f t="shared" si="1"/>
        <v>+36, 40, GYARADOS</v>
      </c>
    </row>
    <row r="3222" ht="12.75" customHeight="1">
      <c r="A3222" s="1" t="s">
        <v>1198</v>
      </c>
      <c r="B3222" s="1" t="str">
        <f t="shared" si="1"/>
        <v>+38, 42, POLIWHIRL</v>
      </c>
    </row>
    <row r="3223" ht="12.75" customHeight="1">
      <c r="A3223" s="1" t="s">
        <v>997</v>
      </c>
      <c r="B3223" s="1" t="str">
        <f t="shared" si="1"/>
        <v>+38, 42, POLIWRATH</v>
      </c>
    </row>
    <row r="3224" ht="12.75" customHeight="1">
      <c r="A3224" s="1" t="s">
        <v>2718</v>
      </c>
      <c r="B3224" s="1" t="str">
        <f t="shared" si="1"/>
        <v>+40, 44, POLITOES</v>
      </c>
    </row>
    <row r="3225" ht="12.75" customHeight="1">
      <c r="A3225" s="1" t="s">
        <v>2539</v>
      </c>
      <c r="B3225" s="1" t="str">
        <f t="shared" si="1"/>
        <v>NEW ROUTE</v>
      </c>
    </row>
    <row r="3226" ht="12.75" customHeight="1">
      <c r="A3226" s="1" t="s">
        <v>2769</v>
      </c>
      <c r="B3226" s="1" t="str">
        <f t="shared" si="1"/>
        <v>+3, 3, 0, &lt;null&gt;,</v>
      </c>
    </row>
    <row r="3227" ht="12.75" customHeight="1">
      <c r="A3227" s="2"/>
      <c r="B3227" s="1" t="str">
        <f t="shared" si="1"/>
        <v/>
      </c>
    </row>
    <row r="3228" ht="12.75" customHeight="1">
      <c r="A3228" s="1" t="s">
        <v>2764</v>
      </c>
      <c r="B3228" s="1" t="str">
        <f t="shared" si="1"/>
        <v>1, 38, 42, TENTACOOL</v>
      </c>
    </row>
    <row r="3229" ht="12.75" customHeight="1">
      <c r="A3229" s="1" t="s">
        <v>968</v>
      </c>
      <c r="B3229" s="1" t="str">
        <f t="shared" si="1"/>
        <v>+40, 44, PSYDUCK</v>
      </c>
    </row>
    <row r="3230" ht="12.75" customHeight="1">
      <c r="A3230" s="1" t="s">
        <v>969</v>
      </c>
      <c r="B3230" s="1" t="str">
        <f t="shared" si="1"/>
        <v>+42, 46, TENTACRUEL</v>
      </c>
    </row>
    <row r="3231" ht="12.75" customHeight="1">
      <c r="A3231" s="1" t="s">
        <v>498</v>
      </c>
      <c r="B3231" s="1" t="str">
        <f t="shared" si="1"/>
        <v>+42, 46, GOLDUCK</v>
      </c>
    </row>
    <row r="3232" ht="12.75" customHeight="1">
      <c r="A3232" s="1" t="s">
        <v>2571</v>
      </c>
      <c r="B3232" s="1" t="str">
        <f t="shared" si="1"/>
        <v>+44, 48, VAPOREON</v>
      </c>
    </row>
    <row r="3233" ht="12.75" customHeight="1">
      <c r="A3233" s="1" t="s">
        <v>2551</v>
      </c>
      <c r="B3233" s="1" t="str">
        <f t="shared" si="1"/>
        <v>10, # old rod:</v>
      </c>
    </row>
    <row r="3234" ht="12.75" customHeight="1">
      <c r="A3234" s="1" t="s">
        <v>500</v>
      </c>
      <c r="B3234" s="1" t="str">
        <f t="shared" si="1"/>
        <v>19, 26, MAGIKARP</v>
      </c>
    </row>
    <row r="3235" ht="12.75" customHeight="1">
      <c r="A3235" s="1" t="s">
        <v>970</v>
      </c>
      <c r="B3235" s="1" t="str">
        <f t="shared" si="1"/>
        <v>+19, 26, GYARADOS</v>
      </c>
    </row>
    <row r="3236" ht="12.75" customHeight="1">
      <c r="A3236" s="2"/>
      <c r="B3236" s="1" t="str">
        <f t="shared" si="1"/>
        <v/>
      </c>
    </row>
    <row r="3237" ht="12.75" customHeight="1">
      <c r="A3237" s="1" t="s">
        <v>419</v>
      </c>
      <c r="B3237" s="1" t="str">
        <f t="shared" si="1"/>
        <v># good rod:</v>
      </c>
    </row>
    <row r="3238" ht="12.75" customHeight="1">
      <c r="A3238" s="1" t="s">
        <v>971</v>
      </c>
      <c r="B3238" s="1" t="str">
        <f t="shared" si="1"/>
        <v>+29, 33, SLOWPOKE</v>
      </c>
    </row>
    <row r="3239" ht="12.75" customHeight="1">
      <c r="A3239" s="1" t="s">
        <v>605</v>
      </c>
      <c r="B3239" s="1" t="str">
        <f t="shared" si="1"/>
        <v>+30, 35, KRABBY</v>
      </c>
    </row>
    <row r="3240" ht="12.75" customHeight="1">
      <c r="A3240" s="1" t="s">
        <v>972</v>
      </c>
      <c r="B3240" s="1" t="str">
        <f t="shared" si="1"/>
        <v>+30, 35, PSYDUCK</v>
      </c>
    </row>
    <row r="3241" ht="12.75" customHeight="1">
      <c r="A3241" s="2"/>
      <c r="B3241" s="1" t="str">
        <f t="shared" si="1"/>
        <v/>
      </c>
    </row>
    <row r="3242" ht="12.75" customHeight="1">
      <c r="A3242" s="1" t="s">
        <v>423</v>
      </c>
      <c r="B3242" s="1" t="str">
        <f t="shared" si="1"/>
        <v># super rod:</v>
      </c>
    </row>
    <row r="3243" ht="12.75" customHeight="1">
      <c r="A3243" s="1" t="s">
        <v>973</v>
      </c>
      <c r="B3243" s="1" t="str">
        <f t="shared" si="1"/>
        <v>+36, 40, SLOWBRO</v>
      </c>
    </row>
    <row r="3244" ht="12.75" customHeight="1">
      <c r="A3244" s="1" t="s">
        <v>974</v>
      </c>
      <c r="B3244" s="1" t="str">
        <f t="shared" si="1"/>
        <v>+36, 40, GYARADOS</v>
      </c>
    </row>
    <row r="3245" ht="12.75" customHeight="1">
      <c r="A3245" s="1" t="s">
        <v>975</v>
      </c>
      <c r="B3245" s="1" t="str">
        <f t="shared" si="1"/>
        <v>+38, 42, GOLDUCK</v>
      </c>
    </row>
    <row r="3246" ht="12.75" customHeight="1">
      <c r="A3246" s="1" t="s">
        <v>976</v>
      </c>
      <c r="B3246" s="1" t="str">
        <f t="shared" si="1"/>
        <v>+38, 42, KINGLER</v>
      </c>
    </row>
    <row r="3247" ht="12.75" customHeight="1">
      <c r="A3247" s="1" t="s">
        <v>2712</v>
      </c>
      <c r="B3247" s="1" t="str">
        <f t="shared" si="1"/>
        <v>+40, 44, SLOWMATE</v>
      </c>
    </row>
    <row r="3248" ht="12.75" customHeight="1">
      <c r="A3248" s="1" t="s">
        <v>2539</v>
      </c>
      <c r="B3248" s="1" t="str">
        <f t="shared" si="1"/>
        <v>NEW ROUTE</v>
      </c>
    </row>
    <row r="3249" ht="12.75" customHeight="1">
      <c r="A3249" s="1" t="s">
        <v>2770</v>
      </c>
      <c r="B3249" s="1" t="str">
        <f t="shared" si="1"/>
        <v>+3, 5, 0, &lt;null&gt;,</v>
      </c>
    </row>
    <row r="3250" ht="12.75" customHeight="1">
      <c r="A3250" s="2"/>
      <c r="B3250" s="1" t="str">
        <f t="shared" si="1"/>
        <v/>
      </c>
    </row>
    <row r="3251" ht="12.75" customHeight="1">
      <c r="A3251" s="1" t="s">
        <v>2764</v>
      </c>
      <c r="B3251" s="1" t="str">
        <f t="shared" si="1"/>
        <v>1, 38, 42, TENTACOOL</v>
      </c>
    </row>
    <row r="3252" ht="12.75" customHeight="1">
      <c r="A3252" s="1" t="s">
        <v>1051</v>
      </c>
      <c r="B3252" s="1" t="str">
        <f t="shared" si="1"/>
        <v>+40, 44, TENTACRUEL</v>
      </c>
    </row>
    <row r="3253" ht="12.75" customHeight="1">
      <c r="A3253" s="1" t="s">
        <v>600</v>
      </c>
      <c r="B3253" s="1" t="str">
        <f t="shared" si="1"/>
        <v>+42, 46, LAPRAS</v>
      </c>
    </row>
    <row r="3254" ht="12.75" customHeight="1">
      <c r="A3254" s="1" t="s">
        <v>1052</v>
      </c>
      <c r="B3254" s="1" t="str">
        <f t="shared" si="1"/>
        <v>+42, 46, TENTACATE</v>
      </c>
    </row>
    <row r="3255" ht="12.75" customHeight="1">
      <c r="A3255" s="1" t="s">
        <v>2730</v>
      </c>
      <c r="B3255" s="1" t="str">
        <f t="shared" si="1"/>
        <v>+44, 48, LOCHLASS</v>
      </c>
    </row>
    <row r="3256" ht="12.75" customHeight="1">
      <c r="A3256" s="1" t="s">
        <v>2551</v>
      </c>
      <c r="B3256" s="1" t="str">
        <f t="shared" si="1"/>
        <v>10, # old rod:</v>
      </c>
    </row>
    <row r="3257" ht="12.75" customHeight="1">
      <c r="A3257" s="1" t="s">
        <v>500</v>
      </c>
      <c r="B3257" s="1" t="str">
        <f t="shared" si="1"/>
        <v>19, 26, MAGIKARP</v>
      </c>
    </row>
    <row r="3258" ht="12.75" customHeight="1">
      <c r="A3258" s="1" t="s">
        <v>970</v>
      </c>
      <c r="B3258" s="1" t="str">
        <f t="shared" si="1"/>
        <v>+19, 26, GYARADOS</v>
      </c>
    </row>
    <row r="3259" ht="12.75" customHeight="1">
      <c r="A3259" s="2"/>
      <c r="B3259" s="1" t="str">
        <f t="shared" si="1"/>
        <v/>
      </c>
    </row>
    <row r="3260" ht="12.75" customHeight="1">
      <c r="A3260" s="1" t="s">
        <v>419</v>
      </c>
      <c r="B3260" s="1" t="str">
        <f t="shared" si="1"/>
        <v># good rod:</v>
      </c>
    </row>
    <row r="3261" ht="12.75" customHeight="1">
      <c r="A3261" s="1" t="s">
        <v>1054</v>
      </c>
      <c r="B3261" s="1" t="str">
        <f t="shared" si="1"/>
        <v>+29, 33, HORSEA</v>
      </c>
    </row>
    <row r="3262" ht="12.75" customHeight="1">
      <c r="A3262" s="1" t="s">
        <v>1075</v>
      </c>
      <c r="B3262" s="1" t="str">
        <f t="shared" si="1"/>
        <v>+30, 35, SHELLDER</v>
      </c>
    </row>
    <row r="3263" ht="12.75" customHeight="1">
      <c r="A3263" s="1" t="s">
        <v>1076</v>
      </c>
      <c r="B3263" s="1" t="str">
        <f t="shared" si="1"/>
        <v>+30, 35, STARYU</v>
      </c>
    </row>
    <row r="3264" ht="12.75" customHeight="1">
      <c r="A3264" s="2"/>
      <c r="B3264" s="1" t="str">
        <f t="shared" si="1"/>
        <v/>
      </c>
    </row>
    <row r="3265" ht="12.75" customHeight="1">
      <c r="A3265" s="1" t="s">
        <v>423</v>
      </c>
      <c r="B3265" s="1" t="str">
        <f t="shared" si="1"/>
        <v># super rod:</v>
      </c>
    </row>
    <row r="3266" ht="12.75" customHeight="1">
      <c r="A3266" s="1" t="s">
        <v>604</v>
      </c>
      <c r="B3266" s="1" t="str">
        <f t="shared" si="1"/>
        <v>+29, 33, SEADRA</v>
      </c>
    </row>
    <row r="3267" ht="12.75" customHeight="1">
      <c r="A3267" s="1" t="s">
        <v>974</v>
      </c>
      <c r="B3267" s="1" t="str">
        <f t="shared" si="1"/>
        <v>+36, 40, GYARADOS</v>
      </c>
    </row>
    <row r="3268" ht="12.75" customHeight="1">
      <c r="A3268" s="1" t="s">
        <v>1077</v>
      </c>
      <c r="B3268" s="1" t="str">
        <f t="shared" si="1"/>
        <v>+38, 42, STARMIE</v>
      </c>
    </row>
    <row r="3269" ht="12.75" customHeight="1">
      <c r="A3269" s="1" t="s">
        <v>1078</v>
      </c>
      <c r="B3269" s="1" t="str">
        <f t="shared" si="1"/>
        <v>+38, 42, CLOYSTER</v>
      </c>
    </row>
    <row r="3270" ht="12.75" customHeight="1">
      <c r="A3270" s="1" t="s">
        <v>2731</v>
      </c>
      <c r="B3270" s="1" t="str">
        <f t="shared" si="1"/>
        <v>+38, 42, STARUS</v>
      </c>
    </row>
    <row r="3271" ht="12.75" customHeight="1">
      <c r="A3271" s="1" t="s">
        <v>2539</v>
      </c>
      <c r="B3271" s="1" t="str">
        <f t="shared" si="1"/>
        <v>NEW ROUTE</v>
      </c>
    </row>
    <row r="3272" ht="12.75" customHeight="1">
      <c r="A3272" s="1" t="s">
        <v>2771</v>
      </c>
      <c r="B3272" s="1" t="str">
        <f t="shared" si="1"/>
        <v>+3, 6, 0, &lt;null&gt;,</v>
      </c>
    </row>
    <row r="3273" ht="12.75" customHeight="1">
      <c r="A3273" s="2"/>
      <c r="B3273" s="1" t="str">
        <f t="shared" si="1"/>
        <v/>
      </c>
    </row>
    <row r="3274" ht="12.75" customHeight="1">
      <c r="A3274" s="1" t="s">
        <v>2767</v>
      </c>
      <c r="B3274" s="1" t="str">
        <f t="shared" si="1"/>
        <v>1, 38, 42, PSYDUCK</v>
      </c>
    </row>
    <row r="3275" ht="12.75" customHeight="1">
      <c r="A3275" s="1" t="s">
        <v>993</v>
      </c>
      <c r="B3275" s="1" t="str">
        <f t="shared" si="1"/>
        <v>+40, 44, SLOWPOKE</v>
      </c>
    </row>
    <row r="3276" ht="12.75" customHeight="1">
      <c r="A3276" s="1" t="s">
        <v>1256</v>
      </c>
      <c r="B3276" s="1" t="str">
        <f t="shared" si="1"/>
        <v>+42, 46, KOFFING</v>
      </c>
    </row>
    <row r="3277" ht="12.75" customHeight="1">
      <c r="A3277" s="1" t="s">
        <v>498</v>
      </c>
      <c r="B3277" s="1" t="str">
        <f t="shared" si="1"/>
        <v>+42, 46, GOLDUCK</v>
      </c>
    </row>
    <row r="3278" ht="12.75" customHeight="1">
      <c r="A3278" s="1" t="s">
        <v>2772</v>
      </c>
      <c r="B3278" s="1" t="str">
        <f t="shared" si="1"/>
        <v>+44, 48, WEEZING</v>
      </c>
    </row>
    <row r="3279" ht="12.75" customHeight="1">
      <c r="A3279" s="1" t="s">
        <v>2551</v>
      </c>
      <c r="B3279" s="1" t="str">
        <f t="shared" si="1"/>
        <v>10, # old rod:</v>
      </c>
    </row>
    <row r="3280" ht="12.75" customHeight="1">
      <c r="A3280" s="1" t="s">
        <v>500</v>
      </c>
      <c r="B3280" s="1" t="str">
        <f t="shared" si="1"/>
        <v>19, 26, MAGIKARP</v>
      </c>
    </row>
    <row r="3281" ht="12.75" customHeight="1">
      <c r="A3281" s="1" t="s">
        <v>1258</v>
      </c>
      <c r="B3281" s="1" t="str">
        <f t="shared" si="1"/>
        <v>+19, 26, GRIMER</v>
      </c>
    </row>
    <row r="3282" ht="12.75" customHeight="1">
      <c r="A3282" s="2"/>
      <c r="B3282" s="1" t="str">
        <f t="shared" si="1"/>
        <v/>
      </c>
    </row>
    <row r="3283" ht="12.75" customHeight="1">
      <c r="A3283" s="1" t="s">
        <v>419</v>
      </c>
      <c r="B3283" s="1" t="str">
        <f t="shared" si="1"/>
        <v># good rod:</v>
      </c>
    </row>
    <row r="3284" ht="12.75" customHeight="1">
      <c r="A3284" s="1" t="s">
        <v>1194</v>
      </c>
      <c r="B3284" s="1" t="str">
        <f t="shared" si="1"/>
        <v>+29, 33, MAGIKARP</v>
      </c>
    </row>
    <row r="3285" ht="12.75" customHeight="1">
      <c r="A3285" s="1" t="s">
        <v>1195</v>
      </c>
      <c r="B3285" s="1" t="str">
        <f t="shared" si="1"/>
        <v>+30, 35, GYARADOS</v>
      </c>
    </row>
    <row r="3286" ht="12.75" customHeight="1">
      <c r="A3286" s="1" t="s">
        <v>1259</v>
      </c>
      <c r="B3286" s="1" t="str">
        <f t="shared" si="1"/>
        <v>+30, 35, MUK</v>
      </c>
    </row>
    <row r="3287" ht="12.75" customHeight="1">
      <c r="A3287" s="2"/>
      <c r="B3287" s="1" t="str">
        <f t="shared" si="1"/>
        <v/>
      </c>
    </row>
    <row r="3288" ht="12.75" customHeight="1">
      <c r="A3288" s="1" t="s">
        <v>423</v>
      </c>
      <c r="B3288" s="1" t="str">
        <f t="shared" si="1"/>
        <v># super rod:</v>
      </c>
    </row>
    <row r="3289" ht="12.75" customHeight="1">
      <c r="A3289" s="1" t="s">
        <v>974</v>
      </c>
      <c r="B3289" s="1" t="str">
        <f t="shared" si="1"/>
        <v>+36, 40, GYARADOS</v>
      </c>
    </row>
    <row r="3290" ht="12.75" customHeight="1">
      <c r="A3290" s="1" t="s">
        <v>1260</v>
      </c>
      <c r="B3290" s="1" t="str">
        <f t="shared" si="1"/>
        <v>+36, 40, MUK</v>
      </c>
    </row>
    <row r="3291" ht="12.75" customHeight="1">
      <c r="A3291" s="1" t="s">
        <v>1261</v>
      </c>
      <c r="B3291" s="1" t="str">
        <f t="shared" si="1"/>
        <v>+41, 41, GYARADOS</v>
      </c>
    </row>
    <row r="3292" ht="12.75" customHeight="1">
      <c r="A3292" s="1" t="s">
        <v>1262</v>
      </c>
      <c r="B3292" s="1" t="str">
        <f t="shared" si="1"/>
        <v>+38, 42, HYDRADOS</v>
      </c>
    </row>
    <row r="3293" ht="12.75" customHeight="1">
      <c r="A3293" s="1" t="s">
        <v>2773</v>
      </c>
      <c r="B3293" s="1" t="str">
        <f t="shared" si="1"/>
        <v>+40, 44, GUNK</v>
      </c>
    </row>
    <row r="3294" ht="12.75" customHeight="1">
      <c r="A3294" s="1" t="s">
        <v>2539</v>
      </c>
      <c r="B3294" s="1" t="str">
        <f t="shared" si="1"/>
        <v>NEW ROUTE</v>
      </c>
    </row>
    <row r="3295" ht="12.75" customHeight="1">
      <c r="A3295" s="1" t="s">
        <v>2774</v>
      </c>
      <c r="B3295" s="1" t="str">
        <f t="shared" si="1"/>
        <v>+3, 7, 0, &lt;null&gt;,</v>
      </c>
    </row>
    <row r="3296" ht="12.75" customHeight="1">
      <c r="A3296" s="2"/>
      <c r="B3296" s="1" t="str">
        <f t="shared" si="1"/>
        <v/>
      </c>
    </row>
    <row r="3297" ht="12.75" customHeight="1">
      <c r="A3297" s="1" t="s">
        <v>2764</v>
      </c>
      <c r="B3297" s="1" t="str">
        <f t="shared" si="1"/>
        <v>1, 38, 42, TENTACOOL</v>
      </c>
    </row>
    <row r="3298" ht="12.75" customHeight="1">
      <c r="A3298" s="1" t="s">
        <v>968</v>
      </c>
      <c r="B3298" s="1" t="str">
        <f t="shared" si="1"/>
        <v>+40, 44, PSYDUCK</v>
      </c>
    </row>
    <row r="3299" ht="12.75" customHeight="1">
      <c r="A3299" s="1" t="s">
        <v>969</v>
      </c>
      <c r="B3299" s="1" t="str">
        <f t="shared" si="1"/>
        <v>+42, 46, TENTACRUEL</v>
      </c>
    </row>
    <row r="3300" ht="12.75" customHeight="1">
      <c r="A3300" s="1" t="s">
        <v>498</v>
      </c>
      <c r="B3300" s="1" t="str">
        <f t="shared" si="1"/>
        <v>+42, 46, GOLDUCK</v>
      </c>
    </row>
    <row r="3301" ht="12.75" customHeight="1">
      <c r="A3301" s="1" t="s">
        <v>2571</v>
      </c>
      <c r="B3301" s="1" t="str">
        <f t="shared" si="1"/>
        <v>+44, 48, VAPOREON</v>
      </c>
    </row>
    <row r="3302" ht="12.75" customHeight="1">
      <c r="A3302" s="1" t="s">
        <v>2551</v>
      </c>
      <c r="B3302" s="1" t="str">
        <f t="shared" si="1"/>
        <v>10, # old rod:</v>
      </c>
    </row>
    <row r="3303" ht="12.75" customHeight="1">
      <c r="A3303" s="1" t="s">
        <v>1265</v>
      </c>
      <c r="B3303" s="1" t="str">
        <f t="shared" si="1"/>
        <v>19, 26, SEEL</v>
      </c>
    </row>
    <row r="3304" ht="12.75" customHeight="1">
      <c r="A3304" s="1" t="s">
        <v>501</v>
      </c>
      <c r="B3304" s="1" t="str">
        <f t="shared" si="1"/>
        <v>+19, 26, POLIWAG</v>
      </c>
    </row>
    <row r="3305" ht="12.75" customHeight="1">
      <c r="A3305" s="2"/>
      <c r="B3305" s="1" t="str">
        <f t="shared" si="1"/>
        <v/>
      </c>
    </row>
    <row r="3306" ht="12.75" customHeight="1">
      <c r="A3306" s="1" t="s">
        <v>419</v>
      </c>
      <c r="B3306" s="1" t="str">
        <f t="shared" si="1"/>
        <v># good rod:</v>
      </c>
    </row>
    <row r="3307" ht="12.75" customHeight="1">
      <c r="A3307" s="1" t="s">
        <v>1266</v>
      </c>
      <c r="B3307" s="1" t="str">
        <f t="shared" si="1"/>
        <v>+29, 33, SEEL</v>
      </c>
    </row>
    <row r="3308" ht="12.75" customHeight="1">
      <c r="A3308" s="1" t="s">
        <v>503</v>
      </c>
      <c r="B3308" s="1" t="str">
        <f t="shared" si="1"/>
        <v>+30, 35, POLIWAG</v>
      </c>
    </row>
    <row r="3309" ht="12.75" customHeight="1">
      <c r="A3309" s="1" t="s">
        <v>504</v>
      </c>
      <c r="B3309" s="1" t="str">
        <f t="shared" si="1"/>
        <v>+30, 35, GOLDEEN</v>
      </c>
    </row>
    <row r="3310" ht="12.75" customHeight="1">
      <c r="A3310" s="2"/>
      <c r="B3310" s="1" t="str">
        <f t="shared" si="1"/>
        <v/>
      </c>
    </row>
    <row r="3311" ht="12.75" customHeight="1">
      <c r="A3311" s="1" t="s">
        <v>423</v>
      </c>
      <c r="B3311" s="1" t="str">
        <f t="shared" si="1"/>
        <v># super rod:</v>
      </c>
    </row>
    <row r="3312" ht="12.75" customHeight="1">
      <c r="A3312" s="1" t="s">
        <v>505</v>
      </c>
      <c r="B3312" s="1" t="str">
        <f t="shared" si="1"/>
        <v>+36, 40, POLIWHIRL</v>
      </c>
    </row>
    <row r="3313" ht="12.75" customHeight="1">
      <c r="A3313" s="1" t="s">
        <v>1267</v>
      </c>
      <c r="B3313" s="1" t="str">
        <f t="shared" si="1"/>
        <v>+36, 40, DEWGONG</v>
      </c>
    </row>
    <row r="3314" ht="12.75" customHeight="1">
      <c r="A3314" s="1" t="s">
        <v>1268</v>
      </c>
      <c r="B3314" s="1" t="str">
        <f t="shared" si="1"/>
        <v>+38, 42, SEAKING</v>
      </c>
    </row>
    <row r="3315" ht="12.75" customHeight="1">
      <c r="A3315" s="1" t="s">
        <v>997</v>
      </c>
      <c r="B3315" s="1" t="str">
        <f t="shared" si="1"/>
        <v>+38, 42, POLIWRATH</v>
      </c>
    </row>
    <row r="3316" ht="12.75" customHeight="1">
      <c r="A3316" s="1" t="s">
        <v>2775</v>
      </c>
      <c r="B3316" s="1" t="str">
        <f t="shared" si="1"/>
        <v>+40, 44, SEAREX</v>
      </c>
    </row>
    <row r="3317" ht="12.75" customHeight="1">
      <c r="A3317" s="1" t="s">
        <v>2539</v>
      </c>
      <c r="B3317" s="1" t="str">
        <f t="shared" si="1"/>
        <v>NEW ROUTE</v>
      </c>
    </row>
    <row r="3318" ht="12.75" customHeight="1">
      <c r="A3318" s="1" t="s">
        <v>2776</v>
      </c>
      <c r="B3318" s="1" t="str">
        <f t="shared" si="1"/>
        <v>+3, 8, 0, &lt;null&gt;,</v>
      </c>
    </row>
    <row r="3319" ht="12.75" customHeight="1">
      <c r="A3319" s="2"/>
      <c r="B3319" s="1" t="str">
        <f t="shared" si="1"/>
        <v/>
      </c>
    </row>
    <row r="3320" ht="12.75" customHeight="1">
      <c r="A3320" s="1" t="s">
        <v>2777</v>
      </c>
      <c r="B3320" s="1" t="str">
        <f t="shared" si="1"/>
        <v>1, 40, 44, DEWGONG</v>
      </c>
    </row>
    <row r="3321" ht="12.75" customHeight="1">
      <c r="A3321" s="1" t="s">
        <v>600</v>
      </c>
      <c r="B3321" s="1" t="str">
        <f t="shared" si="1"/>
        <v>+42, 46, LAPRAS</v>
      </c>
    </row>
    <row r="3322" ht="12.75" customHeight="1">
      <c r="A3322" s="1" t="s">
        <v>590</v>
      </c>
      <c r="B3322" s="1" t="str">
        <f t="shared" si="1"/>
        <v>+44, 47, PRECIPED</v>
      </c>
    </row>
    <row r="3323" ht="12.75" customHeight="1">
      <c r="A3323" s="1" t="s">
        <v>1271</v>
      </c>
      <c r="B3323" s="1" t="str">
        <f t="shared" si="1"/>
        <v>+44, 47, TENTACATE</v>
      </c>
    </row>
    <row r="3324" ht="12.75" customHeight="1">
      <c r="A3324" s="1" t="s">
        <v>2778</v>
      </c>
      <c r="B3324" s="1" t="str">
        <f t="shared" si="1"/>
        <v>+45, 50, LOCHLASS</v>
      </c>
    </row>
    <row r="3325" ht="12.75" customHeight="1">
      <c r="A3325" s="1" t="s">
        <v>2551</v>
      </c>
      <c r="B3325" s="1" t="str">
        <f t="shared" si="1"/>
        <v>10, # old rod:</v>
      </c>
    </row>
    <row r="3326" ht="12.75" customHeight="1">
      <c r="A3326" s="1" t="s">
        <v>1273</v>
      </c>
      <c r="B3326" s="1" t="str">
        <f t="shared" si="1"/>
        <v>24, 30, HORSEA</v>
      </c>
    </row>
    <row r="3327" ht="12.75" customHeight="1">
      <c r="A3327" s="1" t="s">
        <v>1274</v>
      </c>
      <c r="B3327" s="1" t="str">
        <f t="shared" si="1"/>
        <v>+24, 30, SHELLDER</v>
      </c>
    </row>
    <row r="3328" ht="12.75" customHeight="1">
      <c r="A3328" s="2"/>
      <c r="B3328" s="1" t="str">
        <f t="shared" si="1"/>
        <v/>
      </c>
    </row>
    <row r="3329" ht="12.75" customHeight="1">
      <c r="A3329" s="1" t="s">
        <v>419</v>
      </c>
      <c r="B3329" s="1" t="str">
        <f t="shared" si="1"/>
        <v># good rod:</v>
      </c>
    </row>
    <row r="3330" ht="12.75" customHeight="1">
      <c r="A3330" s="1" t="s">
        <v>1275</v>
      </c>
      <c r="B3330" s="1" t="str">
        <f t="shared" si="1"/>
        <v>+35, 40, SEADRA</v>
      </c>
    </row>
    <row r="3331" ht="12.75" customHeight="1">
      <c r="A3331" s="1" t="s">
        <v>1276</v>
      </c>
      <c r="B3331" s="1" t="str">
        <f t="shared" si="1"/>
        <v>+37, 42, KRABBY</v>
      </c>
    </row>
    <row r="3332" ht="12.75" customHeight="1">
      <c r="A3332" s="1" t="s">
        <v>1277</v>
      </c>
      <c r="B3332" s="1" t="str">
        <f t="shared" si="1"/>
        <v>+37, 42, CLOYSTER</v>
      </c>
    </row>
    <row r="3333" ht="12.75" customHeight="1">
      <c r="A3333" s="2"/>
      <c r="B3333" s="1" t="str">
        <f t="shared" si="1"/>
        <v/>
      </c>
    </row>
    <row r="3334" ht="12.75" customHeight="1">
      <c r="A3334" s="1" t="s">
        <v>423</v>
      </c>
      <c r="B3334" s="1" t="str">
        <f t="shared" si="1"/>
        <v># super rod:</v>
      </c>
    </row>
    <row r="3335" ht="12.75" customHeight="1">
      <c r="A3335" s="1" t="s">
        <v>1278</v>
      </c>
      <c r="B3335" s="1" t="str">
        <f t="shared" si="1"/>
        <v>+39, 45, KINGDRA</v>
      </c>
    </row>
    <row r="3336" ht="12.75" customHeight="1">
      <c r="A3336" s="1" t="s">
        <v>1279</v>
      </c>
      <c r="B3336" s="1" t="str">
        <f t="shared" si="1"/>
        <v>+39, 45, KINGLER</v>
      </c>
    </row>
    <row r="3337" ht="12.75" customHeight="1">
      <c r="A3337" s="1" t="s">
        <v>1280</v>
      </c>
      <c r="B3337" s="1" t="str">
        <f t="shared" si="1"/>
        <v>+43, 46, AN'ENEMY</v>
      </c>
    </row>
    <row r="3338" ht="12.75" customHeight="1">
      <c r="A3338" s="1" t="s">
        <v>1281</v>
      </c>
      <c r="B3338" s="1" t="str">
        <f t="shared" si="1"/>
        <v>+43, 46, KRAKLAW</v>
      </c>
    </row>
    <row r="3339" ht="12.75" customHeight="1">
      <c r="A3339" s="1" t="s">
        <v>2779</v>
      </c>
      <c r="B3339" s="1" t="str">
        <f t="shared" si="1"/>
        <v>+45, 52, LORDRA</v>
      </c>
    </row>
    <row r="3340" ht="12.75" customHeight="1">
      <c r="A3340" s="1" t="s">
        <v>2539</v>
      </c>
      <c r="B3340" s="1" t="str">
        <f t="shared" si="1"/>
        <v>NEW ROUTE</v>
      </c>
    </row>
    <row r="3341" ht="12.75" customHeight="1">
      <c r="A3341" s="1" t="s">
        <v>2780</v>
      </c>
      <c r="B3341" s="1" t="str">
        <f t="shared" si="1"/>
        <v>+3, 12, 0, &lt;null&gt;,</v>
      </c>
    </row>
    <row r="3342" ht="12.75" customHeight="1">
      <c r="A3342" s="2"/>
      <c r="B3342" s="1" t="str">
        <f t="shared" si="1"/>
        <v/>
      </c>
    </row>
    <row r="3343" ht="12.75" customHeight="1">
      <c r="A3343" s="1" t="s">
        <v>2781</v>
      </c>
      <c r="B3343" s="1" t="str">
        <f t="shared" si="1"/>
        <v>1, 5, 20, TENTACOOL</v>
      </c>
    </row>
    <row r="3344" ht="12.75" customHeight="1">
      <c r="A3344" s="1" t="s">
        <v>770</v>
      </c>
      <c r="B3344" s="1" t="str">
        <f t="shared" si="1"/>
        <v>+20, 35, TENTACOOL</v>
      </c>
    </row>
    <row r="3345" ht="12.75" customHeight="1">
      <c r="A3345" s="1" t="s">
        <v>828</v>
      </c>
      <c r="B3345" s="1" t="str">
        <f t="shared" si="1"/>
        <v>+35, 40, TENTACOOL</v>
      </c>
    </row>
    <row r="3346" ht="12.75" customHeight="1">
      <c r="A3346" s="1" t="s">
        <v>829</v>
      </c>
      <c r="B3346" s="1" t="str">
        <f t="shared" si="1"/>
        <v>+35, 40, TENTACRUEL</v>
      </c>
    </row>
    <row r="3347" ht="12.75" customHeight="1">
      <c r="A3347" s="1" t="s">
        <v>2675</v>
      </c>
      <c r="B3347" s="1" t="str">
        <f t="shared" si="1"/>
        <v>+35, 40, TENTACRUEL</v>
      </c>
    </row>
    <row r="3348" ht="12.75" customHeight="1">
      <c r="A3348" s="1" t="s">
        <v>2551</v>
      </c>
      <c r="B3348" s="1" t="str">
        <f t="shared" si="1"/>
        <v>10, # old rod:</v>
      </c>
    </row>
    <row r="3349" ht="12.75" customHeight="1">
      <c r="A3349" s="1" t="s">
        <v>417</v>
      </c>
      <c r="B3349" s="1" t="str">
        <f t="shared" si="1"/>
        <v>5, 5, MAGIKARP</v>
      </c>
    </row>
    <row r="3350" ht="12.75" customHeight="1">
      <c r="A3350" s="1" t="s">
        <v>418</v>
      </c>
      <c r="B3350" s="1" t="str">
        <f t="shared" si="1"/>
        <v>+5, 5, MAGIKARP</v>
      </c>
    </row>
    <row r="3351" ht="12.75" customHeight="1">
      <c r="A3351" s="2"/>
      <c r="B3351" s="1" t="str">
        <f t="shared" si="1"/>
        <v/>
      </c>
    </row>
    <row r="3352" ht="12.75" customHeight="1">
      <c r="A3352" s="1" t="s">
        <v>419</v>
      </c>
      <c r="B3352" s="1" t="str">
        <f t="shared" si="1"/>
        <v># good rod:</v>
      </c>
    </row>
    <row r="3353" ht="12.75" customHeight="1">
      <c r="A3353" s="1" t="s">
        <v>420</v>
      </c>
      <c r="B3353" s="1" t="str">
        <f t="shared" si="1"/>
        <v>+5, 15, KRABBY</v>
      </c>
    </row>
    <row r="3354" ht="12.75" customHeight="1">
      <c r="A3354" s="1" t="s">
        <v>421</v>
      </c>
      <c r="B3354" s="1" t="str">
        <f t="shared" si="1"/>
        <v>+5, 15, MAGIKARP</v>
      </c>
    </row>
    <row r="3355" ht="12.75" customHeight="1">
      <c r="A3355" s="1" t="s">
        <v>420</v>
      </c>
      <c r="B3355" s="1" t="str">
        <f t="shared" si="1"/>
        <v>+5, 15, KRABBY</v>
      </c>
    </row>
    <row r="3356" ht="12.75" customHeight="1">
      <c r="A3356" s="2"/>
      <c r="B3356" s="1" t="str">
        <f t="shared" si="1"/>
        <v/>
      </c>
    </row>
    <row r="3357" ht="12.75" customHeight="1">
      <c r="A3357" s="1" t="s">
        <v>423</v>
      </c>
      <c r="B3357" s="1" t="str">
        <f t="shared" si="1"/>
        <v># super rod:</v>
      </c>
    </row>
    <row r="3358" ht="12.75" customHeight="1">
      <c r="A3358" s="1" t="s">
        <v>424</v>
      </c>
      <c r="B3358" s="1" t="str">
        <f t="shared" si="1"/>
        <v>+15, 25, KRABBY</v>
      </c>
    </row>
    <row r="3359" ht="12.75" customHeight="1">
      <c r="A3359" s="1" t="s">
        <v>425</v>
      </c>
      <c r="B3359" s="1" t="str">
        <f t="shared" si="1"/>
        <v>+15, 25, STARYU</v>
      </c>
    </row>
    <row r="3360" ht="12.75" customHeight="1">
      <c r="A3360" s="1" t="s">
        <v>426</v>
      </c>
      <c r="B3360" s="1" t="str">
        <f t="shared" si="1"/>
        <v>+15, 25, GYARADOS</v>
      </c>
    </row>
    <row r="3361" ht="12.75" customHeight="1">
      <c r="A3361" s="1" t="s">
        <v>774</v>
      </c>
      <c r="B3361" s="1" t="str">
        <f t="shared" si="1"/>
        <v>+25, 35, KINGLER</v>
      </c>
    </row>
    <row r="3362" ht="12.75" customHeight="1">
      <c r="A3362" s="1" t="s">
        <v>2552</v>
      </c>
      <c r="B3362" s="1" t="str">
        <f t="shared" si="1"/>
        <v>+25, 35, SLOWPOKE</v>
      </c>
    </row>
    <row r="3363" ht="12.75" customHeight="1">
      <c r="A3363" s="1" t="s">
        <v>2539</v>
      </c>
      <c r="B3363" s="1" t="str">
        <f t="shared" si="1"/>
        <v>NEW ROUTE</v>
      </c>
    </row>
    <row r="3364" ht="12.75" customHeight="1">
      <c r="A3364" s="1" t="s">
        <v>2782</v>
      </c>
      <c r="B3364" s="1" t="str">
        <f t="shared" si="1"/>
        <v>+3, 15, 0, &lt;null&gt;,</v>
      </c>
    </row>
    <row r="3365" ht="12.75" customHeight="1">
      <c r="A3365" s="2"/>
      <c r="B3365" s="1" t="str">
        <f t="shared" si="1"/>
        <v/>
      </c>
    </row>
    <row r="3366" ht="12.75" customHeight="1">
      <c r="A3366" s="1" t="s">
        <v>2783</v>
      </c>
      <c r="B3366" s="1" t="str">
        <f t="shared" si="1"/>
        <v>2, 5, 15, MARILL</v>
      </c>
    </row>
    <row r="3367" ht="12.75" customHeight="1">
      <c r="A3367" s="1" t="s">
        <v>753</v>
      </c>
      <c r="B3367" s="1" t="str">
        <f t="shared" si="1"/>
        <v>+5, 35, SLOWPOKE</v>
      </c>
    </row>
    <row r="3368" ht="12.75" customHeight="1">
      <c r="A3368" s="1" t="s">
        <v>905</v>
      </c>
      <c r="B3368" s="1" t="str">
        <f t="shared" si="1"/>
        <v>+15, 25, MARILL</v>
      </c>
    </row>
    <row r="3369" ht="12.75" customHeight="1">
      <c r="A3369" s="1" t="s">
        <v>905</v>
      </c>
      <c r="B3369" s="1" t="str">
        <f t="shared" si="1"/>
        <v>+15, 25, MARILL</v>
      </c>
    </row>
    <row r="3370" ht="12.75" customHeight="1">
      <c r="A3370" s="1" t="s">
        <v>2784</v>
      </c>
      <c r="B3370" s="1" t="str">
        <f t="shared" si="1"/>
        <v>+15, 25, MARILL</v>
      </c>
    </row>
    <row r="3371" ht="12.75" customHeight="1">
      <c r="A3371" s="1" t="s">
        <v>2572</v>
      </c>
      <c r="B3371" s="1" t="str">
        <f t="shared" si="1"/>
        <v>20, # old rod:</v>
      </c>
    </row>
    <row r="3372" ht="12.75" customHeight="1">
      <c r="A3372" s="1" t="s">
        <v>417</v>
      </c>
      <c r="B3372" s="1" t="str">
        <f t="shared" si="1"/>
        <v>5, 5, MAGIKARP</v>
      </c>
    </row>
    <row r="3373" ht="12.75" customHeight="1">
      <c r="A3373" s="1" t="s">
        <v>418</v>
      </c>
      <c r="B3373" s="1" t="str">
        <f t="shared" si="1"/>
        <v>+5, 5, MAGIKARP</v>
      </c>
    </row>
    <row r="3374" ht="12.75" customHeight="1">
      <c r="A3374" s="2"/>
      <c r="B3374" s="1" t="str">
        <f t="shared" si="1"/>
        <v/>
      </c>
    </row>
    <row r="3375" ht="12.75" customHeight="1">
      <c r="A3375" s="1" t="s">
        <v>419</v>
      </c>
      <c r="B3375" s="1" t="str">
        <f t="shared" si="1"/>
        <v># good rod:</v>
      </c>
    </row>
    <row r="3376" ht="12.75" customHeight="1">
      <c r="A3376" s="1" t="s">
        <v>737</v>
      </c>
      <c r="B3376" s="1" t="str">
        <f t="shared" si="1"/>
        <v>+5, 15, POLIWAG</v>
      </c>
    </row>
    <row r="3377" ht="12.75" customHeight="1">
      <c r="A3377" s="1" t="s">
        <v>421</v>
      </c>
      <c r="B3377" s="1" t="str">
        <f t="shared" si="1"/>
        <v>+5, 15, MAGIKARP</v>
      </c>
    </row>
    <row r="3378" ht="12.75" customHeight="1">
      <c r="A3378" s="1" t="s">
        <v>736</v>
      </c>
      <c r="B3378" s="1" t="str">
        <f t="shared" si="1"/>
        <v>+5, 15, GOLDEEN</v>
      </c>
    </row>
    <row r="3379" ht="12.75" customHeight="1">
      <c r="A3379" s="2"/>
      <c r="B3379" s="1" t="str">
        <f t="shared" si="1"/>
        <v/>
      </c>
    </row>
    <row r="3380" ht="12.75" customHeight="1">
      <c r="A3380" s="1" t="s">
        <v>423</v>
      </c>
      <c r="B3380" s="1" t="str">
        <f t="shared" si="1"/>
        <v># super rod:</v>
      </c>
    </row>
    <row r="3381" ht="12.75" customHeight="1">
      <c r="A3381" s="1" t="s">
        <v>757</v>
      </c>
      <c r="B3381" s="1" t="str">
        <f t="shared" si="1"/>
        <v>+15, 25, POLIWAG</v>
      </c>
    </row>
    <row r="3382" ht="12.75" customHeight="1">
      <c r="A3382" s="1" t="s">
        <v>758</v>
      </c>
      <c r="B3382" s="1" t="str">
        <f t="shared" si="1"/>
        <v>+20, 30, POLIWHIRL</v>
      </c>
    </row>
    <row r="3383" ht="12.75" customHeight="1">
      <c r="A3383" s="1" t="s">
        <v>426</v>
      </c>
      <c r="B3383" s="1" t="str">
        <f t="shared" si="1"/>
        <v>+15, 25, GYARADOS</v>
      </c>
    </row>
    <row r="3384" ht="12.75" customHeight="1">
      <c r="A3384" s="1" t="s">
        <v>740</v>
      </c>
      <c r="B3384" s="1" t="str">
        <f t="shared" si="1"/>
        <v>+15, 25, SLOWPOKE</v>
      </c>
    </row>
    <row r="3385" ht="12.75" customHeight="1">
      <c r="A3385" s="1" t="s">
        <v>2552</v>
      </c>
      <c r="B3385" s="1" t="str">
        <f t="shared" si="1"/>
        <v>+25, 35, SLOWPOKE</v>
      </c>
    </row>
    <row r="3386" ht="12.75" customHeight="1">
      <c r="A3386" s="1" t="s">
        <v>2539</v>
      </c>
      <c r="B3386" s="1" t="str">
        <f t="shared" si="1"/>
        <v>NEW ROUTE</v>
      </c>
    </row>
    <row r="3387" ht="12.75" customHeight="1">
      <c r="A3387" s="1" t="s">
        <v>2785</v>
      </c>
      <c r="B3387" s="1" t="str">
        <f t="shared" si="1"/>
        <v>+3, 16, 0, &lt;null&gt;,</v>
      </c>
    </row>
    <row r="3388" ht="12.75" customHeight="1">
      <c r="A3388" s="2"/>
      <c r="B3388" s="1" t="str">
        <f t="shared" si="1"/>
        <v/>
      </c>
    </row>
    <row r="3389" ht="12.75" customHeight="1">
      <c r="A3389" s="1" t="s">
        <v>2786</v>
      </c>
      <c r="B3389" s="1" t="str">
        <f t="shared" si="1"/>
        <v>1, 5, 35, TENTACOOL</v>
      </c>
    </row>
    <row r="3390" ht="12.75" customHeight="1">
      <c r="A3390" s="1" t="s">
        <v>862</v>
      </c>
      <c r="B3390" s="1" t="str">
        <f t="shared" si="1"/>
        <v>+5, 15, HOPPIP</v>
      </c>
    </row>
    <row r="3391" ht="12.75" customHeight="1">
      <c r="A3391" s="1" t="s">
        <v>828</v>
      </c>
      <c r="B3391" s="1" t="str">
        <f t="shared" si="1"/>
        <v>+35, 40, TENTACOOL</v>
      </c>
    </row>
    <row r="3392" ht="12.75" customHeight="1">
      <c r="A3392" s="1" t="s">
        <v>829</v>
      </c>
      <c r="B3392" s="1" t="str">
        <f t="shared" si="1"/>
        <v>+35, 40, TENTACRUEL</v>
      </c>
    </row>
    <row r="3393" ht="12.75" customHeight="1">
      <c r="A3393" s="1" t="s">
        <v>2675</v>
      </c>
      <c r="B3393" s="1" t="str">
        <f t="shared" si="1"/>
        <v>+35, 40, TENTACRUEL</v>
      </c>
    </row>
    <row r="3394" ht="12.75" customHeight="1">
      <c r="A3394" s="1" t="s">
        <v>2551</v>
      </c>
      <c r="B3394" s="1" t="str">
        <f t="shared" si="1"/>
        <v>10, # old rod:</v>
      </c>
    </row>
    <row r="3395" ht="12.75" customHeight="1">
      <c r="A3395" s="1" t="s">
        <v>417</v>
      </c>
      <c r="B3395" s="1" t="str">
        <f t="shared" si="1"/>
        <v>5, 5, MAGIKARP</v>
      </c>
    </row>
    <row r="3396" ht="12.75" customHeight="1">
      <c r="A3396" s="1" t="s">
        <v>418</v>
      </c>
      <c r="B3396" s="1" t="str">
        <f t="shared" si="1"/>
        <v>+5, 5, MAGIKARP</v>
      </c>
    </row>
    <row r="3397" ht="12.75" customHeight="1">
      <c r="A3397" s="2"/>
      <c r="B3397" s="1" t="str">
        <f t="shared" si="1"/>
        <v/>
      </c>
    </row>
    <row r="3398" ht="12.75" customHeight="1">
      <c r="A3398" s="1" t="s">
        <v>419</v>
      </c>
      <c r="B3398" s="1" t="str">
        <f t="shared" si="1"/>
        <v># good rod:</v>
      </c>
    </row>
    <row r="3399" ht="12.75" customHeight="1">
      <c r="A3399" s="1" t="s">
        <v>420</v>
      </c>
      <c r="B3399" s="1" t="str">
        <f t="shared" si="1"/>
        <v>+5, 15, KRABBY</v>
      </c>
    </row>
    <row r="3400" ht="12.75" customHeight="1">
      <c r="A3400" s="1" t="s">
        <v>421</v>
      </c>
      <c r="B3400" s="1" t="str">
        <f t="shared" si="1"/>
        <v>+5, 15, MAGIKARP</v>
      </c>
    </row>
    <row r="3401" ht="12.75" customHeight="1">
      <c r="A3401" s="1" t="s">
        <v>420</v>
      </c>
      <c r="B3401" s="1" t="str">
        <f t="shared" si="1"/>
        <v>+5, 15, KRABBY</v>
      </c>
    </row>
    <row r="3402" ht="12.75" customHeight="1">
      <c r="A3402" s="2"/>
      <c r="B3402" s="1" t="str">
        <f t="shared" si="1"/>
        <v/>
      </c>
    </row>
    <row r="3403" ht="12.75" customHeight="1">
      <c r="A3403" s="1" t="s">
        <v>423</v>
      </c>
      <c r="B3403" s="1" t="str">
        <f t="shared" si="1"/>
        <v># super rod:</v>
      </c>
    </row>
    <row r="3404" ht="12.75" customHeight="1">
      <c r="A3404" s="1" t="s">
        <v>424</v>
      </c>
      <c r="B3404" s="1" t="str">
        <f t="shared" si="1"/>
        <v>+15, 25, KRABBY</v>
      </c>
    </row>
    <row r="3405" ht="12.75" customHeight="1">
      <c r="A3405" s="1" t="s">
        <v>425</v>
      </c>
      <c r="B3405" s="1" t="str">
        <f t="shared" si="1"/>
        <v>+15, 25, STARYU</v>
      </c>
    </row>
    <row r="3406" ht="12.75" customHeight="1">
      <c r="A3406" s="1" t="s">
        <v>426</v>
      </c>
      <c r="B3406" s="1" t="str">
        <f t="shared" si="1"/>
        <v>+15, 25, GYARADOS</v>
      </c>
    </row>
    <row r="3407" ht="12.75" customHeight="1">
      <c r="A3407" s="1" t="s">
        <v>774</v>
      </c>
      <c r="B3407" s="1" t="str">
        <f t="shared" si="1"/>
        <v>+25, 35, KINGLER</v>
      </c>
    </row>
    <row r="3408" ht="12.75" customHeight="1">
      <c r="A3408" s="1" t="s">
        <v>2552</v>
      </c>
      <c r="B3408" s="1" t="str">
        <f t="shared" si="1"/>
        <v>+25, 35, SLOWPOKE</v>
      </c>
    </row>
    <row r="3409" ht="12.75" customHeight="1">
      <c r="A3409" s="1" t="s">
        <v>2539</v>
      </c>
      <c r="B3409" s="1" t="str">
        <f t="shared" si="1"/>
        <v>NEW ROUTE</v>
      </c>
    </row>
    <row r="3410" ht="12.75" customHeight="1">
      <c r="A3410" s="1" t="s">
        <v>2787</v>
      </c>
      <c r="B3410" s="1" t="str">
        <f t="shared" si="1"/>
        <v>+1, 122, 0,</v>
      </c>
    </row>
    <row r="3411" ht="12.75" customHeight="1">
      <c r="A3411" s="1" t="s">
        <v>2541</v>
      </c>
      <c r="B3411" s="1" t="str">
        <f t="shared" si="1"/>
        <v>7, # 20%</v>
      </c>
    </row>
    <row r="3412" ht="12.75" customHeight="1">
      <c r="A3412" s="1" t="s">
        <v>1289</v>
      </c>
      <c r="B3412" s="1" t="str">
        <f t="shared" si="1"/>
        <v>10, 10, ZUBAT</v>
      </c>
    </row>
    <row r="3413" ht="12.75" customHeight="1">
      <c r="A3413" s="1" t="s">
        <v>1290</v>
      </c>
      <c r="B3413" s="1" t="str">
        <f t="shared" si="1"/>
        <v>+12, 12, ZUBAT</v>
      </c>
    </row>
    <row r="3414" ht="12.75" customHeight="1">
      <c r="A3414" s="2"/>
      <c r="B3414" s="1" t="str">
        <f t="shared" si="1"/>
        <v/>
      </c>
    </row>
    <row r="3415" ht="12.75" customHeight="1">
      <c r="A3415" s="1" t="s">
        <v>360</v>
      </c>
      <c r="B3415" s="1" t="str">
        <f t="shared" si="1"/>
        <v># 10%</v>
      </c>
    </row>
    <row r="3416" ht="12.75" customHeight="1">
      <c r="A3416" s="1" t="s">
        <v>1291</v>
      </c>
      <c r="B3416" s="1" t="str">
        <f t="shared" si="1"/>
        <v>+8, 8, ZUBAT</v>
      </c>
    </row>
    <row r="3417" ht="12.75" customHeight="1">
      <c r="A3417" s="1" t="s">
        <v>1292</v>
      </c>
      <c r="B3417" s="1" t="str">
        <f t="shared" si="1"/>
        <v>+14, 14, ZUBAT</v>
      </c>
    </row>
    <row r="3418" ht="12.75" customHeight="1">
      <c r="A3418" s="1" t="s">
        <v>1293</v>
      </c>
      <c r="B3418" s="1" t="str">
        <f t="shared" si="1"/>
        <v>+10, 10, ZUBAT</v>
      </c>
    </row>
    <row r="3419" ht="12.75" customHeight="1">
      <c r="A3419" s="1" t="s">
        <v>1290</v>
      </c>
      <c r="B3419" s="1" t="str">
        <f t="shared" si="1"/>
        <v>+12, 12, ZUBAT</v>
      </c>
    </row>
    <row r="3420" ht="12.75" customHeight="1">
      <c r="A3420" s="2"/>
      <c r="B3420" s="1" t="str">
        <f t="shared" si="1"/>
        <v/>
      </c>
    </row>
    <row r="3421" ht="12.75" customHeight="1">
      <c r="A3421" s="1" t="s">
        <v>361</v>
      </c>
      <c r="B3421" s="1" t="str">
        <f t="shared" si="1"/>
        <v># 5%</v>
      </c>
    </row>
    <row r="3422" ht="12.75" customHeight="1">
      <c r="A3422" s="1" t="s">
        <v>1294</v>
      </c>
      <c r="B3422" s="1" t="str">
        <f t="shared" si="1"/>
        <v>+16, 16, ZUBAT</v>
      </c>
    </row>
    <row r="3423" ht="12.75" customHeight="1">
      <c r="A3423" s="1" t="s">
        <v>1295</v>
      </c>
      <c r="B3423" s="1" t="str">
        <f t="shared" si="1"/>
        <v>+6, 6, ZUBAT</v>
      </c>
    </row>
    <row r="3424" ht="12.75" customHeight="1">
      <c r="A3424" s="2"/>
      <c r="B3424" s="1" t="str">
        <f t="shared" si="1"/>
        <v/>
      </c>
    </row>
    <row r="3425" ht="12.75" customHeight="1">
      <c r="A3425" s="1" t="s">
        <v>362</v>
      </c>
      <c r="B3425" s="1" t="str">
        <f t="shared" si="1"/>
        <v># 4%</v>
      </c>
    </row>
    <row r="3426" ht="12.75" customHeight="1">
      <c r="A3426" s="1" t="s">
        <v>1291</v>
      </c>
      <c r="B3426" s="1" t="str">
        <f t="shared" si="1"/>
        <v>+8, 8, ZUBAT</v>
      </c>
    </row>
    <row r="3427" ht="12.75" customHeight="1">
      <c r="A3427" s="1" t="s">
        <v>1292</v>
      </c>
      <c r="B3427" s="1" t="str">
        <f t="shared" si="1"/>
        <v>+14, 14, ZUBAT</v>
      </c>
    </row>
    <row r="3428" ht="12.75" customHeight="1">
      <c r="A3428" s="2"/>
      <c r="B3428" s="1" t="str">
        <f t="shared" si="1"/>
        <v/>
      </c>
    </row>
    <row r="3429" ht="12.75" customHeight="1">
      <c r="A3429" s="1" t="s">
        <v>363</v>
      </c>
      <c r="B3429" s="1" t="str">
        <f t="shared" si="1"/>
        <v># 1%</v>
      </c>
    </row>
    <row r="3430" ht="12.75" customHeight="1">
      <c r="A3430" s="1" t="s">
        <v>1291</v>
      </c>
      <c r="B3430" s="1" t="str">
        <f t="shared" si="1"/>
        <v>+8, 8, ZUBAT</v>
      </c>
    </row>
    <row r="3431" ht="12.75" customHeight="1">
      <c r="A3431" s="1" t="s">
        <v>2788</v>
      </c>
      <c r="B3431" s="1" t="str">
        <f t="shared" si="1"/>
        <v>+14, 14, ZUBAT , &lt;null&gt;, &lt;null&gt;, &lt;null&gt;</v>
      </c>
    </row>
    <row r="3432" ht="12.75" customHeight="1">
      <c r="A3432" s="2"/>
      <c r="B3432" s="1" t="str">
        <f t="shared" si="1"/>
        <v/>
      </c>
    </row>
    <row r="3433" ht="12.75" customHeight="1">
      <c r="A3433" s="1" t="s">
        <v>2539</v>
      </c>
      <c r="B3433" s="1" t="str">
        <f t="shared" si="1"/>
        <v>NEW ROUTE</v>
      </c>
    </row>
    <row r="3434" ht="12.75" customHeight="1">
      <c r="A3434" s="1" t="s">
        <v>2787</v>
      </c>
      <c r="B3434" s="1" t="str">
        <f t="shared" si="1"/>
        <v>+1, 122, 0,</v>
      </c>
    </row>
    <row r="3435" ht="12.75" customHeight="1">
      <c r="A3435" s="1" t="s">
        <v>2541</v>
      </c>
      <c r="B3435" s="1" t="str">
        <f t="shared" si="1"/>
        <v>7, # 20%</v>
      </c>
    </row>
    <row r="3436" ht="12.75" customHeight="1">
      <c r="A3436" s="1" t="s">
        <v>1297</v>
      </c>
      <c r="B3436" s="1" t="str">
        <f t="shared" si="1"/>
        <v>7, 7, MAREEP</v>
      </c>
    </row>
    <row r="3437" ht="12.75" customHeight="1">
      <c r="A3437" s="1" t="s">
        <v>1298</v>
      </c>
      <c r="B3437" s="1" t="str">
        <f t="shared" si="1"/>
        <v>+9, 9, MAREEP</v>
      </c>
    </row>
    <row r="3438" ht="12.75" customHeight="1">
      <c r="A3438" s="2"/>
      <c r="B3438" s="1" t="str">
        <f t="shared" si="1"/>
        <v/>
      </c>
    </row>
    <row r="3439" ht="12.75" customHeight="1">
      <c r="A3439" s="1" t="s">
        <v>360</v>
      </c>
      <c r="B3439" s="1" t="str">
        <f t="shared" si="1"/>
        <v># 10%</v>
      </c>
    </row>
    <row r="3440" ht="12.75" customHeight="1">
      <c r="A3440" s="1" t="s">
        <v>1299</v>
      </c>
      <c r="B3440" s="1" t="str">
        <f t="shared" si="1"/>
        <v>+5, 5, MAREEP</v>
      </c>
    </row>
    <row r="3441" ht="12.75" customHeight="1">
      <c r="A3441" s="1" t="s">
        <v>1300</v>
      </c>
      <c r="B3441" s="1" t="str">
        <f t="shared" si="1"/>
        <v>+11, 11, MAREEP</v>
      </c>
    </row>
    <row r="3442" ht="12.75" customHeight="1">
      <c r="A3442" s="1" t="s">
        <v>1301</v>
      </c>
      <c r="B3442" s="1" t="str">
        <f t="shared" si="1"/>
        <v>+7, 7, MAREEP</v>
      </c>
    </row>
    <row r="3443" ht="12.75" customHeight="1">
      <c r="A3443" s="1" t="s">
        <v>1298</v>
      </c>
      <c r="B3443" s="1" t="str">
        <f t="shared" si="1"/>
        <v>+9, 9, MAREEP</v>
      </c>
    </row>
    <row r="3444" ht="12.75" customHeight="1">
      <c r="A3444" s="2"/>
      <c r="B3444" s="1" t="str">
        <f t="shared" si="1"/>
        <v/>
      </c>
    </row>
    <row r="3445" ht="12.75" customHeight="1">
      <c r="A3445" s="1" t="s">
        <v>361</v>
      </c>
      <c r="B3445" s="1" t="str">
        <f t="shared" si="1"/>
        <v># 5%</v>
      </c>
    </row>
    <row r="3446" ht="12.75" customHeight="1">
      <c r="A3446" s="1" t="s">
        <v>1302</v>
      </c>
      <c r="B3446" s="1" t="str">
        <f t="shared" si="1"/>
        <v>+13, 13, MAREEP</v>
      </c>
    </row>
    <row r="3447" ht="12.75" customHeight="1">
      <c r="A3447" s="1" t="s">
        <v>1303</v>
      </c>
      <c r="B3447" s="1" t="str">
        <f t="shared" si="1"/>
        <v>+3, 3, MAREEP</v>
      </c>
    </row>
    <row r="3448" ht="12.75" customHeight="1">
      <c r="A3448" s="2"/>
      <c r="B3448" s="1" t="str">
        <f t="shared" si="1"/>
        <v/>
      </c>
    </row>
    <row r="3449" ht="12.75" customHeight="1">
      <c r="A3449" s="1" t="s">
        <v>362</v>
      </c>
      <c r="B3449" s="1" t="str">
        <f t="shared" si="1"/>
        <v># 4%</v>
      </c>
    </row>
    <row r="3450" ht="12.75" customHeight="1">
      <c r="A3450" s="1" t="s">
        <v>1299</v>
      </c>
      <c r="B3450" s="1" t="str">
        <f t="shared" si="1"/>
        <v>+5, 5, MAREEP</v>
      </c>
    </row>
    <row r="3451" ht="12.75" customHeight="1">
      <c r="A3451" s="1" t="s">
        <v>1300</v>
      </c>
      <c r="B3451" s="1" t="str">
        <f t="shared" si="1"/>
        <v>+11, 11, MAREEP</v>
      </c>
    </row>
    <row r="3452" ht="12.75" customHeight="1">
      <c r="A3452" s="2"/>
      <c r="B3452" s="1" t="str">
        <f t="shared" si="1"/>
        <v/>
      </c>
    </row>
    <row r="3453" ht="12.75" customHeight="1">
      <c r="A3453" s="1" t="s">
        <v>363</v>
      </c>
      <c r="B3453" s="1" t="str">
        <f t="shared" si="1"/>
        <v># 1%</v>
      </c>
    </row>
    <row r="3454" ht="12.75" customHeight="1">
      <c r="A3454" s="1" t="s">
        <v>1299</v>
      </c>
      <c r="B3454" s="1" t="str">
        <f t="shared" si="1"/>
        <v>+5, 5, MAREEP</v>
      </c>
    </row>
    <row r="3455" ht="12.75" customHeight="1">
      <c r="A3455" s="1" t="s">
        <v>2789</v>
      </c>
      <c r="B3455" s="1" t="str">
        <f t="shared" si="1"/>
        <v>+11, 11, MAREEP , &lt;null&gt;, &lt;null&gt;, &lt;null&gt;</v>
      </c>
    </row>
    <row r="3456" ht="12.75" customHeight="1">
      <c r="A3456" s="2"/>
      <c r="B3456" s="1" t="str">
        <f t="shared" si="1"/>
        <v/>
      </c>
    </row>
    <row r="3457" ht="12.75" customHeight="1">
      <c r="A3457" s="1" t="s">
        <v>2539</v>
      </c>
      <c r="B3457" s="1" t="str">
        <f t="shared" si="1"/>
        <v>NEW ROUTE</v>
      </c>
    </row>
    <row r="3458" ht="12.75" customHeight="1">
      <c r="A3458" s="1" t="s">
        <v>2787</v>
      </c>
      <c r="B3458" s="1" t="str">
        <f t="shared" si="1"/>
        <v>+1, 122, 0,</v>
      </c>
    </row>
    <row r="3459" ht="12.75" customHeight="1">
      <c r="A3459" s="1" t="s">
        <v>2541</v>
      </c>
      <c r="B3459" s="1" t="str">
        <f t="shared" si="1"/>
        <v>7, # 20%</v>
      </c>
    </row>
    <row r="3460" ht="12.75" customHeight="1">
      <c r="A3460" s="1" t="s">
        <v>1305</v>
      </c>
      <c r="B3460" s="1" t="str">
        <f t="shared" si="1"/>
        <v>23, 23, PINECO</v>
      </c>
    </row>
    <row r="3461" ht="12.75" customHeight="1">
      <c r="A3461" s="1" t="s">
        <v>1306</v>
      </c>
      <c r="B3461" s="1" t="str">
        <f t="shared" si="1"/>
        <v>+25, 25, PINECO</v>
      </c>
    </row>
    <row r="3462" ht="12.75" customHeight="1">
      <c r="A3462" s="2"/>
      <c r="B3462" s="1" t="str">
        <f t="shared" si="1"/>
        <v/>
      </c>
    </row>
    <row r="3463" ht="12.75" customHeight="1">
      <c r="A3463" s="1" t="s">
        <v>360</v>
      </c>
      <c r="B3463" s="1" t="str">
        <f t="shared" si="1"/>
        <v># 10%</v>
      </c>
    </row>
    <row r="3464" ht="12.75" customHeight="1">
      <c r="A3464" s="1" t="s">
        <v>1307</v>
      </c>
      <c r="B3464" s="1" t="str">
        <f t="shared" si="1"/>
        <v>+22, 22, PINECO</v>
      </c>
    </row>
    <row r="3465" ht="12.75" customHeight="1">
      <c r="A3465" s="1" t="s">
        <v>1308</v>
      </c>
      <c r="B3465" s="1" t="str">
        <f t="shared" si="1"/>
        <v>+27, 27, PINECO</v>
      </c>
    </row>
    <row r="3466" ht="12.75" customHeight="1">
      <c r="A3466" s="1" t="s">
        <v>1309</v>
      </c>
      <c r="B3466" s="1" t="str">
        <f t="shared" si="1"/>
        <v>+23, 23, PINECO</v>
      </c>
    </row>
    <row r="3467" ht="12.75" customHeight="1">
      <c r="A3467" s="1" t="s">
        <v>1306</v>
      </c>
      <c r="B3467" s="1" t="str">
        <f t="shared" si="1"/>
        <v>+25, 25, PINECO</v>
      </c>
    </row>
    <row r="3468" ht="12.75" customHeight="1">
      <c r="A3468" s="2"/>
      <c r="B3468" s="1" t="str">
        <f t="shared" si="1"/>
        <v/>
      </c>
    </row>
    <row r="3469" ht="12.75" customHeight="1">
      <c r="A3469" s="1" t="s">
        <v>361</v>
      </c>
      <c r="B3469" s="1" t="str">
        <f t="shared" si="1"/>
        <v># 5%</v>
      </c>
    </row>
    <row r="3470" ht="12.75" customHeight="1">
      <c r="A3470" s="1" t="s">
        <v>1310</v>
      </c>
      <c r="B3470" s="1" t="str">
        <f t="shared" si="1"/>
        <v>+29, 29, PINECO</v>
      </c>
    </row>
    <row r="3471" ht="12.75" customHeight="1">
      <c r="A3471" s="1" t="s">
        <v>1311</v>
      </c>
      <c r="B3471" s="1" t="str">
        <f t="shared" si="1"/>
        <v>+19, 19, PINECO</v>
      </c>
    </row>
    <row r="3472" ht="12.75" customHeight="1">
      <c r="A3472" s="2"/>
      <c r="B3472" s="1" t="str">
        <f t="shared" si="1"/>
        <v/>
      </c>
    </row>
    <row r="3473" ht="12.75" customHeight="1">
      <c r="A3473" s="1" t="s">
        <v>362</v>
      </c>
      <c r="B3473" s="1" t="str">
        <f t="shared" si="1"/>
        <v># 4%</v>
      </c>
    </row>
    <row r="3474" ht="12.75" customHeight="1">
      <c r="A3474" s="1" t="s">
        <v>1312</v>
      </c>
      <c r="B3474" s="1" t="str">
        <f t="shared" si="1"/>
        <v>+21, 21, PINECO</v>
      </c>
    </row>
    <row r="3475" ht="12.75" customHeight="1">
      <c r="A3475" s="1" t="s">
        <v>1308</v>
      </c>
      <c r="B3475" s="1" t="str">
        <f t="shared" si="1"/>
        <v>+27, 27, PINECO</v>
      </c>
    </row>
    <row r="3476" ht="12.75" customHeight="1">
      <c r="A3476" s="2"/>
      <c r="B3476" s="1" t="str">
        <f t="shared" si="1"/>
        <v/>
      </c>
    </row>
    <row r="3477" ht="12.75" customHeight="1">
      <c r="A3477" s="1" t="s">
        <v>363</v>
      </c>
      <c r="B3477" s="1" t="str">
        <f t="shared" si="1"/>
        <v># 1%</v>
      </c>
    </row>
    <row r="3478" ht="12.75" customHeight="1">
      <c r="A3478" s="1" t="s">
        <v>1312</v>
      </c>
      <c r="B3478" s="1" t="str">
        <f t="shared" si="1"/>
        <v>+21, 21, PINECO</v>
      </c>
    </row>
    <row r="3479" ht="12.75" customHeight="1">
      <c r="A3479" s="1" t="s">
        <v>2790</v>
      </c>
      <c r="B3479" s="1" t="str">
        <f t="shared" si="1"/>
        <v>+27, 27, PINECO , &lt;null&gt;, &lt;null&gt;, &lt;null&gt;</v>
      </c>
    </row>
    <row r="3480" ht="12.75" customHeight="1">
      <c r="A3480" s="2"/>
      <c r="B3480" s="1" t="str">
        <f t="shared" si="1"/>
        <v/>
      </c>
    </row>
    <row r="3481" ht="12.75" customHeight="1">
      <c r="A3481" s="1" t="s">
        <v>2539</v>
      </c>
      <c r="B3481" s="1" t="str">
        <f t="shared" si="1"/>
        <v>NEW ROUTE</v>
      </c>
    </row>
    <row r="3482" ht="12.75" customHeight="1">
      <c r="A3482" s="1" t="s">
        <v>2787</v>
      </c>
      <c r="B3482" s="1" t="str">
        <f t="shared" si="1"/>
        <v>+1, 122, 0,</v>
      </c>
    </row>
    <row r="3483" ht="12.75" customHeight="1">
      <c r="A3483" s="1" t="s">
        <v>2541</v>
      </c>
      <c r="B3483" s="1" t="str">
        <f t="shared" si="1"/>
        <v>7, # 20%</v>
      </c>
    </row>
    <row r="3484" ht="12.75" customHeight="1">
      <c r="A3484" s="1" t="s">
        <v>1314</v>
      </c>
      <c r="B3484" s="1" t="str">
        <f t="shared" si="1"/>
        <v>16, 16, HOUNDOUR</v>
      </c>
    </row>
    <row r="3485" ht="12.75" customHeight="1">
      <c r="A3485" s="1" t="s">
        <v>1315</v>
      </c>
      <c r="B3485" s="1" t="str">
        <f t="shared" si="1"/>
        <v>+18, 18, HOUNDOUR</v>
      </c>
    </row>
    <row r="3486" ht="12.75" customHeight="1">
      <c r="A3486" s="2"/>
      <c r="B3486" s="1" t="str">
        <f t="shared" si="1"/>
        <v/>
      </c>
    </row>
    <row r="3487" ht="12.75" customHeight="1">
      <c r="A3487" s="1" t="s">
        <v>360</v>
      </c>
      <c r="B3487" s="1" t="str">
        <f t="shared" si="1"/>
        <v># 10%</v>
      </c>
    </row>
    <row r="3488" ht="12.75" customHeight="1">
      <c r="A3488" s="1" t="s">
        <v>1316</v>
      </c>
      <c r="B3488" s="1" t="str">
        <f t="shared" si="1"/>
        <v>+14, 14, HOUNDOUR</v>
      </c>
    </row>
    <row r="3489" ht="12.75" customHeight="1">
      <c r="A3489" s="1" t="s">
        <v>1317</v>
      </c>
      <c r="B3489" s="1" t="str">
        <f t="shared" si="1"/>
        <v>+20, 20, HOUNDOUR</v>
      </c>
    </row>
    <row r="3490" ht="12.75" customHeight="1">
      <c r="A3490" s="1" t="s">
        <v>1318</v>
      </c>
      <c r="B3490" s="1" t="str">
        <f t="shared" si="1"/>
        <v>+16, 16, HOUNDOUR</v>
      </c>
    </row>
    <row r="3491" ht="12.75" customHeight="1">
      <c r="A3491" s="1" t="s">
        <v>1315</v>
      </c>
      <c r="B3491" s="1" t="str">
        <f t="shared" si="1"/>
        <v>+18, 18, HOUNDOUR</v>
      </c>
    </row>
    <row r="3492" ht="12.75" customHeight="1">
      <c r="A3492" s="2"/>
      <c r="B3492" s="1" t="str">
        <f t="shared" si="1"/>
        <v/>
      </c>
    </row>
    <row r="3493" ht="12.75" customHeight="1">
      <c r="A3493" s="1" t="s">
        <v>361</v>
      </c>
      <c r="B3493" s="1" t="str">
        <f t="shared" si="1"/>
        <v># 5%</v>
      </c>
    </row>
    <row r="3494" ht="12.75" customHeight="1">
      <c r="A3494" s="1" t="s">
        <v>1319</v>
      </c>
      <c r="B3494" s="1" t="str">
        <f t="shared" si="1"/>
        <v>+22, 22, HOUNDOUR</v>
      </c>
    </row>
    <row r="3495" ht="12.75" customHeight="1">
      <c r="A3495" s="1" t="s">
        <v>1320</v>
      </c>
      <c r="B3495" s="1" t="str">
        <f t="shared" si="1"/>
        <v>+12, 12, HOUNDOUR</v>
      </c>
    </row>
    <row r="3496" ht="12.75" customHeight="1">
      <c r="A3496" s="2"/>
      <c r="B3496" s="1" t="str">
        <f t="shared" si="1"/>
        <v/>
      </c>
    </row>
    <row r="3497" ht="12.75" customHeight="1">
      <c r="A3497" s="1" t="s">
        <v>362</v>
      </c>
      <c r="B3497" s="1" t="str">
        <f t="shared" si="1"/>
        <v># 4%</v>
      </c>
    </row>
    <row r="3498" ht="12.75" customHeight="1">
      <c r="A3498" s="1" t="s">
        <v>1316</v>
      </c>
      <c r="B3498" s="1" t="str">
        <f t="shared" si="1"/>
        <v>+14, 14, HOUNDOUR</v>
      </c>
    </row>
    <row r="3499" ht="12.75" customHeight="1">
      <c r="A3499" s="1" t="s">
        <v>1317</v>
      </c>
      <c r="B3499" s="1" t="str">
        <f t="shared" si="1"/>
        <v>+20, 20, HOUNDOUR</v>
      </c>
    </row>
    <row r="3500" ht="12.75" customHeight="1">
      <c r="A3500" s="2"/>
      <c r="B3500" s="1" t="str">
        <f t="shared" si="1"/>
        <v/>
      </c>
    </row>
    <row r="3501" ht="12.75" customHeight="1">
      <c r="A3501" s="1" t="s">
        <v>363</v>
      </c>
      <c r="B3501" s="1" t="str">
        <f t="shared" si="1"/>
        <v># 1%</v>
      </c>
    </row>
    <row r="3502" ht="12.75" customHeight="1">
      <c r="A3502" s="1" t="s">
        <v>1316</v>
      </c>
      <c r="B3502" s="1" t="str">
        <f t="shared" si="1"/>
        <v>+14, 14, HOUNDOUR</v>
      </c>
    </row>
    <row r="3503" ht="12.75" customHeight="1">
      <c r="A3503" s="1" t="s">
        <v>2791</v>
      </c>
      <c r="B3503" s="1" t="str">
        <f t="shared" si="1"/>
        <v>+20, 20, HOUNDOUR , &lt;null&gt;, &lt;null&gt;, &lt;null&gt;</v>
      </c>
    </row>
    <row r="3504" ht="12.75" customHeight="1">
      <c r="A3504" s="2"/>
      <c r="B3504" s="1" t="str">
        <f t="shared" si="1"/>
        <v/>
      </c>
    </row>
    <row r="3505" ht="12.75" customHeight="1">
      <c r="A3505" s="1" t="s">
        <v>2539</v>
      </c>
      <c r="B3505" s="1" t="str">
        <f t="shared" si="1"/>
        <v>NEW ROUTE</v>
      </c>
    </row>
    <row r="3506" ht="12.75" customHeight="1">
      <c r="A3506" s="1" t="s">
        <v>2787</v>
      </c>
      <c r="B3506" s="1" t="str">
        <f t="shared" si="1"/>
        <v>+1, 122, 0,</v>
      </c>
    </row>
    <row r="3507" ht="12.75" customHeight="1">
      <c r="A3507" s="1" t="s">
        <v>2541</v>
      </c>
      <c r="B3507" s="1" t="str">
        <f t="shared" si="1"/>
        <v>7, # 20%</v>
      </c>
    </row>
    <row r="3508" ht="12.75" customHeight="1">
      <c r="A3508" s="1" t="s">
        <v>1322</v>
      </c>
      <c r="B3508" s="1" t="str">
        <f t="shared" si="1"/>
        <v>22, 22, TEDDIURSA</v>
      </c>
    </row>
    <row r="3509" ht="12.75" customHeight="1">
      <c r="A3509" s="1" t="s">
        <v>1323</v>
      </c>
      <c r="B3509" s="1" t="str">
        <f t="shared" si="1"/>
        <v>+24, 24, TEDDIURSA</v>
      </c>
    </row>
    <row r="3510" ht="12.75" customHeight="1">
      <c r="A3510" s="2"/>
      <c r="B3510" s="1" t="str">
        <f t="shared" si="1"/>
        <v/>
      </c>
    </row>
    <row r="3511" ht="12.75" customHeight="1">
      <c r="A3511" s="1" t="s">
        <v>360</v>
      </c>
      <c r="B3511" s="1" t="str">
        <f t="shared" si="1"/>
        <v># 10%</v>
      </c>
    </row>
    <row r="3512" ht="12.75" customHeight="1">
      <c r="A3512" s="1" t="s">
        <v>1324</v>
      </c>
      <c r="B3512" s="1" t="str">
        <f t="shared" si="1"/>
        <v>+20, 20, TEDDIURSA</v>
      </c>
    </row>
    <row r="3513" ht="12.75" customHeight="1">
      <c r="A3513" s="1" t="s">
        <v>1325</v>
      </c>
      <c r="B3513" s="1" t="str">
        <f t="shared" si="1"/>
        <v>+26, 26, TEDDIURSA</v>
      </c>
    </row>
    <row r="3514" ht="12.75" customHeight="1">
      <c r="A3514" s="1" t="s">
        <v>1326</v>
      </c>
      <c r="B3514" s="1" t="str">
        <f t="shared" si="1"/>
        <v>+22, 22, TEDDIURSA</v>
      </c>
    </row>
    <row r="3515" ht="12.75" customHeight="1">
      <c r="A3515" s="1" t="s">
        <v>1323</v>
      </c>
      <c r="B3515" s="1" t="str">
        <f t="shared" si="1"/>
        <v>+24, 24, TEDDIURSA</v>
      </c>
    </row>
    <row r="3516" ht="12.75" customHeight="1">
      <c r="A3516" s="2"/>
      <c r="B3516" s="1" t="str">
        <f t="shared" si="1"/>
        <v/>
      </c>
    </row>
    <row r="3517" ht="12.75" customHeight="1">
      <c r="A3517" s="1" t="s">
        <v>361</v>
      </c>
      <c r="B3517" s="1" t="str">
        <f t="shared" si="1"/>
        <v># 5%</v>
      </c>
    </row>
    <row r="3518" ht="12.75" customHeight="1">
      <c r="A3518" s="1" t="s">
        <v>1327</v>
      </c>
      <c r="B3518" s="1" t="str">
        <f t="shared" si="1"/>
        <v>+28, 28, TEDDIURSA</v>
      </c>
    </row>
    <row r="3519" ht="12.75" customHeight="1">
      <c r="A3519" s="1" t="s">
        <v>1328</v>
      </c>
      <c r="B3519" s="1" t="str">
        <f t="shared" si="1"/>
        <v>+18, 18, TEDDIURSA</v>
      </c>
    </row>
    <row r="3520" ht="12.75" customHeight="1">
      <c r="A3520" s="2"/>
      <c r="B3520" s="1" t="str">
        <f t="shared" si="1"/>
        <v/>
      </c>
    </row>
    <row r="3521" ht="12.75" customHeight="1">
      <c r="A3521" s="1" t="s">
        <v>362</v>
      </c>
      <c r="B3521" s="1" t="str">
        <f t="shared" si="1"/>
        <v># 4%</v>
      </c>
    </row>
    <row r="3522" ht="12.75" customHeight="1">
      <c r="A3522" s="1" t="s">
        <v>1324</v>
      </c>
      <c r="B3522" s="1" t="str">
        <f t="shared" si="1"/>
        <v>+20, 20, TEDDIURSA</v>
      </c>
    </row>
    <row r="3523" ht="12.75" customHeight="1">
      <c r="A3523" s="1" t="s">
        <v>1325</v>
      </c>
      <c r="B3523" s="1" t="str">
        <f t="shared" si="1"/>
        <v>+26, 26, TEDDIURSA</v>
      </c>
    </row>
    <row r="3524" ht="12.75" customHeight="1">
      <c r="A3524" s="2"/>
      <c r="B3524" s="1" t="str">
        <f t="shared" si="1"/>
        <v/>
      </c>
    </row>
    <row r="3525" ht="12.75" customHeight="1">
      <c r="A3525" s="1" t="s">
        <v>363</v>
      </c>
      <c r="B3525" s="1" t="str">
        <f t="shared" si="1"/>
        <v># 1%</v>
      </c>
    </row>
    <row r="3526" ht="12.75" customHeight="1">
      <c r="A3526" s="1" t="s">
        <v>1324</v>
      </c>
      <c r="B3526" s="1" t="str">
        <f t="shared" si="1"/>
        <v>+20, 20, TEDDIURSA</v>
      </c>
    </row>
    <row r="3527" ht="12.75" customHeight="1">
      <c r="A3527" s="1" t="s">
        <v>2792</v>
      </c>
      <c r="B3527" s="1" t="str">
        <f t="shared" si="1"/>
        <v>+26, 26, TEDDIURSA , &lt;null&gt;, &lt;null&gt;, &lt;null&gt;</v>
      </c>
    </row>
    <row r="3528" ht="12.75" customHeight="1">
      <c r="A3528" s="2"/>
      <c r="B3528" s="1" t="str">
        <f t="shared" si="1"/>
        <v/>
      </c>
    </row>
    <row r="3529" ht="12.75" customHeight="1">
      <c r="A3529" s="1" t="s">
        <v>2539</v>
      </c>
      <c r="B3529" s="1" t="str">
        <f t="shared" si="1"/>
        <v>NEW ROUTE</v>
      </c>
    </row>
    <row r="3530" ht="12.75" customHeight="1">
      <c r="A3530" s="1" t="s">
        <v>2787</v>
      </c>
      <c r="B3530" s="1" t="str">
        <f t="shared" si="1"/>
        <v>+1, 122, 0,</v>
      </c>
    </row>
    <row r="3531" ht="12.75" customHeight="1">
      <c r="A3531" s="1" t="s">
        <v>2541</v>
      </c>
      <c r="B3531" s="1" t="str">
        <f t="shared" si="1"/>
        <v>7, # 20%</v>
      </c>
    </row>
    <row r="3532" ht="12.75" customHeight="1">
      <c r="A3532" s="1" t="s">
        <v>1330</v>
      </c>
      <c r="B3532" s="1" t="str">
        <f t="shared" si="1"/>
        <v>22, 22, AIPOM</v>
      </c>
    </row>
    <row r="3533" ht="12.75" customHeight="1">
      <c r="A3533" s="1" t="s">
        <v>1331</v>
      </c>
      <c r="B3533" s="1" t="str">
        <f t="shared" si="1"/>
        <v>+24, 24, AIPOM</v>
      </c>
    </row>
    <row r="3534" ht="12.75" customHeight="1">
      <c r="A3534" s="2"/>
      <c r="B3534" s="1" t="str">
        <f t="shared" si="1"/>
        <v/>
      </c>
    </row>
    <row r="3535" ht="12.75" customHeight="1">
      <c r="A3535" s="1" t="s">
        <v>360</v>
      </c>
      <c r="B3535" s="1" t="str">
        <f t="shared" si="1"/>
        <v># 10%</v>
      </c>
    </row>
    <row r="3536" ht="12.75" customHeight="1">
      <c r="A3536" s="1" t="s">
        <v>1332</v>
      </c>
      <c r="B3536" s="1" t="str">
        <f t="shared" si="1"/>
        <v>+20, 20, AIPOM</v>
      </c>
    </row>
    <row r="3537" ht="12.75" customHeight="1">
      <c r="A3537" s="1" t="s">
        <v>1333</v>
      </c>
      <c r="B3537" s="1" t="str">
        <f t="shared" si="1"/>
        <v>+26, 26, AIPOM</v>
      </c>
    </row>
    <row r="3538" ht="12.75" customHeight="1">
      <c r="A3538" s="1" t="s">
        <v>1334</v>
      </c>
      <c r="B3538" s="1" t="str">
        <f t="shared" si="1"/>
        <v>+22, 22, AIPOM</v>
      </c>
    </row>
    <row r="3539" ht="12.75" customHeight="1">
      <c r="A3539" s="1" t="s">
        <v>1331</v>
      </c>
      <c r="B3539" s="1" t="str">
        <f t="shared" si="1"/>
        <v>+24, 24, AIPOM</v>
      </c>
    </row>
    <row r="3540" ht="12.75" customHeight="1">
      <c r="A3540" s="2"/>
      <c r="B3540" s="1" t="str">
        <f t="shared" si="1"/>
        <v/>
      </c>
    </row>
    <row r="3541" ht="12.75" customHeight="1">
      <c r="A3541" s="1" t="s">
        <v>361</v>
      </c>
      <c r="B3541" s="1" t="str">
        <f t="shared" si="1"/>
        <v># 5%</v>
      </c>
    </row>
    <row r="3542" ht="12.75" customHeight="1">
      <c r="A3542" s="1" t="s">
        <v>1335</v>
      </c>
      <c r="B3542" s="1" t="str">
        <f t="shared" si="1"/>
        <v>+28, 28, AIPOM</v>
      </c>
    </row>
    <row r="3543" ht="12.75" customHeight="1">
      <c r="A3543" s="1" t="s">
        <v>1336</v>
      </c>
      <c r="B3543" s="1" t="str">
        <f t="shared" si="1"/>
        <v>+18, 18, AIPOM</v>
      </c>
    </row>
    <row r="3544" ht="12.75" customHeight="1">
      <c r="A3544" s="2"/>
      <c r="B3544" s="1" t="str">
        <f t="shared" si="1"/>
        <v/>
      </c>
    </row>
    <row r="3545" ht="12.75" customHeight="1">
      <c r="A3545" s="1" t="s">
        <v>362</v>
      </c>
      <c r="B3545" s="1" t="str">
        <f t="shared" si="1"/>
        <v># 4%</v>
      </c>
    </row>
    <row r="3546" ht="12.75" customHeight="1">
      <c r="A3546" s="1" t="s">
        <v>1332</v>
      </c>
      <c r="B3546" s="1" t="str">
        <f t="shared" si="1"/>
        <v>+20, 20, AIPOM</v>
      </c>
    </row>
    <row r="3547" ht="12.75" customHeight="1">
      <c r="A3547" s="1" t="s">
        <v>1333</v>
      </c>
      <c r="B3547" s="1" t="str">
        <f t="shared" si="1"/>
        <v>+26, 26, AIPOM</v>
      </c>
    </row>
    <row r="3548" ht="12.75" customHeight="1">
      <c r="A3548" s="2"/>
      <c r="B3548" s="1" t="str">
        <f t="shared" si="1"/>
        <v/>
      </c>
    </row>
    <row r="3549" ht="12.75" customHeight="1">
      <c r="A3549" s="1" t="s">
        <v>363</v>
      </c>
      <c r="B3549" s="1" t="str">
        <f t="shared" si="1"/>
        <v># 1%</v>
      </c>
    </row>
    <row r="3550" ht="12.75" customHeight="1">
      <c r="A3550" s="1" t="s">
        <v>1332</v>
      </c>
      <c r="B3550" s="1" t="str">
        <f t="shared" si="1"/>
        <v>+20, 20, AIPOM</v>
      </c>
    </row>
    <row r="3551" ht="12.75" customHeight="1">
      <c r="A3551" s="1" t="s">
        <v>2793</v>
      </c>
      <c r="B3551" s="1" t="str">
        <f t="shared" si="1"/>
        <v>+26, 26, AIPOM , &lt;null&gt;, &lt;null&gt;, &lt;null&gt;</v>
      </c>
    </row>
    <row r="3552" ht="12.75" customHeight="1">
      <c r="A3552" s="2"/>
      <c r="B3552" s="1" t="str">
        <f t="shared" si="1"/>
        <v/>
      </c>
    </row>
    <row r="3553" ht="12.75" customHeight="1">
      <c r="A3553" s="1" t="s">
        <v>2539</v>
      </c>
      <c r="B3553" s="1" t="str">
        <f t="shared" si="1"/>
        <v>NEW ROUTE</v>
      </c>
    </row>
    <row r="3554" ht="12.75" customHeight="1">
      <c r="A3554" s="1" t="s">
        <v>2787</v>
      </c>
      <c r="B3554" s="1" t="str">
        <f t="shared" si="1"/>
        <v>+1, 122, 0,</v>
      </c>
    </row>
    <row r="3555" ht="12.75" customHeight="1">
      <c r="A3555" s="1" t="s">
        <v>2541</v>
      </c>
      <c r="B3555" s="1" t="str">
        <f t="shared" si="1"/>
        <v>7, # 20%</v>
      </c>
    </row>
    <row r="3556" ht="12.75" customHeight="1">
      <c r="A3556" s="1" t="s">
        <v>1338</v>
      </c>
      <c r="B3556" s="1" t="str">
        <f t="shared" si="1"/>
        <v>22, 22, SHUCKLE</v>
      </c>
    </row>
    <row r="3557" ht="12.75" customHeight="1">
      <c r="A3557" s="1" t="s">
        <v>1339</v>
      </c>
      <c r="B3557" s="1" t="str">
        <f t="shared" si="1"/>
        <v>+24, 24, SHUCKLE</v>
      </c>
    </row>
    <row r="3558" ht="12.75" customHeight="1">
      <c r="A3558" s="2"/>
      <c r="B3558" s="1" t="str">
        <f t="shared" si="1"/>
        <v/>
      </c>
    </row>
    <row r="3559" ht="12.75" customHeight="1">
      <c r="A3559" s="1" t="s">
        <v>360</v>
      </c>
      <c r="B3559" s="1" t="str">
        <f t="shared" si="1"/>
        <v># 10%</v>
      </c>
    </row>
    <row r="3560" ht="12.75" customHeight="1">
      <c r="A3560" s="1" t="s">
        <v>1340</v>
      </c>
      <c r="B3560" s="1" t="str">
        <f t="shared" si="1"/>
        <v>+20, 20, SHUCKLE</v>
      </c>
    </row>
    <row r="3561" ht="12.75" customHeight="1">
      <c r="A3561" s="1" t="s">
        <v>1341</v>
      </c>
      <c r="B3561" s="1" t="str">
        <f t="shared" si="1"/>
        <v>+26, 26, SHUCKLE</v>
      </c>
    </row>
    <row r="3562" ht="12.75" customHeight="1">
      <c r="A3562" s="1" t="s">
        <v>1342</v>
      </c>
      <c r="B3562" s="1" t="str">
        <f t="shared" si="1"/>
        <v>+22, 22, SHUCKLE</v>
      </c>
    </row>
    <row r="3563" ht="12.75" customHeight="1">
      <c r="A3563" s="1" t="s">
        <v>1339</v>
      </c>
      <c r="B3563" s="1" t="str">
        <f t="shared" si="1"/>
        <v>+24, 24, SHUCKLE</v>
      </c>
    </row>
    <row r="3564" ht="12.75" customHeight="1">
      <c r="A3564" s="2"/>
      <c r="B3564" s="1" t="str">
        <f t="shared" si="1"/>
        <v/>
      </c>
    </row>
    <row r="3565" ht="12.75" customHeight="1">
      <c r="A3565" s="1" t="s">
        <v>361</v>
      </c>
      <c r="B3565" s="1" t="str">
        <f t="shared" si="1"/>
        <v># 5%</v>
      </c>
    </row>
    <row r="3566" ht="12.75" customHeight="1">
      <c r="A3566" s="1" t="s">
        <v>1343</v>
      </c>
      <c r="B3566" s="1" t="str">
        <f t="shared" si="1"/>
        <v>+28, 28, SHUCKLE</v>
      </c>
    </row>
    <row r="3567" ht="12.75" customHeight="1">
      <c r="A3567" s="1" t="s">
        <v>1344</v>
      </c>
      <c r="B3567" s="1" t="str">
        <f t="shared" si="1"/>
        <v>+18, 18, SHUCKLE</v>
      </c>
    </row>
    <row r="3568" ht="12.75" customHeight="1">
      <c r="A3568" s="2"/>
      <c r="B3568" s="1" t="str">
        <f t="shared" si="1"/>
        <v/>
      </c>
    </row>
    <row r="3569" ht="12.75" customHeight="1">
      <c r="A3569" s="1" t="s">
        <v>362</v>
      </c>
      <c r="B3569" s="1" t="str">
        <f t="shared" si="1"/>
        <v># 4%</v>
      </c>
    </row>
    <row r="3570" ht="12.75" customHeight="1">
      <c r="A3570" s="1" t="s">
        <v>1340</v>
      </c>
      <c r="B3570" s="1" t="str">
        <f t="shared" si="1"/>
        <v>+20, 20, SHUCKLE</v>
      </c>
    </row>
    <row r="3571" ht="12.75" customHeight="1">
      <c r="A3571" s="1" t="s">
        <v>1341</v>
      </c>
      <c r="B3571" s="1" t="str">
        <f t="shared" si="1"/>
        <v>+26, 26, SHUCKLE</v>
      </c>
    </row>
    <row r="3572" ht="12.75" customHeight="1">
      <c r="A3572" s="2"/>
      <c r="B3572" s="1" t="str">
        <f t="shared" si="1"/>
        <v/>
      </c>
    </row>
    <row r="3573" ht="12.75" customHeight="1">
      <c r="A3573" s="1" t="s">
        <v>363</v>
      </c>
      <c r="B3573" s="1" t="str">
        <f t="shared" si="1"/>
        <v># 1%</v>
      </c>
    </row>
    <row r="3574" ht="12.75" customHeight="1">
      <c r="A3574" s="1" t="s">
        <v>1340</v>
      </c>
      <c r="B3574" s="1" t="str">
        <f t="shared" si="1"/>
        <v>+20, 20, SHUCKLE</v>
      </c>
    </row>
    <row r="3575" ht="12.75" customHeight="1">
      <c r="A3575" s="1" t="s">
        <v>2794</v>
      </c>
      <c r="B3575" s="1" t="str">
        <f t="shared" si="1"/>
        <v>+26, 26, SHUCKLE , &lt;null&gt;, &lt;null&gt;, &lt;null&gt;</v>
      </c>
    </row>
    <row r="3576" ht="12.75" customHeight="1">
      <c r="B3576" s="1" t="str">
        <f t="shared" si="1"/>
        <v/>
      </c>
    </row>
    <row r="3577" ht="12.75" customHeight="1">
      <c r="A3577" s="1" t="s">
        <v>2539</v>
      </c>
      <c r="B3577" s="1" t="str">
        <f t="shared" si="1"/>
        <v>NEW ROUTE</v>
      </c>
    </row>
    <row r="3578" ht="12.75" customHeight="1">
      <c r="A3578" s="1" t="s">
        <v>2787</v>
      </c>
      <c r="B3578" s="1" t="str">
        <f t="shared" si="1"/>
        <v>+1, 122, 0,</v>
      </c>
    </row>
    <row r="3579" ht="12.75" customHeight="1">
      <c r="A3579" s="1" t="s">
        <v>2541</v>
      </c>
      <c r="B3579" s="1" t="str">
        <f t="shared" si="1"/>
        <v>7, # 20%</v>
      </c>
    </row>
    <row r="3580" ht="12.75" customHeight="1">
      <c r="A3580" s="1" t="s">
        <v>1346</v>
      </c>
      <c r="B3580" s="1" t="str">
        <f t="shared" si="1"/>
        <v>22, 22, STANTLER</v>
      </c>
    </row>
    <row r="3581" ht="12.75" customHeight="1">
      <c r="A3581" s="1" t="s">
        <v>1347</v>
      </c>
      <c r="B3581" s="1" t="str">
        <f t="shared" si="1"/>
        <v>+24, 24, STANTLER</v>
      </c>
    </row>
    <row r="3582" ht="12.75" customHeight="1">
      <c r="A3582" s="2"/>
      <c r="B3582" s="1" t="str">
        <f t="shared" si="1"/>
        <v/>
      </c>
    </row>
    <row r="3583" ht="12.75" customHeight="1">
      <c r="A3583" s="1" t="s">
        <v>360</v>
      </c>
      <c r="B3583" s="1" t="str">
        <f t="shared" si="1"/>
        <v># 10%</v>
      </c>
    </row>
    <row r="3584" ht="12.75" customHeight="1">
      <c r="A3584" s="1" t="s">
        <v>1348</v>
      </c>
      <c r="B3584" s="1" t="str">
        <f t="shared" si="1"/>
        <v>+20, 20, STANTLER</v>
      </c>
    </row>
    <row r="3585" ht="12.75" customHeight="1">
      <c r="A3585" s="1" t="s">
        <v>1349</v>
      </c>
      <c r="B3585" s="1" t="str">
        <f t="shared" si="1"/>
        <v>+26, 26, STANTLER</v>
      </c>
    </row>
    <row r="3586" ht="12.75" customHeight="1">
      <c r="A3586" s="1" t="s">
        <v>1350</v>
      </c>
      <c r="B3586" s="1" t="str">
        <f t="shared" si="1"/>
        <v>+22, 22, STANTLER</v>
      </c>
    </row>
    <row r="3587" ht="12.75" customHeight="1">
      <c r="A3587" s="1" t="s">
        <v>1347</v>
      </c>
      <c r="B3587" s="1" t="str">
        <f t="shared" si="1"/>
        <v>+24, 24, STANTLER</v>
      </c>
    </row>
    <row r="3588" ht="12.75" customHeight="1">
      <c r="A3588" s="2"/>
      <c r="B3588" s="1" t="str">
        <f t="shared" si="1"/>
        <v/>
      </c>
    </row>
    <row r="3589" ht="12.75" customHeight="1">
      <c r="A3589" s="1" t="s">
        <v>361</v>
      </c>
      <c r="B3589" s="1" t="str">
        <f t="shared" si="1"/>
        <v># 5%</v>
      </c>
    </row>
    <row r="3590" ht="12.75" customHeight="1">
      <c r="A3590" s="1" t="s">
        <v>1351</v>
      </c>
      <c r="B3590" s="1" t="str">
        <f t="shared" si="1"/>
        <v>+28, 28, STANTLER</v>
      </c>
    </row>
    <row r="3591" ht="12.75" customHeight="1">
      <c r="A3591" s="1" t="s">
        <v>1352</v>
      </c>
      <c r="B3591" s="1" t="str">
        <f t="shared" si="1"/>
        <v>+18, 18, STANTLER</v>
      </c>
    </row>
    <row r="3592" ht="12.75" customHeight="1">
      <c r="A3592" s="2"/>
      <c r="B3592" s="1" t="str">
        <f t="shared" si="1"/>
        <v/>
      </c>
    </row>
    <row r="3593" ht="12.75" customHeight="1">
      <c r="A3593" s="1" t="s">
        <v>362</v>
      </c>
      <c r="B3593" s="1" t="str">
        <f t="shared" si="1"/>
        <v># 4%</v>
      </c>
    </row>
    <row r="3594" ht="12.75" customHeight="1">
      <c r="A3594" s="1" t="s">
        <v>1348</v>
      </c>
      <c r="B3594" s="1" t="str">
        <f t="shared" si="1"/>
        <v>+20, 20, STANTLER</v>
      </c>
    </row>
    <row r="3595" ht="12.75" customHeight="1">
      <c r="A3595" s="1" t="s">
        <v>1349</v>
      </c>
      <c r="B3595" s="1" t="str">
        <f t="shared" si="1"/>
        <v>+26, 26, STANTLER</v>
      </c>
    </row>
    <row r="3596" ht="12.75" customHeight="1">
      <c r="A3596" s="2"/>
      <c r="B3596" s="1" t="str">
        <f t="shared" si="1"/>
        <v/>
      </c>
    </row>
    <row r="3597" ht="12.75" customHeight="1">
      <c r="A3597" s="1" t="s">
        <v>363</v>
      </c>
      <c r="B3597" s="1" t="str">
        <f t="shared" si="1"/>
        <v># 1%</v>
      </c>
    </row>
    <row r="3598" ht="12.75" customHeight="1">
      <c r="A3598" s="1" t="s">
        <v>1348</v>
      </c>
      <c r="B3598" s="1" t="str">
        <f t="shared" si="1"/>
        <v>+20, 20, STANTLER</v>
      </c>
    </row>
    <row r="3599" ht="12.75" customHeight="1">
      <c r="A3599" s="1" t="s">
        <v>2795</v>
      </c>
      <c r="B3599" s="1" t="str">
        <f t="shared" si="1"/>
        <v>+26, 26, STANTLER , &lt;null&gt;, &lt;null&gt;, &lt;null&gt;</v>
      </c>
    </row>
    <row r="3600" ht="12.75" customHeight="1">
      <c r="B3600" s="1" t="str">
        <f t="shared" si="1"/>
        <v/>
      </c>
    </row>
    <row r="3601" ht="12.75" customHeight="1">
      <c r="A3601" s="1" t="s">
        <v>2539</v>
      </c>
      <c r="B3601" s="1" t="str">
        <f t="shared" si="1"/>
        <v>NEW ROUTE</v>
      </c>
    </row>
    <row r="3602" ht="12.75" customHeight="1">
      <c r="A3602" s="1" t="s">
        <v>2787</v>
      </c>
      <c r="B3602" s="1" t="str">
        <f t="shared" si="1"/>
        <v>+1, 122, 0,</v>
      </c>
    </row>
    <row r="3603" ht="12.75" customHeight="1">
      <c r="A3603" s="1" t="s">
        <v>2541</v>
      </c>
      <c r="B3603" s="1" t="str">
        <f t="shared" si="1"/>
        <v>7, # 20%</v>
      </c>
    </row>
    <row r="3604" ht="12.75" customHeight="1">
      <c r="A3604" s="1" t="s">
        <v>1354</v>
      </c>
      <c r="B3604" s="1" t="str">
        <f t="shared" si="1"/>
        <v>22, 22, SMEARGLE</v>
      </c>
    </row>
    <row r="3605" ht="12.75" customHeight="1">
      <c r="A3605" s="1" t="s">
        <v>1355</v>
      </c>
      <c r="B3605" s="1" t="str">
        <f t="shared" si="1"/>
        <v>+24, 24, SMEARGLE</v>
      </c>
    </row>
    <row r="3606" ht="12.75" customHeight="1">
      <c r="A3606" s="2"/>
      <c r="B3606" s="1" t="str">
        <f t="shared" si="1"/>
        <v/>
      </c>
    </row>
    <row r="3607" ht="12.75" customHeight="1">
      <c r="A3607" s="1" t="s">
        <v>360</v>
      </c>
      <c r="B3607" s="1" t="str">
        <f t="shared" si="1"/>
        <v># 10%</v>
      </c>
    </row>
    <row r="3608" ht="12.75" customHeight="1">
      <c r="A3608" s="1" t="s">
        <v>1356</v>
      </c>
      <c r="B3608" s="1" t="str">
        <f t="shared" si="1"/>
        <v>+20, 20, SMEARGLE</v>
      </c>
    </row>
    <row r="3609" ht="12.75" customHeight="1">
      <c r="A3609" s="1" t="s">
        <v>1357</v>
      </c>
      <c r="B3609" s="1" t="str">
        <f t="shared" si="1"/>
        <v>+26, 26, SMEARGLE</v>
      </c>
    </row>
    <row r="3610" ht="12.75" customHeight="1">
      <c r="A3610" s="1" t="s">
        <v>1358</v>
      </c>
      <c r="B3610" s="1" t="str">
        <f t="shared" si="1"/>
        <v>+22, 22, SMEARGLE</v>
      </c>
    </row>
    <row r="3611" ht="12.75" customHeight="1">
      <c r="A3611" s="1" t="s">
        <v>1355</v>
      </c>
      <c r="B3611" s="1" t="str">
        <f t="shared" si="1"/>
        <v>+24, 24, SMEARGLE</v>
      </c>
    </row>
    <row r="3612" ht="12.75" customHeight="1">
      <c r="A3612" s="2"/>
      <c r="B3612" s="1" t="str">
        <f t="shared" si="1"/>
        <v/>
      </c>
    </row>
    <row r="3613" ht="12.75" customHeight="1">
      <c r="A3613" s="1" t="s">
        <v>361</v>
      </c>
      <c r="B3613" s="1" t="str">
        <f t="shared" si="1"/>
        <v># 5%</v>
      </c>
    </row>
    <row r="3614" ht="12.75" customHeight="1">
      <c r="A3614" s="1" t="s">
        <v>1359</v>
      </c>
      <c r="B3614" s="1" t="str">
        <f t="shared" si="1"/>
        <v>+28, 28, SMEARGLE</v>
      </c>
    </row>
    <row r="3615" ht="12.75" customHeight="1">
      <c r="A3615" s="1" t="s">
        <v>1360</v>
      </c>
      <c r="B3615" s="1" t="str">
        <f t="shared" si="1"/>
        <v>+18, 18, SMEARGLE</v>
      </c>
    </row>
    <row r="3616" ht="12.75" customHeight="1">
      <c r="A3616" s="2"/>
      <c r="B3616" s="1" t="str">
        <f t="shared" si="1"/>
        <v/>
      </c>
    </row>
    <row r="3617" ht="12.75" customHeight="1">
      <c r="A3617" s="1" t="s">
        <v>362</v>
      </c>
      <c r="B3617" s="1" t="str">
        <f t="shared" si="1"/>
        <v># 4%</v>
      </c>
    </row>
    <row r="3618" ht="12.75" customHeight="1">
      <c r="A3618" s="1" t="s">
        <v>1356</v>
      </c>
      <c r="B3618" s="1" t="str">
        <f t="shared" si="1"/>
        <v>+20, 20, SMEARGLE</v>
      </c>
    </row>
    <row r="3619" ht="12.75" customHeight="1">
      <c r="A3619" s="1" t="s">
        <v>1357</v>
      </c>
      <c r="B3619" s="1" t="str">
        <f t="shared" si="1"/>
        <v>+26, 26, SMEARGLE</v>
      </c>
    </row>
    <row r="3620" ht="12.75" customHeight="1">
      <c r="A3620" s="2"/>
      <c r="B3620" s="1" t="str">
        <f t="shared" si="1"/>
        <v/>
      </c>
    </row>
    <row r="3621" ht="12.75" customHeight="1">
      <c r="A3621" s="1" t="s">
        <v>363</v>
      </c>
      <c r="B3621" s="1" t="str">
        <f t="shared" si="1"/>
        <v># 1%</v>
      </c>
    </row>
    <row r="3622" ht="12.75" customHeight="1">
      <c r="A3622" s="1" t="s">
        <v>1356</v>
      </c>
      <c r="B3622" s="1" t="str">
        <f t="shared" si="1"/>
        <v>+20, 20, SMEARGLE</v>
      </c>
    </row>
    <row r="3623" ht="12.75" customHeight="1">
      <c r="A3623" s="1" t="s">
        <v>2796</v>
      </c>
      <c r="B3623" s="1" t="str">
        <f t="shared" si="1"/>
        <v>+26, 26, SMEARGLE , &lt;null&gt;, &lt;null&gt;, &lt;null&gt;</v>
      </c>
    </row>
    <row r="3624" ht="12.75" customHeight="1">
      <c r="B3624" s="1" t="str">
        <f t="shared" si="1"/>
        <v/>
      </c>
    </row>
    <row r="3625" ht="12.75" customHeight="1">
      <c r="A3625" s="1" t="s">
        <v>2539</v>
      </c>
      <c r="B3625" s="1" t="str">
        <f t="shared" si="1"/>
        <v>NEW ROUTE</v>
      </c>
    </row>
    <row r="3626" ht="12.75" customHeight="1">
      <c r="A3626" s="1" t="s">
        <v>1347</v>
      </c>
      <c r="B3626" s="1" t="str">
        <f t="shared" si="1"/>
        <v>+24, 24, STANTLER</v>
      </c>
    </row>
    <row r="3627" ht="12.75" customHeight="1">
      <c r="A3627" s="2"/>
      <c r="B3627" s="1" t="str">
        <f t="shared" si="1"/>
        <v/>
      </c>
    </row>
    <row r="3628" ht="12.75" customHeight="1">
      <c r="A3628" s="1" t="s">
        <v>361</v>
      </c>
      <c r="B3628" s="1" t="str">
        <f t="shared" si="1"/>
        <v># 5%</v>
      </c>
    </row>
    <row r="3629" ht="12.75" customHeight="1">
      <c r="A3629" s="1" t="s">
        <v>1351</v>
      </c>
      <c r="B3629" s="1" t="str">
        <f t="shared" si="1"/>
        <v>+28, 28, STANTLER</v>
      </c>
    </row>
    <row r="3630" ht="12.75" customHeight="1">
      <c r="A3630" s="1" t="s">
        <v>1352</v>
      </c>
      <c r="B3630" s="1" t="str">
        <f t="shared" si="1"/>
        <v>+18, 18, STANTLER</v>
      </c>
    </row>
    <row r="3631" ht="12.75" customHeight="1">
      <c r="A3631" s="2"/>
      <c r="B3631" s="1" t="str">
        <f t="shared" si="1"/>
        <v/>
      </c>
    </row>
    <row r="3632" ht="12.75" customHeight="1">
      <c r="A3632" s="1" t="s">
        <v>362</v>
      </c>
      <c r="B3632" s="1" t="str">
        <f t="shared" si="1"/>
        <v># 4%</v>
      </c>
    </row>
    <row r="3633" ht="12.75" customHeight="1">
      <c r="A3633" s="1" t="s">
        <v>1348</v>
      </c>
      <c r="B3633" s="1" t="str">
        <f t="shared" si="1"/>
        <v>+20, 20, STANTLER</v>
      </c>
    </row>
    <row r="3634" ht="12.75" customHeight="1">
      <c r="A3634" s="1" t="s">
        <v>1349</v>
      </c>
      <c r="B3634" s="1" t="str">
        <f t="shared" si="1"/>
        <v>+26, 26, STANTLER</v>
      </c>
    </row>
    <row r="3635" ht="12.75" customHeight="1">
      <c r="A3635" s="2"/>
      <c r="B3635" s="1" t="str">
        <f t="shared" si="1"/>
        <v/>
      </c>
    </row>
    <row r="3636" ht="12.75" customHeight="1">
      <c r="A3636" s="1" t="s">
        <v>363</v>
      </c>
      <c r="B3636" s="1" t="str">
        <f t="shared" si="1"/>
        <v># 1%</v>
      </c>
    </row>
    <row r="3637" ht="12.75" customHeight="1">
      <c r="A3637" s="1" t="s">
        <v>1348</v>
      </c>
      <c r="B3637" s="1" t="str">
        <f t="shared" si="1"/>
        <v>+20, 20, STANTLER</v>
      </c>
    </row>
    <row r="3638" ht="12.75" customHeight="1">
      <c r="A3638" s="1" t="s">
        <v>2795</v>
      </c>
      <c r="B3638" s="1" t="str">
        <f t="shared" si="1"/>
        <v>+26, 26, STANTLER , &lt;null&gt;, &lt;null&gt;, &lt;null&gt;</v>
      </c>
    </row>
    <row r="3639" ht="12.75" customHeight="1">
      <c r="B3639" s="1" t="str">
        <f t="shared" si="1"/>
        <v/>
      </c>
    </row>
    <row r="3640" ht="12.75" customHeight="1">
      <c r="A3640" s="2" t="s">
        <v>2539</v>
      </c>
      <c r="B3640" s="1" t="str">
        <f t="shared" si="1"/>
        <v>NEW ROUTE</v>
      </c>
    </row>
    <row r="3641" ht="12.75" customHeight="1">
      <c r="A3641" s="1" t="s">
        <v>2787</v>
      </c>
      <c r="B3641" s="1" t="str">
        <f t="shared" si="1"/>
        <v>+1, 122, 0,</v>
      </c>
    </row>
    <row r="3642" ht="12.75" customHeight="1">
      <c r="A3642" s="2" t="s">
        <v>2541</v>
      </c>
      <c r="B3642" s="1" t="str">
        <f t="shared" si="1"/>
        <v>7, # 20%</v>
      </c>
    </row>
    <row r="3643" ht="12.75" customHeight="1">
      <c r="A3643" s="1" t="s">
        <v>1354</v>
      </c>
      <c r="B3643" s="1" t="str">
        <f t="shared" si="1"/>
        <v>22, 22, SMEARGLE</v>
      </c>
    </row>
    <row r="3644" ht="12.75" customHeight="1">
      <c r="A3644" s="1" t="s">
        <v>1355</v>
      </c>
      <c r="B3644" s="1" t="str">
        <f t="shared" si="1"/>
        <v>+24, 24, SMEARGLE</v>
      </c>
    </row>
    <row r="3645" ht="12.75" customHeight="1">
      <c r="A3645" s="2"/>
      <c r="B3645" s="1" t="str">
        <f t="shared" si="1"/>
        <v/>
      </c>
    </row>
    <row r="3646" ht="12.75" customHeight="1">
      <c r="A3646" s="1" t="s">
        <v>360</v>
      </c>
      <c r="B3646" s="1" t="str">
        <f t="shared" si="1"/>
        <v># 10%</v>
      </c>
    </row>
    <row r="3647" ht="12.75" customHeight="1">
      <c r="A3647" s="1" t="s">
        <v>1356</v>
      </c>
      <c r="B3647" s="1" t="str">
        <f t="shared" si="1"/>
        <v>+20, 20, SMEARGLE</v>
      </c>
    </row>
    <row r="3648" ht="12.75" customHeight="1">
      <c r="A3648" s="1" t="s">
        <v>1357</v>
      </c>
      <c r="B3648" s="1" t="str">
        <f t="shared" si="1"/>
        <v>+26, 26, SMEARGLE</v>
      </c>
    </row>
    <row r="3649" ht="12.75" customHeight="1">
      <c r="A3649" s="1" t="s">
        <v>1358</v>
      </c>
      <c r="B3649" s="1" t="str">
        <f t="shared" si="1"/>
        <v>+22, 22, SMEARGLE</v>
      </c>
    </row>
    <row r="3650" ht="12.75" customHeight="1">
      <c r="A3650" s="1" t="s">
        <v>1355</v>
      </c>
      <c r="B3650" s="1" t="str">
        <f t="shared" si="1"/>
        <v>+24, 24, SMEARGLE</v>
      </c>
    </row>
    <row r="3651" ht="12.75" customHeight="1">
      <c r="A3651" s="2"/>
      <c r="B3651" s="1" t="str">
        <f t="shared" si="1"/>
        <v/>
      </c>
    </row>
    <row r="3652" ht="12.75" customHeight="1">
      <c r="A3652" s="1" t="s">
        <v>361</v>
      </c>
      <c r="B3652" s="1" t="str">
        <f t="shared" si="1"/>
        <v># 5%</v>
      </c>
    </row>
    <row r="3653" ht="12.75" customHeight="1">
      <c r="A3653" s="1" t="s">
        <v>1359</v>
      </c>
      <c r="B3653" s="1" t="str">
        <f t="shared" si="1"/>
        <v>+28, 28, SMEARGLE</v>
      </c>
    </row>
    <row r="3654" ht="12.75" customHeight="1">
      <c r="A3654" s="1" t="s">
        <v>1360</v>
      </c>
      <c r="B3654" s="1" t="str">
        <f t="shared" si="1"/>
        <v>+18, 18, SMEARGLE</v>
      </c>
    </row>
    <row r="3655" ht="12.75" customHeight="1">
      <c r="A3655" s="2"/>
      <c r="B3655" s="1" t="str">
        <f t="shared" si="1"/>
        <v/>
      </c>
    </row>
    <row r="3656" ht="12.75" customHeight="1">
      <c r="A3656" s="1" t="s">
        <v>362</v>
      </c>
      <c r="B3656" s="1" t="str">
        <f t="shared" si="1"/>
        <v># 4%</v>
      </c>
    </row>
    <row r="3657" ht="12.75" customHeight="1">
      <c r="A3657" s="1" t="s">
        <v>1356</v>
      </c>
      <c r="B3657" s="1" t="str">
        <f t="shared" si="1"/>
        <v>+20, 20, SMEARGLE</v>
      </c>
    </row>
    <row r="3658" ht="12.75" customHeight="1">
      <c r="A3658" s="1" t="s">
        <v>1357</v>
      </c>
      <c r="B3658" s="1" t="str">
        <f t="shared" si="1"/>
        <v>+26, 26, SMEARGLE</v>
      </c>
    </row>
    <row r="3659" ht="12.75" customHeight="1">
      <c r="A3659" s="2"/>
      <c r="B3659" s="1" t="str">
        <f t="shared" si="1"/>
        <v/>
      </c>
    </row>
    <row r="3660" ht="12.75" customHeight="1">
      <c r="A3660" s="1" t="s">
        <v>363</v>
      </c>
      <c r="B3660" s="1" t="str">
        <f t="shared" si="1"/>
        <v># 1%</v>
      </c>
    </row>
    <row r="3661" ht="12.75" customHeight="1">
      <c r="A3661" s="1" t="s">
        <v>1356</v>
      </c>
      <c r="B3661" s="1" t="str">
        <f t="shared" si="1"/>
        <v>+20, 20, SMEARGLE</v>
      </c>
    </row>
    <row r="3662" ht="12.75" customHeight="1">
      <c r="A3662" s="1" t="s">
        <v>2796</v>
      </c>
      <c r="B3662" s="1" t="str">
        <f t="shared" si="1"/>
        <v>+26, 26, SMEARGLE , &lt;null&gt;, &lt;null&gt;, &lt;null&gt;</v>
      </c>
    </row>
  </sheetData>
  <printOptions/>
  <pageMargins bottom="1.05277777777778" footer="0.0" header="0.0" left="0.7875" right="0.7875" top="1.05277777777778"/>
  <pageSetup orientation="portrait"/>
  <headerFooter>
    <oddHeader>&amp;C&amp;A</oddHeader>
    <oddFooter>&amp;CPage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3" width="44.38"/>
    <col customWidth="1" min="4" max="26" width="8.63"/>
  </cols>
  <sheetData>
    <row r="1" ht="12.75" customHeight="1">
      <c r="A1" s="3" t="s">
        <v>2539</v>
      </c>
      <c r="B1" s="3" t="str">
        <f t="shared" ref="B1:B3663" si="1">IF(ISNUMBER(SEARCH("%", A1)),RIGHT(A1,3),A1)</f>
        <v>NEW ROUTE</v>
      </c>
      <c r="C1" s="2" t="s">
        <v>2539</v>
      </c>
    </row>
    <row r="2" ht="12.75" customHeight="1">
      <c r="A2" s="3" t="s">
        <v>2797</v>
      </c>
      <c r="B2" s="3" t="str">
        <f t="shared" si="1"/>
        <v>1, 0, 0,</v>
      </c>
      <c r="C2" s="2" t="s">
        <v>2797</v>
      </c>
    </row>
    <row r="3" ht="12.75" customHeight="1">
      <c r="A3" s="3" t="s">
        <v>2798</v>
      </c>
      <c r="B3" s="3" t="str">
        <f t="shared" si="1"/>
        <v>20%</v>
      </c>
      <c r="C3" s="2" t="s">
        <v>2799</v>
      </c>
    </row>
    <row r="4" ht="12.75" customHeight="1">
      <c r="A4" s="3" t="s">
        <v>372</v>
      </c>
      <c r="B4" s="3" t="str">
        <f t="shared" si="1"/>
        <v>4, 6, CATERPIE</v>
      </c>
      <c r="C4" s="2" t="s">
        <v>372</v>
      </c>
    </row>
    <row r="5" ht="12.75" customHeight="1">
      <c r="A5" s="3" t="s">
        <v>2800</v>
      </c>
      <c r="B5" s="3" t="str">
        <f t="shared" si="1"/>
        <v>4, 6, WEEDLE</v>
      </c>
      <c r="C5" s="2" t="s">
        <v>2800</v>
      </c>
    </row>
    <row r="6" ht="12.75" customHeight="1">
      <c r="A6" s="3"/>
      <c r="B6" s="3" t="str">
        <f t="shared" si="1"/>
        <v/>
      </c>
      <c r="C6" s="2" t="s">
        <v>2801</v>
      </c>
    </row>
    <row r="7" ht="12.75" customHeight="1">
      <c r="A7" s="3" t="s">
        <v>2802</v>
      </c>
      <c r="B7" s="3" t="str">
        <f t="shared" si="1"/>
        <v>0.1</v>
      </c>
      <c r="C7" s="2" t="s">
        <v>2802</v>
      </c>
    </row>
    <row r="8" ht="12.75" customHeight="1">
      <c r="A8" s="3" t="s">
        <v>2803</v>
      </c>
      <c r="B8" s="3" t="str">
        <f t="shared" si="1"/>
        <v>5, 7, ODDISH</v>
      </c>
      <c r="C8" s="2" t="s">
        <v>2803</v>
      </c>
    </row>
    <row r="9" ht="12.75" customHeight="1">
      <c r="A9" s="3" t="s">
        <v>2804</v>
      </c>
      <c r="B9" s="3" t="str">
        <f t="shared" si="1"/>
        <v>7, 9, METAPOD</v>
      </c>
      <c r="C9" s="2" t="s">
        <v>2804</v>
      </c>
    </row>
    <row r="10" ht="12.75" customHeight="1">
      <c r="A10" s="3" t="s">
        <v>2805</v>
      </c>
      <c r="B10" s="3" t="str">
        <f t="shared" si="1"/>
        <v>7, 9, KAKUNA</v>
      </c>
      <c r="C10" s="2" t="s">
        <v>2805</v>
      </c>
    </row>
    <row r="11" ht="12.75" customHeight="1">
      <c r="A11" s="3" t="s">
        <v>2806</v>
      </c>
      <c r="B11" s="3" t="str">
        <f t="shared" si="1"/>
        <v>5, 7, PIKACHU</v>
      </c>
      <c r="C11" s="2" t="s">
        <v>2806</v>
      </c>
    </row>
    <row r="12" ht="12.75" customHeight="1">
      <c r="A12" s="3"/>
      <c r="B12" s="3" t="str">
        <f t="shared" si="1"/>
        <v/>
      </c>
      <c r="C12" s="2" t="s">
        <v>2801</v>
      </c>
    </row>
    <row r="13" ht="12.75" customHeight="1">
      <c r="A13" s="3" t="s">
        <v>2807</v>
      </c>
      <c r="B13" s="3" t="str">
        <f t="shared" si="1"/>
        <v>0.05</v>
      </c>
      <c r="C13" s="2" t="s">
        <v>2807</v>
      </c>
    </row>
    <row r="14" ht="12.75" customHeight="1">
      <c r="A14" s="3" t="s">
        <v>2808</v>
      </c>
      <c r="B14" s="3" t="str">
        <f t="shared" si="1"/>
        <v>5, 7, MANKEY</v>
      </c>
      <c r="C14" s="2" t="s">
        <v>2808</v>
      </c>
    </row>
    <row r="15" ht="12.75" customHeight="1">
      <c r="A15" s="3" t="s">
        <v>2809</v>
      </c>
      <c r="B15" s="3" t="str">
        <f t="shared" si="1"/>
        <v>9, 10, BUTTERFREE</v>
      </c>
      <c r="C15" s="2" t="s">
        <v>2809</v>
      </c>
    </row>
    <row r="16" ht="12.75" customHeight="1">
      <c r="A16" s="3"/>
      <c r="B16" s="3" t="str">
        <f t="shared" si="1"/>
        <v/>
      </c>
      <c r="C16" s="2" t="s">
        <v>2801</v>
      </c>
    </row>
    <row r="17" ht="12.75" customHeight="1">
      <c r="A17" s="3" t="s">
        <v>2810</v>
      </c>
      <c r="B17" s="3" t="str">
        <f t="shared" si="1"/>
        <v>0.04</v>
      </c>
      <c r="C17" s="2" t="s">
        <v>2810</v>
      </c>
    </row>
    <row r="18" ht="12.75" customHeight="1">
      <c r="A18" s="3" t="s">
        <v>2811</v>
      </c>
      <c r="B18" s="3" t="str">
        <f t="shared" si="1"/>
        <v>9, 10, BEEDRILL</v>
      </c>
      <c r="C18" s="2" t="s">
        <v>2811</v>
      </c>
    </row>
    <row r="19" ht="12.75" customHeight="1">
      <c r="A19" s="3" t="s">
        <v>2812</v>
      </c>
      <c r="B19" s="3" t="str">
        <f t="shared" si="1"/>
        <v>6, 9, TANGELA</v>
      </c>
      <c r="C19" s="2" t="s">
        <v>2812</v>
      </c>
    </row>
    <row r="20" ht="12.75" customHeight="1">
      <c r="A20" s="3"/>
      <c r="B20" s="3" t="str">
        <f t="shared" si="1"/>
        <v/>
      </c>
      <c r="C20" s="2" t="s">
        <v>2801</v>
      </c>
    </row>
    <row r="21" ht="12.75" customHeight="1">
      <c r="A21" s="3" t="s">
        <v>2813</v>
      </c>
      <c r="B21" s="3" t="str">
        <f t="shared" si="1"/>
        <v>0.01</v>
      </c>
      <c r="C21" s="2" t="s">
        <v>2813</v>
      </c>
    </row>
    <row r="22" ht="12.75" customHeight="1">
      <c r="A22" s="3" t="s">
        <v>2814</v>
      </c>
      <c r="B22" s="3" t="str">
        <f t="shared" si="1"/>
        <v>11, 11, BEEDRILL</v>
      </c>
      <c r="C22" s="2" t="s">
        <v>2814</v>
      </c>
    </row>
    <row r="23" ht="12.75" customHeight="1">
      <c r="A23" s="3" t="s">
        <v>2815</v>
      </c>
      <c r="B23" s="3" t="str">
        <f t="shared" si="1"/>
        <v>10, 10, TANGELA , &lt;null&gt;, &lt;null&gt;, &lt;null&gt;</v>
      </c>
      <c r="C23" s="2" t="s">
        <v>2815</v>
      </c>
    </row>
    <row r="24" ht="12.75" customHeight="1">
      <c r="A24" s="3"/>
      <c r="B24" s="3" t="str">
        <f t="shared" si="1"/>
        <v/>
      </c>
      <c r="C24" s="2" t="s">
        <v>2801</v>
      </c>
    </row>
    <row r="25" ht="12.75" customHeight="1">
      <c r="A25" s="3" t="s">
        <v>2539</v>
      </c>
      <c r="B25" s="3" t="str">
        <f t="shared" si="1"/>
        <v>NEW ROUTE</v>
      </c>
      <c r="C25" s="2" t="s">
        <v>2539</v>
      </c>
    </row>
    <row r="26" ht="12.75" customHeight="1">
      <c r="A26" s="3" t="s">
        <v>2816</v>
      </c>
      <c r="B26" s="3" t="str">
        <f t="shared" si="1"/>
        <v>1, 1, 0,</v>
      </c>
      <c r="C26" s="2" t="s">
        <v>2816</v>
      </c>
    </row>
    <row r="27" ht="12.75" customHeight="1">
      <c r="A27" s="3" t="s">
        <v>2817</v>
      </c>
      <c r="B27" s="3" t="str">
        <f t="shared" si="1"/>
        <v>20%</v>
      </c>
      <c r="C27" s="2" t="s">
        <v>2799</v>
      </c>
    </row>
    <row r="28" ht="12.75" customHeight="1">
      <c r="A28" s="3" t="s">
        <v>385</v>
      </c>
      <c r="B28" s="3" t="str">
        <f t="shared" si="1"/>
        <v>9, 11, ZUBAT</v>
      </c>
      <c r="C28" s="2" t="s">
        <v>385</v>
      </c>
    </row>
    <row r="29" ht="12.75" customHeight="1">
      <c r="A29" s="3" t="s">
        <v>385</v>
      </c>
      <c r="B29" s="3" t="str">
        <f t="shared" si="1"/>
        <v>9, 11, ZUBAT</v>
      </c>
      <c r="C29" s="2" t="s">
        <v>385</v>
      </c>
    </row>
    <row r="30" ht="12.75" customHeight="1">
      <c r="A30" s="3"/>
      <c r="B30" s="3" t="str">
        <f t="shared" si="1"/>
        <v/>
      </c>
      <c r="C30" s="2" t="s">
        <v>2801</v>
      </c>
    </row>
    <row r="31" ht="12.75" customHeight="1">
      <c r="A31" s="3" t="s">
        <v>2802</v>
      </c>
      <c r="B31" s="3" t="str">
        <f t="shared" si="1"/>
        <v>0.1</v>
      </c>
      <c r="C31" s="2" t="s">
        <v>2802</v>
      </c>
    </row>
    <row r="32" ht="12.75" customHeight="1">
      <c r="A32" s="3" t="s">
        <v>394</v>
      </c>
      <c r="B32" s="3" t="str">
        <f t="shared" si="1"/>
        <v>10, 12, ZUBAT</v>
      </c>
      <c r="C32" s="2" t="s">
        <v>394</v>
      </c>
    </row>
    <row r="33" ht="12.75" customHeight="1">
      <c r="A33" s="3" t="s">
        <v>394</v>
      </c>
      <c r="B33" s="3" t="str">
        <f t="shared" si="1"/>
        <v>10, 12, ZUBAT</v>
      </c>
      <c r="C33" s="2" t="s">
        <v>394</v>
      </c>
    </row>
    <row r="34" ht="12.75" customHeight="1">
      <c r="A34" s="3" t="s">
        <v>2818</v>
      </c>
      <c r="B34" s="3" t="str">
        <f t="shared" si="1"/>
        <v>10, 12, GEODUDE</v>
      </c>
      <c r="C34" s="2" t="s">
        <v>2818</v>
      </c>
    </row>
    <row r="35" ht="12.75" customHeight="1">
      <c r="A35" s="3" t="s">
        <v>2818</v>
      </c>
      <c r="B35" s="3" t="str">
        <f t="shared" si="1"/>
        <v>10, 12, GEODUDE</v>
      </c>
      <c r="C35" s="2" t="s">
        <v>2818</v>
      </c>
    </row>
    <row r="36" ht="12.75" customHeight="1">
      <c r="A36" s="3"/>
      <c r="B36" s="3" t="str">
        <f t="shared" si="1"/>
        <v/>
      </c>
      <c r="C36" s="2" t="s">
        <v>2801</v>
      </c>
    </row>
    <row r="37" ht="12.75" customHeight="1">
      <c r="A37" s="3" t="s">
        <v>2807</v>
      </c>
      <c r="B37" s="3" t="str">
        <f t="shared" si="1"/>
        <v>0.05</v>
      </c>
      <c r="C37" s="2" t="s">
        <v>2807</v>
      </c>
    </row>
    <row r="38" ht="12.75" customHeight="1">
      <c r="A38" s="3" t="s">
        <v>2819</v>
      </c>
      <c r="B38" s="3" t="str">
        <f t="shared" si="1"/>
        <v>11, 11, SANDSHREW</v>
      </c>
      <c r="C38" s="2" t="s">
        <v>2819</v>
      </c>
    </row>
    <row r="39" ht="12.75" customHeight="1">
      <c r="A39" s="3" t="s">
        <v>2819</v>
      </c>
      <c r="B39" s="3" t="str">
        <f t="shared" si="1"/>
        <v>11, 11, SANDSHREW</v>
      </c>
      <c r="C39" s="2" t="s">
        <v>2819</v>
      </c>
    </row>
    <row r="40" ht="12.75" customHeight="1">
      <c r="A40" s="3"/>
      <c r="B40" s="3" t="str">
        <f t="shared" si="1"/>
        <v/>
      </c>
      <c r="C40" s="2" t="s">
        <v>2801</v>
      </c>
    </row>
    <row r="41" ht="12.75" customHeight="1">
      <c r="A41" s="3" t="s">
        <v>2810</v>
      </c>
      <c r="B41" s="3" t="str">
        <f t="shared" si="1"/>
        <v>0.04</v>
      </c>
      <c r="C41" s="2" t="s">
        <v>2810</v>
      </c>
    </row>
    <row r="42" ht="12.75" customHeight="1">
      <c r="A42" s="3" t="s">
        <v>2820</v>
      </c>
      <c r="B42" s="3" t="str">
        <f t="shared" si="1"/>
        <v>11, 11, PARAS</v>
      </c>
      <c r="C42" s="2" t="s">
        <v>2820</v>
      </c>
    </row>
    <row r="43" ht="12.75" customHeight="1">
      <c r="A43" s="3" t="s">
        <v>2820</v>
      </c>
      <c r="B43" s="3" t="str">
        <f t="shared" si="1"/>
        <v>11, 11, PARAS</v>
      </c>
      <c r="C43" s="2" t="s">
        <v>2820</v>
      </c>
    </row>
    <row r="44" ht="12.75" customHeight="1">
      <c r="A44" s="3"/>
      <c r="B44" s="3" t="str">
        <f t="shared" si="1"/>
        <v/>
      </c>
      <c r="C44" s="2" t="s">
        <v>2801</v>
      </c>
    </row>
    <row r="45" ht="12.75" customHeight="1">
      <c r="A45" s="3" t="s">
        <v>2813</v>
      </c>
      <c r="B45" s="3" t="str">
        <f t="shared" si="1"/>
        <v>0.01</v>
      </c>
      <c r="C45" s="2" t="s">
        <v>2813</v>
      </c>
    </row>
    <row r="46" ht="12.75" customHeight="1">
      <c r="A46" s="3" t="s">
        <v>2821</v>
      </c>
      <c r="B46" s="3" t="str">
        <f t="shared" si="1"/>
        <v>11, 14, ONIX</v>
      </c>
      <c r="C46" s="2" t="s">
        <v>2821</v>
      </c>
    </row>
    <row r="47" ht="12.75" customHeight="1">
      <c r="A47" s="3" t="s">
        <v>2822</v>
      </c>
      <c r="B47" s="3" t="str">
        <f t="shared" si="1"/>
        <v>11, 14, CLEFAIRY , &lt;null&gt;, &lt;null&gt;, &lt;null&gt;</v>
      </c>
      <c r="C47" s="2" t="s">
        <v>2822</v>
      </c>
    </row>
    <row r="48" ht="12.75" customHeight="1">
      <c r="A48" s="3"/>
      <c r="B48" s="3" t="str">
        <f t="shared" si="1"/>
        <v/>
      </c>
      <c r="C48" s="2" t="s">
        <v>2801</v>
      </c>
    </row>
    <row r="49" ht="12.75" customHeight="1">
      <c r="A49" s="3" t="s">
        <v>2539</v>
      </c>
      <c r="B49" s="3" t="str">
        <f t="shared" si="1"/>
        <v>NEW ROUTE</v>
      </c>
      <c r="C49" s="2" t="s">
        <v>2539</v>
      </c>
    </row>
    <row r="50" ht="12.75" customHeight="1">
      <c r="A50" s="3" t="s">
        <v>2823</v>
      </c>
      <c r="B50" s="3" t="str">
        <f t="shared" si="1"/>
        <v>1, 2, 0,</v>
      </c>
      <c r="C50" s="2" t="s">
        <v>2823</v>
      </c>
    </row>
    <row r="51" ht="12.75" customHeight="1">
      <c r="A51" s="3" t="s">
        <v>2824</v>
      </c>
      <c r="B51" s="3" t="str">
        <f t="shared" si="1"/>
        <v>20%</v>
      </c>
      <c r="C51" s="2" t="s">
        <v>2799</v>
      </c>
    </row>
    <row r="52" ht="12.75" customHeight="1">
      <c r="A52" s="3" t="s">
        <v>394</v>
      </c>
      <c r="B52" s="3" t="str">
        <f t="shared" si="1"/>
        <v>10, 12, ZUBAT</v>
      </c>
      <c r="C52" s="2" t="s">
        <v>394</v>
      </c>
    </row>
    <row r="53" ht="12.75" customHeight="1">
      <c r="A53" s="3" t="s">
        <v>394</v>
      </c>
      <c r="B53" s="3" t="str">
        <f t="shared" si="1"/>
        <v>10, 12, ZUBAT</v>
      </c>
      <c r="C53" s="2" t="s">
        <v>394</v>
      </c>
    </row>
    <row r="54" ht="12.75" customHeight="1">
      <c r="A54" s="3"/>
      <c r="B54" s="3" t="str">
        <f t="shared" si="1"/>
        <v/>
      </c>
      <c r="C54" s="2" t="s">
        <v>2801</v>
      </c>
    </row>
    <row r="55" ht="12.75" customHeight="1">
      <c r="A55" s="3" t="s">
        <v>2802</v>
      </c>
      <c r="B55" s="3" t="str">
        <f t="shared" si="1"/>
        <v>0.1</v>
      </c>
      <c r="C55" s="2" t="s">
        <v>2802</v>
      </c>
    </row>
    <row r="56" ht="12.75" customHeight="1">
      <c r="A56" s="3" t="s">
        <v>2825</v>
      </c>
      <c r="B56" s="3" t="str">
        <f t="shared" si="1"/>
        <v>11, 13, ZUBAT</v>
      </c>
      <c r="C56" s="2" t="s">
        <v>2825</v>
      </c>
    </row>
    <row r="57" ht="12.75" customHeight="1">
      <c r="A57" s="3" t="s">
        <v>2825</v>
      </c>
      <c r="B57" s="3" t="str">
        <f t="shared" si="1"/>
        <v>11, 13, ZUBAT</v>
      </c>
      <c r="C57" s="2" t="s">
        <v>2825</v>
      </c>
    </row>
    <row r="58" ht="12.75" customHeight="1">
      <c r="A58" s="3" t="s">
        <v>2826</v>
      </c>
      <c r="B58" s="3" t="str">
        <f t="shared" si="1"/>
        <v>11, 13, GEODUDE</v>
      </c>
      <c r="C58" s="2" t="s">
        <v>2826</v>
      </c>
    </row>
    <row r="59" ht="12.75" customHeight="1">
      <c r="A59" s="3" t="s">
        <v>2826</v>
      </c>
      <c r="B59" s="3" t="str">
        <f t="shared" si="1"/>
        <v>11, 13, GEODUDE</v>
      </c>
      <c r="C59" s="2" t="s">
        <v>2826</v>
      </c>
    </row>
    <row r="60" ht="12.75" customHeight="1">
      <c r="A60" s="3"/>
      <c r="B60" s="3" t="str">
        <f t="shared" si="1"/>
        <v/>
      </c>
      <c r="C60" s="2" t="s">
        <v>2801</v>
      </c>
    </row>
    <row r="61" ht="12.75" customHeight="1">
      <c r="A61" s="3" t="s">
        <v>2807</v>
      </c>
      <c r="B61" s="3" t="str">
        <f t="shared" si="1"/>
        <v>0.05</v>
      </c>
      <c r="C61" s="2" t="s">
        <v>2807</v>
      </c>
    </row>
    <row r="62" ht="12.75" customHeight="1">
      <c r="A62" s="3" t="s">
        <v>2827</v>
      </c>
      <c r="B62" s="3" t="str">
        <f t="shared" si="1"/>
        <v>12, 12, SANDSHREW</v>
      </c>
      <c r="C62" s="2" t="s">
        <v>2827</v>
      </c>
    </row>
    <row r="63" ht="12.75" customHeight="1">
      <c r="A63" s="3" t="s">
        <v>2827</v>
      </c>
      <c r="B63" s="3" t="str">
        <f t="shared" si="1"/>
        <v>12, 12, SANDSHREW</v>
      </c>
      <c r="C63" s="2" t="s">
        <v>2827</v>
      </c>
    </row>
    <row r="64" ht="12.75" customHeight="1">
      <c r="A64" s="3"/>
      <c r="B64" s="3" t="str">
        <f t="shared" si="1"/>
        <v/>
      </c>
      <c r="C64" s="2" t="s">
        <v>2801</v>
      </c>
    </row>
    <row r="65" ht="12.75" customHeight="1">
      <c r="A65" s="3" t="s">
        <v>2810</v>
      </c>
      <c r="B65" s="3" t="str">
        <f t="shared" si="1"/>
        <v>0.04</v>
      </c>
      <c r="C65" s="2" t="s">
        <v>2810</v>
      </c>
    </row>
    <row r="66" ht="12.75" customHeight="1">
      <c r="A66" s="3" t="s">
        <v>2828</v>
      </c>
      <c r="B66" s="3" t="str">
        <f t="shared" si="1"/>
        <v>12, 12, PARAS</v>
      </c>
      <c r="C66" s="2" t="s">
        <v>2828</v>
      </c>
    </row>
    <row r="67" ht="12.75" customHeight="1">
      <c r="A67" s="3" t="s">
        <v>2828</v>
      </c>
      <c r="B67" s="3" t="str">
        <f t="shared" si="1"/>
        <v>12, 12, PARAS</v>
      </c>
      <c r="C67" s="2" t="s">
        <v>2828</v>
      </c>
    </row>
    <row r="68" ht="12.75" customHeight="1">
      <c r="A68" s="3"/>
      <c r="B68" s="3" t="str">
        <f t="shared" si="1"/>
        <v/>
      </c>
      <c r="C68" s="2" t="s">
        <v>2801</v>
      </c>
    </row>
    <row r="69" ht="12.75" customHeight="1">
      <c r="A69" s="3" t="s">
        <v>2813</v>
      </c>
      <c r="B69" s="3" t="str">
        <f t="shared" si="1"/>
        <v>0.01</v>
      </c>
      <c r="C69" s="2" t="s">
        <v>2813</v>
      </c>
    </row>
    <row r="70" ht="12.75" customHeight="1">
      <c r="A70" s="3" t="s">
        <v>2829</v>
      </c>
      <c r="B70" s="3" t="str">
        <f t="shared" si="1"/>
        <v>12, 15, ONIX</v>
      </c>
      <c r="C70" s="2" t="s">
        <v>2829</v>
      </c>
    </row>
    <row r="71" ht="12.75" customHeight="1">
      <c r="A71" s="3" t="s">
        <v>2830</v>
      </c>
      <c r="B71" s="3" t="str">
        <f t="shared" si="1"/>
        <v>12, 15, CLEFAIRY , &lt;null&gt;, &lt;null&gt;, &lt;null&gt;</v>
      </c>
      <c r="C71" s="2" t="s">
        <v>2830</v>
      </c>
    </row>
    <row r="72" ht="12.75" customHeight="1">
      <c r="A72" s="3"/>
      <c r="B72" s="3" t="str">
        <f t="shared" si="1"/>
        <v/>
      </c>
      <c r="C72" s="2" t="s">
        <v>2801</v>
      </c>
    </row>
    <row r="73" ht="12.75" customHeight="1">
      <c r="A73" s="3" t="s">
        <v>2539</v>
      </c>
      <c r="B73" s="3" t="str">
        <f t="shared" si="1"/>
        <v>NEW ROUTE</v>
      </c>
      <c r="C73" s="2" t="s">
        <v>2539</v>
      </c>
    </row>
    <row r="74" ht="12.75" customHeight="1">
      <c r="A74" s="3" t="s">
        <v>2831</v>
      </c>
      <c r="B74" s="3" t="str">
        <f t="shared" si="1"/>
        <v>1, 3, 0,</v>
      </c>
      <c r="C74" s="2" t="s">
        <v>2831</v>
      </c>
    </row>
    <row r="75" ht="12.75" customHeight="1">
      <c r="A75" s="3" t="s">
        <v>2817</v>
      </c>
      <c r="B75" s="3" t="str">
        <f t="shared" si="1"/>
        <v>20%</v>
      </c>
      <c r="C75" s="2" t="s">
        <v>2799</v>
      </c>
    </row>
    <row r="76" ht="12.75" customHeight="1">
      <c r="A76" s="3" t="s">
        <v>402</v>
      </c>
      <c r="B76" s="3" t="str">
        <f t="shared" si="1"/>
        <v>10, 13, ZUBAT</v>
      </c>
      <c r="C76" s="2" t="s">
        <v>402</v>
      </c>
    </row>
    <row r="77" ht="12.75" customHeight="1">
      <c r="A77" s="3" t="s">
        <v>402</v>
      </c>
      <c r="B77" s="3" t="str">
        <f t="shared" si="1"/>
        <v>10, 13, ZUBAT</v>
      </c>
      <c r="C77" s="2" t="s">
        <v>402</v>
      </c>
    </row>
    <row r="78" ht="12.75" customHeight="1">
      <c r="A78" s="3"/>
      <c r="B78" s="3" t="str">
        <f t="shared" si="1"/>
        <v/>
      </c>
      <c r="C78" s="2" t="s">
        <v>2801</v>
      </c>
    </row>
    <row r="79" ht="12.75" customHeight="1">
      <c r="A79" s="3" t="s">
        <v>2802</v>
      </c>
      <c r="B79" s="3" t="str">
        <f t="shared" si="1"/>
        <v>0.1</v>
      </c>
      <c r="C79" s="2" t="s">
        <v>2802</v>
      </c>
    </row>
    <row r="80" ht="12.75" customHeight="1">
      <c r="A80" s="3" t="s">
        <v>2832</v>
      </c>
      <c r="B80" s="3" t="str">
        <f t="shared" si="1"/>
        <v>11, 14, ZUBAT</v>
      </c>
      <c r="C80" s="2" t="s">
        <v>2832</v>
      </c>
    </row>
    <row r="81" ht="12.75" customHeight="1">
      <c r="A81" s="3" t="s">
        <v>2833</v>
      </c>
      <c r="B81" s="3" t="str">
        <f t="shared" si="1"/>
        <v>11, 14, GEODUDE</v>
      </c>
      <c r="C81" s="2" t="s">
        <v>2833</v>
      </c>
    </row>
    <row r="82" ht="12.75" customHeight="1">
      <c r="A82" s="3" t="s">
        <v>2833</v>
      </c>
      <c r="B82" s="3" t="str">
        <f t="shared" si="1"/>
        <v>11, 14, GEODUDE</v>
      </c>
      <c r="C82" s="2" t="s">
        <v>2833</v>
      </c>
    </row>
    <row r="83" ht="12.75" customHeight="1">
      <c r="A83" s="3" t="s">
        <v>2834</v>
      </c>
      <c r="B83" s="3" t="str">
        <f t="shared" si="1"/>
        <v>11, 14, SANDSHREW</v>
      </c>
      <c r="C83" s="2" t="s">
        <v>2834</v>
      </c>
    </row>
    <row r="84" ht="12.75" customHeight="1">
      <c r="A84" s="3"/>
      <c r="B84" s="3" t="str">
        <f t="shared" si="1"/>
        <v/>
      </c>
      <c r="C84" s="2" t="s">
        <v>2801</v>
      </c>
    </row>
    <row r="85" ht="12.75" customHeight="1">
      <c r="A85" s="3" t="s">
        <v>2807</v>
      </c>
      <c r="B85" s="3" t="str">
        <f t="shared" si="1"/>
        <v>0.05</v>
      </c>
      <c r="C85" s="2" t="s">
        <v>2807</v>
      </c>
    </row>
    <row r="86" ht="12.75" customHeight="1">
      <c r="A86" s="3" t="s">
        <v>2835</v>
      </c>
      <c r="B86" s="3" t="str">
        <f t="shared" si="1"/>
        <v>13, 13, PARAS</v>
      </c>
      <c r="C86" s="2" t="s">
        <v>2835</v>
      </c>
    </row>
    <row r="87" ht="12.75" customHeight="1">
      <c r="A87" s="3" t="s">
        <v>2835</v>
      </c>
      <c r="B87" s="3" t="str">
        <f t="shared" si="1"/>
        <v>13, 13, PARAS</v>
      </c>
      <c r="C87" s="2" t="s">
        <v>2835</v>
      </c>
    </row>
    <row r="88" ht="12.75" customHeight="1">
      <c r="A88" s="3"/>
      <c r="B88" s="3" t="str">
        <f t="shared" si="1"/>
        <v/>
      </c>
      <c r="C88" s="2" t="s">
        <v>2801</v>
      </c>
    </row>
    <row r="89" ht="12.75" customHeight="1">
      <c r="A89" s="3" t="s">
        <v>2810</v>
      </c>
      <c r="B89" s="3" t="str">
        <f t="shared" si="1"/>
        <v>0.04</v>
      </c>
      <c r="C89" s="2" t="s">
        <v>2810</v>
      </c>
    </row>
    <row r="90" ht="12.75" customHeight="1">
      <c r="A90" s="3" t="s">
        <v>2836</v>
      </c>
      <c r="B90" s="3" t="str">
        <f t="shared" si="1"/>
        <v>13, 13, ONIX</v>
      </c>
      <c r="C90" s="2" t="s">
        <v>2836</v>
      </c>
    </row>
    <row r="91" ht="12.75" customHeight="1">
      <c r="A91" s="3" t="s">
        <v>2837</v>
      </c>
      <c r="B91" s="3" t="str">
        <f t="shared" si="1"/>
        <v>13, 13, CLEFAIRY</v>
      </c>
      <c r="C91" s="2" t="s">
        <v>2837</v>
      </c>
    </row>
    <row r="92" ht="12.75" customHeight="1">
      <c r="A92" s="3"/>
      <c r="B92" s="3" t="str">
        <f t="shared" si="1"/>
        <v/>
      </c>
      <c r="C92" s="2" t="s">
        <v>2801</v>
      </c>
    </row>
    <row r="93" ht="12.75" customHeight="1">
      <c r="A93" s="3" t="s">
        <v>2813</v>
      </c>
      <c r="B93" s="3" t="str">
        <f t="shared" si="1"/>
        <v>0.01</v>
      </c>
      <c r="C93" s="2" t="s">
        <v>2813</v>
      </c>
    </row>
    <row r="94" ht="12.75" customHeight="1">
      <c r="A94" s="3" t="s">
        <v>2838</v>
      </c>
      <c r="B94" s="3" t="str">
        <f t="shared" si="1"/>
        <v>13, 16, GOLBAT</v>
      </c>
      <c r="C94" s="2" t="s">
        <v>2838</v>
      </c>
    </row>
    <row r="95" ht="12.75" customHeight="1">
      <c r="A95" s="3" t="s">
        <v>2839</v>
      </c>
      <c r="B95" s="3" t="str">
        <f t="shared" si="1"/>
        <v>13, 16, GRAVELER , &lt;null&gt;, &lt;null&gt;, &lt;null&gt;</v>
      </c>
      <c r="C95" s="2" t="s">
        <v>2839</v>
      </c>
    </row>
    <row r="96" ht="12.75" customHeight="1">
      <c r="A96" s="3"/>
      <c r="B96" s="3" t="str">
        <f t="shared" si="1"/>
        <v/>
      </c>
      <c r="C96" s="2" t="s">
        <v>2801</v>
      </c>
    </row>
    <row r="97" ht="12.75" customHeight="1">
      <c r="A97" s="3" t="s">
        <v>2539</v>
      </c>
      <c r="B97" s="3" t="str">
        <f t="shared" si="1"/>
        <v>NEW ROUTE</v>
      </c>
      <c r="C97" s="2" t="s">
        <v>2539</v>
      </c>
    </row>
    <row r="98" ht="12.75" customHeight="1">
      <c r="A98" s="3" t="s">
        <v>2840</v>
      </c>
      <c r="B98" s="3" t="str">
        <f t="shared" si="1"/>
        <v>1, 4, 0, &lt;null&gt;,</v>
      </c>
      <c r="C98" s="2" t="s">
        <v>2840</v>
      </c>
    </row>
    <row r="99" ht="12.75" customHeight="1">
      <c r="A99" s="3"/>
      <c r="B99" s="3" t="str">
        <f t="shared" si="1"/>
        <v/>
      </c>
      <c r="C99" s="2" t="s">
        <v>2801</v>
      </c>
    </row>
    <row r="100" ht="12.75" customHeight="1">
      <c r="A100" s="3" t="s">
        <v>2841</v>
      </c>
      <c r="B100" s="3" t="str">
        <f t="shared" si="1"/>
        <v>1, 5, 10, TENTACOOL</v>
      </c>
      <c r="C100" s="2" t="s">
        <v>2841</v>
      </c>
    </row>
    <row r="101" ht="12.75" customHeight="1">
      <c r="A101" s="3" t="s">
        <v>2842</v>
      </c>
      <c r="B101" s="3" t="str">
        <f t="shared" si="1"/>
        <v>10, 20, TENTACOOL</v>
      </c>
      <c r="C101" s="2" t="s">
        <v>2842</v>
      </c>
    </row>
    <row r="102" ht="12.75" customHeight="1">
      <c r="A102" s="3" t="s">
        <v>2843</v>
      </c>
      <c r="B102" s="3" t="str">
        <f t="shared" si="1"/>
        <v>20, 30, TENTACOOL</v>
      </c>
      <c r="C102" s="2" t="s">
        <v>2843</v>
      </c>
    </row>
    <row r="103" ht="12.75" customHeight="1">
      <c r="A103" s="3" t="s">
        <v>2844</v>
      </c>
      <c r="B103" s="3" t="str">
        <f t="shared" si="1"/>
        <v>30, 35, TENTACOOL</v>
      </c>
      <c r="C103" s="2" t="s">
        <v>2844</v>
      </c>
    </row>
    <row r="104" ht="12.75" customHeight="1">
      <c r="A104" s="3" t="s">
        <v>2845</v>
      </c>
      <c r="B104" s="3" t="str">
        <f t="shared" si="1"/>
        <v>35, 40, TENTACOOL</v>
      </c>
      <c r="C104" s="2" t="s">
        <v>2845</v>
      </c>
    </row>
    <row r="105" ht="12.75" customHeight="1">
      <c r="A105" s="3" t="s">
        <v>2846</v>
      </c>
      <c r="B105" s="3" t="str">
        <f t="shared" si="1"/>
        <v>10, old rod:</v>
      </c>
      <c r="C105" s="2" t="s">
        <v>2846</v>
      </c>
    </row>
    <row r="106" ht="12.75" customHeight="1">
      <c r="A106" s="3" t="s">
        <v>417</v>
      </c>
      <c r="B106" s="3" t="str">
        <f t="shared" si="1"/>
        <v>5, 5, MAGIKARP</v>
      </c>
      <c r="C106" s="2" t="s">
        <v>417</v>
      </c>
    </row>
    <row r="107" ht="12.75" customHeight="1">
      <c r="A107" s="3" t="s">
        <v>417</v>
      </c>
      <c r="B107" s="3" t="str">
        <f t="shared" si="1"/>
        <v>5, 5, MAGIKARP</v>
      </c>
      <c r="C107" s="2" t="s">
        <v>417</v>
      </c>
    </row>
    <row r="108" ht="12.75" customHeight="1">
      <c r="A108" s="3"/>
      <c r="B108" s="3" t="str">
        <f t="shared" si="1"/>
        <v/>
      </c>
      <c r="C108" s="2" t="s">
        <v>2801</v>
      </c>
    </row>
    <row r="109" ht="12.75" customHeight="1">
      <c r="A109" s="3" t="s">
        <v>2847</v>
      </c>
      <c r="B109" s="3" t="str">
        <f t="shared" si="1"/>
        <v>good rod:</v>
      </c>
      <c r="C109" s="2" t="s">
        <v>2847</v>
      </c>
    </row>
    <row r="110" ht="12.75" customHeight="1">
      <c r="A110" s="3" t="s">
        <v>2848</v>
      </c>
      <c r="B110" s="3" t="str">
        <f t="shared" si="1"/>
        <v>5, 15, KRABBY</v>
      </c>
      <c r="C110" s="2" t="s">
        <v>2848</v>
      </c>
    </row>
    <row r="111" ht="12.75" customHeight="1">
      <c r="A111" s="3" t="s">
        <v>2849</v>
      </c>
      <c r="B111" s="3" t="str">
        <f t="shared" si="1"/>
        <v>5, 15, MAGIKARP</v>
      </c>
      <c r="C111" s="2" t="s">
        <v>2849</v>
      </c>
    </row>
    <row r="112" ht="12.75" customHeight="1">
      <c r="A112" s="3" t="s">
        <v>2850</v>
      </c>
      <c r="B112" s="3" t="str">
        <f t="shared" si="1"/>
        <v>5, 15, HORSEA</v>
      </c>
      <c r="C112" s="2" t="s">
        <v>2850</v>
      </c>
    </row>
    <row r="113" ht="12.75" customHeight="1">
      <c r="A113" s="3"/>
      <c r="B113" s="3" t="str">
        <f t="shared" si="1"/>
        <v/>
      </c>
      <c r="C113" s="2" t="s">
        <v>2801</v>
      </c>
    </row>
    <row r="114" ht="12.75" customHeight="1">
      <c r="A114" s="3" t="s">
        <v>2851</v>
      </c>
      <c r="B114" s="3" t="str">
        <f t="shared" si="1"/>
        <v>super rod:</v>
      </c>
      <c r="C114" s="2" t="s">
        <v>2851</v>
      </c>
    </row>
    <row r="115" ht="12.75" customHeight="1">
      <c r="A115" s="3" t="s">
        <v>2852</v>
      </c>
      <c r="B115" s="3" t="str">
        <f t="shared" si="1"/>
        <v>15, 25, KRABBY</v>
      </c>
      <c r="C115" s="2" t="s">
        <v>2852</v>
      </c>
    </row>
    <row r="116" ht="12.75" customHeight="1">
      <c r="A116" s="3" t="s">
        <v>2853</v>
      </c>
      <c r="B116" s="3" t="str">
        <f t="shared" si="1"/>
        <v>15, 25, STARYU</v>
      </c>
      <c r="C116" s="2" t="s">
        <v>2853</v>
      </c>
    </row>
    <row r="117" ht="12.75" customHeight="1">
      <c r="A117" s="3" t="s">
        <v>2854</v>
      </c>
      <c r="B117" s="3" t="str">
        <f t="shared" si="1"/>
        <v>15, 25, GYARADOS</v>
      </c>
      <c r="C117" s="2" t="s">
        <v>2854</v>
      </c>
    </row>
    <row r="118" ht="12.75" customHeight="1">
      <c r="A118" s="3" t="s">
        <v>2855</v>
      </c>
      <c r="B118" s="3" t="str">
        <f t="shared" si="1"/>
        <v>25, 35, KRABBY</v>
      </c>
      <c r="C118" s="2" t="s">
        <v>2855</v>
      </c>
    </row>
    <row r="119" ht="12.75" customHeight="1">
      <c r="A119" s="3" t="s">
        <v>2856</v>
      </c>
      <c r="B119" s="3" t="str">
        <f t="shared" si="1"/>
        <v>25, 35, SLOWPOKE</v>
      </c>
      <c r="C119" s="2" t="s">
        <v>2856</v>
      </c>
    </row>
    <row r="120" ht="12.75" customHeight="1">
      <c r="A120" s="3" t="s">
        <v>2539</v>
      </c>
      <c r="B120" s="3" t="str">
        <f t="shared" si="1"/>
        <v>NEW ROUTE</v>
      </c>
      <c r="C120" s="2" t="s">
        <v>2539</v>
      </c>
    </row>
    <row r="121" ht="12.75" customHeight="1">
      <c r="A121" s="3" t="s">
        <v>2857</v>
      </c>
      <c r="B121" s="3" t="str">
        <f t="shared" si="1"/>
        <v>1, 37, 0,</v>
      </c>
      <c r="C121" s="2" t="s">
        <v>2857</v>
      </c>
    </row>
    <row r="122" ht="12.75" customHeight="1">
      <c r="A122" s="3" t="s">
        <v>2824</v>
      </c>
      <c r="B122" s="3" t="str">
        <f t="shared" si="1"/>
        <v>20%</v>
      </c>
      <c r="C122" s="2" t="s">
        <v>2799</v>
      </c>
    </row>
    <row r="123" ht="12.75" customHeight="1">
      <c r="A123" s="3" t="s">
        <v>430</v>
      </c>
      <c r="B123" s="3" t="str">
        <f t="shared" si="1"/>
        <v>18, 18, DIGLETT</v>
      </c>
      <c r="C123" s="2" t="s">
        <v>430</v>
      </c>
    </row>
    <row r="124" ht="12.75" customHeight="1">
      <c r="A124" s="3" t="s">
        <v>2858</v>
      </c>
      <c r="B124" s="3" t="str">
        <f t="shared" si="1"/>
        <v>19, 19, DIGLETT</v>
      </c>
      <c r="C124" s="2" t="s">
        <v>2858</v>
      </c>
    </row>
    <row r="125" ht="12.75" customHeight="1">
      <c r="A125" s="3"/>
      <c r="B125" s="3" t="str">
        <f t="shared" si="1"/>
        <v/>
      </c>
      <c r="C125" s="2" t="s">
        <v>2801</v>
      </c>
    </row>
    <row r="126" ht="12.75" customHeight="1">
      <c r="A126" s="3" t="s">
        <v>2802</v>
      </c>
      <c r="B126" s="3" t="str">
        <f t="shared" si="1"/>
        <v>0.1</v>
      </c>
      <c r="C126" s="2" t="s">
        <v>2802</v>
      </c>
    </row>
    <row r="127" ht="12.75" customHeight="1">
      <c r="A127" s="3" t="s">
        <v>2859</v>
      </c>
      <c r="B127" s="3" t="str">
        <f t="shared" si="1"/>
        <v>20, 20, DIGLETT</v>
      </c>
      <c r="C127" s="2" t="s">
        <v>2859</v>
      </c>
    </row>
    <row r="128" ht="12.75" customHeight="1">
      <c r="A128" s="3" t="s">
        <v>2860</v>
      </c>
      <c r="B128" s="3" t="str">
        <f t="shared" si="1"/>
        <v>21, 21, DIGLETT</v>
      </c>
      <c r="C128" s="2" t="s">
        <v>2860</v>
      </c>
    </row>
    <row r="129" ht="12.75" customHeight="1">
      <c r="A129" s="3" t="s">
        <v>2861</v>
      </c>
      <c r="B129" s="3" t="str">
        <f t="shared" si="1"/>
        <v>22, 22, DIGLETT</v>
      </c>
      <c r="C129" s="2" t="s">
        <v>2861</v>
      </c>
    </row>
    <row r="130" ht="12.75" customHeight="1">
      <c r="A130" s="3" t="s">
        <v>2862</v>
      </c>
      <c r="B130" s="3" t="str">
        <f t="shared" si="1"/>
        <v>19, 19, DUGTRIO</v>
      </c>
      <c r="C130" s="2" t="s">
        <v>2862</v>
      </c>
    </row>
    <row r="131" ht="12.75" customHeight="1">
      <c r="A131" s="3"/>
      <c r="B131" s="3" t="str">
        <f t="shared" si="1"/>
        <v/>
      </c>
      <c r="C131" s="2" t="s">
        <v>2801</v>
      </c>
    </row>
    <row r="132" ht="12.75" customHeight="1">
      <c r="A132" s="3" t="s">
        <v>2807</v>
      </c>
      <c r="B132" s="3" t="str">
        <f t="shared" si="1"/>
        <v>0.05</v>
      </c>
      <c r="C132" s="2" t="s">
        <v>2807</v>
      </c>
    </row>
    <row r="133" ht="12.75" customHeight="1">
      <c r="A133" s="3" t="s">
        <v>2863</v>
      </c>
      <c r="B133" s="3" t="str">
        <f t="shared" si="1"/>
        <v>23, 23, DIGLETT</v>
      </c>
      <c r="C133" s="2" t="s">
        <v>2863</v>
      </c>
    </row>
    <row r="134" ht="12.75" customHeight="1">
      <c r="A134" s="3" t="s">
        <v>2864</v>
      </c>
      <c r="B134" s="3" t="str">
        <f t="shared" si="1"/>
        <v>24, 24, DIGLETT</v>
      </c>
      <c r="C134" s="2" t="s">
        <v>2864</v>
      </c>
    </row>
    <row r="135" ht="12.75" customHeight="1">
      <c r="A135" s="3"/>
      <c r="B135" s="3" t="str">
        <f t="shared" si="1"/>
        <v/>
      </c>
      <c r="C135" s="2" t="s">
        <v>2801</v>
      </c>
    </row>
    <row r="136" ht="12.75" customHeight="1">
      <c r="A136" s="3" t="s">
        <v>2810</v>
      </c>
      <c r="B136" s="3" t="str">
        <f t="shared" si="1"/>
        <v>0.04</v>
      </c>
      <c r="C136" s="2" t="s">
        <v>2810</v>
      </c>
    </row>
    <row r="137" ht="12.75" customHeight="1">
      <c r="A137" s="3" t="s">
        <v>2865</v>
      </c>
      <c r="B137" s="3" t="str">
        <f t="shared" si="1"/>
        <v>20, 23, DUGTRIO</v>
      </c>
      <c r="C137" s="2" t="s">
        <v>2865</v>
      </c>
    </row>
    <row r="138" ht="12.75" customHeight="1">
      <c r="A138" s="3" t="s">
        <v>2866</v>
      </c>
      <c r="B138" s="3" t="str">
        <f t="shared" si="1"/>
        <v>24, 26, DUGTRIO</v>
      </c>
      <c r="C138" s="2" t="s">
        <v>2866</v>
      </c>
    </row>
    <row r="139" ht="12.75" customHeight="1">
      <c r="A139" s="3"/>
      <c r="B139" s="3" t="str">
        <f t="shared" si="1"/>
        <v/>
      </c>
      <c r="C139" s="2" t="s">
        <v>2801</v>
      </c>
    </row>
    <row r="140" ht="12.75" customHeight="1">
      <c r="A140" s="3" t="s">
        <v>2813</v>
      </c>
      <c r="B140" s="3" t="str">
        <f t="shared" si="1"/>
        <v>0.01</v>
      </c>
      <c r="C140" s="2" t="s">
        <v>2813</v>
      </c>
    </row>
    <row r="141" ht="12.75" customHeight="1">
      <c r="A141" s="3" t="s">
        <v>2867</v>
      </c>
      <c r="B141" s="3" t="str">
        <f t="shared" si="1"/>
        <v>27, 28, DUGTRIO</v>
      </c>
      <c r="C141" s="2" t="s">
        <v>2867</v>
      </c>
    </row>
    <row r="142" ht="12.75" customHeight="1">
      <c r="A142" s="3" t="s">
        <v>2868</v>
      </c>
      <c r="B142" s="3" t="str">
        <f t="shared" si="1"/>
        <v>30, 30, DUGROUPLE , &lt;null&gt;, &lt;null&gt;, &lt;null&gt;</v>
      </c>
      <c r="C142" s="2" t="s">
        <v>2868</v>
      </c>
    </row>
    <row r="143" ht="12.75" customHeight="1">
      <c r="A143" s="3"/>
      <c r="B143" s="3" t="str">
        <f t="shared" si="1"/>
        <v/>
      </c>
      <c r="C143" s="2" t="s">
        <v>2801</v>
      </c>
    </row>
    <row r="144" ht="12.75" customHeight="1">
      <c r="A144" s="3" t="s">
        <v>2539</v>
      </c>
      <c r="B144" s="3" t="str">
        <f t="shared" si="1"/>
        <v>NEW ROUTE</v>
      </c>
      <c r="C144" s="2" t="s">
        <v>2539</v>
      </c>
    </row>
    <row r="145" ht="12.75" customHeight="1">
      <c r="A145" s="3" t="s">
        <v>2869</v>
      </c>
      <c r="B145" s="3" t="str">
        <f t="shared" si="1"/>
        <v>1, 39, 0,</v>
      </c>
      <c r="C145" s="2" t="s">
        <v>2869</v>
      </c>
    </row>
    <row r="146" ht="12.75" customHeight="1">
      <c r="A146" s="3" t="s">
        <v>2817</v>
      </c>
      <c r="B146" s="3" t="str">
        <f t="shared" si="1"/>
        <v>20%</v>
      </c>
      <c r="C146" s="2" t="s">
        <v>2799</v>
      </c>
    </row>
    <row r="147" ht="12.75" customHeight="1">
      <c r="A147" s="3" t="s">
        <v>443</v>
      </c>
      <c r="B147" s="3" t="str">
        <f t="shared" si="1"/>
        <v>51, 56, NOHTYP</v>
      </c>
      <c r="C147" s="2" t="s">
        <v>443</v>
      </c>
    </row>
    <row r="148" ht="12.75" customHeight="1">
      <c r="A148" s="3" t="s">
        <v>2870</v>
      </c>
      <c r="B148" s="3" t="str">
        <f t="shared" si="1"/>
        <v>51, 56, CROBAT</v>
      </c>
      <c r="C148" s="2" t="s">
        <v>2870</v>
      </c>
    </row>
    <row r="149" ht="12.75" customHeight="1">
      <c r="A149" s="3"/>
      <c r="B149" s="3" t="str">
        <f t="shared" si="1"/>
        <v/>
      </c>
      <c r="C149" s="2" t="s">
        <v>2801</v>
      </c>
    </row>
    <row r="150" ht="12.75" customHeight="1">
      <c r="A150" s="3" t="s">
        <v>2802</v>
      </c>
      <c r="B150" s="3" t="str">
        <f t="shared" si="1"/>
        <v>0.1</v>
      </c>
      <c r="C150" s="2" t="s">
        <v>2802</v>
      </c>
    </row>
    <row r="151" ht="12.75" customHeight="1">
      <c r="A151" s="3" t="s">
        <v>2871</v>
      </c>
      <c r="B151" s="3" t="str">
        <f t="shared" si="1"/>
        <v>51, 56, MACHAMP</v>
      </c>
      <c r="C151" s="2" t="s">
        <v>2871</v>
      </c>
    </row>
    <row r="152" ht="12.75" customHeight="1">
      <c r="A152" s="3" t="s">
        <v>2872</v>
      </c>
      <c r="B152" s="3" t="str">
        <f t="shared" si="1"/>
        <v>51, 56, GOLEM</v>
      </c>
      <c r="C152" s="2" t="s">
        <v>2872</v>
      </c>
    </row>
    <row r="153" ht="12.75" customHeight="1">
      <c r="A153" s="3" t="s">
        <v>2873</v>
      </c>
      <c r="B153" s="3" t="str">
        <f t="shared" si="1"/>
        <v>53, 57, ADNOKANA</v>
      </c>
      <c r="C153" s="2" t="s">
        <v>2873</v>
      </c>
    </row>
    <row r="154" ht="12.75" customHeight="1">
      <c r="A154" s="3" t="s">
        <v>2874</v>
      </c>
      <c r="B154" s="3" t="str">
        <f t="shared" si="1"/>
        <v>53, 57, POLABAT</v>
      </c>
      <c r="C154" s="2" t="s">
        <v>2874</v>
      </c>
    </row>
    <row r="155" ht="12.75" customHeight="1">
      <c r="A155" s="3"/>
      <c r="B155" s="3" t="str">
        <f t="shared" si="1"/>
        <v/>
      </c>
      <c r="C155" s="2" t="s">
        <v>2801</v>
      </c>
    </row>
    <row r="156" ht="12.75" customHeight="1">
      <c r="A156" s="3" t="s">
        <v>2807</v>
      </c>
      <c r="B156" s="3" t="str">
        <f t="shared" si="1"/>
        <v>0.05</v>
      </c>
      <c r="C156" s="2" t="s">
        <v>2807</v>
      </c>
    </row>
    <row r="157" ht="12.75" customHeight="1">
      <c r="A157" s="3" t="s">
        <v>2875</v>
      </c>
      <c r="B157" s="3" t="str">
        <f t="shared" si="1"/>
        <v>53, 57, MACHULK</v>
      </c>
      <c r="C157" s="2" t="s">
        <v>2875</v>
      </c>
    </row>
    <row r="158" ht="12.75" customHeight="1">
      <c r="A158" s="3" t="s">
        <v>2876</v>
      </c>
      <c r="B158" s="3" t="str">
        <f t="shared" si="1"/>
        <v>53, 57, RHYMARKABL</v>
      </c>
      <c r="C158" s="2" t="s">
        <v>2876</v>
      </c>
    </row>
    <row r="159" ht="12.75" customHeight="1">
      <c r="A159" s="3"/>
      <c r="B159" s="3" t="str">
        <f t="shared" si="1"/>
        <v/>
      </c>
      <c r="C159" s="2" t="s">
        <v>2801</v>
      </c>
    </row>
    <row r="160" ht="12.75" customHeight="1">
      <c r="A160" s="3" t="s">
        <v>2810</v>
      </c>
      <c r="B160" s="3" t="str">
        <f t="shared" si="1"/>
        <v>0.04</v>
      </c>
      <c r="C160" s="2" t="s">
        <v>2810</v>
      </c>
    </row>
    <row r="161" ht="12.75" customHeight="1">
      <c r="A161" s="3" t="s">
        <v>2877</v>
      </c>
      <c r="B161" s="3" t="str">
        <f t="shared" si="1"/>
        <v>55, 57, PLATNIX</v>
      </c>
      <c r="C161" s="2" t="s">
        <v>2877</v>
      </c>
    </row>
    <row r="162" ht="12.75" customHeight="1">
      <c r="A162" s="3" t="s">
        <v>2878</v>
      </c>
      <c r="B162" s="3" t="str">
        <f t="shared" si="1"/>
        <v>55, 57, SLAGOLEM</v>
      </c>
      <c r="C162" s="2" t="s">
        <v>2878</v>
      </c>
    </row>
    <row r="163" ht="12.75" customHeight="1">
      <c r="A163" s="3"/>
      <c r="B163" s="3" t="str">
        <f t="shared" si="1"/>
        <v/>
      </c>
      <c r="C163" s="2" t="s">
        <v>2801</v>
      </c>
    </row>
    <row r="164" ht="12.75" customHeight="1">
      <c r="A164" s="3" t="s">
        <v>2813</v>
      </c>
      <c r="B164" s="3" t="str">
        <f t="shared" si="1"/>
        <v>0.01</v>
      </c>
      <c r="C164" s="2" t="s">
        <v>2813</v>
      </c>
    </row>
    <row r="165" ht="12.75" customHeight="1">
      <c r="A165" s="3" t="s">
        <v>2879</v>
      </c>
      <c r="B165" s="3" t="str">
        <f t="shared" si="1"/>
        <v>58, 60, MOLTREM</v>
      </c>
      <c r="C165" s="2" t="s">
        <v>2879</v>
      </c>
    </row>
    <row r="166" ht="12.75" customHeight="1">
      <c r="A166" s="3" t="s">
        <v>2880</v>
      </c>
      <c r="B166" s="3" t="str">
        <f t="shared" si="1"/>
        <v>58, 60, WRAIWRATH , &lt;null&gt;, &lt;null&gt;, &lt;null&gt;</v>
      </c>
      <c r="C166" s="2" t="s">
        <v>2880</v>
      </c>
    </row>
    <row r="167" ht="12.75" customHeight="1">
      <c r="A167" s="3"/>
      <c r="B167" s="3" t="str">
        <f t="shared" si="1"/>
        <v/>
      </c>
      <c r="C167" s="2" t="s">
        <v>2801</v>
      </c>
    </row>
    <row r="168" ht="12.75" customHeight="1">
      <c r="A168" s="3" t="s">
        <v>2539</v>
      </c>
      <c r="B168" s="3" t="str">
        <f t="shared" si="1"/>
        <v>NEW ROUTE</v>
      </c>
      <c r="C168" s="2" t="s">
        <v>2539</v>
      </c>
    </row>
    <row r="169" ht="12.75" customHeight="1">
      <c r="A169" s="3" t="s">
        <v>2881</v>
      </c>
      <c r="B169" s="3" t="str">
        <f t="shared" si="1"/>
        <v>1, 40, 0,</v>
      </c>
      <c r="C169" s="2" t="s">
        <v>2881</v>
      </c>
    </row>
    <row r="170" ht="12.75" customHeight="1">
      <c r="A170" s="3" t="s">
        <v>2817</v>
      </c>
      <c r="B170" s="3" t="str">
        <f t="shared" si="1"/>
        <v>20%</v>
      </c>
      <c r="C170" s="2" t="s">
        <v>2799</v>
      </c>
    </row>
    <row r="171" ht="12.75" customHeight="1">
      <c r="A171" s="3" t="s">
        <v>443</v>
      </c>
      <c r="B171" s="3" t="str">
        <f t="shared" si="1"/>
        <v>51, 56, NOHTYP</v>
      </c>
      <c r="C171" s="2" t="s">
        <v>443</v>
      </c>
    </row>
    <row r="172" ht="12.75" customHeight="1">
      <c r="A172" s="3" t="s">
        <v>2870</v>
      </c>
      <c r="B172" s="3" t="str">
        <f t="shared" si="1"/>
        <v>51, 56, CROBAT</v>
      </c>
      <c r="C172" s="2" t="s">
        <v>2870</v>
      </c>
    </row>
    <row r="173" ht="12.75" customHeight="1">
      <c r="A173" s="3"/>
      <c r="B173" s="3" t="str">
        <f t="shared" si="1"/>
        <v/>
      </c>
      <c r="C173" s="2" t="s">
        <v>2801</v>
      </c>
    </row>
    <row r="174" ht="12.75" customHeight="1">
      <c r="A174" s="3" t="s">
        <v>2802</v>
      </c>
      <c r="B174" s="3" t="str">
        <f t="shared" si="1"/>
        <v>0.1</v>
      </c>
      <c r="C174" s="2" t="s">
        <v>2802</v>
      </c>
    </row>
    <row r="175" ht="12.75" customHeight="1">
      <c r="A175" s="3" t="s">
        <v>2871</v>
      </c>
      <c r="B175" s="3" t="str">
        <f t="shared" si="1"/>
        <v>51, 56, MACHAMP</v>
      </c>
      <c r="C175" s="2" t="s">
        <v>2871</v>
      </c>
    </row>
    <row r="176" ht="12.75" customHeight="1">
      <c r="A176" s="3" t="s">
        <v>2872</v>
      </c>
      <c r="B176" s="3" t="str">
        <f t="shared" si="1"/>
        <v>51, 56, GOLEM</v>
      </c>
      <c r="C176" s="2" t="s">
        <v>2872</v>
      </c>
    </row>
    <row r="177" ht="12.75" customHeight="1">
      <c r="A177" s="3" t="s">
        <v>2873</v>
      </c>
      <c r="B177" s="3" t="str">
        <f t="shared" si="1"/>
        <v>53, 57, ADNOKANA</v>
      </c>
      <c r="C177" s="2" t="s">
        <v>2873</v>
      </c>
    </row>
    <row r="178" ht="12.75" customHeight="1">
      <c r="A178" s="3" t="s">
        <v>2874</v>
      </c>
      <c r="B178" s="3" t="str">
        <f t="shared" si="1"/>
        <v>53, 57, POLABAT</v>
      </c>
      <c r="C178" s="2" t="s">
        <v>2874</v>
      </c>
    </row>
    <row r="179" ht="12.75" customHeight="1">
      <c r="A179" s="3"/>
      <c r="B179" s="3" t="str">
        <f t="shared" si="1"/>
        <v/>
      </c>
      <c r="C179" s="2" t="s">
        <v>2801</v>
      </c>
    </row>
    <row r="180" ht="12.75" customHeight="1">
      <c r="A180" s="3" t="s">
        <v>2807</v>
      </c>
      <c r="B180" s="3" t="str">
        <f t="shared" si="1"/>
        <v>0.05</v>
      </c>
      <c r="C180" s="2" t="s">
        <v>2807</v>
      </c>
    </row>
    <row r="181" ht="12.75" customHeight="1">
      <c r="A181" s="3" t="s">
        <v>2875</v>
      </c>
      <c r="B181" s="3" t="str">
        <f t="shared" si="1"/>
        <v>53, 57, MACHULK</v>
      </c>
      <c r="C181" s="2" t="s">
        <v>2875</v>
      </c>
    </row>
    <row r="182" ht="12.75" customHeight="1">
      <c r="A182" s="3" t="s">
        <v>2876</v>
      </c>
      <c r="B182" s="3" t="str">
        <f t="shared" si="1"/>
        <v>53, 57, RHYMARKABL</v>
      </c>
      <c r="C182" s="2" t="s">
        <v>2876</v>
      </c>
    </row>
    <row r="183" ht="12.75" customHeight="1">
      <c r="A183" s="3"/>
      <c r="B183" s="3" t="str">
        <f t="shared" si="1"/>
        <v/>
      </c>
      <c r="C183" s="2" t="s">
        <v>2801</v>
      </c>
    </row>
    <row r="184" ht="12.75" customHeight="1">
      <c r="A184" s="3" t="s">
        <v>2810</v>
      </c>
      <c r="B184" s="3" t="str">
        <f t="shared" si="1"/>
        <v>0.04</v>
      </c>
      <c r="C184" s="2" t="s">
        <v>2810</v>
      </c>
    </row>
    <row r="185" ht="12.75" customHeight="1">
      <c r="A185" s="3" t="s">
        <v>2877</v>
      </c>
      <c r="B185" s="3" t="str">
        <f t="shared" si="1"/>
        <v>55, 57, PLATNIX</v>
      </c>
      <c r="C185" s="2" t="s">
        <v>2877</v>
      </c>
    </row>
    <row r="186" ht="12.75" customHeight="1">
      <c r="A186" s="3" t="s">
        <v>2878</v>
      </c>
      <c r="B186" s="3" t="str">
        <f t="shared" si="1"/>
        <v>55, 57, SLAGOLEM</v>
      </c>
      <c r="C186" s="2" t="s">
        <v>2878</v>
      </c>
    </row>
    <row r="187" ht="12.75" customHeight="1">
      <c r="A187" s="3"/>
      <c r="B187" s="3" t="str">
        <f t="shared" si="1"/>
        <v/>
      </c>
      <c r="C187" s="2" t="s">
        <v>2801</v>
      </c>
    </row>
    <row r="188" ht="12.75" customHeight="1">
      <c r="A188" s="3" t="s">
        <v>2813</v>
      </c>
      <c r="B188" s="3" t="str">
        <f t="shared" si="1"/>
        <v>0.01</v>
      </c>
      <c r="C188" s="2" t="s">
        <v>2813</v>
      </c>
    </row>
    <row r="189" ht="12.75" customHeight="1">
      <c r="A189" s="3" t="s">
        <v>2882</v>
      </c>
      <c r="B189" s="3" t="str">
        <f t="shared" si="1"/>
        <v>59, 61, MOLTREM</v>
      </c>
      <c r="C189" s="2" t="s">
        <v>2882</v>
      </c>
    </row>
    <row r="190" ht="12.75" customHeight="1">
      <c r="A190" s="3" t="s">
        <v>2883</v>
      </c>
      <c r="B190" s="3" t="str">
        <f t="shared" si="1"/>
        <v>59, 61, FERODILLO , &lt;null&gt;, &lt;null&gt;, &lt;null&gt;</v>
      </c>
      <c r="C190" s="2" t="s">
        <v>2883</v>
      </c>
    </row>
    <row r="191" ht="12.75" customHeight="1">
      <c r="A191" s="3"/>
      <c r="B191" s="3" t="str">
        <f t="shared" si="1"/>
        <v/>
      </c>
      <c r="C191" s="2" t="s">
        <v>2801</v>
      </c>
    </row>
    <row r="192" ht="12.75" customHeight="1">
      <c r="A192" s="3" t="s">
        <v>2539</v>
      </c>
      <c r="B192" s="3" t="str">
        <f t="shared" si="1"/>
        <v>NEW ROUTE</v>
      </c>
      <c r="C192" s="2" t="s">
        <v>2539</v>
      </c>
    </row>
    <row r="193" ht="12.75" customHeight="1">
      <c r="A193" s="3" t="s">
        <v>2884</v>
      </c>
      <c r="B193" s="3" t="str">
        <f t="shared" si="1"/>
        <v>1, 41, 0,</v>
      </c>
      <c r="C193" s="2" t="s">
        <v>2884</v>
      </c>
    </row>
    <row r="194" ht="12.75" customHeight="1">
      <c r="A194" s="3" t="s">
        <v>2817</v>
      </c>
      <c r="B194" s="3" t="str">
        <f t="shared" si="1"/>
        <v>20%</v>
      </c>
      <c r="C194" s="2" t="s">
        <v>2799</v>
      </c>
    </row>
    <row r="195" ht="12.75" customHeight="1">
      <c r="A195" s="3" t="s">
        <v>443</v>
      </c>
      <c r="B195" s="3" t="str">
        <f t="shared" si="1"/>
        <v>51, 56, NOHTYP</v>
      </c>
      <c r="C195" s="2" t="s">
        <v>443</v>
      </c>
    </row>
    <row r="196" ht="12.75" customHeight="1">
      <c r="A196" s="3" t="s">
        <v>2870</v>
      </c>
      <c r="B196" s="3" t="str">
        <f t="shared" si="1"/>
        <v>51, 56, CROBAT</v>
      </c>
      <c r="C196" s="2" t="s">
        <v>2870</v>
      </c>
    </row>
    <row r="197" ht="12.75" customHeight="1">
      <c r="A197" s="3"/>
      <c r="B197" s="3" t="str">
        <f t="shared" si="1"/>
        <v/>
      </c>
      <c r="C197" s="2" t="s">
        <v>2801</v>
      </c>
    </row>
    <row r="198" ht="12.75" customHeight="1">
      <c r="A198" s="3" t="s">
        <v>2802</v>
      </c>
      <c r="B198" s="3" t="str">
        <f t="shared" si="1"/>
        <v>0.1</v>
      </c>
      <c r="C198" s="2" t="s">
        <v>2802</v>
      </c>
    </row>
    <row r="199" ht="12.75" customHeight="1">
      <c r="A199" s="3" t="s">
        <v>2871</v>
      </c>
      <c r="B199" s="3" t="str">
        <f t="shared" si="1"/>
        <v>51, 56, MACHAMP</v>
      </c>
      <c r="C199" s="2" t="s">
        <v>2871</v>
      </c>
    </row>
    <row r="200" ht="12.75" customHeight="1">
      <c r="A200" s="3" t="s">
        <v>2872</v>
      </c>
      <c r="B200" s="3" t="str">
        <f t="shared" si="1"/>
        <v>51, 56, GOLEM</v>
      </c>
      <c r="C200" s="2" t="s">
        <v>2872</v>
      </c>
    </row>
    <row r="201" ht="12.75" customHeight="1">
      <c r="A201" s="3" t="s">
        <v>2873</v>
      </c>
      <c r="B201" s="3" t="str">
        <f t="shared" si="1"/>
        <v>53, 57, ADNOKANA</v>
      </c>
      <c r="C201" s="2" t="s">
        <v>2873</v>
      </c>
    </row>
    <row r="202" ht="12.75" customHeight="1">
      <c r="A202" s="3" t="s">
        <v>2874</v>
      </c>
      <c r="B202" s="3" t="str">
        <f t="shared" si="1"/>
        <v>53, 57, POLABAT</v>
      </c>
      <c r="C202" s="2" t="s">
        <v>2874</v>
      </c>
    </row>
    <row r="203" ht="12.75" customHeight="1">
      <c r="A203" s="3"/>
      <c r="B203" s="3" t="str">
        <f t="shared" si="1"/>
        <v/>
      </c>
      <c r="C203" s="2" t="s">
        <v>2801</v>
      </c>
    </row>
    <row r="204" ht="12.75" customHeight="1">
      <c r="A204" s="3" t="s">
        <v>2807</v>
      </c>
      <c r="B204" s="3" t="str">
        <f t="shared" si="1"/>
        <v>0.05</v>
      </c>
      <c r="C204" s="2" t="s">
        <v>2807</v>
      </c>
    </row>
    <row r="205" ht="12.75" customHeight="1">
      <c r="A205" s="3" t="s">
        <v>2875</v>
      </c>
      <c r="B205" s="3" t="str">
        <f t="shared" si="1"/>
        <v>53, 57, MACHULK</v>
      </c>
      <c r="C205" s="2" t="s">
        <v>2875</v>
      </c>
    </row>
    <row r="206" ht="12.75" customHeight="1">
      <c r="A206" s="3" t="s">
        <v>2876</v>
      </c>
      <c r="B206" s="3" t="str">
        <f t="shared" si="1"/>
        <v>53, 57, RHYMARKABL</v>
      </c>
      <c r="C206" s="2" t="s">
        <v>2876</v>
      </c>
    </row>
    <row r="207" ht="12.75" customHeight="1">
      <c r="A207" s="3"/>
      <c r="B207" s="3" t="str">
        <f t="shared" si="1"/>
        <v/>
      </c>
      <c r="C207" s="2" t="s">
        <v>2801</v>
      </c>
    </row>
    <row r="208" ht="12.75" customHeight="1">
      <c r="A208" s="3" t="s">
        <v>2810</v>
      </c>
      <c r="B208" s="3" t="str">
        <f t="shared" si="1"/>
        <v>0.04</v>
      </c>
      <c r="C208" s="2" t="s">
        <v>2810</v>
      </c>
    </row>
    <row r="209" ht="12.75" customHeight="1">
      <c r="A209" s="3" t="s">
        <v>2877</v>
      </c>
      <c r="B209" s="3" t="str">
        <f t="shared" si="1"/>
        <v>55, 57, PLATNIX</v>
      </c>
      <c r="C209" s="2" t="s">
        <v>2877</v>
      </c>
    </row>
    <row r="210" ht="12.75" customHeight="1">
      <c r="A210" s="3" t="s">
        <v>2878</v>
      </c>
      <c r="B210" s="3" t="str">
        <f t="shared" si="1"/>
        <v>55, 57, SLAGOLEM</v>
      </c>
      <c r="C210" s="2" t="s">
        <v>2878</v>
      </c>
    </row>
    <row r="211" ht="12.75" customHeight="1">
      <c r="A211" s="3"/>
      <c r="B211" s="3" t="str">
        <f t="shared" si="1"/>
        <v/>
      </c>
      <c r="C211" s="2" t="s">
        <v>2801</v>
      </c>
    </row>
    <row r="212" ht="12.75" customHeight="1">
      <c r="A212" s="3" t="s">
        <v>2813</v>
      </c>
      <c r="B212" s="3" t="str">
        <f t="shared" si="1"/>
        <v>0.01</v>
      </c>
      <c r="C212" s="2" t="s">
        <v>2813</v>
      </c>
    </row>
    <row r="213" ht="12.75" customHeight="1">
      <c r="A213" s="3" t="s">
        <v>2885</v>
      </c>
      <c r="B213" s="3" t="str">
        <f t="shared" si="1"/>
        <v>60, 62, MOLTREM</v>
      </c>
      <c r="C213" s="2" t="s">
        <v>2885</v>
      </c>
    </row>
    <row r="214" ht="12.75" customHeight="1">
      <c r="A214" s="3" t="s">
        <v>2886</v>
      </c>
      <c r="B214" s="3" t="str">
        <f t="shared" si="1"/>
        <v>60, 62, CLAYMOR , &lt;null&gt;, &lt;null&gt;, &lt;null&gt;</v>
      </c>
      <c r="C214" s="2" t="s">
        <v>2886</v>
      </c>
    </row>
    <row r="215" ht="12.75" customHeight="1">
      <c r="A215" s="3"/>
      <c r="B215" s="3" t="str">
        <f t="shared" si="1"/>
        <v/>
      </c>
      <c r="C215" s="2" t="s">
        <v>2801</v>
      </c>
    </row>
    <row r="216" ht="12.75" customHeight="1">
      <c r="A216" s="3" t="s">
        <v>2539</v>
      </c>
      <c r="B216" s="3" t="str">
        <f t="shared" si="1"/>
        <v>NEW ROUTE</v>
      </c>
      <c r="C216" s="2" t="s">
        <v>2539</v>
      </c>
    </row>
    <row r="217" ht="12.75" customHeight="1">
      <c r="A217" s="3" t="s">
        <v>2887</v>
      </c>
      <c r="B217" s="3" t="str">
        <f t="shared" si="1"/>
        <v>1, 59, 0,</v>
      </c>
      <c r="C217" s="2" t="s">
        <v>2887</v>
      </c>
    </row>
    <row r="218" ht="12.75" customHeight="1">
      <c r="A218" s="3" t="s">
        <v>2817</v>
      </c>
      <c r="B218" s="3" t="str">
        <f t="shared" si="1"/>
        <v>20%</v>
      </c>
      <c r="C218" s="2" t="s">
        <v>2799</v>
      </c>
    </row>
    <row r="219" ht="12.75" customHeight="1">
      <c r="A219" s="3" t="s">
        <v>462</v>
      </c>
      <c r="B219" s="3" t="str">
        <f t="shared" si="1"/>
        <v>40, 44, RATTCHET</v>
      </c>
      <c r="C219" s="2" t="s">
        <v>462</v>
      </c>
    </row>
    <row r="220" ht="12.75" customHeight="1">
      <c r="A220" s="3" t="s">
        <v>2888</v>
      </c>
      <c r="B220" s="3" t="str">
        <f t="shared" si="1"/>
        <v>40, 44, NINETALES</v>
      </c>
      <c r="C220" s="2" t="s">
        <v>2888</v>
      </c>
    </row>
    <row r="221" ht="12.75" customHeight="1">
      <c r="A221" s="3"/>
      <c r="B221" s="3" t="str">
        <f t="shared" si="1"/>
        <v/>
      </c>
      <c r="C221" s="2" t="s">
        <v>2801</v>
      </c>
    </row>
    <row r="222" ht="12.75" customHeight="1">
      <c r="A222" s="3" t="s">
        <v>2802</v>
      </c>
      <c r="B222" s="3" t="str">
        <f t="shared" si="1"/>
        <v>0.1</v>
      </c>
      <c r="C222" s="2" t="s">
        <v>2802</v>
      </c>
    </row>
    <row r="223" ht="12.75" customHeight="1">
      <c r="A223" s="3" t="s">
        <v>2889</v>
      </c>
      <c r="B223" s="3" t="str">
        <f t="shared" si="1"/>
        <v>41, 42, ARCANINE</v>
      </c>
      <c r="C223" s="2" t="s">
        <v>2889</v>
      </c>
    </row>
    <row r="224" ht="12.75" customHeight="1">
      <c r="A224" s="3" t="s">
        <v>2890</v>
      </c>
      <c r="B224" s="3" t="str">
        <f t="shared" si="1"/>
        <v>43, 44, ARCANINE</v>
      </c>
      <c r="C224" s="2" t="s">
        <v>2890</v>
      </c>
    </row>
    <row r="225" ht="12.75" customHeight="1">
      <c r="A225" s="3" t="s">
        <v>2891</v>
      </c>
      <c r="B225" s="3" t="str">
        <f t="shared" si="1"/>
        <v>42, 44, WEEZING</v>
      </c>
      <c r="C225" s="2" t="s">
        <v>2891</v>
      </c>
    </row>
    <row r="226" ht="12.75" customHeight="1">
      <c r="A226" s="3" t="s">
        <v>2892</v>
      </c>
      <c r="B226" s="3" t="str">
        <f t="shared" si="1"/>
        <v>42, 44, MUK</v>
      </c>
      <c r="C226" s="2" t="s">
        <v>2892</v>
      </c>
    </row>
    <row r="227" ht="12.75" customHeight="1">
      <c r="A227" s="3"/>
      <c r="B227" s="3" t="str">
        <f t="shared" si="1"/>
        <v/>
      </c>
      <c r="C227" s="2" t="s">
        <v>2801</v>
      </c>
    </row>
    <row r="228" ht="12.75" customHeight="1">
      <c r="A228" s="3" t="s">
        <v>2807</v>
      </c>
      <c r="B228" s="3" t="str">
        <f t="shared" si="1"/>
        <v>0.05</v>
      </c>
      <c r="C228" s="2" t="s">
        <v>2807</v>
      </c>
    </row>
    <row r="229" ht="12.75" customHeight="1">
      <c r="A229" s="3" t="s">
        <v>2893</v>
      </c>
      <c r="B229" s="3" t="str">
        <f t="shared" si="1"/>
        <v>43, 45, SINGESHA</v>
      </c>
      <c r="C229" s="2" t="s">
        <v>2893</v>
      </c>
    </row>
    <row r="230" ht="12.75" customHeight="1">
      <c r="A230" s="3" t="s">
        <v>2894</v>
      </c>
      <c r="B230" s="3" t="str">
        <f t="shared" si="1"/>
        <v>43, 45, SPIRITALES</v>
      </c>
      <c r="C230" s="2" t="s">
        <v>2894</v>
      </c>
    </row>
    <row r="231" ht="12.75" customHeight="1">
      <c r="A231" s="3"/>
      <c r="B231" s="3" t="str">
        <f t="shared" si="1"/>
        <v/>
      </c>
      <c r="C231" s="2" t="s">
        <v>2801</v>
      </c>
    </row>
    <row r="232" ht="12.75" customHeight="1">
      <c r="A232" s="3" t="s">
        <v>2810</v>
      </c>
      <c r="B232" s="3" t="str">
        <f t="shared" si="1"/>
        <v>0.04</v>
      </c>
      <c r="C232" s="2" t="s">
        <v>2810</v>
      </c>
    </row>
    <row r="233" ht="12.75" customHeight="1">
      <c r="A233" s="3" t="s">
        <v>2895</v>
      </c>
      <c r="B233" s="3" t="str">
        <f t="shared" si="1"/>
        <v>45, 46, GUNK</v>
      </c>
      <c r="C233" s="2" t="s">
        <v>2895</v>
      </c>
    </row>
    <row r="234" ht="12.75" customHeight="1">
      <c r="A234" s="3" t="s">
        <v>2896</v>
      </c>
      <c r="B234" s="3" t="str">
        <f t="shared" si="1"/>
        <v>45, 46, HEEVING</v>
      </c>
      <c r="C234" s="2" t="s">
        <v>2896</v>
      </c>
    </row>
    <row r="235" ht="12.75" customHeight="1">
      <c r="A235" s="3"/>
      <c r="B235" s="3" t="str">
        <f t="shared" si="1"/>
        <v/>
      </c>
      <c r="C235" s="2" t="s">
        <v>2801</v>
      </c>
    </row>
    <row r="236" ht="12.75" customHeight="1">
      <c r="A236" s="3" t="s">
        <v>2813</v>
      </c>
      <c r="B236" s="3" t="str">
        <f t="shared" si="1"/>
        <v>0.01</v>
      </c>
      <c r="C236" s="2" t="s">
        <v>2813</v>
      </c>
    </row>
    <row r="237" ht="12.75" customHeight="1">
      <c r="A237" s="3" t="s">
        <v>2897</v>
      </c>
      <c r="B237" s="3" t="str">
        <f t="shared" si="1"/>
        <v>44, 47, RATTARULE</v>
      </c>
      <c r="C237" s="2" t="s">
        <v>2897</v>
      </c>
    </row>
    <row r="238" ht="12.75" customHeight="1">
      <c r="A238" s="3" t="s">
        <v>2898</v>
      </c>
      <c r="B238" s="3" t="str">
        <f t="shared" si="1"/>
        <v>20, 25, CHARMANDER , &lt;null&gt;, &lt;null&gt;, &lt;null&gt;</v>
      </c>
      <c r="C238" s="2" t="s">
        <v>2898</v>
      </c>
    </row>
    <row r="239" ht="12.75" customHeight="1">
      <c r="A239" s="3"/>
      <c r="B239" s="3" t="str">
        <f t="shared" si="1"/>
        <v/>
      </c>
      <c r="C239" s="2" t="s">
        <v>2801</v>
      </c>
    </row>
    <row r="240" ht="12.75" customHeight="1">
      <c r="A240" s="3" t="s">
        <v>2539</v>
      </c>
      <c r="B240" s="3" t="str">
        <f t="shared" si="1"/>
        <v>NEW ROUTE</v>
      </c>
      <c r="C240" s="2" t="s">
        <v>2539</v>
      </c>
    </row>
    <row r="241" ht="12.75" customHeight="1">
      <c r="A241" s="3" t="s">
        <v>2899</v>
      </c>
      <c r="B241" s="3" t="str">
        <f t="shared" si="1"/>
        <v>1, 60, 0,</v>
      </c>
      <c r="C241" s="2" t="s">
        <v>2899</v>
      </c>
    </row>
    <row r="242" ht="12.75" customHeight="1">
      <c r="A242" s="3" t="s">
        <v>2817</v>
      </c>
      <c r="B242" s="3" t="str">
        <f t="shared" si="1"/>
        <v>20%</v>
      </c>
      <c r="C242" s="2" t="s">
        <v>2799</v>
      </c>
    </row>
    <row r="243" ht="12.75" customHeight="1">
      <c r="A243" s="3" t="s">
        <v>462</v>
      </c>
      <c r="B243" s="3" t="str">
        <f t="shared" si="1"/>
        <v>40, 44, RATTCHET</v>
      </c>
      <c r="C243" s="2" t="s">
        <v>462</v>
      </c>
    </row>
    <row r="244" ht="12.75" customHeight="1">
      <c r="A244" s="3" t="s">
        <v>2888</v>
      </c>
      <c r="B244" s="3" t="str">
        <f t="shared" si="1"/>
        <v>40, 44, NINETALES</v>
      </c>
      <c r="C244" s="2" t="s">
        <v>2888</v>
      </c>
    </row>
    <row r="245" ht="12.75" customHeight="1">
      <c r="A245" s="3"/>
      <c r="B245" s="3" t="str">
        <f t="shared" si="1"/>
        <v/>
      </c>
      <c r="C245" s="2" t="s">
        <v>2801</v>
      </c>
    </row>
    <row r="246" ht="12.75" customHeight="1">
      <c r="A246" s="3" t="s">
        <v>2802</v>
      </c>
      <c r="B246" s="3" t="str">
        <f t="shared" si="1"/>
        <v>0.1</v>
      </c>
      <c r="C246" s="2" t="s">
        <v>2802</v>
      </c>
    </row>
    <row r="247" ht="12.75" customHeight="1">
      <c r="A247" s="3" t="s">
        <v>2889</v>
      </c>
      <c r="B247" s="3" t="str">
        <f t="shared" si="1"/>
        <v>41, 42, ARCANINE</v>
      </c>
      <c r="C247" s="2" t="s">
        <v>2889</v>
      </c>
    </row>
    <row r="248" ht="12.75" customHeight="1">
      <c r="A248" s="3" t="s">
        <v>2890</v>
      </c>
      <c r="B248" s="3" t="str">
        <f t="shared" si="1"/>
        <v>43, 44, ARCANINE</v>
      </c>
      <c r="C248" s="2" t="s">
        <v>2890</v>
      </c>
    </row>
    <row r="249" ht="12.75" customHeight="1">
      <c r="A249" s="3" t="s">
        <v>2891</v>
      </c>
      <c r="B249" s="3" t="str">
        <f t="shared" si="1"/>
        <v>42, 44, WEEZING</v>
      </c>
      <c r="C249" s="2" t="s">
        <v>2891</v>
      </c>
    </row>
    <row r="250" ht="12.75" customHeight="1">
      <c r="A250" s="3" t="s">
        <v>2892</v>
      </c>
      <c r="B250" s="3" t="str">
        <f t="shared" si="1"/>
        <v>42, 44, MUK</v>
      </c>
      <c r="C250" s="2" t="s">
        <v>2892</v>
      </c>
    </row>
    <row r="251" ht="12.75" customHeight="1">
      <c r="A251" s="3"/>
      <c r="B251" s="3" t="str">
        <f t="shared" si="1"/>
        <v/>
      </c>
      <c r="C251" s="2" t="s">
        <v>2801</v>
      </c>
    </row>
    <row r="252" ht="12.75" customHeight="1">
      <c r="A252" s="3" t="s">
        <v>2807</v>
      </c>
      <c r="B252" s="3" t="str">
        <f t="shared" si="1"/>
        <v>0.05</v>
      </c>
      <c r="C252" s="2" t="s">
        <v>2807</v>
      </c>
    </row>
    <row r="253" ht="12.75" customHeight="1">
      <c r="A253" s="3" t="s">
        <v>2893</v>
      </c>
      <c r="B253" s="3" t="str">
        <f t="shared" si="1"/>
        <v>43, 45, SINGESHA</v>
      </c>
      <c r="C253" s="2" t="s">
        <v>2893</v>
      </c>
    </row>
    <row r="254" ht="12.75" customHeight="1">
      <c r="A254" s="3" t="s">
        <v>2894</v>
      </c>
      <c r="B254" s="3" t="str">
        <f t="shared" si="1"/>
        <v>43, 45, SPIRITALES</v>
      </c>
      <c r="C254" s="2" t="s">
        <v>2894</v>
      </c>
    </row>
    <row r="255" ht="12.75" customHeight="1">
      <c r="A255" s="3"/>
      <c r="B255" s="3" t="str">
        <f t="shared" si="1"/>
        <v/>
      </c>
      <c r="C255" s="2" t="s">
        <v>2801</v>
      </c>
    </row>
    <row r="256" ht="12.75" customHeight="1">
      <c r="A256" s="3" t="s">
        <v>2810</v>
      </c>
      <c r="B256" s="3" t="str">
        <f t="shared" si="1"/>
        <v>0.04</v>
      </c>
      <c r="C256" s="2" t="s">
        <v>2810</v>
      </c>
    </row>
    <row r="257" ht="12.75" customHeight="1">
      <c r="A257" s="3" t="s">
        <v>2895</v>
      </c>
      <c r="B257" s="3" t="str">
        <f t="shared" si="1"/>
        <v>45, 46, GUNK</v>
      </c>
      <c r="C257" s="2" t="s">
        <v>2895</v>
      </c>
    </row>
    <row r="258" ht="12.75" customHeight="1">
      <c r="A258" s="3" t="s">
        <v>2896</v>
      </c>
      <c r="B258" s="3" t="str">
        <f t="shared" si="1"/>
        <v>45, 46, HEEVING</v>
      </c>
      <c r="C258" s="2" t="s">
        <v>2896</v>
      </c>
    </row>
    <row r="259" ht="12.75" customHeight="1">
      <c r="A259" s="3"/>
      <c r="B259" s="3" t="str">
        <f t="shared" si="1"/>
        <v/>
      </c>
      <c r="C259" s="2" t="s">
        <v>2801</v>
      </c>
    </row>
    <row r="260" ht="12.75" customHeight="1">
      <c r="A260" s="3" t="s">
        <v>2813</v>
      </c>
      <c r="B260" s="3" t="str">
        <f t="shared" si="1"/>
        <v>0.01</v>
      </c>
      <c r="C260" s="2" t="s">
        <v>2813</v>
      </c>
    </row>
    <row r="261" ht="12.75" customHeight="1">
      <c r="A261" s="3" t="s">
        <v>2897</v>
      </c>
      <c r="B261" s="3" t="str">
        <f t="shared" si="1"/>
        <v>44, 47, RATTARULE</v>
      </c>
      <c r="C261" s="2" t="s">
        <v>2897</v>
      </c>
    </row>
    <row r="262" ht="12.75" customHeight="1">
      <c r="A262" s="3" t="s">
        <v>2898</v>
      </c>
      <c r="B262" s="3" t="str">
        <f t="shared" si="1"/>
        <v>20, 25, CHARMANDER , &lt;null&gt;, &lt;null&gt;, &lt;null&gt;</v>
      </c>
      <c r="C262" s="2" t="s">
        <v>2898</v>
      </c>
    </row>
    <row r="263" ht="12.75" customHeight="1">
      <c r="A263" s="3"/>
      <c r="B263" s="3" t="str">
        <f t="shared" si="1"/>
        <v/>
      </c>
      <c r="C263" s="2" t="s">
        <v>2801</v>
      </c>
    </row>
    <row r="264" ht="12.75" customHeight="1">
      <c r="A264" s="3" t="s">
        <v>2539</v>
      </c>
      <c r="B264" s="3" t="str">
        <f t="shared" si="1"/>
        <v>NEW ROUTE</v>
      </c>
      <c r="C264" s="2" t="s">
        <v>2539</v>
      </c>
    </row>
    <row r="265" ht="12.75" customHeight="1">
      <c r="A265" s="3" t="s">
        <v>2900</v>
      </c>
      <c r="B265" s="3" t="str">
        <f t="shared" si="1"/>
        <v>1, 61, 0,</v>
      </c>
      <c r="C265" s="2" t="s">
        <v>2900</v>
      </c>
    </row>
    <row r="266" ht="12.75" customHeight="1">
      <c r="A266" s="3" t="s">
        <v>2817</v>
      </c>
      <c r="B266" s="3" t="str">
        <f t="shared" si="1"/>
        <v>20%</v>
      </c>
      <c r="C266" s="2" t="s">
        <v>2799</v>
      </c>
    </row>
    <row r="267" ht="12.75" customHeight="1">
      <c r="A267" s="3" t="s">
        <v>462</v>
      </c>
      <c r="B267" s="3" t="str">
        <f t="shared" si="1"/>
        <v>40, 44, RATTCHET</v>
      </c>
      <c r="C267" s="2" t="s">
        <v>462</v>
      </c>
    </row>
    <row r="268" ht="12.75" customHeight="1">
      <c r="A268" s="3" t="s">
        <v>2888</v>
      </c>
      <c r="B268" s="3" t="str">
        <f t="shared" si="1"/>
        <v>40, 44, NINETALES</v>
      </c>
      <c r="C268" s="2" t="s">
        <v>2888</v>
      </c>
    </row>
    <row r="269" ht="12.75" customHeight="1">
      <c r="A269" s="3"/>
      <c r="B269" s="3" t="str">
        <f t="shared" si="1"/>
        <v/>
      </c>
      <c r="C269" s="2" t="s">
        <v>2801</v>
      </c>
    </row>
    <row r="270" ht="12.75" customHeight="1">
      <c r="A270" s="3" t="s">
        <v>2802</v>
      </c>
      <c r="B270" s="3" t="str">
        <f t="shared" si="1"/>
        <v>0.1</v>
      </c>
      <c r="C270" s="2" t="s">
        <v>2802</v>
      </c>
    </row>
    <row r="271" ht="12.75" customHeight="1">
      <c r="A271" s="3" t="s">
        <v>2889</v>
      </c>
      <c r="B271" s="3" t="str">
        <f t="shared" si="1"/>
        <v>41, 42, ARCANINE</v>
      </c>
      <c r="C271" s="2" t="s">
        <v>2889</v>
      </c>
    </row>
    <row r="272" ht="12.75" customHeight="1">
      <c r="A272" s="3" t="s">
        <v>2890</v>
      </c>
      <c r="B272" s="3" t="str">
        <f t="shared" si="1"/>
        <v>43, 44, ARCANINE</v>
      </c>
      <c r="C272" s="2" t="s">
        <v>2890</v>
      </c>
    </row>
    <row r="273" ht="12.75" customHeight="1">
      <c r="A273" s="3" t="s">
        <v>2891</v>
      </c>
      <c r="B273" s="3" t="str">
        <f t="shared" si="1"/>
        <v>42, 44, WEEZING</v>
      </c>
      <c r="C273" s="2" t="s">
        <v>2891</v>
      </c>
    </row>
    <row r="274" ht="12.75" customHeight="1">
      <c r="A274" s="3" t="s">
        <v>2892</v>
      </c>
      <c r="B274" s="3" t="str">
        <f t="shared" si="1"/>
        <v>42, 44, MUK</v>
      </c>
      <c r="C274" s="2" t="s">
        <v>2892</v>
      </c>
    </row>
    <row r="275" ht="12.75" customHeight="1">
      <c r="A275" s="3"/>
      <c r="B275" s="3" t="str">
        <f t="shared" si="1"/>
        <v/>
      </c>
      <c r="C275" s="2" t="s">
        <v>2801</v>
      </c>
    </row>
    <row r="276" ht="12.75" customHeight="1">
      <c r="A276" s="3" t="s">
        <v>2807</v>
      </c>
      <c r="B276" s="3" t="str">
        <f t="shared" si="1"/>
        <v>0.05</v>
      </c>
      <c r="C276" s="2" t="s">
        <v>2807</v>
      </c>
    </row>
    <row r="277" ht="12.75" customHeight="1">
      <c r="A277" s="3" t="s">
        <v>2893</v>
      </c>
      <c r="B277" s="3" t="str">
        <f t="shared" si="1"/>
        <v>43, 45, SINGESHA</v>
      </c>
      <c r="C277" s="2" t="s">
        <v>2893</v>
      </c>
    </row>
    <row r="278" ht="12.75" customHeight="1">
      <c r="A278" s="3" t="s">
        <v>2894</v>
      </c>
      <c r="B278" s="3" t="str">
        <f t="shared" si="1"/>
        <v>43, 45, SPIRITALES</v>
      </c>
      <c r="C278" s="2" t="s">
        <v>2894</v>
      </c>
    </row>
    <row r="279" ht="12.75" customHeight="1">
      <c r="A279" s="3"/>
      <c r="B279" s="3" t="str">
        <f t="shared" si="1"/>
        <v/>
      </c>
      <c r="C279" s="2" t="s">
        <v>2801</v>
      </c>
    </row>
    <row r="280" ht="12.75" customHeight="1">
      <c r="A280" s="3" t="s">
        <v>2810</v>
      </c>
      <c r="B280" s="3" t="str">
        <f t="shared" si="1"/>
        <v>0.04</v>
      </c>
      <c r="C280" s="2" t="s">
        <v>2810</v>
      </c>
    </row>
    <row r="281" ht="12.75" customHeight="1">
      <c r="A281" s="3" t="s">
        <v>2895</v>
      </c>
      <c r="B281" s="3" t="str">
        <f t="shared" si="1"/>
        <v>45, 46, GUNK</v>
      </c>
      <c r="C281" s="2" t="s">
        <v>2895</v>
      </c>
    </row>
    <row r="282" ht="12.75" customHeight="1">
      <c r="A282" s="3" t="s">
        <v>2896</v>
      </c>
      <c r="B282" s="3" t="str">
        <f t="shared" si="1"/>
        <v>45, 46, HEEVING</v>
      </c>
      <c r="C282" s="2" t="s">
        <v>2896</v>
      </c>
    </row>
    <row r="283" ht="12.75" customHeight="1">
      <c r="A283" s="3"/>
      <c r="B283" s="3" t="str">
        <f t="shared" si="1"/>
        <v/>
      </c>
      <c r="C283" s="2" t="s">
        <v>2801</v>
      </c>
    </row>
    <row r="284" ht="12.75" customHeight="1">
      <c r="A284" s="3" t="s">
        <v>2813</v>
      </c>
      <c r="B284" s="3" t="str">
        <f t="shared" si="1"/>
        <v>0.01</v>
      </c>
      <c r="C284" s="2" t="s">
        <v>2813</v>
      </c>
    </row>
    <row r="285" ht="12.75" customHeight="1">
      <c r="A285" s="3" t="s">
        <v>2897</v>
      </c>
      <c r="B285" s="3" t="str">
        <f t="shared" si="1"/>
        <v>44, 47, RATTARULE</v>
      </c>
      <c r="C285" s="2" t="s">
        <v>2897</v>
      </c>
    </row>
    <row r="286" ht="12.75" customHeight="1">
      <c r="A286" s="3" t="s">
        <v>2898</v>
      </c>
      <c r="B286" s="3" t="str">
        <f t="shared" si="1"/>
        <v>20, 25, CHARMANDER , &lt;null&gt;, &lt;null&gt;, &lt;null&gt;</v>
      </c>
      <c r="C286" s="2" t="s">
        <v>2898</v>
      </c>
    </row>
    <row r="287" ht="12.75" customHeight="1">
      <c r="A287" s="3"/>
      <c r="B287" s="3" t="str">
        <f t="shared" si="1"/>
        <v/>
      </c>
      <c r="C287" s="2" t="s">
        <v>2801</v>
      </c>
    </row>
    <row r="288" ht="12.75" customHeight="1">
      <c r="A288" s="3" t="s">
        <v>2539</v>
      </c>
      <c r="B288" s="3" t="str">
        <f t="shared" si="1"/>
        <v>NEW ROUTE</v>
      </c>
      <c r="C288" s="2" t="s">
        <v>2539</v>
      </c>
    </row>
    <row r="289" ht="12.75" customHeight="1">
      <c r="A289" s="3" t="s">
        <v>2901</v>
      </c>
      <c r="B289" s="3" t="str">
        <f t="shared" si="1"/>
        <v>1, 62, 0,</v>
      </c>
      <c r="C289" s="2" t="s">
        <v>2901</v>
      </c>
    </row>
    <row r="290" ht="12.75" customHeight="1">
      <c r="A290" s="3" t="s">
        <v>2824</v>
      </c>
      <c r="B290" s="3" t="str">
        <f t="shared" si="1"/>
        <v>20%</v>
      </c>
      <c r="C290" s="2" t="s">
        <v>2799</v>
      </c>
    </row>
    <row r="291" ht="12.75" customHeight="1">
      <c r="A291" s="3" t="s">
        <v>462</v>
      </c>
      <c r="B291" s="3" t="str">
        <f t="shared" si="1"/>
        <v>40, 44, RATTCHET</v>
      </c>
      <c r="C291" s="2" t="s">
        <v>462</v>
      </c>
    </row>
    <row r="292" ht="12.75" customHeight="1">
      <c r="A292" s="3" t="s">
        <v>2888</v>
      </c>
      <c r="B292" s="3" t="str">
        <f t="shared" si="1"/>
        <v>40, 44, NINETALES</v>
      </c>
      <c r="C292" s="2" t="s">
        <v>2888</v>
      </c>
    </row>
    <row r="293" ht="12.75" customHeight="1">
      <c r="A293" s="3"/>
      <c r="B293" s="3" t="str">
        <f t="shared" si="1"/>
        <v/>
      </c>
      <c r="C293" s="2" t="s">
        <v>2801</v>
      </c>
    </row>
    <row r="294" ht="12.75" customHeight="1">
      <c r="A294" s="3" t="s">
        <v>2802</v>
      </c>
      <c r="B294" s="3" t="str">
        <f t="shared" si="1"/>
        <v>0.1</v>
      </c>
      <c r="C294" s="2" t="s">
        <v>2802</v>
      </c>
    </row>
    <row r="295" ht="12.75" customHeight="1">
      <c r="A295" s="3" t="s">
        <v>2889</v>
      </c>
      <c r="B295" s="3" t="str">
        <f t="shared" si="1"/>
        <v>41, 42, ARCANINE</v>
      </c>
      <c r="C295" s="2" t="s">
        <v>2889</v>
      </c>
    </row>
    <row r="296" ht="12.75" customHeight="1">
      <c r="A296" s="3" t="s">
        <v>2890</v>
      </c>
      <c r="B296" s="3" t="str">
        <f t="shared" si="1"/>
        <v>43, 44, ARCANINE</v>
      </c>
      <c r="C296" s="2" t="s">
        <v>2890</v>
      </c>
    </row>
    <row r="297" ht="12.75" customHeight="1">
      <c r="A297" s="3" t="s">
        <v>2891</v>
      </c>
      <c r="B297" s="3" t="str">
        <f t="shared" si="1"/>
        <v>42, 44, WEEZING</v>
      </c>
      <c r="C297" s="2" t="s">
        <v>2891</v>
      </c>
    </row>
    <row r="298" ht="12.75" customHeight="1">
      <c r="A298" s="3" t="s">
        <v>2892</v>
      </c>
      <c r="B298" s="3" t="str">
        <f t="shared" si="1"/>
        <v>42, 44, MUK</v>
      </c>
      <c r="C298" s="2" t="s">
        <v>2892</v>
      </c>
    </row>
    <row r="299" ht="12.75" customHeight="1">
      <c r="A299" s="3"/>
      <c r="B299" s="3" t="str">
        <f t="shared" si="1"/>
        <v/>
      </c>
      <c r="C299" s="2" t="s">
        <v>2801</v>
      </c>
    </row>
    <row r="300" ht="12.75" customHeight="1">
      <c r="A300" s="3" t="s">
        <v>2807</v>
      </c>
      <c r="B300" s="3" t="str">
        <f t="shared" si="1"/>
        <v>0.05</v>
      </c>
      <c r="C300" s="2" t="s">
        <v>2807</v>
      </c>
    </row>
    <row r="301" ht="12.75" customHeight="1">
      <c r="A301" s="3" t="s">
        <v>2902</v>
      </c>
      <c r="B301" s="3" t="str">
        <f t="shared" si="1"/>
        <v>43, 45, GUNK</v>
      </c>
      <c r="C301" s="2" t="s">
        <v>2902</v>
      </c>
    </row>
    <row r="302" ht="12.75" customHeight="1">
      <c r="A302" s="3" t="s">
        <v>2903</v>
      </c>
      <c r="B302" s="3" t="str">
        <f t="shared" si="1"/>
        <v>43, 45, HEEVING</v>
      </c>
      <c r="C302" s="2" t="s">
        <v>2903</v>
      </c>
    </row>
    <row r="303" ht="12.75" customHeight="1">
      <c r="A303" s="3"/>
      <c r="B303" s="3" t="str">
        <f t="shared" si="1"/>
        <v/>
      </c>
      <c r="C303" s="2" t="s">
        <v>2801</v>
      </c>
    </row>
    <row r="304" ht="12.75" customHeight="1">
      <c r="A304" s="3" t="s">
        <v>2810</v>
      </c>
      <c r="B304" s="3" t="str">
        <f t="shared" si="1"/>
        <v>0.04</v>
      </c>
      <c r="C304" s="2" t="s">
        <v>2810</v>
      </c>
    </row>
    <row r="305" ht="12.75" customHeight="1">
      <c r="A305" s="3" t="s">
        <v>2904</v>
      </c>
      <c r="B305" s="3" t="str">
        <f t="shared" si="1"/>
        <v>45, 46, RATTARULE</v>
      </c>
      <c r="C305" s="2" t="s">
        <v>2904</v>
      </c>
    </row>
    <row r="306" ht="12.75" customHeight="1">
      <c r="A306" s="3" t="s">
        <v>2905</v>
      </c>
      <c r="B306" s="3" t="str">
        <f t="shared" si="1"/>
        <v>45, 46, DITTO</v>
      </c>
      <c r="C306" s="2" t="s">
        <v>2905</v>
      </c>
    </row>
    <row r="307" ht="12.75" customHeight="1">
      <c r="A307" s="3"/>
      <c r="B307" s="3" t="str">
        <f t="shared" si="1"/>
        <v/>
      </c>
      <c r="C307" s="2" t="s">
        <v>2801</v>
      </c>
    </row>
    <row r="308" ht="12.75" customHeight="1">
      <c r="A308" s="3" t="s">
        <v>2813</v>
      </c>
      <c r="B308" s="3" t="str">
        <f t="shared" si="1"/>
        <v>0.01</v>
      </c>
      <c r="C308" s="2" t="s">
        <v>2813</v>
      </c>
    </row>
    <row r="309" ht="12.75" customHeight="1">
      <c r="A309" s="3" t="s">
        <v>2906</v>
      </c>
      <c r="B309" s="3" t="str">
        <f t="shared" si="1"/>
        <v>20, 25, KABUTO</v>
      </c>
      <c r="C309" s="2" t="s">
        <v>2906</v>
      </c>
    </row>
    <row r="310" ht="12.75" customHeight="1">
      <c r="A310" s="3" t="s">
        <v>2907</v>
      </c>
      <c r="B310" s="3" t="str">
        <f t="shared" si="1"/>
        <v>20, 25, OMANYTE , &lt;null&gt;, &lt;null&gt;, &lt;null&gt;</v>
      </c>
      <c r="C310" s="2" t="s">
        <v>2907</v>
      </c>
    </row>
    <row r="311" ht="12.75" customHeight="1">
      <c r="A311" s="3"/>
      <c r="B311" s="3" t="str">
        <f t="shared" si="1"/>
        <v/>
      </c>
      <c r="C311" s="2" t="s">
        <v>2801</v>
      </c>
    </row>
    <row r="312" ht="12.75" customHeight="1">
      <c r="A312" s="3" t="s">
        <v>2539</v>
      </c>
      <c r="B312" s="3" t="str">
        <f t="shared" si="1"/>
        <v>NEW ROUTE</v>
      </c>
      <c r="C312" s="2" t="s">
        <v>2539</v>
      </c>
    </row>
    <row r="313" ht="12.75" customHeight="1">
      <c r="A313" s="3" t="s">
        <v>2908</v>
      </c>
      <c r="B313" s="3" t="str">
        <f t="shared" si="1"/>
        <v>1, 63, 0,</v>
      </c>
      <c r="C313" s="2" t="s">
        <v>2908</v>
      </c>
    </row>
    <row r="314" ht="12.75" customHeight="1">
      <c r="A314" s="3" t="s">
        <v>2909</v>
      </c>
      <c r="B314" s="3" t="str">
        <f t="shared" si="1"/>
        <v>20%</v>
      </c>
      <c r="C314" s="2" t="s">
        <v>2799</v>
      </c>
    </row>
    <row r="315" ht="12.75" customHeight="1">
      <c r="A315" s="3" t="s">
        <v>484</v>
      </c>
      <c r="B315" s="3" t="str">
        <f t="shared" si="1"/>
        <v>35, 40, NIDOKING</v>
      </c>
      <c r="C315" s="2" t="s">
        <v>484</v>
      </c>
    </row>
    <row r="316" ht="12.75" customHeight="1">
      <c r="A316" s="3" t="s">
        <v>2910</v>
      </c>
      <c r="B316" s="3" t="str">
        <f t="shared" si="1"/>
        <v>35, 40, NIDOQUEEN</v>
      </c>
      <c r="C316" s="2" t="s">
        <v>2910</v>
      </c>
    </row>
    <row r="317" ht="12.75" customHeight="1">
      <c r="A317" s="3"/>
      <c r="B317" s="3" t="str">
        <f t="shared" si="1"/>
        <v/>
      </c>
      <c r="C317" s="2" t="s">
        <v>2801</v>
      </c>
    </row>
    <row r="318" ht="12.75" customHeight="1">
      <c r="A318" s="3" t="s">
        <v>2802</v>
      </c>
      <c r="B318" s="3" t="str">
        <f t="shared" si="1"/>
        <v>0.1</v>
      </c>
      <c r="C318" s="2" t="s">
        <v>2802</v>
      </c>
    </row>
    <row r="319" ht="12.75" customHeight="1">
      <c r="A319" s="3" t="s">
        <v>2911</v>
      </c>
      <c r="B319" s="3" t="str">
        <f t="shared" si="1"/>
        <v>36, 41, PARASECT</v>
      </c>
      <c r="C319" s="2" t="s">
        <v>2911</v>
      </c>
    </row>
    <row r="320" ht="12.75" customHeight="1">
      <c r="A320" s="3" t="s">
        <v>2912</v>
      </c>
      <c r="B320" s="3" t="str">
        <f t="shared" si="1"/>
        <v>36, 41, VENOMOTH</v>
      </c>
      <c r="C320" s="2" t="s">
        <v>2912</v>
      </c>
    </row>
    <row r="321" ht="12.75" customHeight="1">
      <c r="A321" s="3" t="s">
        <v>2913</v>
      </c>
      <c r="B321" s="3" t="str">
        <f t="shared" si="1"/>
        <v>36, 41, EXEGGUTOR</v>
      </c>
      <c r="C321" s="2" t="s">
        <v>2913</v>
      </c>
    </row>
    <row r="322" ht="12.75" customHeight="1">
      <c r="A322" s="3" t="s">
        <v>2914</v>
      </c>
      <c r="B322" s="3" t="str">
        <f t="shared" si="1"/>
        <v>36, 41, RHYDON</v>
      </c>
      <c r="C322" s="2" t="s">
        <v>2914</v>
      </c>
    </row>
    <row r="323" ht="12.75" customHeight="1">
      <c r="A323" s="3"/>
      <c r="B323" s="3" t="str">
        <f t="shared" si="1"/>
        <v/>
      </c>
      <c r="C323" s="2" t="s">
        <v>2801</v>
      </c>
    </row>
    <row r="324" ht="12.75" customHeight="1">
      <c r="A324" s="3" t="s">
        <v>2807</v>
      </c>
      <c r="B324" s="3" t="str">
        <f t="shared" si="1"/>
        <v>0.05</v>
      </c>
      <c r="C324" s="2" t="s">
        <v>2807</v>
      </c>
    </row>
    <row r="325" ht="12.75" customHeight="1">
      <c r="A325" s="3" t="s">
        <v>2915</v>
      </c>
      <c r="B325" s="3" t="str">
        <f t="shared" si="1"/>
        <v>37, 39, SCIZOR</v>
      </c>
      <c r="C325" s="2" t="s">
        <v>2915</v>
      </c>
    </row>
    <row r="326" ht="12.75" customHeight="1">
      <c r="A326" s="3" t="s">
        <v>2916</v>
      </c>
      <c r="B326" s="3" t="str">
        <f t="shared" si="1"/>
        <v>37, 39, PINSIRIOR</v>
      </c>
      <c r="C326" s="2" t="s">
        <v>2916</v>
      </c>
    </row>
    <row r="327" ht="12.75" customHeight="1">
      <c r="A327" s="3"/>
      <c r="B327" s="3" t="str">
        <f t="shared" si="1"/>
        <v/>
      </c>
      <c r="C327" s="2" t="s">
        <v>2801</v>
      </c>
    </row>
    <row r="328" ht="12.75" customHeight="1">
      <c r="A328" s="3" t="s">
        <v>2810</v>
      </c>
      <c r="B328" s="3" t="str">
        <f t="shared" si="1"/>
        <v>0.04</v>
      </c>
      <c r="C328" s="2" t="s">
        <v>2810</v>
      </c>
    </row>
    <row r="329" ht="12.75" customHeight="1">
      <c r="A329" s="3" t="s">
        <v>2917</v>
      </c>
      <c r="B329" s="3" t="str">
        <f t="shared" si="1"/>
        <v>38, 42, CHANSEY</v>
      </c>
      <c r="C329" s="2" t="s">
        <v>2917</v>
      </c>
    </row>
    <row r="330" ht="12.75" customHeight="1">
      <c r="A330" s="3" t="s">
        <v>2918</v>
      </c>
      <c r="B330" s="3" t="str">
        <f t="shared" si="1"/>
        <v>38, 42, JOLTEON</v>
      </c>
      <c r="C330" s="2" t="s">
        <v>2918</v>
      </c>
    </row>
    <row r="331" ht="12.75" customHeight="1">
      <c r="A331" s="3"/>
      <c r="B331" s="3" t="str">
        <f t="shared" si="1"/>
        <v/>
      </c>
      <c r="C331" s="2" t="s">
        <v>2801</v>
      </c>
    </row>
    <row r="332" ht="12.75" customHeight="1">
      <c r="A332" s="3" t="s">
        <v>2813</v>
      </c>
      <c r="B332" s="3" t="str">
        <f t="shared" si="1"/>
        <v>0.01</v>
      </c>
      <c r="C332" s="2" t="s">
        <v>2813</v>
      </c>
    </row>
    <row r="333" ht="12.75" customHeight="1">
      <c r="A333" s="3" t="s">
        <v>2919</v>
      </c>
      <c r="B333" s="3" t="str">
        <f t="shared" si="1"/>
        <v>40, 40, BLISSEY</v>
      </c>
      <c r="C333" s="2" t="s">
        <v>2919</v>
      </c>
    </row>
    <row r="334" ht="12.75" customHeight="1">
      <c r="A334" s="3" t="s">
        <v>2920</v>
      </c>
      <c r="B334" s="3" t="str">
        <f t="shared" si="1"/>
        <v>40, 40, RHYPERIOR</v>
      </c>
      <c r="C334" s="2" t="s">
        <v>2920</v>
      </c>
    </row>
    <row r="335" ht="12.75" customHeight="1">
      <c r="A335" s="3" t="s">
        <v>2921</v>
      </c>
      <c r="B335" s="3" t="str">
        <f t="shared" si="1"/>
        <v>2, 38, 42, SLOWPOKE</v>
      </c>
      <c r="C335" s="2" t="s">
        <v>2921</v>
      </c>
    </row>
    <row r="336" ht="12.75" customHeight="1">
      <c r="A336" s="3" t="s">
        <v>2922</v>
      </c>
      <c r="B336" s="3" t="str">
        <f t="shared" si="1"/>
        <v>40, 42, PSYDUCK</v>
      </c>
      <c r="C336" s="2" t="s">
        <v>2922</v>
      </c>
    </row>
    <row r="337" ht="12.75" customHeight="1">
      <c r="A337" s="3" t="s">
        <v>2923</v>
      </c>
      <c r="B337" s="3" t="str">
        <f t="shared" si="1"/>
        <v>42, 46, SLOWBRO</v>
      </c>
      <c r="C337" s="2" t="s">
        <v>2923</v>
      </c>
    </row>
    <row r="338" ht="12.75" customHeight="1">
      <c r="A338" s="3" t="s">
        <v>2924</v>
      </c>
      <c r="B338" s="3" t="str">
        <f t="shared" si="1"/>
        <v>42, 46, GOLDUCK</v>
      </c>
      <c r="C338" s="2" t="s">
        <v>2924</v>
      </c>
    </row>
    <row r="339" ht="12.75" customHeight="1">
      <c r="A339" s="3" t="s">
        <v>2925</v>
      </c>
      <c r="B339" s="3" t="str">
        <f t="shared" si="1"/>
        <v>44, 48, VAPOREON</v>
      </c>
      <c r="C339" s="2" t="s">
        <v>2925</v>
      </c>
    </row>
    <row r="340" ht="12.75" customHeight="1">
      <c r="A340" s="3" t="s">
        <v>2926</v>
      </c>
      <c r="B340" s="3" t="str">
        <f t="shared" si="1"/>
        <v>20, old rod:</v>
      </c>
      <c r="C340" s="2" t="s">
        <v>2926</v>
      </c>
    </row>
    <row r="341" ht="12.75" customHeight="1">
      <c r="A341" s="3" t="s">
        <v>500</v>
      </c>
      <c r="B341" s="3" t="str">
        <f t="shared" si="1"/>
        <v>19, 26, MAGIKARP</v>
      </c>
      <c r="C341" s="2" t="s">
        <v>500</v>
      </c>
    </row>
    <row r="342" ht="12.75" customHeight="1">
      <c r="A342" s="3" t="s">
        <v>2927</v>
      </c>
      <c r="B342" s="3" t="str">
        <f t="shared" si="1"/>
        <v>19, 26, POLIWAG</v>
      </c>
      <c r="C342" s="2" t="s">
        <v>2927</v>
      </c>
    </row>
    <row r="343" ht="12.75" customHeight="1">
      <c r="A343" s="3"/>
      <c r="B343" s="3" t="str">
        <f t="shared" si="1"/>
        <v/>
      </c>
      <c r="C343" s="2" t="s">
        <v>2801</v>
      </c>
    </row>
    <row r="344" ht="12.75" customHeight="1">
      <c r="A344" s="3" t="s">
        <v>2847</v>
      </c>
      <c r="B344" s="3" t="str">
        <f t="shared" si="1"/>
        <v>good rod:</v>
      </c>
      <c r="C344" s="2" t="s">
        <v>2847</v>
      </c>
    </row>
    <row r="345" ht="12.75" customHeight="1">
      <c r="A345" s="3" t="s">
        <v>2928</v>
      </c>
      <c r="B345" s="3" t="str">
        <f t="shared" si="1"/>
        <v>29, 33, GYARADOS</v>
      </c>
      <c r="C345" s="2" t="s">
        <v>2928</v>
      </c>
    </row>
    <row r="346" ht="12.75" customHeight="1">
      <c r="A346" s="3" t="s">
        <v>2929</v>
      </c>
      <c r="B346" s="3" t="str">
        <f t="shared" si="1"/>
        <v>30, 35, POLIWAG</v>
      </c>
      <c r="C346" s="2" t="s">
        <v>2929</v>
      </c>
    </row>
    <row r="347" ht="12.75" customHeight="1">
      <c r="A347" s="3" t="s">
        <v>2930</v>
      </c>
      <c r="B347" s="3" t="str">
        <f t="shared" si="1"/>
        <v>30, 35, GOLDEEN</v>
      </c>
      <c r="C347" s="2" t="s">
        <v>2930</v>
      </c>
    </row>
    <row r="348" ht="12.75" customHeight="1">
      <c r="A348" s="3"/>
      <c r="B348" s="3" t="str">
        <f t="shared" si="1"/>
        <v/>
      </c>
      <c r="C348" s="2" t="s">
        <v>2801</v>
      </c>
    </row>
    <row r="349" ht="12.75" customHeight="1">
      <c r="A349" s="3" t="s">
        <v>2851</v>
      </c>
      <c r="B349" s="3" t="str">
        <f t="shared" si="1"/>
        <v>super rod:</v>
      </c>
      <c r="C349" s="2" t="s">
        <v>2851</v>
      </c>
    </row>
    <row r="350" ht="12.75" customHeight="1">
      <c r="A350" s="3" t="s">
        <v>2931</v>
      </c>
      <c r="B350" s="3" t="str">
        <f t="shared" si="1"/>
        <v>36, 40, POLIWHIRL</v>
      </c>
      <c r="C350" s="2" t="s">
        <v>2931</v>
      </c>
    </row>
    <row r="351" ht="12.75" customHeight="1">
      <c r="A351" s="3" t="s">
        <v>2932</v>
      </c>
      <c r="B351" s="3" t="str">
        <f t="shared" si="1"/>
        <v>36, 40, SEAKING</v>
      </c>
      <c r="C351" s="2" t="s">
        <v>2932</v>
      </c>
    </row>
    <row r="352" ht="12.75" customHeight="1">
      <c r="A352" s="3" t="s">
        <v>2933</v>
      </c>
      <c r="B352" s="3" t="str">
        <f t="shared" si="1"/>
        <v>38, 42, DRATINI</v>
      </c>
      <c r="C352" s="2" t="s">
        <v>2933</v>
      </c>
    </row>
    <row r="353" ht="12.75" customHeight="1">
      <c r="A353" s="3" t="s">
        <v>2934</v>
      </c>
      <c r="B353" s="3" t="str">
        <f t="shared" si="1"/>
        <v>38, 42, DRAGONAIR</v>
      </c>
      <c r="C353" s="2" t="s">
        <v>2934</v>
      </c>
    </row>
    <row r="354" ht="12.75" customHeight="1">
      <c r="A354" s="3" t="s">
        <v>2935</v>
      </c>
      <c r="B354" s="3" t="str">
        <f t="shared" si="1"/>
        <v>40, 44, DRAGONITE</v>
      </c>
      <c r="C354" s="2" t="s">
        <v>2935</v>
      </c>
    </row>
    <row r="355" ht="12.75" customHeight="1">
      <c r="A355" s="3" t="s">
        <v>2539</v>
      </c>
      <c r="B355" s="3" t="str">
        <f t="shared" si="1"/>
        <v>NEW ROUTE</v>
      </c>
      <c r="C355" s="2" t="s">
        <v>2539</v>
      </c>
    </row>
    <row r="356" ht="12.75" customHeight="1">
      <c r="A356" s="3" t="s">
        <v>2936</v>
      </c>
      <c r="B356" s="3" t="str">
        <f t="shared" si="1"/>
        <v>1, 64, 0,</v>
      </c>
      <c r="C356" s="2" t="s">
        <v>2936</v>
      </c>
    </row>
    <row r="357" ht="12.75" customHeight="1">
      <c r="A357" s="3" t="s">
        <v>2909</v>
      </c>
      <c r="B357" s="3" t="str">
        <f t="shared" si="1"/>
        <v>20%</v>
      </c>
      <c r="C357" s="2" t="s">
        <v>2799</v>
      </c>
    </row>
    <row r="358" ht="12.75" customHeight="1">
      <c r="A358" s="3" t="s">
        <v>484</v>
      </c>
      <c r="B358" s="3" t="str">
        <f t="shared" si="1"/>
        <v>35, 40, NIDOKING</v>
      </c>
      <c r="C358" s="2" t="s">
        <v>484</v>
      </c>
    </row>
    <row r="359" ht="12.75" customHeight="1">
      <c r="A359" s="3" t="s">
        <v>2910</v>
      </c>
      <c r="B359" s="3" t="str">
        <f t="shared" si="1"/>
        <v>35, 40, NIDOQUEEN</v>
      </c>
      <c r="C359" s="2" t="s">
        <v>2910</v>
      </c>
    </row>
    <row r="360" ht="12.75" customHeight="1">
      <c r="A360" s="3"/>
      <c r="B360" s="3" t="str">
        <f t="shared" si="1"/>
        <v/>
      </c>
      <c r="C360" s="2" t="s">
        <v>2801</v>
      </c>
    </row>
    <row r="361" ht="12.75" customHeight="1">
      <c r="A361" s="3" t="s">
        <v>2802</v>
      </c>
      <c r="B361" s="3" t="str">
        <f t="shared" si="1"/>
        <v>0.1</v>
      </c>
      <c r="C361" s="2" t="s">
        <v>2802</v>
      </c>
    </row>
    <row r="362" ht="12.75" customHeight="1">
      <c r="A362" s="3" t="s">
        <v>2911</v>
      </c>
      <c r="B362" s="3" t="str">
        <f t="shared" si="1"/>
        <v>36, 41, PARASECT</v>
      </c>
      <c r="C362" s="2" t="s">
        <v>2911</v>
      </c>
    </row>
    <row r="363" ht="12.75" customHeight="1">
      <c r="A363" s="3" t="s">
        <v>2912</v>
      </c>
      <c r="B363" s="3" t="str">
        <f t="shared" si="1"/>
        <v>36, 41, VENOMOTH</v>
      </c>
      <c r="C363" s="2" t="s">
        <v>2912</v>
      </c>
    </row>
    <row r="364" ht="12.75" customHeight="1">
      <c r="A364" s="3" t="s">
        <v>2937</v>
      </c>
      <c r="B364" s="3" t="str">
        <f t="shared" si="1"/>
        <v>36, 41, DODRIO</v>
      </c>
      <c r="C364" s="2" t="s">
        <v>2937</v>
      </c>
    </row>
    <row r="365" ht="12.75" customHeight="1">
      <c r="A365" s="3" t="s">
        <v>2938</v>
      </c>
      <c r="B365" s="3" t="str">
        <f t="shared" si="1"/>
        <v>36, 41, MAGMAR</v>
      </c>
      <c r="C365" s="2" t="s">
        <v>2938</v>
      </c>
    </row>
    <row r="366" ht="12.75" customHeight="1">
      <c r="A366" s="3"/>
      <c r="B366" s="3" t="str">
        <f t="shared" si="1"/>
        <v/>
      </c>
      <c r="C366" s="2" t="s">
        <v>2801</v>
      </c>
    </row>
    <row r="367" ht="12.75" customHeight="1">
      <c r="A367" s="3" t="s">
        <v>2807</v>
      </c>
      <c r="B367" s="3" t="str">
        <f t="shared" si="1"/>
        <v>0.05</v>
      </c>
      <c r="C367" s="2" t="s">
        <v>2807</v>
      </c>
    </row>
    <row r="368" ht="12.75" customHeight="1">
      <c r="A368" s="3" t="s">
        <v>2915</v>
      </c>
      <c r="B368" s="3" t="str">
        <f t="shared" si="1"/>
        <v>37, 39, SCIZOR</v>
      </c>
      <c r="C368" s="2" t="s">
        <v>2915</v>
      </c>
    </row>
    <row r="369" ht="12.75" customHeight="1">
      <c r="A369" s="3" t="s">
        <v>2916</v>
      </c>
      <c r="B369" s="3" t="str">
        <f t="shared" si="1"/>
        <v>37, 39, PINSIRIOR</v>
      </c>
      <c r="C369" s="2" t="s">
        <v>2916</v>
      </c>
    </row>
    <row r="370" ht="12.75" customHeight="1">
      <c r="A370" s="3"/>
      <c r="B370" s="3" t="str">
        <f t="shared" si="1"/>
        <v/>
      </c>
      <c r="C370" s="2" t="s">
        <v>2801</v>
      </c>
    </row>
    <row r="371" ht="12.75" customHeight="1">
      <c r="A371" s="3" t="s">
        <v>2810</v>
      </c>
      <c r="B371" s="3" t="str">
        <f t="shared" si="1"/>
        <v>0.04</v>
      </c>
      <c r="C371" s="2" t="s">
        <v>2810</v>
      </c>
    </row>
    <row r="372" ht="12.75" customHeight="1">
      <c r="A372" s="3" t="s">
        <v>2939</v>
      </c>
      <c r="B372" s="3" t="str">
        <f t="shared" si="1"/>
        <v>38, 42, KANGASKHAN</v>
      </c>
      <c r="C372" s="2" t="s">
        <v>2939</v>
      </c>
    </row>
    <row r="373" ht="12.75" customHeight="1">
      <c r="A373" s="3" t="s">
        <v>2940</v>
      </c>
      <c r="B373" s="3" t="str">
        <f t="shared" si="1"/>
        <v>38, 42, HITMONCHAN</v>
      </c>
      <c r="C373" s="2" t="s">
        <v>2940</v>
      </c>
    </row>
    <row r="374" ht="12.75" customHeight="1">
      <c r="A374" s="3"/>
      <c r="B374" s="3" t="str">
        <f t="shared" si="1"/>
        <v/>
      </c>
      <c r="C374" s="2" t="s">
        <v>2801</v>
      </c>
    </row>
    <row r="375" ht="12.75" customHeight="1">
      <c r="A375" s="3" t="s">
        <v>2813</v>
      </c>
      <c r="B375" s="3" t="str">
        <f t="shared" si="1"/>
        <v>0.01</v>
      </c>
      <c r="C375" s="2" t="s">
        <v>2813</v>
      </c>
    </row>
    <row r="376" ht="12.75" customHeight="1">
      <c r="A376" s="3" t="s">
        <v>2941</v>
      </c>
      <c r="B376" s="3" t="str">
        <f t="shared" si="1"/>
        <v>40, 40, KANGALLOUS</v>
      </c>
      <c r="C376" s="2" t="s">
        <v>2941</v>
      </c>
    </row>
    <row r="377" ht="12.75" customHeight="1">
      <c r="A377" s="3" t="s">
        <v>2942</v>
      </c>
      <c r="B377" s="3" t="str">
        <f t="shared" si="1"/>
        <v>40, 40, MAGMORTAR</v>
      </c>
      <c r="C377" s="2" t="s">
        <v>2942</v>
      </c>
    </row>
    <row r="378" ht="12.75" customHeight="1">
      <c r="A378" s="3" t="s">
        <v>2921</v>
      </c>
      <c r="B378" s="3" t="str">
        <f t="shared" si="1"/>
        <v>2, 38, 42, SLOWPOKE</v>
      </c>
      <c r="C378" s="2" t="s">
        <v>2921</v>
      </c>
    </row>
    <row r="379" ht="12.75" customHeight="1">
      <c r="A379" s="3" t="s">
        <v>2922</v>
      </c>
      <c r="B379" s="3" t="str">
        <f t="shared" si="1"/>
        <v>40, 42, PSYDUCK</v>
      </c>
      <c r="C379" s="2" t="s">
        <v>2922</v>
      </c>
    </row>
    <row r="380" ht="12.75" customHeight="1">
      <c r="A380" s="3" t="s">
        <v>2923</v>
      </c>
      <c r="B380" s="3" t="str">
        <f t="shared" si="1"/>
        <v>42, 46, SLOWBRO</v>
      </c>
      <c r="C380" s="2" t="s">
        <v>2923</v>
      </c>
    </row>
    <row r="381" ht="12.75" customHeight="1">
      <c r="A381" s="3" t="s">
        <v>2924</v>
      </c>
      <c r="B381" s="3" t="str">
        <f t="shared" si="1"/>
        <v>42, 46, GOLDUCK</v>
      </c>
      <c r="C381" s="2" t="s">
        <v>2924</v>
      </c>
    </row>
    <row r="382" ht="12.75" customHeight="1">
      <c r="A382" s="3" t="s">
        <v>2925</v>
      </c>
      <c r="B382" s="3" t="str">
        <f t="shared" si="1"/>
        <v>44, 48, VAPOREON</v>
      </c>
      <c r="C382" s="2" t="s">
        <v>2925</v>
      </c>
    </row>
    <row r="383" ht="12.75" customHeight="1">
      <c r="A383" s="3" t="s">
        <v>2926</v>
      </c>
      <c r="B383" s="3" t="str">
        <f t="shared" si="1"/>
        <v>20, old rod:</v>
      </c>
      <c r="C383" s="2" t="s">
        <v>2926</v>
      </c>
    </row>
    <row r="384" ht="12.75" customHeight="1">
      <c r="A384" s="3" t="s">
        <v>500</v>
      </c>
      <c r="B384" s="3" t="str">
        <f t="shared" si="1"/>
        <v>19, 26, MAGIKARP</v>
      </c>
      <c r="C384" s="2" t="s">
        <v>500</v>
      </c>
    </row>
    <row r="385" ht="12.75" customHeight="1">
      <c r="A385" s="3" t="s">
        <v>2927</v>
      </c>
      <c r="B385" s="3" t="str">
        <f t="shared" si="1"/>
        <v>19, 26, POLIWAG</v>
      </c>
      <c r="C385" s="2" t="s">
        <v>2927</v>
      </c>
    </row>
    <row r="386" ht="12.75" customHeight="1">
      <c r="A386" s="3"/>
      <c r="B386" s="3" t="str">
        <f t="shared" si="1"/>
        <v/>
      </c>
      <c r="C386" s="2" t="s">
        <v>2801</v>
      </c>
    </row>
    <row r="387" ht="12.75" customHeight="1">
      <c r="A387" s="3" t="s">
        <v>2847</v>
      </c>
      <c r="B387" s="3" t="str">
        <f t="shared" si="1"/>
        <v>good rod:</v>
      </c>
      <c r="C387" s="2" t="s">
        <v>2847</v>
      </c>
    </row>
    <row r="388" ht="12.75" customHeight="1">
      <c r="A388" s="3" t="s">
        <v>2928</v>
      </c>
      <c r="B388" s="3" t="str">
        <f t="shared" si="1"/>
        <v>29, 33, GYARADOS</v>
      </c>
      <c r="C388" s="2" t="s">
        <v>2928</v>
      </c>
    </row>
    <row r="389" ht="12.75" customHeight="1">
      <c r="A389" s="3" t="s">
        <v>2929</v>
      </c>
      <c r="B389" s="3" t="str">
        <f t="shared" si="1"/>
        <v>30, 35, POLIWAG</v>
      </c>
      <c r="C389" s="2" t="s">
        <v>2929</v>
      </c>
    </row>
    <row r="390" ht="12.75" customHeight="1">
      <c r="A390" s="3" t="s">
        <v>2930</v>
      </c>
      <c r="B390" s="3" t="str">
        <f t="shared" si="1"/>
        <v>30, 35, GOLDEEN</v>
      </c>
      <c r="C390" s="2" t="s">
        <v>2930</v>
      </c>
    </row>
    <row r="391" ht="12.75" customHeight="1">
      <c r="A391" s="3"/>
      <c r="B391" s="3" t="str">
        <f t="shared" si="1"/>
        <v/>
      </c>
      <c r="C391" s="2" t="s">
        <v>2801</v>
      </c>
    </row>
    <row r="392" ht="12.75" customHeight="1">
      <c r="A392" s="3" t="s">
        <v>2851</v>
      </c>
      <c r="B392" s="3" t="str">
        <f t="shared" si="1"/>
        <v>super rod:</v>
      </c>
      <c r="C392" s="2" t="s">
        <v>2851</v>
      </c>
    </row>
    <row r="393" ht="12.75" customHeight="1">
      <c r="A393" s="3" t="s">
        <v>2931</v>
      </c>
      <c r="B393" s="3" t="str">
        <f t="shared" si="1"/>
        <v>36, 40, POLIWHIRL</v>
      </c>
      <c r="C393" s="2" t="s">
        <v>2931</v>
      </c>
    </row>
    <row r="394" ht="12.75" customHeight="1">
      <c r="A394" s="3" t="s">
        <v>2932</v>
      </c>
      <c r="B394" s="3" t="str">
        <f t="shared" si="1"/>
        <v>36, 40, SEAKING</v>
      </c>
      <c r="C394" s="2" t="s">
        <v>2932</v>
      </c>
    </row>
    <row r="395" ht="12.75" customHeight="1">
      <c r="A395" s="3" t="s">
        <v>2933</v>
      </c>
      <c r="B395" s="3" t="str">
        <f t="shared" si="1"/>
        <v>38, 42, DRATINI</v>
      </c>
      <c r="C395" s="2" t="s">
        <v>2933</v>
      </c>
    </row>
    <row r="396" ht="12.75" customHeight="1">
      <c r="A396" s="3" t="s">
        <v>2934</v>
      </c>
      <c r="B396" s="3" t="str">
        <f t="shared" si="1"/>
        <v>38, 42, DRAGONAIR</v>
      </c>
      <c r="C396" s="2" t="s">
        <v>2934</v>
      </c>
    </row>
    <row r="397" ht="12.75" customHeight="1">
      <c r="A397" s="3" t="s">
        <v>2935</v>
      </c>
      <c r="B397" s="3" t="str">
        <f t="shared" si="1"/>
        <v>40, 44, DRAGONITE</v>
      </c>
      <c r="C397" s="2" t="s">
        <v>2935</v>
      </c>
    </row>
    <row r="398" ht="12.75" customHeight="1">
      <c r="A398" s="3" t="s">
        <v>2539</v>
      </c>
      <c r="B398" s="3" t="str">
        <f t="shared" si="1"/>
        <v>NEW ROUTE</v>
      </c>
      <c r="C398" s="2" t="s">
        <v>2539</v>
      </c>
    </row>
    <row r="399" ht="12.75" customHeight="1">
      <c r="A399" s="3" t="s">
        <v>2943</v>
      </c>
      <c r="B399" s="3" t="str">
        <f t="shared" si="1"/>
        <v>1, 65, 0,</v>
      </c>
      <c r="C399" s="2" t="s">
        <v>2943</v>
      </c>
    </row>
    <row r="400" ht="12.75" customHeight="1">
      <c r="A400" s="3" t="s">
        <v>2909</v>
      </c>
      <c r="B400" s="3" t="str">
        <f t="shared" si="1"/>
        <v>20%</v>
      </c>
      <c r="C400" s="2" t="s">
        <v>2799</v>
      </c>
    </row>
    <row r="401" ht="12.75" customHeight="1">
      <c r="A401" s="3" t="s">
        <v>484</v>
      </c>
      <c r="B401" s="3" t="str">
        <f t="shared" si="1"/>
        <v>35, 40, NIDOKING</v>
      </c>
      <c r="C401" s="2" t="s">
        <v>484</v>
      </c>
    </row>
    <row r="402" ht="12.75" customHeight="1">
      <c r="A402" s="3" t="s">
        <v>2910</v>
      </c>
      <c r="B402" s="3" t="str">
        <f t="shared" si="1"/>
        <v>35, 40, NIDOQUEEN</v>
      </c>
      <c r="C402" s="2" t="s">
        <v>2910</v>
      </c>
    </row>
    <row r="403" ht="12.75" customHeight="1">
      <c r="A403" s="3"/>
      <c r="B403" s="3" t="str">
        <f t="shared" si="1"/>
        <v/>
      </c>
      <c r="C403" s="2" t="s">
        <v>2801</v>
      </c>
    </row>
    <row r="404" ht="12.75" customHeight="1">
      <c r="A404" s="3" t="s">
        <v>2802</v>
      </c>
      <c r="B404" s="3" t="str">
        <f t="shared" si="1"/>
        <v>0.1</v>
      </c>
      <c r="C404" s="2" t="s">
        <v>2802</v>
      </c>
    </row>
    <row r="405" ht="12.75" customHeight="1">
      <c r="A405" s="3" t="s">
        <v>2911</v>
      </c>
      <c r="B405" s="3" t="str">
        <f t="shared" si="1"/>
        <v>36, 41, PARASECT</v>
      </c>
      <c r="C405" s="2" t="s">
        <v>2911</v>
      </c>
    </row>
    <row r="406" ht="12.75" customHeight="1">
      <c r="A406" s="3" t="s">
        <v>2912</v>
      </c>
      <c r="B406" s="3" t="str">
        <f t="shared" si="1"/>
        <v>36, 41, VENOMOTH</v>
      </c>
      <c r="C406" s="2" t="s">
        <v>2912</v>
      </c>
    </row>
    <row r="407" ht="12.75" customHeight="1">
      <c r="A407" s="3" t="s">
        <v>2944</v>
      </c>
      <c r="B407" s="3" t="str">
        <f t="shared" si="1"/>
        <v>36, 41, CLEFABLE</v>
      </c>
      <c r="C407" s="2" t="s">
        <v>2944</v>
      </c>
    </row>
    <row r="408" ht="12.75" customHeight="1">
      <c r="A408" s="3" t="s">
        <v>2945</v>
      </c>
      <c r="B408" s="3" t="str">
        <f t="shared" si="1"/>
        <v>36, 41, ELECTABUZZ</v>
      </c>
      <c r="C408" s="2" t="s">
        <v>2945</v>
      </c>
    </row>
    <row r="409" ht="12.75" customHeight="1">
      <c r="A409" s="3"/>
      <c r="B409" s="3" t="str">
        <f t="shared" si="1"/>
        <v/>
      </c>
      <c r="C409" s="2" t="s">
        <v>2801</v>
      </c>
    </row>
    <row r="410" ht="12.75" customHeight="1">
      <c r="A410" s="3" t="s">
        <v>2807</v>
      </c>
      <c r="B410" s="3" t="str">
        <f t="shared" si="1"/>
        <v>0.05</v>
      </c>
      <c r="C410" s="2" t="s">
        <v>2807</v>
      </c>
    </row>
    <row r="411" ht="12.75" customHeight="1">
      <c r="A411" s="3" t="s">
        <v>2915</v>
      </c>
      <c r="B411" s="3" t="str">
        <f t="shared" si="1"/>
        <v>37, 39, SCIZOR</v>
      </c>
      <c r="C411" s="2" t="s">
        <v>2915</v>
      </c>
    </row>
    <row r="412" ht="12.75" customHeight="1">
      <c r="A412" s="3" t="s">
        <v>2916</v>
      </c>
      <c r="B412" s="3" t="str">
        <f t="shared" si="1"/>
        <v>37, 39, PINSIRIOR</v>
      </c>
      <c r="C412" s="2" t="s">
        <v>2916</v>
      </c>
    </row>
    <row r="413" ht="12.75" customHeight="1">
      <c r="A413" s="3"/>
      <c r="B413" s="3" t="str">
        <f t="shared" si="1"/>
        <v/>
      </c>
      <c r="C413" s="2" t="s">
        <v>2801</v>
      </c>
    </row>
    <row r="414" ht="12.75" customHeight="1">
      <c r="A414" s="3" t="s">
        <v>2810</v>
      </c>
      <c r="B414" s="3" t="str">
        <f t="shared" si="1"/>
        <v>0.04</v>
      </c>
      <c r="C414" s="2" t="s">
        <v>2810</v>
      </c>
    </row>
    <row r="415" ht="12.75" customHeight="1">
      <c r="A415" s="3" t="s">
        <v>2946</v>
      </c>
      <c r="B415" s="3" t="str">
        <f t="shared" si="1"/>
        <v>38, 42, TAUROS</v>
      </c>
      <c r="C415" s="2" t="s">
        <v>2946</v>
      </c>
    </row>
    <row r="416" ht="12.75" customHeight="1">
      <c r="A416" s="3" t="s">
        <v>2947</v>
      </c>
      <c r="B416" s="3" t="str">
        <f t="shared" si="1"/>
        <v>38, 42, FLAREON</v>
      </c>
      <c r="C416" s="2" t="s">
        <v>2947</v>
      </c>
    </row>
    <row r="417" ht="12.75" customHeight="1">
      <c r="A417" s="3"/>
      <c r="B417" s="3" t="str">
        <f t="shared" si="1"/>
        <v/>
      </c>
      <c r="C417" s="2" t="s">
        <v>2801</v>
      </c>
    </row>
    <row r="418" ht="12.75" customHeight="1">
      <c r="A418" s="3" t="s">
        <v>2813</v>
      </c>
      <c r="B418" s="3" t="str">
        <f t="shared" si="1"/>
        <v>0.01</v>
      </c>
      <c r="C418" s="2" t="s">
        <v>2813</v>
      </c>
    </row>
    <row r="419" ht="12.75" customHeight="1">
      <c r="A419" s="3" t="s">
        <v>2948</v>
      </c>
      <c r="B419" s="3" t="str">
        <f t="shared" si="1"/>
        <v>40, 40, TAUROX</v>
      </c>
      <c r="C419" s="2" t="s">
        <v>2948</v>
      </c>
    </row>
    <row r="420" ht="12.75" customHeight="1">
      <c r="A420" s="3" t="s">
        <v>2949</v>
      </c>
      <c r="B420" s="3" t="str">
        <f t="shared" si="1"/>
        <v>40, 40, ELECTIVIRE</v>
      </c>
      <c r="C420" s="2" t="s">
        <v>2949</v>
      </c>
    </row>
    <row r="421" ht="12.75" customHeight="1">
      <c r="A421" s="3" t="s">
        <v>2921</v>
      </c>
      <c r="B421" s="3" t="str">
        <f t="shared" si="1"/>
        <v>2, 38, 42, SLOWPOKE</v>
      </c>
      <c r="C421" s="2" t="s">
        <v>2921</v>
      </c>
    </row>
    <row r="422" ht="12.75" customHeight="1">
      <c r="A422" s="3" t="s">
        <v>2922</v>
      </c>
      <c r="B422" s="3" t="str">
        <f t="shared" si="1"/>
        <v>40, 42, PSYDUCK</v>
      </c>
      <c r="C422" s="2" t="s">
        <v>2922</v>
      </c>
    </row>
    <row r="423" ht="12.75" customHeight="1">
      <c r="A423" s="3" t="s">
        <v>2923</v>
      </c>
      <c r="B423" s="3" t="str">
        <f t="shared" si="1"/>
        <v>42, 46, SLOWBRO</v>
      </c>
      <c r="C423" s="2" t="s">
        <v>2923</v>
      </c>
    </row>
    <row r="424" ht="12.75" customHeight="1">
      <c r="A424" s="3" t="s">
        <v>2924</v>
      </c>
      <c r="B424" s="3" t="str">
        <f t="shared" si="1"/>
        <v>42, 46, GOLDUCK</v>
      </c>
      <c r="C424" s="2" t="s">
        <v>2924</v>
      </c>
    </row>
    <row r="425" ht="12.75" customHeight="1">
      <c r="A425" s="3" t="s">
        <v>2925</v>
      </c>
      <c r="B425" s="3" t="str">
        <f t="shared" si="1"/>
        <v>44, 48, VAPOREON</v>
      </c>
      <c r="C425" s="2" t="s">
        <v>2925</v>
      </c>
    </row>
    <row r="426" ht="12.75" customHeight="1">
      <c r="A426" s="3" t="s">
        <v>2926</v>
      </c>
      <c r="B426" s="3" t="str">
        <f t="shared" si="1"/>
        <v>20, old rod:</v>
      </c>
      <c r="C426" s="2" t="s">
        <v>2926</v>
      </c>
    </row>
    <row r="427" ht="12.75" customHeight="1">
      <c r="A427" s="3" t="s">
        <v>500</v>
      </c>
      <c r="B427" s="3" t="str">
        <f t="shared" si="1"/>
        <v>19, 26, MAGIKARP</v>
      </c>
      <c r="C427" s="2" t="s">
        <v>500</v>
      </c>
    </row>
    <row r="428" ht="12.75" customHeight="1">
      <c r="A428" s="3" t="s">
        <v>2927</v>
      </c>
      <c r="B428" s="3" t="str">
        <f t="shared" si="1"/>
        <v>19, 26, POLIWAG</v>
      </c>
      <c r="C428" s="2" t="s">
        <v>2927</v>
      </c>
    </row>
    <row r="429" ht="12.75" customHeight="1">
      <c r="A429" s="3"/>
      <c r="B429" s="3" t="str">
        <f t="shared" si="1"/>
        <v/>
      </c>
      <c r="C429" s="2" t="s">
        <v>2801</v>
      </c>
    </row>
    <row r="430" ht="12.75" customHeight="1">
      <c r="A430" s="3" t="s">
        <v>2847</v>
      </c>
      <c r="B430" s="3" t="str">
        <f t="shared" si="1"/>
        <v>good rod:</v>
      </c>
      <c r="C430" s="2" t="s">
        <v>2847</v>
      </c>
    </row>
    <row r="431" ht="12.75" customHeight="1">
      <c r="A431" s="3" t="s">
        <v>2928</v>
      </c>
      <c r="B431" s="3" t="str">
        <f t="shared" si="1"/>
        <v>29, 33, GYARADOS</v>
      </c>
      <c r="C431" s="2" t="s">
        <v>2928</v>
      </c>
    </row>
    <row r="432" ht="12.75" customHeight="1">
      <c r="A432" s="3" t="s">
        <v>2929</v>
      </c>
      <c r="B432" s="3" t="str">
        <f t="shared" si="1"/>
        <v>30, 35, POLIWAG</v>
      </c>
      <c r="C432" s="2" t="s">
        <v>2929</v>
      </c>
    </row>
    <row r="433" ht="12.75" customHeight="1">
      <c r="A433" s="3" t="s">
        <v>2930</v>
      </c>
      <c r="B433" s="3" t="str">
        <f t="shared" si="1"/>
        <v>30, 35, GOLDEEN</v>
      </c>
      <c r="C433" s="2" t="s">
        <v>2930</v>
      </c>
    </row>
    <row r="434" ht="12.75" customHeight="1">
      <c r="A434" s="3"/>
      <c r="B434" s="3" t="str">
        <f t="shared" si="1"/>
        <v/>
      </c>
      <c r="C434" s="2" t="s">
        <v>2801</v>
      </c>
    </row>
    <row r="435" ht="12.75" customHeight="1">
      <c r="A435" s="3" t="s">
        <v>2851</v>
      </c>
      <c r="B435" s="3" t="str">
        <f t="shared" si="1"/>
        <v>super rod:</v>
      </c>
      <c r="C435" s="2" t="s">
        <v>2851</v>
      </c>
    </row>
    <row r="436" ht="12.75" customHeight="1">
      <c r="A436" s="3" t="s">
        <v>2931</v>
      </c>
      <c r="B436" s="3" t="str">
        <f t="shared" si="1"/>
        <v>36, 40, POLIWHIRL</v>
      </c>
      <c r="C436" s="2" t="s">
        <v>2931</v>
      </c>
    </row>
    <row r="437" ht="12.75" customHeight="1">
      <c r="A437" s="3" t="s">
        <v>2932</v>
      </c>
      <c r="B437" s="3" t="str">
        <f t="shared" si="1"/>
        <v>36, 40, SEAKING</v>
      </c>
      <c r="C437" s="2" t="s">
        <v>2932</v>
      </c>
    </row>
    <row r="438" ht="12.75" customHeight="1">
      <c r="A438" s="3" t="s">
        <v>2933</v>
      </c>
      <c r="B438" s="3" t="str">
        <f t="shared" si="1"/>
        <v>38, 42, DRATINI</v>
      </c>
      <c r="C438" s="2" t="s">
        <v>2933</v>
      </c>
    </row>
    <row r="439" ht="12.75" customHeight="1">
      <c r="A439" s="3" t="s">
        <v>2934</v>
      </c>
      <c r="B439" s="3" t="str">
        <f t="shared" si="1"/>
        <v>38, 42, DRAGONAIR</v>
      </c>
      <c r="C439" s="2" t="s">
        <v>2934</v>
      </c>
    </row>
    <row r="440" ht="12.75" customHeight="1">
      <c r="A440" s="3" t="s">
        <v>2935</v>
      </c>
      <c r="B440" s="3" t="str">
        <f t="shared" si="1"/>
        <v>40, 44, DRAGONITE</v>
      </c>
      <c r="C440" s="2" t="s">
        <v>2935</v>
      </c>
    </row>
    <row r="441" ht="12.75" customHeight="1">
      <c r="A441" s="3" t="s">
        <v>2539</v>
      </c>
      <c r="B441" s="3" t="str">
        <f t="shared" si="1"/>
        <v>NEW ROUTE</v>
      </c>
      <c r="C441" s="2" t="s">
        <v>2539</v>
      </c>
    </row>
    <row r="442" ht="12.75" customHeight="1">
      <c r="A442" s="3" t="s">
        <v>2950</v>
      </c>
      <c r="B442" s="3" t="str">
        <f t="shared" si="1"/>
        <v>1, 66, 0,</v>
      </c>
      <c r="C442" s="2" t="s">
        <v>2950</v>
      </c>
    </row>
    <row r="443" ht="12.75" customHeight="1">
      <c r="A443" s="3" t="s">
        <v>2909</v>
      </c>
      <c r="B443" s="3" t="str">
        <f t="shared" si="1"/>
        <v>20%</v>
      </c>
      <c r="C443" s="2" t="s">
        <v>2799</v>
      </c>
    </row>
    <row r="444" ht="12.75" customHeight="1">
      <c r="A444" s="3" t="s">
        <v>484</v>
      </c>
      <c r="B444" s="3" t="str">
        <f t="shared" si="1"/>
        <v>35, 40, NIDOKING</v>
      </c>
      <c r="C444" s="2" t="s">
        <v>484</v>
      </c>
    </row>
    <row r="445" ht="12.75" customHeight="1">
      <c r="A445" s="3" t="s">
        <v>2910</v>
      </c>
      <c r="B445" s="3" t="str">
        <f t="shared" si="1"/>
        <v>35, 40, NIDOQUEEN</v>
      </c>
      <c r="C445" s="2" t="s">
        <v>2910</v>
      </c>
    </row>
    <row r="446" ht="12.75" customHeight="1">
      <c r="A446" s="3"/>
      <c r="B446" s="3" t="str">
        <f t="shared" si="1"/>
        <v/>
      </c>
      <c r="C446" s="2" t="s">
        <v>2801</v>
      </c>
    </row>
    <row r="447" ht="12.75" customHeight="1">
      <c r="A447" s="3" t="s">
        <v>2802</v>
      </c>
      <c r="B447" s="3" t="str">
        <f t="shared" si="1"/>
        <v>0.1</v>
      </c>
      <c r="C447" s="2" t="s">
        <v>2802</v>
      </c>
    </row>
    <row r="448" ht="12.75" customHeight="1">
      <c r="A448" s="3" t="s">
        <v>2911</v>
      </c>
      <c r="B448" s="3" t="str">
        <f t="shared" si="1"/>
        <v>36, 41, PARASECT</v>
      </c>
      <c r="C448" s="2" t="s">
        <v>2911</v>
      </c>
    </row>
    <row r="449" ht="12.75" customHeight="1">
      <c r="A449" s="3" t="s">
        <v>2912</v>
      </c>
      <c r="B449" s="3" t="str">
        <f t="shared" si="1"/>
        <v>36, 41, VENOMOTH</v>
      </c>
      <c r="C449" s="2" t="s">
        <v>2912</v>
      </c>
    </row>
    <row r="450" ht="12.75" customHeight="1">
      <c r="A450" s="3" t="s">
        <v>2951</v>
      </c>
      <c r="B450" s="3" t="str">
        <f t="shared" si="1"/>
        <v>36, 41, RAPIDASH</v>
      </c>
      <c r="C450" s="2" t="s">
        <v>2951</v>
      </c>
    </row>
    <row r="451" ht="12.75" customHeight="1">
      <c r="A451" s="3" t="s">
        <v>2952</v>
      </c>
      <c r="B451" s="3" t="str">
        <f t="shared" si="1"/>
        <v>36, 41, TANGELA</v>
      </c>
      <c r="C451" s="2" t="s">
        <v>2952</v>
      </c>
    </row>
    <row r="452" ht="12.75" customHeight="1">
      <c r="A452" s="3"/>
      <c r="B452" s="3" t="str">
        <f t="shared" si="1"/>
        <v/>
      </c>
      <c r="C452" s="2" t="s">
        <v>2801</v>
      </c>
    </row>
    <row r="453" ht="12.75" customHeight="1">
      <c r="A453" s="3" t="s">
        <v>2807</v>
      </c>
      <c r="B453" s="3" t="str">
        <f t="shared" si="1"/>
        <v>0.05</v>
      </c>
      <c r="C453" s="2" t="s">
        <v>2807</v>
      </c>
    </row>
    <row r="454" ht="12.75" customHeight="1">
      <c r="A454" s="3" t="s">
        <v>2915</v>
      </c>
      <c r="B454" s="3" t="str">
        <f t="shared" si="1"/>
        <v>37, 39, SCIZOR</v>
      </c>
      <c r="C454" s="2" t="s">
        <v>2915</v>
      </c>
    </row>
    <row r="455" ht="12.75" customHeight="1">
      <c r="A455" s="3" t="s">
        <v>2916</v>
      </c>
      <c r="B455" s="3" t="str">
        <f t="shared" si="1"/>
        <v>37, 39, PINSIRIOR</v>
      </c>
      <c r="C455" s="2" t="s">
        <v>2916</v>
      </c>
    </row>
    <row r="456" ht="12.75" customHeight="1">
      <c r="A456" s="3"/>
      <c r="B456" s="3" t="str">
        <f t="shared" si="1"/>
        <v/>
      </c>
      <c r="C456" s="2" t="s">
        <v>2801</v>
      </c>
    </row>
    <row r="457" ht="12.75" customHeight="1">
      <c r="A457" s="3" t="s">
        <v>2810</v>
      </c>
      <c r="B457" s="3" t="str">
        <f t="shared" si="1"/>
        <v>0.04</v>
      </c>
      <c r="C457" s="2" t="s">
        <v>2810</v>
      </c>
    </row>
    <row r="458" ht="12.75" customHeight="1">
      <c r="A458" s="3" t="s">
        <v>2953</v>
      </c>
      <c r="B458" s="3" t="str">
        <f t="shared" si="1"/>
        <v>38, 42, SNORLAX</v>
      </c>
      <c r="C458" s="2" t="s">
        <v>2953</v>
      </c>
    </row>
    <row r="459" ht="12.75" customHeight="1">
      <c r="A459" s="3" t="s">
        <v>2954</v>
      </c>
      <c r="B459" s="3" t="str">
        <f t="shared" si="1"/>
        <v>38, 42, HITMONLEE</v>
      </c>
      <c r="C459" s="2" t="s">
        <v>2954</v>
      </c>
    </row>
    <row r="460" ht="12.75" customHeight="1">
      <c r="A460" s="3"/>
      <c r="B460" s="3" t="str">
        <f t="shared" si="1"/>
        <v/>
      </c>
      <c r="C460" s="2" t="s">
        <v>2801</v>
      </c>
    </row>
    <row r="461" ht="12.75" customHeight="1">
      <c r="A461" s="3" t="s">
        <v>2813</v>
      </c>
      <c r="B461" s="3" t="str">
        <f t="shared" si="1"/>
        <v>0.01</v>
      </c>
      <c r="C461" s="2" t="s">
        <v>2813</v>
      </c>
    </row>
    <row r="462" ht="12.75" customHeight="1">
      <c r="A462" s="3" t="s">
        <v>2955</v>
      </c>
      <c r="B462" s="3" t="str">
        <f t="shared" si="1"/>
        <v>40, 40, ACTLAX</v>
      </c>
      <c r="C462" s="2" t="s">
        <v>2955</v>
      </c>
    </row>
    <row r="463" ht="12.75" customHeight="1">
      <c r="A463" s="3" t="s">
        <v>2956</v>
      </c>
      <c r="B463" s="3" t="str">
        <f t="shared" si="1"/>
        <v>40, 40, TANGROWTH</v>
      </c>
      <c r="C463" s="2" t="s">
        <v>2956</v>
      </c>
    </row>
    <row r="464" ht="12.75" customHeight="1">
      <c r="A464" s="3" t="s">
        <v>2921</v>
      </c>
      <c r="B464" s="3" t="str">
        <f t="shared" si="1"/>
        <v>2, 38, 42, SLOWPOKE</v>
      </c>
      <c r="C464" s="2" t="s">
        <v>2921</v>
      </c>
    </row>
    <row r="465" ht="12.75" customHeight="1">
      <c r="A465" s="3" t="s">
        <v>2922</v>
      </c>
      <c r="B465" s="3" t="str">
        <f t="shared" si="1"/>
        <v>40, 42, PSYDUCK</v>
      </c>
      <c r="C465" s="2" t="s">
        <v>2922</v>
      </c>
    </row>
    <row r="466" ht="12.75" customHeight="1">
      <c r="A466" s="3" t="s">
        <v>2923</v>
      </c>
      <c r="B466" s="3" t="str">
        <f t="shared" si="1"/>
        <v>42, 46, SLOWBRO</v>
      </c>
      <c r="C466" s="2" t="s">
        <v>2923</v>
      </c>
    </row>
    <row r="467" ht="12.75" customHeight="1">
      <c r="A467" s="3" t="s">
        <v>2924</v>
      </c>
      <c r="B467" s="3" t="str">
        <f t="shared" si="1"/>
        <v>42, 46, GOLDUCK</v>
      </c>
      <c r="C467" s="2" t="s">
        <v>2924</v>
      </c>
    </row>
    <row r="468" ht="12.75" customHeight="1">
      <c r="A468" s="3" t="s">
        <v>2925</v>
      </c>
      <c r="B468" s="3" t="str">
        <f t="shared" si="1"/>
        <v>44, 48, VAPOREON</v>
      </c>
      <c r="C468" s="2" t="s">
        <v>2925</v>
      </c>
    </row>
    <row r="469" ht="12.75" customHeight="1">
      <c r="A469" s="3" t="s">
        <v>2926</v>
      </c>
      <c r="B469" s="3" t="str">
        <f t="shared" si="1"/>
        <v>20, old rod:</v>
      </c>
      <c r="C469" s="2" t="s">
        <v>2926</v>
      </c>
    </row>
    <row r="470" ht="12.75" customHeight="1">
      <c r="A470" s="3" t="s">
        <v>500</v>
      </c>
      <c r="B470" s="3" t="str">
        <f t="shared" si="1"/>
        <v>19, 26, MAGIKARP</v>
      </c>
      <c r="C470" s="2" t="s">
        <v>500</v>
      </c>
    </row>
    <row r="471" ht="12.75" customHeight="1">
      <c r="A471" s="3" t="s">
        <v>2927</v>
      </c>
      <c r="B471" s="3" t="str">
        <f t="shared" si="1"/>
        <v>19, 26, POLIWAG</v>
      </c>
      <c r="C471" s="2" t="s">
        <v>2927</v>
      </c>
    </row>
    <row r="472" ht="12.75" customHeight="1">
      <c r="A472" s="3"/>
      <c r="B472" s="3" t="str">
        <f t="shared" si="1"/>
        <v/>
      </c>
      <c r="C472" s="2" t="s">
        <v>2801</v>
      </c>
    </row>
    <row r="473" ht="12.75" customHeight="1">
      <c r="A473" s="3" t="s">
        <v>2847</v>
      </c>
      <c r="B473" s="3" t="str">
        <f t="shared" si="1"/>
        <v>good rod:</v>
      </c>
      <c r="C473" s="2" t="s">
        <v>2847</v>
      </c>
    </row>
    <row r="474" ht="12.75" customHeight="1">
      <c r="A474" s="3" t="s">
        <v>2928</v>
      </c>
      <c r="B474" s="3" t="str">
        <f t="shared" si="1"/>
        <v>29, 33, GYARADOS</v>
      </c>
      <c r="C474" s="2" t="s">
        <v>2928</v>
      </c>
    </row>
    <row r="475" ht="12.75" customHeight="1">
      <c r="A475" s="3" t="s">
        <v>2929</v>
      </c>
      <c r="B475" s="3" t="str">
        <f t="shared" si="1"/>
        <v>30, 35, POLIWAG</v>
      </c>
      <c r="C475" s="2" t="s">
        <v>2929</v>
      </c>
    </row>
    <row r="476" ht="12.75" customHeight="1">
      <c r="A476" s="3" t="s">
        <v>2930</v>
      </c>
      <c r="B476" s="3" t="str">
        <f t="shared" si="1"/>
        <v>30, 35, GOLDEEN</v>
      </c>
      <c r="C476" s="2" t="s">
        <v>2930</v>
      </c>
    </row>
    <row r="477" ht="12.75" customHeight="1">
      <c r="A477" s="3"/>
      <c r="B477" s="3" t="str">
        <f t="shared" si="1"/>
        <v/>
      </c>
      <c r="C477" s="2" t="s">
        <v>2801</v>
      </c>
    </row>
    <row r="478" ht="12.75" customHeight="1">
      <c r="A478" s="3" t="s">
        <v>2851</v>
      </c>
      <c r="B478" s="3" t="str">
        <f t="shared" si="1"/>
        <v>super rod:</v>
      </c>
      <c r="C478" s="2" t="s">
        <v>2851</v>
      </c>
    </row>
    <row r="479" ht="12.75" customHeight="1">
      <c r="A479" s="3" t="s">
        <v>2931</v>
      </c>
      <c r="B479" s="3" t="str">
        <f t="shared" si="1"/>
        <v>36, 40, POLIWHIRL</v>
      </c>
      <c r="C479" s="2" t="s">
        <v>2931</v>
      </c>
    </row>
    <row r="480" ht="12.75" customHeight="1">
      <c r="A480" s="3" t="s">
        <v>2932</v>
      </c>
      <c r="B480" s="3" t="str">
        <f t="shared" si="1"/>
        <v>36, 40, SEAKING</v>
      </c>
      <c r="C480" s="2" t="s">
        <v>2932</v>
      </c>
    </row>
    <row r="481" ht="12.75" customHeight="1">
      <c r="A481" s="3" t="s">
        <v>2933</v>
      </c>
      <c r="B481" s="3" t="str">
        <f t="shared" si="1"/>
        <v>38, 42, DRATINI</v>
      </c>
      <c r="C481" s="2" t="s">
        <v>2933</v>
      </c>
    </row>
    <row r="482" ht="12.75" customHeight="1">
      <c r="A482" s="3" t="s">
        <v>2934</v>
      </c>
      <c r="B482" s="3" t="str">
        <f t="shared" si="1"/>
        <v>38, 42, DRAGONAIR</v>
      </c>
      <c r="C482" s="2" t="s">
        <v>2934</v>
      </c>
    </row>
    <row r="483" ht="12.75" customHeight="1">
      <c r="A483" s="3" t="s">
        <v>2935</v>
      </c>
      <c r="B483" s="3" t="str">
        <f t="shared" si="1"/>
        <v>40, 44, DRAGONITE</v>
      </c>
      <c r="C483" s="2" t="s">
        <v>2935</v>
      </c>
    </row>
    <row r="484" ht="12.75" customHeight="1">
      <c r="A484" s="3" t="s">
        <v>2539</v>
      </c>
      <c r="B484" s="3" t="str">
        <f t="shared" si="1"/>
        <v>NEW ROUTE</v>
      </c>
      <c r="C484" s="2" t="s">
        <v>2539</v>
      </c>
    </row>
    <row r="485" ht="12.75" customHeight="1">
      <c r="A485" s="3" t="s">
        <v>2957</v>
      </c>
      <c r="B485" s="3" t="str">
        <f t="shared" si="1"/>
        <v>1, 72, 0,</v>
      </c>
      <c r="C485" s="2" t="s">
        <v>2957</v>
      </c>
    </row>
    <row r="486" ht="12.75" customHeight="1">
      <c r="A486" s="3" t="s">
        <v>2817</v>
      </c>
      <c r="B486" s="3" t="str">
        <f t="shared" si="1"/>
        <v>20%</v>
      </c>
      <c r="C486" s="2" t="s">
        <v>2799</v>
      </c>
    </row>
    <row r="487" ht="12.75" customHeight="1">
      <c r="A487" s="3" t="s">
        <v>532</v>
      </c>
      <c r="B487" s="3" t="str">
        <f t="shared" si="1"/>
        <v>50, 55, DUGROUPLE</v>
      </c>
      <c r="C487" s="2" t="s">
        <v>532</v>
      </c>
    </row>
    <row r="488" ht="12.75" customHeight="1">
      <c r="A488" s="3" t="s">
        <v>2958</v>
      </c>
      <c r="B488" s="3" t="str">
        <f t="shared" si="1"/>
        <v>50, 55, POLABAT</v>
      </c>
      <c r="C488" s="2" t="s">
        <v>2958</v>
      </c>
    </row>
    <row r="489" ht="12.75" customHeight="1">
      <c r="A489" s="3"/>
      <c r="B489" s="3" t="str">
        <f t="shared" si="1"/>
        <v/>
      </c>
      <c r="C489" s="2" t="s">
        <v>2801</v>
      </c>
    </row>
    <row r="490" ht="12.75" customHeight="1">
      <c r="A490" s="3" t="s">
        <v>2802</v>
      </c>
      <c r="B490" s="3" t="str">
        <f t="shared" si="1"/>
        <v>0.1</v>
      </c>
      <c r="C490" s="2" t="s">
        <v>2802</v>
      </c>
    </row>
    <row r="491" ht="12.75" customHeight="1">
      <c r="A491" s="3" t="s">
        <v>2959</v>
      </c>
      <c r="B491" s="3" t="str">
        <f t="shared" si="1"/>
        <v>52, 55, VENOMENON</v>
      </c>
      <c r="C491" s="2" t="s">
        <v>2959</v>
      </c>
    </row>
    <row r="492" ht="12.75" customHeight="1">
      <c r="A492" s="3" t="s">
        <v>2960</v>
      </c>
      <c r="B492" s="3" t="str">
        <f t="shared" si="1"/>
        <v>52, 55, "MR. JEST"</v>
      </c>
      <c r="C492" s="2" t="s">
        <v>2960</v>
      </c>
    </row>
    <row r="493" ht="12.75" customHeight="1">
      <c r="A493" s="3" t="s">
        <v>2961</v>
      </c>
      <c r="B493" s="3" t="str">
        <f t="shared" si="1"/>
        <v>52, 55, NIDORULY</v>
      </c>
      <c r="C493" s="2" t="s">
        <v>2961</v>
      </c>
    </row>
    <row r="494" ht="12.75" customHeight="1">
      <c r="A494" s="3" t="s">
        <v>2962</v>
      </c>
      <c r="B494" s="3" t="str">
        <f t="shared" si="1"/>
        <v>52, 55, NIDOREGAL</v>
      </c>
      <c r="C494" s="2" t="s">
        <v>2962</v>
      </c>
    </row>
    <row r="495" ht="12.75" customHeight="1">
      <c r="A495" s="3"/>
      <c r="B495" s="3" t="str">
        <f t="shared" si="1"/>
        <v/>
      </c>
      <c r="C495" s="2" t="s">
        <v>2801</v>
      </c>
    </row>
    <row r="496" ht="12.75" customHeight="1">
      <c r="A496" s="3" t="s">
        <v>2807</v>
      </c>
      <c r="B496" s="3" t="str">
        <f t="shared" si="1"/>
        <v>0.05</v>
      </c>
      <c r="C496" s="2" t="s">
        <v>2807</v>
      </c>
    </row>
    <row r="497" ht="12.75" customHeight="1">
      <c r="A497" s="3" t="s">
        <v>2963</v>
      </c>
      <c r="B497" s="3" t="str">
        <f t="shared" si="1"/>
        <v>54, 56, MORPHO</v>
      </c>
      <c r="C497" s="2" t="s">
        <v>2963</v>
      </c>
    </row>
    <row r="498" ht="12.75" customHeight="1">
      <c r="A498" s="3" t="s">
        <v>2964</v>
      </c>
      <c r="B498" s="3" t="str">
        <f t="shared" si="1"/>
        <v>54, 56, MAGNEMELD</v>
      </c>
      <c r="C498" s="2" t="s">
        <v>2964</v>
      </c>
    </row>
    <row r="499" ht="12.75" customHeight="1">
      <c r="A499" s="3"/>
      <c r="B499" s="3" t="str">
        <f t="shared" si="1"/>
        <v/>
      </c>
      <c r="C499" s="2" t="s">
        <v>2801</v>
      </c>
    </row>
    <row r="500" ht="12.75" customHeight="1">
      <c r="A500" s="3" t="s">
        <v>2810</v>
      </c>
      <c r="B500" s="3" t="str">
        <f t="shared" si="1"/>
        <v>0.04</v>
      </c>
      <c r="C500" s="2" t="s">
        <v>2810</v>
      </c>
    </row>
    <row r="501" ht="12.75" customHeight="1">
      <c r="A501" s="3" t="s">
        <v>2965</v>
      </c>
      <c r="B501" s="3" t="str">
        <f t="shared" si="1"/>
        <v>54, 56, VOHOO-DU</v>
      </c>
      <c r="C501" s="2" t="s">
        <v>2965</v>
      </c>
    </row>
    <row r="502" ht="12.75" customHeight="1">
      <c r="A502" s="3" t="s">
        <v>2966</v>
      </c>
      <c r="B502" s="3" t="str">
        <f t="shared" si="1"/>
        <v>54, 56, CLEFAEFAE</v>
      </c>
      <c r="C502" s="2" t="s">
        <v>2966</v>
      </c>
    </row>
    <row r="503" ht="12.75" customHeight="1">
      <c r="A503" s="3"/>
      <c r="B503" s="3" t="str">
        <f t="shared" si="1"/>
        <v/>
      </c>
      <c r="C503" s="2" t="s">
        <v>2801</v>
      </c>
    </row>
    <row r="504" ht="12.75" customHeight="1">
      <c r="A504" s="3" t="s">
        <v>2813</v>
      </c>
      <c r="B504" s="3" t="str">
        <f t="shared" si="1"/>
        <v>0.01</v>
      </c>
      <c r="C504" s="2" t="s">
        <v>2813</v>
      </c>
    </row>
    <row r="505" ht="12.75" customHeight="1">
      <c r="A505" s="3" t="s">
        <v>2967</v>
      </c>
      <c r="B505" s="3" t="str">
        <f t="shared" si="1"/>
        <v>55, 56, KABUTAK</v>
      </c>
      <c r="C505" s="2" t="s">
        <v>2967</v>
      </c>
    </row>
    <row r="506" ht="12.75" customHeight="1">
      <c r="A506" s="3" t="s">
        <v>2968</v>
      </c>
      <c r="B506" s="3" t="str">
        <f t="shared" si="1"/>
        <v>55, 56, OMAPAL</v>
      </c>
      <c r="C506" s="2" t="s">
        <v>2968</v>
      </c>
    </row>
    <row r="507" ht="12.75" customHeight="1">
      <c r="A507" s="3" t="s">
        <v>2969</v>
      </c>
      <c r="B507" s="3" t="str">
        <f t="shared" si="1"/>
        <v>2, 50, 55, POLITOES</v>
      </c>
      <c r="C507" s="2" t="s">
        <v>2969</v>
      </c>
    </row>
    <row r="508" ht="12.75" customHeight="1">
      <c r="A508" s="3" t="s">
        <v>2970</v>
      </c>
      <c r="B508" s="3" t="str">
        <f t="shared" si="1"/>
        <v>50, 55, DRAGONITE</v>
      </c>
      <c r="C508" s="2" t="s">
        <v>2970</v>
      </c>
    </row>
    <row r="509" ht="12.75" customHeight="1">
      <c r="A509" s="3" t="s">
        <v>2971</v>
      </c>
      <c r="B509" s="3" t="str">
        <f t="shared" si="1"/>
        <v>52, 57, POLIWISE</v>
      </c>
      <c r="C509" s="2" t="s">
        <v>2971</v>
      </c>
    </row>
    <row r="510" ht="12.75" customHeight="1">
      <c r="A510" s="3" t="s">
        <v>2972</v>
      </c>
      <c r="B510" s="3" t="str">
        <f t="shared" si="1"/>
        <v>52, 57, DRAGONIER</v>
      </c>
      <c r="C510" s="2" t="s">
        <v>2972</v>
      </c>
    </row>
    <row r="511" ht="12.75" customHeight="1">
      <c r="A511" s="3" t="s">
        <v>2973</v>
      </c>
      <c r="B511" s="3" t="str">
        <f t="shared" si="1"/>
        <v>53, 58, NESSEA</v>
      </c>
      <c r="C511" s="2" t="s">
        <v>2973</v>
      </c>
    </row>
    <row r="512" ht="12.75" customHeight="1">
      <c r="A512" s="3" t="s">
        <v>2926</v>
      </c>
      <c r="B512" s="3" t="str">
        <f t="shared" si="1"/>
        <v>20, old rod:</v>
      </c>
      <c r="C512" s="2" t="s">
        <v>2926</v>
      </c>
    </row>
    <row r="513" ht="12.75" customHeight="1">
      <c r="A513" s="3" t="s">
        <v>548</v>
      </c>
      <c r="B513" s="3" t="str">
        <f t="shared" si="1"/>
        <v>23, 36, CLOYSTER</v>
      </c>
      <c r="C513" s="2" t="s">
        <v>548</v>
      </c>
    </row>
    <row r="514" ht="12.75" customHeight="1">
      <c r="A514" s="3" t="s">
        <v>2974</v>
      </c>
      <c r="B514" s="3" t="str">
        <f t="shared" si="1"/>
        <v>23, 36, GYARADOS</v>
      </c>
      <c r="C514" s="2" t="s">
        <v>2974</v>
      </c>
    </row>
    <row r="515" ht="12.75" customHeight="1">
      <c r="A515" s="3"/>
      <c r="B515" s="3" t="str">
        <f t="shared" si="1"/>
        <v/>
      </c>
      <c r="C515" s="2" t="s">
        <v>2801</v>
      </c>
    </row>
    <row r="516" ht="12.75" customHeight="1">
      <c r="A516" s="3" t="s">
        <v>2847</v>
      </c>
      <c r="B516" s="3" t="str">
        <f t="shared" si="1"/>
        <v>good rod:</v>
      </c>
      <c r="C516" s="2" t="s">
        <v>2847</v>
      </c>
    </row>
    <row r="517" ht="12.75" customHeight="1">
      <c r="A517" s="3" t="s">
        <v>2975</v>
      </c>
      <c r="B517" s="3" t="str">
        <f t="shared" si="1"/>
        <v>30, 38, CLOYSTER</v>
      </c>
      <c r="C517" s="2" t="s">
        <v>2975</v>
      </c>
    </row>
    <row r="518" ht="12.75" customHeight="1">
      <c r="A518" s="3" t="s">
        <v>2976</v>
      </c>
      <c r="B518" s="3" t="str">
        <f t="shared" si="1"/>
        <v>32, 40, KINGDRA</v>
      </c>
      <c r="C518" s="2" t="s">
        <v>2976</v>
      </c>
    </row>
    <row r="519" ht="12.75" customHeight="1">
      <c r="A519" s="3" t="s">
        <v>2977</v>
      </c>
      <c r="B519" s="3" t="str">
        <f t="shared" si="1"/>
        <v>32, 40, HYDRADOS</v>
      </c>
      <c r="C519" s="2" t="s">
        <v>2977</v>
      </c>
    </row>
    <row r="520" ht="12.75" customHeight="1">
      <c r="A520" s="3"/>
      <c r="B520" s="3" t="str">
        <f t="shared" si="1"/>
        <v/>
      </c>
      <c r="C520" s="2" t="s">
        <v>2801</v>
      </c>
    </row>
    <row r="521" ht="12.75" customHeight="1">
      <c r="A521" s="3" t="s">
        <v>2851</v>
      </c>
      <c r="B521" s="3" t="str">
        <f t="shared" si="1"/>
        <v>super rod:</v>
      </c>
      <c r="C521" s="2" t="s">
        <v>2851</v>
      </c>
    </row>
    <row r="522" ht="12.75" customHeight="1">
      <c r="A522" s="3" t="s">
        <v>2978</v>
      </c>
      <c r="B522" s="3" t="str">
        <f t="shared" si="1"/>
        <v>50, 55, LORDRA</v>
      </c>
      <c r="C522" s="2" t="s">
        <v>2978</v>
      </c>
    </row>
    <row r="523" ht="12.75" customHeight="1">
      <c r="A523" s="3" t="s">
        <v>2979</v>
      </c>
      <c r="B523" s="3" t="str">
        <f t="shared" si="1"/>
        <v>50, 55, AN'ENEMY</v>
      </c>
      <c r="C523" s="2" t="s">
        <v>2979</v>
      </c>
    </row>
    <row r="524" ht="12.75" customHeight="1">
      <c r="A524" s="3" t="s">
        <v>2980</v>
      </c>
      <c r="B524" s="3" t="str">
        <f t="shared" si="1"/>
        <v>52, 57, DRACOSMIC</v>
      </c>
      <c r="C524" s="2" t="s">
        <v>2980</v>
      </c>
    </row>
    <row r="525" ht="12.75" customHeight="1">
      <c r="A525" s="3" t="s">
        <v>2981</v>
      </c>
      <c r="B525" s="3" t="str">
        <f t="shared" si="1"/>
        <v>52, 57, GLAISHELL</v>
      </c>
      <c r="C525" s="2" t="s">
        <v>2981</v>
      </c>
    </row>
    <row r="526" ht="12.75" customHeight="1">
      <c r="A526" s="3" t="s">
        <v>2982</v>
      </c>
      <c r="B526" s="3" t="str">
        <f t="shared" si="1"/>
        <v>53, 58, STARWE</v>
      </c>
      <c r="C526" s="2" t="s">
        <v>2982</v>
      </c>
    </row>
    <row r="527" ht="12.75" customHeight="1">
      <c r="A527" s="3" t="s">
        <v>2539</v>
      </c>
      <c r="B527" s="3" t="str">
        <f t="shared" si="1"/>
        <v>NEW ROUTE</v>
      </c>
      <c r="C527" s="2" t="s">
        <v>2539</v>
      </c>
    </row>
    <row r="528" ht="12.75" customHeight="1">
      <c r="A528" s="3" t="s">
        <v>2983</v>
      </c>
      <c r="B528" s="3" t="str">
        <f t="shared" si="1"/>
        <v>1, 73, 0,</v>
      </c>
      <c r="C528" s="2" t="s">
        <v>2983</v>
      </c>
    </row>
    <row r="529" ht="12.75" customHeight="1">
      <c r="A529" s="3" t="s">
        <v>2817</v>
      </c>
      <c r="B529" s="3" t="str">
        <f t="shared" si="1"/>
        <v>20%</v>
      </c>
      <c r="C529" s="2" t="s">
        <v>2799</v>
      </c>
    </row>
    <row r="530" ht="12.75" customHeight="1">
      <c r="A530" s="3" t="s">
        <v>532</v>
      </c>
      <c r="B530" s="3" t="str">
        <f t="shared" si="1"/>
        <v>50, 55, DUGROUPLE</v>
      </c>
      <c r="C530" s="2" t="s">
        <v>532</v>
      </c>
    </row>
    <row r="531" ht="12.75" customHeight="1">
      <c r="A531" s="3" t="s">
        <v>2958</v>
      </c>
      <c r="B531" s="3" t="str">
        <f t="shared" si="1"/>
        <v>50, 55, POLABAT</v>
      </c>
      <c r="C531" s="2" t="s">
        <v>2958</v>
      </c>
    </row>
    <row r="532" ht="12.75" customHeight="1">
      <c r="A532" s="3"/>
      <c r="B532" s="3" t="str">
        <f t="shared" si="1"/>
        <v/>
      </c>
      <c r="C532" s="2" t="s">
        <v>2801</v>
      </c>
    </row>
    <row r="533" ht="12.75" customHeight="1">
      <c r="A533" s="3" t="s">
        <v>2802</v>
      </c>
      <c r="B533" s="3" t="str">
        <f t="shared" si="1"/>
        <v>0.1</v>
      </c>
      <c r="C533" s="2" t="s">
        <v>2802</v>
      </c>
    </row>
    <row r="534" ht="12.75" customHeight="1">
      <c r="A534" s="3" t="s">
        <v>2959</v>
      </c>
      <c r="B534" s="3" t="str">
        <f t="shared" si="1"/>
        <v>52, 55, VENOMENON</v>
      </c>
      <c r="C534" s="2" t="s">
        <v>2959</v>
      </c>
    </row>
    <row r="535" ht="12.75" customHeight="1">
      <c r="A535" s="3" t="s">
        <v>2960</v>
      </c>
      <c r="B535" s="3" t="str">
        <f t="shared" si="1"/>
        <v>52, 55, "MR. JEST"</v>
      </c>
      <c r="C535" s="2" t="s">
        <v>2960</v>
      </c>
    </row>
    <row r="536" ht="12.75" customHeight="1">
      <c r="A536" s="3" t="s">
        <v>2961</v>
      </c>
      <c r="B536" s="3" t="str">
        <f t="shared" si="1"/>
        <v>52, 55, NIDORULY</v>
      </c>
      <c r="C536" s="2" t="s">
        <v>2961</v>
      </c>
    </row>
    <row r="537" ht="12.75" customHeight="1">
      <c r="A537" s="3" t="s">
        <v>2962</v>
      </c>
      <c r="B537" s="3" t="str">
        <f t="shared" si="1"/>
        <v>52, 55, NIDOREGAL</v>
      </c>
      <c r="C537" s="2" t="s">
        <v>2962</v>
      </c>
    </row>
    <row r="538" ht="12.75" customHeight="1">
      <c r="A538" s="3"/>
      <c r="B538" s="3" t="str">
        <f t="shared" si="1"/>
        <v/>
      </c>
      <c r="C538" s="2" t="s">
        <v>2801</v>
      </c>
    </row>
    <row r="539" ht="12.75" customHeight="1">
      <c r="A539" s="3" t="s">
        <v>2807</v>
      </c>
      <c r="B539" s="3" t="str">
        <f t="shared" si="1"/>
        <v>0.05</v>
      </c>
      <c r="C539" s="2" t="s">
        <v>2807</v>
      </c>
    </row>
    <row r="540" ht="12.75" customHeight="1">
      <c r="A540" s="3" t="s">
        <v>2963</v>
      </c>
      <c r="B540" s="3" t="str">
        <f t="shared" si="1"/>
        <v>54, 56, MORPHO</v>
      </c>
      <c r="C540" s="2" t="s">
        <v>2963</v>
      </c>
    </row>
    <row r="541" ht="12.75" customHeight="1">
      <c r="A541" s="3" t="s">
        <v>2964</v>
      </c>
      <c r="B541" s="3" t="str">
        <f t="shared" si="1"/>
        <v>54, 56, MAGNEMELD</v>
      </c>
      <c r="C541" s="2" t="s">
        <v>2964</v>
      </c>
    </row>
    <row r="542" ht="12.75" customHeight="1">
      <c r="A542" s="3"/>
      <c r="B542" s="3" t="str">
        <f t="shared" si="1"/>
        <v/>
      </c>
      <c r="C542" s="2" t="s">
        <v>2801</v>
      </c>
    </row>
    <row r="543" ht="12.75" customHeight="1">
      <c r="A543" s="3" t="s">
        <v>2810</v>
      </c>
      <c r="B543" s="3" t="str">
        <f t="shared" si="1"/>
        <v>0.04</v>
      </c>
      <c r="C543" s="2" t="s">
        <v>2810</v>
      </c>
    </row>
    <row r="544" ht="12.75" customHeight="1">
      <c r="A544" s="3" t="s">
        <v>2965</v>
      </c>
      <c r="B544" s="3" t="str">
        <f t="shared" si="1"/>
        <v>54, 56, VOHOO-DU</v>
      </c>
      <c r="C544" s="2" t="s">
        <v>2965</v>
      </c>
    </row>
    <row r="545" ht="12.75" customHeight="1">
      <c r="A545" s="3" t="s">
        <v>2966</v>
      </c>
      <c r="B545" s="3" t="str">
        <f t="shared" si="1"/>
        <v>54, 56, CLEFAEFAE</v>
      </c>
      <c r="C545" s="2" t="s">
        <v>2966</v>
      </c>
    </row>
    <row r="546" ht="12.75" customHeight="1">
      <c r="A546" s="3"/>
      <c r="B546" s="3" t="str">
        <f t="shared" si="1"/>
        <v/>
      </c>
      <c r="C546" s="2" t="s">
        <v>2801</v>
      </c>
    </row>
    <row r="547" ht="12.75" customHeight="1">
      <c r="A547" s="3" t="s">
        <v>2813</v>
      </c>
      <c r="B547" s="3" t="str">
        <f t="shared" si="1"/>
        <v>0.01</v>
      </c>
      <c r="C547" s="2" t="s">
        <v>2813</v>
      </c>
    </row>
    <row r="548" ht="12.75" customHeight="1">
      <c r="A548" s="3" t="s">
        <v>2967</v>
      </c>
      <c r="B548" s="3" t="str">
        <f t="shared" si="1"/>
        <v>55, 56, KABUTAK</v>
      </c>
      <c r="C548" s="2" t="s">
        <v>2967</v>
      </c>
    </row>
    <row r="549" ht="12.75" customHeight="1">
      <c r="A549" s="3" t="s">
        <v>2984</v>
      </c>
      <c r="B549" s="3" t="str">
        <f t="shared" si="1"/>
        <v>55, 56, OMAPAL , &lt;null&gt;, &lt;null&gt;, &lt;null&gt;</v>
      </c>
      <c r="C549" s="2" t="s">
        <v>2984</v>
      </c>
    </row>
    <row r="550" ht="12.75" customHeight="1">
      <c r="A550" s="3"/>
      <c r="B550" s="3" t="str">
        <f t="shared" si="1"/>
        <v/>
      </c>
      <c r="C550" s="2" t="s">
        <v>2801</v>
      </c>
    </row>
    <row r="551" ht="12.75" customHeight="1">
      <c r="A551" s="3" t="s">
        <v>2539</v>
      </c>
      <c r="B551" s="3" t="str">
        <f t="shared" si="1"/>
        <v>NEW ROUTE</v>
      </c>
      <c r="C551" s="2" t="s">
        <v>2539</v>
      </c>
    </row>
    <row r="552" ht="12.75" customHeight="1">
      <c r="A552" s="3" t="s">
        <v>2985</v>
      </c>
      <c r="B552" s="3" t="str">
        <f t="shared" si="1"/>
        <v>1, 74, 0,</v>
      </c>
      <c r="C552" s="2" t="s">
        <v>2985</v>
      </c>
    </row>
    <row r="553" ht="12.75" customHeight="1">
      <c r="A553" s="3" t="s">
        <v>2817</v>
      </c>
      <c r="B553" s="3" t="str">
        <f t="shared" si="1"/>
        <v>20%</v>
      </c>
      <c r="C553" s="2" t="s">
        <v>2799</v>
      </c>
    </row>
    <row r="554" ht="12.75" customHeight="1">
      <c r="A554" s="3" t="s">
        <v>532</v>
      </c>
      <c r="B554" s="3" t="str">
        <f t="shared" si="1"/>
        <v>50, 55, DUGROUPLE</v>
      </c>
      <c r="C554" s="2" t="s">
        <v>532</v>
      </c>
    </row>
    <row r="555" ht="12.75" customHeight="1">
      <c r="A555" s="3" t="s">
        <v>2958</v>
      </c>
      <c r="B555" s="3" t="str">
        <f t="shared" si="1"/>
        <v>50, 55, POLABAT</v>
      </c>
      <c r="C555" s="2" t="s">
        <v>2958</v>
      </c>
    </row>
    <row r="556" ht="12.75" customHeight="1">
      <c r="A556" s="3"/>
      <c r="B556" s="3" t="str">
        <f t="shared" si="1"/>
        <v/>
      </c>
      <c r="C556" s="2" t="s">
        <v>2801</v>
      </c>
    </row>
    <row r="557" ht="12.75" customHeight="1">
      <c r="A557" s="3" t="s">
        <v>2802</v>
      </c>
      <c r="B557" s="3" t="str">
        <f t="shared" si="1"/>
        <v>0.1</v>
      </c>
      <c r="C557" s="2" t="s">
        <v>2802</v>
      </c>
    </row>
    <row r="558" ht="12.75" customHeight="1">
      <c r="A558" s="3" t="s">
        <v>2959</v>
      </c>
      <c r="B558" s="3" t="str">
        <f t="shared" si="1"/>
        <v>52, 55, VENOMENON</v>
      </c>
      <c r="C558" s="2" t="s">
        <v>2959</v>
      </c>
    </row>
    <row r="559" ht="12.75" customHeight="1">
      <c r="A559" s="3" t="s">
        <v>2960</v>
      </c>
      <c r="B559" s="3" t="str">
        <f t="shared" si="1"/>
        <v>52, 55, "MR. JEST"</v>
      </c>
      <c r="C559" s="2" t="s">
        <v>2960</v>
      </c>
    </row>
    <row r="560" ht="12.75" customHeight="1">
      <c r="A560" s="3" t="s">
        <v>2961</v>
      </c>
      <c r="B560" s="3" t="str">
        <f t="shared" si="1"/>
        <v>52, 55, NIDORULY</v>
      </c>
      <c r="C560" s="2" t="s">
        <v>2961</v>
      </c>
    </row>
    <row r="561" ht="12.75" customHeight="1">
      <c r="A561" s="3" t="s">
        <v>2962</v>
      </c>
      <c r="B561" s="3" t="str">
        <f t="shared" si="1"/>
        <v>52, 55, NIDOREGAL</v>
      </c>
      <c r="C561" s="2" t="s">
        <v>2962</v>
      </c>
    </row>
    <row r="562" ht="12.75" customHeight="1">
      <c r="A562" s="3"/>
      <c r="B562" s="3" t="str">
        <f t="shared" si="1"/>
        <v/>
      </c>
      <c r="C562" s="2" t="s">
        <v>2801</v>
      </c>
    </row>
    <row r="563" ht="12.75" customHeight="1">
      <c r="A563" s="3" t="s">
        <v>2807</v>
      </c>
      <c r="B563" s="3" t="str">
        <f t="shared" si="1"/>
        <v>0.05</v>
      </c>
      <c r="C563" s="2" t="s">
        <v>2807</v>
      </c>
    </row>
    <row r="564" ht="12.75" customHeight="1">
      <c r="A564" s="3" t="s">
        <v>2963</v>
      </c>
      <c r="B564" s="3" t="str">
        <f t="shared" si="1"/>
        <v>54, 56, MORPHO</v>
      </c>
      <c r="C564" s="2" t="s">
        <v>2963</v>
      </c>
    </row>
    <row r="565" ht="12.75" customHeight="1">
      <c r="A565" s="3" t="s">
        <v>2964</v>
      </c>
      <c r="B565" s="3" t="str">
        <f t="shared" si="1"/>
        <v>54, 56, MAGNEMELD</v>
      </c>
      <c r="C565" s="2" t="s">
        <v>2964</v>
      </c>
    </row>
    <row r="566" ht="12.75" customHeight="1">
      <c r="A566" s="3"/>
      <c r="B566" s="3" t="str">
        <f t="shared" si="1"/>
        <v/>
      </c>
      <c r="C566" s="2" t="s">
        <v>2801</v>
      </c>
    </row>
    <row r="567" ht="12.75" customHeight="1">
      <c r="A567" s="3" t="s">
        <v>2810</v>
      </c>
      <c r="B567" s="3" t="str">
        <f t="shared" si="1"/>
        <v>0.04</v>
      </c>
      <c r="C567" s="2" t="s">
        <v>2810</v>
      </c>
    </row>
    <row r="568" ht="12.75" customHeight="1">
      <c r="A568" s="3" t="s">
        <v>2965</v>
      </c>
      <c r="B568" s="3" t="str">
        <f t="shared" si="1"/>
        <v>54, 56, VOHOO-DU</v>
      </c>
      <c r="C568" s="2" t="s">
        <v>2965</v>
      </c>
    </row>
    <row r="569" ht="12.75" customHeight="1">
      <c r="A569" s="3" t="s">
        <v>2966</v>
      </c>
      <c r="B569" s="3" t="str">
        <f t="shared" si="1"/>
        <v>54, 56, CLEFAEFAE</v>
      </c>
      <c r="C569" s="2" t="s">
        <v>2966</v>
      </c>
    </row>
    <row r="570" ht="12.75" customHeight="1">
      <c r="A570" s="3"/>
      <c r="B570" s="3" t="str">
        <f t="shared" si="1"/>
        <v/>
      </c>
      <c r="C570" s="2" t="s">
        <v>2801</v>
      </c>
    </row>
    <row r="571" ht="12.75" customHeight="1">
      <c r="A571" s="3" t="s">
        <v>2813</v>
      </c>
      <c r="B571" s="3" t="str">
        <f t="shared" si="1"/>
        <v>0.01</v>
      </c>
      <c r="C571" s="2" t="s">
        <v>2813</v>
      </c>
    </row>
    <row r="572" ht="12.75" customHeight="1">
      <c r="A572" s="3" t="s">
        <v>2967</v>
      </c>
      <c r="B572" s="3" t="str">
        <f t="shared" si="1"/>
        <v>55, 56, KABUTAK</v>
      </c>
      <c r="C572" s="2" t="s">
        <v>2967</v>
      </c>
    </row>
    <row r="573" ht="12.75" customHeight="1">
      <c r="A573" s="3" t="s">
        <v>2968</v>
      </c>
      <c r="B573" s="3" t="str">
        <f t="shared" si="1"/>
        <v>55, 56, OMAPAL</v>
      </c>
      <c r="C573" s="2" t="s">
        <v>2968</v>
      </c>
    </row>
    <row r="574" ht="12.75" customHeight="1">
      <c r="A574" s="3" t="s">
        <v>2969</v>
      </c>
      <c r="B574" s="3" t="str">
        <f t="shared" si="1"/>
        <v>2, 50, 55, POLITOES</v>
      </c>
      <c r="C574" s="2" t="s">
        <v>2969</v>
      </c>
    </row>
    <row r="575" ht="12.75" customHeight="1">
      <c r="A575" s="3" t="s">
        <v>2970</v>
      </c>
      <c r="B575" s="3" t="str">
        <f t="shared" si="1"/>
        <v>50, 55, DRAGONITE</v>
      </c>
      <c r="C575" s="2" t="s">
        <v>2970</v>
      </c>
    </row>
    <row r="576" ht="12.75" customHeight="1">
      <c r="A576" s="3" t="s">
        <v>2971</v>
      </c>
      <c r="B576" s="3" t="str">
        <f t="shared" si="1"/>
        <v>52, 57, POLIWISE</v>
      </c>
      <c r="C576" s="2" t="s">
        <v>2971</v>
      </c>
    </row>
    <row r="577" ht="12.75" customHeight="1">
      <c r="A577" s="3" t="s">
        <v>2972</v>
      </c>
      <c r="B577" s="3" t="str">
        <f t="shared" si="1"/>
        <v>52, 57, DRAGONIER</v>
      </c>
      <c r="C577" s="2" t="s">
        <v>2972</v>
      </c>
    </row>
    <row r="578" ht="12.75" customHeight="1">
      <c r="A578" s="3" t="s">
        <v>2973</v>
      </c>
      <c r="B578" s="3" t="str">
        <f t="shared" si="1"/>
        <v>53, 58, NESSEA</v>
      </c>
      <c r="C578" s="2" t="s">
        <v>2973</v>
      </c>
    </row>
    <row r="579" ht="12.75" customHeight="1">
      <c r="A579" s="3" t="s">
        <v>2926</v>
      </c>
      <c r="B579" s="3" t="str">
        <f t="shared" si="1"/>
        <v>20, old rod:</v>
      </c>
      <c r="C579" s="2" t="s">
        <v>2926</v>
      </c>
    </row>
    <row r="580" ht="12.75" customHeight="1">
      <c r="A580" s="3" t="s">
        <v>548</v>
      </c>
      <c r="B580" s="3" t="str">
        <f t="shared" si="1"/>
        <v>23, 36, CLOYSTER</v>
      </c>
      <c r="C580" s="2" t="s">
        <v>548</v>
      </c>
    </row>
    <row r="581" ht="12.75" customHeight="1">
      <c r="A581" s="3" t="s">
        <v>2974</v>
      </c>
      <c r="B581" s="3" t="str">
        <f t="shared" si="1"/>
        <v>23, 36, GYARADOS</v>
      </c>
      <c r="C581" s="2" t="s">
        <v>2974</v>
      </c>
    </row>
    <row r="582" ht="12.75" customHeight="1">
      <c r="A582" s="3"/>
      <c r="B582" s="3" t="str">
        <f t="shared" si="1"/>
        <v/>
      </c>
      <c r="C582" s="2" t="s">
        <v>2801</v>
      </c>
    </row>
    <row r="583" ht="12.75" customHeight="1">
      <c r="A583" s="3" t="s">
        <v>2847</v>
      </c>
      <c r="B583" s="3" t="str">
        <f t="shared" si="1"/>
        <v>good rod:</v>
      </c>
      <c r="C583" s="2" t="s">
        <v>2847</v>
      </c>
    </row>
    <row r="584" ht="12.75" customHeight="1">
      <c r="A584" s="3" t="s">
        <v>2975</v>
      </c>
      <c r="B584" s="3" t="str">
        <f t="shared" si="1"/>
        <v>30, 38, CLOYSTER</v>
      </c>
      <c r="C584" s="2" t="s">
        <v>2975</v>
      </c>
    </row>
    <row r="585" ht="12.75" customHeight="1">
      <c r="A585" s="3" t="s">
        <v>2976</v>
      </c>
      <c r="B585" s="3" t="str">
        <f t="shared" si="1"/>
        <v>32, 40, KINGDRA</v>
      </c>
      <c r="C585" s="2" t="s">
        <v>2976</v>
      </c>
    </row>
    <row r="586" ht="12.75" customHeight="1">
      <c r="A586" s="3" t="s">
        <v>2977</v>
      </c>
      <c r="B586" s="3" t="str">
        <f t="shared" si="1"/>
        <v>32, 40, HYDRADOS</v>
      </c>
      <c r="C586" s="2" t="s">
        <v>2977</v>
      </c>
    </row>
    <row r="587" ht="12.75" customHeight="1">
      <c r="A587" s="3"/>
      <c r="B587" s="3" t="str">
        <f t="shared" si="1"/>
        <v/>
      </c>
      <c r="C587" s="2" t="s">
        <v>2801</v>
      </c>
    </row>
    <row r="588" ht="12.75" customHeight="1">
      <c r="A588" s="3" t="s">
        <v>2851</v>
      </c>
      <c r="B588" s="3" t="str">
        <f t="shared" si="1"/>
        <v>super rod:</v>
      </c>
      <c r="C588" s="2" t="s">
        <v>2851</v>
      </c>
    </row>
    <row r="589" ht="12.75" customHeight="1">
      <c r="A589" s="3" t="s">
        <v>2978</v>
      </c>
      <c r="B589" s="3" t="str">
        <f t="shared" si="1"/>
        <v>50, 55, LORDRA</v>
      </c>
      <c r="C589" s="2" t="s">
        <v>2978</v>
      </c>
    </row>
    <row r="590" ht="12.75" customHeight="1">
      <c r="A590" s="3" t="s">
        <v>2979</v>
      </c>
      <c r="B590" s="3" t="str">
        <f t="shared" si="1"/>
        <v>50, 55, AN'ENEMY</v>
      </c>
      <c r="C590" s="2" t="s">
        <v>2979</v>
      </c>
    </row>
    <row r="591" ht="12.75" customHeight="1">
      <c r="A591" s="3" t="s">
        <v>2980</v>
      </c>
      <c r="B591" s="3" t="str">
        <f t="shared" si="1"/>
        <v>52, 57, DRACOSMIC</v>
      </c>
      <c r="C591" s="2" t="s">
        <v>2980</v>
      </c>
    </row>
    <row r="592" ht="12.75" customHeight="1">
      <c r="A592" s="3" t="s">
        <v>2981</v>
      </c>
      <c r="B592" s="3" t="str">
        <f t="shared" si="1"/>
        <v>52, 57, GLAISHELL</v>
      </c>
      <c r="C592" s="2" t="s">
        <v>2981</v>
      </c>
    </row>
    <row r="593" ht="12.75" customHeight="1">
      <c r="A593" s="3" t="s">
        <v>2982</v>
      </c>
      <c r="B593" s="3" t="str">
        <f t="shared" si="1"/>
        <v>53, 58, STARWE</v>
      </c>
      <c r="C593" s="2" t="s">
        <v>2982</v>
      </c>
    </row>
    <row r="594" ht="12.75" customHeight="1">
      <c r="A594" s="3" t="s">
        <v>2539</v>
      </c>
      <c r="B594" s="3" t="str">
        <f t="shared" si="1"/>
        <v>NEW ROUTE</v>
      </c>
      <c r="C594" s="2" t="s">
        <v>2539</v>
      </c>
    </row>
    <row r="595" ht="12.75" customHeight="1">
      <c r="A595" s="3" t="s">
        <v>2986</v>
      </c>
      <c r="B595" s="3" t="str">
        <f t="shared" si="1"/>
        <v>1, 81, 0,</v>
      </c>
      <c r="C595" s="2" t="s">
        <v>2986</v>
      </c>
    </row>
    <row r="596" ht="12.75" customHeight="1">
      <c r="A596" s="3" t="s">
        <v>2817</v>
      </c>
      <c r="B596" s="3" t="str">
        <f t="shared" si="1"/>
        <v>20%</v>
      </c>
      <c r="C596" s="2" t="s">
        <v>2799</v>
      </c>
    </row>
    <row r="597" ht="12.75" customHeight="1">
      <c r="A597" s="3" t="s">
        <v>562</v>
      </c>
      <c r="B597" s="3" t="str">
        <f t="shared" si="1"/>
        <v>20, 23, RHYHORN</v>
      </c>
      <c r="C597" s="2" t="s">
        <v>562</v>
      </c>
    </row>
    <row r="598" ht="12.75" customHeight="1">
      <c r="A598" s="3" t="s">
        <v>2987</v>
      </c>
      <c r="B598" s="3" t="str">
        <f t="shared" si="1"/>
        <v>20, 23, GEODUDE</v>
      </c>
      <c r="C598" s="2" t="s">
        <v>2987</v>
      </c>
    </row>
    <row r="599" ht="12.75" customHeight="1">
      <c r="A599" s="3"/>
      <c r="B599" s="3" t="str">
        <f t="shared" si="1"/>
        <v/>
      </c>
      <c r="C599" s="2" t="s">
        <v>2801</v>
      </c>
    </row>
    <row r="600" ht="12.75" customHeight="1">
      <c r="A600" s="3" t="s">
        <v>2802</v>
      </c>
      <c r="B600" s="3" t="str">
        <f t="shared" si="1"/>
        <v>0.1</v>
      </c>
      <c r="C600" s="2" t="s">
        <v>2802</v>
      </c>
    </row>
    <row r="601" ht="12.75" customHeight="1">
      <c r="A601" s="3" t="s">
        <v>2988</v>
      </c>
      <c r="B601" s="3" t="str">
        <f t="shared" si="1"/>
        <v>20, 24, ONIX</v>
      </c>
      <c r="C601" s="2" t="s">
        <v>2988</v>
      </c>
    </row>
    <row r="602" ht="12.75" customHeight="1">
      <c r="A602" s="3" t="s">
        <v>2989</v>
      </c>
      <c r="B602" s="3" t="str">
        <f t="shared" si="1"/>
        <v>19, 23, MANKEY</v>
      </c>
      <c r="C602" s="2" t="s">
        <v>2989</v>
      </c>
    </row>
    <row r="603" ht="12.75" customHeight="1">
      <c r="A603" s="3" t="s">
        <v>2990</v>
      </c>
      <c r="B603" s="3" t="str">
        <f t="shared" si="1"/>
        <v>19, 23, MACHOP</v>
      </c>
      <c r="C603" s="2" t="s">
        <v>2990</v>
      </c>
    </row>
    <row r="604" ht="12.75" customHeight="1">
      <c r="A604" s="3" t="s">
        <v>2991</v>
      </c>
      <c r="B604" s="3" t="str">
        <f t="shared" si="1"/>
        <v>22, 24, GOLBAT</v>
      </c>
      <c r="C604" s="2" t="s">
        <v>2991</v>
      </c>
    </row>
    <row r="605" ht="12.75" customHeight="1">
      <c r="A605" s="3"/>
      <c r="B605" s="3" t="str">
        <f t="shared" si="1"/>
        <v/>
      </c>
      <c r="C605" s="2" t="s">
        <v>2801</v>
      </c>
    </row>
    <row r="606" ht="12.75" customHeight="1">
      <c r="A606" s="3" t="s">
        <v>2807</v>
      </c>
      <c r="B606" s="3" t="str">
        <f t="shared" si="1"/>
        <v>0.05</v>
      </c>
      <c r="C606" s="2" t="s">
        <v>2807</v>
      </c>
    </row>
    <row r="607" ht="12.75" customHeight="1">
      <c r="A607" s="3" t="s">
        <v>2992</v>
      </c>
      <c r="B607" s="3" t="str">
        <f t="shared" si="1"/>
        <v>24, 24, RHYHORN</v>
      </c>
      <c r="C607" s="2" t="s">
        <v>2992</v>
      </c>
    </row>
    <row r="608" ht="12.75" customHeight="1">
      <c r="A608" s="3" t="s">
        <v>2993</v>
      </c>
      <c r="B608" s="3" t="str">
        <f t="shared" si="1"/>
        <v>24, 24, GEODUDE</v>
      </c>
      <c r="C608" s="2" t="s">
        <v>2993</v>
      </c>
    </row>
    <row r="609" ht="12.75" customHeight="1">
      <c r="A609" s="3"/>
      <c r="B609" s="3" t="str">
        <f t="shared" si="1"/>
        <v/>
      </c>
      <c r="C609" s="2" t="s">
        <v>2801</v>
      </c>
    </row>
    <row r="610" ht="12.75" customHeight="1">
      <c r="A610" s="3" t="s">
        <v>2810</v>
      </c>
      <c r="B610" s="3" t="str">
        <f t="shared" si="1"/>
        <v>0.04</v>
      </c>
      <c r="C610" s="2" t="s">
        <v>2810</v>
      </c>
    </row>
    <row r="611" ht="12.75" customHeight="1">
      <c r="A611" s="3" t="s">
        <v>2994</v>
      </c>
      <c r="B611" s="3" t="str">
        <f t="shared" si="1"/>
        <v>20, 25, GRAVELER</v>
      </c>
      <c r="C611" s="2" t="s">
        <v>2994</v>
      </c>
    </row>
    <row r="612" ht="12.75" customHeight="1">
      <c r="A612" s="3" t="s">
        <v>2995</v>
      </c>
      <c r="B612" s="3" t="str">
        <f t="shared" si="1"/>
        <v>25, 25, GOLBAT</v>
      </c>
      <c r="C612" s="2" t="s">
        <v>2995</v>
      </c>
    </row>
    <row r="613" ht="12.75" customHeight="1">
      <c r="A613" s="3"/>
      <c r="B613" s="3" t="str">
        <f t="shared" si="1"/>
        <v/>
      </c>
      <c r="C613" s="2" t="s">
        <v>2801</v>
      </c>
    </row>
    <row r="614" ht="12.75" customHeight="1">
      <c r="A614" s="3" t="s">
        <v>2813</v>
      </c>
      <c r="B614" s="3" t="str">
        <f t="shared" si="1"/>
        <v>0.01</v>
      </c>
      <c r="C614" s="2" t="s">
        <v>2813</v>
      </c>
    </row>
    <row r="615" ht="12.75" customHeight="1">
      <c r="A615" s="3" t="s">
        <v>2996</v>
      </c>
      <c r="B615" s="3" t="str">
        <f t="shared" si="1"/>
        <v>20, 25, PINSIR</v>
      </c>
      <c r="C615" s="2" t="s">
        <v>2996</v>
      </c>
    </row>
    <row r="616" ht="12.75" customHeight="1">
      <c r="A616" s="3" t="s">
        <v>2997</v>
      </c>
      <c r="B616" s="3" t="str">
        <f t="shared" si="1"/>
        <v>20, 23, KANGASKHAN , &lt;null&gt;, &lt;null&gt;, &lt;null&gt;</v>
      </c>
      <c r="C616" s="2" t="s">
        <v>2997</v>
      </c>
    </row>
    <row r="617" ht="12.75" customHeight="1">
      <c r="A617" s="3"/>
      <c r="B617" s="3" t="str">
        <f t="shared" si="1"/>
        <v/>
      </c>
      <c r="C617" s="2" t="s">
        <v>2801</v>
      </c>
    </row>
    <row r="618" ht="12.75" customHeight="1">
      <c r="A618" s="3" t="s">
        <v>2539</v>
      </c>
      <c r="B618" s="3" t="str">
        <f t="shared" si="1"/>
        <v>NEW ROUTE</v>
      </c>
      <c r="C618" s="2" t="s">
        <v>2539</v>
      </c>
    </row>
    <row r="619" ht="12.75" customHeight="1">
      <c r="A619" s="3" t="s">
        <v>2998</v>
      </c>
      <c r="B619" s="3" t="str">
        <f t="shared" si="1"/>
        <v>1, 82, 0,</v>
      </c>
      <c r="C619" s="2" t="s">
        <v>2998</v>
      </c>
    </row>
    <row r="620" ht="12.75" customHeight="1">
      <c r="A620" s="3" t="s">
        <v>2817</v>
      </c>
      <c r="B620" s="3" t="str">
        <f t="shared" si="1"/>
        <v>20%</v>
      </c>
      <c r="C620" s="2" t="s">
        <v>2799</v>
      </c>
    </row>
    <row r="621" ht="12.75" customHeight="1">
      <c r="A621" s="3" t="s">
        <v>562</v>
      </c>
      <c r="B621" s="3" t="str">
        <f t="shared" si="1"/>
        <v>20, 23, RHYHORN</v>
      </c>
      <c r="C621" s="2" t="s">
        <v>562</v>
      </c>
    </row>
    <row r="622" ht="12.75" customHeight="1">
      <c r="A622" s="3" t="s">
        <v>2987</v>
      </c>
      <c r="B622" s="3" t="str">
        <f t="shared" si="1"/>
        <v>20, 23, GEODUDE</v>
      </c>
      <c r="C622" s="2" t="s">
        <v>2987</v>
      </c>
    </row>
    <row r="623" ht="12.75" customHeight="1">
      <c r="A623" s="3"/>
      <c r="B623" s="3" t="str">
        <f t="shared" si="1"/>
        <v/>
      </c>
      <c r="C623" s="2" t="s">
        <v>2801</v>
      </c>
    </row>
    <row r="624" ht="12.75" customHeight="1">
      <c r="A624" s="3" t="s">
        <v>2802</v>
      </c>
      <c r="B624" s="3" t="str">
        <f t="shared" si="1"/>
        <v>0.1</v>
      </c>
      <c r="C624" s="2" t="s">
        <v>2802</v>
      </c>
    </row>
    <row r="625" ht="12.75" customHeight="1">
      <c r="A625" s="3" t="s">
        <v>2988</v>
      </c>
      <c r="B625" s="3" t="str">
        <f t="shared" si="1"/>
        <v>20, 24, ONIX</v>
      </c>
      <c r="C625" s="2" t="s">
        <v>2988</v>
      </c>
    </row>
    <row r="626" ht="12.75" customHeight="1">
      <c r="A626" s="3" t="s">
        <v>2989</v>
      </c>
      <c r="B626" s="3" t="str">
        <f t="shared" si="1"/>
        <v>19, 23, MANKEY</v>
      </c>
      <c r="C626" s="2" t="s">
        <v>2989</v>
      </c>
    </row>
    <row r="627" ht="12.75" customHeight="1">
      <c r="A627" s="3" t="s">
        <v>2990</v>
      </c>
      <c r="B627" s="3" t="str">
        <f t="shared" si="1"/>
        <v>19, 23, MACHOP</v>
      </c>
      <c r="C627" s="2" t="s">
        <v>2990</v>
      </c>
    </row>
    <row r="628" ht="12.75" customHeight="1">
      <c r="A628" s="3" t="s">
        <v>2991</v>
      </c>
      <c r="B628" s="3" t="str">
        <f t="shared" si="1"/>
        <v>22, 24, GOLBAT</v>
      </c>
      <c r="C628" s="2" t="s">
        <v>2991</v>
      </c>
    </row>
    <row r="629" ht="12.75" customHeight="1">
      <c r="A629" s="3"/>
      <c r="B629" s="3" t="str">
        <f t="shared" si="1"/>
        <v/>
      </c>
      <c r="C629" s="2" t="s">
        <v>2801</v>
      </c>
    </row>
    <row r="630" ht="12.75" customHeight="1">
      <c r="A630" s="3" t="s">
        <v>2807</v>
      </c>
      <c r="B630" s="3" t="str">
        <f t="shared" si="1"/>
        <v>0.05</v>
      </c>
      <c r="C630" s="2" t="s">
        <v>2807</v>
      </c>
    </row>
    <row r="631" ht="12.75" customHeight="1">
      <c r="A631" s="3" t="s">
        <v>2992</v>
      </c>
      <c r="B631" s="3" t="str">
        <f t="shared" si="1"/>
        <v>24, 24, RHYHORN</v>
      </c>
      <c r="C631" s="2" t="s">
        <v>2992</v>
      </c>
    </row>
    <row r="632" ht="12.75" customHeight="1">
      <c r="A632" s="3" t="s">
        <v>2993</v>
      </c>
      <c r="B632" s="3" t="str">
        <f t="shared" si="1"/>
        <v>24, 24, GEODUDE</v>
      </c>
      <c r="C632" s="2" t="s">
        <v>2993</v>
      </c>
    </row>
    <row r="633" ht="12.75" customHeight="1">
      <c r="A633" s="3"/>
      <c r="B633" s="3" t="str">
        <f t="shared" si="1"/>
        <v/>
      </c>
      <c r="C633" s="2" t="s">
        <v>2801</v>
      </c>
    </row>
    <row r="634" ht="12.75" customHeight="1">
      <c r="A634" s="3" t="s">
        <v>2810</v>
      </c>
      <c r="B634" s="3" t="str">
        <f t="shared" si="1"/>
        <v>0.04</v>
      </c>
      <c r="C634" s="2" t="s">
        <v>2810</v>
      </c>
    </row>
    <row r="635" ht="12.75" customHeight="1">
      <c r="A635" s="3" t="s">
        <v>2994</v>
      </c>
      <c r="B635" s="3" t="str">
        <f t="shared" si="1"/>
        <v>20, 25, GRAVELER</v>
      </c>
      <c r="C635" s="2" t="s">
        <v>2994</v>
      </c>
    </row>
    <row r="636" ht="12.75" customHeight="1">
      <c r="A636" s="3" t="s">
        <v>2995</v>
      </c>
      <c r="B636" s="3" t="str">
        <f t="shared" si="1"/>
        <v>25, 25, GOLBAT</v>
      </c>
      <c r="C636" s="2" t="s">
        <v>2995</v>
      </c>
    </row>
    <row r="637" ht="12.75" customHeight="1">
      <c r="A637" s="3"/>
      <c r="B637" s="3" t="str">
        <f t="shared" si="1"/>
        <v/>
      </c>
      <c r="C637" s="2" t="s">
        <v>2801</v>
      </c>
    </row>
    <row r="638" ht="12.75" customHeight="1">
      <c r="A638" s="3" t="s">
        <v>2813</v>
      </c>
      <c r="B638" s="3" t="str">
        <f t="shared" si="1"/>
        <v>0.01</v>
      </c>
      <c r="C638" s="2" t="s">
        <v>2813</v>
      </c>
    </row>
    <row r="639" ht="12.75" customHeight="1">
      <c r="A639" s="3" t="s">
        <v>2996</v>
      </c>
      <c r="B639" s="3" t="str">
        <f t="shared" si="1"/>
        <v>20, 25, PINSIR</v>
      </c>
      <c r="C639" s="2" t="s">
        <v>2996</v>
      </c>
    </row>
    <row r="640" ht="12.75" customHeight="1">
      <c r="A640" s="3" t="s">
        <v>2999</v>
      </c>
      <c r="B640" s="3" t="str">
        <f t="shared" si="1"/>
        <v>21, 24, KANGASKHAN</v>
      </c>
      <c r="C640" s="2" t="s">
        <v>2999</v>
      </c>
    </row>
    <row r="641" ht="12.75" customHeight="1">
      <c r="A641" s="3" t="s">
        <v>3000</v>
      </c>
      <c r="B641" s="3" t="str">
        <f t="shared" si="1"/>
        <v>50, 5, 20, GEODUDE</v>
      </c>
      <c r="C641" s="2" t="s">
        <v>3000</v>
      </c>
    </row>
    <row r="642" ht="12.75" customHeight="1">
      <c r="A642" s="3" t="s">
        <v>3001</v>
      </c>
      <c r="B642" s="3" t="str">
        <f t="shared" si="1"/>
        <v>10, 20, GEODUDE</v>
      </c>
      <c r="C642" s="2" t="s">
        <v>3001</v>
      </c>
    </row>
    <row r="643" ht="12.75" customHeight="1">
      <c r="A643" s="3" t="s">
        <v>3002</v>
      </c>
      <c r="B643" s="3" t="str">
        <f t="shared" si="1"/>
        <v>15, 30, GEODUDE</v>
      </c>
      <c r="C643" s="2" t="s">
        <v>3002</v>
      </c>
    </row>
    <row r="644" ht="12.75" customHeight="1">
      <c r="A644" s="3" t="s">
        <v>3003</v>
      </c>
      <c r="B644" s="3" t="str">
        <f t="shared" si="1"/>
        <v>25, 40, GRAVELER</v>
      </c>
      <c r="C644" s="2" t="s">
        <v>3003</v>
      </c>
    </row>
    <row r="645" ht="12.75" customHeight="1">
      <c r="A645" s="3" t="s">
        <v>3004</v>
      </c>
      <c r="B645" s="3" t="str">
        <f t="shared" si="1"/>
        <v>30, 40, GRAVELER , &lt;null&gt;</v>
      </c>
      <c r="C645" s="2" t="s">
        <v>3004</v>
      </c>
    </row>
    <row r="646" ht="12.75" customHeight="1">
      <c r="A646" s="3"/>
      <c r="B646" s="3" t="str">
        <f t="shared" si="1"/>
        <v/>
      </c>
      <c r="C646" s="2" t="s">
        <v>2801</v>
      </c>
    </row>
    <row r="647" ht="12.75" customHeight="1">
      <c r="A647" s="3" t="s">
        <v>2539</v>
      </c>
      <c r="B647" s="3" t="str">
        <f t="shared" si="1"/>
        <v>NEW ROUTE</v>
      </c>
      <c r="C647" s="2" t="s">
        <v>2539</v>
      </c>
    </row>
    <row r="648" ht="12.75" customHeight="1">
      <c r="A648" s="3" t="s">
        <v>3005</v>
      </c>
      <c r="B648" s="3" t="str">
        <f t="shared" si="1"/>
        <v>1, 83, 0,</v>
      </c>
      <c r="C648" s="2" t="s">
        <v>3005</v>
      </c>
    </row>
    <row r="649" ht="12.75" customHeight="1">
      <c r="A649" s="3" t="s">
        <v>2817</v>
      </c>
      <c r="B649" s="3" t="str">
        <f t="shared" si="1"/>
        <v>20%</v>
      </c>
      <c r="C649" s="2" t="s">
        <v>2799</v>
      </c>
    </row>
    <row r="650" ht="12.75" customHeight="1">
      <c r="A650" s="3" t="s">
        <v>581</v>
      </c>
      <c r="B650" s="3" t="str">
        <f t="shared" si="1"/>
        <v>40, 44, GOLBAT</v>
      </c>
      <c r="C650" s="2" t="s">
        <v>581</v>
      </c>
    </row>
    <row r="651" ht="12.75" customHeight="1">
      <c r="A651" s="3" t="s">
        <v>3006</v>
      </c>
      <c r="B651" s="3" t="str">
        <f t="shared" si="1"/>
        <v>40, 44, GOLDUCK</v>
      </c>
      <c r="C651" s="2" t="s">
        <v>3006</v>
      </c>
    </row>
    <row r="652" ht="12.75" customHeight="1">
      <c r="A652" s="3"/>
      <c r="B652" s="3" t="str">
        <f t="shared" si="1"/>
        <v/>
      </c>
      <c r="C652" s="2" t="s">
        <v>2801</v>
      </c>
    </row>
    <row r="653" ht="12.75" customHeight="1">
      <c r="A653" s="3" t="s">
        <v>2802</v>
      </c>
      <c r="B653" s="3" t="str">
        <f t="shared" si="1"/>
        <v>0.1</v>
      </c>
      <c r="C653" s="2" t="s">
        <v>2802</v>
      </c>
    </row>
    <row r="654" ht="12.75" customHeight="1">
      <c r="A654" s="3" t="s">
        <v>3007</v>
      </c>
      <c r="B654" s="3" t="str">
        <f t="shared" si="1"/>
        <v>40, 44, SLOWBRO</v>
      </c>
      <c r="C654" s="2" t="s">
        <v>3007</v>
      </c>
    </row>
    <row r="655" ht="12.75" customHeight="1">
      <c r="A655" s="3" t="s">
        <v>3008</v>
      </c>
      <c r="B655" s="3" t="str">
        <f t="shared" si="1"/>
        <v>40, 44, CROBAT</v>
      </c>
      <c r="C655" s="2" t="s">
        <v>3008</v>
      </c>
    </row>
    <row r="656" ht="12.75" customHeight="1">
      <c r="A656" s="3" t="s">
        <v>3009</v>
      </c>
      <c r="B656" s="3" t="str">
        <f t="shared" si="1"/>
        <v>40, 44, DEWGONG</v>
      </c>
      <c r="C656" s="2" t="s">
        <v>3009</v>
      </c>
    </row>
    <row r="657" ht="12.75" customHeight="1">
      <c r="A657" s="3" t="s">
        <v>3010</v>
      </c>
      <c r="B657" s="3" t="str">
        <f t="shared" si="1"/>
        <v>40, 44, LICKILICKY</v>
      </c>
      <c r="C657" s="2" t="s">
        <v>3010</v>
      </c>
    </row>
    <row r="658" ht="12.75" customHeight="1">
      <c r="A658" s="3"/>
      <c r="B658" s="3" t="str">
        <f t="shared" si="1"/>
        <v/>
      </c>
      <c r="C658" s="2" t="s">
        <v>2801</v>
      </c>
    </row>
    <row r="659" ht="12.75" customHeight="1">
      <c r="A659" s="3" t="s">
        <v>2807</v>
      </c>
      <c r="B659" s="3" t="str">
        <f t="shared" si="1"/>
        <v>0.05</v>
      </c>
      <c r="C659" s="2" t="s">
        <v>2807</v>
      </c>
    </row>
    <row r="660" ht="12.75" customHeight="1">
      <c r="A660" s="3" t="s">
        <v>3011</v>
      </c>
      <c r="B660" s="3" t="str">
        <f t="shared" si="1"/>
        <v>42, 46, POLABAT</v>
      </c>
      <c r="C660" s="2" t="s">
        <v>3011</v>
      </c>
    </row>
    <row r="661" ht="12.75" customHeight="1">
      <c r="A661" s="3" t="s">
        <v>3012</v>
      </c>
      <c r="B661" s="3" t="str">
        <f t="shared" si="1"/>
        <v>42, 46, GILDUCK</v>
      </c>
      <c r="C661" s="2" t="s">
        <v>3012</v>
      </c>
    </row>
    <row r="662" ht="12.75" customHeight="1">
      <c r="A662" s="3"/>
      <c r="B662" s="3" t="str">
        <f t="shared" si="1"/>
        <v/>
      </c>
      <c r="C662" s="2" t="s">
        <v>2801</v>
      </c>
    </row>
    <row r="663" ht="12.75" customHeight="1">
      <c r="A663" s="3" t="s">
        <v>2810</v>
      </c>
      <c r="B663" s="3" t="str">
        <f t="shared" si="1"/>
        <v>0.04</v>
      </c>
      <c r="C663" s="2" t="s">
        <v>2810</v>
      </c>
    </row>
    <row r="664" ht="12.75" customHeight="1">
      <c r="A664" s="3" t="s">
        <v>3013</v>
      </c>
      <c r="B664" s="3" t="str">
        <f t="shared" si="1"/>
        <v>44, 47, SLOWMATE</v>
      </c>
      <c r="C664" s="2" t="s">
        <v>3013</v>
      </c>
    </row>
    <row r="665" ht="12.75" customHeight="1">
      <c r="A665" s="3" t="s">
        <v>3014</v>
      </c>
      <c r="B665" s="3" t="str">
        <f t="shared" si="1"/>
        <v>44, 47, PRECIPED</v>
      </c>
      <c r="C665" s="2" t="s">
        <v>3014</v>
      </c>
    </row>
    <row r="666" ht="12.75" customHeight="1">
      <c r="A666" s="3"/>
      <c r="B666" s="3" t="str">
        <f t="shared" si="1"/>
        <v/>
      </c>
      <c r="C666" s="2" t="s">
        <v>2801</v>
      </c>
    </row>
    <row r="667" ht="12.75" customHeight="1">
      <c r="A667" s="3" t="s">
        <v>2813</v>
      </c>
      <c r="B667" s="3" t="str">
        <f t="shared" si="1"/>
        <v>0.01</v>
      </c>
      <c r="C667" s="2" t="s">
        <v>2813</v>
      </c>
    </row>
    <row r="668" ht="12.75" customHeight="1">
      <c r="A668" s="3" t="s">
        <v>3015</v>
      </c>
      <c r="B668" s="3" t="str">
        <f t="shared" si="1"/>
        <v>45, 50, DRAGONITE</v>
      </c>
      <c r="C668" s="2" t="s">
        <v>3015</v>
      </c>
    </row>
    <row r="669" ht="12.75" customHeight="1">
      <c r="A669" s="3" t="s">
        <v>3016</v>
      </c>
      <c r="B669" s="3" t="str">
        <f t="shared" si="1"/>
        <v>45, 50, LICKILICKY , &lt;null&gt;, &lt;null&gt;, &lt;null&gt;</v>
      </c>
      <c r="C669" s="2" t="s">
        <v>3016</v>
      </c>
    </row>
    <row r="670" ht="12.75" customHeight="1">
      <c r="A670" s="3"/>
      <c r="B670" s="3" t="str">
        <f t="shared" si="1"/>
        <v/>
      </c>
      <c r="C670" s="2" t="s">
        <v>2801</v>
      </c>
    </row>
    <row r="671" ht="12.75" customHeight="1">
      <c r="A671" s="3" t="s">
        <v>2539</v>
      </c>
      <c r="B671" s="3" t="str">
        <f t="shared" si="1"/>
        <v>NEW ROUTE</v>
      </c>
      <c r="C671" s="2" t="s">
        <v>2539</v>
      </c>
    </row>
    <row r="672" ht="12.75" customHeight="1">
      <c r="A672" s="3" t="s">
        <v>3017</v>
      </c>
      <c r="B672" s="3" t="str">
        <f t="shared" si="1"/>
        <v>1, 84, 0,</v>
      </c>
      <c r="C672" s="2" t="s">
        <v>3017</v>
      </c>
    </row>
    <row r="673" ht="12.75" customHeight="1">
      <c r="A673" s="3" t="s">
        <v>2817</v>
      </c>
      <c r="B673" s="3" t="str">
        <f t="shared" si="1"/>
        <v>20%</v>
      </c>
      <c r="C673" s="2" t="s">
        <v>2799</v>
      </c>
    </row>
    <row r="674" ht="12.75" customHeight="1">
      <c r="A674" s="3" t="s">
        <v>581</v>
      </c>
      <c r="B674" s="3" t="str">
        <f t="shared" si="1"/>
        <v>40, 44, GOLBAT</v>
      </c>
      <c r="C674" s="2" t="s">
        <v>581</v>
      </c>
    </row>
    <row r="675" ht="12.75" customHeight="1">
      <c r="A675" s="3" t="s">
        <v>3006</v>
      </c>
      <c r="B675" s="3" t="str">
        <f t="shared" si="1"/>
        <v>40, 44, GOLDUCK</v>
      </c>
      <c r="C675" s="2" t="s">
        <v>3006</v>
      </c>
    </row>
    <row r="676" ht="12.75" customHeight="1">
      <c r="A676" s="3"/>
      <c r="B676" s="3" t="str">
        <f t="shared" si="1"/>
        <v/>
      </c>
      <c r="C676" s="2" t="s">
        <v>2801</v>
      </c>
    </row>
    <row r="677" ht="12.75" customHeight="1">
      <c r="A677" s="3" t="s">
        <v>2802</v>
      </c>
      <c r="B677" s="3" t="str">
        <f t="shared" si="1"/>
        <v>0.1</v>
      </c>
      <c r="C677" s="2" t="s">
        <v>2802</v>
      </c>
    </row>
    <row r="678" ht="12.75" customHeight="1">
      <c r="A678" s="3" t="s">
        <v>3007</v>
      </c>
      <c r="B678" s="3" t="str">
        <f t="shared" si="1"/>
        <v>40, 44, SLOWBRO</v>
      </c>
      <c r="C678" s="2" t="s">
        <v>3007</v>
      </c>
    </row>
    <row r="679" ht="12.75" customHeight="1">
      <c r="A679" s="3" t="s">
        <v>3008</v>
      </c>
      <c r="B679" s="3" t="str">
        <f t="shared" si="1"/>
        <v>40, 44, CROBAT</v>
      </c>
      <c r="C679" s="2" t="s">
        <v>3008</v>
      </c>
    </row>
    <row r="680" ht="12.75" customHeight="1">
      <c r="A680" s="3" t="s">
        <v>3009</v>
      </c>
      <c r="B680" s="3" t="str">
        <f t="shared" si="1"/>
        <v>40, 44, DEWGONG</v>
      </c>
      <c r="C680" s="2" t="s">
        <v>3009</v>
      </c>
    </row>
    <row r="681" ht="12.75" customHeight="1">
      <c r="A681" s="3" t="s">
        <v>3010</v>
      </c>
      <c r="B681" s="3" t="str">
        <f t="shared" si="1"/>
        <v>40, 44, LICKILICKY</v>
      </c>
      <c r="C681" s="2" t="s">
        <v>3010</v>
      </c>
    </row>
    <row r="682" ht="12.75" customHeight="1">
      <c r="A682" s="3"/>
      <c r="B682" s="3" t="str">
        <f t="shared" si="1"/>
        <v/>
      </c>
      <c r="C682" s="2" t="s">
        <v>2801</v>
      </c>
    </row>
    <row r="683" ht="12.75" customHeight="1">
      <c r="A683" s="3" t="s">
        <v>2807</v>
      </c>
      <c r="B683" s="3" t="str">
        <f t="shared" si="1"/>
        <v>0.05</v>
      </c>
      <c r="C683" s="2" t="s">
        <v>2807</v>
      </c>
    </row>
    <row r="684" ht="12.75" customHeight="1">
      <c r="A684" s="3" t="s">
        <v>3011</v>
      </c>
      <c r="B684" s="3" t="str">
        <f t="shared" si="1"/>
        <v>42, 46, POLABAT</v>
      </c>
      <c r="C684" s="2" t="s">
        <v>3011</v>
      </c>
    </row>
    <row r="685" ht="12.75" customHeight="1">
      <c r="A685" s="3" t="s">
        <v>3012</v>
      </c>
      <c r="B685" s="3" t="str">
        <f t="shared" si="1"/>
        <v>42, 46, GILDUCK</v>
      </c>
      <c r="C685" s="2" t="s">
        <v>3012</v>
      </c>
    </row>
    <row r="686" ht="12.75" customHeight="1">
      <c r="A686" s="3"/>
      <c r="B686" s="3" t="str">
        <f t="shared" si="1"/>
        <v/>
      </c>
      <c r="C686" s="2" t="s">
        <v>2801</v>
      </c>
    </row>
    <row r="687" ht="12.75" customHeight="1">
      <c r="A687" s="3" t="s">
        <v>2810</v>
      </c>
      <c r="B687" s="3" t="str">
        <f t="shared" si="1"/>
        <v>0.04</v>
      </c>
      <c r="C687" s="2" t="s">
        <v>2810</v>
      </c>
    </row>
    <row r="688" ht="12.75" customHeight="1">
      <c r="A688" s="3" t="s">
        <v>3013</v>
      </c>
      <c r="B688" s="3" t="str">
        <f t="shared" si="1"/>
        <v>44, 47, SLOWMATE</v>
      </c>
      <c r="C688" s="2" t="s">
        <v>3013</v>
      </c>
    </row>
    <row r="689" ht="12.75" customHeight="1">
      <c r="A689" s="3" t="s">
        <v>3014</v>
      </c>
      <c r="B689" s="3" t="str">
        <f t="shared" si="1"/>
        <v>44, 47, PRECIPED</v>
      </c>
      <c r="C689" s="2" t="s">
        <v>3014</v>
      </c>
    </row>
    <row r="690" ht="12.75" customHeight="1">
      <c r="A690" s="3"/>
      <c r="B690" s="3" t="str">
        <f t="shared" si="1"/>
        <v/>
      </c>
      <c r="C690" s="2" t="s">
        <v>2801</v>
      </c>
    </row>
    <row r="691" ht="12.75" customHeight="1">
      <c r="A691" s="3" t="s">
        <v>2813</v>
      </c>
      <c r="B691" s="3" t="str">
        <f t="shared" si="1"/>
        <v>0.01</v>
      </c>
      <c r="C691" s="2" t="s">
        <v>2813</v>
      </c>
    </row>
    <row r="692" ht="12.75" customHeight="1">
      <c r="A692" s="3" t="s">
        <v>3015</v>
      </c>
      <c r="B692" s="3" t="str">
        <f t="shared" si="1"/>
        <v>45, 50, DRAGONITE</v>
      </c>
      <c r="C692" s="2" t="s">
        <v>3015</v>
      </c>
    </row>
    <row r="693" ht="12.75" customHeight="1">
      <c r="A693" s="3" t="s">
        <v>3018</v>
      </c>
      <c r="B693" s="3" t="str">
        <f t="shared" si="1"/>
        <v>45, 50, LICKILOLLY , &lt;null&gt;, &lt;null&gt;, &lt;null&gt;</v>
      </c>
      <c r="C693" s="2" t="s">
        <v>3018</v>
      </c>
    </row>
    <row r="694" ht="12.75" customHeight="1">
      <c r="A694" s="3"/>
      <c r="B694" s="3" t="str">
        <f t="shared" si="1"/>
        <v/>
      </c>
      <c r="C694" s="2" t="s">
        <v>2801</v>
      </c>
    </row>
    <row r="695" ht="12.75" customHeight="1">
      <c r="A695" s="3" t="s">
        <v>2539</v>
      </c>
      <c r="B695" s="3" t="str">
        <f t="shared" si="1"/>
        <v>NEW ROUTE</v>
      </c>
      <c r="C695" s="2" t="s">
        <v>2539</v>
      </c>
    </row>
    <row r="696" ht="12.75" customHeight="1">
      <c r="A696" s="3" t="s">
        <v>3019</v>
      </c>
      <c r="B696" s="3" t="str">
        <f t="shared" si="1"/>
        <v>1, 85, 0,</v>
      </c>
      <c r="C696" s="2" t="s">
        <v>3019</v>
      </c>
    </row>
    <row r="697" ht="12.75" customHeight="1">
      <c r="A697" s="3" t="s">
        <v>2817</v>
      </c>
      <c r="B697" s="3" t="str">
        <f t="shared" si="1"/>
        <v>20%</v>
      </c>
      <c r="C697" s="2" t="s">
        <v>2799</v>
      </c>
    </row>
    <row r="698" ht="12.75" customHeight="1">
      <c r="A698" s="3" t="s">
        <v>581</v>
      </c>
      <c r="B698" s="3" t="str">
        <f t="shared" si="1"/>
        <v>40, 44, GOLBAT</v>
      </c>
      <c r="C698" s="2" t="s">
        <v>581</v>
      </c>
    </row>
    <row r="699" ht="12.75" customHeight="1">
      <c r="A699" s="3" t="s">
        <v>3006</v>
      </c>
      <c r="B699" s="3" t="str">
        <f t="shared" si="1"/>
        <v>40, 44, GOLDUCK</v>
      </c>
      <c r="C699" s="2" t="s">
        <v>3006</v>
      </c>
    </row>
    <row r="700" ht="12.75" customHeight="1">
      <c r="A700" s="3"/>
      <c r="B700" s="3" t="str">
        <f t="shared" si="1"/>
        <v/>
      </c>
      <c r="C700" s="2" t="s">
        <v>2801</v>
      </c>
    </row>
    <row r="701" ht="12.75" customHeight="1">
      <c r="A701" s="3" t="s">
        <v>2802</v>
      </c>
      <c r="B701" s="3" t="str">
        <f t="shared" si="1"/>
        <v>0.1</v>
      </c>
      <c r="C701" s="2" t="s">
        <v>2802</v>
      </c>
    </row>
    <row r="702" ht="12.75" customHeight="1">
      <c r="A702" s="3" t="s">
        <v>3007</v>
      </c>
      <c r="B702" s="3" t="str">
        <f t="shared" si="1"/>
        <v>40, 44, SLOWBRO</v>
      </c>
      <c r="C702" s="2" t="s">
        <v>3007</v>
      </c>
    </row>
    <row r="703" ht="12.75" customHeight="1">
      <c r="A703" s="3" t="s">
        <v>3008</v>
      </c>
      <c r="B703" s="3" t="str">
        <f t="shared" si="1"/>
        <v>40, 44, CROBAT</v>
      </c>
      <c r="C703" s="2" t="s">
        <v>3008</v>
      </c>
    </row>
    <row r="704" ht="12.75" customHeight="1">
      <c r="A704" s="3" t="s">
        <v>3009</v>
      </c>
      <c r="B704" s="3" t="str">
        <f t="shared" si="1"/>
        <v>40, 44, DEWGONG</v>
      </c>
      <c r="C704" s="2" t="s">
        <v>3009</v>
      </c>
    </row>
    <row r="705" ht="12.75" customHeight="1">
      <c r="A705" s="3" t="s">
        <v>3010</v>
      </c>
      <c r="B705" s="3" t="str">
        <f t="shared" si="1"/>
        <v>40, 44, LICKILICKY</v>
      </c>
      <c r="C705" s="2" t="s">
        <v>3010</v>
      </c>
    </row>
    <row r="706" ht="12.75" customHeight="1">
      <c r="A706" s="3"/>
      <c r="B706" s="3" t="str">
        <f t="shared" si="1"/>
        <v/>
      </c>
      <c r="C706" s="2" t="s">
        <v>2801</v>
      </c>
    </row>
    <row r="707" ht="12.75" customHeight="1">
      <c r="A707" s="3" t="s">
        <v>2807</v>
      </c>
      <c r="B707" s="3" t="str">
        <f t="shared" si="1"/>
        <v>0.05</v>
      </c>
      <c r="C707" s="2" t="s">
        <v>2807</v>
      </c>
    </row>
    <row r="708" ht="12.75" customHeight="1">
      <c r="A708" s="3" t="s">
        <v>3011</v>
      </c>
      <c r="B708" s="3" t="str">
        <f t="shared" si="1"/>
        <v>42, 46, POLABAT</v>
      </c>
      <c r="C708" s="2" t="s">
        <v>3011</v>
      </c>
    </row>
    <row r="709" ht="12.75" customHeight="1">
      <c r="A709" s="3" t="s">
        <v>3012</v>
      </c>
      <c r="B709" s="3" t="str">
        <f t="shared" si="1"/>
        <v>42, 46, GILDUCK</v>
      </c>
      <c r="C709" s="2" t="s">
        <v>3012</v>
      </c>
    </row>
    <row r="710" ht="12.75" customHeight="1">
      <c r="A710" s="3"/>
      <c r="B710" s="3" t="str">
        <f t="shared" si="1"/>
        <v/>
      </c>
      <c r="C710" s="2" t="s">
        <v>2801</v>
      </c>
    </row>
    <row r="711" ht="12.75" customHeight="1">
      <c r="A711" s="3" t="s">
        <v>2810</v>
      </c>
      <c r="B711" s="3" t="str">
        <f t="shared" si="1"/>
        <v>0.04</v>
      </c>
      <c r="C711" s="2" t="s">
        <v>2810</v>
      </c>
    </row>
    <row r="712" ht="12.75" customHeight="1">
      <c r="A712" s="3" t="s">
        <v>3013</v>
      </c>
      <c r="B712" s="3" t="str">
        <f t="shared" si="1"/>
        <v>44, 47, SLOWMATE</v>
      </c>
      <c r="C712" s="2" t="s">
        <v>3013</v>
      </c>
    </row>
    <row r="713" ht="12.75" customHeight="1">
      <c r="A713" s="3" t="s">
        <v>3014</v>
      </c>
      <c r="B713" s="3" t="str">
        <f t="shared" si="1"/>
        <v>44, 47, PRECIPED</v>
      </c>
      <c r="C713" s="2" t="s">
        <v>3014</v>
      </c>
    </row>
    <row r="714" ht="12.75" customHeight="1">
      <c r="A714" s="3"/>
      <c r="B714" s="3" t="str">
        <f t="shared" si="1"/>
        <v/>
      </c>
      <c r="C714" s="2" t="s">
        <v>2801</v>
      </c>
    </row>
    <row r="715" ht="12.75" customHeight="1">
      <c r="A715" s="3" t="s">
        <v>2813</v>
      </c>
      <c r="B715" s="3" t="str">
        <f t="shared" si="1"/>
        <v>0.01</v>
      </c>
      <c r="C715" s="2" t="s">
        <v>2813</v>
      </c>
    </row>
    <row r="716" ht="12.75" customHeight="1">
      <c r="A716" s="3" t="s">
        <v>3015</v>
      </c>
      <c r="B716" s="3" t="str">
        <f t="shared" si="1"/>
        <v>45, 50, DRAGONITE</v>
      </c>
      <c r="C716" s="2" t="s">
        <v>3015</v>
      </c>
    </row>
    <row r="717" ht="12.75" customHeight="1">
      <c r="A717" s="3" t="s">
        <v>3018</v>
      </c>
      <c r="B717" s="3" t="str">
        <f t="shared" si="1"/>
        <v>45, 50, LICKILOLLY , &lt;null&gt;, &lt;null&gt;, &lt;null&gt;</v>
      </c>
      <c r="C717" s="2" t="s">
        <v>3018</v>
      </c>
    </row>
    <row r="718" ht="12.75" customHeight="1">
      <c r="A718" s="3"/>
      <c r="B718" s="3" t="str">
        <f t="shared" si="1"/>
        <v/>
      </c>
      <c r="C718" s="2" t="s">
        <v>2801</v>
      </c>
    </row>
    <row r="719" ht="12.75" customHeight="1">
      <c r="A719" s="3" t="s">
        <v>2539</v>
      </c>
      <c r="B719" s="3" t="str">
        <f t="shared" si="1"/>
        <v>NEW ROUTE</v>
      </c>
      <c r="C719" s="2" t="s">
        <v>2539</v>
      </c>
    </row>
    <row r="720" ht="12.75" customHeight="1">
      <c r="A720" s="3" t="s">
        <v>3020</v>
      </c>
      <c r="B720" s="3" t="str">
        <f t="shared" si="1"/>
        <v>1, 86, 0,</v>
      </c>
      <c r="C720" s="2" t="s">
        <v>3020</v>
      </c>
    </row>
    <row r="721" ht="12.75" customHeight="1">
      <c r="A721" s="3" t="s">
        <v>2817</v>
      </c>
      <c r="B721" s="3" t="str">
        <f t="shared" si="1"/>
        <v>20%</v>
      </c>
      <c r="C721" s="2" t="s">
        <v>2799</v>
      </c>
    </row>
    <row r="722" ht="12.75" customHeight="1">
      <c r="A722" s="3" t="s">
        <v>581</v>
      </c>
      <c r="B722" s="3" t="str">
        <f t="shared" si="1"/>
        <v>40, 44, GOLBAT</v>
      </c>
      <c r="C722" s="2" t="s">
        <v>581</v>
      </c>
    </row>
    <row r="723" ht="12.75" customHeight="1">
      <c r="A723" s="3" t="s">
        <v>3006</v>
      </c>
      <c r="B723" s="3" t="str">
        <f t="shared" si="1"/>
        <v>40, 44, GOLDUCK</v>
      </c>
      <c r="C723" s="2" t="s">
        <v>3006</v>
      </c>
    </row>
    <row r="724" ht="12.75" customHeight="1">
      <c r="A724" s="3"/>
      <c r="B724" s="3" t="str">
        <f t="shared" si="1"/>
        <v/>
      </c>
      <c r="C724" s="2" t="s">
        <v>2801</v>
      </c>
    </row>
    <row r="725" ht="12.75" customHeight="1">
      <c r="A725" s="3" t="s">
        <v>2802</v>
      </c>
      <c r="B725" s="3" t="str">
        <f t="shared" si="1"/>
        <v>0.1</v>
      </c>
      <c r="C725" s="2" t="s">
        <v>2802</v>
      </c>
    </row>
    <row r="726" ht="12.75" customHeight="1">
      <c r="A726" s="3" t="s">
        <v>3007</v>
      </c>
      <c r="B726" s="3" t="str">
        <f t="shared" si="1"/>
        <v>40, 44, SLOWBRO</v>
      </c>
      <c r="C726" s="2" t="s">
        <v>3007</v>
      </c>
    </row>
    <row r="727" ht="12.75" customHeight="1">
      <c r="A727" s="3" t="s">
        <v>3008</v>
      </c>
      <c r="B727" s="3" t="str">
        <f t="shared" si="1"/>
        <v>40, 44, CROBAT</v>
      </c>
      <c r="C727" s="2" t="s">
        <v>3008</v>
      </c>
    </row>
    <row r="728" ht="12.75" customHeight="1">
      <c r="A728" s="3" t="s">
        <v>3009</v>
      </c>
      <c r="B728" s="3" t="str">
        <f t="shared" si="1"/>
        <v>40, 44, DEWGONG</v>
      </c>
      <c r="C728" s="2" t="s">
        <v>3009</v>
      </c>
    </row>
    <row r="729" ht="12.75" customHeight="1">
      <c r="A729" s="3" t="s">
        <v>3010</v>
      </c>
      <c r="B729" s="3" t="str">
        <f t="shared" si="1"/>
        <v>40, 44, LICKILICKY</v>
      </c>
      <c r="C729" s="2" t="s">
        <v>3010</v>
      </c>
    </row>
    <row r="730" ht="12.75" customHeight="1">
      <c r="A730" s="3"/>
      <c r="B730" s="3" t="str">
        <f t="shared" si="1"/>
        <v/>
      </c>
      <c r="C730" s="2" t="s">
        <v>2801</v>
      </c>
    </row>
    <row r="731" ht="12.75" customHeight="1">
      <c r="A731" s="3" t="s">
        <v>2807</v>
      </c>
      <c r="B731" s="3" t="str">
        <f t="shared" si="1"/>
        <v>0.05</v>
      </c>
      <c r="C731" s="2" t="s">
        <v>2807</v>
      </c>
    </row>
    <row r="732" ht="12.75" customHeight="1">
      <c r="A732" s="3" t="s">
        <v>3011</v>
      </c>
      <c r="B732" s="3" t="str">
        <f t="shared" si="1"/>
        <v>42, 46, POLABAT</v>
      </c>
      <c r="C732" s="2" t="s">
        <v>3011</v>
      </c>
    </row>
    <row r="733" ht="12.75" customHeight="1">
      <c r="A733" s="3" t="s">
        <v>3012</v>
      </c>
      <c r="B733" s="3" t="str">
        <f t="shared" si="1"/>
        <v>42, 46, GILDUCK</v>
      </c>
      <c r="C733" s="2" t="s">
        <v>3012</v>
      </c>
    </row>
    <row r="734" ht="12.75" customHeight="1">
      <c r="A734" s="3"/>
      <c r="B734" s="3" t="str">
        <f t="shared" si="1"/>
        <v/>
      </c>
      <c r="C734" s="2" t="s">
        <v>2801</v>
      </c>
    </row>
    <row r="735" ht="12.75" customHeight="1">
      <c r="A735" s="3" t="s">
        <v>2810</v>
      </c>
      <c r="B735" s="3" t="str">
        <f t="shared" si="1"/>
        <v>0.04</v>
      </c>
      <c r="C735" s="2" t="s">
        <v>2810</v>
      </c>
    </row>
    <row r="736" ht="12.75" customHeight="1">
      <c r="A736" s="3" t="s">
        <v>3013</v>
      </c>
      <c r="B736" s="3" t="str">
        <f t="shared" si="1"/>
        <v>44, 47, SLOWMATE</v>
      </c>
      <c r="C736" s="2" t="s">
        <v>3013</v>
      </c>
    </row>
    <row r="737" ht="12.75" customHeight="1">
      <c r="A737" s="3" t="s">
        <v>3014</v>
      </c>
      <c r="B737" s="3" t="str">
        <f t="shared" si="1"/>
        <v>44, 47, PRECIPED</v>
      </c>
      <c r="C737" s="2" t="s">
        <v>3014</v>
      </c>
    </row>
    <row r="738" ht="12.75" customHeight="1">
      <c r="A738" s="3"/>
      <c r="B738" s="3" t="str">
        <f t="shared" si="1"/>
        <v/>
      </c>
      <c r="C738" s="2" t="s">
        <v>2801</v>
      </c>
    </row>
    <row r="739" ht="12.75" customHeight="1">
      <c r="A739" s="3" t="s">
        <v>2813</v>
      </c>
      <c r="B739" s="3" t="str">
        <f t="shared" si="1"/>
        <v>0.01</v>
      </c>
      <c r="C739" s="2" t="s">
        <v>2813</v>
      </c>
    </row>
    <row r="740" ht="12.75" customHeight="1">
      <c r="A740" s="3" t="s">
        <v>3015</v>
      </c>
      <c r="B740" s="3" t="str">
        <f t="shared" si="1"/>
        <v>45, 50, DRAGONITE</v>
      </c>
      <c r="C740" s="2" t="s">
        <v>3015</v>
      </c>
    </row>
    <row r="741" ht="12.75" customHeight="1">
      <c r="A741" s="3" t="s">
        <v>3021</v>
      </c>
      <c r="B741" s="3" t="str">
        <f t="shared" si="1"/>
        <v>45, 50, LICKILOLLY</v>
      </c>
      <c r="C741" s="2" t="s">
        <v>3021</v>
      </c>
    </row>
    <row r="742" ht="12.75" customHeight="1">
      <c r="A742" s="3" t="s">
        <v>3022</v>
      </c>
      <c r="B742" s="3" t="str">
        <f t="shared" si="1"/>
        <v>2, 38, 44, DEWGONG</v>
      </c>
      <c r="C742" s="2" t="s">
        <v>3022</v>
      </c>
    </row>
    <row r="743" ht="12.75" customHeight="1">
      <c r="A743" s="3" t="s">
        <v>3023</v>
      </c>
      <c r="B743" s="3" t="str">
        <f t="shared" si="1"/>
        <v>40, 44, SEADRA</v>
      </c>
      <c r="C743" s="2" t="s">
        <v>3023</v>
      </c>
    </row>
    <row r="744" ht="12.75" customHeight="1">
      <c r="A744" s="3" t="s">
        <v>3024</v>
      </c>
      <c r="B744" s="3" t="str">
        <f t="shared" si="1"/>
        <v>42, 46, KINGLER</v>
      </c>
      <c r="C744" s="2" t="s">
        <v>3024</v>
      </c>
    </row>
    <row r="745" ht="12.75" customHeight="1">
      <c r="A745" s="3" t="s">
        <v>3025</v>
      </c>
      <c r="B745" s="3" t="str">
        <f t="shared" si="1"/>
        <v>42, 46, LAPRAS</v>
      </c>
      <c r="C745" s="2" t="s">
        <v>3025</v>
      </c>
    </row>
    <row r="746" ht="12.75" customHeight="1">
      <c r="A746" s="3" t="s">
        <v>2923</v>
      </c>
      <c r="B746" s="3" t="str">
        <f t="shared" si="1"/>
        <v>42, 46, SLOWBRO</v>
      </c>
      <c r="C746" s="2" t="s">
        <v>2923</v>
      </c>
    </row>
    <row r="747" ht="12.75" customHeight="1">
      <c r="A747" s="3" t="s">
        <v>2926</v>
      </c>
      <c r="B747" s="3" t="str">
        <f t="shared" si="1"/>
        <v>20, old rod:</v>
      </c>
      <c r="C747" s="2" t="s">
        <v>2926</v>
      </c>
    </row>
    <row r="748" ht="12.75" customHeight="1">
      <c r="A748" s="3" t="s">
        <v>602</v>
      </c>
      <c r="B748" s="3" t="str">
        <f t="shared" si="1"/>
        <v>19, 26, HORSEA</v>
      </c>
      <c r="C748" s="2" t="s">
        <v>602</v>
      </c>
    </row>
    <row r="749" ht="12.75" customHeight="1">
      <c r="A749" s="3" t="s">
        <v>3026</v>
      </c>
      <c r="B749" s="3" t="str">
        <f t="shared" si="1"/>
        <v>19, 26, SHELLDER</v>
      </c>
      <c r="C749" s="2" t="s">
        <v>3026</v>
      </c>
    </row>
    <row r="750" ht="12.75" customHeight="1">
      <c r="A750" s="3"/>
      <c r="B750" s="3" t="str">
        <f t="shared" si="1"/>
        <v/>
      </c>
      <c r="C750" s="2" t="s">
        <v>2801</v>
      </c>
    </row>
    <row r="751" ht="12.75" customHeight="1">
      <c r="A751" s="3" t="s">
        <v>2847</v>
      </c>
      <c r="B751" s="3" t="str">
        <f t="shared" si="1"/>
        <v>good rod:</v>
      </c>
      <c r="C751" s="2" t="s">
        <v>2847</v>
      </c>
    </row>
    <row r="752" ht="12.75" customHeight="1">
      <c r="A752" s="3" t="s">
        <v>3027</v>
      </c>
      <c r="B752" s="3" t="str">
        <f t="shared" si="1"/>
        <v>29, 33, SEADRA</v>
      </c>
      <c r="C752" s="2" t="s">
        <v>3027</v>
      </c>
    </row>
    <row r="753" ht="12.75" customHeight="1">
      <c r="A753" s="3" t="s">
        <v>3028</v>
      </c>
      <c r="B753" s="3" t="str">
        <f t="shared" si="1"/>
        <v>30, 35, KRABBY</v>
      </c>
      <c r="C753" s="2" t="s">
        <v>3028</v>
      </c>
    </row>
    <row r="754" ht="12.75" customHeight="1">
      <c r="A754" s="3" t="s">
        <v>3029</v>
      </c>
      <c r="B754" s="3" t="str">
        <f t="shared" si="1"/>
        <v>30, 35, GOLDUCK</v>
      </c>
      <c r="C754" s="2" t="s">
        <v>3029</v>
      </c>
    </row>
    <row r="755" ht="12.75" customHeight="1">
      <c r="A755" s="3"/>
      <c r="B755" s="3" t="str">
        <f t="shared" si="1"/>
        <v/>
      </c>
      <c r="C755" s="2" t="s">
        <v>2801</v>
      </c>
    </row>
    <row r="756" ht="12.75" customHeight="1">
      <c r="A756" s="3" t="s">
        <v>2851</v>
      </c>
      <c r="B756" s="3" t="str">
        <f t="shared" si="1"/>
        <v>super rod:</v>
      </c>
      <c r="C756" s="2" t="s">
        <v>2851</v>
      </c>
    </row>
    <row r="757" ht="12.75" customHeight="1">
      <c r="A757" s="3" t="s">
        <v>3030</v>
      </c>
      <c r="B757" s="3" t="str">
        <f t="shared" si="1"/>
        <v>36, 40, KINGDRA</v>
      </c>
      <c r="C757" s="2" t="s">
        <v>3030</v>
      </c>
    </row>
    <row r="758" ht="12.75" customHeight="1">
      <c r="A758" s="3" t="s">
        <v>3031</v>
      </c>
      <c r="B758" s="3" t="str">
        <f t="shared" si="1"/>
        <v>36, 40, CLOYSTER</v>
      </c>
      <c r="C758" s="2" t="s">
        <v>3031</v>
      </c>
    </row>
    <row r="759" ht="12.75" customHeight="1">
      <c r="A759" s="3" t="s">
        <v>3032</v>
      </c>
      <c r="B759" s="3" t="str">
        <f t="shared" si="1"/>
        <v>38, 42, GILDUCK</v>
      </c>
      <c r="C759" s="2" t="s">
        <v>3032</v>
      </c>
    </row>
    <row r="760" ht="12.75" customHeight="1">
      <c r="A760" s="3" t="s">
        <v>3033</v>
      </c>
      <c r="B760" s="3" t="str">
        <f t="shared" si="1"/>
        <v>38, 42, KRAKLAW</v>
      </c>
      <c r="C760" s="2" t="s">
        <v>3033</v>
      </c>
    </row>
    <row r="761" ht="12.75" customHeight="1">
      <c r="A761" s="3" t="s">
        <v>3034</v>
      </c>
      <c r="B761" s="3" t="str">
        <f t="shared" si="1"/>
        <v>40, 44, LORDRA</v>
      </c>
      <c r="C761" s="2" t="s">
        <v>3034</v>
      </c>
    </row>
    <row r="762" ht="12.75" customHeight="1">
      <c r="A762" s="3" t="s">
        <v>2539</v>
      </c>
      <c r="B762" s="3" t="str">
        <f t="shared" si="1"/>
        <v>NEW ROUTE</v>
      </c>
      <c r="C762" s="2" t="s">
        <v>2539</v>
      </c>
    </row>
    <row r="763" ht="12.75" customHeight="1">
      <c r="A763" s="3" t="s">
        <v>3035</v>
      </c>
      <c r="B763" s="3" t="str">
        <f t="shared" si="1"/>
        <v>1, 87, 0,</v>
      </c>
      <c r="C763" s="2" t="s">
        <v>3035</v>
      </c>
    </row>
    <row r="764" ht="12.75" customHeight="1">
      <c r="A764" s="3" t="s">
        <v>2817</v>
      </c>
      <c r="B764" s="3" t="str">
        <f t="shared" si="1"/>
        <v>20%</v>
      </c>
      <c r="C764" s="2" t="s">
        <v>2799</v>
      </c>
    </row>
    <row r="765" ht="12.75" customHeight="1">
      <c r="A765" s="3" t="s">
        <v>581</v>
      </c>
      <c r="B765" s="3" t="str">
        <f t="shared" si="1"/>
        <v>40, 44, GOLBAT</v>
      </c>
      <c r="C765" s="2" t="s">
        <v>581</v>
      </c>
    </row>
    <row r="766" ht="12.75" customHeight="1">
      <c r="A766" s="3" t="s">
        <v>3006</v>
      </c>
      <c r="B766" s="3" t="str">
        <f t="shared" si="1"/>
        <v>40, 44, GOLDUCK</v>
      </c>
      <c r="C766" s="2" t="s">
        <v>3006</v>
      </c>
    </row>
    <row r="767" ht="12.75" customHeight="1">
      <c r="A767" s="3"/>
      <c r="B767" s="3" t="str">
        <f t="shared" si="1"/>
        <v/>
      </c>
      <c r="C767" s="2" t="s">
        <v>2801</v>
      </c>
    </row>
    <row r="768" ht="12.75" customHeight="1">
      <c r="A768" s="3" t="s">
        <v>2802</v>
      </c>
      <c r="B768" s="3" t="str">
        <f t="shared" si="1"/>
        <v>0.1</v>
      </c>
      <c r="C768" s="2" t="s">
        <v>2802</v>
      </c>
    </row>
    <row r="769" ht="12.75" customHeight="1">
      <c r="A769" s="3" t="s">
        <v>3007</v>
      </c>
      <c r="B769" s="3" t="str">
        <f t="shared" si="1"/>
        <v>40, 44, SLOWBRO</v>
      </c>
      <c r="C769" s="2" t="s">
        <v>3007</v>
      </c>
    </row>
    <row r="770" ht="12.75" customHeight="1">
      <c r="A770" s="3" t="s">
        <v>3008</v>
      </c>
      <c r="B770" s="3" t="str">
        <f t="shared" si="1"/>
        <v>40, 44, CROBAT</v>
      </c>
      <c r="C770" s="2" t="s">
        <v>3008</v>
      </c>
    </row>
    <row r="771" ht="12.75" customHeight="1">
      <c r="A771" s="3" t="s">
        <v>3009</v>
      </c>
      <c r="B771" s="3" t="str">
        <f t="shared" si="1"/>
        <v>40, 44, DEWGONG</v>
      </c>
      <c r="C771" s="2" t="s">
        <v>3009</v>
      </c>
    </row>
    <row r="772" ht="12.75" customHeight="1">
      <c r="A772" s="3" t="s">
        <v>3010</v>
      </c>
      <c r="B772" s="3" t="str">
        <f t="shared" si="1"/>
        <v>40, 44, LICKILICKY</v>
      </c>
      <c r="C772" s="2" t="s">
        <v>3010</v>
      </c>
    </row>
    <row r="773" ht="12.75" customHeight="1">
      <c r="A773" s="3"/>
      <c r="B773" s="3" t="str">
        <f t="shared" si="1"/>
        <v/>
      </c>
      <c r="C773" s="2" t="s">
        <v>2801</v>
      </c>
    </row>
    <row r="774" ht="12.75" customHeight="1">
      <c r="A774" s="3" t="s">
        <v>2807</v>
      </c>
      <c r="B774" s="3" t="str">
        <f t="shared" si="1"/>
        <v>0.05</v>
      </c>
      <c r="C774" s="2" t="s">
        <v>2807</v>
      </c>
    </row>
    <row r="775" ht="12.75" customHeight="1">
      <c r="A775" s="3" t="s">
        <v>3011</v>
      </c>
      <c r="B775" s="3" t="str">
        <f t="shared" si="1"/>
        <v>42, 46, POLABAT</v>
      </c>
      <c r="C775" s="2" t="s">
        <v>3011</v>
      </c>
    </row>
    <row r="776" ht="12.75" customHeight="1">
      <c r="A776" s="3" t="s">
        <v>3012</v>
      </c>
      <c r="B776" s="3" t="str">
        <f t="shared" si="1"/>
        <v>42, 46, GILDUCK</v>
      </c>
      <c r="C776" s="2" t="s">
        <v>3012</v>
      </c>
    </row>
    <row r="777" ht="12.75" customHeight="1">
      <c r="A777" s="3"/>
      <c r="B777" s="3" t="str">
        <f t="shared" si="1"/>
        <v/>
      </c>
      <c r="C777" s="2" t="s">
        <v>2801</v>
      </c>
    </row>
    <row r="778" ht="12.75" customHeight="1">
      <c r="A778" s="3" t="s">
        <v>2810</v>
      </c>
      <c r="B778" s="3" t="str">
        <f t="shared" si="1"/>
        <v>0.04</v>
      </c>
      <c r="C778" s="2" t="s">
        <v>2810</v>
      </c>
    </row>
    <row r="779" ht="12.75" customHeight="1">
      <c r="A779" s="3" t="s">
        <v>3013</v>
      </c>
      <c r="B779" s="3" t="str">
        <f t="shared" si="1"/>
        <v>44, 47, SLOWMATE</v>
      </c>
      <c r="C779" s="2" t="s">
        <v>3013</v>
      </c>
    </row>
    <row r="780" ht="12.75" customHeight="1">
      <c r="A780" s="3" t="s">
        <v>3014</v>
      </c>
      <c r="B780" s="3" t="str">
        <f t="shared" si="1"/>
        <v>44, 47, PRECIPED</v>
      </c>
      <c r="C780" s="2" t="s">
        <v>3014</v>
      </c>
    </row>
    <row r="781" ht="12.75" customHeight="1">
      <c r="A781" s="3"/>
      <c r="B781" s="3" t="str">
        <f t="shared" si="1"/>
        <v/>
      </c>
      <c r="C781" s="2" t="s">
        <v>2801</v>
      </c>
    </row>
    <row r="782" ht="12.75" customHeight="1">
      <c r="A782" s="3" t="s">
        <v>2813</v>
      </c>
      <c r="B782" s="3" t="str">
        <f t="shared" si="1"/>
        <v>0.01</v>
      </c>
      <c r="C782" s="2" t="s">
        <v>2813</v>
      </c>
    </row>
    <row r="783" ht="12.75" customHeight="1">
      <c r="A783" s="3" t="s">
        <v>3015</v>
      </c>
      <c r="B783" s="3" t="str">
        <f t="shared" si="1"/>
        <v>45, 50, DRAGONITE</v>
      </c>
      <c r="C783" s="2" t="s">
        <v>3015</v>
      </c>
    </row>
    <row r="784" ht="12.75" customHeight="1">
      <c r="A784" s="3" t="s">
        <v>3021</v>
      </c>
      <c r="B784" s="3" t="str">
        <f t="shared" si="1"/>
        <v>45, 50, LICKILOLLY</v>
      </c>
      <c r="C784" s="2" t="s">
        <v>3021</v>
      </c>
    </row>
    <row r="785" ht="12.75" customHeight="1">
      <c r="A785" s="3" t="s">
        <v>3022</v>
      </c>
      <c r="B785" s="3" t="str">
        <f t="shared" si="1"/>
        <v>2, 38, 44, DEWGONG</v>
      </c>
      <c r="C785" s="2" t="s">
        <v>3022</v>
      </c>
    </row>
    <row r="786" ht="12.75" customHeight="1">
      <c r="A786" s="3" t="s">
        <v>3023</v>
      </c>
      <c r="B786" s="3" t="str">
        <f t="shared" si="1"/>
        <v>40, 44, SEADRA</v>
      </c>
      <c r="C786" s="2" t="s">
        <v>3023</v>
      </c>
    </row>
    <row r="787" ht="12.75" customHeight="1">
      <c r="A787" s="3" t="s">
        <v>3024</v>
      </c>
      <c r="B787" s="3" t="str">
        <f t="shared" si="1"/>
        <v>42, 46, KINGLER</v>
      </c>
      <c r="C787" s="2" t="s">
        <v>3024</v>
      </c>
    </row>
    <row r="788" ht="12.75" customHeight="1">
      <c r="A788" s="3" t="s">
        <v>3025</v>
      </c>
      <c r="B788" s="3" t="str">
        <f t="shared" si="1"/>
        <v>42, 46, LAPRAS</v>
      </c>
      <c r="C788" s="2" t="s">
        <v>3025</v>
      </c>
    </row>
    <row r="789" ht="12.75" customHeight="1">
      <c r="A789" s="3" t="s">
        <v>2923</v>
      </c>
      <c r="B789" s="3" t="str">
        <f t="shared" si="1"/>
        <v>42, 46, SLOWBRO</v>
      </c>
      <c r="C789" s="2" t="s">
        <v>2923</v>
      </c>
    </row>
    <row r="790" ht="12.75" customHeight="1">
      <c r="A790" s="3" t="s">
        <v>2926</v>
      </c>
      <c r="B790" s="3" t="str">
        <f t="shared" si="1"/>
        <v>20, old rod:</v>
      </c>
      <c r="C790" s="2" t="s">
        <v>2926</v>
      </c>
    </row>
    <row r="791" ht="12.75" customHeight="1">
      <c r="A791" s="3" t="s">
        <v>602</v>
      </c>
      <c r="B791" s="3" t="str">
        <f t="shared" si="1"/>
        <v>19, 26, HORSEA</v>
      </c>
      <c r="C791" s="2" t="s">
        <v>602</v>
      </c>
    </row>
    <row r="792" ht="12.75" customHeight="1">
      <c r="A792" s="3" t="s">
        <v>3026</v>
      </c>
      <c r="B792" s="3" t="str">
        <f t="shared" si="1"/>
        <v>19, 26, SHELLDER</v>
      </c>
      <c r="C792" s="2" t="s">
        <v>3026</v>
      </c>
    </row>
    <row r="793" ht="12.75" customHeight="1">
      <c r="A793" s="3"/>
      <c r="B793" s="3" t="str">
        <f t="shared" si="1"/>
        <v/>
      </c>
      <c r="C793" s="2" t="s">
        <v>2801</v>
      </c>
    </row>
    <row r="794" ht="12.75" customHeight="1">
      <c r="A794" s="3" t="s">
        <v>2847</v>
      </c>
      <c r="B794" s="3" t="str">
        <f t="shared" si="1"/>
        <v>good rod:</v>
      </c>
      <c r="C794" s="2" t="s">
        <v>2847</v>
      </c>
    </row>
    <row r="795" ht="12.75" customHeight="1">
      <c r="A795" s="3" t="s">
        <v>3027</v>
      </c>
      <c r="B795" s="3" t="str">
        <f t="shared" si="1"/>
        <v>29, 33, SEADRA</v>
      </c>
      <c r="C795" s="2" t="s">
        <v>3027</v>
      </c>
    </row>
    <row r="796" ht="12.75" customHeight="1">
      <c r="A796" s="3" t="s">
        <v>3028</v>
      </c>
      <c r="B796" s="3" t="str">
        <f t="shared" si="1"/>
        <v>30, 35, KRABBY</v>
      </c>
      <c r="C796" s="2" t="s">
        <v>3028</v>
      </c>
    </row>
    <row r="797" ht="12.75" customHeight="1">
      <c r="A797" s="3" t="s">
        <v>3029</v>
      </c>
      <c r="B797" s="3" t="str">
        <f t="shared" si="1"/>
        <v>30, 35, GOLDUCK</v>
      </c>
      <c r="C797" s="2" t="s">
        <v>3029</v>
      </c>
    </row>
    <row r="798" ht="12.75" customHeight="1">
      <c r="A798" s="3"/>
      <c r="B798" s="3" t="str">
        <f t="shared" si="1"/>
        <v/>
      </c>
      <c r="C798" s="2" t="s">
        <v>2801</v>
      </c>
    </row>
    <row r="799" ht="12.75" customHeight="1">
      <c r="A799" s="3" t="s">
        <v>2851</v>
      </c>
      <c r="B799" s="3" t="str">
        <f t="shared" si="1"/>
        <v>super rod:</v>
      </c>
      <c r="C799" s="2" t="s">
        <v>2851</v>
      </c>
    </row>
    <row r="800" ht="12.75" customHeight="1">
      <c r="A800" s="3" t="s">
        <v>3030</v>
      </c>
      <c r="B800" s="3" t="str">
        <f t="shared" si="1"/>
        <v>36, 40, KINGDRA</v>
      </c>
      <c r="C800" s="2" t="s">
        <v>3030</v>
      </c>
    </row>
    <row r="801" ht="12.75" customHeight="1">
      <c r="A801" s="3" t="s">
        <v>3031</v>
      </c>
      <c r="B801" s="3" t="str">
        <f t="shared" si="1"/>
        <v>36, 40, CLOYSTER</v>
      </c>
      <c r="C801" s="2" t="s">
        <v>3031</v>
      </c>
    </row>
    <row r="802" ht="12.75" customHeight="1">
      <c r="A802" s="3" t="s">
        <v>3032</v>
      </c>
      <c r="B802" s="3" t="str">
        <f t="shared" si="1"/>
        <v>38, 42, GILDUCK</v>
      </c>
      <c r="C802" s="2" t="s">
        <v>3032</v>
      </c>
    </row>
    <row r="803" ht="12.75" customHeight="1">
      <c r="A803" s="3" t="s">
        <v>3033</v>
      </c>
      <c r="B803" s="3" t="str">
        <f t="shared" si="1"/>
        <v>38, 42, KRAKLAW</v>
      </c>
      <c r="C803" s="2" t="s">
        <v>3033</v>
      </c>
    </row>
    <row r="804" ht="12.75" customHeight="1">
      <c r="A804" s="3" t="s">
        <v>3034</v>
      </c>
      <c r="B804" s="3" t="str">
        <f t="shared" si="1"/>
        <v>40, 44, LORDRA</v>
      </c>
      <c r="C804" s="2" t="s">
        <v>3034</v>
      </c>
    </row>
    <row r="805" ht="12.75" customHeight="1">
      <c r="A805" s="3" t="s">
        <v>2539</v>
      </c>
      <c r="B805" s="3" t="str">
        <f t="shared" si="1"/>
        <v>NEW ROUTE</v>
      </c>
      <c r="C805" s="2" t="s">
        <v>2539</v>
      </c>
    </row>
    <row r="806" ht="12.75" customHeight="1">
      <c r="A806" s="3" t="s">
        <v>3036</v>
      </c>
      <c r="B806" s="3" t="str">
        <f t="shared" si="1"/>
        <v>1, 90, 0,</v>
      </c>
      <c r="C806" s="2" t="s">
        <v>3036</v>
      </c>
    </row>
    <row r="807" ht="12.75" customHeight="1">
      <c r="A807" s="3" t="s">
        <v>3037</v>
      </c>
      <c r="B807" s="3" t="str">
        <f t="shared" si="1"/>
        <v>20%</v>
      </c>
      <c r="C807" s="2" t="s">
        <v>2799</v>
      </c>
    </row>
    <row r="808" ht="12.75" customHeight="1">
      <c r="A808" s="3" t="s">
        <v>614</v>
      </c>
      <c r="B808" s="3" t="str">
        <f t="shared" si="1"/>
        <v>28, 31, GASTLY</v>
      </c>
      <c r="C808" s="2" t="s">
        <v>614</v>
      </c>
    </row>
    <row r="809" ht="12.75" customHeight="1">
      <c r="A809" s="3" t="s">
        <v>3038</v>
      </c>
      <c r="B809" s="3" t="str">
        <f t="shared" si="1"/>
        <v>29, 32, RATTATA</v>
      </c>
      <c r="C809" s="2" t="s">
        <v>3038</v>
      </c>
    </row>
    <row r="810" ht="12.75" customHeight="1">
      <c r="A810" s="3"/>
      <c r="B810" s="3" t="str">
        <f t="shared" si="1"/>
        <v/>
      </c>
      <c r="C810" s="2" t="s">
        <v>2801</v>
      </c>
    </row>
    <row r="811" ht="12.75" customHeight="1">
      <c r="A811" s="3" t="s">
        <v>2802</v>
      </c>
      <c r="B811" s="3" t="str">
        <f t="shared" si="1"/>
        <v>0.1</v>
      </c>
      <c r="C811" s="2" t="s">
        <v>2802</v>
      </c>
    </row>
    <row r="812" ht="12.75" customHeight="1">
      <c r="A812" s="3" t="s">
        <v>3039</v>
      </c>
      <c r="B812" s="3" t="str">
        <f t="shared" si="1"/>
        <v>27, 31, CUBONE</v>
      </c>
      <c r="C812" s="2" t="s">
        <v>3039</v>
      </c>
    </row>
    <row r="813" ht="12.75" customHeight="1">
      <c r="A813" s="3" t="s">
        <v>3040</v>
      </c>
      <c r="B813" s="3" t="str">
        <f t="shared" si="1"/>
        <v>29, 32, HAUNTER</v>
      </c>
      <c r="C813" s="2" t="s">
        <v>3040</v>
      </c>
    </row>
    <row r="814" ht="12.75" customHeight="1">
      <c r="A814" s="3" t="s">
        <v>3041</v>
      </c>
      <c r="B814" s="3" t="str">
        <f t="shared" si="1"/>
        <v>28, 31, DROWZEE</v>
      </c>
      <c r="C814" s="2" t="s">
        <v>3041</v>
      </c>
    </row>
    <row r="815" ht="12.75" customHeight="1">
      <c r="A815" s="3" t="s">
        <v>3042</v>
      </c>
      <c r="B815" s="3" t="str">
        <f t="shared" si="1"/>
        <v>28, 31, VULPIX</v>
      </c>
      <c r="C815" s="2" t="s">
        <v>3042</v>
      </c>
    </row>
    <row r="816" ht="12.75" customHeight="1">
      <c r="A816" s="3"/>
      <c r="B816" s="3" t="str">
        <f t="shared" si="1"/>
        <v/>
      </c>
      <c r="C816" s="2" t="s">
        <v>2801</v>
      </c>
    </row>
    <row r="817" ht="12.75" customHeight="1">
      <c r="A817" s="3" t="s">
        <v>2807</v>
      </c>
      <c r="B817" s="3" t="str">
        <f t="shared" si="1"/>
        <v>0.05</v>
      </c>
      <c r="C817" s="2" t="s">
        <v>2807</v>
      </c>
    </row>
    <row r="818" ht="12.75" customHeight="1">
      <c r="A818" s="3" t="s">
        <v>3043</v>
      </c>
      <c r="B818" s="3" t="str">
        <f t="shared" si="1"/>
        <v>29, 32, HYPNO</v>
      </c>
      <c r="C818" s="2" t="s">
        <v>3043</v>
      </c>
    </row>
    <row r="819" ht="12.75" customHeight="1">
      <c r="A819" s="3" t="s">
        <v>3044</v>
      </c>
      <c r="B819" s="3" t="str">
        <f t="shared" si="1"/>
        <v>28, 31, RATICATE</v>
      </c>
      <c r="C819" s="2" t="s">
        <v>3044</v>
      </c>
    </row>
    <row r="820" ht="12.75" customHeight="1">
      <c r="A820" s="3"/>
      <c r="B820" s="3" t="str">
        <f t="shared" si="1"/>
        <v/>
      </c>
      <c r="C820" s="2" t="s">
        <v>2801</v>
      </c>
    </row>
    <row r="821" ht="12.75" customHeight="1">
      <c r="A821" s="3" t="s">
        <v>2810</v>
      </c>
      <c r="B821" s="3" t="str">
        <f t="shared" si="1"/>
        <v>0.04</v>
      </c>
      <c r="C821" s="2" t="s">
        <v>2810</v>
      </c>
    </row>
    <row r="822" ht="12.75" customHeight="1">
      <c r="A822" s="3" t="s">
        <v>3045</v>
      </c>
      <c r="B822" s="3" t="str">
        <f t="shared" si="1"/>
        <v>29, 32, MAROWAK</v>
      </c>
      <c r="C822" s="2" t="s">
        <v>3045</v>
      </c>
    </row>
    <row r="823" ht="12.75" customHeight="1">
      <c r="A823" s="3" t="s">
        <v>3046</v>
      </c>
      <c r="B823" s="3" t="str">
        <f t="shared" si="1"/>
        <v>28, 31, RATTCHET</v>
      </c>
      <c r="C823" s="2" t="s">
        <v>3046</v>
      </c>
    </row>
    <row r="824" ht="12.75" customHeight="1">
      <c r="A824" s="3"/>
      <c r="B824" s="3" t="str">
        <f t="shared" si="1"/>
        <v/>
      </c>
      <c r="C824" s="2" t="s">
        <v>2801</v>
      </c>
    </row>
    <row r="825" ht="12.75" customHeight="1">
      <c r="A825" s="3" t="s">
        <v>2813</v>
      </c>
      <c r="B825" s="3" t="str">
        <f t="shared" si="1"/>
        <v>0.01</v>
      </c>
      <c r="C825" s="2" t="s">
        <v>2813</v>
      </c>
    </row>
    <row r="826" ht="12.75" customHeight="1">
      <c r="A826" s="3" t="s">
        <v>3047</v>
      </c>
      <c r="B826" s="3" t="str">
        <f t="shared" si="1"/>
        <v>33, 33, HAUNTER</v>
      </c>
      <c r="C826" s="2" t="s">
        <v>3047</v>
      </c>
    </row>
    <row r="827" ht="12.75" customHeight="1">
      <c r="A827" s="3" t="s">
        <v>3048</v>
      </c>
      <c r="B827" s="3" t="str">
        <f t="shared" si="1"/>
        <v>32, 33, NINETALES , &lt;null&gt;, &lt;null&gt;, &lt;null&gt;</v>
      </c>
      <c r="C827" s="2" t="s">
        <v>3048</v>
      </c>
    </row>
    <row r="828" ht="12.75" customHeight="1">
      <c r="A828" s="3"/>
      <c r="B828" s="3" t="str">
        <f t="shared" si="1"/>
        <v/>
      </c>
      <c r="C828" s="2" t="s">
        <v>2801</v>
      </c>
    </row>
    <row r="829" ht="12.75" customHeight="1">
      <c r="A829" s="3" t="s">
        <v>2539</v>
      </c>
      <c r="B829" s="3" t="str">
        <f t="shared" si="1"/>
        <v>NEW ROUTE</v>
      </c>
      <c r="C829" s="2" t="s">
        <v>2539</v>
      </c>
    </row>
    <row r="830" ht="12.75" customHeight="1">
      <c r="A830" s="3" t="s">
        <v>3049</v>
      </c>
      <c r="B830" s="3" t="str">
        <f t="shared" si="1"/>
        <v>1, 91, 0,</v>
      </c>
      <c r="C830" s="2" t="s">
        <v>3049</v>
      </c>
    </row>
    <row r="831" ht="12.75" customHeight="1">
      <c r="A831" s="3" t="s">
        <v>3050</v>
      </c>
      <c r="B831" s="3" t="str">
        <f t="shared" si="1"/>
        <v>20%</v>
      </c>
      <c r="C831" s="2" t="s">
        <v>2799</v>
      </c>
    </row>
    <row r="832" ht="12.75" customHeight="1">
      <c r="A832" s="3" t="s">
        <v>614</v>
      </c>
      <c r="B832" s="3" t="str">
        <f t="shared" si="1"/>
        <v>28, 31, GASTLY</v>
      </c>
      <c r="C832" s="2" t="s">
        <v>614</v>
      </c>
    </row>
    <row r="833" ht="12.75" customHeight="1">
      <c r="A833" s="3" t="s">
        <v>3038</v>
      </c>
      <c r="B833" s="3" t="str">
        <f t="shared" si="1"/>
        <v>29, 32, RATTATA</v>
      </c>
      <c r="C833" s="2" t="s">
        <v>3038</v>
      </c>
    </row>
    <row r="834" ht="12.75" customHeight="1">
      <c r="A834" s="3"/>
      <c r="B834" s="3" t="str">
        <f t="shared" si="1"/>
        <v/>
      </c>
      <c r="C834" s="2" t="s">
        <v>2801</v>
      </c>
    </row>
    <row r="835" ht="12.75" customHeight="1">
      <c r="A835" s="3" t="s">
        <v>2802</v>
      </c>
      <c r="B835" s="3" t="str">
        <f t="shared" si="1"/>
        <v>0.1</v>
      </c>
      <c r="C835" s="2" t="s">
        <v>2802</v>
      </c>
    </row>
    <row r="836" ht="12.75" customHeight="1">
      <c r="A836" s="3" t="s">
        <v>3039</v>
      </c>
      <c r="B836" s="3" t="str">
        <f t="shared" si="1"/>
        <v>27, 31, CUBONE</v>
      </c>
      <c r="C836" s="2" t="s">
        <v>3039</v>
      </c>
    </row>
    <row r="837" ht="12.75" customHeight="1">
      <c r="A837" s="3" t="s">
        <v>3040</v>
      </c>
      <c r="B837" s="3" t="str">
        <f t="shared" si="1"/>
        <v>29, 32, HAUNTER</v>
      </c>
      <c r="C837" s="2" t="s">
        <v>3040</v>
      </c>
    </row>
    <row r="838" ht="12.75" customHeight="1">
      <c r="A838" s="3" t="s">
        <v>3041</v>
      </c>
      <c r="B838" s="3" t="str">
        <f t="shared" si="1"/>
        <v>28, 31, DROWZEE</v>
      </c>
      <c r="C838" s="2" t="s">
        <v>3041</v>
      </c>
    </row>
    <row r="839" ht="12.75" customHeight="1">
      <c r="A839" s="3" t="s">
        <v>3042</v>
      </c>
      <c r="B839" s="3" t="str">
        <f t="shared" si="1"/>
        <v>28, 31, VULPIX</v>
      </c>
      <c r="C839" s="2" t="s">
        <v>3042</v>
      </c>
    </row>
    <row r="840" ht="12.75" customHeight="1">
      <c r="A840" s="3"/>
      <c r="B840" s="3" t="str">
        <f t="shared" si="1"/>
        <v/>
      </c>
      <c r="C840" s="2" t="s">
        <v>2801</v>
      </c>
    </row>
    <row r="841" ht="12.75" customHeight="1">
      <c r="A841" s="3" t="s">
        <v>2807</v>
      </c>
      <c r="B841" s="3" t="str">
        <f t="shared" si="1"/>
        <v>0.05</v>
      </c>
      <c r="C841" s="2" t="s">
        <v>2807</v>
      </c>
    </row>
    <row r="842" ht="12.75" customHeight="1">
      <c r="A842" s="3" t="s">
        <v>3043</v>
      </c>
      <c r="B842" s="3" t="str">
        <f t="shared" si="1"/>
        <v>29, 32, HYPNO</v>
      </c>
      <c r="C842" s="2" t="s">
        <v>3043</v>
      </c>
    </row>
    <row r="843" ht="12.75" customHeight="1">
      <c r="A843" s="3" t="s">
        <v>3044</v>
      </c>
      <c r="B843" s="3" t="str">
        <f t="shared" si="1"/>
        <v>28, 31, RATICATE</v>
      </c>
      <c r="C843" s="2" t="s">
        <v>3044</v>
      </c>
    </row>
    <row r="844" ht="12.75" customHeight="1">
      <c r="A844" s="3"/>
      <c r="B844" s="3" t="str">
        <f t="shared" si="1"/>
        <v/>
      </c>
      <c r="C844" s="2" t="s">
        <v>2801</v>
      </c>
    </row>
    <row r="845" ht="12.75" customHeight="1">
      <c r="A845" s="3" t="s">
        <v>2810</v>
      </c>
      <c r="B845" s="3" t="str">
        <f t="shared" si="1"/>
        <v>0.04</v>
      </c>
      <c r="C845" s="2" t="s">
        <v>2810</v>
      </c>
    </row>
    <row r="846" ht="12.75" customHeight="1">
      <c r="A846" s="3" t="s">
        <v>3045</v>
      </c>
      <c r="B846" s="3" t="str">
        <f t="shared" si="1"/>
        <v>29, 32, MAROWAK</v>
      </c>
      <c r="C846" s="2" t="s">
        <v>3045</v>
      </c>
    </row>
    <row r="847" ht="12.75" customHeight="1">
      <c r="A847" s="3" t="s">
        <v>3046</v>
      </c>
      <c r="B847" s="3" t="str">
        <f t="shared" si="1"/>
        <v>28, 31, RATTCHET</v>
      </c>
      <c r="C847" s="2" t="s">
        <v>3046</v>
      </c>
    </row>
    <row r="848" ht="12.75" customHeight="1">
      <c r="A848" s="3"/>
      <c r="B848" s="3" t="str">
        <f t="shared" si="1"/>
        <v/>
      </c>
      <c r="C848" s="2" t="s">
        <v>2801</v>
      </c>
    </row>
    <row r="849" ht="12.75" customHeight="1">
      <c r="A849" s="3" t="s">
        <v>2813</v>
      </c>
      <c r="B849" s="3" t="str">
        <f t="shared" si="1"/>
        <v>0.01</v>
      </c>
      <c r="C849" s="2" t="s">
        <v>2813</v>
      </c>
    </row>
    <row r="850" ht="12.75" customHeight="1">
      <c r="A850" s="3" t="s">
        <v>3047</v>
      </c>
      <c r="B850" s="3" t="str">
        <f t="shared" si="1"/>
        <v>33, 33, HAUNTER</v>
      </c>
      <c r="C850" s="2" t="s">
        <v>3047</v>
      </c>
    </row>
    <row r="851" ht="12.75" customHeight="1">
      <c r="A851" s="3" t="s">
        <v>3048</v>
      </c>
      <c r="B851" s="3" t="str">
        <f t="shared" si="1"/>
        <v>32, 33, NINETALES , &lt;null&gt;, &lt;null&gt;, &lt;null&gt;</v>
      </c>
      <c r="C851" s="2" t="s">
        <v>3048</v>
      </c>
    </row>
    <row r="852" ht="12.75" customHeight="1">
      <c r="A852" s="3"/>
      <c r="B852" s="3" t="str">
        <f t="shared" si="1"/>
        <v/>
      </c>
      <c r="C852" s="2" t="s">
        <v>2801</v>
      </c>
    </row>
    <row r="853" ht="12.75" customHeight="1">
      <c r="A853" s="3" t="s">
        <v>2539</v>
      </c>
      <c r="B853" s="3" t="str">
        <f t="shared" si="1"/>
        <v>NEW ROUTE</v>
      </c>
      <c r="C853" s="2" t="s">
        <v>2539</v>
      </c>
    </row>
    <row r="854" ht="12.75" customHeight="1">
      <c r="A854" s="3" t="s">
        <v>3051</v>
      </c>
      <c r="B854" s="3" t="str">
        <f t="shared" si="1"/>
        <v>1, 92, 0,</v>
      </c>
      <c r="C854" s="2" t="s">
        <v>3051</v>
      </c>
    </row>
    <row r="855" ht="12.75" customHeight="1">
      <c r="A855" s="3" t="s">
        <v>3052</v>
      </c>
      <c r="B855" s="3" t="str">
        <f t="shared" si="1"/>
        <v>20%</v>
      </c>
      <c r="C855" s="2" t="s">
        <v>2799</v>
      </c>
    </row>
    <row r="856" ht="12.75" customHeight="1">
      <c r="A856" s="3" t="s">
        <v>614</v>
      </c>
      <c r="B856" s="3" t="str">
        <f t="shared" si="1"/>
        <v>28, 31, GASTLY</v>
      </c>
      <c r="C856" s="2" t="s">
        <v>614</v>
      </c>
    </row>
    <row r="857" ht="12.75" customHeight="1">
      <c r="A857" s="3" t="s">
        <v>3038</v>
      </c>
      <c r="B857" s="3" t="str">
        <f t="shared" si="1"/>
        <v>29, 32, RATTATA</v>
      </c>
      <c r="C857" s="2" t="s">
        <v>3038</v>
      </c>
    </row>
    <row r="858" ht="12.75" customHeight="1">
      <c r="A858" s="3"/>
      <c r="B858" s="3" t="str">
        <f t="shared" si="1"/>
        <v/>
      </c>
      <c r="C858" s="2" t="s">
        <v>2801</v>
      </c>
    </row>
    <row r="859" ht="12.75" customHeight="1">
      <c r="A859" s="3" t="s">
        <v>2802</v>
      </c>
      <c r="B859" s="3" t="str">
        <f t="shared" si="1"/>
        <v>0.1</v>
      </c>
      <c r="C859" s="2" t="s">
        <v>2802</v>
      </c>
    </row>
    <row r="860" ht="12.75" customHeight="1">
      <c r="A860" s="3" t="s">
        <v>3039</v>
      </c>
      <c r="B860" s="3" t="str">
        <f t="shared" si="1"/>
        <v>27, 31, CUBONE</v>
      </c>
      <c r="C860" s="2" t="s">
        <v>3039</v>
      </c>
    </row>
    <row r="861" ht="12.75" customHeight="1">
      <c r="A861" s="3" t="s">
        <v>3040</v>
      </c>
      <c r="B861" s="3" t="str">
        <f t="shared" si="1"/>
        <v>29, 32, HAUNTER</v>
      </c>
      <c r="C861" s="2" t="s">
        <v>3040</v>
      </c>
    </row>
    <row r="862" ht="12.75" customHeight="1">
      <c r="A862" s="3" t="s">
        <v>3041</v>
      </c>
      <c r="B862" s="3" t="str">
        <f t="shared" si="1"/>
        <v>28, 31, DROWZEE</v>
      </c>
      <c r="C862" s="2" t="s">
        <v>3041</v>
      </c>
    </row>
    <row r="863" ht="12.75" customHeight="1">
      <c r="A863" s="3" t="s">
        <v>3042</v>
      </c>
      <c r="B863" s="3" t="str">
        <f t="shared" si="1"/>
        <v>28, 31, VULPIX</v>
      </c>
      <c r="C863" s="2" t="s">
        <v>3042</v>
      </c>
    </row>
    <row r="864" ht="12.75" customHeight="1">
      <c r="A864" s="3"/>
      <c r="B864" s="3" t="str">
        <f t="shared" si="1"/>
        <v/>
      </c>
      <c r="C864" s="2" t="s">
        <v>2801</v>
      </c>
    </row>
    <row r="865" ht="12.75" customHeight="1">
      <c r="A865" s="3" t="s">
        <v>2807</v>
      </c>
      <c r="B865" s="3" t="str">
        <f t="shared" si="1"/>
        <v>0.05</v>
      </c>
      <c r="C865" s="2" t="s">
        <v>2807</v>
      </c>
    </row>
    <row r="866" ht="12.75" customHeight="1">
      <c r="A866" s="3" t="s">
        <v>3043</v>
      </c>
      <c r="B866" s="3" t="str">
        <f t="shared" si="1"/>
        <v>29, 32, HYPNO</v>
      </c>
      <c r="C866" s="2" t="s">
        <v>3043</v>
      </c>
    </row>
    <row r="867" ht="12.75" customHeight="1">
      <c r="A867" s="3" t="s">
        <v>3044</v>
      </c>
      <c r="B867" s="3" t="str">
        <f t="shared" si="1"/>
        <v>28, 31, RATICATE</v>
      </c>
      <c r="C867" s="2" t="s">
        <v>3044</v>
      </c>
    </row>
    <row r="868" ht="12.75" customHeight="1">
      <c r="A868" s="3"/>
      <c r="B868" s="3" t="str">
        <f t="shared" si="1"/>
        <v/>
      </c>
      <c r="C868" s="2" t="s">
        <v>2801</v>
      </c>
    </row>
    <row r="869" ht="12.75" customHeight="1">
      <c r="A869" s="3" t="s">
        <v>2810</v>
      </c>
      <c r="B869" s="3" t="str">
        <f t="shared" si="1"/>
        <v>0.04</v>
      </c>
      <c r="C869" s="2" t="s">
        <v>2810</v>
      </c>
    </row>
    <row r="870" ht="12.75" customHeight="1">
      <c r="A870" s="3" t="s">
        <v>3045</v>
      </c>
      <c r="B870" s="3" t="str">
        <f t="shared" si="1"/>
        <v>29, 32, MAROWAK</v>
      </c>
      <c r="C870" s="2" t="s">
        <v>3045</v>
      </c>
    </row>
    <row r="871" ht="12.75" customHeight="1">
      <c r="A871" s="3" t="s">
        <v>3046</v>
      </c>
      <c r="B871" s="3" t="str">
        <f t="shared" si="1"/>
        <v>28, 31, RATTCHET</v>
      </c>
      <c r="C871" s="2" t="s">
        <v>3046</v>
      </c>
    </row>
    <row r="872" ht="12.75" customHeight="1">
      <c r="A872" s="3"/>
      <c r="B872" s="3" t="str">
        <f t="shared" si="1"/>
        <v/>
      </c>
      <c r="C872" s="2" t="s">
        <v>2801</v>
      </c>
    </row>
    <row r="873" ht="12.75" customHeight="1">
      <c r="A873" s="3" t="s">
        <v>2813</v>
      </c>
      <c r="B873" s="3" t="str">
        <f t="shared" si="1"/>
        <v>0.01</v>
      </c>
      <c r="C873" s="2" t="s">
        <v>2813</v>
      </c>
    </row>
    <row r="874" ht="12.75" customHeight="1">
      <c r="A874" s="3" t="s">
        <v>3047</v>
      </c>
      <c r="B874" s="3" t="str">
        <f t="shared" si="1"/>
        <v>33, 33, HAUNTER</v>
      </c>
      <c r="C874" s="2" t="s">
        <v>3047</v>
      </c>
    </row>
    <row r="875" ht="12.75" customHeight="1">
      <c r="A875" s="3" t="s">
        <v>3048</v>
      </c>
      <c r="B875" s="3" t="str">
        <f t="shared" si="1"/>
        <v>32, 33, NINETALES , &lt;null&gt;, &lt;null&gt;, &lt;null&gt;</v>
      </c>
      <c r="C875" s="2" t="s">
        <v>3048</v>
      </c>
    </row>
    <row r="876" ht="12.75" customHeight="1">
      <c r="A876" s="3"/>
      <c r="B876" s="3" t="str">
        <f t="shared" si="1"/>
        <v/>
      </c>
      <c r="C876" s="2" t="s">
        <v>2801</v>
      </c>
    </row>
    <row r="877" ht="12.75" customHeight="1">
      <c r="A877" s="3" t="s">
        <v>2539</v>
      </c>
      <c r="B877" s="3" t="str">
        <f t="shared" si="1"/>
        <v>NEW ROUTE</v>
      </c>
      <c r="C877" s="2" t="s">
        <v>2539</v>
      </c>
    </row>
    <row r="878" ht="12.75" customHeight="1">
      <c r="A878" s="3" t="s">
        <v>3053</v>
      </c>
      <c r="B878" s="3" t="str">
        <f t="shared" si="1"/>
        <v>1, 93, 0,</v>
      </c>
      <c r="C878" s="2" t="s">
        <v>3053</v>
      </c>
    </row>
    <row r="879" ht="12.75" customHeight="1">
      <c r="A879" s="3" t="s">
        <v>3054</v>
      </c>
      <c r="B879" s="3" t="str">
        <f t="shared" si="1"/>
        <v>20%</v>
      </c>
      <c r="C879" s="2" t="s">
        <v>2799</v>
      </c>
    </row>
    <row r="880" ht="12.75" customHeight="1">
      <c r="A880" s="3" t="s">
        <v>614</v>
      </c>
      <c r="B880" s="3" t="str">
        <f t="shared" si="1"/>
        <v>28, 31, GASTLY</v>
      </c>
      <c r="C880" s="2" t="s">
        <v>614</v>
      </c>
    </row>
    <row r="881" ht="12.75" customHeight="1">
      <c r="A881" s="3" t="s">
        <v>3038</v>
      </c>
      <c r="B881" s="3" t="str">
        <f t="shared" si="1"/>
        <v>29, 32, RATTATA</v>
      </c>
      <c r="C881" s="2" t="s">
        <v>3038</v>
      </c>
    </row>
    <row r="882" ht="12.75" customHeight="1">
      <c r="A882" s="3"/>
      <c r="B882" s="3" t="str">
        <f t="shared" si="1"/>
        <v/>
      </c>
      <c r="C882" s="2" t="s">
        <v>2801</v>
      </c>
    </row>
    <row r="883" ht="12.75" customHeight="1">
      <c r="A883" s="3" t="s">
        <v>2802</v>
      </c>
      <c r="B883" s="3" t="str">
        <f t="shared" si="1"/>
        <v>0.1</v>
      </c>
      <c r="C883" s="2" t="s">
        <v>2802</v>
      </c>
    </row>
    <row r="884" ht="12.75" customHeight="1">
      <c r="A884" s="3" t="s">
        <v>3039</v>
      </c>
      <c r="B884" s="3" t="str">
        <f t="shared" si="1"/>
        <v>27, 31, CUBONE</v>
      </c>
      <c r="C884" s="2" t="s">
        <v>3039</v>
      </c>
    </row>
    <row r="885" ht="12.75" customHeight="1">
      <c r="A885" s="3" t="s">
        <v>3040</v>
      </c>
      <c r="B885" s="3" t="str">
        <f t="shared" si="1"/>
        <v>29, 32, HAUNTER</v>
      </c>
      <c r="C885" s="2" t="s">
        <v>3040</v>
      </c>
    </row>
    <row r="886" ht="12.75" customHeight="1">
      <c r="A886" s="3" t="s">
        <v>3041</v>
      </c>
      <c r="B886" s="3" t="str">
        <f t="shared" si="1"/>
        <v>28, 31, DROWZEE</v>
      </c>
      <c r="C886" s="2" t="s">
        <v>3041</v>
      </c>
    </row>
    <row r="887" ht="12.75" customHeight="1">
      <c r="A887" s="3" t="s">
        <v>3042</v>
      </c>
      <c r="B887" s="3" t="str">
        <f t="shared" si="1"/>
        <v>28, 31, VULPIX</v>
      </c>
      <c r="C887" s="2" t="s">
        <v>3042</v>
      </c>
    </row>
    <row r="888" ht="12.75" customHeight="1">
      <c r="A888" s="3"/>
      <c r="B888" s="3" t="str">
        <f t="shared" si="1"/>
        <v/>
      </c>
      <c r="C888" s="2" t="s">
        <v>2801</v>
      </c>
    </row>
    <row r="889" ht="12.75" customHeight="1">
      <c r="A889" s="3" t="s">
        <v>2807</v>
      </c>
      <c r="B889" s="3" t="str">
        <f t="shared" si="1"/>
        <v>0.05</v>
      </c>
      <c r="C889" s="2" t="s">
        <v>2807</v>
      </c>
    </row>
    <row r="890" ht="12.75" customHeight="1">
      <c r="A890" s="3" t="s">
        <v>3043</v>
      </c>
      <c r="B890" s="3" t="str">
        <f t="shared" si="1"/>
        <v>29, 32, HYPNO</v>
      </c>
      <c r="C890" s="2" t="s">
        <v>3043</v>
      </c>
    </row>
    <row r="891" ht="12.75" customHeight="1">
      <c r="A891" s="3" t="s">
        <v>3044</v>
      </c>
      <c r="B891" s="3" t="str">
        <f t="shared" si="1"/>
        <v>28, 31, RATICATE</v>
      </c>
      <c r="C891" s="2" t="s">
        <v>3044</v>
      </c>
    </row>
    <row r="892" ht="12.75" customHeight="1">
      <c r="A892" s="3"/>
      <c r="B892" s="3" t="str">
        <f t="shared" si="1"/>
        <v/>
      </c>
      <c r="C892" s="2" t="s">
        <v>2801</v>
      </c>
    </row>
    <row r="893" ht="12.75" customHeight="1">
      <c r="A893" s="3" t="s">
        <v>2810</v>
      </c>
      <c r="B893" s="3" t="str">
        <f t="shared" si="1"/>
        <v>0.04</v>
      </c>
      <c r="C893" s="2" t="s">
        <v>2810</v>
      </c>
    </row>
    <row r="894" ht="12.75" customHeight="1">
      <c r="A894" s="3" t="s">
        <v>3045</v>
      </c>
      <c r="B894" s="3" t="str">
        <f t="shared" si="1"/>
        <v>29, 32, MAROWAK</v>
      </c>
      <c r="C894" s="2" t="s">
        <v>3045</v>
      </c>
    </row>
    <row r="895" ht="12.75" customHeight="1">
      <c r="A895" s="3" t="s">
        <v>3046</v>
      </c>
      <c r="B895" s="3" t="str">
        <f t="shared" si="1"/>
        <v>28, 31, RATTCHET</v>
      </c>
      <c r="C895" s="2" t="s">
        <v>3046</v>
      </c>
    </row>
    <row r="896" ht="12.75" customHeight="1">
      <c r="A896" s="3"/>
      <c r="B896" s="3" t="str">
        <f t="shared" si="1"/>
        <v/>
      </c>
      <c r="C896" s="2" t="s">
        <v>2801</v>
      </c>
    </row>
    <row r="897" ht="12.75" customHeight="1">
      <c r="A897" s="3" t="s">
        <v>2813</v>
      </c>
      <c r="B897" s="3" t="str">
        <f t="shared" si="1"/>
        <v>0.01</v>
      </c>
      <c r="C897" s="2" t="s">
        <v>2813</v>
      </c>
    </row>
    <row r="898" ht="12.75" customHeight="1">
      <c r="A898" s="3" t="s">
        <v>3047</v>
      </c>
      <c r="B898" s="3" t="str">
        <f t="shared" si="1"/>
        <v>33, 33, HAUNTER</v>
      </c>
      <c r="C898" s="2" t="s">
        <v>3047</v>
      </c>
    </row>
    <row r="899" ht="12.75" customHeight="1">
      <c r="A899" s="3" t="s">
        <v>3048</v>
      </c>
      <c r="B899" s="3" t="str">
        <f t="shared" si="1"/>
        <v>32, 33, NINETALES , &lt;null&gt;, &lt;null&gt;, &lt;null&gt;</v>
      </c>
      <c r="C899" s="2" t="s">
        <v>3048</v>
      </c>
    </row>
    <row r="900" ht="12.75" customHeight="1">
      <c r="A900" s="3"/>
      <c r="B900" s="3" t="str">
        <f t="shared" si="1"/>
        <v/>
      </c>
      <c r="C900" s="2" t="s">
        <v>2801</v>
      </c>
    </row>
    <row r="901" ht="12.75" customHeight="1">
      <c r="A901" s="3" t="s">
        <v>2539</v>
      </c>
      <c r="B901" s="3" t="str">
        <f t="shared" si="1"/>
        <v>NEW ROUTE</v>
      </c>
      <c r="C901" s="2" t="s">
        <v>2539</v>
      </c>
    </row>
    <row r="902" ht="12.75" customHeight="1">
      <c r="A902" s="3" t="s">
        <v>3055</v>
      </c>
      <c r="B902" s="3" t="str">
        <f t="shared" si="1"/>
        <v>1, 94, 0,</v>
      </c>
      <c r="C902" s="2" t="s">
        <v>3055</v>
      </c>
    </row>
    <row r="903" ht="12.75" customHeight="1">
      <c r="A903" s="3" t="s">
        <v>3056</v>
      </c>
      <c r="B903" s="3" t="str">
        <f t="shared" si="1"/>
        <v>20%</v>
      </c>
      <c r="C903" s="2" t="s">
        <v>2799</v>
      </c>
    </row>
    <row r="904" ht="12.75" customHeight="1">
      <c r="A904" s="3" t="s">
        <v>614</v>
      </c>
      <c r="B904" s="3" t="str">
        <f t="shared" si="1"/>
        <v>28, 31, GASTLY</v>
      </c>
      <c r="C904" s="2" t="s">
        <v>614</v>
      </c>
    </row>
    <row r="905" ht="12.75" customHeight="1">
      <c r="A905" s="3" t="s">
        <v>3038</v>
      </c>
      <c r="B905" s="3" t="str">
        <f t="shared" si="1"/>
        <v>29, 32, RATTATA</v>
      </c>
      <c r="C905" s="2" t="s">
        <v>3038</v>
      </c>
    </row>
    <row r="906" ht="12.75" customHeight="1">
      <c r="A906" s="3"/>
      <c r="B906" s="3" t="str">
        <f t="shared" si="1"/>
        <v/>
      </c>
      <c r="C906" s="2" t="s">
        <v>2801</v>
      </c>
    </row>
    <row r="907" ht="12.75" customHeight="1">
      <c r="A907" s="3" t="s">
        <v>2802</v>
      </c>
      <c r="B907" s="3" t="str">
        <f t="shared" si="1"/>
        <v>0.1</v>
      </c>
      <c r="C907" s="2" t="s">
        <v>2802</v>
      </c>
    </row>
    <row r="908" ht="12.75" customHeight="1">
      <c r="A908" s="3" t="s">
        <v>3039</v>
      </c>
      <c r="B908" s="3" t="str">
        <f t="shared" si="1"/>
        <v>27, 31, CUBONE</v>
      </c>
      <c r="C908" s="2" t="s">
        <v>3039</v>
      </c>
    </row>
    <row r="909" ht="12.75" customHeight="1">
      <c r="A909" s="3" t="s">
        <v>3040</v>
      </c>
      <c r="B909" s="3" t="str">
        <f t="shared" si="1"/>
        <v>29, 32, HAUNTER</v>
      </c>
      <c r="C909" s="2" t="s">
        <v>3040</v>
      </c>
    </row>
    <row r="910" ht="12.75" customHeight="1">
      <c r="A910" s="3" t="s">
        <v>3041</v>
      </c>
      <c r="B910" s="3" t="str">
        <f t="shared" si="1"/>
        <v>28, 31, DROWZEE</v>
      </c>
      <c r="C910" s="2" t="s">
        <v>3041</v>
      </c>
    </row>
    <row r="911" ht="12.75" customHeight="1">
      <c r="A911" s="3" t="s">
        <v>3042</v>
      </c>
      <c r="B911" s="3" t="str">
        <f t="shared" si="1"/>
        <v>28, 31, VULPIX</v>
      </c>
      <c r="C911" s="2" t="s">
        <v>3042</v>
      </c>
    </row>
    <row r="912" ht="12.75" customHeight="1">
      <c r="A912" s="3"/>
      <c r="B912" s="3" t="str">
        <f t="shared" si="1"/>
        <v/>
      </c>
      <c r="C912" s="2" t="s">
        <v>2801</v>
      </c>
    </row>
    <row r="913" ht="12.75" customHeight="1">
      <c r="A913" s="3" t="s">
        <v>2807</v>
      </c>
      <c r="B913" s="3" t="str">
        <f t="shared" si="1"/>
        <v>0.05</v>
      </c>
      <c r="C913" s="2" t="s">
        <v>2807</v>
      </c>
    </row>
    <row r="914" ht="12.75" customHeight="1">
      <c r="A914" s="3" t="s">
        <v>3043</v>
      </c>
      <c r="B914" s="3" t="str">
        <f t="shared" si="1"/>
        <v>29, 32, HYPNO</v>
      </c>
      <c r="C914" s="2" t="s">
        <v>3043</v>
      </c>
    </row>
    <row r="915" ht="12.75" customHeight="1">
      <c r="A915" s="3" t="s">
        <v>3044</v>
      </c>
      <c r="B915" s="3" t="str">
        <f t="shared" si="1"/>
        <v>28, 31, RATICATE</v>
      </c>
      <c r="C915" s="2" t="s">
        <v>3044</v>
      </c>
    </row>
    <row r="916" ht="12.75" customHeight="1">
      <c r="A916" s="3"/>
      <c r="B916" s="3" t="str">
        <f t="shared" si="1"/>
        <v/>
      </c>
      <c r="C916" s="2" t="s">
        <v>2801</v>
      </c>
    </row>
    <row r="917" ht="12.75" customHeight="1">
      <c r="A917" s="3" t="s">
        <v>2810</v>
      </c>
      <c r="B917" s="3" t="str">
        <f t="shared" si="1"/>
        <v>0.04</v>
      </c>
      <c r="C917" s="2" t="s">
        <v>2810</v>
      </c>
    </row>
    <row r="918" ht="12.75" customHeight="1">
      <c r="A918" s="3" t="s">
        <v>3045</v>
      </c>
      <c r="B918" s="3" t="str">
        <f t="shared" si="1"/>
        <v>29, 32, MAROWAK</v>
      </c>
      <c r="C918" s="2" t="s">
        <v>3045</v>
      </c>
    </row>
    <row r="919" ht="12.75" customHeight="1">
      <c r="A919" s="3" t="s">
        <v>3046</v>
      </c>
      <c r="B919" s="3" t="str">
        <f t="shared" si="1"/>
        <v>28, 31, RATTCHET</v>
      </c>
      <c r="C919" s="2" t="s">
        <v>3046</v>
      </c>
    </row>
    <row r="920" ht="12.75" customHeight="1">
      <c r="A920" s="3"/>
      <c r="B920" s="3" t="str">
        <f t="shared" si="1"/>
        <v/>
      </c>
      <c r="C920" s="2" t="s">
        <v>2801</v>
      </c>
    </row>
    <row r="921" ht="12.75" customHeight="1">
      <c r="A921" s="3" t="s">
        <v>2813</v>
      </c>
      <c r="B921" s="3" t="str">
        <f t="shared" si="1"/>
        <v>0.01</v>
      </c>
      <c r="C921" s="2" t="s">
        <v>2813</v>
      </c>
    </row>
    <row r="922" ht="12.75" customHeight="1">
      <c r="A922" s="3" t="s">
        <v>3057</v>
      </c>
      <c r="B922" s="3" t="str">
        <f t="shared" si="1"/>
        <v>32, 33, GENGAR</v>
      </c>
      <c r="C922" s="2" t="s">
        <v>3057</v>
      </c>
    </row>
    <row r="923" ht="12.75" customHeight="1">
      <c r="A923" s="3" t="s">
        <v>3048</v>
      </c>
      <c r="B923" s="3" t="str">
        <f t="shared" si="1"/>
        <v>32, 33, NINETALES , &lt;null&gt;, &lt;null&gt;, &lt;null&gt;</v>
      </c>
      <c r="C923" s="2" t="s">
        <v>3048</v>
      </c>
    </row>
    <row r="924" ht="12.75" customHeight="1">
      <c r="A924" s="3"/>
      <c r="B924" s="3" t="str">
        <f t="shared" si="1"/>
        <v/>
      </c>
      <c r="C924" s="2" t="s">
        <v>2801</v>
      </c>
    </row>
    <row r="925" ht="12.75" customHeight="1">
      <c r="A925" s="3" t="s">
        <v>2539</v>
      </c>
      <c r="B925" s="3" t="str">
        <f t="shared" si="1"/>
        <v>NEW ROUTE</v>
      </c>
      <c r="C925" s="2" t="s">
        <v>2539</v>
      </c>
    </row>
    <row r="926" ht="12.75" customHeight="1">
      <c r="A926" s="3" t="s">
        <v>3058</v>
      </c>
      <c r="B926" s="3" t="str">
        <f t="shared" si="1"/>
        <v>1, 95, 0,</v>
      </c>
      <c r="C926" s="2" t="s">
        <v>3058</v>
      </c>
    </row>
    <row r="927" ht="12.75" customHeight="1">
      <c r="A927" s="3" t="s">
        <v>2817</v>
      </c>
      <c r="B927" s="3" t="str">
        <f t="shared" si="1"/>
        <v>20%</v>
      </c>
      <c r="C927" s="2" t="s">
        <v>2799</v>
      </c>
    </row>
    <row r="928" ht="12.75" customHeight="1">
      <c r="A928" s="3" t="s">
        <v>632</v>
      </c>
      <c r="B928" s="3" t="str">
        <f t="shared" si="1"/>
        <v>39, 46, MAGNEMITE</v>
      </c>
      <c r="C928" s="2" t="s">
        <v>632</v>
      </c>
    </row>
    <row r="929" ht="12.75" customHeight="1">
      <c r="A929" s="3" t="s">
        <v>3059</v>
      </c>
      <c r="B929" s="3" t="str">
        <f t="shared" si="1"/>
        <v>39, 46, PIKACHU</v>
      </c>
      <c r="C929" s="2" t="s">
        <v>3059</v>
      </c>
    </row>
    <row r="930" ht="12.75" customHeight="1">
      <c r="A930" s="3"/>
      <c r="B930" s="3" t="str">
        <f t="shared" si="1"/>
        <v/>
      </c>
      <c r="C930" s="2" t="s">
        <v>2801</v>
      </c>
    </row>
    <row r="931" ht="12.75" customHeight="1">
      <c r="A931" s="3" t="s">
        <v>2802</v>
      </c>
      <c r="B931" s="3" t="str">
        <f t="shared" si="1"/>
        <v>0.1</v>
      </c>
      <c r="C931" s="2" t="s">
        <v>2802</v>
      </c>
    </row>
    <row r="932" ht="12.75" customHeight="1">
      <c r="A932" s="3" t="s">
        <v>3060</v>
      </c>
      <c r="B932" s="3" t="str">
        <f t="shared" si="1"/>
        <v>41, 48, VOLTORB</v>
      </c>
      <c r="C932" s="2" t="s">
        <v>3060</v>
      </c>
    </row>
    <row r="933" ht="12.75" customHeight="1">
      <c r="A933" s="3" t="s">
        <v>3061</v>
      </c>
      <c r="B933" s="3" t="str">
        <f t="shared" si="1"/>
        <v>41, 46, ELECTABUZZ</v>
      </c>
      <c r="C933" s="2" t="s">
        <v>3061</v>
      </c>
    </row>
    <row r="934" ht="12.75" customHeight="1">
      <c r="A934" s="3" t="s">
        <v>3062</v>
      </c>
      <c r="B934" s="3" t="str">
        <f t="shared" si="1"/>
        <v>41, 48, PORYGON</v>
      </c>
      <c r="C934" s="2" t="s">
        <v>3062</v>
      </c>
    </row>
    <row r="935" ht="12.75" customHeight="1">
      <c r="A935" s="3" t="s">
        <v>3063</v>
      </c>
      <c r="B935" s="3" t="str">
        <f t="shared" si="1"/>
        <v>41, 48, MAGNETON</v>
      </c>
      <c r="C935" s="2" t="s">
        <v>3063</v>
      </c>
    </row>
    <row r="936" ht="12.75" customHeight="1">
      <c r="A936" s="3"/>
      <c r="B936" s="3" t="str">
        <f t="shared" si="1"/>
        <v/>
      </c>
      <c r="C936" s="2" t="s">
        <v>2801</v>
      </c>
    </row>
    <row r="937" ht="12.75" customHeight="1">
      <c r="A937" s="3" t="s">
        <v>2807</v>
      </c>
      <c r="B937" s="3" t="str">
        <f t="shared" si="1"/>
        <v>0.05</v>
      </c>
      <c r="C937" s="2" t="s">
        <v>2807</v>
      </c>
    </row>
    <row r="938" ht="12.75" customHeight="1">
      <c r="A938" s="3" t="s">
        <v>3064</v>
      </c>
      <c r="B938" s="3" t="str">
        <f t="shared" si="1"/>
        <v>43, 50, PORYGON2</v>
      </c>
      <c r="C938" s="2" t="s">
        <v>3064</v>
      </c>
    </row>
    <row r="939" ht="12.75" customHeight="1">
      <c r="A939" s="3" t="s">
        <v>3065</v>
      </c>
      <c r="B939" s="3" t="str">
        <f t="shared" si="1"/>
        <v>43, 50, ELECTRODE</v>
      </c>
      <c r="C939" s="2" t="s">
        <v>3065</v>
      </c>
    </row>
    <row r="940" ht="12.75" customHeight="1">
      <c r="A940" s="3"/>
      <c r="B940" s="3" t="str">
        <f t="shared" si="1"/>
        <v/>
      </c>
      <c r="C940" s="2" t="s">
        <v>2801</v>
      </c>
    </row>
    <row r="941" ht="12.75" customHeight="1">
      <c r="A941" s="3" t="s">
        <v>2810</v>
      </c>
      <c r="B941" s="3" t="str">
        <f t="shared" si="1"/>
        <v>0.04</v>
      </c>
      <c r="C941" s="2" t="s">
        <v>2810</v>
      </c>
    </row>
    <row r="942" ht="12.75" customHeight="1">
      <c r="A942" s="3" t="s">
        <v>3066</v>
      </c>
      <c r="B942" s="3" t="str">
        <f t="shared" si="1"/>
        <v>43, 50, JOLTEON</v>
      </c>
      <c r="C942" s="2" t="s">
        <v>3066</v>
      </c>
    </row>
    <row r="943" ht="12.75" customHeight="1">
      <c r="A943" s="3" t="s">
        <v>3067</v>
      </c>
      <c r="B943" s="3" t="str">
        <f t="shared" si="1"/>
        <v>43, 50, RAICHU</v>
      </c>
      <c r="C943" s="2" t="s">
        <v>3067</v>
      </c>
    </row>
    <row r="944" ht="12.75" customHeight="1">
      <c r="A944" s="3"/>
      <c r="B944" s="3" t="str">
        <f t="shared" si="1"/>
        <v/>
      </c>
      <c r="C944" s="2" t="s">
        <v>2801</v>
      </c>
    </row>
    <row r="945" ht="12.75" customHeight="1">
      <c r="A945" s="3" t="s">
        <v>2813</v>
      </c>
      <c r="B945" s="3" t="str">
        <f t="shared" si="1"/>
        <v>0.01</v>
      </c>
      <c r="C945" s="2" t="s">
        <v>2813</v>
      </c>
    </row>
    <row r="946" ht="12.75" customHeight="1">
      <c r="A946" s="3" t="s">
        <v>3068</v>
      </c>
      <c r="B946" s="3" t="str">
        <f t="shared" si="1"/>
        <v>45, 52, ELECTIVIRE</v>
      </c>
      <c r="C946" s="2" t="s">
        <v>3068</v>
      </c>
    </row>
    <row r="947" ht="12.75" customHeight="1">
      <c r="A947" s="3" t="s">
        <v>3069</v>
      </c>
      <c r="B947" s="3" t="str">
        <f t="shared" si="1"/>
        <v>45, 50, MAGNEZONE , &lt;null&gt;, &lt;null&gt;, &lt;null&gt;</v>
      </c>
      <c r="C947" s="2" t="s">
        <v>3069</v>
      </c>
    </row>
    <row r="948" ht="12.75" customHeight="1">
      <c r="A948" s="3"/>
      <c r="B948" s="3" t="str">
        <f t="shared" si="1"/>
        <v/>
      </c>
      <c r="C948" s="2" t="s">
        <v>2801</v>
      </c>
    </row>
    <row r="949" ht="12.75" customHeight="1">
      <c r="A949" s="3" t="s">
        <v>2539</v>
      </c>
      <c r="B949" s="3" t="str">
        <f t="shared" si="1"/>
        <v>NEW ROUTE</v>
      </c>
      <c r="C949" s="2" t="s">
        <v>2539</v>
      </c>
    </row>
    <row r="950" ht="12.75" customHeight="1">
      <c r="A950" s="3" t="s">
        <v>3070</v>
      </c>
      <c r="B950" s="3" t="str">
        <f t="shared" si="1"/>
        <v>1, 97, 0,</v>
      </c>
      <c r="C950" s="2" t="s">
        <v>3070</v>
      </c>
    </row>
    <row r="951" ht="12.75" customHeight="1">
      <c r="A951" s="3" t="s">
        <v>2909</v>
      </c>
      <c r="B951" s="3" t="str">
        <f t="shared" si="1"/>
        <v>20%</v>
      </c>
      <c r="C951" s="2" t="s">
        <v>2799</v>
      </c>
    </row>
    <row r="952" ht="12.75" customHeight="1">
      <c r="A952" s="3" t="s">
        <v>645</v>
      </c>
      <c r="B952" s="3" t="str">
        <f t="shared" si="1"/>
        <v>30, 30, PONYTA</v>
      </c>
      <c r="C952" s="2" t="s">
        <v>645</v>
      </c>
    </row>
    <row r="953" ht="12.75" customHeight="1">
      <c r="A953" s="3" t="s">
        <v>3071</v>
      </c>
      <c r="B953" s="3" t="str">
        <f t="shared" si="1"/>
        <v>38, 38, FEAROW</v>
      </c>
      <c r="C953" s="2" t="s">
        <v>3071</v>
      </c>
    </row>
    <row r="954" ht="12.75" customHeight="1">
      <c r="A954" s="3"/>
      <c r="B954" s="3" t="str">
        <f t="shared" si="1"/>
        <v/>
      </c>
      <c r="C954" s="2" t="s">
        <v>2801</v>
      </c>
    </row>
    <row r="955" ht="12.75" customHeight="1">
      <c r="A955" s="3" t="s">
        <v>2802</v>
      </c>
      <c r="B955" s="3" t="str">
        <f t="shared" si="1"/>
        <v>0.1</v>
      </c>
      <c r="C955" s="2" t="s">
        <v>2802</v>
      </c>
    </row>
    <row r="956" ht="12.75" customHeight="1">
      <c r="A956" s="3" t="s">
        <v>3072</v>
      </c>
      <c r="B956" s="3" t="str">
        <f t="shared" si="1"/>
        <v>33, 33, PONYTA</v>
      </c>
      <c r="C956" s="2" t="s">
        <v>3072</v>
      </c>
    </row>
    <row r="957" ht="12.75" customHeight="1">
      <c r="A957" s="3" t="s">
        <v>817</v>
      </c>
      <c r="B957" s="3" t="str">
        <f t="shared" si="1"/>
        <v>32, 32, SPEAROW</v>
      </c>
      <c r="C957" s="2" t="s">
        <v>817</v>
      </c>
    </row>
    <row r="958" ht="12.75" customHeight="1">
      <c r="A958" s="3" t="s">
        <v>3073</v>
      </c>
      <c r="B958" s="3" t="str">
        <f t="shared" si="1"/>
        <v>35, 35, MACHOP</v>
      </c>
      <c r="C958" s="2" t="s">
        <v>3073</v>
      </c>
    </row>
    <row r="959" ht="12.75" customHeight="1">
      <c r="A959" s="3" t="s">
        <v>658</v>
      </c>
      <c r="B959" s="3" t="str">
        <f t="shared" si="1"/>
        <v>33, 33, GEODUDE</v>
      </c>
      <c r="C959" s="2" t="s">
        <v>658</v>
      </c>
    </row>
    <row r="960" ht="12.75" customHeight="1">
      <c r="A960" s="3"/>
      <c r="B960" s="3" t="str">
        <f t="shared" si="1"/>
        <v/>
      </c>
      <c r="C960" s="2" t="s">
        <v>2801</v>
      </c>
    </row>
    <row r="961" ht="12.75" customHeight="1">
      <c r="A961" s="3" t="s">
        <v>2807</v>
      </c>
      <c r="B961" s="3" t="str">
        <f t="shared" si="1"/>
        <v>0.05</v>
      </c>
      <c r="C961" s="2" t="s">
        <v>2807</v>
      </c>
    </row>
    <row r="962" ht="12.75" customHeight="1">
      <c r="A962" s="3" t="s">
        <v>3074</v>
      </c>
      <c r="B962" s="3" t="str">
        <f t="shared" si="1"/>
        <v>36, 36, PONYTA</v>
      </c>
      <c r="C962" s="2" t="s">
        <v>3074</v>
      </c>
    </row>
    <row r="963" ht="12.75" customHeight="1">
      <c r="A963" s="3" t="s">
        <v>3075</v>
      </c>
      <c r="B963" s="3" t="str">
        <f t="shared" si="1"/>
        <v>40, 40, FEAROW</v>
      </c>
      <c r="C963" s="2" t="s">
        <v>3075</v>
      </c>
    </row>
    <row r="964" ht="12.75" customHeight="1">
      <c r="A964" s="3"/>
      <c r="B964" s="3" t="str">
        <f t="shared" si="1"/>
        <v/>
      </c>
      <c r="C964" s="2" t="s">
        <v>2801</v>
      </c>
    </row>
    <row r="965" ht="12.75" customHeight="1">
      <c r="A965" s="3" t="s">
        <v>2810</v>
      </c>
      <c r="B965" s="3" t="str">
        <f t="shared" si="1"/>
        <v>0.04</v>
      </c>
      <c r="C965" s="2" t="s">
        <v>2810</v>
      </c>
    </row>
    <row r="966" ht="12.75" customHeight="1">
      <c r="A966" s="3" t="s">
        <v>3076</v>
      </c>
      <c r="B966" s="3" t="str">
        <f t="shared" si="1"/>
        <v>38, 38, MAGMAR</v>
      </c>
      <c r="C966" s="2" t="s">
        <v>3076</v>
      </c>
    </row>
    <row r="967" ht="12.75" customHeight="1">
      <c r="A967" s="3" t="s">
        <v>3077</v>
      </c>
      <c r="B967" s="3" t="str">
        <f t="shared" si="1"/>
        <v>39, 39, RAPIDASH</v>
      </c>
      <c r="C967" s="2" t="s">
        <v>3077</v>
      </c>
    </row>
    <row r="968" ht="12.75" customHeight="1">
      <c r="A968" s="3"/>
      <c r="B968" s="3" t="str">
        <f t="shared" si="1"/>
        <v/>
      </c>
      <c r="C968" s="2" t="s">
        <v>2801</v>
      </c>
    </row>
    <row r="969" ht="12.75" customHeight="1">
      <c r="A969" s="3" t="s">
        <v>2813</v>
      </c>
      <c r="B969" s="3" t="str">
        <f t="shared" si="1"/>
        <v>0.01</v>
      </c>
      <c r="C969" s="2" t="s">
        <v>2813</v>
      </c>
    </row>
    <row r="970" ht="12.75" customHeight="1">
      <c r="A970" s="3" t="s">
        <v>3078</v>
      </c>
      <c r="B970" s="3" t="str">
        <f t="shared" si="1"/>
        <v>40, 40, MAGMAR</v>
      </c>
      <c r="C970" s="2" t="s">
        <v>3078</v>
      </c>
    </row>
    <row r="971" ht="12.75" customHeight="1">
      <c r="A971" s="3" t="s">
        <v>3079</v>
      </c>
      <c r="B971" s="3" t="str">
        <f t="shared" si="1"/>
        <v>42, 42, RAPIDASH</v>
      </c>
      <c r="C971" s="2" t="s">
        <v>3079</v>
      </c>
    </row>
    <row r="972" ht="12.75" customHeight="1">
      <c r="A972" s="3" t="s">
        <v>3000</v>
      </c>
      <c r="B972" s="3" t="str">
        <f t="shared" si="1"/>
        <v>50, 5, 20, GEODUDE</v>
      </c>
      <c r="C972" s="2" t="s">
        <v>3000</v>
      </c>
    </row>
    <row r="973" ht="12.75" customHeight="1">
      <c r="A973" s="3" t="s">
        <v>3001</v>
      </c>
      <c r="B973" s="3" t="str">
        <f t="shared" si="1"/>
        <v>10, 20, GEODUDE</v>
      </c>
      <c r="C973" s="2" t="s">
        <v>3001</v>
      </c>
    </row>
    <row r="974" ht="12.75" customHeight="1">
      <c r="A974" s="3" t="s">
        <v>3002</v>
      </c>
      <c r="B974" s="3" t="str">
        <f t="shared" si="1"/>
        <v>15, 30, GEODUDE</v>
      </c>
      <c r="C974" s="2" t="s">
        <v>3002</v>
      </c>
    </row>
    <row r="975" ht="12.75" customHeight="1">
      <c r="A975" s="3" t="s">
        <v>3003</v>
      </c>
      <c r="B975" s="3" t="str">
        <f t="shared" si="1"/>
        <v>25, 40, GRAVELER</v>
      </c>
      <c r="C975" s="2" t="s">
        <v>3003</v>
      </c>
    </row>
    <row r="976" ht="12.75" customHeight="1">
      <c r="A976" s="3" t="s">
        <v>3004</v>
      </c>
      <c r="B976" s="3" t="str">
        <f t="shared" si="1"/>
        <v>30, 40, GRAVELER , &lt;null&gt;</v>
      </c>
      <c r="C976" s="2" t="s">
        <v>3004</v>
      </c>
    </row>
    <row r="977" ht="12.75" customHeight="1">
      <c r="A977" s="3"/>
      <c r="B977" s="3" t="str">
        <f t="shared" si="1"/>
        <v/>
      </c>
      <c r="C977" s="2" t="s">
        <v>2801</v>
      </c>
    </row>
    <row r="978" ht="12.75" customHeight="1">
      <c r="A978" s="3" t="s">
        <v>2539</v>
      </c>
      <c r="B978" s="3" t="str">
        <f t="shared" si="1"/>
        <v>NEW ROUTE</v>
      </c>
      <c r="C978" s="2" t="s">
        <v>2539</v>
      </c>
    </row>
    <row r="979" ht="12.75" customHeight="1">
      <c r="A979" s="3" t="s">
        <v>3080</v>
      </c>
      <c r="B979" s="3" t="str">
        <f t="shared" si="1"/>
        <v>1, 98, 0,</v>
      </c>
      <c r="C979" s="2" t="s">
        <v>3080</v>
      </c>
    </row>
    <row r="980" ht="12.75" customHeight="1">
      <c r="A980" s="3" t="s">
        <v>2817</v>
      </c>
      <c r="B980" s="3" t="str">
        <f t="shared" si="1"/>
        <v>20%</v>
      </c>
      <c r="C980" s="2" t="s">
        <v>2799</v>
      </c>
    </row>
    <row r="981" ht="12.75" customHeight="1">
      <c r="A981" s="3" t="s">
        <v>658</v>
      </c>
      <c r="B981" s="3" t="str">
        <f t="shared" si="1"/>
        <v>33, 33, GEODUDE</v>
      </c>
      <c r="C981" s="2" t="s">
        <v>658</v>
      </c>
    </row>
    <row r="982" ht="12.75" customHeight="1">
      <c r="A982" s="3" t="s">
        <v>3073</v>
      </c>
      <c r="B982" s="3" t="str">
        <f t="shared" si="1"/>
        <v>35, 35, MACHOP</v>
      </c>
      <c r="C982" s="2" t="s">
        <v>3073</v>
      </c>
    </row>
    <row r="983" ht="12.75" customHeight="1">
      <c r="A983" s="3"/>
      <c r="B983" s="3" t="str">
        <f t="shared" si="1"/>
        <v/>
      </c>
      <c r="C983" s="2" t="s">
        <v>2801</v>
      </c>
    </row>
    <row r="984" ht="12.75" customHeight="1">
      <c r="A984" s="3" t="s">
        <v>2802</v>
      </c>
      <c r="B984" s="3" t="str">
        <f t="shared" si="1"/>
        <v>0.1</v>
      </c>
      <c r="C984" s="2" t="s">
        <v>2802</v>
      </c>
    </row>
    <row r="985" ht="12.75" customHeight="1">
      <c r="A985" s="3" t="s">
        <v>3081</v>
      </c>
      <c r="B985" s="3" t="str">
        <f t="shared" si="1"/>
        <v>29, 29, GEODUDE</v>
      </c>
      <c r="C985" s="2" t="s">
        <v>3081</v>
      </c>
    </row>
    <row r="986" ht="12.75" customHeight="1">
      <c r="A986" s="3" t="s">
        <v>3082</v>
      </c>
      <c r="B986" s="3" t="str">
        <f t="shared" si="1"/>
        <v>31, 31, GEODUDE</v>
      </c>
      <c r="C986" s="2" t="s">
        <v>3082</v>
      </c>
    </row>
    <row r="987" ht="12.75" customHeight="1">
      <c r="A987" s="3" t="s">
        <v>3083</v>
      </c>
      <c r="B987" s="3" t="str">
        <f t="shared" si="1"/>
        <v>31, 31, MACHOP</v>
      </c>
      <c r="C987" s="2" t="s">
        <v>3083</v>
      </c>
    </row>
    <row r="988" ht="12.75" customHeight="1">
      <c r="A988" s="3" t="s">
        <v>3084</v>
      </c>
      <c r="B988" s="3" t="str">
        <f t="shared" si="1"/>
        <v>33, 33, MACHOP</v>
      </c>
      <c r="C988" s="2" t="s">
        <v>3084</v>
      </c>
    </row>
    <row r="989" ht="12.75" customHeight="1">
      <c r="A989" s="3"/>
      <c r="B989" s="3" t="str">
        <f t="shared" si="1"/>
        <v/>
      </c>
      <c r="C989" s="2" t="s">
        <v>2801</v>
      </c>
    </row>
    <row r="990" ht="12.75" customHeight="1">
      <c r="A990" s="3" t="s">
        <v>2807</v>
      </c>
      <c r="B990" s="3" t="str">
        <f t="shared" si="1"/>
        <v>0.05</v>
      </c>
      <c r="C990" s="2" t="s">
        <v>2807</v>
      </c>
    </row>
    <row r="991" ht="12.75" customHeight="1">
      <c r="A991" s="3" t="s">
        <v>3085</v>
      </c>
      <c r="B991" s="3" t="str">
        <f t="shared" si="1"/>
        <v>35, 35, GEODUDE</v>
      </c>
      <c r="C991" s="2" t="s">
        <v>3085</v>
      </c>
    </row>
    <row r="992" ht="12.75" customHeight="1">
      <c r="A992" s="3" t="s">
        <v>3086</v>
      </c>
      <c r="B992" s="3" t="str">
        <f t="shared" si="1"/>
        <v>37, 37, MACHOP</v>
      </c>
      <c r="C992" s="2" t="s">
        <v>3086</v>
      </c>
    </row>
    <row r="993" ht="12.75" customHeight="1">
      <c r="A993" s="3"/>
      <c r="B993" s="3" t="str">
        <f t="shared" si="1"/>
        <v/>
      </c>
      <c r="C993" s="2" t="s">
        <v>2801</v>
      </c>
    </row>
    <row r="994" ht="12.75" customHeight="1">
      <c r="A994" s="3" t="s">
        <v>2810</v>
      </c>
      <c r="B994" s="3" t="str">
        <f t="shared" si="1"/>
        <v>0.04</v>
      </c>
      <c r="C994" s="2" t="s">
        <v>2810</v>
      </c>
    </row>
    <row r="995" ht="12.75" customHeight="1">
      <c r="A995" s="3" t="s">
        <v>3087</v>
      </c>
      <c r="B995" s="3" t="str">
        <f t="shared" si="1"/>
        <v>37, 37, GEODUDE</v>
      </c>
      <c r="C995" s="2" t="s">
        <v>3087</v>
      </c>
    </row>
    <row r="996" ht="12.75" customHeight="1">
      <c r="A996" s="3" t="s">
        <v>3088</v>
      </c>
      <c r="B996" s="3" t="str">
        <f t="shared" si="1"/>
        <v>39, 39, MACHOP</v>
      </c>
      <c r="C996" s="2" t="s">
        <v>3088</v>
      </c>
    </row>
    <row r="997" ht="12.75" customHeight="1">
      <c r="A997" s="3"/>
      <c r="B997" s="3" t="str">
        <f t="shared" si="1"/>
        <v/>
      </c>
      <c r="C997" s="2" t="s">
        <v>2801</v>
      </c>
    </row>
    <row r="998" ht="12.75" customHeight="1">
      <c r="A998" s="3" t="s">
        <v>2813</v>
      </c>
      <c r="B998" s="3" t="str">
        <f t="shared" si="1"/>
        <v>0.01</v>
      </c>
      <c r="C998" s="2" t="s">
        <v>2813</v>
      </c>
    </row>
    <row r="999" ht="12.75" customHeight="1">
      <c r="A999" s="3" t="s">
        <v>3087</v>
      </c>
      <c r="B999" s="3" t="str">
        <f t="shared" si="1"/>
        <v>37, 37, GEODUDE</v>
      </c>
      <c r="C999" s="2" t="s">
        <v>3087</v>
      </c>
    </row>
    <row r="1000" ht="12.75" customHeight="1">
      <c r="A1000" s="3" t="s">
        <v>3089</v>
      </c>
      <c r="B1000" s="3" t="str">
        <f t="shared" si="1"/>
        <v>39, 39, MACHOP , &lt;null&gt;, &lt;null&gt;, &lt;null&gt;</v>
      </c>
      <c r="C1000" s="2" t="s">
        <v>3089</v>
      </c>
    </row>
    <row r="1001" ht="12.75" customHeight="1">
      <c r="A1001" s="3"/>
      <c r="B1001" s="3" t="str">
        <f t="shared" si="1"/>
        <v/>
      </c>
      <c r="C1001" s="2" t="s">
        <v>2801</v>
      </c>
    </row>
    <row r="1002" ht="12.75" customHeight="1">
      <c r="A1002" s="3" t="s">
        <v>2539</v>
      </c>
      <c r="B1002" s="3" t="str">
        <f t="shared" si="1"/>
        <v>NEW ROUTE</v>
      </c>
      <c r="C1002" s="2" t="s">
        <v>2539</v>
      </c>
    </row>
    <row r="1003" ht="12.75" customHeight="1">
      <c r="A1003" s="3" t="s">
        <v>3090</v>
      </c>
      <c r="B1003" s="3" t="str">
        <f t="shared" si="1"/>
        <v>1, 99, 0,</v>
      </c>
      <c r="C1003" s="2" t="s">
        <v>3090</v>
      </c>
    </row>
    <row r="1004" ht="12.75" customHeight="1">
      <c r="A1004" s="3" t="s">
        <v>2817</v>
      </c>
      <c r="B1004" s="3" t="str">
        <f t="shared" si="1"/>
        <v>20%</v>
      </c>
      <c r="C1004" s="2" t="s">
        <v>2799</v>
      </c>
    </row>
    <row r="1005" ht="12.75" customHeight="1">
      <c r="A1005" s="3" t="s">
        <v>669</v>
      </c>
      <c r="B1005" s="3" t="str">
        <f t="shared" si="1"/>
        <v>34, 34, GEODUDE</v>
      </c>
      <c r="C1005" s="2" t="s">
        <v>669</v>
      </c>
    </row>
    <row r="1006" ht="12.75" customHeight="1">
      <c r="A1006" s="3" t="s">
        <v>3091</v>
      </c>
      <c r="B1006" s="3" t="str">
        <f t="shared" si="1"/>
        <v>36, 36, MACHOP</v>
      </c>
      <c r="C1006" s="2" t="s">
        <v>3091</v>
      </c>
    </row>
    <row r="1007" ht="12.75" customHeight="1">
      <c r="A1007" s="3"/>
      <c r="B1007" s="3" t="str">
        <f t="shared" si="1"/>
        <v/>
      </c>
      <c r="C1007" s="2" t="s">
        <v>2801</v>
      </c>
    </row>
    <row r="1008" ht="12.75" customHeight="1">
      <c r="A1008" s="3" t="s">
        <v>2802</v>
      </c>
      <c r="B1008" s="3" t="str">
        <f t="shared" si="1"/>
        <v>0.1</v>
      </c>
      <c r="C1008" s="2" t="s">
        <v>2802</v>
      </c>
    </row>
    <row r="1009" ht="12.75" customHeight="1">
      <c r="A1009" s="3" t="s">
        <v>3092</v>
      </c>
      <c r="B1009" s="3" t="str">
        <f t="shared" si="1"/>
        <v>30, 30, GEODUDE</v>
      </c>
      <c r="C1009" s="2" t="s">
        <v>3092</v>
      </c>
    </row>
    <row r="1010" ht="12.75" customHeight="1">
      <c r="A1010" s="3" t="s">
        <v>3093</v>
      </c>
      <c r="B1010" s="3" t="str">
        <f t="shared" si="1"/>
        <v>32, 32, GEODUDE</v>
      </c>
      <c r="C1010" s="2" t="s">
        <v>3093</v>
      </c>
    </row>
    <row r="1011" ht="12.75" customHeight="1">
      <c r="A1011" s="3" t="s">
        <v>3094</v>
      </c>
      <c r="B1011" s="3" t="str">
        <f t="shared" si="1"/>
        <v>32, 32, MACHOP</v>
      </c>
      <c r="C1011" s="2" t="s">
        <v>3094</v>
      </c>
    </row>
    <row r="1012" ht="12.75" customHeight="1">
      <c r="A1012" s="3" t="s">
        <v>3095</v>
      </c>
      <c r="B1012" s="3" t="str">
        <f t="shared" si="1"/>
        <v>34, 34, MACHOP</v>
      </c>
      <c r="C1012" s="2" t="s">
        <v>3095</v>
      </c>
    </row>
    <row r="1013" ht="12.75" customHeight="1">
      <c r="A1013" s="3"/>
      <c r="B1013" s="3" t="str">
        <f t="shared" si="1"/>
        <v/>
      </c>
      <c r="C1013" s="2" t="s">
        <v>2801</v>
      </c>
    </row>
    <row r="1014" ht="12.75" customHeight="1">
      <c r="A1014" s="3" t="s">
        <v>2807</v>
      </c>
      <c r="B1014" s="3" t="str">
        <f t="shared" si="1"/>
        <v>0.05</v>
      </c>
      <c r="C1014" s="2" t="s">
        <v>2807</v>
      </c>
    </row>
    <row r="1015" ht="12.75" customHeight="1">
      <c r="A1015" s="3" t="s">
        <v>3096</v>
      </c>
      <c r="B1015" s="3" t="str">
        <f t="shared" si="1"/>
        <v>38, 38, MACHOKE</v>
      </c>
      <c r="C1015" s="2" t="s">
        <v>3096</v>
      </c>
    </row>
    <row r="1016" ht="12.75" customHeight="1">
      <c r="A1016" s="3" t="s">
        <v>3096</v>
      </c>
      <c r="B1016" s="3" t="str">
        <f t="shared" si="1"/>
        <v>38, 38, MACHOKE</v>
      </c>
      <c r="C1016" s="2" t="s">
        <v>3096</v>
      </c>
    </row>
    <row r="1017" ht="12.75" customHeight="1">
      <c r="A1017" s="3"/>
      <c r="B1017" s="3" t="str">
        <f t="shared" si="1"/>
        <v/>
      </c>
      <c r="C1017" s="2" t="s">
        <v>2801</v>
      </c>
    </row>
    <row r="1018" ht="12.75" customHeight="1">
      <c r="A1018" s="3" t="s">
        <v>2810</v>
      </c>
      <c r="B1018" s="3" t="str">
        <f t="shared" si="1"/>
        <v>0.04</v>
      </c>
      <c r="C1018" s="2" t="s">
        <v>2810</v>
      </c>
    </row>
    <row r="1019" ht="12.75" customHeight="1">
      <c r="A1019" s="3" t="s">
        <v>3097</v>
      </c>
      <c r="B1019" s="3" t="str">
        <f t="shared" si="1"/>
        <v>40, 40, MACHOKE</v>
      </c>
      <c r="C1019" s="2" t="s">
        <v>3097</v>
      </c>
    </row>
    <row r="1020" ht="12.75" customHeight="1">
      <c r="A1020" s="3" t="s">
        <v>3097</v>
      </c>
      <c r="B1020" s="3" t="str">
        <f t="shared" si="1"/>
        <v>40, 40, MACHOKE</v>
      </c>
      <c r="C1020" s="2" t="s">
        <v>3097</v>
      </c>
    </row>
    <row r="1021" ht="12.75" customHeight="1">
      <c r="A1021" s="3"/>
      <c r="B1021" s="3" t="str">
        <f t="shared" si="1"/>
        <v/>
      </c>
      <c r="C1021" s="2" t="s">
        <v>2801</v>
      </c>
    </row>
    <row r="1022" ht="12.75" customHeight="1">
      <c r="A1022" s="3" t="s">
        <v>2813</v>
      </c>
      <c r="B1022" s="3" t="str">
        <f t="shared" si="1"/>
        <v>0.01</v>
      </c>
      <c r="C1022" s="2" t="s">
        <v>2813</v>
      </c>
    </row>
    <row r="1023" ht="12.75" customHeight="1">
      <c r="A1023" s="3" t="s">
        <v>3097</v>
      </c>
      <c r="B1023" s="3" t="str">
        <f t="shared" si="1"/>
        <v>40, 40, MACHOKE</v>
      </c>
      <c r="C1023" s="2" t="s">
        <v>3097</v>
      </c>
    </row>
    <row r="1024" ht="12.75" customHeight="1">
      <c r="A1024" s="3" t="s">
        <v>3097</v>
      </c>
      <c r="B1024" s="3" t="str">
        <f t="shared" si="1"/>
        <v>40, 40, MACHOKE</v>
      </c>
      <c r="C1024" s="2" t="s">
        <v>3097</v>
      </c>
    </row>
    <row r="1025" ht="12.75" customHeight="1">
      <c r="A1025" s="3" t="s">
        <v>3000</v>
      </c>
      <c r="B1025" s="3" t="str">
        <f t="shared" si="1"/>
        <v>50, 5, 20, GEODUDE</v>
      </c>
      <c r="C1025" s="2" t="s">
        <v>3000</v>
      </c>
    </row>
    <row r="1026" ht="12.75" customHeight="1">
      <c r="A1026" s="3" t="s">
        <v>3001</v>
      </c>
      <c r="B1026" s="3" t="str">
        <f t="shared" si="1"/>
        <v>10, 20, GEODUDE</v>
      </c>
      <c r="C1026" s="2" t="s">
        <v>3001</v>
      </c>
    </row>
    <row r="1027" ht="12.75" customHeight="1">
      <c r="A1027" s="3" t="s">
        <v>3002</v>
      </c>
      <c r="B1027" s="3" t="str">
        <f t="shared" si="1"/>
        <v>15, 30, GEODUDE</v>
      </c>
      <c r="C1027" s="2" t="s">
        <v>3002</v>
      </c>
    </row>
    <row r="1028" ht="12.75" customHeight="1">
      <c r="A1028" s="3" t="s">
        <v>3003</v>
      </c>
      <c r="B1028" s="3" t="str">
        <f t="shared" si="1"/>
        <v>25, 40, GRAVELER</v>
      </c>
      <c r="C1028" s="2" t="s">
        <v>3003</v>
      </c>
    </row>
    <row r="1029" ht="12.75" customHeight="1">
      <c r="A1029" s="3" t="s">
        <v>3004</v>
      </c>
      <c r="B1029" s="3" t="str">
        <f t="shared" si="1"/>
        <v>30, 40, GRAVELER , &lt;null&gt;</v>
      </c>
      <c r="C1029" s="2" t="s">
        <v>3004</v>
      </c>
    </row>
    <row r="1030" ht="12.75" customHeight="1">
      <c r="A1030" s="3"/>
      <c r="B1030" s="3" t="str">
        <f t="shared" si="1"/>
        <v/>
      </c>
      <c r="C1030" s="2" t="s">
        <v>2801</v>
      </c>
    </row>
    <row r="1031" ht="12.75" customHeight="1">
      <c r="A1031" s="3" t="s">
        <v>2539</v>
      </c>
      <c r="B1031" s="3" t="str">
        <f t="shared" si="1"/>
        <v>NEW ROUTE</v>
      </c>
      <c r="C1031" s="2" t="s">
        <v>2539</v>
      </c>
    </row>
    <row r="1032" ht="12.75" customHeight="1">
      <c r="A1032" s="3" t="s">
        <v>3098</v>
      </c>
      <c r="B1032" s="3" t="str">
        <f t="shared" si="1"/>
        <v>1, 100, 0,</v>
      </c>
      <c r="C1032" s="2" t="s">
        <v>3098</v>
      </c>
    </row>
    <row r="1033" ht="12.75" customHeight="1">
      <c r="A1033" s="3" t="s">
        <v>2817</v>
      </c>
      <c r="B1033" s="3" t="str">
        <f t="shared" si="1"/>
        <v>20%</v>
      </c>
      <c r="C1033" s="2" t="s">
        <v>2799</v>
      </c>
    </row>
    <row r="1034" ht="12.75" customHeight="1">
      <c r="A1034" s="3" t="s">
        <v>658</v>
      </c>
      <c r="B1034" s="3" t="str">
        <f t="shared" si="1"/>
        <v>33, 33, GEODUDE</v>
      </c>
      <c r="C1034" s="2" t="s">
        <v>658</v>
      </c>
    </row>
    <row r="1035" ht="12.75" customHeight="1">
      <c r="A1035" s="3" t="s">
        <v>3073</v>
      </c>
      <c r="B1035" s="3" t="str">
        <f t="shared" si="1"/>
        <v>35, 35, MACHOP</v>
      </c>
      <c r="C1035" s="2" t="s">
        <v>3073</v>
      </c>
    </row>
    <row r="1036" ht="12.75" customHeight="1">
      <c r="A1036" s="3"/>
      <c r="B1036" s="3" t="str">
        <f t="shared" si="1"/>
        <v/>
      </c>
      <c r="C1036" s="2" t="s">
        <v>2801</v>
      </c>
    </row>
    <row r="1037" ht="12.75" customHeight="1">
      <c r="A1037" s="3" t="s">
        <v>2802</v>
      </c>
      <c r="B1037" s="3" t="str">
        <f t="shared" si="1"/>
        <v>0.1</v>
      </c>
      <c r="C1037" s="2" t="s">
        <v>2802</v>
      </c>
    </row>
    <row r="1038" ht="12.75" customHeight="1">
      <c r="A1038" s="3" t="s">
        <v>3081</v>
      </c>
      <c r="B1038" s="3" t="str">
        <f t="shared" si="1"/>
        <v>29, 29, GEODUDE</v>
      </c>
      <c r="C1038" s="2" t="s">
        <v>3081</v>
      </c>
    </row>
    <row r="1039" ht="12.75" customHeight="1">
      <c r="A1039" s="3" t="s">
        <v>3082</v>
      </c>
      <c r="B1039" s="3" t="str">
        <f t="shared" si="1"/>
        <v>31, 31, GEODUDE</v>
      </c>
      <c r="C1039" s="2" t="s">
        <v>3082</v>
      </c>
    </row>
    <row r="1040" ht="12.75" customHeight="1">
      <c r="A1040" s="3" t="s">
        <v>3083</v>
      </c>
      <c r="B1040" s="3" t="str">
        <f t="shared" si="1"/>
        <v>31, 31, MACHOP</v>
      </c>
      <c r="C1040" s="2" t="s">
        <v>3083</v>
      </c>
    </row>
    <row r="1041" ht="12.75" customHeight="1">
      <c r="A1041" s="3" t="s">
        <v>3084</v>
      </c>
      <c r="B1041" s="3" t="str">
        <f t="shared" si="1"/>
        <v>33, 33, MACHOP</v>
      </c>
      <c r="C1041" s="2" t="s">
        <v>3084</v>
      </c>
    </row>
    <row r="1042" ht="12.75" customHeight="1">
      <c r="A1042" s="3"/>
      <c r="B1042" s="3" t="str">
        <f t="shared" si="1"/>
        <v/>
      </c>
      <c r="C1042" s="2" t="s">
        <v>2801</v>
      </c>
    </row>
    <row r="1043" ht="12.75" customHeight="1">
      <c r="A1043" s="3" t="s">
        <v>2807</v>
      </c>
      <c r="B1043" s="3" t="str">
        <f t="shared" si="1"/>
        <v>0.05</v>
      </c>
      <c r="C1043" s="2" t="s">
        <v>2807</v>
      </c>
    </row>
    <row r="1044" ht="12.75" customHeight="1">
      <c r="A1044" s="3" t="s">
        <v>3085</v>
      </c>
      <c r="B1044" s="3" t="str">
        <f t="shared" si="1"/>
        <v>35, 35, GEODUDE</v>
      </c>
      <c r="C1044" s="2" t="s">
        <v>3085</v>
      </c>
    </row>
    <row r="1045" ht="12.75" customHeight="1">
      <c r="A1045" s="3" t="s">
        <v>3086</v>
      </c>
      <c r="B1045" s="3" t="str">
        <f t="shared" si="1"/>
        <v>37, 37, MACHOP</v>
      </c>
      <c r="C1045" s="2" t="s">
        <v>3086</v>
      </c>
    </row>
    <row r="1046" ht="12.75" customHeight="1">
      <c r="A1046" s="3"/>
      <c r="B1046" s="3" t="str">
        <f t="shared" si="1"/>
        <v/>
      </c>
      <c r="C1046" s="2" t="s">
        <v>2801</v>
      </c>
    </row>
    <row r="1047" ht="12.75" customHeight="1">
      <c r="A1047" s="3" t="s">
        <v>2810</v>
      </c>
      <c r="B1047" s="3" t="str">
        <f t="shared" si="1"/>
        <v>0.04</v>
      </c>
      <c r="C1047" s="2" t="s">
        <v>2810</v>
      </c>
    </row>
    <row r="1048" ht="12.75" customHeight="1">
      <c r="A1048" s="3" t="s">
        <v>3087</v>
      </c>
      <c r="B1048" s="3" t="str">
        <f t="shared" si="1"/>
        <v>37, 37, GEODUDE</v>
      </c>
      <c r="C1048" s="2" t="s">
        <v>3087</v>
      </c>
    </row>
    <row r="1049" ht="12.75" customHeight="1">
      <c r="A1049" s="3" t="s">
        <v>3088</v>
      </c>
      <c r="B1049" s="3" t="str">
        <f t="shared" si="1"/>
        <v>39, 39, MACHOP</v>
      </c>
      <c r="C1049" s="2" t="s">
        <v>3088</v>
      </c>
    </row>
    <row r="1050" ht="12.75" customHeight="1">
      <c r="A1050" s="3"/>
      <c r="B1050" s="3" t="str">
        <f t="shared" si="1"/>
        <v/>
      </c>
      <c r="C1050" s="2" t="s">
        <v>2801</v>
      </c>
    </row>
    <row r="1051" ht="12.75" customHeight="1">
      <c r="A1051" s="3" t="s">
        <v>2813</v>
      </c>
      <c r="B1051" s="3" t="str">
        <f t="shared" si="1"/>
        <v>0.01</v>
      </c>
      <c r="C1051" s="2" t="s">
        <v>2813</v>
      </c>
    </row>
    <row r="1052" ht="12.75" customHeight="1">
      <c r="A1052" s="3" t="s">
        <v>3087</v>
      </c>
      <c r="B1052" s="3" t="str">
        <f t="shared" si="1"/>
        <v>37, 37, GEODUDE</v>
      </c>
      <c r="C1052" s="2" t="s">
        <v>3087</v>
      </c>
    </row>
    <row r="1053" ht="12.75" customHeight="1">
      <c r="A1053" s="3" t="s">
        <v>3089</v>
      </c>
      <c r="B1053" s="3" t="str">
        <f t="shared" si="1"/>
        <v>39, 39, MACHOP , &lt;null&gt;, &lt;null&gt;, &lt;null&gt;</v>
      </c>
      <c r="C1053" s="2" t="s">
        <v>3089</v>
      </c>
    </row>
    <row r="1054" ht="12.75" customHeight="1">
      <c r="A1054" s="3"/>
      <c r="B1054" s="3" t="str">
        <f t="shared" si="1"/>
        <v/>
      </c>
      <c r="C1054" s="2" t="s">
        <v>2801</v>
      </c>
    </row>
    <row r="1055" ht="12.75" customHeight="1">
      <c r="A1055" s="3" t="s">
        <v>2539</v>
      </c>
      <c r="B1055" s="3" t="str">
        <f t="shared" si="1"/>
        <v>NEW ROUTE</v>
      </c>
      <c r="C1055" s="2" t="s">
        <v>2539</v>
      </c>
    </row>
    <row r="1056" ht="12.75" customHeight="1">
      <c r="A1056" s="3" t="s">
        <v>3099</v>
      </c>
      <c r="B1056" s="3" t="str">
        <f t="shared" si="1"/>
        <v>1, 103, 0,</v>
      </c>
      <c r="C1056" s="2" t="s">
        <v>3099</v>
      </c>
    </row>
    <row r="1057" ht="12.75" customHeight="1">
      <c r="A1057" s="3" t="s">
        <v>2817</v>
      </c>
      <c r="B1057" s="3" t="str">
        <f t="shared" si="1"/>
        <v>20%</v>
      </c>
      <c r="C1057" s="2" t="s">
        <v>2799</v>
      </c>
    </row>
    <row r="1058" ht="12.75" customHeight="1">
      <c r="A1058" s="3" t="s">
        <v>680</v>
      </c>
      <c r="B1058" s="3" t="str">
        <f t="shared" si="1"/>
        <v>36, 36, GEODUDE</v>
      </c>
      <c r="C1058" s="2" t="s">
        <v>680</v>
      </c>
    </row>
    <row r="1059" ht="12.75" customHeight="1">
      <c r="A1059" s="3" t="s">
        <v>3100</v>
      </c>
      <c r="B1059" s="3" t="str">
        <f t="shared" si="1"/>
        <v>38, 38, MACHOP</v>
      </c>
      <c r="C1059" s="2" t="s">
        <v>3100</v>
      </c>
    </row>
    <row r="1060" ht="12.75" customHeight="1">
      <c r="A1060" s="3"/>
      <c r="B1060" s="3" t="str">
        <f t="shared" si="1"/>
        <v/>
      </c>
      <c r="C1060" s="2" t="s">
        <v>2801</v>
      </c>
    </row>
    <row r="1061" ht="12.75" customHeight="1">
      <c r="A1061" s="3" t="s">
        <v>2802</v>
      </c>
      <c r="B1061" s="3" t="str">
        <f t="shared" si="1"/>
        <v>0.1</v>
      </c>
      <c r="C1061" s="2" t="s">
        <v>2802</v>
      </c>
    </row>
    <row r="1062" ht="12.75" customHeight="1">
      <c r="A1062" s="3" t="s">
        <v>3093</v>
      </c>
      <c r="B1062" s="3" t="str">
        <f t="shared" si="1"/>
        <v>32, 32, GEODUDE</v>
      </c>
      <c r="C1062" s="2" t="s">
        <v>3093</v>
      </c>
    </row>
    <row r="1063" ht="12.75" customHeight="1">
      <c r="A1063" s="3" t="s">
        <v>669</v>
      </c>
      <c r="B1063" s="3" t="str">
        <f t="shared" si="1"/>
        <v>34, 34, GEODUDE</v>
      </c>
      <c r="C1063" s="2" t="s">
        <v>669</v>
      </c>
    </row>
    <row r="1064" ht="12.75" customHeight="1">
      <c r="A1064" s="3" t="s">
        <v>3095</v>
      </c>
      <c r="B1064" s="3" t="str">
        <f t="shared" si="1"/>
        <v>34, 34, MACHOP</v>
      </c>
      <c r="C1064" s="2" t="s">
        <v>3095</v>
      </c>
    </row>
    <row r="1065" ht="12.75" customHeight="1">
      <c r="A1065" s="3" t="s">
        <v>3091</v>
      </c>
      <c r="B1065" s="3" t="str">
        <f t="shared" si="1"/>
        <v>36, 36, MACHOP</v>
      </c>
      <c r="C1065" s="2" t="s">
        <v>3091</v>
      </c>
    </row>
    <row r="1066" ht="12.75" customHeight="1">
      <c r="A1066" s="3"/>
      <c r="B1066" s="3" t="str">
        <f t="shared" si="1"/>
        <v/>
      </c>
      <c r="C1066" s="2" t="s">
        <v>2801</v>
      </c>
    </row>
    <row r="1067" ht="12.75" customHeight="1">
      <c r="A1067" s="3" t="s">
        <v>2807</v>
      </c>
      <c r="B1067" s="3" t="str">
        <f t="shared" si="1"/>
        <v>0.05</v>
      </c>
      <c r="C1067" s="2" t="s">
        <v>2807</v>
      </c>
    </row>
    <row r="1068" ht="12.75" customHeight="1">
      <c r="A1068" s="3" t="s">
        <v>692</v>
      </c>
      <c r="B1068" s="3" t="str">
        <f t="shared" si="1"/>
        <v>38, 38, GEODUDE</v>
      </c>
      <c r="C1068" s="2" t="s">
        <v>692</v>
      </c>
    </row>
    <row r="1069" ht="12.75" customHeight="1">
      <c r="A1069" s="3" t="s">
        <v>3097</v>
      </c>
      <c r="B1069" s="3" t="str">
        <f t="shared" si="1"/>
        <v>40, 40, MACHOKE</v>
      </c>
      <c r="C1069" s="2" t="s">
        <v>3097</v>
      </c>
    </row>
    <row r="1070" ht="12.75" customHeight="1">
      <c r="A1070" s="3"/>
      <c r="B1070" s="3" t="str">
        <f t="shared" si="1"/>
        <v/>
      </c>
      <c r="C1070" s="2" t="s">
        <v>2801</v>
      </c>
    </row>
    <row r="1071" ht="12.75" customHeight="1">
      <c r="A1071" s="3" t="s">
        <v>2810</v>
      </c>
      <c r="B1071" s="3" t="str">
        <f t="shared" si="1"/>
        <v>0.04</v>
      </c>
      <c r="C1071" s="2" t="s">
        <v>2810</v>
      </c>
    </row>
    <row r="1072" ht="12.75" customHeight="1">
      <c r="A1072" s="3" t="s">
        <v>701</v>
      </c>
      <c r="B1072" s="3" t="str">
        <f t="shared" si="1"/>
        <v>40, 40, GEODUDE</v>
      </c>
      <c r="C1072" s="2" t="s">
        <v>701</v>
      </c>
    </row>
    <row r="1073" ht="12.75" customHeight="1">
      <c r="A1073" s="3" t="s">
        <v>3101</v>
      </c>
      <c r="B1073" s="3" t="str">
        <f t="shared" si="1"/>
        <v>42, 42, MACHOKE</v>
      </c>
      <c r="C1073" s="2" t="s">
        <v>3101</v>
      </c>
    </row>
    <row r="1074" ht="12.75" customHeight="1">
      <c r="A1074" s="3"/>
      <c r="B1074" s="3" t="str">
        <f t="shared" si="1"/>
        <v/>
      </c>
      <c r="C1074" s="2" t="s">
        <v>2801</v>
      </c>
    </row>
    <row r="1075" ht="12.75" customHeight="1">
      <c r="A1075" s="3" t="s">
        <v>2813</v>
      </c>
      <c r="B1075" s="3" t="str">
        <f t="shared" si="1"/>
        <v>0.01</v>
      </c>
      <c r="C1075" s="2" t="s">
        <v>2813</v>
      </c>
    </row>
    <row r="1076" ht="12.75" customHeight="1">
      <c r="A1076" s="3" t="s">
        <v>701</v>
      </c>
      <c r="B1076" s="3" t="str">
        <f t="shared" si="1"/>
        <v>40, 40, GEODUDE</v>
      </c>
      <c r="C1076" s="2" t="s">
        <v>701</v>
      </c>
    </row>
    <row r="1077" ht="12.75" customHeight="1">
      <c r="A1077" s="3" t="s">
        <v>3101</v>
      </c>
      <c r="B1077" s="3" t="str">
        <f t="shared" si="1"/>
        <v>42, 42, MACHOKE</v>
      </c>
      <c r="C1077" s="2" t="s">
        <v>3101</v>
      </c>
    </row>
    <row r="1078" ht="12.75" customHeight="1">
      <c r="A1078" s="3" t="s">
        <v>3102</v>
      </c>
      <c r="B1078" s="3" t="str">
        <f t="shared" si="1"/>
        <v>50, 25, 35, GEODUDE</v>
      </c>
      <c r="C1078" s="2" t="s">
        <v>3102</v>
      </c>
    </row>
    <row r="1079" ht="12.75" customHeight="1">
      <c r="A1079" s="3" t="s">
        <v>3103</v>
      </c>
      <c r="B1079" s="3" t="str">
        <f t="shared" si="1"/>
        <v>30, 45, GRAVELER</v>
      </c>
      <c r="C1079" s="2" t="s">
        <v>3103</v>
      </c>
    </row>
    <row r="1080" ht="12.75" customHeight="1">
      <c r="A1080" s="3" t="s">
        <v>3104</v>
      </c>
      <c r="B1080" s="3" t="str">
        <f t="shared" si="1"/>
        <v>35, 50, GRAVELER</v>
      </c>
      <c r="C1080" s="2" t="s">
        <v>3104</v>
      </c>
    </row>
    <row r="1081" ht="12.75" customHeight="1">
      <c r="A1081" s="3" t="s">
        <v>3105</v>
      </c>
      <c r="B1081" s="3" t="str">
        <f t="shared" si="1"/>
        <v>30, 40, GEODUDE</v>
      </c>
      <c r="C1081" s="2" t="s">
        <v>3105</v>
      </c>
    </row>
    <row r="1082" ht="12.75" customHeight="1">
      <c r="A1082" s="3" t="s">
        <v>3106</v>
      </c>
      <c r="B1082" s="3" t="str">
        <f t="shared" si="1"/>
        <v>30, 40, GEODUDE , &lt;null&gt;</v>
      </c>
      <c r="C1082" s="2" t="s">
        <v>3106</v>
      </c>
    </row>
    <row r="1083" ht="12.75" customHeight="1">
      <c r="A1083" s="3"/>
      <c r="B1083" s="3" t="str">
        <f t="shared" si="1"/>
        <v/>
      </c>
      <c r="C1083" s="2" t="s">
        <v>2801</v>
      </c>
    </row>
    <row r="1084" ht="12.75" customHeight="1">
      <c r="A1084" s="3" t="s">
        <v>2539</v>
      </c>
      <c r="B1084" s="3" t="str">
        <f t="shared" si="1"/>
        <v>NEW ROUTE</v>
      </c>
      <c r="C1084" s="2" t="s">
        <v>2539</v>
      </c>
    </row>
    <row r="1085" ht="12.75" customHeight="1">
      <c r="A1085" s="3" t="s">
        <v>3107</v>
      </c>
      <c r="B1085" s="3" t="str">
        <f t="shared" si="1"/>
        <v>1, 104, 0,</v>
      </c>
      <c r="C1085" s="2" t="s">
        <v>3107</v>
      </c>
    </row>
    <row r="1086" ht="12.75" customHeight="1">
      <c r="A1086" s="3" t="s">
        <v>2817</v>
      </c>
      <c r="B1086" s="3" t="str">
        <f t="shared" si="1"/>
        <v>20%</v>
      </c>
      <c r="C1086" s="2" t="s">
        <v>2799</v>
      </c>
    </row>
    <row r="1087" ht="12.75" customHeight="1">
      <c r="A1087" s="3" t="s">
        <v>692</v>
      </c>
      <c r="B1087" s="3" t="str">
        <f t="shared" si="1"/>
        <v>38, 38, GEODUDE</v>
      </c>
      <c r="C1087" s="2" t="s">
        <v>692</v>
      </c>
    </row>
    <row r="1088" ht="12.75" customHeight="1">
      <c r="A1088" s="3" t="s">
        <v>680</v>
      </c>
      <c r="B1088" s="3" t="str">
        <f t="shared" si="1"/>
        <v>36, 36, GEODUDE</v>
      </c>
      <c r="C1088" s="2" t="s">
        <v>680</v>
      </c>
    </row>
    <row r="1089" ht="12.75" customHeight="1">
      <c r="A1089" s="3"/>
      <c r="B1089" s="3" t="str">
        <f t="shared" si="1"/>
        <v/>
      </c>
      <c r="C1089" s="2" t="s">
        <v>2801</v>
      </c>
    </row>
    <row r="1090" ht="12.75" customHeight="1">
      <c r="A1090" s="3" t="s">
        <v>2802</v>
      </c>
      <c r="B1090" s="3" t="str">
        <f t="shared" si="1"/>
        <v>0.1</v>
      </c>
      <c r="C1090" s="2" t="s">
        <v>2802</v>
      </c>
    </row>
    <row r="1091" ht="12.75" customHeight="1">
      <c r="A1091" s="3" t="s">
        <v>669</v>
      </c>
      <c r="B1091" s="3" t="str">
        <f t="shared" si="1"/>
        <v>34, 34, GEODUDE</v>
      </c>
      <c r="C1091" s="2" t="s">
        <v>669</v>
      </c>
    </row>
    <row r="1092" ht="12.75" customHeight="1">
      <c r="A1092" s="3" t="s">
        <v>701</v>
      </c>
      <c r="B1092" s="3" t="str">
        <f t="shared" si="1"/>
        <v>40, 40, GEODUDE</v>
      </c>
      <c r="C1092" s="2" t="s">
        <v>701</v>
      </c>
    </row>
    <row r="1093" ht="12.75" customHeight="1">
      <c r="A1093" s="3" t="s">
        <v>3108</v>
      </c>
      <c r="B1093" s="3" t="str">
        <f t="shared" si="1"/>
        <v>24, 24, SLUGMA</v>
      </c>
      <c r="C1093" s="2" t="s">
        <v>3108</v>
      </c>
    </row>
    <row r="1094" ht="12.75" customHeight="1">
      <c r="A1094" s="3" t="s">
        <v>707</v>
      </c>
      <c r="B1094" s="3" t="str">
        <f t="shared" si="1"/>
        <v>26, 26, SLUGMA</v>
      </c>
      <c r="C1094" s="2" t="s">
        <v>707</v>
      </c>
    </row>
    <row r="1095" ht="12.75" customHeight="1">
      <c r="A1095" s="3"/>
      <c r="B1095" s="3" t="str">
        <f t="shared" si="1"/>
        <v/>
      </c>
      <c r="C1095" s="2" t="s">
        <v>2801</v>
      </c>
    </row>
    <row r="1096" ht="12.75" customHeight="1">
      <c r="A1096" s="3" t="s">
        <v>2807</v>
      </c>
      <c r="B1096" s="3" t="str">
        <f t="shared" si="1"/>
        <v>0.05</v>
      </c>
      <c r="C1096" s="2" t="s">
        <v>2807</v>
      </c>
    </row>
    <row r="1097" ht="12.75" customHeight="1">
      <c r="A1097" s="3" t="s">
        <v>3109</v>
      </c>
      <c r="B1097" s="3" t="str">
        <f t="shared" si="1"/>
        <v>42, 42, GEODUDE</v>
      </c>
      <c r="C1097" s="2" t="s">
        <v>3109</v>
      </c>
    </row>
    <row r="1098" ht="12.75" customHeight="1">
      <c r="A1098" s="3" t="s">
        <v>3110</v>
      </c>
      <c r="B1098" s="3" t="str">
        <f t="shared" si="1"/>
        <v>28, 28, SLUGMA</v>
      </c>
      <c r="C1098" s="2" t="s">
        <v>3110</v>
      </c>
    </row>
    <row r="1099" ht="12.75" customHeight="1">
      <c r="A1099" s="3"/>
      <c r="B1099" s="3" t="str">
        <f t="shared" si="1"/>
        <v/>
      </c>
      <c r="C1099" s="2" t="s">
        <v>2801</v>
      </c>
    </row>
    <row r="1100" ht="12.75" customHeight="1">
      <c r="A1100" s="3" t="s">
        <v>2810</v>
      </c>
      <c r="B1100" s="3" t="str">
        <f t="shared" si="1"/>
        <v>0.04</v>
      </c>
      <c r="C1100" s="2" t="s">
        <v>2810</v>
      </c>
    </row>
    <row r="1101" ht="12.75" customHeight="1">
      <c r="A1101" s="3" t="s">
        <v>3109</v>
      </c>
      <c r="B1101" s="3" t="str">
        <f t="shared" si="1"/>
        <v>42, 42, GEODUDE</v>
      </c>
      <c r="C1101" s="2" t="s">
        <v>3109</v>
      </c>
    </row>
    <row r="1102" ht="12.75" customHeight="1">
      <c r="A1102" s="3" t="s">
        <v>3111</v>
      </c>
      <c r="B1102" s="3" t="str">
        <f t="shared" si="1"/>
        <v>30, 30, SLUGMA</v>
      </c>
      <c r="C1102" s="2" t="s">
        <v>3111</v>
      </c>
    </row>
    <row r="1103" ht="12.75" customHeight="1">
      <c r="A1103" s="3"/>
      <c r="B1103" s="3" t="str">
        <f t="shared" si="1"/>
        <v/>
      </c>
      <c r="C1103" s="2" t="s">
        <v>2801</v>
      </c>
    </row>
    <row r="1104" ht="12.75" customHeight="1">
      <c r="A1104" s="3" t="s">
        <v>2813</v>
      </c>
      <c r="B1104" s="3" t="str">
        <f t="shared" si="1"/>
        <v>0.01</v>
      </c>
      <c r="C1104" s="2" t="s">
        <v>2813</v>
      </c>
    </row>
    <row r="1105" ht="12.75" customHeight="1">
      <c r="A1105" s="3" t="s">
        <v>3109</v>
      </c>
      <c r="B1105" s="3" t="str">
        <f t="shared" si="1"/>
        <v>42, 42, GEODUDE</v>
      </c>
      <c r="C1105" s="2" t="s">
        <v>3109</v>
      </c>
    </row>
    <row r="1106" ht="12.75" customHeight="1">
      <c r="A1106" s="3" t="s">
        <v>3111</v>
      </c>
      <c r="B1106" s="3" t="str">
        <f t="shared" si="1"/>
        <v>30, 30, SLUGMA</v>
      </c>
      <c r="C1106" s="2" t="s">
        <v>3111</v>
      </c>
    </row>
    <row r="1107" ht="12.75" customHeight="1">
      <c r="A1107" s="3" t="s">
        <v>3102</v>
      </c>
      <c r="B1107" s="3" t="str">
        <f t="shared" si="1"/>
        <v>50, 25, 35, GEODUDE</v>
      </c>
      <c r="C1107" s="2" t="s">
        <v>3102</v>
      </c>
    </row>
    <row r="1108" ht="12.75" customHeight="1">
      <c r="A1108" s="3" t="s">
        <v>3103</v>
      </c>
      <c r="B1108" s="3" t="str">
        <f t="shared" si="1"/>
        <v>30, 45, GRAVELER</v>
      </c>
      <c r="C1108" s="2" t="s">
        <v>3103</v>
      </c>
    </row>
    <row r="1109" ht="12.75" customHeight="1">
      <c r="A1109" s="3" t="s">
        <v>3104</v>
      </c>
      <c r="B1109" s="3" t="str">
        <f t="shared" si="1"/>
        <v>35, 50, GRAVELER</v>
      </c>
      <c r="C1109" s="2" t="s">
        <v>3104</v>
      </c>
    </row>
    <row r="1110" ht="12.75" customHeight="1">
      <c r="A1110" s="3" t="s">
        <v>3105</v>
      </c>
      <c r="B1110" s="3" t="str">
        <f t="shared" si="1"/>
        <v>30, 40, GEODUDE</v>
      </c>
      <c r="C1110" s="2" t="s">
        <v>3105</v>
      </c>
    </row>
    <row r="1111" ht="12.75" customHeight="1">
      <c r="A1111" s="3" t="s">
        <v>3106</v>
      </c>
      <c r="B1111" s="3" t="str">
        <f t="shared" si="1"/>
        <v>30, 40, GEODUDE , &lt;null&gt;</v>
      </c>
      <c r="C1111" s="2" t="s">
        <v>3106</v>
      </c>
    </row>
    <row r="1112" ht="12.75" customHeight="1">
      <c r="A1112" s="3"/>
      <c r="B1112" s="3" t="str">
        <f t="shared" si="1"/>
        <v/>
      </c>
      <c r="C1112" s="2" t="s">
        <v>2801</v>
      </c>
    </row>
    <row r="1113" ht="12.75" customHeight="1">
      <c r="A1113" s="3" t="s">
        <v>2539</v>
      </c>
      <c r="B1113" s="3" t="str">
        <f t="shared" si="1"/>
        <v>NEW ROUTE</v>
      </c>
      <c r="C1113" s="2" t="s">
        <v>2539</v>
      </c>
    </row>
    <row r="1114" ht="12.75" customHeight="1">
      <c r="A1114" s="3" t="s">
        <v>3112</v>
      </c>
      <c r="B1114" s="3" t="str">
        <f t="shared" si="1"/>
        <v>1, 105, 0,</v>
      </c>
      <c r="C1114" s="2" t="s">
        <v>3112</v>
      </c>
    </row>
    <row r="1115" ht="12.75" customHeight="1">
      <c r="A1115" s="3" t="s">
        <v>2817</v>
      </c>
      <c r="B1115" s="3" t="str">
        <f t="shared" si="1"/>
        <v>20%</v>
      </c>
      <c r="C1115" s="2" t="s">
        <v>2799</v>
      </c>
    </row>
    <row r="1116" ht="12.75" customHeight="1">
      <c r="A1116" s="3" t="s">
        <v>701</v>
      </c>
      <c r="B1116" s="3" t="str">
        <f t="shared" si="1"/>
        <v>40, 40, GEODUDE</v>
      </c>
      <c r="C1116" s="2" t="s">
        <v>701</v>
      </c>
    </row>
    <row r="1117" ht="12.75" customHeight="1">
      <c r="A1117" s="3" t="s">
        <v>707</v>
      </c>
      <c r="B1117" s="3" t="str">
        <f t="shared" si="1"/>
        <v>26, 26, SLUGMA</v>
      </c>
      <c r="C1117" s="2" t="s">
        <v>707</v>
      </c>
    </row>
    <row r="1118" ht="12.75" customHeight="1">
      <c r="A1118" s="3"/>
      <c r="B1118" s="3" t="str">
        <f t="shared" si="1"/>
        <v/>
      </c>
      <c r="C1118" s="2" t="s">
        <v>2801</v>
      </c>
    </row>
    <row r="1119" ht="12.75" customHeight="1">
      <c r="A1119" s="3" t="s">
        <v>2802</v>
      </c>
      <c r="B1119" s="3" t="str">
        <f t="shared" si="1"/>
        <v>0.1</v>
      </c>
      <c r="C1119" s="2" t="s">
        <v>2802</v>
      </c>
    </row>
    <row r="1120" ht="12.75" customHeight="1">
      <c r="A1120" s="3" t="s">
        <v>3109</v>
      </c>
      <c r="B1120" s="3" t="str">
        <f t="shared" si="1"/>
        <v>42, 42, GEODUDE</v>
      </c>
      <c r="C1120" s="2" t="s">
        <v>3109</v>
      </c>
    </row>
    <row r="1121" ht="12.75" customHeight="1">
      <c r="A1121" s="3" t="s">
        <v>3108</v>
      </c>
      <c r="B1121" s="3" t="str">
        <f t="shared" si="1"/>
        <v>24, 24, SLUGMA</v>
      </c>
      <c r="C1121" s="2" t="s">
        <v>3108</v>
      </c>
    </row>
    <row r="1122" ht="12.75" customHeight="1">
      <c r="A1122" s="3" t="s">
        <v>3110</v>
      </c>
      <c r="B1122" s="3" t="str">
        <f t="shared" si="1"/>
        <v>28, 28, SLUGMA</v>
      </c>
      <c r="C1122" s="2" t="s">
        <v>3110</v>
      </c>
    </row>
    <row r="1123" ht="12.75" customHeight="1">
      <c r="A1123" s="3" t="s">
        <v>3111</v>
      </c>
      <c r="B1123" s="3" t="str">
        <f t="shared" si="1"/>
        <v>30, 30, SLUGMA</v>
      </c>
      <c r="C1123" s="2" t="s">
        <v>3111</v>
      </c>
    </row>
    <row r="1124" ht="12.75" customHeight="1">
      <c r="A1124" s="3"/>
      <c r="B1124" s="3" t="str">
        <f t="shared" si="1"/>
        <v/>
      </c>
      <c r="C1124" s="2" t="s">
        <v>2801</v>
      </c>
    </row>
    <row r="1125" ht="12.75" customHeight="1">
      <c r="A1125" s="3" t="s">
        <v>2807</v>
      </c>
      <c r="B1125" s="3" t="str">
        <f t="shared" si="1"/>
        <v>0.05</v>
      </c>
      <c r="C1125" s="2" t="s">
        <v>2807</v>
      </c>
    </row>
    <row r="1126" ht="12.75" customHeight="1">
      <c r="A1126" s="3" t="s">
        <v>3113</v>
      </c>
      <c r="B1126" s="3" t="str">
        <f t="shared" si="1"/>
        <v>44, 44, GEODUDE</v>
      </c>
      <c r="C1126" s="2" t="s">
        <v>3113</v>
      </c>
    </row>
    <row r="1127" ht="12.75" customHeight="1">
      <c r="A1127" s="3" t="s">
        <v>3114</v>
      </c>
      <c r="B1127" s="3" t="str">
        <f t="shared" si="1"/>
        <v>32, 32, SLUGMA</v>
      </c>
      <c r="C1127" s="2" t="s">
        <v>3114</v>
      </c>
    </row>
    <row r="1128" ht="12.75" customHeight="1">
      <c r="A1128" s="3"/>
      <c r="B1128" s="3" t="str">
        <f t="shared" si="1"/>
        <v/>
      </c>
      <c r="C1128" s="2" t="s">
        <v>2801</v>
      </c>
    </row>
    <row r="1129" ht="12.75" customHeight="1">
      <c r="A1129" s="3" t="s">
        <v>2810</v>
      </c>
      <c r="B1129" s="3" t="str">
        <f t="shared" si="1"/>
        <v>0.04</v>
      </c>
      <c r="C1129" s="2" t="s">
        <v>2810</v>
      </c>
    </row>
    <row r="1130" ht="12.75" customHeight="1">
      <c r="A1130" s="3" t="s">
        <v>3113</v>
      </c>
      <c r="B1130" s="3" t="str">
        <f t="shared" si="1"/>
        <v>44, 44, GEODUDE</v>
      </c>
      <c r="C1130" s="2" t="s">
        <v>3113</v>
      </c>
    </row>
    <row r="1131" ht="12.75" customHeight="1">
      <c r="A1131" s="3" t="s">
        <v>3115</v>
      </c>
      <c r="B1131" s="3" t="str">
        <f t="shared" si="1"/>
        <v>22, 22, SLUGMA</v>
      </c>
      <c r="C1131" s="2" t="s">
        <v>3115</v>
      </c>
    </row>
    <row r="1132" ht="12.75" customHeight="1">
      <c r="A1132" s="3"/>
      <c r="B1132" s="3" t="str">
        <f t="shared" si="1"/>
        <v/>
      </c>
      <c r="C1132" s="2" t="s">
        <v>2801</v>
      </c>
    </row>
    <row r="1133" ht="12.75" customHeight="1">
      <c r="A1133" s="3" t="s">
        <v>2813</v>
      </c>
      <c r="B1133" s="3" t="str">
        <f t="shared" si="1"/>
        <v>0.01</v>
      </c>
      <c r="C1133" s="2" t="s">
        <v>2813</v>
      </c>
    </row>
    <row r="1134" ht="12.75" customHeight="1">
      <c r="A1134" s="3" t="s">
        <v>3113</v>
      </c>
      <c r="B1134" s="3" t="str">
        <f t="shared" si="1"/>
        <v>44, 44, GEODUDE</v>
      </c>
      <c r="C1134" s="2" t="s">
        <v>3113</v>
      </c>
    </row>
    <row r="1135" ht="12.75" customHeight="1">
      <c r="A1135" s="3" t="s">
        <v>3115</v>
      </c>
      <c r="B1135" s="3" t="str">
        <f t="shared" si="1"/>
        <v>22, 22, SLUGMA</v>
      </c>
      <c r="C1135" s="2" t="s">
        <v>3115</v>
      </c>
    </row>
    <row r="1136" ht="12.75" customHeight="1">
      <c r="A1136" s="3" t="s">
        <v>3102</v>
      </c>
      <c r="B1136" s="3" t="str">
        <f t="shared" si="1"/>
        <v>50, 25, 35, GEODUDE</v>
      </c>
      <c r="C1136" s="2" t="s">
        <v>3102</v>
      </c>
    </row>
    <row r="1137" ht="12.75" customHeight="1">
      <c r="A1137" s="3" t="s">
        <v>3103</v>
      </c>
      <c r="B1137" s="3" t="str">
        <f t="shared" si="1"/>
        <v>30, 45, GRAVELER</v>
      </c>
      <c r="C1137" s="2" t="s">
        <v>3103</v>
      </c>
    </row>
    <row r="1138" ht="12.75" customHeight="1">
      <c r="A1138" s="3" t="s">
        <v>3104</v>
      </c>
      <c r="B1138" s="3" t="str">
        <f t="shared" si="1"/>
        <v>35, 50, GRAVELER</v>
      </c>
      <c r="C1138" s="2" t="s">
        <v>3104</v>
      </c>
    </row>
    <row r="1139" ht="12.75" customHeight="1">
      <c r="A1139" s="3" t="s">
        <v>3105</v>
      </c>
      <c r="B1139" s="3" t="str">
        <f t="shared" si="1"/>
        <v>30, 40, GEODUDE</v>
      </c>
      <c r="C1139" s="2" t="s">
        <v>3105</v>
      </c>
    </row>
    <row r="1140" ht="12.75" customHeight="1">
      <c r="A1140" s="3" t="s">
        <v>3106</v>
      </c>
      <c r="B1140" s="3" t="str">
        <f t="shared" si="1"/>
        <v>30, 40, GEODUDE , &lt;null&gt;</v>
      </c>
      <c r="C1140" s="2" t="s">
        <v>3106</v>
      </c>
    </row>
    <row r="1141" ht="12.75" customHeight="1">
      <c r="A1141" s="3"/>
      <c r="B1141" s="3" t="str">
        <f t="shared" si="1"/>
        <v/>
      </c>
      <c r="C1141" s="2" t="s">
        <v>2801</v>
      </c>
    </row>
    <row r="1142" ht="12.75" customHeight="1">
      <c r="A1142" s="3" t="s">
        <v>2539</v>
      </c>
      <c r="B1142" s="3" t="str">
        <f t="shared" si="1"/>
        <v>NEW ROUTE</v>
      </c>
      <c r="C1142" s="2" t="s">
        <v>2539</v>
      </c>
    </row>
    <row r="1143" ht="12.75" customHeight="1">
      <c r="A1143" s="3" t="s">
        <v>3116</v>
      </c>
      <c r="B1143" s="3" t="str">
        <f t="shared" si="1"/>
        <v>1, 106, 0,</v>
      </c>
      <c r="C1143" s="2" t="s">
        <v>3116</v>
      </c>
    </row>
    <row r="1144" ht="12.75" customHeight="1">
      <c r="A1144" s="3" t="s">
        <v>2817</v>
      </c>
      <c r="B1144" s="3" t="str">
        <f t="shared" si="1"/>
        <v>20%</v>
      </c>
      <c r="C1144" s="2" t="s">
        <v>2799</v>
      </c>
    </row>
    <row r="1145" ht="12.75" customHeight="1">
      <c r="A1145" s="3" t="s">
        <v>707</v>
      </c>
      <c r="B1145" s="3" t="str">
        <f t="shared" si="1"/>
        <v>26, 26, SLUGMA</v>
      </c>
      <c r="C1145" s="2" t="s">
        <v>707</v>
      </c>
    </row>
    <row r="1146" ht="12.75" customHeight="1">
      <c r="A1146" s="3" t="s">
        <v>3110</v>
      </c>
      <c r="B1146" s="3" t="str">
        <f t="shared" si="1"/>
        <v>28, 28, SLUGMA</v>
      </c>
      <c r="C1146" s="2" t="s">
        <v>3110</v>
      </c>
    </row>
    <row r="1147" ht="12.75" customHeight="1">
      <c r="A1147" s="3"/>
      <c r="B1147" s="3" t="str">
        <f t="shared" si="1"/>
        <v/>
      </c>
      <c r="C1147" s="2" t="s">
        <v>2801</v>
      </c>
    </row>
    <row r="1148" ht="12.75" customHeight="1">
      <c r="A1148" s="3" t="s">
        <v>2802</v>
      </c>
      <c r="B1148" s="3" t="str">
        <f t="shared" si="1"/>
        <v>0.1</v>
      </c>
      <c r="C1148" s="2" t="s">
        <v>2802</v>
      </c>
    </row>
    <row r="1149" ht="12.75" customHeight="1">
      <c r="A1149" s="3" t="s">
        <v>3111</v>
      </c>
      <c r="B1149" s="3" t="str">
        <f t="shared" si="1"/>
        <v>30, 30, SLUGMA</v>
      </c>
      <c r="C1149" s="2" t="s">
        <v>3111</v>
      </c>
    </row>
    <row r="1150" ht="12.75" customHeight="1">
      <c r="A1150" s="3" t="s">
        <v>3114</v>
      </c>
      <c r="B1150" s="3" t="str">
        <f t="shared" si="1"/>
        <v>32, 32, SLUGMA</v>
      </c>
      <c r="C1150" s="2" t="s">
        <v>3114</v>
      </c>
    </row>
    <row r="1151" ht="12.75" customHeight="1">
      <c r="A1151" s="3" t="s">
        <v>3108</v>
      </c>
      <c r="B1151" s="3" t="str">
        <f t="shared" si="1"/>
        <v>24, 24, SLUGMA</v>
      </c>
      <c r="C1151" s="2" t="s">
        <v>3108</v>
      </c>
    </row>
    <row r="1152" ht="12.75" customHeight="1">
      <c r="A1152" s="3" t="s">
        <v>3115</v>
      </c>
      <c r="B1152" s="3" t="str">
        <f t="shared" si="1"/>
        <v>22, 22, SLUGMA</v>
      </c>
      <c r="C1152" s="2" t="s">
        <v>3115</v>
      </c>
    </row>
    <row r="1153" ht="12.75" customHeight="1">
      <c r="A1153" s="3"/>
      <c r="B1153" s="3" t="str">
        <f t="shared" si="1"/>
        <v/>
      </c>
      <c r="C1153" s="2" t="s">
        <v>2801</v>
      </c>
    </row>
    <row r="1154" ht="12.75" customHeight="1">
      <c r="A1154" s="3" t="s">
        <v>2807</v>
      </c>
      <c r="B1154" s="3" t="str">
        <f t="shared" si="1"/>
        <v>0.05</v>
      </c>
      <c r="C1154" s="2" t="s">
        <v>2807</v>
      </c>
    </row>
    <row r="1155" ht="12.75" customHeight="1">
      <c r="A1155" s="3" t="s">
        <v>3117</v>
      </c>
      <c r="B1155" s="3" t="str">
        <f t="shared" si="1"/>
        <v>20, 20, SLUGMA</v>
      </c>
      <c r="C1155" s="2" t="s">
        <v>3117</v>
      </c>
    </row>
    <row r="1156" ht="12.75" customHeight="1">
      <c r="A1156" s="3" t="s">
        <v>3118</v>
      </c>
      <c r="B1156" s="3" t="str">
        <f t="shared" si="1"/>
        <v>34, 34, SLUGMA</v>
      </c>
      <c r="C1156" s="2" t="s">
        <v>3118</v>
      </c>
    </row>
    <row r="1157" ht="12.75" customHeight="1">
      <c r="A1157" s="3"/>
      <c r="B1157" s="3" t="str">
        <f t="shared" si="1"/>
        <v/>
      </c>
      <c r="C1157" s="2" t="s">
        <v>2801</v>
      </c>
    </row>
    <row r="1158" ht="12.75" customHeight="1">
      <c r="A1158" s="3" t="s">
        <v>2810</v>
      </c>
      <c r="B1158" s="3" t="str">
        <f t="shared" si="1"/>
        <v>0.04</v>
      </c>
      <c r="C1158" s="2" t="s">
        <v>2810</v>
      </c>
    </row>
    <row r="1159" ht="12.75" customHeight="1">
      <c r="A1159" s="3" t="s">
        <v>3119</v>
      </c>
      <c r="B1159" s="3" t="str">
        <f t="shared" si="1"/>
        <v>36, 36, SLUGMA</v>
      </c>
      <c r="C1159" s="2" t="s">
        <v>3119</v>
      </c>
    </row>
    <row r="1160" ht="12.75" customHeight="1">
      <c r="A1160" s="3" t="s">
        <v>3120</v>
      </c>
      <c r="B1160" s="3" t="str">
        <f t="shared" si="1"/>
        <v>18, 18, SLUGMA</v>
      </c>
      <c r="C1160" s="2" t="s">
        <v>3120</v>
      </c>
    </row>
    <row r="1161" ht="12.75" customHeight="1">
      <c r="A1161" s="3"/>
      <c r="B1161" s="3" t="str">
        <f t="shared" si="1"/>
        <v/>
      </c>
      <c r="C1161" s="2" t="s">
        <v>2801</v>
      </c>
    </row>
    <row r="1162" ht="12.75" customHeight="1">
      <c r="A1162" s="3" t="s">
        <v>2813</v>
      </c>
      <c r="B1162" s="3" t="str">
        <f t="shared" si="1"/>
        <v>0.01</v>
      </c>
      <c r="C1162" s="2" t="s">
        <v>2813</v>
      </c>
    </row>
    <row r="1163" ht="12.75" customHeight="1">
      <c r="A1163" s="3" t="s">
        <v>3119</v>
      </c>
      <c r="B1163" s="3" t="str">
        <f t="shared" si="1"/>
        <v>36, 36, SLUGMA</v>
      </c>
      <c r="C1163" s="2" t="s">
        <v>3119</v>
      </c>
    </row>
    <row r="1164" ht="12.75" customHeight="1">
      <c r="A1164" s="3" t="s">
        <v>3120</v>
      </c>
      <c r="B1164" s="3" t="str">
        <f t="shared" si="1"/>
        <v>18, 18, SLUGMA</v>
      </c>
      <c r="C1164" s="2" t="s">
        <v>3120</v>
      </c>
    </row>
    <row r="1165" ht="12.75" customHeight="1">
      <c r="A1165" s="3" t="s">
        <v>3121</v>
      </c>
      <c r="B1165" s="3" t="str">
        <f t="shared" si="1"/>
        <v>50, 15, 25, SLUGMA</v>
      </c>
      <c r="C1165" s="2" t="s">
        <v>3121</v>
      </c>
    </row>
    <row r="1166" ht="12.75" customHeight="1">
      <c r="A1166" s="3" t="s">
        <v>3122</v>
      </c>
      <c r="B1166" s="3" t="str">
        <f t="shared" si="1"/>
        <v>25, 35, SLUGMA</v>
      </c>
      <c r="C1166" s="2" t="s">
        <v>3122</v>
      </c>
    </row>
    <row r="1167" ht="12.75" customHeight="1">
      <c r="A1167" s="3" t="s">
        <v>3123</v>
      </c>
      <c r="B1167" s="3" t="str">
        <f t="shared" si="1"/>
        <v>40, 45, MAGCARGO</v>
      </c>
      <c r="C1167" s="2" t="s">
        <v>3123</v>
      </c>
    </row>
    <row r="1168" ht="12.75" customHeight="1">
      <c r="A1168" s="3" t="s">
        <v>3124</v>
      </c>
      <c r="B1168" s="3" t="str">
        <f t="shared" si="1"/>
        <v>35, 45, MAGCARGO</v>
      </c>
      <c r="C1168" s="2" t="s">
        <v>3124</v>
      </c>
    </row>
    <row r="1169" ht="12.75" customHeight="1">
      <c r="A1169" s="3" t="s">
        <v>3125</v>
      </c>
      <c r="B1169" s="3" t="str">
        <f t="shared" si="1"/>
        <v>25, 35, MAGCARGO , &lt;null&gt;</v>
      </c>
      <c r="C1169" s="2" t="s">
        <v>3125</v>
      </c>
    </row>
    <row r="1170" ht="12.75" customHeight="1">
      <c r="A1170" s="3"/>
      <c r="B1170" s="3" t="str">
        <f t="shared" si="1"/>
        <v/>
      </c>
      <c r="C1170" s="2" t="s">
        <v>2801</v>
      </c>
    </row>
    <row r="1171" ht="12.75" customHeight="1">
      <c r="A1171" s="3" t="s">
        <v>2539</v>
      </c>
      <c r="B1171" s="3" t="str">
        <f t="shared" si="1"/>
        <v>NEW ROUTE</v>
      </c>
      <c r="C1171" s="2" t="s">
        <v>2539</v>
      </c>
    </row>
    <row r="1172" ht="12.75" customHeight="1">
      <c r="A1172" s="3" t="s">
        <v>3126</v>
      </c>
      <c r="B1172" s="3" t="str">
        <f t="shared" si="1"/>
        <v>1, 107, 0,</v>
      </c>
      <c r="C1172" s="2" t="s">
        <v>3126</v>
      </c>
    </row>
    <row r="1173" ht="12.75" customHeight="1">
      <c r="A1173" s="3" t="s">
        <v>2817</v>
      </c>
      <c r="B1173" s="3" t="str">
        <f t="shared" si="1"/>
        <v>20%</v>
      </c>
      <c r="C1173" s="2" t="s">
        <v>2799</v>
      </c>
    </row>
    <row r="1174" ht="12.75" customHeight="1">
      <c r="A1174" s="3" t="s">
        <v>701</v>
      </c>
      <c r="B1174" s="3" t="str">
        <f t="shared" si="1"/>
        <v>40, 40, GEODUDE</v>
      </c>
      <c r="C1174" s="2" t="s">
        <v>701</v>
      </c>
    </row>
    <row r="1175" ht="12.75" customHeight="1">
      <c r="A1175" s="3" t="s">
        <v>707</v>
      </c>
      <c r="B1175" s="3" t="str">
        <f t="shared" si="1"/>
        <v>26, 26, SLUGMA</v>
      </c>
      <c r="C1175" s="2" t="s">
        <v>707</v>
      </c>
    </row>
    <row r="1176" ht="12.75" customHeight="1">
      <c r="A1176" s="3"/>
      <c r="B1176" s="3" t="str">
        <f t="shared" si="1"/>
        <v/>
      </c>
      <c r="C1176" s="2" t="s">
        <v>2801</v>
      </c>
    </row>
    <row r="1177" ht="12.75" customHeight="1">
      <c r="A1177" s="3" t="s">
        <v>2802</v>
      </c>
      <c r="B1177" s="3" t="str">
        <f t="shared" si="1"/>
        <v>0.1</v>
      </c>
      <c r="C1177" s="2" t="s">
        <v>2802</v>
      </c>
    </row>
    <row r="1178" ht="12.75" customHeight="1">
      <c r="A1178" s="3" t="s">
        <v>3109</v>
      </c>
      <c r="B1178" s="3" t="str">
        <f t="shared" si="1"/>
        <v>42, 42, GEODUDE</v>
      </c>
      <c r="C1178" s="2" t="s">
        <v>3109</v>
      </c>
    </row>
    <row r="1179" ht="12.75" customHeight="1">
      <c r="A1179" s="3" t="s">
        <v>3108</v>
      </c>
      <c r="B1179" s="3" t="str">
        <f t="shared" si="1"/>
        <v>24, 24, SLUGMA</v>
      </c>
      <c r="C1179" s="2" t="s">
        <v>3108</v>
      </c>
    </row>
    <row r="1180" ht="12.75" customHeight="1">
      <c r="A1180" s="3" t="s">
        <v>3110</v>
      </c>
      <c r="B1180" s="3" t="str">
        <f t="shared" si="1"/>
        <v>28, 28, SLUGMA</v>
      </c>
      <c r="C1180" s="2" t="s">
        <v>3110</v>
      </c>
    </row>
    <row r="1181" ht="12.75" customHeight="1">
      <c r="A1181" s="3" t="s">
        <v>3111</v>
      </c>
      <c r="B1181" s="3" t="str">
        <f t="shared" si="1"/>
        <v>30, 30, SLUGMA</v>
      </c>
      <c r="C1181" s="2" t="s">
        <v>3111</v>
      </c>
    </row>
    <row r="1182" ht="12.75" customHeight="1">
      <c r="A1182" s="3"/>
      <c r="B1182" s="3" t="str">
        <f t="shared" si="1"/>
        <v/>
      </c>
      <c r="C1182" s="2" t="s">
        <v>2801</v>
      </c>
    </row>
    <row r="1183" ht="12.75" customHeight="1">
      <c r="A1183" s="3" t="s">
        <v>2807</v>
      </c>
      <c r="B1183" s="3" t="str">
        <f t="shared" si="1"/>
        <v>0.05</v>
      </c>
      <c r="C1183" s="2" t="s">
        <v>2807</v>
      </c>
    </row>
    <row r="1184" ht="12.75" customHeight="1">
      <c r="A1184" s="3" t="s">
        <v>3113</v>
      </c>
      <c r="B1184" s="3" t="str">
        <f t="shared" si="1"/>
        <v>44, 44, GEODUDE</v>
      </c>
      <c r="C1184" s="2" t="s">
        <v>3113</v>
      </c>
    </row>
    <row r="1185" ht="12.75" customHeight="1">
      <c r="A1185" s="3" t="s">
        <v>3114</v>
      </c>
      <c r="B1185" s="3" t="str">
        <f t="shared" si="1"/>
        <v>32, 32, SLUGMA</v>
      </c>
      <c r="C1185" s="2" t="s">
        <v>3114</v>
      </c>
    </row>
    <row r="1186" ht="12.75" customHeight="1">
      <c r="A1186" s="3"/>
      <c r="B1186" s="3" t="str">
        <f t="shared" si="1"/>
        <v/>
      </c>
      <c r="C1186" s="2" t="s">
        <v>2801</v>
      </c>
    </row>
    <row r="1187" ht="12.75" customHeight="1">
      <c r="A1187" s="3" t="s">
        <v>2810</v>
      </c>
      <c r="B1187" s="3" t="str">
        <f t="shared" si="1"/>
        <v>0.04</v>
      </c>
      <c r="C1187" s="2" t="s">
        <v>2810</v>
      </c>
    </row>
    <row r="1188" ht="12.75" customHeight="1">
      <c r="A1188" s="3" t="s">
        <v>3113</v>
      </c>
      <c r="B1188" s="3" t="str">
        <f t="shared" si="1"/>
        <v>44, 44, GEODUDE</v>
      </c>
      <c r="C1188" s="2" t="s">
        <v>3113</v>
      </c>
    </row>
    <row r="1189" ht="12.75" customHeight="1">
      <c r="A1189" s="3" t="s">
        <v>3115</v>
      </c>
      <c r="B1189" s="3" t="str">
        <f t="shared" si="1"/>
        <v>22, 22, SLUGMA</v>
      </c>
      <c r="C1189" s="2" t="s">
        <v>3115</v>
      </c>
    </row>
    <row r="1190" ht="12.75" customHeight="1">
      <c r="A1190" s="3"/>
      <c r="B1190" s="3" t="str">
        <f t="shared" si="1"/>
        <v/>
      </c>
      <c r="C1190" s="2" t="s">
        <v>2801</v>
      </c>
    </row>
    <row r="1191" ht="12.75" customHeight="1">
      <c r="A1191" s="3" t="s">
        <v>2813</v>
      </c>
      <c r="B1191" s="3" t="str">
        <f t="shared" si="1"/>
        <v>0.01</v>
      </c>
      <c r="C1191" s="2" t="s">
        <v>2813</v>
      </c>
    </row>
    <row r="1192" ht="12.75" customHeight="1">
      <c r="A1192" s="3" t="s">
        <v>3113</v>
      </c>
      <c r="B1192" s="3" t="str">
        <f t="shared" si="1"/>
        <v>44, 44, GEODUDE</v>
      </c>
      <c r="C1192" s="2" t="s">
        <v>3113</v>
      </c>
    </row>
    <row r="1193" ht="12.75" customHeight="1">
      <c r="A1193" s="3" t="s">
        <v>3115</v>
      </c>
      <c r="B1193" s="3" t="str">
        <f t="shared" si="1"/>
        <v>22, 22, SLUGMA</v>
      </c>
      <c r="C1193" s="2" t="s">
        <v>3115</v>
      </c>
    </row>
    <row r="1194" ht="12.75" customHeight="1">
      <c r="A1194" s="3" t="s">
        <v>3102</v>
      </c>
      <c r="B1194" s="3" t="str">
        <f t="shared" si="1"/>
        <v>50, 25, 35, GEODUDE</v>
      </c>
      <c r="C1194" s="2" t="s">
        <v>3102</v>
      </c>
    </row>
    <row r="1195" ht="12.75" customHeight="1">
      <c r="A1195" s="3" t="s">
        <v>3103</v>
      </c>
      <c r="B1195" s="3" t="str">
        <f t="shared" si="1"/>
        <v>30, 45, GRAVELER</v>
      </c>
      <c r="C1195" s="2" t="s">
        <v>3103</v>
      </c>
    </row>
    <row r="1196" ht="12.75" customHeight="1">
      <c r="A1196" s="3" t="s">
        <v>3104</v>
      </c>
      <c r="B1196" s="3" t="str">
        <f t="shared" si="1"/>
        <v>35, 50, GRAVELER</v>
      </c>
      <c r="C1196" s="2" t="s">
        <v>3104</v>
      </c>
    </row>
    <row r="1197" ht="12.75" customHeight="1">
      <c r="A1197" s="3" t="s">
        <v>3105</v>
      </c>
      <c r="B1197" s="3" t="str">
        <f t="shared" si="1"/>
        <v>30, 40, GEODUDE</v>
      </c>
      <c r="C1197" s="2" t="s">
        <v>3105</v>
      </c>
    </row>
    <row r="1198" ht="12.75" customHeight="1">
      <c r="A1198" s="3" t="s">
        <v>3106</v>
      </c>
      <c r="B1198" s="3" t="str">
        <f t="shared" si="1"/>
        <v>30, 40, GEODUDE , &lt;null&gt;</v>
      </c>
      <c r="C1198" s="2" t="s">
        <v>3106</v>
      </c>
    </row>
    <row r="1199" ht="12.75" customHeight="1">
      <c r="A1199" s="3"/>
      <c r="B1199" s="3" t="str">
        <f t="shared" si="1"/>
        <v/>
      </c>
      <c r="C1199" s="2" t="s">
        <v>2801</v>
      </c>
    </row>
    <row r="1200" ht="12.75" customHeight="1">
      <c r="A1200" s="3" t="s">
        <v>2539</v>
      </c>
      <c r="B1200" s="3" t="str">
        <f t="shared" si="1"/>
        <v>NEW ROUTE</v>
      </c>
      <c r="C1200" s="2" t="s">
        <v>2539</v>
      </c>
    </row>
    <row r="1201" ht="12.75" customHeight="1">
      <c r="A1201" s="3" t="s">
        <v>3127</v>
      </c>
      <c r="B1201" s="3" t="str">
        <f t="shared" si="1"/>
        <v>1, 108, 0,</v>
      </c>
      <c r="C1201" s="2" t="s">
        <v>3127</v>
      </c>
    </row>
    <row r="1202" ht="12.75" customHeight="1">
      <c r="A1202" s="3" t="s">
        <v>2817</v>
      </c>
      <c r="B1202" s="3" t="str">
        <f t="shared" si="1"/>
        <v>20%</v>
      </c>
      <c r="C1202" s="2" t="s">
        <v>2799</v>
      </c>
    </row>
    <row r="1203" ht="12.75" customHeight="1">
      <c r="A1203" s="3" t="s">
        <v>692</v>
      </c>
      <c r="B1203" s="3" t="str">
        <f t="shared" si="1"/>
        <v>38, 38, GEODUDE</v>
      </c>
      <c r="C1203" s="2" t="s">
        <v>692</v>
      </c>
    </row>
    <row r="1204" ht="12.75" customHeight="1">
      <c r="A1204" s="3" t="s">
        <v>680</v>
      </c>
      <c r="B1204" s="3" t="str">
        <f t="shared" si="1"/>
        <v>36, 36, GEODUDE</v>
      </c>
      <c r="C1204" s="2" t="s">
        <v>680</v>
      </c>
    </row>
    <row r="1205" ht="12.75" customHeight="1">
      <c r="A1205" s="3"/>
      <c r="B1205" s="3" t="str">
        <f t="shared" si="1"/>
        <v/>
      </c>
      <c r="C1205" s="2" t="s">
        <v>2801</v>
      </c>
    </row>
    <row r="1206" ht="12.75" customHeight="1">
      <c r="A1206" s="3" t="s">
        <v>2802</v>
      </c>
      <c r="B1206" s="3" t="str">
        <f t="shared" si="1"/>
        <v>0.1</v>
      </c>
      <c r="C1206" s="2" t="s">
        <v>2802</v>
      </c>
    </row>
    <row r="1207" ht="12.75" customHeight="1">
      <c r="A1207" s="3" t="s">
        <v>669</v>
      </c>
      <c r="B1207" s="3" t="str">
        <f t="shared" si="1"/>
        <v>34, 34, GEODUDE</v>
      </c>
      <c r="C1207" s="2" t="s">
        <v>669</v>
      </c>
    </row>
    <row r="1208" ht="12.75" customHeight="1">
      <c r="A1208" s="3" t="s">
        <v>701</v>
      </c>
      <c r="B1208" s="3" t="str">
        <f t="shared" si="1"/>
        <v>40, 40, GEODUDE</v>
      </c>
      <c r="C1208" s="2" t="s">
        <v>701</v>
      </c>
    </row>
    <row r="1209" ht="12.75" customHeight="1">
      <c r="A1209" s="3" t="s">
        <v>3108</v>
      </c>
      <c r="B1209" s="3" t="str">
        <f t="shared" si="1"/>
        <v>24, 24, SLUGMA</v>
      </c>
      <c r="C1209" s="2" t="s">
        <v>3108</v>
      </c>
    </row>
    <row r="1210" ht="12.75" customHeight="1">
      <c r="A1210" s="3" t="s">
        <v>707</v>
      </c>
      <c r="B1210" s="3" t="str">
        <f t="shared" si="1"/>
        <v>26, 26, SLUGMA</v>
      </c>
      <c r="C1210" s="2" t="s">
        <v>707</v>
      </c>
    </row>
    <row r="1211" ht="12.75" customHeight="1">
      <c r="A1211" s="3"/>
      <c r="B1211" s="3" t="str">
        <f t="shared" si="1"/>
        <v/>
      </c>
      <c r="C1211" s="2" t="s">
        <v>2801</v>
      </c>
    </row>
    <row r="1212" ht="12.75" customHeight="1">
      <c r="A1212" s="3" t="s">
        <v>2807</v>
      </c>
      <c r="B1212" s="3" t="str">
        <f t="shared" si="1"/>
        <v>0.05</v>
      </c>
      <c r="C1212" s="2" t="s">
        <v>2807</v>
      </c>
    </row>
    <row r="1213" ht="12.75" customHeight="1">
      <c r="A1213" s="3" t="s">
        <v>3109</v>
      </c>
      <c r="B1213" s="3" t="str">
        <f t="shared" si="1"/>
        <v>42, 42, GEODUDE</v>
      </c>
      <c r="C1213" s="2" t="s">
        <v>3109</v>
      </c>
    </row>
    <row r="1214" ht="12.75" customHeight="1">
      <c r="A1214" s="3" t="s">
        <v>3110</v>
      </c>
      <c r="B1214" s="3" t="str">
        <f t="shared" si="1"/>
        <v>28, 28, SLUGMA</v>
      </c>
      <c r="C1214" s="2" t="s">
        <v>3110</v>
      </c>
    </row>
    <row r="1215" ht="12.75" customHeight="1">
      <c r="A1215" s="3"/>
      <c r="B1215" s="3" t="str">
        <f t="shared" si="1"/>
        <v/>
      </c>
      <c r="C1215" s="2" t="s">
        <v>2801</v>
      </c>
    </row>
    <row r="1216" ht="12.75" customHeight="1">
      <c r="A1216" s="3" t="s">
        <v>2810</v>
      </c>
      <c r="B1216" s="3" t="str">
        <f t="shared" si="1"/>
        <v>0.04</v>
      </c>
      <c r="C1216" s="2" t="s">
        <v>2810</v>
      </c>
    </row>
    <row r="1217" ht="12.75" customHeight="1">
      <c r="A1217" s="3" t="s">
        <v>3109</v>
      </c>
      <c r="B1217" s="3" t="str">
        <f t="shared" si="1"/>
        <v>42, 42, GEODUDE</v>
      </c>
      <c r="C1217" s="2" t="s">
        <v>3109</v>
      </c>
    </row>
    <row r="1218" ht="12.75" customHeight="1">
      <c r="A1218" s="3" t="s">
        <v>3111</v>
      </c>
      <c r="B1218" s="3" t="str">
        <f t="shared" si="1"/>
        <v>30, 30, SLUGMA</v>
      </c>
      <c r="C1218" s="2" t="s">
        <v>3111</v>
      </c>
    </row>
    <row r="1219" ht="12.75" customHeight="1">
      <c r="A1219" s="3"/>
      <c r="B1219" s="3" t="str">
        <f t="shared" si="1"/>
        <v/>
      </c>
      <c r="C1219" s="2" t="s">
        <v>2801</v>
      </c>
    </row>
    <row r="1220" ht="12.75" customHeight="1">
      <c r="A1220" s="3" t="s">
        <v>2813</v>
      </c>
      <c r="B1220" s="3" t="str">
        <f t="shared" si="1"/>
        <v>0.01</v>
      </c>
      <c r="C1220" s="2" t="s">
        <v>2813</v>
      </c>
    </row>
    <row r="1221" ht="12.75" customHeight="1">
      <c r="A1221" s="3" t="s">
        <v>3109</v>
      </c>
      <c r="B1221" s="3" t="str">
        <f t="shared" si="1"/>
        <v>42, 42, GEODUDE</v>
      </c>
      <c r="C1221" s="2" t="s">
        <v>3109</v>
      </c>
    </row>
    <row r="1222" ht="12.75" customHeight="1">
      <c r="A1222" s="3" t="s">
        <v>3111</v>
      </c>
      <c r="B1222" s="3" t="str">
        <f t="shared" si="1"/>
        <v>30, 30, SLUGMA</v>
      </c>
      <c r="C1222" s="2" t="s">
        <v>3111</v>
      </c>
    </row>
    <row r="1223" ht="12.75" customHeight="1">
      <c r="A1223" s="3" t="s">
        <v>3102</v>
      </c>
      <c r="B1223" s="3" t="str">
        <f t="shared" si="1"/>
        <v>50, 25, 35, GEODUDE</v>
      </c>
      <c r="C1223" s="2" t="s">
        <v>3102</v>
      </c>
    </row>
    <row r="1224" ht="12.75" customHeight="1">
      <c r="A1224" s="3" t="s">
        <v>3103</v>
      </c>
      <c r="B1224" s="3" t="str">
        <f t="shared" si="1"/>
        <v>30, 45, GRAVELER</v>
      </c>
      <c r="C1224" s="2" t="s">
        <v>3103</v>
      </c>
    </row>
    <row r="1225" ht="12.75" customHeight="1">
      <c r="A1225" s="3" t="s">
        <v>3104</v>
      </c>
      <c r="B1225" s="3" t="str">
        <f t="shared" si="1"/>
        <v>35, 50, GRAVELER</v>
      </c>
      <c r="C1225" s="2" t="s">
        <v>3104</v>
      </c>
    </row>
    <row r="1226" ht="12.75" customHeight="1">
      <c r="A1226" s="3" t="s">
        <v>3105</v>
      </c>
      <c r="B1226" s="3" t="str">
        <f t="shared" si="1"/>
        <v>30, 40, GEODUDE</v>
      </c>
      <c r="C1226" s="2" t="s">
        <v>3105</v>
      </c>
    </row>
    <row r="1227" ht="12.75" customHeight="1">
      <c r="A1227" s="3" t="s">
        <v>3106</v>
      </c>
      <c r="B1227" s="3" t="str">
        <f t="shared" si="1"/>
        <v>30, 40, GEODUDE , &lt;null&gt;</v>
      </c>
      <c r="C1227" s="2" t="s">
        <v>3106</v>
      </c>
    </row>
    <row r="1228" ht="12.75" customHeight="1">
      <c r="A1228" s="3"/>
      <c r="B1228" s="3" t="str">
        <f t="shared" si="1"/>
        <v/>
      </c>
      <c r="C1228" s="2" t="s">
        <v>2801</v>
      </c>
    </row>
    <row r="1229" ht="12.75" customHeight="1">
      <c r="A1229" s="3" t="s">
        <v>2539</v>
      </c>
      <c r="B1229" s="3" t="str">
        <f t="shared" si="1"/>
        <v>NEW ROUTE</v>
      </c>
      <c r="C1229" s="2" t="s">
        <v>2539</v>
      </c>
    </row>
    <row r="1230" ht="12.75" customHeight="1">
      <c r="A1230" s="3" t="s">
        <v>3128</v>
      </c>
      <c r="B1230" s="3" t="str">
        <f t="shared" si="1"/>
        <v>1, 109, 0,</v>
      </c>
      <c r="C1230" s="2" t="s">
        <v>3128</v>
      </c>
    </row>
    <row r="1231" ht="12.75" customHeight="1">
      <c r="A1231" s="3" t="s">
        <v>2909</v>
      </c>
      <c r="B1231" s="3" t="str">
        <f t="shared" si="1"/>
        <v>20%</v>
      </c>
      <c r="C1231" s="2" t="s">
        <v>2799</v>
      </c>
    </row>
    <row r="1232" ht="12.75" customHeight="1">
      <c r="A1232" s="3" t="s">
        <v>720</v>
      </c>
      <c r="B1232" s="3" t="str">
        <f t="shared" si="1"/>
        <v>37, 37, PIDGEOTTO</v>
      </c>
      <c r="C1232" s="2" t="s">
        <v>720</v>
      </c>
    </row>
    <row r="1233" ht="12.75" customHeight="1">
      <c r="A1233" s="3" t="s">
        <v>3129</v>
      </c>
      <c r="B1233" s="3" t="str">
        <f t="shared" si="1"/>
        <v>35, 35, WEEPINBELL</v>
      </c>
      <c r="C1233" s="2" t="s">
        <v>3129</v>
      </c>
    </row>
    <row r="1234" ht="12.75" customHeight="1">
      <c r="A1234" s="3"/>
      <c r="B1234" s="3" t="str">
        <f t="shared" si="1"/>
        <v/>
      </c>
      <c r="C1234" s="2" t="s">
        <v>2801</v>
      </c>
    </row>
    <row r="1235" ht="12.75" customHeight="1">
      <c r="A1235" s="3" t="s">
        <v>2802</v>
      </c>
      <c r="B1235" s="3" t="str">
        <f t="shared" si="1"/>
        <v>0.1</v>
      </c>
      <c r="C1235" s="2" t="s">
        <v>2802</v>
      </c>
    </row>
    <row r="1236" ht="12.75" customHeight="1">
      <c r="A1236" s="3" t="s">
        <v>846</v>
      </c>
      <c r="B1236" s="3" t="str">
        <f t="shared" si="1"/>
        <v>32, 32, PIDGEY</v>
      </c>
      <c r="C1236" s="2" t="s">
        <v>846</v>
      </c>
    </row>
    <row r="1237" ht="12.75" customHeight="1">
      <c r="A1237" s="3" t="s">
        <v>3130</v>
      </c>
      <c r="B1237" s="3" t="str">
        <f t="shared" si="1"/>
        <v>30, 30, BELLSPROUT</v>
      </c>
      <c r="C1237" s="2" t="s">
        <v>3130</v>
      </c>
    </row>
    <row r="1238" ht="12.75" customHeight="1">
      <c r="A1238" s="3" t="s">
        <v>3131</v>
      </c>
      <c r="B1238" s="3" t="str">
        <f t="shared" si="1"/>
        <v>34, 34, VENONAT</v>
      </c>
      <c r="C1238" s="2" t="s">
        <v>3131</v>
      </c>
    </row>
    <row r="1239" ht="12.75" customHeight="1">
      <c r="A1239" s="3" t="s">
        <v>3132</v>
      </c>
      <c r="B1239" s="3" t="str">
        <f t="shared" si="1"/>
        <v>34, 34, DROWZEE</v>
      </c>
      <c r="C1239" s="2" t="s">
        <v>3132</v>
      </c>
    </row>
    <row r="1240" ht="12.75" customHeight="1">
      <c r="A1240" s="3"/>
      <c r="B1240" s="3" t="str">
        <f t="shared" si="1"/>
        <v/>
      </c>
      <c r="C1240" s="2" t="s">
        <v>2801</v>
      </c>
    </row>
    <row r="1241" ht="12.75" customHeight="1">
      <c r="A1241" s="3" t="s">
        <v>2807</v>
      </c>
      <c r="B1241" s="3" t="str">
        <f t="shared" si="1"/>
        <v>0.05</v>
      </c>
      <c r="C1241" s="2" t="s">
        <v>2807</v>
      </c>
    </row>
    <row r="1242" ht="12.75" customHeight="1">
      <c r="A1242" s="3" t="s">
        <v>3133</v>
      </c>
      <c r="B1242" s="3" t="str">
        <f t="shared" si="1"/>
        <v>35, 35, EXEGGCUTE</v>
      </c>
      <c r="C1242" s="2" t="s">
        <v>3133</v>
      </c>
    </row>
    <row r="1243" ht="12.75" customHeight="1">
      <c r="A1243" s="3" t="s">
        <v>3134</v>
      </c>
      <c r="B1243" s="3" t="str">
        <f t="shared" si="1"/>
        <v>31, 31, SLOWPOKE</v>
      </c>
      <c r="C1243" s="2" t="s">
        <v>3134</v>
      </c>
    </row>
    <row r="1244" ht="12.75" customHeight="1">
      <c r="A1244" s="3"/>
      <c r="B1244" s="3" t="str">
        <f t="shared" si="1"/>
        <v/>
      </c>
      <c r="C1244" s="2" t="s">
        <v>2801</v>
      </c>
    </row>
    <row r="1245" ht="12.75" customHeight="1">
      <c r="A1245" s="3" t="s">
        <v>2810</v>
      </c>
      <c r="B1245" s="3" t="str">
        <f t="shared" si="1"/>
        <v>0.04</v>
      </c>
      <c r="C1245" s="2" t="s">
        <v>2810</v>
      </c>
    </row>
    <row r="1246" ht="12.75" customHeight="1">
      <c r="A1246" s="3" t="s">
        <v>3135</v>
      </c>
      <c r="B1246" s="3" t="str">
        <f t="shared" si="1"/>
        <v>37, 37, VENOMOTH</v>
      </c>
      <c r="C1246" s="2" t="s">
        <v>3135</v>
      </c>
    </row>
    <row r="1247" ht="12.75" customHeight="1">
      <c r="A1247" s="3" t="s">
        <v>3136</v>
      </c>
      <c r="B1247" s="3" t="str">
        <f t="shared" si="1"/>
        <v>37, 37, HYPNO</v>
      </c>
      <c r="C1247" s="2" t="s">
        <v>3136</v>
      </c>
    </row>
    <row r="1248" ht="12.75" customHeight="1">
      <c r="A1248" s="3"/>
      <c r="B1248" s="3" t="str">
        <f t="shared" si="1"/>
        <v/>
      </c>
      <c r="C1248" s="2" t="s">
        <v>2801</v>
      </c>
    </row>
    <row r="1249" ht="12.75" customHeight="1">
      <c r="A1249" s="3" t="s">
        <v>2813</v>
      </c>
      <c r="B1249" s="3" t="str">
        <f t="shared" si="1"/>
        <v>0.01</v>
      </c>
      <c r="C1249" s="2" t="s">
        <v>2813</v>
      </c>
    </row>
    <row r="1250" ht="12.75" customHeight="1">
      <c r="A1250" s="3" t="s">
        <v>3137</v>
      </c>
      <c r="B1250" s="3" t="str">
        <f t="shared" si="1"/>
        <v>40, 40, VENOMOTH</v>
      </c>
      <c r="C1250" s="2" t="s">
        <v>3137</v>
      </c>
    </row>
    <row r="1251" ht="12.75" customHeight="1">
      <c r="A1251" s="3" t="s">
        <v>3138</v>
      </c>
      <c r="B1251" s="3" t="str">
        <f t="shared" si="1"/>
        <v>40, 40, HYPNO</v>
      </c>
      <c r="C1251" s="2" t="s">
        <v>3138</v>
      </c>
    </row>
    <row r="1252" ht="12.75" customHeight="1">
      <c r="A1252" s="3" t="s">
        <v>3139</v>
      </c>
      <c r="B1252" s="3" t="str">
        <f t="shared" si="1"/>
        <v>2, 5, 20, SLOWPOKE</v>
      </c>
      <c r="C1252" s="2" t="s">
        <v>3139</v>
      </c>
    </row>
    <row r="1253" ht="12.75" customHeight="1">
      <c r="A1253" s="3" t="s">
        <v>3140</v>
      </c>
      <c r="B1253" s="3" t="str">
        <f t="shared" si="1"/>
        <v>20, 35, SLOWPOKE</v>
      </c>
      <c r="C1253" s="2" t="s">
        <v>3140</v>
      </c>
    </row>
    <row r="1254" ht="12.75" customHeight="1">
      <c r="A1254" s="3" t="s">
        <v>3141</v>
      </c>
      <c r="B1254" s="3" t="str">
        <f t="shared" si="1"/>
        <v>35, 40, SLOWPOKE</v>
      </c>
      <c r="C1254" s="2" t="s">
        <v>3141</v>
      </c>
    </row>
    <row r="1255" ht="12.75" customHeight="1">
      <c r="A1255" s="3" t="s">
        <v>3142</v>
      </c>
      <c r="B1255" s="3" t="str">
        <f t="shared" si="1"/>
        <v>35, 40, SLOWBRO</v>
      </c>
      <c r="C1255" s="2" t="s">
        <v>3142</v>
      </c>
    </row>
    <row r="1256" ht="12.75" customHeight="1">
      <c r="A1256" s="3" t="s">
        <v>3142</v>
      </c>
      <c r="B1256" s="3" t="str">
        <f t="shared" si="1"/>
        <v>35, 40, SLOWBRO</v>
      </c>
      <c r="C1256" s="2" t="s">
        <v>3142</v>
      </c>
    </row>
    <row r="1257" ht="12.75" customHeight="1">
      <c r="A1257" s="3" t="s">
        <v>2926</v>
      </c>
      <c r="B1257" s="3" t="str">
        <f t="shared" si="1"/>
        <v>20, old rod:</v>
      </c>
      <c r="C1257" s="2" t="s">
        <v>2926</v>
      </c>
    </row>
    <row r="1258" ht="12.75" customHeight="1">
      <c r="A1258" s="3" t="s">
        <v>417</v>
      </c>
      <c r="B1258" s="3" t="str">
        <f t="shared" si="1"/>
        <v>5, 5, MAGIKARP</v>
      </c>
      <c r="C1258" s="2" t="s">
        <v>417</v>
      </c>
    </row>
    <row r="1259" ht="12.75" customHeight="1">
      <c r="A1259" s="3" t="s">
        <v>417</v>
      </c>
      <c r="B1259" s="3" t="str">
        <f t="shared" si="1"/>
        <v>5, 5, MAGIKARP</v>
      </c>
      <c r="C1259" s="2" t="s">
        <v>417</v>
      </c>
    </row>
    <row r="1260" ht="12.75" customHeight="1">
      <c r="A1260" s="3"/>
      <c r="B1260" s="3" t="str">
        <f t="shared" si="1"/>
        <v/>
      </c>
      <c r="C1260" s="2" t="s">
        <v>2801</v>
      </c>
    </row>
    <row r="1261" ht="12.75" customHeight="1">
      <c r="A1261" s="3" t="s">
        <v>2847</v>
      </c>
      <c r="B1261" s="3" t="str">
        <f t="shared" si="1"/>
        <v>good rod:</v>
      </c>
      <c r="C1261" s="2" t="s">
        <v>2847</v>
      </c>
    </row>
    <row r="1262" ht="12.75" customHeight="1">
      <c r="A1262" s="3" t="s">
        <v>3143</v>
      </c>
      <c r="B1262" s="3" t="str">
        <f t="shared" si="1"/>
        <v>5, 15, GOLDEEN</v>
      </c>
      <c r="C1262" s="2" t="s">
        <v>3143</v>
      </c>
    </row>
    <row r="1263" ht="12.75" customHeight="1">
      <c r="A1263" s="3" t="s">
        <v>2849</v>
      </c>
      <c r="B1263" s="3" t="str">
        <f t="shared" si="1"/>
        <v>5, 15, MAGIKARP</v>
      </c>
      <c r="C1263" s="2" t="s">
        <v>2849</v>
      </c>
    </row>
    <row r="1264" ht="12.75" customHeight="1">
      <c r="A1264" s="3" t="s">
        <v>3144</v>
      </c>
      <c r="B1264" s="3" t="str">
        <f t="shared" si="1"/>
        <v>5, 15, POLIWAG</v>
      </c>
      <c r="C1264" s="2" t="s">
        <v>3144</v>
      </c>
    </row>
    <row r="1265" ht="12.75" customHeight="1">
      <c r="A1265" s="3"/>
      <c r="B1265" s="3" t="str">
        <f t="shared" si="1"/>
        <v/>
      </c>
      <c r="C1265" s="2" t="s">
        <v>2801</v>
      </c>
    </row>
    <row r="1266" ht="12.75" customHeight="1">
      <c r="A1266" s="3" t="s">
        <v>2851</v>
      </c>
      <c r="B1266" s="3" t="str">
        <f t="shared" si="1"/>
        <v>super rod:</v>
      </c>
      <c r="C1266" s="2" t="s">
        <v>2851</v>
      </c>
    </row>
    <row r="1267" ht="12.75" customHeight="1">
      <c r="A1267" s="3" t="s">
        <v>3145</v>
      </c>
      <c r="B1267" s="3" t="str">
        <f t="shared" si="1"/>
        <v>15, 25, GOLDEEN</v>
      </c>
      <c r="C1267" s="2" t="s">
        <v>3145</v>
      </c>
    </row>
    <row r="1268" ht="12.75" customHeight="1">
      <c r="A1268" s="3" t="s">
        <v>3146</v>
      </c>
      <c r="B1268" s="3" t="str">
        <f t="shared" si="1"/>
        <v>20, 30, SEAKING</v>
      </c>
      <c r="C1268" s="2" t="s">
        <v>3146</v>
      </c>
    </row>
    <row r="1269" ht="12.75" customHeight="1">
      <c r="A1269" s="3" t="s">
        <v>2854</v>
      </c>
      <c r="B1269" s="3" t="str">
        <f t="shared" si="1"/>
        <v>15, 25, GYARADOS</v>
      </c>
      <c r="C1269" s="2" t="s">
        <v>2854</v>
      </c>
    </row>
    <row r="1270" ht="12.75" customHeight="1">
      <c r="A1270" s="3" t="s">
        <v>3147</v>
      </c>
      <c r="B1270" s="3" t="str">
        <f t="shared" si="1"/>
        <v>15, 25, SLOWPOKE</v>
      </c>
      <c r="C1270" s="2" t="s">
        <v>3147</v>
      </c>
    </row>
    <row r="1271" ht="12.75" customHeight="1">
      <c r="A1271" s="3" t="s">
        <v>2856</v>
      </c>
      <c r="B1271" s="3" t="str">
        <f t="shared" si="1"/>
        <v>25, 35, SLOWPOKE</v>
      </c>
      <c r="C1271" s="2" t="s">
        <v>2856</v>
      </c>
    </row>
    <row r="1272" ht="12.75" customHeight="1">
      <c r="A1272" s="3" t="s">
        <v>2539</v>
      </c>
      <c r="B1272" s="3" t="str">
        <f t="shared" si="1"/>
        <v>NEW ROUTE</v>
      </c>
      <c r="C1272" s="2" t="s">
        <v>2539</v>
      </c>
    </row>
    <row r="1273" ht="12.75" customHeight="1">
      <c r="A1273" s="3" t="s">
        <v>3148</v>
      </c>
      <c r="B1273" s="3" t="str">
        <f t="shared" si="1"/>
        <v>1, 110, 0,</v>
      </c>
      <c r="C1273" s="2" t="s">
        <v>3148</v>
      </c>
    </row>
    <row r="1274" ht="12.75" customHeight="1">
      <c r="A1274" s="3" t="s">
        <v>2817</v>
      </c>
      <c r="B1274" s="3" t="str">
        <f t="shared" si="1"/>
        <v>20%</v>
      </c>
      <c r="C1274" s="2" t="s">
        <v>2799</v>
      </c>
    </row>
    <row r="1275" ht="12.75" customHeight="1">
      <c r="A1275" s="3" t="s">
        <v>742</v>
      </c>
      <c r="B1275" s="3" t="str">
        <f t="shared" si="1"/>
        <v>43, 43, SEEL</v>
      </c>
      <c r="C1275" s="2" t="s">
        <v>742</v>
      </c>
    </row>
    <row r="1276" ht="12.75" customHeight="1">
      <c r="A1276" s="3" t="s">
        <v>3149</v>
      </c>
      <c r="B1276" s="3" t="str">
        <f t="shared" si="1"/>
        <v>45, 45, GOLBAT</v>
      </c>
      <c r="C1276" s="2" t="s">
        <v>3149</v>
      </c>
    </row>
    <row r="1277" ht="12.75" customHeight="1">
      <c r="A1277" s="3"/>
      <c r="B1277" s="3" t="str">
        <f t="shared" si="1"/>
        <v/>
      </c>
      <c r="C1277" s="2" t="s">
        <v>2801</v>
      </c>
    </row>
    <row r="1278" ht="12.75" customHeight="1">
      <c r="A1278" s="3" t="s">
        <v>2802</v>
      </c>
      <c r="B1278" s="3" t="str">
        <f t="shared" si="1"/>
        <v>0.1</v>
      </c>
      <c r="C1278" s="2" t="s">
        <v>2802</v>
      </c>
    </row>
    <row r="1279" ht="12.75" customHeight="1">
      <c r="A1279" s="3" t="s">
        <v>3150</v>
      </c>
      <c r="B1279" s="3" t="str">
        <f t="shared" si="1"/>
        <v>45, 45, SEEL</v>
      </c>
      <c r="C1279" s="2" t="s">
        <v>3150</v>
      </c>
    </row>
    <row r="1280" ht="12.75" customHeight="1">
      <c r="A1280" s="3" t="s">
        <v>3151</v>
      </c>
      <c r="B1280" s="3" t="str">
        <f t="shared" si="1"/>
        <v>47, 47, SEEL</v>
      </c>
      <c r="C1280" s="2" t="s">
        <v>3151</v>
      </c>
    </row>
    <row r="1281" ht="12.75" customHeight="1">
      <c r="A1281" s="3" t="s">
        <v>3152</v>
      </c>
      <c r="B1281" s="3" t="str">
        <f t="shared" si="1"/>
        <v>40, 40, ZUBAT</v>
      </c>
      <c r="C1281" s="2" t="s">
        <v>3152</v>
      </c>
    </row>
    <row r="1282" ht="12.75" customHeight="1">
      <c r="A1282" s="3" t="s">
        <v>3153</v>
      </c>
      <c r="B1282" s="3" t="str">
        <f t="shared" si="1"/>
        <v>49, 49, DEWGONG</v>
      </c>
      <c r="C1282" s="2" t="s">
        <v>3153</v>
      </c>
    </row>
    <row r="1283" ht="12.75" customHeight="1">
      <c r="A1283" s="3"/>
      <c r="B1283" s="3" t="str">
        <f t="shared" si="1"/>
        <v/>
      </c>
      <c r="C1283" s="2" t="s">
        <v>2801</v>
      </c>
    </row>
    <row r="1284" ht="12.75" customHeight="1">
      <c r="A1284" s="3" t="s">
        <v>2807</v>
      </c>
      <c r="B1284" s="3" t="str">
        <f t="shared" si="1"/>
        <v>0.05</v>
      </c>
      <c r="C1284" s="2" t="s">
        <v>2807</v>
      </c>
    </row>
    <row r="1285" ht="12.75" customHeight="1">
      <c r="A1285" s="3" t="s">
        <v>3154</v>
      </c>
      <c r="B1285" s="3" t="str">
        <f t="shared" si="1"/>
        <v>51, 51, DEWGONG</v>
      </c>
      <c r="C1285" s="2" t="s">
        <v>3154</v>
      </c>
    </row>
    <row r="1286" ht="12.75" customHeight="1">
      <c r="A1286" s="3" t="s">
        <v>3155</v>
      </c>
      <c r="B1286" s="3" t="str">
        <f t="shared" si="1"/>
        <v>41, 41, SLOWPOKE</v>
      </c>
      <c r="C1286" s="2" t="s">
        <v>3155</v>
      </c>
    </row>
    <row r="1287" ht="12.75" customHeight="1">
      <c r="A1287" s="3"/>
      <c r="B1287" s="3" t="str">
        <f t="shared" si="1"/>
        <v/>
      </c>
      <c r="C1287" s="2" t="s">
        <v>2801</v>
      </c>
    </row>
    <row r="1288" ht="12.75" customHeight="1">
      <c r="A1288" s="3" t="s">
        <v>2810</v>
      </c>
      <c r="B1288" s="3" t="str">
        <f t="shared" si="1"/>
        <v>0.04</v>
      </c>
      <c r="C1288" s="2" t="s">
        <v>2810</v>
      </c>
    </row>
    <row r="1289" ht="12.75" customHeight="1">
      <c r="A1289" s="3" t="s">
        <v>3156</v>
      </c>
      <c r="B1289" s="3" t="str">
        <f t="shared" si="1"/>
        <v>48, 48, GOLBAT</v>
      </c>
      <c r="C1289" s="2" t="s">
        <v>3156</v>
      </c>
    </row>
    <row r="1290" ht="12.75" customHeight="1">
      <c r="A1290" s="3" t="s">
        <v>3157</v>
      </c>
      <c r="B1290" s="3" t="str">
        <f t="shared" si="1"/>
        <v>53, 53, DEWGONG</v>
      </c>
      <c r="C1290" s="2" t="s">
        <v>3157</v>
      </c>
    </row>
    <row r="1291" ht="12.75" customHeight="1">
      <c r="A1291" s="3"/>
      <c r="B1291" s="3" t="str">
        <f t="shared" si="1"/>
        <v/>
      </c>
      <c r="C1291" s="2" t="s">
        <v>2801</v>
      </c>
    </row>
    <row r="1292" ht="12.75" customHeight="1">
      <c r="A1292" s="3" t="s">
        <v>2813</v>
      </c>
      <c r="B1292" s="3" t="str">
        <f t="shared" si="1"/>
        <v>0.01</v>
      </c>
      <c r="C1292" s="2" t="s">
        <v>2813</v>
      </c>
    </row>
    <row r="1293" ht="12.75" customHeight="1">
      <c r="A1293" s="3" t="s">
        <v>3156</v>
      </c>
      <c r="B1293" s="3" t="str">
        <f t="shared" si="1"/>
        <v>48, 48, GOLBAT</v>
      </c>
      <c r="C1293" s="2" t="s">
        <v>3156</v>
      </c>
    </row>
    <row r="1294" ht="12.75" customHeight="1">
      <c r="A1294" s="3" t="s">
        <v>3157</v>
      </c>
      <c r="B1294" s="3" t="str">
        <f t="shared" si="1"/>
        <v>53, 53, DEWGONG</v>
      </c>
      <c r="C1294" s="2" t="s">
        <v>3157</v>
      </c>
    </row>
    <row r="1295" ht="12.75" customHeight="1">
      <c r="A1295" s="3" t="s">
        <v>3158</v>
      </c>
      <c r="B1295" s="3" t="str">
        <f t="shared" si="1"/>
        <v>2, 5, 35, SEEL</v>
      </c>
      <c r="C1295" s="2" t="s">
        <v>3158</v>
      </c>
    </row>
    <row r="1296" ht="12.75" customHeight="1">
      <c r="A1296" s="3" t="s">
        <v>3159</v>
      </c>
      <c r="B1296" s="3" t="str">
        <f t="shared" si="1"/>
        <v>5, 35, SLOWPOKE</v>
      </c>
      <c r="C1296" s="2" t="s">
        <v>3159</v>
      </c>
    </row>
    <row r="1297" ht="12.75" customHeight="1">
      <c r="A1297" s="3" t="s">
        <v>3160</v>
      </c>
      <c r="B1297" s="3" t="str">
        <f t="shared" si="1"/>
        <v>35, 40, DEWGONG</v>
      </c>
      <c r="C1297" s="2" t="s">
        <v>3160</v>
      </c>
    </row>
    <row r="1298" ht="12.75" customHeight="1">
      <c r="A1298" s="3" t="s">
        <v>3161</v>
      </c>
      <c r="B1298" s="3" t="str">
        <f t="shared" si="1"/>
        <v>5, 15, MARILL</v>
      </c>
      <c r="C1298" s="2" t="s">
        <v>3161</v>
      </c>
    </row>
    <row r="1299" ht="12.75" customHeight="1">
      <c r="A1299" s="3" t="s">
        <v>3161</v>
      </c>
      <c r="B1299" s="3" t="str">
        <f t="shared" si="1"/>
        <v>5, 15, MARILL</v>
      </c>
      <c r="C1299" s="2" t="s">
        <v>3161</v>
      </c>
    </row>
    <row r="1300" ht="12.75" customHeight="1">
      <c r="A1300" s="3" t="s">
        <v>2926</v>
      </c>
      <c r="B1300" s="3" t="str">
        <f t="shared" si="1"/>
        <v>20, old rod:</v>
      </c>
      <c r="C1300" s="2" t="s">
        <v>2926</v>
      </c>
    </row>
    <row r="1301" ht="12.75" customHeight="1">
      <c r="A1301" s="3" t="s">
        <v>417</v>
      </c>
      <c r="B1301" s="3" t="str">
        <f t="shared" si="1"/>
        <v>5, 5, MAGIKARP</v>
      </c>
      <c r="C1301" s="2" t="s">
        <v>417</v>
      </c>
    </row>
    <row r="1302" ht="12.75" customHeight="1">
      <c r="A1302" s="3" t="s">
        <v>417</v>
      </c>
      <c r="B1302" s="3" t="str">
        <f t="shared" si="1"/>
        <v>5, 5, MAGIKARP</v>
      </c>
      <c r="C1302" s="2" t="s">
        <v>417</v>
      </c>
    </row>
    <row r="1303" ht="12.75" customHeight="1">
      <c r="A1303" s="3"/>
      <c r="B1303" s="3" t="str">
        <f t="shared" si="1"/>
        <v/>
      </c>
      <c r="C1303" s="2" t="s">
        <v>2801</v>
      </c>
    </row>
    <row r="1304" ht="12.75" customHeight="1">
      <c r="A1304" s="3" t="s">
        <v>2847</v>
      </c>
      <c r="B1304" s="3" t="str">
        <f t="shared" si="1"/>
        <v>good rod:</v>
      </c>
      <c r="C1304" s="2" t="s">
        <v>2847</v>
      </c>
    </row>
    <row r="1305" ht="12.75" customHeight="1">
      <c r="A1305" s="3" t="s">
        <v>3144</v>
      </c>
      <c r="B1305" s="3" t="str">
        <f t="shared" si="1"/>
        <v>5, 15, POLIWAG</v>
      </c>
      <c r="C1305" s="2" t="s">
        <v>3144</v>
      </c>
    </row>
    <row r="1306" ht="12.75" customHeight="1">
      <c r="A1306" s="3" t="s">
        <v>2849</v>
      </c>
      <c r="B1306" s="3" t="str">
        <f t="shared" si="1"/>
        <v>5, 15, MAGIKARP</v>
      </c>
      <c r="C1306" s="2" t="s">
        <v>2849</v>
      </c>
    </row>
    <row r="1307" ht="12.75" customHeight="1">
      <c r="A1307" s="3" t="s">
        <v>3143</v>
      </c>
      <c r="B1307" s="3" t="str">
        <f t="shared" si="1"/>
        <v>5, 15, GOLDEEN</v>
      </c>
      <c r="C1307" s="2" t="s">
        <v>3143</v>
      </c>
    </row>
    <row r="1308" ht="12.75" customHeight="1">
      <c r="A1308" s="3"/>
      <c r="B1308" s="3" t="str">
        <f t="shared" si="1"/>
        <v/>
      </c>
      <c r="C1308" s="2" t="s">
        <v>2801</v>
      </c>
    </row>
    <row r="1309" ht="12.75" customHeight="1">
      <c r="A1309" s="3" t="s">
        <v>2851</v>
      </c>
      <c r="B1309" s="3" t="str">
        <f t="shared" si="1"/>
        <v>super rod:</v>
      </c>
      <c r="C1309" s="2" t="s">
        <v>2851</v>
      </c>
    </row>
    <row r="1310" ht="12.75" customHeight="1">
      <c r="A1310" s="3" t="s">
        <v>3162</v>
      </c>
      <c r="B1310" s="3" t="str">
        <f t="shared" si="1"/>
        <v>15, 25, POLIWAG</v>
      </c>
      <c r="C1310" s="2" t="s">
        <v>3162</v>
      </c>
    </row>
    <row r="1311" ht="12.75" customHeight="1">
      <c r="A1311" s="3" t="s">
        <v>3163</v>
      </c>
      <c r="B1311" s="3" t="str">
        <f t="shared" si="1"/>
        <v>20, 30, POLIWHIRL</v>
      </c>
      <c r="C1311" s="2" t="s">
        <v>3163</v>
      </c>
    </row>
    <row r="1312" ht="12.75" customHeight="1">
      <c r="A1312" s="3" t="s">
        <v>2854</v>
      </c>
      <c r="B1312" s="3" t="str">
        <f t="shared" si="1"/>
        <v>15, 25, GYARADOS</v>
      </c>
      <c r="C1312" s="2" t="s">
        <v>2854</v>
      </c>
    </row>
    <row r="1313" ht="12.75" customHeight="1">
      <c r="A1313" s="3" t="s">
        <v>3147</v>
      </c>
      <c r="B1313" s="3" t="str">
        <f t="shared" si="1"/>
        <v>15, 25, SLOWPOKE</v>
      </c>
      <c r="C1313" s="2" t="s">
        <v>3147</v>
      </c>
    </row>
    <row r="1314" ht="12.75" customHeight="1">
      <c r="A1314" s="3" t="s">
        <v>2856</v>
      </c>
      <c r="B1314" s="3" t="str">
        <f t="shared" si="1"/>
        <v>25, 35, SLOWPOKE</v>
      </c>
      <c r="C1314" s="2" t="s">
        <v>2856</v>
      </c>
    </row>
    <row r="1315" ht="12.75" customHeight="1">
      <c r="A1315" s="3" t="s">
        <v>2539</v>
      </c>
      <c r="B1315" s="3" t="str">
        <f t="shared" si="1"/>
        <v>NEW ROUTE</v>
      </c>
      <c r="C1315" s="2" t="s">
        <v>2539</v>
      </c>
    </row>
    <row r="1316" ht="12.75" customHeight="1">
      <c r="A1316" s="3" t="s">
        <v>3164</v>
      </c>
      <c r="B1316" s="3" t="str">
        <f t="shared" si="1"/>
        <v>1, 111, 0,</v>
      </c>
      <c r="C1316" s="2" t="s">
        <v>3164</v>
      </c>
    </row>
    <row r="1317" ht="12.75" customHeight="1">
      <c r="A1317" s="3" t="s">
        <v>2817</v>
      </c>
      <c r="B1317" s="3" t="str">
        <f t="shared" si="1"/>
        <v>20%</v>
      </c>
      <c r="C1317" s="2" t="s">
        <v>2799</v>
      </c>
    </row>
    <row r="1318" ht="12.75" customHeight="1">
      <c r="A1318" s="3" t="s">
        <v>760</v>
      </c>
      <c r="B1318" s="3" t="str">
        <f t="shared" si="1"/>
        <v>25, 25, SWINUB</v>
      </c>
      <c r="C1318" s="2" t="s">
        <v>760</v>
      </c>
    </row>
    <row r="1319" ht="12.75" customHeight="1">
      <c r="A1319" s="3" t="s">
        <v>3149</v>
      </c>
      <c r="B1319" s="3" t="str">
        <f t="shared" si="1"/>
        <v>45, 45, GOLBAT</v>
      </c>
      <c r="C1319" s="2" t="s">
        <v>3149</v>
      </c>
    </row>
    <row r="1320" ht="12.75" customHeight="1">
      <c r="A1320" s="3"/>
      <c r="B1320" s="3" t="str">
        <f t="shared" si="1"/>
        <v/>
      </c>
      <c r="C1320" s="2" t="s">
        <v>2801</v>
      </c>
    </row>
    <row r="1321" ht="12.75" customHeight="1">
      <c r="A1321" s="3" t="s">
        <v>2802</v>
      </c>
      <c r="B1321" s="3" t="str">
        <f t="shared" si="1"/>
        <v>0.1</v>
      </c>
      <c r="C1321" s="2" t="s">
        <v>2802</v>
      </c>
    </row>
    <row r="1322" ht="12.75" customHeight="1">
      <c r="A1322" s="3" t="s">
        <v>3150</v>
      </c>
      <c r="B1322" s="3" t="str">
        <f t="shared" si="1"/>
        <v>45, 45, SEEL</v>
      </c>
      <c r="C1322" s="2" t="s">
        <v>3150</v>
      </c>
    </row>
    <row r="1323" ht="12.75" customHeight="1">
      <c r="A1323" s="3" t="s">
        <v>3165</v>
      </c>
      <c r="B1323" s="3" t="str">
        <f t="shared" si="1"/>
        <v>27, 27, SWINUB</v>
      </c>
      <c r="C1323" s="2" t="s">
        <v>3165</v>
      </c>
    </row>
    <row r="1324" ht="12.75" customHeight="1">
      <c r="A1324" s="3" t="s">
        <v>3152</v>
      </c>
      <c r="B1324" s="3" t="str">
        <f t="shared" si="1"/>
        <v>40, 40, ZUBAT</v>
      </c>
      <c r="C1324" s="2" t="s">
        <v>3152</v>
      </c>
    </row>
    <row r="1325" ht="12.75" customHeight="1">
      <c r="A1325" s="3" t="s">
        <v>3166</v>
      </c>
      <c r="B1325" s="3" t="str">
        <f t="shared" si="1"/>
        <v>29, 29, SWINUB</v>
      </c>
      <c r="C1325" s="2" t="s">
        <v>3166</v>
      </c>
    </row>
    <row r="1326" ht="12.75" customHeight="1">
      <c r="A1326" s="3"/>
      <c r="B1326" s="3" t="str">
        <f t="shared" si="1"/>
        <v/>
      </c>
      <c r="C1326" s="2" t="s">
        <v>2801</v>
      </c>
    </row>
    <row r="1327" ht="12.75" customHeight="1">
      <c r="A1327" s="3" t="s">
        <v>2807</v>
      </c>
      <c r="B1327" s="3" t="str">
        <f t="shared" si="1"/>
        <v>0.05</v>
      </c>
      <c r="C1327" s="2" t="s">
        <v>2807</v>
      </c>
    </row>
    <row r="1328" ht="12.75" customHeight="1">
      <c r="A1328" s="3" t="s">
        <v>3167</v>
      </c>
      <c r="B1328" s="3" t="str">
        <f t="shared" si="1"/>
        <v>30, 30, SNEASEL</v>
      </c>
      <c r="C1328" s="2" t="s">
        <v>3167</v>
      </c>
    </row>
    <row r="1329" ht="12.75" customHeight="1">
      <c r="A1329" s="3" t="s">
        <v>3168</v>
      </c>
      <c r="B1329" s="3" t="str">
        <f t="shared" si="1"/>
        <v>31, 31, SWINUB</v>
      </c>
      <c r="C1329" s="2" t="s">
        <v>3168</v>
      </c>
    </row>
    <row r="1330" ht="12.75" customHeight="1">
      <c r="A1330" s="3"/>
      <c r="B1330" s="3" t="str">
        <f t="shared" si="1"/>
        <v/>
      </c>
      <c r="C1330" s="2" t="s">
        <v>2801</v>
      </c>
    </row>
    <row r="1331" ht="12.75" customHeight="1">
      <c r="A1331" s="3" t="s">
        <v>2810</v>
      </c>
      <c r="B1331" s="3" t="str">
        <f t="shared" si="1"/>
        <v>0.04</v>
      </c>
      <c r="C1331" s="2" t="s">
        <v>2810</v>
      </c>
    </row>
    <row r="1332" ht="12.75" customHeight="1">
      <c r="A1332" s="3" t="s">
        <v>3156</v>
      </c>
      <c r="B1332" s="3" t="str">
        <f t="shared" si="1"/>
        <v>48, 48, GOLBAT</v>
      </c>
      <c r="C1332" s="2" t="s">
        <v>3156</v>
      </c>
    </row>
    <row r="1333" ht="12.75" customHeight="1">
      <c r="A1333" s="3" t="s">
        <v>3169</v>
      </c>
      <c r="B1333" s="3" t="str">
        <f t="shared" si="1"/>
        <v>23, 23, SWINUB</v>
      </c>
      <c r="C1333" s="2" t="s">
        <v>3169</v>
      </c>
    </row>
    <row r="1334" ht="12.75" customHeight="1">
      <c r="A1334" s="3"/>
      <c r="B1334" s="3" t="str">
        <f t="shared" si="1"/>
        <v/>
      </c>
      <c r="C1334" s="2" t="s">
        <v>2801</v>
      </c>
    </row>
    <row r="1335" ht="12.75" customHeight="1">
      <c r="A1335" s="3" t="s">
        <v>2813</v>
      </c>
      <c r="B1335" s="3" t="str">
        <f t="shared" si="1"/>
        <v>0.01</v>
      </c>
      <c r="C1335" s="2" t="s">
        <v>2813</v>
      </c>
    </row>
    <row r="1336" ht="12.75" customHeight="1">
      <c r="A1336" s="3" t="s">
        <v>3156</v>
      </c>
      <c r="B1336" s="3" t="str">
        <f t="shared" si="1"/>
        <v>48, 48, GOLBAT</v>
      </c>
      <c r="C1336" s="2" t="s">
        <v>3156</v>
      </c>
    </row>
    <row r="1337" ht="12.75" customHeight="1">
      <c r="A1337" s="3" t="s">
        <v>3170</v>
      </c>
      <c r="B1337" s="3" t="str">
        <f t="shared" si="1"/>
        <v>23, 23, SWINUB , &lt;null&gt;, &lt;null&gt;, &lt;null&gt;</v>
      </c>
      <c r="C1337" s="2" t="s">
        <v>3170</v>
      </c>
    </row>
    <row r="1338" ht="12.75" customHeight="1">
      <c r="A1338" s="3"/>
      <c r="B1338" s="3" t="str">
        <f t="shared" si="1"/>
        <v/>
      </c>
      <c r="C1338" s="2" t="s">
        <v>2801</v>
      </c>
    </row>
    <row r="1339" ht="12.75" customHeight="1">
      <c r="A1339" s="3" t="s">
        <v>2539</v>
      </c>
      <c r="B1339" s="3" t="str">
        <f t="shared" si="1"/>
        <v>NEW ROUTE</v>
      </c>
      <c r="C1339" s="2" t="s">
        <v>2539</v>
      </c>
    </row>
    <row r="1340" ht="12.75" customHeight="1">
      <c r="A1340" s="3" t="s">
        <v>3171</v>
      </c>
      <c r="B1340" s="3" t="str">
        <f t="shared" si="1"/>
        <v>1, 112, 0,</v>
      </c>
      <c r="C1340" s="2" t="s">
        <v>3171</v>
      </c>
    </row>
    <row r="1341" ht="12.75" customHeight="1">
      <c r="A1341" s="3" t="s">
        <v>2817</v>
      </c>
      <c r="B1341" s="3" t="str">
        <f t="shared" si="1"/>
        <v>20%</v>
      </c>
      <c r="C1341" s="2" t="s">
        <v>2799</v>
      </c>
    </row>
    <row r="1342" ht="12.75" customHeight="1">
      <c r="A1342" s="3" t="s">
        <v>760</v>
      </c>
      <c r="B1342" s="3" t="str">
        <f t="shared" si="1"/>
        <v>25, 25, SWINUB</v>
      </c>
      <c r="C1342" s="2" t="s">
        <v>760</v>
      </c>
    </row>
    <row r="1343" ht="12.75" customHeight="1">
      <c r="A1343" s="3" t="s">
        <v>3149</v>
      </c>
      <c r="B1343" s="3" t="str">
        <f t="shared" si="1"/>
        <v>45, 45, GOLBAT</v>
      </c>
      <c r="C1343" s="2" t="s">
        <v>3149</v>
      </c>
    </row>
    <row r="1344" ht="12.75" customHeight="1">
      <c r="A1344" s="3"/>
      <c r="B1344" s="3" t="str">
        <f t="shared" si="1"/>
        <v/>
      </c>
      <c r="C1344" s="2" t="s">
        <v>2801</v>
      </c>
    </row>
    <row r="1345" ht="12.75" customHeight="1">
      <c r="A1345" s="3" t="s">
        <v>2802</v>
      </c>
      <c r="B1345" s="3" t="str">
        <f t="shared" si="1"/>
        <v>0.1</v>
      </c>
      <c r="C1345" s="2" t="s">
        <v>2802</v>
      </c>
    </row>
    <row r="1346" ht="12.75" customHeight="1">
      <c r="A1346" s="3" t="s">
        <v>3150</v>
      </c>
      <c r="B1346" s="3" t="str">
        <f t="shared" si="1"/>
        <v>45, 45, SEEL</v>
      </c>
      <c r="C1346" s="2" t="s">
        <v>3150</v>
      </c>
    </row>
    <row r="1347" ht="12.75" customHeight="1">
      <c r="A1347" s="3" t="s">
        <v>3165</v>
      </c>
      <c r="B1347" s="3" t="str">
        <f t="shared" si="1"/>
        <v>27, 27, SWINUB</v>
      </c>
      <c r="C1347" s="2" t="s">
        <v>3165</v>
      </c>
    </row>
    <row r="1348" ht="12.75" customHeight="1">
      <c r="A1348" s="3" t="s">
        <v>3152</v>
      </c>
      <c r="B1348" s="3" t="str">
        <f t="shared" si="1"/>
        <v>40, 40, ZUBAT</v>
      </c>
      <c r="C1348" s="2" t="s">
        <v>3152</v>
      </c>
    </row>
    <row r="1349" ht="12.75" customHeight="1">
      <c r="A1349" s="3" t="s">
        <v>3166</v>
      </c>
      <c r="B1349" s="3" t="str">
        <f t="shared" si="1"/>
        <v>29, 29, SWINUB</v>
      </c>
      <c r="C1349" s="2" t="s">
        <v>3166</v>
      </c>
    </row>
    <row r="1350" ht="12.75" customHeight="1">
      <c r="A1350" s="3"/>
      <c r="B1350" s="3" t="str">
        <f t="shared" si="1"/>
        <v/>
      </c>
      <c r="C1350" s="2" t="s">
        <v>2801</v>
      </c>
    </row>
    <row r="1351" ht="12.75" customHeight="1">
      <c r="A1351" s="3" t="s">
        <v>2807</v>
      </c>
      <c r="B1351" s="3" t="str">
        <f t="shared" si="1"/>
        <v>0.05</v>
      </c>
      <c r="C1351" s="2" t="s">
        <v>2807</v>
      </c>
    </row>
    <row r="1352" ht="12.75" customHeight="1">
      <c r="A1352" s="3" t="s">
        <v>3167</v>
      </c>
      <c r="B1352" s="3" t="str">
        <f t="shared" si="1"/>
        <v>30, 30, SNEASEL</v>
      </c>
      <c r="C1352" s="2" t="s">
        <v>3167</v>
      </c>
    </row>
    <row r="1353" ht="12.75" customHeight="1">
      <c r="A1353" s="3" t="s">
        <v>3168</v>
      </c>
      <c r="B1353" s="3" t="str">
        <f t="shared" si="1"/>
        <v>31, 31, SWINUB</v>
      </c>
      <c r="C1353" s="2" t="s">
        <v>3168</v>
      </c>
    </row>
    <row r="1354" ht="12.75" customHeight="1">
      <c r="A1354" s="3"/>
      <c r="B1354" s="3" t="str">
        <f t="shared" si="1"/>
        <v/>
      </c>
      <c r="C1354" s="2" t="s">
        <v>2801</v>
      </c>
    </row>
    <row r="1355" ht="12.75" customHeight="1">
      <c r="A1355" s="3" t="s">
        <v>2810</v>
      </c>
      <c r="B1355" s="3" t="str">
        <f t="shared" si="1"/>
        <v>0.04</v>
      </c>
      <c r="C1355" s="2" t="s">
        <v>2810</v>
      </c>
    </row>
    <row r="1356" ht="12.75" customHeight="1">
      <c r="A1356" s="3" t="s">
        <v>3156</v>
      </c>
      <c r="B1356" s="3" t="str">
        <f t="shared" si="1"/>
        <v>48, 48, GOLBAT</v>
      </c>
      <c r="C1356" s="2" t="s">
        <v>3156</v>
      </c>
    </row>
    <row r="1357" ht="12.75" customHeight="1">
      <c r="A1357" s="3" t="s">
        <v>3169</v>
      </c>
      <c r="B1357" s="3" t="str">
        <f t="shared" si="1"/>
        <v>23, 23, SWINUB</v>
      </c>
      <c r="C1357" s="2" t="s">
        <v>3169</v>
      </c>
    </row>
    <row r="1358" ht="12.75" customHeight="1">
      <c r="A1358" s="3"/>
      <c r="B1358" s="3" t="str">
        <f t="shared" si="1"/>
        <v/>
      </c>
      <c r="C1358" s="2" t="s">
        <v>2801</v>
      </c>
    </row>
    <row r="1359" ht="12.75" customHeight="1">
      <c r="A1359" s="3" t="s">
        <v>2813</v>
      </c>
      <c r="B1359" s="3" t="str">
        <f t="shared" si="1"/>
        <v>0.01</v>
      </c>
      <c r="C1359" s="2" t="s">
        <v>2813</v>
      </c>
    </row>
    <row r="1360" ht="12.75" customHeight="1">
      <c r="A1360" s="3" t="s">
        <v>3156</v>
      </c>
      <c r="B1360" s="3" t="str">
        <f t="shared" si="1"/>
        <v>48, 48, GOLBAT</v>
      </c>
      <c r="C1360" s="2" t="s">
        <v>3156</v>
      </c>
    </row>
    <row r="1361" ht="12.75" customHeight="1">
      <c r="A1361" s="3" t="s">
        <v>3170</v>
      </c>
      <c r="B1361" s="3" t="str">
        <f t="shared" si="1"/>
        <v>23, 23, SWINUB , &lt;null&gt;, &lt;null&gt;, &lt;null&gt;</v>
      </c>
      <c r="C1361" s="2" t="s">
        <v>3170</v>
      </c>
    </row>
    <row r="1362" ht="12.75" customHeight="1">
      <c r="A1362" s="3"/>
      <c r="B1362" s="3" t="str">
        <f t="shared" si="1"/>
        <v/>
      </c>
      <c r="C1362" s="2" t="s">
        <v>2801</v>
      </c>
    </row>
    <row r="1363" ht="12.75" customHeight="1">
      <c r="A1363" s="3" t="s">
        <v>2539</v>
      </c>
      <c r="B1363" s="3" t="str">
        <f t="shared" si="1"/>
        <v>NEW ROUTE</v>
      </c>
      <c r="C1363" s="2" t="s">
        <v>2539</v>
      </c>
    </row>
    <row r="1364" ht="12.75" customHeight="1">
      <c r="A1364" s="3" t="s">
        <v>3172</v>
      </c>
      <c r="B1364" s="3" t="str">
        <f t="shared" si="1"/>
        <v>1, 113, 0,</v>
      </c>
      <c r="C1364" s="2" t="s">
        <v>3172</v>
      </c>
    </row>
    <row r="1365" ht="12.75" customHeight="1">
      <c r="A1365" s="3" t="s">
        <v>2817</v>
      </c>
      <c r="B1365" s="3" t="str">
        <f t="shared" si="1"/>
        <v>20%</v>
      </c>
      <c r="C1365" s="2" t="s">
        <v>2799</v>
      </c>
    </row>
    <row r="1366" ht="12.75" customHeight="1">
      <c r="A1366" s="3" t="s">
        <v>742</v>
      </c>
      <c r="B1366" s="3" t="str">
        <f t="shared" si="1"/>
        <v>43, 43, SEEL</v>
      </c>
      <c r="C1366" s="2" t="s">
        <v>742</v>
      </c>
    </row>
    <row r="1367" ht="12.75" customHeight="1">
      <c r="A1367" s="3" t="s">
        <v>3149</v>
      </c>
      <c r="B1367" s="3" t="str">
        <f t="shared" si="1"/>
        <v>45, 45, GOLBAT</v>
      </c>
      <c r="C1367" s="2" t="s">
        <v>3149</v>
      </c>
    </row>
    <row r="1368" ht="12.75" customHeight="1">
      <c r="A1368" s="3"/>
      <c r="B1368" s="3" t="str">
        <f t="shared" si="1"/>
        <v/>
      </c>
      <c r="C1368" s="2" t="s">
        <v>2801</v>
      </c>
    </row>
    <row r="1369" ht="12.75" customHeight="1">
      <c r="A1369" s="3" t="s">
        <v>2802</v>
      </c>
      <c r="B1369" s="3" t="str">
        <f t="shared" si="1"/>
        <v>0.1</v>
      </c>
      <c r="C1369" s="2" t="s">
        <v>2802</v>
      </c>
    </row>
    <row r="1370" ht="12.75" customHeight="1">
      <c r="A1370" s="3" t="s">
        <v>3150</v>
      </c>
      <c r="B1370" s="3" t="str">
        <f t="shared" si="1"/>
        <v>45, 45, SEEL</v>
      </c>
      <c r="C1370" s="2" t="s">
        <v>3150</v>
      </c>
    </row>
    <row r="1371" ht="12.75" customHeight="1">
      <c r="A1371" s="3" t="s">
        <v>3151</v>
      </c>
      <c r="B1371" s="3" t="str">
        <f t="shared" si="1"/>
        <v>47, 47, SEEL</v>
      </c>
      <c r="C1371" s="2" t="s">
        <v>3151</v>
      </c>
    </row>
    <row r="1372" ht="12.75" customHeight="1">
      <c r="A1372" s="3" t="s">
        <v>3152</v>
      </c>
      <c r="B1372" s="3" t="str">
        <f t="shared" si="1"/>
        <v>40, 40, ZUBAT</v>
      </c>
      <c r="C1372" s="2" t="s">
        <v>3152</v>
      </c>
    </row>
    <row r="1373" ht="12.75" customHeight="1">
      <c r="A1373" s="3" t="s">
        <v>3153</v>
      </c>
      <c r="B1373" s="3" t="str">
        <f t="shared" si="1"/>
        <v>49, 49, DEWGONG</v>
      </c>
      <c r="C1373" s="2" t="s">
        <v>3153</v>
      </c>
    </row>
    <row r="1374" ht="12.75" customHeight="1">
      <c r="A1374" s="3"/>
      <c r="B1374" s="3" t="str">
        <f t="shared" si="1"/>
        <v/>
      </c>
      <c r="C1374" s="2" t="s">
        <v>2801</v>
      </c>
    </row>
    <row r="1375" ht="12.75" customHeight="1">
      <c r="A1375" s="3" t="s">
        <v>2807</v>
      </c>
      <c r="B1375" s="3" t="str">
        <f t="shared" si="1"/>
        <v>0.05</v>
      </c>
      <c r="C1375" s="2" t="s">
        <v>2807</v>
      </c>
    </row>
    <row r="1376" ht="12.75" customHeight="1">
      <c r="A1376" s="3" t="s">
        <v>3154</v>
      </c>
      <c r="B1376" s="3" t="str">
        <f t="shared" si="1"/>
        <v>51, 51, DEWGONG</v>
      </c>
      <c r="C1376" s="2" t="s">
        <v>3154</v>
      </c>
    </row>
    <row r="1377" ht="12.75" customHeight="1">
      <c r="A1377" s="3" t="s">
        <v>3155</v>
      </c>
      <c r="B1377" s="3" t="str">
        <f t="shared" si="1"/>
        <v>41, 41, SLOWPOKE</v>
      </c>
      <c r="C1377" s="2" t="s">
        <v>3155</v>
      </c>
    </row>
    <row r="1378" ht="12.75" customHeight="1">
      <c r="A1378" s="3"/>
      <c r="B1378" s="3" t="str">
        <f t="shared" si="1"/>
        <v/>
      </c>
      <c r="C1378" s="2" t="s">
        <v>2801</v>
      </c>
    </row>
    <row r="1379" ht="12.75" customHeight="1">
      <c r="A1379" s="3" t="s">
        <v>2810</v>
      </c>
      <c r="B1379" s="3" t="str">
        <f t="shared" si="1"/>
        <v>0.04</v>
      </c>
      <c r="C1379" s="2" t="s">
        <v>2810</v>
      </c>
    </row>
    <row r="1380" ht="12.75" customHeight="1">
      <c r="A1380" s="3" t="s">
        <v>3156</v>
      </c>
      <c r="B1380" s="3" t="str">
        <f t="shared" si="1"/>
        <v>48, 48, GOLBAT</v>
      </c>
      <c r="C1380" s="2" t="s">
        <v>3156</v>
      </c>
    </row>
    <row r="1381" ht="12.75" customHeight="1">
      <c r="A1381" s="3" t="s">
        <v>3157</v>
      </c>
      <c r="B1381" s="3" t="str">
        <f t="shared" si="1"/>
        <v>53, 53, DEWGONG</v>
      </c>
      <c r="C1381" s="2" t="s">
        <v>3157</v>
      </c>
    </row>
    <row r="1382" ht="12.75" customHeight="1">
      <c r="A1382" s="3"/>
      <c r="B1382" s="3" t="str">
        <f t="shared" si="1"/>
        <v/>
      </c>
      <c r="C1382" s="2" t="s">
        <v>2801</v>
      </c>
    </row>
    <row r="1383" ht="12.75" customHeight="1">
      <c r="A1383" s="3" t="s">
        <v>2813</v>
      </c>
      <c r="B1383" s="3" t="str">
        <f t="shared" si="1"/>
        <v>0.01</v>
      </c>
      <c r="C1383" s="2" t="s">
        <v>2813</v>
      </c>
    </row>
    <row r="1384" ht="12.75" customHeight="1">
      <c r="A1384" s="3" t="s">
        <v>3156</v>
      </c>
      <c r="B1384" s="3" t="str">
        <f t="shared" si="1"/>
        <v>48, 48, GOLBAT</v>
      </c>
      <c r="C1384" s="2" t="s">
        <v>3156</v>
      </c>
    </row>
    <row r="1385" ht="12.75" customHeight="1">
      <c r="A1385" s="3" t="s">
        <v>3157</v>
      </c>
      <c r="B1385" s="3" t="str">
        <f t="shared" si="1"/>
        <v>53, 53, DEWGONG</v>
      </c>
      <c r="C1385" s="2" t="s">
        <v>3157</v>
      </c>
    </row>
    <row r="1386" ht="12.75" customHeight="1">
      <c r="A1386" s="3" t="s">
        <v>3173</v>
      </c>
      <c r="B1386" s="3" t="str">
        <f t="shared" si="1"/>
        <v>2, 5, 20, TENTACOOL</v>
      </c>
      <c r="C1386" s="2" t="s">
        <v>3173</v>
      </c>
    </row>
    <row r="1387" ht="12.75" customHeight="1">
      <c r="A1387" s="3" t="s">
        <v>3174</v>
      </c>
      <c r="B1387" s="3" t="str">
        <f t="shared" si="1"/>
        <v>20, 35, TENTACOOL</v>
      </c>
      <c r="C1387" s="2" t="s">
        <v>3174</v>
      </c>
    </row>
    <row r="1388" ht="12.75" customHeight="1">
      <c r="A1388" s="3" t="s">
        <v>3175</v>
      </c>
      <c r="B1388" s="3" t="str">
        <f t="shared" si="1"/>
        <v>35, 45, TENTACOOL</v>
      </c>
      <c r="C1388" s="2" t="s">
        <v>3175</v>
      </c>
    </row>
    <row r="1389" ht="12.75" customHeight="1">
      <c r="A1389" s="3" t="s">
        <v>3176</v>
      </c>
      <c r="B1389" s="3" t="str">
        <f t="shared" si="1"/>
        <v>35, 45, TENTACRUEL</v>
      </c>
      <c r="C1389" s="2" t="s">
        <v>3176</v>
      </c>
    </row>
    <row r="1390" ht="12.75" customHeight="1">
      <c r="A1390" s="3" t="s">
        <v>3177</v>
      </c>
      <c r="B1390" s="3" t="str">
        <f t="shared" si="1"/>
        <v>30, 45, LAPRAS</v>
      </c>
      <c r="C1390" s="2" t="s">
        <v>3177</v>
      </c>
    </row>
    <row r="1391" ht="12.75" customHeight="1">
      <c r="A1391" s="3" t="s">
        <v>2926</v>
      </c>
      <c r="B1391" s="3" t="str">
        <f t="shared" si="1"/>
        <v>20, old rod:</v>
      </c>
      <c r="C1391" s="2" t="s">
        <v>2926</v>
      </c>
    </row>
    <row r="1392" ht="12.75" customHeight="1">
      <c r="A1392" s="3" t="s">
        <v>417</v>
      </c>
      <c r="B1392" s="3" t="str">
        <f t="shared" si="1"/>
        <v>5, 5, MAGIKARP</v>
      </c>
      <c r="C1392" s="2" t="s">
        <v>417</v>
      </c>
    </row>
    <row r="1393" ht="12.75" customHeight="1">
      <c r="A1393" s="3" t="s">
        <v>417</v>
      </c>
      <c r="B1393" s="3" t="str">
        <f t="shared" si="1"/>
        <v>5, 5, MAGIKARP</v>
      </c>
      <c r="C1393" s="2" t="s">
        <v>417</v>
      </c>
    </row>
    <row r="1394" ht="12.75" customHeight="1">
      <c r="A1394" s="3"/>
      <c r="B1394" s="3" t="str">
        <f t="shared" si="1"/>
        <v/>
      </c>
      <c r="C1394" s="2" t="s">
        <v>2801</v>
      </c>
    </row>
    <row r="1395" ht="12.75" customHeight="1">
      <c r="A1395" s="3" t="s">
        <v>2847</v>
      </c>
      <c r="B1395" s="3" t="str">
        <f t="shared" si="1"/>
        <v>good rod:</v>
      </c>
      <c r="C1395" s="2" t="s">
        <v>2847</v>
      </c>
    </row>
    <row r="1396" ht="12.75" customHeight="1">
      <c r="A1396" s="3" t="s">
        <v>2848</v>
      </c>
      <c r="B1396" s="3" t="str">
        <f t="shared" si="1"/>
        <v>5, 15, KRABBY</v>
      </c>
      <c r="C1396" s="2" t="s">
        <v>2848</v>
      </c>
    </row>
    <row r="1397" ht="12.75" customHeight="1">
      <c r="A1397" s="3" t="s">
        <v>2849</v>
      </c>
      <c r="B1397" s="3" t="str">
        <f t="shared" si="1"/>
        <v>5, 15, MAGIKARP</v>
      </c>
      <c r="C1397" s="2" t="s">
        <v>2849</v>
      </c>
    </row>
    <row r="1398" ht="12.75" customHeight="1">
      <c r="A1398" s="3" t="s">
        <v>2848</v>
      </c>
      <c r="B1398" s="3" t="str">
        <f t="shared" si="1"/>
        <v>5, 15, KRABBY</v>
      </c>
      <c r="C1398" s="2" t="s">
        <v>2848</v>
      </c>
    </row>
    <row r="1399" ht="12.75" customHeight="1">
      <c r="A1399" s="3"/>
      <c r="B1399" s="3" t="str">
        <f t="shared" si="1"/>
        <v/>
      </c>
      <c r="C1399" s="2" t="s">
        <v>2801</v>
      </c>
    </row>
    <row r="1400" ht="12.75" customHeight="1">
      <c r="A1400" s="3" t="s">
        <v>2851</v>
      </c>
      <c r="B1400" s="3" t="str">
        <f t="shared" si="1"/>
        <v>super rod:</v>
      </c>
      <c r="C1400" s="2" t="s">
        <v>2851</v>
      </c>
    </row>
    <row r="1401" ht="12.75" customHeight="1">
      <c r="A1401" s="3" t="s">
        <v>2852</v>
      </c>
      <c r="B1401" s="3" t="str">
        <f t="shared" si="1"/>
        <v>15, 25, KRABBY</v>
      </c>
      <c r="C1401" s="2" t="s">
        <v>2852</v>
      </c>
    </row>
    <row r="1402" ht="12.75" customHeight="1">
      <c r="A1402" s="3" t="s">
        <v>2853</v>
      </c>
      <c r="B1402" s="3" t="str">
        <f t="shared" si="1"/>
        <v>15, 25, STARYU</v>
      </c>
      <c r="C1402" s="2" t="s">
        <v>2853</v>
      </c>
    </row>
    <row r="1403" ht="12.75" customHeight="1">
      <c r="A1403" s="3" t="s">
        <v>2854</v>
      </c>
      <c r="B1403" s="3" t="str">
        <f t="shared" si="1"/>
        <v>15, 25, GYARADOS</v>
      </c>
      <c r="C1403" s="2" t="s">
        <v>2854</v>
      </c>
    </row>
    <row r="1404" ht="12.75" customHeight="1">
      <c r="A1404" s="3" t="s">
        <v>3178</v>
      </c>
      <c r="B1404" s="3" t="str">
        <f t="shared" si="1"/>
        <v>25, 35, KINGLER</v>
      </c>
      <c r="C1404" s="2" t="s">
        <v>3178</v>
      </c>
    </row>
    <row r="1405" ht="12.75" customHeight="1">
      <c r="A1405" s="3" t="s">
        <v>2856</v>
      </c>
      <c r="B1405" s="3" t="str">
        <f t="shared" si="1"/>
        <v>25, 35, SLOWPOKE</v>
      </c>
      <c r="C1405" s="2" t="s">
        <v>2856</v>
      </c>
    </row>
    <row r="1406" ht="12.75" customHeight="1">
      <c r="A1406" s="3" t="s">
        <v>2539</v>
      </c>
      <c r="B1406" s="3" t="str">
        <f t="shared" si="1"/>
        <v>NEW ROUTE</v>
      </c>
      <c r="C1406" s="2" t="s">
        <v>2539</v>
      </c>
    </row>
    <row r="1407" ht="12.75" customHeight="1">
      <c r="A1407" s="3" t="s">
        <v>3179</v>
      </c>
      <c r="B1407" s="3" t="str">
        <f t="shared" si="1"/>
        <v>1, 121, 0,</v>
      </c>
      <c r="C1407" s="2" t="s">
        <v>3179</v>
      </c>
    </row>
    <row r="1408" ht="12.75" customHeight="1">
      <c r="A1408" s="3" t="s">
        <v>2909</v>
      </c>
      <c r="B1408" s="3" t="str">
        <f t="shared" si="1"/>
        <v>20%</v>
      </c>
      <c r="C1408" s="2" t="s">
        <v>2799</v>
      </c>
    </row>
    <row r="1409" ht="12.75" customHeight="1">
      <c r="A1409" s="3" t="s">
        <v>776</v>
      </c>
      <c r="B1409" s="3" t="str">
        <f t="shared" si="1"/>
        <v>9, 9, LEDYBA</v>
      </c>
      <c r="C1409" s="2" t="s">
        <v>776</v>
      </c>
    </row>
    <row r="1410" ht="12.75" customHeight="1">
      <c r="A1410" s="3" t="s">
        <v>3180</v>
      </c>
      <c r="B1410" s="3" t="str">
        <f t="shared" si="1"/>
        <v>9, 9, KAKUNA</v>
      </c>
      <c r="C1410" s="2" t="s">
        <v>3180</v>
      </c>
    </row>
    <row r="1411" ht="12.75" customHeight="1">
      <c r="A1411" s="3"/>
      <c r="B1411" s="3" t="str">
        <f t="shared" si="1"/>
        <v/>
      </c>
      <c r="C1411" s="2" t="s">
        <v>2801</v>
      </c>
    </row>
    <row r="1412" ht="12.75" customHeight="1">
      <c r="A1412" s="3" t="s">
        <v>2802</v>
      </c>
      <c r="B1412" s="3" t="str">
        <f t="shared" si="1"/>
        <v>0.1</v>
      </c>
      <c r="C1412" s="2" t="s">
        <v>2802</v>
      </c>
    </row>
    <row r="1413" ht="12.75" customHeight="1">
      <c r="A1413" s="3" t="s">
        <v>3181</v>
      </c>
      <c r="B1413" s="3" t="str">
        <f t="shared" si="1"/>
        <v>14, 14, LEDYBA</v>
      </c>
      <c r="C1413" s="2" t="s">
        <v>3181</v>
      </c>
    </row>
    <row r="1414" ht="12.75" customHeight="1">
      <c r="A1414" s="3" t="s">
        <v>3182</v>
      </c>
      <c r="B1414" s="3" t="str">
        <f t="shared" si="1"/>
        <v>6, 6, CATERPIE</v>
      </c>
      <c r="C1414" s="2" t="s">
        <v>3182</v>
      </c>
    </row>
    <row r="1415" ht="12.75" customHeight="1">
      <c r="A1415" s="3" t="s">
        <v>3183</v>
      </c>
      <c r="B1415" s="3" t="str">
        <f t="shared" si="1"/>
        <v>6, 6, WEEDLE</v>
      </c>
      <c r="C1415" s="2" t="s">
        <v>3183</v>
      </c>
    </row>
    <row r="1416" ht="12.75" customHeight="1">
      <c r="A1416" s="3" t="s">
        <v>3184</v>
      </c>
      <c r="B1416" s="3" t="str">
        <f t="shared" si="1"/>
        <v>15, 15, HERACROSS</v>
      </c>
      <c r="C1416" s="2" t="s">
        <v>3184</v>
      </c>
    </row>
    <row r="1417" ht="12.75" customHeight="1">
      <c r="A1417" s="3"/>
      <c r="B1417" s="3" t="str">
        <f t="shared" si="1"/>
        <v/>
      </c>
      <c r="C1417" s="2" t="s">
        <v>2801</v>
      </c>
    </row>
    <row r="1418" ht="12.75" customHeight="1">
      <c r="A1418" s="3" t="s">
        <v>2807</v>
      </c>
      <c r="B1418" s="3" t="str">
        <f t="shared" si="1"/>
        <v>0.05</v>
      </c>
      <c r="C1418" s="2" t="s">
        <v>2807</v>
      </c>
    </row>
    <row r="1419" ht="12.75" customHeight="1">
      <c r="A1419" s="3" t="s">
        <v>3185</v>
      </c>
      <c r="B1419" s="3" t="str">
        <f t="shared" si="1"/>
        <v>9, 9, METAPOD</v>
      </c>
      <c r="C1419" s="2" t="s">
        <v>3185</v>
      </c>
    </row>
    <row r="1420" ht="12.75" customHeight="1">
      <c r="A1420" s="3" t="s">
        <v>3186</v>
      </c>
      <c r="B1420" s="3" t="str">
        <f t="shared" si="1"/>
        <v>20, 20, HERACROSS</v>
      </c>
      <c r="C1420" s="2" t="s">
        <v>3186</v>
      </c>
    </row>
    <row r="1421" ht="12.75" customHeight="1">
      <c r="A1421" s="3"/>
      <c r="B1421" s="3" t="str">
        <f t="shared" si="1"/>
        <v/>
      </c>
      <c r="C1421" s="2" t="s">
        <v>2801</v>
      </c>
    </row>
    <row r="1422" ht="12.75" customHeight="1">
      <c r="A1422" s="3" t="s">
        <v>2810</v>
      </c>
      <c r="B1422" s="3" t="str">
        <f t="shared" si="1"/>
        <v>0.04</v>
      </c>
      <c r="C1422" s="2" t="s">
        <v>2810</v>
      </c>
    </row>
    <row r="1423" ht="12.75" customHeight="1">
      <c r="A1423" s="3" t="s">
        <v>3187</v>
      </c>
      <c r="B1423" s="3" t="str">
        <f t="shared" si="1"/>
        <v>9, 9, SPINARAK</v>
      </c>
      <c r="C1423" s="2" t="s">
        <v>3187</v>
      </c>
    </row>
    <row r="1424" ht="12.75" customHeight="1">
      <c r="A1424" s="3" t="s">
        <v>3188</v>
      </c>
      <c r="B1424" s="3" t="str">
        <f t="shared" si="1"/>
        <v>25, 25, HERACROSS</v>
      </c>
      <c r="C1424" s="2" t="s">
        <v>3188</v>
      </c>
    </row>
    <row r="1425" ht="12.75" customHeight="1">
      <c r="A1425" s="3"/>
      <c r="B1425" s="3" t="str">
        <f t="shared" si="1"/>
        <v/>
      </c>
      <c r="C1425" s="2" t="s">
        <v>2801</v>
      </c>
    </row>
    <row r="1426" ht="12.75" customHeight="1">
      <c r="A1426" s="3" t="s">
        <v>2813</v>
      </c>
      <c r="B1426" s="3" t="str">
        <f t="shared" si="1"/>
        <v>0.01</v>
      </c>
      <c r="C1426" s="2" t="s">
        <v>2813</v>
      </c>
    </row>
    <row r="1427" ht="12.75" customHeight="1">
      <c r="A1427" s="3" t="s">
        <v>3189</v>
      </c>
      <c r="B1427" s="3" t="str">
        <f t="shared" si="1"/>
        <v>14, 14, SPINARAK</v>
      </c>
      <c r="C1427" s="2" t="s">
        <v>3189</v>
      </c>
    </row>
    <row r="1428" ht="12.75" customHeight="1">
      <c r="A1428" s="3" t="s">
        <v>3190</v>
      </c>
      <c r="B1428" s="3" t="str">
        <f t="shared" si="1"/>
        <v>30, 30, HERACROSS , &lt;null&gt;, &lt;null&gt;, &lt;null&gt;</v>
      </c>
      <c r="C1428" s="2" t="s">
        <v>3190</v>
      </c>
    </row>
    <row r="1429" ht="12.75" customHeight="1">
      <c r="A1429" s="3"/>
      <c r="B1429" s="3" t="str">
        <f t="shared" si="1"/>
        <v/>
      </c>
      <c r="C1429" s="2" t="s">
        <v>2801</v>
      </c>
    </row>
    <row r="1430" ht="12.75" customHeight="1">
      <c r="A1430" s="3" t="s">
        <v>2539</v>
      </c>
      <c r="B1430" s="3" t="str">
        <f t="shared" si="1"/>
        <v>NEW ROUTE</v>
      </c>
      <c r="C1430" s="2" t="s">
        <v>2539</v>
      </c>
    </row>
    <row r="1431" ht="12.75" customHeight="1">
      <c r="A1431" s="3" t="s">
        <v>3191</v>
      </c>
      <c r="B1431" s="3" t="str">
        <f t="shared" si="1"/>
        <v>2, 13, 0,</v>
      </c>
      <c r="C1431" s="2" t="s">
        <v>3191</v>
      </c>
    </row>
    <row r="1432" ht="12.75" customHeight="1">
      <c r="A1432" s="3" t="s">
        <v>3192</v>
      </c>
      <c r="B1432" s="3" t="str">
        <f t="shared" si="1"/>
        <v>20%</v>
      </c>
      <c r="C1432" s="2" t="s">
        <v>2799</v>
      </c>
    </row>
    <row r="1433" ht="12.75" customHeight="1">
      <c r="A1433" s="3" t="s">
        <v>789</v>
      </c>
      <c r="B1433" s="3" t="str">
        <f t="shared" si="1"/>
        <v>40, 40, GASTLY</v>
      </c>
      <c r="C1433" s="2" t="s">
        <v>789</v>
      </c>
    </row>
    <row r="1434" ht="12.75" customHeight="1">
      <c r="A1434" s="3" t="s">
        <v>3193</v>
      </c>
      <c r="B1434" s="3" t="str">
        <f t="shared" si="1"/>
        <v>37, 37, ZUBAT</v>
      </c>
      <c r="C1434" s="2" t="s">
        <v>3193</v>
      </c>
    </row>
    <row r="1435" ht="12.75" customHeight="1">
      <c r="A1435" s="3"/>
      <c r="B1435" s="3" t="str">
        <f t="shared" si="1"/>
        <v/>
      </c>
      <c r="C1435" s="2" t="s">
        <v>2801</v>
      </c>
    </row>
    <row r="1436" ht="12.75" customHeight="1">
      <c r="A1436" s="3" t="s">
        <v>2802</v>
      </c>
      <c r="B1436" s="3" t="str">
        <f t="shared" si="1"/>
        <v>0.1</v>
      </c>
      <c r="C1436" s="2" t="s">
        <v>2802</v>
      </c>
    </row>
    <row r="1437" ht="12.75" customHeight="1">
      <c r="A1437" s="3" t="s">
        <v>3194</v>
      </c>
      <c r="B1437" s="3" t="str">
        <f t="shared" si="1"/>
        <v>44, 44, HAUNTER</v>
      </c>
      <c r="C1437" s="2" t="s">
        <v>3194</v>
      </c>
    </row>
    <row r="1438" ht="12.75" customHeight="1">
      <c r="A1438" s="3" t="s">
        <v>3195</v>
      </c>
      <c r="B1438" s="3" t="str">
        <f t="shared" si="1"/>
        <v>46, 46, HAUNTER</v>
      </c>
      <c r="C1438" s="2" t="s">
        <v>3195</v>
      </c>
    </row>
    <row r="1439" ht="12.75" customHeight="1">
      <c r="A1439" s="3" t="s">
        <v>3196</v>
      </c>
      <c r="B1439" s="3" t="str">
        <f t="shared" si="1"/>
        <v>41, 41, GOLBAT</v>
      </c>
      <c r="C1439" s="2" t="s">
        <v>3196</v>
      </c>
    </row>
    <row r="1440" ht="12.75" customHeight="1">
      <c r="A1440" s="3" t="s">
        <v>3197</v>
      </c>
      <c r="B1440" s="3" t="str">
        <f t="shared" si="1"/>
        <v>43, 43, GOLBAT</v>
      </c>
      <c r="C1440" s="2" t="s">
        <v>3197</v>
      </c>
    </row>
    <row r="1441" ht="12.75" customHeight="1">
      <c r="A1441" s="3"/>
      <c r="B1441" s="3" t="str">
        <f t="shared" si="1"/>
        <v/>
      </c>
      <c r="C1441" s="2" t="s">
        <v>2801</v>
      </c>
    </row>
    <row r="1442" ht="12.75" customHeight="1">
      <c r="A1442" s="3" t="s">
        <v>2807</v>
      </c>
      <c r="B1442" s="3" t="str">
        <f t="shared" si="1"/>
        <v>0.05</v>
      </c>
      <c r="C1442" s="2" t="s">
        <v>2807</v>
      </c>
    </row>
    <row r="1443" ht="12.75" customHeight="1">
      <c r="A1443" s="3" t="s">
        <v>3198</v>
      </c>
      <c r="B1443" s="3" t="str">
        <f t="shared" si="1"/>
        <v>38, 38, GASTLY</v>
      </c>
      <c r="C1443" s="2" t="s">
        <v>3198</v>
      </c>
    </row>
    <row r="1444" ht="12.75" customHeight="1">
      <c r="A1444" s="3" t="s">
        <v>3199</v>
      </c>
      <c r="B1444" s="3" t="str">
        <f t="shared" si="1"/>
        <v>48, 48, HAUNTER</v>
      </c>
      <c r="C1444" s="2" t="s">
        <v>3199</v>
      </c>
    </row>
    <row r="1445" ht="12.75" customHeight="1">
      <c r="A1445" s="3"/>
      <c r="B1445" s="3" t="str">
        <f t="shared" si="1"/>
        <v/>
      </c>
      <c r="C1445" s="2" t="s">
        <v>2801</v>
      </c>
    </row>
    <row r="1446" ht="12.75" customHeight="1">
      <c r="A1446" s="3" t="s">
        <v>2810</v>
      </c>
      <c r="B1446" s="3" t="str">
        <f t="shared" si="1"/>
        <v>0.04</v>
      </c>
      <c r="C1446" s="2" t="s">
        <v>2810</v>
      </c>
    </row>
    <row r="1447" ht="12.75" customHeight="1">
      <c r="A1447" s="3" t="s">
        <v>3200</v>
      </c>
      <c r="B1447" s="3" t="str">
        <f t="shared" si="1"/>
        <v>50, 50, HAUNTER</v>
      </c>
      <c r="C1447" s="2" t="s">
        <v>3200</v>
      </c>
    </row>
    <row r="1448" ht="12.75" customHeight="1">
      <c r="A1448" s="3" t="s">
        <v>3201</v>
      </c>
      <c r="B1448" s="3" t="str">
        <f t="shared" si="1"/>
        <v>22, 22, MISDREAVUS</v>
      </c>
      <c r="C1448" s="2" t="s">
        <v>3201</v>
      </c>
    </row>
    <row r="1449" ht="12.75" customHeight="1">
      <c r="A1449" s="3"/>
      <c r="B1449" s="3" t="str">
        <f t="shared" si="1"/>
        <v/>
      </c>
      <c r="C1449" s="2" t="s">
        <v>2801</v>
      </c>
    </row>
    <row r="1450" ht="12.75" customHeight="1">
      <c r="A1450" s="3" t="s">
        <v>2813</v>
      </c>
      <c r="B1450" s="3" t="str">
        <f t="shared" si="1"/>
        <v>0.01</v>
      </c>
      <c r="C1450" s="2" t="s">
        <v>2813</v>
      </c>
    </row>
    <row r="1451" ht="12.75" customHeight="1">
      <c r="A1451" s="3" t="s">
        <v>3202</v>
      </c>
      <c r="B1451" s="3" t="str">
        <f t="shared" si="1"/>
        <v>52, 52, HAUNTER</v>
      </c>
      <c r="C1451" s="2" t="s">
        <v>3202</v>
      </c>
    </row>
    <row r="1452" ht="12.75" customHeight="1">
      <c r="A1452" s="3" t="s">
        <v>3203</v>
      </c>
      <c r="B1452" s="3" t="str">
        <f t="shared" si="1"/>
        <v>22, 22, MISDREAVUS , &lt;null&gt;, &lt;null&gt;, &lt;null&gt;</v>
      </c>
      <c r="C1452" s="2" t="s">
        <v>3203</v>
      </c>
    </row>
    <row r="1453" ht="12.75" customHeight="1">
      <c r="A1453" s="3"/>
      <c r="B1453" s="3" t="str">
        <f t="shared" si="1"/>
        <v/>
      </c>
      <c r="C1453" s="2" t="s">
        <v>2801</v>
      </c>
    </row>
    <row r="1454" ht="12.75" customHeight="1">
      <c r="A1454" s="3" t="s">
        <v>2539</v>
      </c>
      <c r="B1454" s="3" t="str">
        <f t="shared" si="1"/>
        <v>NEW ROUTE</v>
      </c>
      <c r="C1454" s="2" t="s">
        <v>2539</v>
      </c>
    </row>
    <row r="1455" ht="12.75" customHeight="1">
      <c r="A1455" s="3" t="s">
        <v>3204</v>
      </c>
      <c r="B1455" s="3" t="str">
        <f t="shared" si="1"/>
        <v>2, 14, 0,</v>
      </c>
      <c r="C1455" s="2" t="s">
        <v>3204</v>
      </c>
    </row>
    <row r="1456" ht="12.75" customHeight="1">
      <c r="A1456" s="3" t="s">
        <v>3037</v>
      </c>
      <c r="B1456" s="3" t="str">
        <f t="shared" si="1"/>
        <v>20%</v>
      </c>
      <c r="C1456" s="2" t="s">
        <v>2799</v>
      </c>
    </row>
    <row r="1457" ht="12.75" customHeight="1">
      <c r="A1457" s="3" t="s">
        <v>789</v>
      </c>
      <c r="B1457" s="3" t="str">
        <f t="shared" si="1"/>
        <v>40, 40, GASTLY</v>
      </c>
      <c r="C1457" s="2" t="s">
        <v>789</v>
      </c>
    </row>
    <row r="1458" ht="12.75" customHeight="1">
      <c r="A1458" s="3" t="s">
        <v>3193</v>
      </c>
      <c r="B1458" s="3" t="str">
        <f t="shared" si="1"/>
        <v>37, 37, ZUBAT</v>
      </c>
      <c r="C1458" s="2" t="s">
        <v>3193</v>
      </c>
    </row>
    <row r="1459" ht="12.75" customHeight="1">
      <c r="A1459" s="3"/>
      <c r="B1459" s="3" t="str">
        <f t="shared" si="1"/>
        <v/>
      </c>
      <c r="C1459" s="2" t="s">
        <v>2801</v>
      </c>
    </row>
    <row r="1460" ht="12.75" customHeight="1">
      <c r="A1460" s="3" t="s">
        <v>2802</v>
      </c>
      <c r="B1460" s="3" t="str">
        <f t="shared" si="1"/>
        <v>0.1</v>
      </c>
      <c r="C1460" s="2" t="s">
        <v>2802</v>
      </c>
    </row>
    <row r="1461" ht="12.75" customHeight="1">
      <c r="A1461" s="3" t="s">
        <v>3194</v>
      </c>
      <c r="B1461" s="3" t="str">
        <f t="shared" si="1"/>
        <v>44, 44, HAUNTER</v>
      </c>
      <c r="C1461" s="2" t="s">
        <v>3194</v>
      </c>
    </row>
    <row r="1462" ht="12.75" customHeight="1">
      <c r="A1462" s="3" t="s">
        <v>3195</v>
      </c>
      <c r="B1462" s="3" t="str">
        <f t="shared" si="1"/>
        <v>46, 46, HAUNTER</v>
      </c>
      <c r="C1462" s="2" t="s">
        <v>3195</v>
      </c>
    </row>
    <row r="1463" ht="12.75" customHeight="1">
      <c r="A1463" s="3" t="s">
        <v>3196</v>
      </c>
      <c r="B1463" s="3" t="str">
        <f t="shared" si="1"/>
        <v>41, 41, GOLBAT</v>
      </c>
      <c r="C1463" s="2" t="s">
        <v>3196</v>
      </c>
    </row>
    <row r="1464" ht="12.75" customHeight="1">
      <c r="A1464" s="3" t="s">
        <v>3197</v>
      </c>
      <c r="B1464" s="3" t="str">
        <f t="shared" si="1"/>
        <v>43, 43, GOLBAT</v>
      </c>
      <c r="C1464" s="2" t="s">
        <v>3197</v>
      </c>
    </row>
    <row r="1465" ht="12.75" customHeight="1">
      <c r="A1465" s="3"/>
      <c r="B1465" s="3" t="str">
        <f t="shared" si="1"/>
        <v/>
      </c>
      <c r="C1465" s="2" t="s">
        <v>2801</v>
      </c>
    </row>
    <row r="1466" ht="12.75" customHeight="1">
      <c r="A1466" s="3" t="s">
        <v>2807</v>
      </c>
      <c r="B1466" s="3" t="str">
        <f t="shared" si="1"/>
        <v>0.05</v>
      </c>
      <c r="C1466" s="2" t="s">
        <v>2807</v>
      </c>
    </row>
    <row r="1467" ht="12.75" customHeight="1">
      <c r="A1467" s="3" t="s">
        <v>3198</v>
      </c>
      <c r="B1467" s="3" t="str">
        <f t="shared" si="1"/>
        <v>38, 38, GASTLY</v>
      </c>
      <c r="C1467" s="2" t="s">
        <v>3198</v>
      </c>
    </row>
    <row r="1468" ht="12.75" customHeight="1">
      <c r="A1468" s="3" t="s">
        <v>3199</v>
      </c>
      <c r="B1468" s="3" t="str">
        <f t="shared" si="1"/>
        <v>48, 48, HAUNTER</v>
      </c>
      <c r="C1468" s="2" t="s">
        <v>3199</v>
      </c>
    </row>
    <row r="1469" ht="12.75" customHeight="1">
      <c r="A1469" s="3"/>
      <c r="B1469" s="3" t="str">
        <f t="shared" si="1"/>
        <v/>
      </c>
      <c r="C1469" s="2" t="s">
        <v>2801</v>
      </c>
    </row>
    <row r="1470" ht="12.75" customHeight="1">
      <c r="A1470" s="3" t="s">
        <v>2810</v>
      </c>
      <c r="B1470" s="3" t="str">
        <f t="shared" si="1"/>
        <v>0.04</v>
      </c>
      <c r="C1470" s="2" t="s">
        <v>2810</v>
      </c>
    </row>
    <row r="1471" ht="12.75" customHeight="1">
      <c r="A1471" s="3" t="s">
        <v>3200</v>
      </c>
      <c r="B1471" s="3" t="str">
        <f t="shared" si="1"/>
        <v>50, 50, HAUNTER</v>
      </c>
      <c r="C1471" s="2" t="s">
        <v>3200</v>
      </c>
    </row>
    <row r="1472" ht="12.75" customHeight="1">
      <c r="A1472" s="3" t="s">
        <v>3201</v>
      </c>
      <c r="B1472" s="3" t="str">
        <f t="shared" si="1"/>
        <v>22, 22, MISDREAVUS</v>
      </c>
      <c r="C1472" s="2" t="s">
        <v>3201</v>
      </c>
    </row>
    <row r="1473" ht="12.75" customHeight="1">
      <c r="A1473" s="3"/>
      <c r="B1473" s="3" t="str">
        <f t="shared" si="1"/>
        <v/>
      </c>
      <c r="C1473" s="2" t="s">
        <v>2801</v>
      </c>
    </row>
    <row r="1474" ht="12.75" customHeight="1">
      <c r="A1474" s="3" t="s">
        <v>2813</v>
      </c>
      <c r="B1474" s="3" t="str">
        <f t="shared" si="1"/>
        <v>0.01</v>
      </c>
      <c r="C1474" s="2" t="s">
        <v>2813</v>
      </c>
    </row>
    <row r="1475" ht="12.75" customHeight="1">
      <c r="A1475" s="3" t="s">
        <v>3202</v>
      </c>
      <c r="B1475" s="3" t="str">
        <f t="shared" si="1"/>
        <v>52, 52, HAUNTER</v>
      </c>
      <c r="C1475" s="2" t="s">
        <v>3202</v>
      </c>
    </row>
    <row r="1476" ht="12.75" customHeight="1">
      <c r="A1476" s="3" t="s">
        <v>3203</v>
      </c>
      <c r="B1476" s="3" t="str">
        <f t="shared" si="1"/>
        <v>22, 22, MISDREAVUS , &lt;null&gt;, &lt;null&gt;, &lt;null&gt;</v>
      </c>
      <c r="C1476" s="2" t="s">
        <v>3203</v>
      </c>
    </row>
    <row r="1477" ht="12.75" customHeight="1">
      <c r="A1477" s="3"/>
      <c r="B1477" s="3" t="str">
        <f t="shared" si="1"/>
        <v/>
      </c>
      <c r="C1477" s="2" t="s">
        <v>2801</v>
      </c>
    </row>
    <row r="1478" ht="12.75" customHeight="1">
      <c r="A1478" s="3" t="s">
        <v>2539</v>
      </c>
      <c r="B1478" s="3" t="str">
        <f t="shared" si="1"/>
        <v>NEW ROUTE</v>
      </c>
      <c r="C1478" s="2" t="s">
        <v>2539</v>
      </c>
    </row>
    <row r="1479" ht="12.75" customHeight="1">
      <c r="A1479" s="3" t="s">
        <v>3205</v>
      </c>
      <c r="B1479" s="3" t="str">
        <f t="shared" si="1"/>
        <v>2, 15, 0,</v>
      </c>
      <c r="C1479" s="2" t="s">
        <v>3205</v>
      </c>
    </row>
    <row r="1480" ht="12.75" customHeight="1">
      <c r="A1480" s="3" t="s">
        <v>3206</v>
      </c>
      <c r="B1480" s="3" t="str">
        <f t="shared" si="1"/>
        <v>20%</v>
      </c>
      <c r="C1480" s="2" t="s">
        <v>2799</v>
      </c>
    </row>
    <row r="1481" ht="12.75" customHeight="1">
      <c r="A1481" s="3" t="s">
        <v>789</v>
      </c>
      <c r="B1481" s="3" t="str">
        <f t="shared" si="1"/>
        <v>40, 40, GASTLY</v>
      </c>
      <c r="C1481" s="2" t="s">
        <v>789</v>
      </c>
    </row>
    <row r="1482" ht="12.75" customHeight="1">
      <c r="A1482" s="3" t="s">
        <v>3193</v>
      </c>
      <c r="B1482" s="3" t="str">
        <f t="shared" si="1"/>
        <v>37, 37, ZUBAT</v>
      </c>
      <c r="C1482" s="2" t="s">
        <v>3193</v>
      </c>
    </row>
    <row r="1483" ht="12.75" customHeight="1">
      <c r="A1483" s="3"/>
      <c r="B1483" s="3" t="str">
        <f t="shared" si="1"/>
        <v/>
      </c>
      <c r="C1483" s="2" t="s">
        <v>2801</v>
      </c>
    </row>
    <row r="1484" ht="12.75" customHeight="1">
      <c r="A1484" s="3" t="s">
        <v>2802</v>
      </c>
      <c r="B1484" s="3" t="str">
        <f t="shared" si="1"/>
        <v>0.1</v>
      </c>
      <c r="C1484" s="2" t="s">
        <v>2802</v>
      </c>
    </row>
    <row r="1485" ht="12.75" customHeight="1">
      <c r="A1485" s="3" t="s">
        <v>3194</v>
      </c>
      <c r="B1485" s="3" t="str">
        <f t="shared" si="1"/>
        <v>44, 44, HAUNTER</v>
      </c>
      <c r="C1485" s="2" t="s">
        <v>3194</v>
      </c>
    </row>
    <row r="1486" ht="12.75" customHeight="1">
      <c r="A1486" s="3" t="s">
        <v>3195</v>
      </c>
      <c r="B1486" s="3" t="str">
        <f t="shared" si="1"/>
        <v>46, 46, HAUNTER</v>
      </c>
      <c r="C1486" s="2" t="s">
        <v>3195</v>
      </c>
    </row>
    <row r="1487" ht="12.75" customHeight="1">
      <c r="A1487" s="3" t="s">
        <v>3196</v>
      </c>
      <c r="B1487" s="3" t="str">
        <f t="shared" si="1"/>
        <v>41, 41, GOLBAT</v>
      </c>
      <c r="C1487" s="2" t="s">
        <v>3196</v>
      </c>
    </row>
    <row r="1488" ht="12.75" customHeight="1">
      <c r="A1488" s="3" t="s">
        <v>3197</v>
      </c>
      <c r="B1488" s="3" t="str">
        <f t="shared" si="1"/>
        <v>43, 43, GOLBAT</v>
      </c>
      <c r="C1488" s="2" t="s">
        <v>3197</v>
      </c>
    </row>
    <row r="1489" ht="12.75" customHeight="1">
      <c r="A1489" s="3"/>
      <c r="B1489" s="3" t="str">
        <f t="shared" si="1"/>
        <v/>
      </c>
      <c r="C1489" s="2" t="s">
        <v>2801</v>
      </c>
    </row>
    <row r="1490" ht="12.75" customHeight="1">
      <c r="A1490" s="3" t="s">
        <v>2807</v>
      </c>
      <c r="B1490" s="3" t="str">
        <f t="shared" si="1"/>
        <v>0.05</v>
      </c>
      <c r="C1490" s="2" t="s">
        <v>2807</v>
      </c>
    </row>
    <row r="1491" ht="12.75" customHeight="1">
      <c r="A1491" s="3" t="s">
        <v>3198</v>
      </c>
      <c r="B1491" s="3" t="str">
        <f t="shared" si="1"/>
        <v>38, 38, GASTLY</v>
      </c>
      <c r="C1491" s="2" t="s">
        <v>3198</v>
      </c>
    </row>
    <row r="1492" ht="12.75" customHeight="1">
      <c r="A1492" s="3" t="s">
        <v>3199</v>
      </c>
      <c r="B1492" s="3" t="str">
        <f t="shared" si="1"/>
        <v>48, 48, HAUNTER</v>
      </c>
      <c r="C1492" s="2" t="s">
        <v>3199</v>
      </c>
    </row>
    <row r="1493" ht="12.75" customHeight="1">
      <c r="A1493" s="3"/>
      <c r="B1493" s="3" t="str">
        <f t="shared" si="1"/>
        <v/>
      </c>
      <c r="C1493" s="2" t="s">
        <v>2801</v>
      </c>
    </row>
    <row r="1494" ht="12.75" customHeight="1">
      <c r="A1494" s="3" t="s">
        <v>2810</v>
      </c>
      <c r="B1494" s="3" t="str">
        <f t="shared" si="1"/>
        <v>0.04</v>
      </c>
      <c r="C1494" s="2" t="s">
        <v>2810</v>
      </c>
    </row>
    <row r="1495" ht="12.75" customHeight="1">
      <c r="A1495" s="3" t="s">
        <v>3200</v>
      </c>
      <c r="B1495" s="3" t="str">
        <f t="shared" si="1"/>
        <v>50, 50, HAUNTER</v>
      </c>
      <c r="C1495" s="2" t="s">
        <v>3200</v>
      </c>
    </row>
    <row r="1496" ht="12.75" customHeight="1">
      <c r="A1496" s="3" t="s">
        <v>3201</v>
      </c>
      <c r="B1496" s="3" t="str">
        <f t="shared" si="1"/>
        <v>22, 22, MISDREAVUS</v>
      </c>
      <c r="C1496" s="2" t="s">
        <v>3201</v>
      </c>
    </row>
    <row r="1497" ht="12.75" customHeight="1">
      <c r="A1497" s="3"/>
      <c r="B1497" s="3" t="str">
        <f t="shared" si="1"/>
        <v/>
      </c>
      <c r="C1497" s="2" t="s">
        <v>2801</v>
      </c>
    </row>
    <row r="1498" ht="12.75" customHeight="1">
      <c r="A1498" s="3" t="s">
        <v>2813</v>
      </c>
      <c r="B1498" s="3" t="str">
        <f t="shared" si="1"/>
        <v>0.01</v>
      </c>
      <c r="C1498" s="2" t="s">
        <v>2813</v>
      </c>
    </row>
    <row r="1499" ht="12.75" customHeight="1">
      <c r="A1499" s="3" t="s">
        <v>3202</v>
      </c>
      <c r="B1499" s="3" t="str">
        <f t="shared" si="1"/>
        <v>52, 52, HAUNTER</v>
      </c>
      <c r="C1499" s="2" t="s">
        <v>3202</v>
      </c>
    </row>
    <row r="1500" ht="12.75" customHeight="1">
      <c r="A1500" s="3" t="s">
        <v>3203</v>
      </c>
      <c r="B1500" s="3" t="str">
        <f t="shared" si="1"/>
        <v>22, 22, MISDREAVUS , &lt;null&gt;, &lt;null&gt;, &lt;null&gt;</v>
      </c>
      <c r="C1500" s="2" t="s">
        <v>3203</v>
      </c>
    </row>
    <row r="1501" ht="12.75" customHeight="1">
      <c r="A1501" s="3"/>
      <c r="B1501" s="3" t="str">
        <f t="shared" si="1"/>
        <v/>
      </c>
      <c r="C1501" s="2" t="s">
        <v>2801</v>
      </c>
    </row>
    <row r="1502" ht="12.75" customHeight="1">
      <c r="A1502" s="3" t="s">
        <v>2539</v>
      </c>
      <c r="B1502" s="3" t="str">
        <f t="shared" si="1"/>
        <v>NEW ROUTE</v>
      </c>
      <c r="C1502" s="2" t="s">
        <v>2539</v>
      </c>
    </row>
    <row r="1503" ht="12.75" customHeight="1">
      <c r="A1503" s="3" t="s">
        <v>3207</v>
      </c>
      <c r="B1503" s="3" t="str">
        <f t="shared" si="1"/>
        <v>2, 16, 0,</v>
      </c>
      <c r="C1503" s="2" t="s">
        <v>3207</v>
      </c>
    </row>
    <row r="1504" ht="12.75" customHeight="1">
      <c r="A1504" s="3" t="s">
        <v>3050</v>
      </c>
      <c r="B1504" s="3" t="str">
        <f t="shared" si="1"/>
        <v>20%</v>
      </c>
      <c r="C1504" s="2" t="s">
        <v>2799</v>
      </c>
    </row>
    <row r="1505" ht="12.75" customHeight="1">
      <c r="A1505" s="3" t="s">
        <v>789</v>
      </c>
      <c r="B1505" s="3" t="str">
        <f t="shared" si="1"/>
        <v>40, 40, GASTLY</v>
      </c>
      <c r="C1505" s="2" t="s">
        <v>789</v>
      </c>
    </row>
    <row r="1506" ht="12.75" customHeight="1">
      <c r="A1506" s="3" t="s">
        <v>3193</v>
      </c>
      <c r="B1506" s="3" t="str">
        <f t="shared" si="1"/>
        <v>37, 37, ZUBAT</v>
      </c>
      <c r="C1506" s="2" t="s">
        <v>3193</v>
      </c>
    </row>
    <row r="1507" ht="12.75" customHeight="1">
      <c r="A1507" s="3"/>
      <c r="B1507" s="3" t="str">
        <f t="shared" si="1"/>
        <v/>
      </c>
      <c r="C1507" s="2" t="s">
        <v>2801</v>
      </c>
    </row>
    <row r="1508" ht="12.75" customHeight="1">
      <c r="A1508" s="3" t="s">
        <v>2802</v>
      </c>
      <c r="B1508" s="3" t="str">
        <f t="shared" si="1"/>
        <v>0.1</v>
      </c>
      <c r="C1508" s="2" t="s">
        <v>2802</v>
      </c>
    </row>
    <row r="1509" ht="12.75" customHeight="1">
      <c r="A1509" s="3" t="s">
        <v>3194</v>
      </c>
      <c r="B1509" s="3" t="str">
        <f t="shared" si="1"/>
        <v>44, 44, HAUNTER</v>
      </c>
      <c r="C1509" s="2" t="s">
        <v>3194</v>
      </c>
    </row>
    <row r="1510" ht="12.75" customHeight="1">
      <c r="A1510" s="3" t="s">
        <v>3195</v>
      </c>
      <c r="B1510" s="3" t="str">
        <f t="shared" si="1"/>
        <v>46, 46, HAUNTER</v>
      </c>
      <c r="C1510" s="2" t="s">
        <v>3195</v>
      </c>
    </row>
    <row r="1511" ht="12.75" customHeight="1">
      <c r="A1511" s="3" t="s">
        <v>3196</v>
      </c>
      <c r="B1511" s="3" t="str">
        <f t="shared" si="1"/>
        <v>41, 41, GOLBAT</v>
      </c>
      <c r="C1511" s="2" t="s">
        <v>3196</v>
      </c>
    </row>
    <row r="1512" ht="12.75" customHeight="1">
      <c r="A1512" s="3" t="s">
        <v>3197</v>
      </c>
      <c r="B1512" s="3" t="str">
        <f t="shared" si="1"/>
        <v>43, 43, GOLBAT</v>
      </c>
      <c r="C1512" s="2" t="s">
        <v>3197</v>
      </c>
    </row>
    <row r="1513" ht="12.75" customHeight="1">
      <c r="A1513" s="3"/>
      <c r="B1513" s="3" t="str">
        <f t="shared" si="1"/>
        <v/>
      </c>
      <c r="C1513" s="2" t="s">
        <v>2801</v>
      </c>
    </row>
    <row r="1514" ht="12.75" customHeight="1">
      <c r="A1514" s="3" t="s">
        <v>2807</v>
      </c>
      <c r="B1514" s="3" t="str">
        <f t="shared" si="1"/>
        <v>0.05</v>
      </c>
      <c r="C1514" s="2" t="s">
        <v>2807</v>
      </c>
    </row>
    <row r="1515" ht="12.75" customHeight="1">
      <c r="A1515" s="3" t="s">
        <v>3198</v>
      </c>
      <c r="B1515" s="3" t="str">
        <f t="shared" si="1"/>
        <v>38, 38, GASTLY</v>
      </c>
      <c r="C1515" s="2" t="s">
        <v>3198</v>
      </c>
    </row>
    <row r="1516" ht="12.75" customHeight="1">
      <c r="A1516" s="3" t="s">
        <v>3199</v>
      </c>
      <c r="B1516" s="3" t="str">
        <f t="shared" si="1"/>
        <v>48, 48, HAUNTER</v>
      </c>
      <c r="C1516" s="2" t="s">
        <v>3199</v>
      </c>
    </row>
    <row r="1517" ht="12.75" customHeight="1">
      <c r="A1517" s="3"/>
      <c r="B1517" s="3" t="str">
        <f t="shared" si="1"/>
        <v/>
      </c>
      <c r="C1517" s="2" t="s">
        <v>2801</v>
      </c>
    </row>
    <row r="1518" ht="12.75" customHeight="1">
      <c r="A1518" s="3" t="s">
        <v>2810</v>
      </c>
      <c r="B1518" s="3" t="str">
        <f t="shared" si="1"/>
        <v>0.04</v>
      </c>
      <c r="C1518" s="2" t="s">
        <v>2810</v>
      </c>
    </row>
    <row r="1519" ht="12.75" customHeight="1">
      <c r="A1519" s="3" t="s">
        <v>3200</v>
      </c>
      <c r="B1519" s="3" t="str">
        <f t="shared" si="1"/>
        <v>50, 50, HAUNTER</v>
      </c>
      <c r="C1519" s="2" t="s">
        <v>3200</v>
      </c>
    </row>
    <row r="1520" ht="12.75" customHeight="1">
      <c r="A1520" s="3" t="s">
        <v>3201</v>
      </c>
      <c r="B1520" s="3" t="str">
        <f t="shared" si="1"/>
        <v>22, 22, MISDREAVUS</v>
      </c>
      <c r="C1520" s="2" t="s">
        <v>3201</v>
      </c>
    </row>
    <row r="1521" ht="12.75" customHeight="1">
      <c r="A1521" s="3"/>
      <c r="B1521" s="3" t="str">
        <f t="shared" si="1"/>
        <v/>
      </c>
      <c r="C1521" s="2" t="s">
        <v>2801</v>
      </c>
    </row>
    <row r="1522" ht="12.75" customHeight="1">
      <c r="A1522" s="3" t="s">
        <v>2813</v>
      </c>
      <c r="B1522" s="3" t="str">
        <f t="shared" si="1"/>
        <v>0.01</v>
      </c>
      <c r="C1522" s="2" t="s">
        <v>2813</v>
      </c>
    </row>
    <row r="1523" ht="12.75" customHeight="1">
      <c r="A1523" s="3" t="s">
        <v>3202</v>
      </c>
      <c r="B1523" s="3" t="str">
        <f t="shared" si="1"/>
        <v>52, 52, HAUNTER</v>
      </c>
      <c r="C1523" s="2" t="s">
        <v>3202</v>
      </c>
    </row>
    <row r="1524" ht="12.75" customHeight="1">
      <c r="A1524" s="3" t="s">
        <v>3203</v>
      </c>
      <c r="B1524" s="3" t="str">
        <f t="shared" si="1"/>
        <v>22, 22, MISDREAVUS , &lt;null&gt;, &lt;null&gt;, &lt;null&gt;</v>
      </c>
      <c r="C1524" s="2" t="s">
        <v>3203</v>
      </c>
    </row>
    <row r="1525" ht="12.75" customHeight="1">
      <c r="A1525" s="3"/>
      <c r="B1525" s="3" t="str">
        <f t="shared" si="1"/>
        <v/>
      </c>
      <c r="C1525" s="2" t="s">
        <v>2801</v>
      </c>
    </row>
    <row r="1526" ht="12.75" customHeight="1">
      <c r="A1526" s="3" t="s">
        <v>2539</v>
      </c>
      <c r="B1526" s="3" t="str">
        <f t="shared" si="1"/>
        <v>NEW ROUTE</v>
      </c>
      <c r="C1526" s="2" t="s">
        <v>2539</v>
      </c>
    </row>
    <row r="1527" ht="12.75" customHeight="1">
      <c r="A1527" s="3" t="s">
        <v>3208</v>
      </c>
      <c r="B1527" s="3" t="str">
        <f t="shared" si="1"/>
        <v>2, 17, 0,</v>
      </c>
      <c r="C1527" s="2" t="s">
        <v>3208</v>
      </c>
    </row>
    <row r="1528" ht="12.75" customHeight="1">
      <c r="A1528" s="3" t="s">
        <v>2824</v>
      </c>
      <c r="B1528" s="3" t="str">
        <f t="shared" si="1"/>
        <v>20%</v>
      </c>
      <c r="C1528" s="2" t="s">
        <v>2799</v>
      </c>
    </row>
    <row r="1529" ht="12.75" customHeight="1">
      <c r="A1529" s="3" t="s">
        <v>789</v>
      </c>
      <c r="B1529" s="3" t="str">
        <f t="shared" si="1"/>
        <v>40, 40, GASTLY</v>
      </c>
      <c r="C1529" s="2" t="s">
        <v>789</v>
      </c>
    </row>
    <row r="1530" ht="12.75" customHeight="1">
      <c r="A1530" s="3" t="s">
        <v>3193</v>
      </c>
      <c r="B1530" s="3" t="str">
        <f t="shared" si="1"/>
        <v>37, 37, ZUBAT</v>
      </c>
      <c r="C1530" s="2" t="s">
        <v>3193</v>
      </c>
    </row>
    <row r="1531" ht="12.75" customHeight="1">
      <c r="A1531" s="3"/>
      <c r="B1531" s="3" t="str">
        <f t="shared" si="1"/>
        <v/>
      </c>
      <c r="C1531" s="2" t="s">
        <v>2801</v>
      </c>
    </row>
    <row r="1532" ht="12.75" customHeight="1">
      <c r="A1532" s="3" t="s">
        <v>2802</v>
      </c>
      <c r="B1532" s="3" t="str">
        <f t="shared" si="1"/>
        <v>0.1</v>
      </c>
      <c r="C1532" s="2" t="s">
        <v>2802</v>
      </c>
    </row>
    <row r="1533" ht="12.75" customHeight="1">
      <c r="A1533" s="3" t="s">
        <v>3194</v>
      </c>
      <c r="B1533" s="3" t="str">
        <f t="shared" si="1"/>
        <v>44, 44, HAUNTER</v>
      </c>
      <c r="C1533" s="2" t="s">
        <v>3194</v>
      </c>
    </row>
    <row r="1534" ht="12.75" customHeight="1">
      <c r="A1534" s="3" t="s">
        <v>3195</v>
      </c>
      <c r="B1534" s="3" t="str">
        <f t="shared" si="1"/>
        <v>46, 46, HAUNTER</v>
      </c>
      <c r="C1534" s="2" t="s">
        <v>3195</v>
      </c>
    </row>
    <row r="1535" ht="12.75" customHeight="1">
      <c r="A1535" s="3" t="s">
        <v>3196</v>
      </c>
      <c r="B1535" s="3" t="str">
        <f t="shared" si="1"/>
        <v>41, 41, GOLBAT</v>
      </c>
      <c r="C1535" s="2" t="s">
        <v>3196</v>
      </c>
    </row>
    <row r="1536" ht="12.75" customHeight="1">
      <c r="A1536" s="3" t="s">
        <v>3197</v>
      </c>
      <c r="B1536" s="3" t="str">
        <f t="shared" si="1"/>
        <v>43, 43, GOLBAT</v>
      </c>
      <c r="C1536" s="2" t="s">
        <v>3197</v>
      </c>
    </row>
    <row r="1537" ht="12.75" customHeight="1">
      <c r="A1537" s="3"/>
      <c r="B1537" s="3" t="str">
        <f t="shared" si="1"/>
        <v/>
      </c>
      <c r="C1537" s="2" t="s">
        <v>2801</v>
      </c>
    </row>
    <row r="1538" ht="12.75" customHeight="1">
      <c r="A1538" s="3" t="s">
        <v>2807</v>
      </c>
      <c r="B1538" s="3" t="str">
        <f t="shared" si="1"/>
        <v>0.05</v>
      </c>
      <c r="C1538" s="2" t="s">
        <v>2807</v>
      </c>
    </row>
    <row r="1539" ht="12.75" customHeight="1">
      <c r="A1539" s="3" t="s">
        <v>3198</v>
      </c>
      <c r="B1539" s="3" t="str">
        <f t="shared" si="1"/>
        <v>38, 38, GASTLY</v>
      </c>
      <c r="C1539" s="2" t="s">
        <v>3198</v>
      </c>
    </row>
    <row r="1540" ht="12.75" customHeight="1">
      <c r="A1540" s="3" t="s">
        <v>3199</v>
      </c>
      <c r="B1540" s="3" t="str">
        <f t="shared" si="1"/>
        <v>48, 48, HAUNTER</v>
      </c>
      <c r="C1540" s="2" t="s">
        <v>3199</v>
      </c>
    </row>
    <row r="1541" ht="12.75" customHeight="1">
      <c r="A1541" s="3"/>
      <c r="B1541" s="3" t="str">
        <f t="shared" si="1"/>
        <v/>
      </c>
      <c r="C1541" s="2" t="s">
        <v>2801</v>
      </c>
    </row>
    <row r="1542" ht="12.75" customHeight="1">
      <c r="A1542" s="3" t="s">
        <v>2810</v>
      </c>
      <c r="B1542" s="3" t="str">
        <f t="shared" si="1"/>
        <v>0.04</v>
      </c>
      <c r="C1542" s="2" t="s">
        <v>2810</v>
      </c>
    </row>
    <row r="1543" ht="12.75" customHeight="1">
      <c r="A1543" s="3" t="s">
        <v>3200</v>
      </c>
      <c r="B1543" s="3" t="str">
        <f t="shared" si="1"/>
        <v>50, 50, HAUNTER</v>
      </c>
      <c r="C1543" s="2" t="s">
        <v>3200</v>
      </c>
    </row>
    <row r="1544" ht="12.75" customHeight="1">
      <c r="A1544" s="3" t="s">
        <v>3201</v>
      </c>
      <c r="B1544" s="3" t="str">
        <f t="shared" si="1"/>
        <v>22, 22, MISDREAVUS</v>
      </c>
      <c r="C1544" s="2" t="s">
        <v>3201</v>
      </c>
    </row>
    <row r="1545" ht="12.75" customHeight="1">
      <c r="A1545" s="3"/>
      <c r="B1545" s="3" t="str">
        <f t="shared" si="1"/>
        <v/>
      </c>
      <c r="C1545" s="2" t="s">
        <v>2801</v>
      </c>
    </row>
    <row r="1546" ht="12.75" customHeight="1">
      <c r="A1546" s="3" t="s">
        <v>2813</v>
      </c>
      <c r="B1546" s="3" t="str">
        <f t="shared" si="1"/>
        <v>0.01</v>
      </c>
      <c r="C1546" s="2" t="s">
        <v>2813</v>
      </c>
    </row>
    <row r="1547" ht="12.75" customHeight="1">
      <c r="A1547" s="3" t="s">
        <v>3202</v>
      </c>
      <c r="B1547" s="3" t="str">
        <f t="shared" si="1"/>
        <v>52, 52, HAUNTER</v>
      </c>
      <c r="C1547" s="2" t="s">
        <v>3202</v>
      </c>
    </row>
    <row r="1548" ht="12.75" customHeight="1">
      <c r="A1548" s="3" t="s">
        <v>3203</v>
      </c>
      <c r="B1548" s="3" t="str">
        <f t="shared" si="1"/>
        <v>22, 22, MISDREAVUS , &lt;null&gt;, &lt;null&gt;, &lt;null&gt;</v>
      </c>
      <c r="C1548" s="2" t="s">
        <v>3203</v>
      </c>
    </row>
    <row r="1549" ht="12.75" customHeight="1">
      <c r="A1549" s="3"/>
      <c r="B1549" s="3" t="str">
        <f t="shared" si="1"/>
        <v/>
      </c>
      <c r="C1549" s="2" t="s">
        <v>2801</v>
      </c>
    </row>
    <row r="1550" ht="12.75" customHeight="1">
      <c r="A1550" s="3" t="s">
        <v>2539</v>
      </c>
      <c r="B1550" s="3" t="str">
        <f t="shared" si="1"/>
        <v>NEW ROUTE</v>
      </c>
      <c r="C1550" s="2" t="s">
        <v>2539</v>
      </c>
    </row>
    <row r="1551" ht="12.75" customHeight="1">
      <c r="A1551" s="3" t="s">
        <v>3209</v>
      </c>
      <c r="B1551" s="3" t="str">
        <f t="shared" si="1"/>
        <v>2, 18, 0,</v>
      </c>
      <c r="C1551" s="2" t="s">
        <v>3209</v>
      </c>
    </row>
    <row r="1552" ht="12.75" customHeight="1">
      <c r="A1552" s="3" t="s">
        <v>3052</v>
      </c>
      <c r="B1552" s="3" t="str">
        <f t="shared" si="1"/>
        <v>20%</v>
      </c>
      <c r="C1552" s="2" t="s">
        <v>2799</v>
      </c>
    </row>
    <row r="1553" ht="12.75" customHeight="1">
      <c r="A1553" s="3" t="s">
        <v>789</v>
      </c>
      <c r="B1553" s="3" t="str">
        <f t="shared" si="1"/>
        <v>40, 40, GASTLY</v>
      </c>
      <c r="C1553" s="2" t="s">
        <v>789</v>
      </c>
    </row>
    <row r="1554" ht="12.75" customHeight="1">
      <c r="A1554" s="3" t="s">
        <v>3193</v>
      </c>
      <c r="B1554" s="3" t="str">
        <f t="shared" si="1"/>
        <v>37, 37, ZUBAT</v>
      </c>
      <c r="C1554" s="2" t="s">
        <v>3193</v>
      </c>
    </row>
    <row r="1555" ht="12.75" customHeight="1">
      <c r="A1555" s="3"/>
      <c r="B1555" s="3" t="str">
        <f t="shared" si="1"/>
        <v/>
      </c>
      <c r="C1555" s="2" t="s">
        <v>2801</v>
      </c>
    </row>
    <row r="1556" ht="12.75" customHeight="1">
      <c r="A1556" s="3" t="s">
        <v>2802</v>
      </c>
      <c r="B1556" s="3" t="str">
        <f t="shared" si="1"/>
        <v>0.1</v>
      </c>
      <c r="C1556" s="2" t="s">
        <v>2802</v>
      </c>
    </row>
    <row r="1557" ht="12.75" customHeight="1">
      <c r="A1557" s="3" t="s">
        <v>3194</v>
      </c>
      <c r="B1557" s="3" t="str">
        <f t="shared" si="1"/>
        <v>44, 44, HAUNTER</v>
      </c>
      <c r="C1557" s="2" t="s">
        <v>3194</v>
      </c>
    </row>
    <row r="1558" ht="12.75" customHeight="1">
      <c r="A1558" s="3" t="s">
        <v>3195</v>
      </c>
      <c r="B1558" s="3" t="str">
        <f t="shared" si="1"/>
        <v>46, 46, HAUNTER</v>
      </c>
      <c r="C1558" s="2" t="s">
        <v>3195</v>
      </c>
    </row>
    <row r="1559" ht="12.75" customHeight="1">
      <c r="A1559" s="3" t="s">
        <v>3196</v>
      </c>
      <c r="B1559" s="3" t="str">
        <f t="shared" si="1"/>
        <v>41, 41, GOLBAT</v>
      </c>
      <c r="C1559" s="2" t="s">
        <v>3196</v>
      </c>
    </row>
    <row r="1560" ht="12.75" customHeight="1">
      <c r="A1560" s="3" t="s">
        <v>3197</v>
      </c>
      <c r="B1560" s="3" t="str">
        <f t="shared" si="1"/>
        <v>43, 43, GOLBAT</v>
      </c>
      <c r="C1560" s="2" t="s">
        <v>3197</v>
      </c>
    </row>
    <row r="1561" ht="12.75" customHeight="1">
      <c r="A1561" s="3"/>
      <c r="B1561" s="3" t="str">
        <f t="shared" si="1"/>
        <v/>
      </c>
      <c r="C1561" s="2" t="s">
        <v>2801</v>
      </c>
    </row>
    <row r="1562" ht="12.75" customHeight="1">
      <c r="A1562" s="3" t="s">
        <v>2807</v>
      </c>
      <c r="B1562" s="3" t="str">
        <f t="shared" si="1"/>
        <v>0.05</v>
      </c>
      <c r="C1562" s="2" t="s">
        <v>2807</v>
      </c>
    </row>
    <row r="1563" ht="12.75" customHeight="1">
      <c r="A1563" s="3" t="s">
        <v>3198</v>
      </c>
      <c r="B1563" s="3" t="str">
        <f t="shared" si="1"/>
        <v>38, 38, GASTLY</v>
      </c>
      <c r="C1563" s="2" t="s">
        <v>3198</v>
      </c>
    </row>
    <row r="1564" ht="12.75" customHeight="1">
      <c r="A1564" s="3" t="s">
        <v>3199</v>
      </c>
      <c r="B1564" s="3" t="str">
        <f t="shared" si="1"/>
        <v>48, 48, HAUNTER</v>
      </c>
      <c r="C1564" s="2" t="s">
        <v>3199</v>
      </c>
    </row>
    <row r="1565" ht="12.75" customHeight="1">
      <c r="A1565" s="3"/>
      <c r="B1565" s="3" t="str">
        <f t="shared" si="1"/>
        <v/>
      </c>
      <c r="C1565" s="2" t="s">
        <v>2801</v>
      </c>
    </row>
    <row r="1566" ht="12.75" customHeight="1">
      <c r="A1566" s="3" t="s">
        <v>2810</v>
      </c>
      <c r="B1566" s="3" t="str">
        <f t="shared" si="1"/>
        <v>0.04</v>
      </c>
      <c r="C1566" s="2" t="s">
        <v>2810</v>
      </c>
    </row>
    <row r="1567" ht="12.75" customHeight="1">
      <c r="A1567" s="3" t="s">
        <v>3200</v>
      </c>
      <c r="B1567" s="3" t="str">
        <f t="shared" si="1"/>
        <v>50, 50, HAUNTER</v>
      </c>
      <c r="C1567" s="2" t="s">
        <v>3200</v>
      </c>
    </row>
    <row r="1568" ht="12.75" customHeight="1">
      <c r="A1568" s="3" t="s">
        <v>3201</v>
      </c>
      <c r="B1568" s="3" t="str">
        <f t="shared" si="1"/>
        <v>22, 22, MISDREAVUS</v>
      </c>
      <c r="C1568" s="2" t="s">
        <v>3201</v>
      </c>
    </row>
    <row r="1569" ht="12.75" customHeight="1">
      <c r="A1569" s="3"/>
      <c r="B1569" s="3" t="str">
        <f t="shared" si="1"/>
        <v/>
      </c>
      <c r="C1569" s="2" t="s">
        <v>2801</v>
      </c>
    </row>
    <row r="1570" ht="12.75" customHeight="1">
      <c r="A1570" s="3" t="s">
        <v>2813</v>
      </c>
      <c r="B1570" s="3" t="str">
        <f t="shared" si="1"/>
        <v>0.01</v>
      </c>
      <c r="C1570" s="2" t="s">
        <v>2813</v>
      </c>
    </row>
    <row r="1571" ht="12.75" customHeight="1">
      <c r="A1571" s="3" t="s">
        <v>3202</v>
      </c>
      <c r="B1571" s="3" t="str">
        <f t="shared" si="1"/>
        <v>52, 52, HAUNTER</v>
      </c>
      <c r="C1571" s="2" t="s">
        <v>3202</v>
      </c>
    </row>
    <row r="1572" ht="12.75" customHeight="1">
      <c r="A1572" s="3" t="s">
        <v>3203</v>
      </c>
      <c r="B1572" s="3" t="str">
        <f t="shared" si="1"/>
        <v>22, 22, MISDREAVUS , &lt;null&gt;, &lt;null&gt;, &lt;null&gt;</v>
      </c>
      <c r="C1572" s="2" t="s">
        <v>3203</v>
      </c>
    </row>
    <row r="1573" ht="12.75" customHeight="1">
      <c r="A1573" s="3"/>
      <c r="B1573" s="3" t="str">
        <f t="shared" si="1"/>
        <v/>
      </c>
      <c r="C1573" s="2" t="s">
        <v>2801</v>
      </c>
    </row>
    <row r="1574" ht="12.75" customHeight="1">
      <c r="A1574" s="3" t="s">
        <v>2539</v>
      </c>
      <c r="B1574" s="3" t="str">
        <f t="shared" si="1"/>
        <v>NEW ROUTE</v>
      </c>
      <c r="C1574" s="2" t="s">
        <v>2539</v>
      </c>
    </row>
    <row r="1575" ht="12.75" customHeight="1">
      <c r="A1575" s="3" t="s">
        <v>3210</v>
      </c>
      <c r="B1575" s="3" t="str">
        <f t="shared" si="1"/>
        <v>2, 19, 0,</v>
      </c>
      <c r="C1575" s="2" t="s">
        <v>3210</v>
      </c>
    </row>
    <row r="1576" ht="12.75" customHeight="1">
      <c r="A1576" s="3" t="s">
        <v>2817</v>
      </c>
      <c r="B1576" s="3" t="str">
        <f t="shared" si="1"/>
        <v>20%</v>
      </c>
      <c r="C1576" s="2" t="s">
        <v>2799</v>
      </c>
    </row>
    <row r="1577" ht="12.75" customHeight="1">
      <c r="A1577" s="3" t="s">
        <v>789</v>
      </c>
      <c r="B1577" s="3" t="str">
        <f t="shared" si="1"/>
        <v>40, 40, GASTLY</v>
      </c>
      <c r="C1577" s="2" t="s">
        <v>789</v>
      </c>
    </row>
    <row r="1578" ht="12.75" customHeight="1">
      <c r="A1578" s="3" t="s">
        <v>3193</v>
      </c>
      <c r="B1578" s="3" t="str">
        <f t="shared" si="1"/>
        <v>37, 37, ZUBAT</v>
      </c>
      <c r="C1578" s="2" t="s">
        <v>3193</v>
      </c>
    </row>
    <row r="1579" ht="12.75" customHeight="1">
      <c r="A1579" s="3"/>
      <c r="B1579" s="3" t="str">
        <f t="shared" si="1"/>
        <v/>
      </c>
      <c r="C1579" s="2" t="s">
        <v>2801</v>
      </c>
    </row>
    <row r="1580" ht="12.75" customHeight="1">
      <c r="A1580" s="3" t="s">
        <v>2802</v>
      </c>
      <c r="B1580" s="3" t="str">
        <f t="shared" si="1"/>
        <v>0.1</v>
      </c>
      <c r="C1580" s="2" t="s">
        <v>2802</v>
      </c>
    </row>
    <row r="1581" ht="12.75" customHeight="1">
      <c r="A1581" s="3" t="s">
        <v>3194</v>
      </c>
      <c r="B1581" s="3" t="str">
        <f t="shared" si="1"/>
        <v>44, 44, HAUNTER</v>
      </c>
      <c r="C1581" s="2" t="s">
        <v>3194</v>
      </c>
    </row>
    <row r="1582" ht="12.75" customHeight="1">
      <c r="A1582" s="3" t="s">
        <v>3195</v>
      </c>
      <c r="B1582" s="3" t="str">
        <f t="shared" si="1"/>
        <v>46, 46, HAUNTER</v>
      </c>
      <c r="C1582" s="2" t="s">
        <v>3195</v>
      </c>
    </row>
    <row r="1583" ht="12.75" customHeight="1">
      <c r="A1583" s="3" t="s">
        <v>3196</v>
      </c>
      <c r="B1583" s="3" t="str">
        <f t="shared" si="1"/>
        <v>41, 41, GOLBAT</v>
      </c>
      <c r="C1583" s="2" t="s">
        <v>3196</v>
      </c>
    </row>
    <row r="1584" ht="12.75" customHeight="1">
      <c r="A1584" s="3" t="s">
        <v>3197</v>
      </c>
      <c r="B1584" s="3" t="str">
        <f t="shared" si="1"/>
        <v>43, 43, GOLBAT</v>
      </c>
      <c r="C1584" s="2" t="s">
        <v>3197</v>
      </c>
    </row>
    <row r="1585" ht="12.75" customHeight="1">
      <c r="A1585" s="3"/>
      <c r="B1585" s="3" t="str">
        <f t="shared" si="1"/>
        <v/>
      </c>
      <c r="C1585" s="2" t="s">
        <v>2801</v>
      </c>
    </row>
    <row r="1586" ht="12.75" customHeight="1">
      <c r="A1586" s="3" t="s">
        <v>2807</v>
      </c>
      <c r="B1586" s="3" t="str">
        <f t="shared" si="1"/>
        <v>0.05</v>
      </c>
      <c r="C1586" s="2" t="s">
        <v>2807</v>
      </c>
    </row>
    <row r="1587" ht="12.75" customHeight="1">
      <c r="A1587" s="3" t="s">
        <v>3198</v>
      </c>
      <c r="B1587" s="3" t="str">
        <f t="shared" si="1"/>
        <v>38, 38, GASTLY</v>
      </c>
      <c r="C1587" s="2" t="s">
        <v>3198</v>
      </c>
    </row>
    <row r="1588" ht="12.75" customHeight="1">
      <c r="A1588" s="3" t="s">
        <v>3199</v>
      </c>
      <c r="B1588" s="3" t="str">
        <f t="shared" si="1"/>
        <v>48, 48, HAUNTER</v>
      </c>
      <c r="C1588" s="2" t="s">
        <v>3199</v>
      </c>
    </row>
    <row r="1589" ht="12.75" customHeight="1">
      <c r="A1589" s="3"/>
      <c r="B1589" s="3" t="str">
        <f t="shared" si="1"/>
        <v/>
      </c>
      <c r="C1589" s="2" t="s">
        <v>2801</v>
      </c>
    </row>
    <row r="1590" ht="12.75" customHeight="1">
      <c r="A1590" s="3" t="s">
        <v>2810</v>
      </c>
      <c r="B1590" s="3" t="str">
        <f t="shared" si="1"/>
        <v>0.04</v>
      </c>
      <c r="C1590" s="2" t="s">
        <v>2810</v>
      </c>
    </row>
    <row r="1591" ht="12.75" customHeight="1">
      <c r="A1591" s="3" t="s">
        <v>3200</v>
      </c>
      <c r="B1591" s="3" t="str">
        <f t="shared" si="1"/>
        <v>50, 50, HAUNTER</v>
      </c>
      <c r="C1591" s="2" t="s">
        <v>3200</v>
      </c>
    </row>
    <row r="1592" ht="12.75" customHeight="1">
      <c r="A1592" s="3" t="s">
        <v>3201</v>
      </c>
      <c r="B1592" s="3" t="str">
        <f t="shared" si="1"/>
        <v>22, 22, MISDREAVUS</v>
      </c>
      <c r="C1592" s="2" t="s">
        <v>3201</v>
      </c>
    </row>
    <row r="1593" ht="12.75" customHeight="1">
      <c r="A1593" s="3"/>
      <c r="B1593" s="3" t="str">
        <f t="shared" si="1"/>
        <v/>
      </c>
      <c r="C1593" s="2" t="s">
        <v>2801</v>
      </c>
    </row>
    <row r="1594" ht="12.75" customHeight="1">
      <c r="A1594" s="3" t="s">
        <v>2813</v>
      </c>
      <c r="B1594" s="3" t="str">
        <f t="shared" si="1"/>
        <v>0.01</v>
      </c>
      <c r="C1594" s="2" t="s">
        <v>2813</v>
      </c>
    </row>
    <row r="1595" ht="12.75" customHeight="1">
      <c r="A1595" s="3" t="s">
        <v>3202</v>
      </c>
      <c r="B1595" s="3" t="str">
        <f t="shared" si="1"/>
        <v>52, 52, HAUNTER</v>
      </c>
      <c r="C1595" s="2" t="s">
        <v>3202</v>
      </c>
    </row>
    <row r="1596" ht="12.75" customHeight="1">
      <c r="A1596" s="3" t="s">
        <v>3203</v>
      </c>
      <c r="B1596" s="3" t="str">
        <f t="shared" si="1"/>
        <v>22, 22, MISDREAVUS , &lt;null&gt;, &lt;null&gt;, &lt;null&gt;</v>
      </c>
      <c r="C1596" s="2" t="s">
        <v>3203</v>
      </c>
    </row>
    <row r="1597" ht="12.75" customHeight="1">
      <c r="A1597" s="3"/>
      <c r="B1597" s="3" t="str">
        <f t="shared" si="1"/>
        <v/>
      </c>
      <c r="C1597" s="2" t="s">
        <v>2801</v>
      </c>
    </row>
    <row r="1598" ht="12.75" customHeight="1">
      <c r="A1598" s="3" t="s">
        <v>2539</v>
      </c>
      <c r="B1598" s="3" t="str">
        <f t="shared" si="1"/>
        <v>NEW ROUTE</v>
      </c>
      <c r="C1598" s="2" t="s">
        <v>2539</v>
      </c>
    </row>
    <row r="1599" ht="12.75" customHeight="1">
      <c r="A1599" s="3" t="s">
        <v>3211</v>
      </c>
      <c r="B1599" s="3" t="str">
        <f t="shared" si="1"/>
        <v>2, 20, 0,</v>
      </c>
      <c r="C1599" s="2" t="s">
        <v>3211</v>
      </c>
    </row>
    <row r="1600" ht="12.75" customHeight="1">
      <c r="A1600" s="3" t="s">
        <v>3054</v>
      </c>
      <c r="B1600" s="3" t="str">
        <f t="shared" si="1"/>
        <v>20%</v>
      </c>
      <c r="C1600" s="2" t="s">
        <v>2799</v>
      </c>
    </row>
    <row r="1601" ht="12.75" customHeight="1">
      <c r="A1601" s="3" t="s">
        <v>789</v>
      </c>
      <c r="B1601" s="3" t="str">
        <f t="shared" si="1"/>
        <v>40, 40, GASTLY</v>
      </c>
      <c r="C1601" s="2" t="s">
        <v>789</v>
      </c>
    </row>
    <row r="1602" ht="12.75" customHeight="1">
      <c r="A1602" s="3" t="s">
        <v>3193</v>
      </c>
      <c r="B1602" s="3" t="str">
        <f t="shared" si="1"/>
        <v>37, 37, ZUBAT</v>
      </c>
      <c r="C1602" s="2" t="s">
        <v>3193</v>
      </c>
    </row>
    <row r="1603" ht="12.75" customHeight="1">
      <c r="A1603" s="3"/>
      <c r="B1603" s="3" t="str">
        <f t="shared" si="1"/>
        <v/>
      </c>
      <c r="C1603" s="2" t="s">
        <v>2801</v>
      </c>
    </row>
    <row r="1604" ht="12.75" customHeight="1">
      <c r="A1604" s="3" t="s">
        <v>2802</v>
      </c>
      <c r="B1604" s="3" t="str">
        <f t="shared" si="1"/>
        <v>0.1</v>
      </c>
      <c r="C1604" s="2" t="s">
        <v>2802</v>
      </c>
    </row>
    <row r="1605" ht="12.75" customHeight="1">
      <c r="A1605" s="3" t="s">
        <v>3194</v>
      </c>
      <c r="B1605" s="3" t="str">
        <f t="shared" si="1"/>
        <v>44, 44, HAUNTER</v>
      </c>
      <c r="C1605" s="2" t="s">
        <v>3194</v>
      </c>
    </row>
    <row r="1606" ht="12.75" customHeight="1">
      <c r="A1606" s="3" t="s">
        <v>3195</v>
      </c>
      <c r="B1606" s="3" t="str">
        <f t="shared" si="1"/>
        <v>46, 46, HAUNTER</v>
      </c>
      <c r="C1606" s="2" t="s">
        <v>3195</v>
      </c>
    </row>
    <row r="1607" ht="12.75" customHeight="1">
      <c r="A1607" s="3" t="s">
        <v>3196</v>
      </c>
      <c r="B1607" s="3" t="str">
        <f t="shared" si="1"/>
        <v>41, 41, GOLBAT</v>
      </c>
      <c r="C1607" s="2" t="s">
        <v>3196</v>
      </c>
    </row>
    <row r="1608" ht="12.75" customHeight="1">
      <c r="A1608" s="3" t="s">
        <v>3197</v>
      </c>
      <c r="B1608" s="3" t="str">
        <f t="shared" si="1"/>
        <v>43, 43, GOLBAT</v>
      </c>
      <c r="C1608" s="2" t="s">
        <v>3197</v>
      </c>
    </row>
    <row r="1609" ht="12.75" customHeight="1">
      <c r="A1609" s="3"/>
      <c r="B1609" s="3" t="str">
        <f t="shared" si="1"/>
        <v/>
      </c>
      <c r="C1609" s="2" t="s">
        <v>2801</v>
      </c>
    </row>
    <row r="1610" ht="12.75" customHeight="1">
      <c r="A1610" s="3" t="s">
        <v>2807</v>
      </c>
      <c r="B1610" s="3" t="str">
        <f t="shared" si="1"/>
        <v>0.05</v>
      </c>
      <c r="C1610" s="2" t="s">
        <v>2807</v>
      </c>
    </row>
    <row r="1611" ht="12.75" customHeight="1">
      <c r="A1611" s="3" t="s">
        <v>3198</v>
      </c>
      <c r="B1611" s="3" t="str">
        <f t="shared" si="1"/>
        <v>38, 38, GASTLY</v>
      </c>
      <c r="C1611" s="2" t="s">
        <v>3198</v>
      </c>
    </row>
    <row r="1612" ht="12.75" customHeight="1">
      <c r="A1612" s="3" t="s">
        <v>3199</v>
      </c>
      <c r="B1612" s="3" t="str">
        <f t="shared" si="1"/>
        <v>48, 48, HAUNTER</v>
      </c>
      <c r="C1612" s="2" t="s">
        <v>3199</v>
      </c>
    </row>
    <row r="1613" ht="12.75" customHeight="1">
      <c r="A1613" s="3"/>
      <c r="B1613" s="3" t="str">
        <f t="shared" si="1"/>
        <v/>
      </c>
      <c r="C1613" s="2" t="s">
        <v>2801</v>
      </c>
    </row>
    <row r="1614" ht="12.75" customHeight="1">
      <c r="A1614" s="3" t="s">
        <v>2810</v>
      </c>
      <c r="B1614" s="3" t="str">
        <f t="shared" si="1"/>
        <v>0.04</v>
      </c>
      <c r="C1614" s="2" t="s">
        <v>2810</v>
      </c>
    </row>
    <row r="1615" ht="12.75" customHeight="1">
      <c r="A1615" s="3" t="s">
        <v>3200</v>
      </c>
      <c r="B1615" s="3" t="str">
        <f t="shared" si="1"/>
        <v>50, 50, HAUNTER</v>
      </c>
      <c r="C1615" s="2" t="s">
        <v>3200</v>
      </c>
    </row>
    <row r="1616" ht="12.75" customHeight="1">
      <c r="A1616" s="3" t="s">
        <v>3201</v>
      </c>
      <c r="B1616" s="3" t="str">
        <f t="shared" si="1"/>
        <v>22, 22, MISDREAVUS</v>
      </c>
      <c r="C1616" s="2" t="s">
        <v>3201</v>
      </c>
    </row>
    <row r="1617" ht="12.75" customHeight="1">
      <c r="A1617" s="3"/>
      <c r="B1617" s="3" t="str">
        <f t="shared" si="1"/>
        <v/>
      </c>
      <c r="C1617" s="2" t="s">
        <v>2801</v>
      </c>
    </row>
    <row r="1618" ht="12.75" customHeight="1">
      <c r="A1618" s="3" t="s">
        <v>2813</v>
      </c>
      <c r="B1618" s="3" t="str">
        <f t="shared" si="1"/>
        <v>0.01</v>
      </c>
      <c r="C1618" s="2" t="s">
        <v>2813</v>
      </c>
    </row>
    <row r="1619" ht="12.75" customHeight="1">
      <c r="A1619" s="3" t="s">
        <v>3202</v>
      </c>
      <c r="B1619" s="3" t="str">
        <f t="shared" si="1"/>
        <v>52, 52, HAUNTER</v>
      </c>
      <c r="C1619" s="2" t="s">
        <v>3202</v>
      </c>
    </row>
    <row r="1620" ht="12.75" customHeight="1">
      <c r="A1620" s="3" t="s">
        <v>3203</v>
      </c>
      <c r="B1620" s="3" t="str">
        <f t="shared" si="1"/>
        <v>22, 22, MISDREAVUS , &lt;null&gt;, &lt;null&gt;, &lt;null&gt;</v>
      </c>
      <c r="C1620" s="2" t="s">
        <v>3203</v>
      </c>
    </row>
    <row r="1621" ht="12.75" customHeight="1">
      <c r="A1621" s="3"/>
      <c r="B1621" s="3" t="str">
        <f t="shared" si="1"/>
        <v/>
      </c>
      <c r="C1621" s="2" t="s">
        <v>2801</v>
      </c>
    </row>
    <row r="1622" ht="12.75" customHeight="1">
      <c r="A1622" s="3" t="s">
        <v>2539</v>
      </c>
      <c r="B1622" s="3" t="str">
        <f t="shared" si="1"/>
        <v>NEW ROUTE</v>
      </c>
      <c r="C1622" s="2" t="s">
        <v>2539</v>
      </c>
    </row>
    <row r="1623" ht="12.75" customHeight="1">
      <c r="A1623" s="3" t="s">
        <v>3212</v>
      </c>
      <c r="B1623" s="3" t="str">
        <f t="shared" si="1"/>
        <v>2, 21, 0,</v>
      </c>
      <c r="C1623" s="2" t="s">
        <v>3212</v>
      </c>
    </row>
    <row r="1624" ht="12.75" customHeight="1">
      <c r="A1624" s="3" t="s">
        <v>3213</v>
      </c>
      <c r="B1624" s="3" t="str">
        <f t="shared" si="1"/>
        <v>20%</v>
      </c>
      <c r="C1624" s="2" t="s">
        <v>2799</v>
      </c>
    </row>
    <row r="1625" ht="12.75" customHeight="1">
      <c r="A1625" s="3" t="s">
        <v>789</v>
      </c>
      <c r="B1625" s="3" t="str">
        <f t="shared" si="1"/>
        <v>40, 40, GASTLY</v>
      </c>
      <c r="C1625" s="2" t="s">
        <v>789</v>
      </c>
    </row>
    <row r="1626" ht="12.75" customHeight="1">
      <c r="A1626" s="3" t="s">
        <v>3193</v>
      </c>
      <c r="B1626" s="3" t="str">
        <f t="shared" si="1"/>
        <v>37, 37, ZUBAT</v>
      </c>
      <c r="C1626" s="2" t="s">
        <v>3193</v>
      </c>
    </row>
    <row r="1627" ht="12.75" customHeight="1">
      <c r="A1627" s="3"/>
      <c r="B1627" s="3" t="str">
        <f t="shared" si="1"/>
        <v/>
      </c>
      <c r="C1627" s="2" t="s">
        <v>2801</v>
      </c>
    </row>
    <row r="1628" ht="12.75" customHeight="1">
      <c r="A1628" s="3" t="s">
        <v>2802</v>
      </c>
      <c r="B1628" s="3" t="str">
        <f t="shared" si="1"/>
        <v>0.1</v>
      </c>
      <c r="C1628" s="2" t="s">
        <v>2802</v>
      </c>
    </row>
    <row r="1629" ht="12.75" customHeight="1">
      <c r="A1629" s="3" t="s">
        <v>3194</v>
      </c>
      <c r="B1629" s="3" t="str">
        <f t="shared" si="1"/>
        <v>44, 44, HAUNTER</v>
      </c>
      <c r="C1629" s="2" t="s">
        <v>3194</v>
      </c>
    </row>
    <row r="1630" ht="12.75" customHeight="1">
      <c r="A1630" s="3" t="s">
        <v>3195</v>
      </c>
      <c r="B1630" s="3" t="str">
        <f t="shared" si="1"/>
        <v>46, 46, HAUNTER</v>
      </c>
      <c r="C1630" s="2" t="s">
        <v>3195</v>
      </c>
    </row>
    <row r="1631" ht="12.75" customHeight="1">
      <c r="A1631" s="3" t="s">
        <v>3196</v>
      </c>
      <c r="B1631" s="3" t="str">
        <f t="shared" si="1"/>
        <v>41, 41, GOLBAT</v>
      </c>
      <c r="C1631" s="2" t="s">
        <v>3196</v>
      </c>
    </row>
    <row r="1632" ht="12.75" customHeight="1">
      <c r="A1632" s="3" t="s">
        <v>3197</v>
      </c>
      <c r="B1632" s="3" t="str">
        <f t="shared" si="1"/>
        <v>43, 43, GOLBAT</v>
      </c>
      <c r="C1632" s="2" t="s">
        <v>3197</v>
      </c>
    </row>
    <row r="1633" ht="12.75" customHeight="1">
      <c r="A1633" s="3"/>
      <c r="B1633" s="3" t="str">
        <f t="shared" si="1"/>
        <v/>
      </c>
      <c r="C1633" s="2" t="s">
        <v>2801</v>
      </c>
    </row>
    <row r="1634" ht="12.75" customHeight="1">
      <c r="A1634" s="3" t="s">
        <v>2807</v>
      </c>
      <c r="B1634" s="3" t="str">
        <f t="shared" si="1"/>
        <v>0.05</v>
      </c>
      <c r="C1634" s="2" t="s">
        <v>2807</v>
      </c>
    </row>
    <row r="1635" ht="12.75" customHeight="1">
      <c r="A1635" s="3" t="s">
        <v>3198</v>
      </c>
      <c r="B1635" s="3" t="str">
        <f t="shared" si="1"/>
        <v>38, 38, GASTLY</v>
      </c>
      <c r="C1635" s="2" t="s">
        <v>3198</v>
      </c>
    </row>
    <row r="1636" ht="12.75" customHeight="1">
      <c r="A1636" s="3" t="s">
        <v>3199</v>
      </c>
      <c r="B1636" s="3" t="str">
        <f t="shared" si="1"/>
        <v>48, 48, HAUNTER</v>
      </c>
      <c r="C1636" s="2" t="s">
        <v>3199</v>
      </c>
    </row>
    <row r="1637" ht="12.75" customHeight="1">
      <c r="A1637" s="3"/>
      <c r="B1637" s="3" t="str">
        <f t="shared" si="1"/>
        <v/>
      </c>
      <c r="C1637" s="2" t="s">
        <v>2801</v>
      </c>
    </row>
    <row r="1638" ht="12.75" customHeight="1">
      <c r="A1638" s="3" t="s">
        <v>2810</v>
      </c>
      <c r="B1638" s="3" t="str">
        <f t="shared" si="1"/>
        <v>0.04</v>
      </c>
      <c r="C1638" s="2" t="s">
        <v>2810</v>
      </c>
    </row>
    <row r="1639" ht="12.75" customHeight="1">
      <c r="A1639" s="3" t="s">
        <v>3200</v>
      </c>
      <c r="B1639" s="3" t="str">
        <f t="shared" si="1"/>
        <v>50, 50, HAUNTER</v>
      </c>
      <c r="C1639" s="2" t="s">
        <v>3200</v>
      </c>
    </row>
    <row r="1640" ht="12.75" customHeight="1">
      <c r="A1640" s="3" t="s">
        <v>3201</v>
      </c>
      <c r="B1640" s="3" t="str">
        <f t="shared" si="1"/>
        <v>22, 22, MISDREAVUS</v>
      </c>
      <c r="C1640" s="2" t="s">
        <v>3201</v>
      </c>
    </row>
    <row r="1641" ht="12.75" customHeight="1">
      <c r="A1641" s="3"/>
      <c r="B1641" s="3" t="str">
        <f t="shared" si="1"/>
        <v/>
      </c>
      <c r="C1641" s="2" t="s">
        <v>2801</v>
      </c>
    </row>
    <row r="1642" ht="12.75" customHeight="1">
      <c r="A1642" s="3" t="s">
        <v>2813</v>
      </c>
      <c r="B1642" s="3" t="str">
        <f t="shared" si="1"/>
        <v>0.01</v>
      </c>
      <c r="C1642" s="2" t="s">
        <v>2813</v>
      </c>
    </row>
    <row r="1643" ht="12.75" customHeight="1">
      <c r="A1643" s="3" t="s">
        <v>3202</v>
      </c>
      <c r="B1643" s="3" t="str">
        <f t="shared" si="1"/>
        <v>52, 52, HAUNTER</v>
      </c>
      <c r="C1643" s="2" t="s">
        <v>3202</v>
      </c>
    </row>
    <row r="1644" ht="12.75" customHeight="1">
      <c r="A1644" s="3" t="s">
        <v>3203</v>
      </c>
      <c r="B1644" s="3" t="str">
        <f t="shared" si="1"/>
        <v>22, 22, MISDREAVUS , &lt;null&gt;, &lt;null&gt;, &lt;null&gt;</v>
      </c>
      <c r="C1644" s="2" t="s">
        <v>3203</v>
      </c>
    </row>
    <row r="1645" ht="12.75" customHeight="1">
      <c r="A1645" s="3"/>
      <c r="B1645" s="3" t="str">
        <f t="shared" si="1"/>
        <v/>
      </c>
      <c r="C1645" s="2" t="s">
        <v>2801</v>
      </c>
    </row>
    <row r="1646" ht="12.75" customHeight="1">
      <c r="A1646" s="3" t="s">
        <v>2539</v>
      </c>
      <c r="B1646" s="3" t="str">
        <f t="shared" si="1"/>
        <v>NEW ROUTE</v>
      </c>
      <c r="C1646" s="2" t="s">
        <v>2539</v>
      </c>
    </row>
    <row r="1647" ht="12.75" customHeight="1">
      <c r="A1647" s="3" t="s">
        <v>3214</v>
      </c>
      <c r="B1647" s="3" t="str">
        <f t="shared" si="1"/>
        <v>2, 22, 0,</v>
      </c>
      <c r="C1647" s="2" t="s">
        <v>3214</v>
      </c>
    </row>
    <row r="1648" ht="12.75" customHeight="1">
      <c r="A1648" s="3" t="s">
        <v>3056</v>
      </c>
      <c r="B1648" s="3" t="str">
        <f t="shared" si="1"/>
        <v>20%</v>
      </c>
      <c r="C1648" s="2" t="s">
        <v>2799</v>
      </c>
    </row>
    <row r="1649" ht="12.75" customHeight="1">
      <c r="A1649" s="3" t="s">
        <v>789</v>
      </c>
      <c r="B1649" s="3" t="str">
        <f t="shared" si="1"/>
        <v>40, 40, GASTLY</v>
      </c>
      <c r="C1649" s="2" t="s">
        <v>789</v>
      </c>
    </row>
    <row r="1650" ht="12.75" customHeight="1">
      <c r="A1650" s="3" t="s">
        <v>3193</v>
      </c>
      <c r="B1650" s="3" t="str">
        <f t="shared" si="1"/>
        <v>37, 37, ZUBAT</v>
      </c>
      <c r="C1650" s="2" t="s">
        <v>3193</v>
      </c>
    </row>
    <row r="1651" ht="12.75" customHeight="1">
      <c r="A1651" s="3"/>
      <c r="B1651" s="3" t="str">
        <f t="shared" si="1"/>
        <v/>
      </c>
      <c r="C1651" s="2" t="s">
        <v>2801</v>
      </c>
    </row>
    <row r="1652" ht="12.75" customHeight="1">
      <c r="A1652" s="3" t="s">
        <v>2802</v>
      </c>
      <c r="B1652" s="3" t="str">
        <f t="shared" si="1"/>
        <v>0.1</v>
      </c>
      <c r="C1652" s="2" t="s">
        <v>2802</v>
      </c>
    </row>
    <row r="1653" ht="12.75" customHeight="1">
      <c r="A1653" s="3" t="s">
        <v>3194</v>
      </c>
      <c r="B1653" s="3" t="str">
        <f t="shared" si="1"/>
        <v>44, 44, HAUNTER</v>
      </c>
      <c r="C1653" s="2" t="s">
        <v>3194</v>
      </c>
    </row>
    <row r="1654" ht="12.75" customHeight="1">
      <c r="A1654" s="3" t="s">
        <v>3195</v>
      </c>
      <c r="B1654" s="3" t="str">
        <f t="shared" si="1"/>
        <v>46, 46, HAUNTER</v>
      </c>
      <c r="C1654" s="2" t="s">
        <v>3195</v>
      </c>
    </row>
    <row r="1655" ht="12.75" customHeight="1">
      <c r="A1655" s="3" t="s">
        <v>3196</v>
      </c>
      <c r="B1655" s="3" t="str">
        <f t="shared" si="1"/>
        <v>41, 41, GOLBAT</v>
      </c>
      <c r="C1655" s="2" t="s">
        <v>3196</v>
      </c>
    </row>
    <row r="1656" ht="12.75" customHeight="1">
      <c r="A1656" s="3" t="s">
        <v>3197</v>
      </c>
      <c r="B1656" s="3" t="str">
        <f t="shared" si="1"/>
        <v>43, 43, GOLBAT</v>
      </c>
      <c r="C1656" s="2" t="s">
        <v>3197</v>
      </c>
    </row>
    <row r="1657" ht="12.75" customHeight="1">
      <c r="A1657" s="3"/>
      <c r="B1657" s="3" t="str">
        <f t="shared" si="1"/>
        <v/>
      </c>
      <c r="C1657" s="2" t="s">
        <v>2801</v>
      </c>
    </row>
    <row r="1658" ht="12.75" customHeight="1">
      <c r="A1658" s="3" t="s">
        <v>2807</v>
      </c>
      <c r="B1658" s="3" t="str">
        <f t="shared" si="1"/>
        <v>0.05</v>
      </c>
      <c r="C1658" s="2" t="s">
        <v>2807</v>
      </c>
    </row>
    <row r="1659" ht="12.75" customHeight="1">
      <c r="A1659" s="3" t="s">
        <v>3198</v>
      </c>
      <c r="B1659" s="3" t="str">
        <f t="shared" si="1"/>
        <v>38, 38, GASTLY</v>
      </c>
      <c r="C1659" s="2" t="s">
        <v>3198</v>
      </c>
    </row>
    <row r="1660" ht="12.75" customHeight="1">
      <c r="A1660" s="3" t="s">
        <v>3199</v>
      </c>
      <c r="B1660" s="3" t="str">
        <f t="shared" si="1"/>
        <v>48, 48, HAUNTER</v>
      </c>
      <c r="C1660" s="2" t="s">
        <v>3199</v>
      </c>
    </row>
    <row r="1661" ht="12.75" customHeight="1">
      <c r="A1661" s="3"/>
      <c r="B1661" s="3" t="str">
        <f t="shared" si="1"/>
        <v/>
      </c>
      <c r="C1661" s="2" t="s">
        <v>2801</v>
      </c>
    </row>
    <row r="1662" ht="12.75" customHeight="1">
      <c r="A1662" s="3" t="s">
        <v>2810</v>
      </c>
      <c r="B1662" s="3" t="str">
        <f t="shared" si="1"/>
        <v>0.04</v>
      </c>
      <c r="C1662" s="2" t="s">
        <v>2810</v>
      </c>
    </row>
    <row r="1663" ht="12.75" customHeight="1">
      <c r="A1663" s="3" t="s">
        <v>3200</v>
      </c>
      <c r="B1663" s="3" t="str">
        <f t="shared" si="1"/>
        <v>50, 50, HAUNTER</v>
      </c>
      <c r="C1663" s="2" t="s">
        <v>3200</v>
      </c>
    </row>
    <row r="1664" ht="12.75" customHeight="1">
      <c r="A1664" s="3" t="s">
        <v>3201</v>
      </c>
      <c r="B1664" s="3" t="str">
        <f t="shared" si="1"/>
        <v>22, 22, MISDREAVUS</v>
      </c>
      <c r="C1664" s="2" t="s">
        <v>3201</v>
      </c>
    </row>
    <row r="1665" ht="12.75" customHeight="1">
      <c r="A1665" s="3"/>
      <c r="B1665" s="3" t="str">
        <f t="shared" si="1"/>
        <v/>
      </c>
      <c r="C1665" s="2" t="s">
        <v>2801</v>
      </c>
    </row>
    <row r="1666" ht="12.75" customHeight="1">
      <c r="A1666" s="3" t="s">
        <v>2813</v>
      </c>
      <c r="B1666" s="3" t="str">
        <f t="shared" si="1"/>
        <v>0.01</v>
      </c>
      <c r="C1666" s="2" t="s">
        <v>2813</v>
      </c>
    </row>
    <row r="1667" ht="12.75" customHeight="1">
      <c r="A1667" s="3" t="s">
        <v>3202</v>
      </c>
      <c r="B1667" s="3" t="str">
        <f t="shared" si="1"/>
        <v>52, 52, HAUNTER</v>
      </c>
      <c r="C1667" s="2" t="s">
        <v>3202</v>
      </c>
    </row>
    <row r="1668" ht="12.75" customHeight="1">
      <c r="A1668" s="3" t="s">
        <v>3203</v>
      </c>
      <c r="B1668" s="3" t="str">
        <f t="shared" si="1"/>
        <v>22, 22, MISDREAVUS , &lt;null&gt;, &lt;null&gt;, &lt;null&gt;</v>
      </c>
      <c r="C1668" s="2" t="s">
        <v>3203</v>
      </c>
    </row>
    <row r="1669" ht="12.75" customHeight="1">
      <c r="A1669" s="3"/>
      <c r="B1669" s="3" t="str">
        <f t="shared" si="1"/>
        <v/>
      </c>
      <c r="C1669" s="2" t="s">
        <v>2801</v>
      </c>
    </row>
    <row r="1670" ht="12.75" customHeight="1">
      <c r="A1670" s="3" t="s">
        <v>2539</v>
      </c>
      <c r="B1670" s="3" t="str">
        <f t="shared" si="1"/>
        <v>NEW ROUTE</v>
      </c>
      <c r="C1670" s="2" t="s">
        <v>2539</v>
      </c>
    </row>
    <row r="1671" ht="12.75" customHeight="1">
      <c r="A1671" s="3" t="s">
        <v>3215</v>
      </c>
      <c r="B1671" s="3" t="str">
        <f t="shared" si="1"/>
        <v>2, 23, 0,</v>
      </c>
      <c r="C1671" s="2" t="s">
        <v>3215</v>
      </c>
    </row>
    <row r="1672" ht="12.75" customHeight="1">
      <c r="A1672" s="3" t="s">
        <v>2824</v>
      </c>
      <c r="B1672" s="3" t="str">
        <f t="shared" si="1"/>
        <v>20%</v>
      </c>
      <c r="C1672" s="2" t="s">
        <v>2799</v>
      </c>
    </row>
    <row r="1673" ht="12.75" customHeight="1">
      <c r="A1673" s="3" t="s">
        <v>789</v>
      </c>
      <c r="B1673" s="3" t="str">
        <f t="shared" si="1"/>
        <v>40, 40, GASTLY</v>
      </c>
      <c r="C1673" s="2" t="s">
        <v>789</v>
      </c>
    </row>
    <row r="1674" ht="12.75" customHeight="1">
      <c r="A1674" s="3" t="s">
        <v>3193</v>
      </c>
      <c r="B1674" s="3" t="str">
        <f t="shared" si="1"/>
        <v>37, 37, ZUBAT</v>
      </c>
      <c r="C1674" s="2" t="s">
        <v>3193</v>
      </c>
    </row>
    <row r="1675" ht="12.75" customHeight="1">
      <c r="A1675" s="3"/>
      <c r="B1675" s="3" t="str">
        <f t="shared" si="1"/>
        <v/>
      </c>
      <c r="C1675" s="2" t="s">
        <v>2801</v>
      </c>
    </row>
    <row r="1676" ht="12.75" customHeight="1">
      <c r="A1676" s="3" t="s">
        <v>2802</v>
      </c>
      <c r="B1676" s="3" t="str">
        <f t="shared" si="1"/>
        <v>0.1</v>
      </c>
      <c r="C1676" s="2" t="s">
        <v>2802</v>
      </c>
    </row>
    <row r="1677" ht="12.75" customHeight="1">
      <c r="A1677" s="3" t="s">
        <v>3194</v>
      </c>
      <c r="B1677" s="3" t="str">
        <f t="shared" si="1"/>
        <v>44, 44, HAUNTER</v>
      </c>
      <c r="C1677" s="2" t="s">
        <v>3194</v>
      </c>
    </row>
    <row r="1678" ht="12.75" customHeight="1">
      <c r="A1678" s="3" t="s">
        <v>3195</v>
      </c>
      <c r="B1678" s="3" t="str">
        <f t="shared" si="1"/>
        <v>46, 46, HAUNTER</v>
      </c>
      <c r="C1678" s="2" t="s">
        <v>3195</v>
      </c>
    </row>
    <row r="1679" ht="12.75" customHeight="1">
      <c r="A1679" s="3" t="s">
        <v>3196</v>
      </c>
      <c r="B1679" s="3" t="str">
        <f t="shared" si="1"/>
        <v>41, 41, GOLBAT</v>
      </c>
      <c r="C1679" s="2" t="s">
        <v>3196</v>
      </c>
    </row>
    <row r="1680" ht="12.75" customHeight="1">
      <c r="A1680" s="3" t="s">
        <v>3216</v>
      </c>
      <c r="B1680" s="3" t="str">
        <f t="shared" si="1"/>
        <v>15, 15, MISDREAVUS</v>
      </c>
      <c r="C1680" s="2" t="s">
        <v>3216</v>
      </c>
    </row>
    <row r="1681" ht="12.75" customHeight="1">
      <c r="A1681" s="3"/>
      <c r="B1681" s="3" t="str">
        <f t="shared" si="1"/>
        <v/>
      </c>
      <c r="C1681" s="2" t="s">
        <v>2801</v>
      </c>
    </row>
    <row r="1682" ht="12.75" customHeight="1">
      <c r="A1682" s="3" t="s">
        <v>2807</v>
      </c>
      <c r="B1682" s="3" t="str">
        <f t="shared" si="1"/>
        <v>0.05</v>
      </c>
      <c r="C1682" s="2" t="s">
        <v>2807</v>
      </c>
    </row>
    <row r="1683" ht="12.75" customHeight="1">
      <c r="A1683" s="3" t="s">
        <v>3217</v>
      </c>
      <c r="B1683" s="3" t="str">
        <f t="shared" si="1"/>
        <v>20, 20, MISDREAVUS</v>
      </c>
      <c r="C1683" s="2" t="s">
        <v>3217</v>
      </c>
    </row>
    <row r="1684" ht="12.75" customHeight="1">
      <c r="A1684" s="3" t="s">
        <v>3199</v>
      </c>
      <c r="B1684" s="3" t="str">
        <f t="shared" si="1"/>
        <v>48, 48, HAUNTER</v>
      </c>
      <c r="C1684" s="2" t="s">
        <v>3199</v>
      </c>
    </row>
    <row r="1685" ht="12.75" customHeight="1">
      <c r="A1685" s="3"/>
      <c r="B1685" s="3" t="str">
        <f t="shared" si="1"/>
        <v/>
      </c>
      <c r="C1685" s="2" t="s">
        <v>2801</v>
      </c>
    </row>
    <row r="1686" ht="12.75" customHeight="1">
      <c r="A1686" s="3" t="s">
        <v>2810</v>
      </c>
      <c r="B1686" s="3" t="str">
        <f t="shared" si="1"/>
        <v>0.04</v>
      </c>
      <c r="C1686" s="2" t="s">
        <v>2810</v>
      </c>
    </row>
    <row r="1687" ht="12.75" customHeight="1">
      <c r="A1687" s="3" t="s">
        <v>3200</v>
      </c>
      <c r="B1687" s="3" t="str">
        <f t="shared" si="1"/>
        <v>50, 50, HAUNTER</v>
      </c>
      <c r="C1687" s="2" t="s">
        <v>3200</v>
      </c>
    </row>
    <row r="1688" ht="12.75" customHeight="1">
      <c r="A1688" s="3" t="s">
        <v>3201</v>
      </c>
      <c r="B1688" s="3" t="str">
        <f t="shared" si="1"/>
        <v>22, 22, MISDREAVUS</v>
      </c>
      <c r="C1688" s="2" t="s">
        <v>3201</v>
      </c>
    </row>
    <row r="1689" ht="12.75" customHeight="1">
      <c r="A1689" s="3"/>
      <c r="B1689" s="3" t="str">
        <f t="shared" si="1"/>
        <v/>
      </c>
      <c r="C1689" s="2" t="s">
        <v>2801</v>
      </c>
    </row>
    <row r="1690" ht="12.75" customHeight="1">
      <c r="A1690" s="3" t="s">
        <v>2813</v>
      </c>
      <c r="B1690" s="3" t="str">
        <f t="shared" si="1"/>
        <v>0.01</v>
      </c>
      <c r="C1690" s="2" t="s">
        <v>2813</v>
      </c>
    </row>
    <row r="1691" ht="12.75" customHeight="1">
      <c r="A1691" s="3" t="s">
        <v>3202</v>
      </c>
      <c r="B1691" s="3" t="str">
        <f t="shared" si="1"/>
        <v>52, 52, HAUNTER</v>
      </c>
      <c r="C1691" s="2" t="s">
        <v>3202</v>
      </c>
    </row>
    <row r="1692" ht="12.75" customHeight="1">
      <c r="A1692" s="3" t="s">
        <v>3203</v>
      </c>
      <c r="B1692" s="3" t="str">
        <f t="shared" si="1"/>
        <v>22, 22, MISDREAVUS , &lt;null&gt;, &lt;null&gt;, &lt;null&gt;</v>
      </c>
      <c r="C1692" s="2" t="s">
        <v>3203</v>
      </c>
    </row>
    <row r="1693" ht="12.75" customHeight="1">
      <c r="A1693" s="3"/>
      <c r="B1693" s="3" t="str">
        <f t="shared" si="1"/>
        <v/>
      </c>
      <c r="C1693" s="2" t="s">
        <v>2801</v>
      </c>
    </row>
    <row r="1694" ht="12.75" customHeight="1">
      <c r="A1694" s="3" t="s">
        <v>2539</v>
      </c>
      <c r="B1694" s="3" t="str">
        <f t="shared" si="1"/>
        <v>NEW ROUTE</v>
      </c>
      <c r="C1694" s="2" t="s">
        <v>2539</v>
      </c>
    </row>
    <row r="1695" ht="12.75" customHeight="1">
      <c r="A1695" s="3" t="s">
        <v>3218</v>
      </c>
      <c r="B1695" s="3" t="str">
        <f t="shared" si="1"/>
        <v>2, 24, 0,</v>
      </c>
      <c r="C1695" s="2" t="s">
        <v>3218</v>
      </c>
    </row>
    <row r="1696" ht="12.75" customHeight="1">
      <c r="A1696" s="3" t="s">
        <v>2824</v>
      </c>
      <c r="B1696" s="3" t="str">
        <f t="shared" si="1"/>
        <v>20%</v>
      </c>
      <c r="C1696" s="2" t="s">
        <v>2799</v>
      </c>
    </row>
    <row r="1697" ht="12.75" customHeight="1">
      <c r="A1697" s="3" t="s">
        <v>789</v>
      </c>
      <c r="B1697" s="3" t="str">
        <f t="shared" si="1"/>
        <v>40, 40, GASTLY</v>
      </c>
      <c r="C1697" s="2" t="s">
        <v>789</v>
      </c>
    </row>
    <row r="1698" ht="12.75" customHeight="1">
      <c r="A1698" s="3" t="s">
        <v>3193</v>
      </c>
      <c r="B1698" s="3" t="str">
        <f t="shared" si="1"/>
        <v>37, 37, ZUBAT</v>
      </c>
      <c r="C1698" s="2" t="s">
        <v>3193</v>
      </c>
    </row>
    <row r="1699" ht="12.75" customHeight="1">
      <c r="A1699" s="3"/>
      <c r="B1699" s="3" t="str">
        <f t="shared" si="1"/>
        <v/>
      </c>
      <c r="C1699" s="2" t="s">
        <v>2801</v>
      </c>
    </row>
    <row r="1700" ht="12.75" customHeight="1">
      <c r="A1700" s="3" t="s">
        <v>2802</v>
      </c>
      <c r="B1700" s="3" t="str">
        <f t="shared" si="1"/>
        <v>0.1</v>
      </c>
      <c r="C1700" s="2" t="s">
        <v>2802</v>
      </c>
    </row>
    <row r="1701" ht="12.75" customHeight="1">
      <c r="A1701" s="3" t="s">
        <v>3194</v>
      </c>
      <c r="B1701" s="3" t="str">
        <f t="shared" si="1"/>
        <v>44, 44, HAUNTER</v>
      </c>
      <c r="C1701" s="2" t="s">
        <v>3194</v>
      </c>
    </row>
    <row r="1702" ht="12.75" customHeight="1">
      <c r="A1702" s="3" t="s">
        <v>3195</v>
      </c>
      <c r="B1702" s="3" t="str">
        <f t="shared" si="1"/>
        <v>46, 46, HAUNTER</v>
      </c>
      <c r="C1702" s="2" t="s">
        <v>3195</v>
      </c>
    </row>
    <row r="1703" ht="12.75" customHeight="1">
      <c r="A1703" s="3" t="s">
        <v>3196</v>
      </c>
      <c r="B1703" s="3" t="str">
        <f t="shared" si="1"/>
        <v>41, 41, GOLBAT</v>
      </c>
      <c r="C1703" s="2" t="s">
        <v>3196</v>
      </c>
    </row>
    <row r="1704" ht="12.75" customHeight="1">
      <c r="A1704" s="3" t="s">
        <v>3216</v>
      </c>
      <c r="B1704" s="3" t="str">
        <f t="shared" si="1"/>
        <v>15, 15, MISDREAVUS</v>
      </c>
      <c r="C1704" s="2" t="s">
        <v>3216</v>
      </c>
    </row>
    <row r="1705" ht="12.75" customHeight="1">
      <c r="A1705" s="3"/>
      <c r="B1705" s="3" t="str">
        <f t="shared" si="1"/>
        <v/>
      </c>
      <c r="C1705" s="2" t="s">
        <v>2801</v>
      </c>
    </row>
    <row r="1706" ht="12.75" customHeight="1">
      <c r="A1706" s="3" t="s">
        <v>2807</v>
      </c>
      <c r="B1706" s="3" t="str">
        <f t="shared" si="1"/>
        <v>0.05</v>
      </c>
      <c r="C1706" s="2" t="s">
        <v>2807</v>
      </c>
    </row>
    <row r="1707" ht="12.75" customHeight="1">
      <c r="A1707" s="3" t="s">
        <v>3217</v>
      </c>
      <c r="B1707" s="3" t="str">
        <f t="shared" si="1"/>
        <v>20, 20, MISDREAVUS</v>
      </c>
      <c r="C1707" s="2" t="s">
        <v>3217</v>
      </c>
    </row>
    <row r="1708" ht="12.75" customHeight="1">
      <c r="A1708" s="3" t="s">
        <v>3199</v>
      </c>
      <c r="B1708" s="3" t="str">
        <f t="shared" si="1"/>
        <v>48, 48, HAUNTER</v>
      </c>
      <c r="C1708" s="2" t="s">
        <v>3199</v>
      </c>
    </row>
    <row r="1709" ht="12.75" customHeight="1">
      <c r="A1709" s="3"/>
      <c r="B1709" s="3" t="str">
        <f t="shared" si="1"/>
        <v/>
      </c>
      <c r="C1709" s="2" t="s">
        <v>2801</v>
      </c>
    </row>
    <row r="1710" ht="12.75" customHeight="1">
      <c r="A1710" s="3" t="s">
        <v>2810</v>
      </c>
      <c r="B1710" s="3" t="str">
        <f t="shared" si="1"/>
        <v>0.04</v>
      </c>
      <c r="C1710" s="2" t="s">
        <v>2810</v>
      </c>
    </row>
    <row r="1711" ht="12.75" customHeight="1">
      <c r="A1711" s="3" t="s">
        <v>3200</v>
      </c>
      <c r="B1711" s="3" t="str">
        <f t="shared" si="1"/>
        <v>50, 50, HAUNTER</v>
      </c>
      <c r="C1711" s="2" t="s">
        <v>3200</v>
      </c>
    </row>
    <row r="1712" ht="12.75" customHeight="1">
      <c r="A1712" s="3" t="s">
        <v>3201</v>
      </c>
      <c r="B1712" s="3" t="str">
        <f t="shared" si="1"/>
        <v>22, 22, MISDREAVUS</v>
      </c>
      <c r="C1712" s="2" t="s">
        <v>3201</v>
      </c>
    </row>
    <row r="1713" ht="12.75" customHeight="1">
      <c r="A1713" s="3"/>
      <c r="B1713" s="3" t="str">
        <f t="shared" si="1"/>
        <v/>
      </c>
      <c r="C1713" s="2" t="s">
        <v>2801</v>
      </c>
    </row>
    <row r="1714" ht="12.75" customHeight="1">
      <c r="A1714" s="3" t="s">
        <v>2813</v>
      </c>
      <c r="B1714" s="3" t="str">
        <f t="shared" si="1"/>
        <v>0.01</v>
      </c>
      <c r="C1714" s="2" t="s">
        <v>2813</v>
      </c>
    </row>
    <row r="1715" ht="12.75" customHeight="1">
      <c r="A1715" s="3" t="s">
        <v>3202</v>
      </c>
      <c r="B1715" s="3" t="str">
        <f t="shared" si="1"/>
        <v>52, 52, HAUNTER</v>
      </c>
      <c r="C1715" s="2" t="s">
        <v>3202</v>
      </c>
    </row>
    <row r="1716" ht="12.75" customHeight="1">
      <c r="A1716" s="3" t="s">
        <v>3203</v>
      </c>
      <c r="B1716" s="3" t="str">
        <f t="shared" si="1"/>
        <v>22, 22, MISDREAVUS , &lt;null&gt;, &lt;null&gt;, &lt;null&gt;</v>
      </c>
      <c r="C1716" s="2" t="s">
        <v>3203</v>
      </c>
    </row>
    <row r="1717" ht="12.75" customHeight="1">
      <c r="A1717" s="3"/>
      <c r="B1717" s="3" t="str">
        <f t="shared" si="1"/>
        <v/>
      </c>
      <c r="C1717" s="2" t="s">
        <v>2801</v>
      </c>
    </row>
    <row r="1718" ht="12.75" customHeight="1">
      <c r="A1718" s="3" t="s">
        <v>2539</v>
      </c>
      <c r="B1718" s="3" t="str">
        <f t="shared" si="1"/>
        <v>NEW ROUTE</v>
      </c>
      <c r="C1718" s="2" t="s">
        <v>2539</v>
      </c>
    </row>
    <row r="1719" ht="12.75" customHeight="1">
      <c r="A1719" s="3" t="s">
        <v>3219</v>
      </c>
      <c r="B1719" s="3" t="str">
        <f t="shared" si="1"/>
        <v>2, 25, 0,</v>
      </c>
      <c r="C1719" s="2" t="s">
        <v>3219</v>
      </c>
    </row>
    <row r="1720" ht="12.75" customHeight="1">
      <c r="A1720" s="3" t="s">
        <v>2824</v>
      </c>
      <c r="B1720" s="3" t="str">
        <f t="shared" si="1"/>
        <v>20%</v>
      </c>
      <c r="C1720" s="2" t="s">
        <v>2799</v>
      </c>
    </row>
    <row r="1721" ht="12.75" customHeight="1">
      <c r="A1721" s="3" t="s">
        <v>789</v>
      </c>
      <c r="B1721" s="3" t="str">
        <f t="shared" si="1"/>
        <v>40, 40, GASTLY</v>
      </c>
      <c r="C1721" s="2" t="s">
        <v>789</v>
      </c>
    </row>
    <row r="1722" ht="12.75" customHeight="1">
      <c r="A1722" s="3" t="s">
        <v>3193</v>
      </c>
      <c r="B1722" s="3" t="str">
        <f t="shared" si="1"/>
        <v>37, 37, ZUBAT</v>
      </c>
      <c r="C1722" s="2" t="s">
        <v>3193</v>
      </c>
    </row>
    <row r="1723" ht="12.75" customHeight="1">
      <c r="A1723" s="3"/>
      <c r="B1723" s="3" t="str">
        <f t="shared" si="1"/>
        <v/>
      </c>
      <c r="C1723" s="2" t="s">
        <v>2801</v>
      </c>
    </row>
    <row r="1724" ht="12.75" customHeight="1">
      <c r="A1724" s="3" t="s">
        <v>2802</v>
      </c>
      <c r="B1724" s="3" t="str">
        <f t="shared" si="1"/>
        <v>0.1</v>
      </c>
      <c r="C1724" s="2" t="s">
        <v>2802</v>
      </c>
    </row>
    <row r="1725" ht="12.75" customHeight="1">
      <c r="A1725" s="3" t="s">
        <v>3194</v>
      </c>
      <c r="B1725" s="3" t="str">
        <f t="shared" si="1"/>
        <v>44, 44, HAUNTER</v>
      </c>
      <c r="C1725" s="2" t="s">
        <v>3194</v>
      </c>
    </row>
    <row r="1726" ht="12.75" customHeight="1">
      <c r="A1726" s="3" t="s">
        <v>3195</v>
      </c>
      <c r="B1726" s="3" t="str">
        <f t="shared" si="1"/>
        <v>46, 46, HAUNTER</v>
      </c>
      <c r="C1726" s="2" t="s">
        <v>3195</v>
      </c>
    </row>
    <row r="1727" ht="12.75" customHeight="1">
      <c r="A1727" s="3" t="s">
        <v>3196</v>
      </c>
      <c r="B1727" s="3" t="str">
        <f t="shared" si="1"/>
        <v>41, 41, GOLBAT</v>
      </c>
      <c r="C1727" s="2" t="s">
        <v>3196</v>
      </c>
    </row>
    <row r="1728" ht="12.75" customHeight="1">
      <c r="A1728" s="3" t="s">
        <v>3216</v>
      </c>
      <c r="B1728" s="3" t="str">
        <f t="shared" si="1"/>
        <v>15, 15, MISDREAVUS</v>
      </c>
      <c r="C1728" s="2" t="s">
        <v>3216</v>
      </c>
    </row>
    <row r="1729" ht="12.75" customHeight="1">
      <c r="A1729" s="3"/>
      <c r="B1729" s="3" t="str">
        <f t="shared" si="1"/>
        <v/>
      </c>
      <c r="C1729" s="2" t="s">
        <v>2801</v>
      </c>
    </row>
    <row r="1730" ht="12.75" customHeight="1">
      <c r="A1730" s="3" t="s">
        <v>2807</v>
      </c>
      <c r="B1730" s="3" t="str">
        <f t="shared" si="1"/>
        <v>0.05</v>
      </c>
      <c r="C1730" s="2" t="s">
        <v>2807</v>
      </c>
    </row>
    <row r="1731" ht="12.75" customHeight="1">
      <c r="A1731" s="3" t="s">
        <v>3217</v>
      </c>
      <c r="B1731" s="3" t="str">
        <f t="shared" si="1"/>
        <v>20, 20, MISDREAVUS</v>
      </c>
      <c r="C1731" s="2" t="s">
        <v>3217</v>
      </c>
    </row>
    <row r="1732" ht="12.75" customHeight="1">
      <c r="A1732" s="3" t="s">
        <v>3199</v>
      </c>
      <c r="B1732" s="3" t="str">
        <f t="shared" si="1"/>
        <v>48, 48, HAUNTER</v>
      </c>
      <c r="C1732" s="2" t="s">
        <v>3199</v>
      </c>
    </row>
    <row r="1733" ht="12.75" customHeight="1">
      <c r="A1733" s="3"/>
      <c r="B1733" s="3" t="str">
        <f t="shared" si="1"/>
        <v/>
      </c>
      <c r="C1733" s="2" t="s">
        <v>2801</v>
      </c>
    </row>
    <row r="1734" ht="12.75" customHeight="1">
      <c r="A1734" s="3" t="s">
        <v>2810</v>
      </c>
      <c r="B1734" s="3" t="str">
        <f t="shared" si="1"/>
        <v>0.04</v>
      </c>
      <c r="C1734" s="2" t="s">
        <v>2810</v>
      </c>
    </row>
    <row r="1735" ht="12.75" customHeight="1">
      <c r="A1735" s="3" t="s">
        <v>3200</v>
      </c>
      <c r="B1735" s="3" t="str">
        <f t="shared" si="1"/>
        <v>50, 50, HAUNTER</v>
      </c>
      <c r="C1735" s="2" t="s">
        <v>3200</v>
      </c>
    </row>
    <row r="1736" ht="12.75" customHeight="1">
      <c r="A1736" s="3" t="s">
        <v>3201</v>
      </c>
      <c r="B1736" s="3" t="str">
        <f t="shared" si="1"/>
        <v>22, 22, MISDREAVUS</v>
      </c>
      <c r="C1736" s="2" t="s">
        <v>3201</v>
      </c>
    </row>
    <row r="1737" ht="12.75" customHeight="1">
      <c r="A1737" s="3"/>
      <c r="B1737" s="3" t="str">
        <f t="shared" si="1"/>
        <v/>
      </c>
      <c r="C1737" s="2" t="s">
        <v>2801</v>
      </c>
    </row>
    <row r="1738" ht="12.75" customHeight="1">
      <c r="A1738" s="3" t="s">
        <v>2813</v>
      </c>
      <c r="B1738" s="3" t="str">
        <f t="shared" si="1"/>
        <v>0.01</v>
      </c>
      <c r="C1738" s="2" t="s">
        <v>2813</v>
      </c>
    </row>
    <row r="1739" ht="12.75" customHeight="1">
      <c r="A1739" s="3" t="s">
        <v>3202</v>
      </c>
      <c r="B1739" s="3" t="str">
        <f t="shared" si="1"/>
        <v>52, 52, HAUNTER</v>
      </c>
      <c r="C1739" s="2" t="s">
        <v>3202</v>
      </c>
    </row>
    <row r="1740" ht="12.75" customHeight="1">
      <c r="A1740" s="3" t="s">
        <v>3203</v>
      </c>
      <c r="B1740" s="3" t="str">
        <f t="shared" si="1"/>
        <v>22, 22, MISDREAVUS , &lt;null&gt;, &lt;null&gt;, &lt;null&gt;</v>
      </c>
      <c r="C1740" s="2" t="s">
        <v>3203</v>
      </c>
    </row>
    <row r="1741" ht="12.75" customHeight="1">
      <c r="A1741" s="3"/>
      <c r="B1741" s="3" t="str">
        <f t="shared" si="1"/>
        <v/>
      </c>
      <c r="C1741" s="2" t="s">
        <v>2801</v>
      </c>
    </row>
    <row r="1742" ht="12.75" customHeight="1">
      <c r="A1742" s="3" t="s">
        <v>2539</v>
      </c>
      <c r="B1742" s="3" t="str">
        <f t="shared" si="1"/>
        <v>NEW ROUTE</v>
      </c>
      <c r="C1742" s="2" t="s">
        <v>2539</v>
      </c>
    </row>
    <row r="1743" ht="12.75" customHeight="1">
      <c r="A1743" s="3" t="s">
        <v>3220</v>
      </c>
      <c r="B1743" s="3" t="str">
        <f t="shared" si="1"/>
        <v>2, 26, 0,</v>
      </c>
      <c r="C1743" s="2" t="s">
        <v>3220</v>
      </c>
    </row>
    <row r="1744" ht="12.75" customHeight="1">
      <c r="A1744" s="3" t="s">
        <v>2824</v>
      </c>
      <c r="B1744" s="3" t="str">
        <f t="shared" si="1"/>
        <v>20%</v>
      </c>
      <c r="C1744" s="2" t="s">
        <v>2799</v>
      </c>
    </row>
    <row r="1745" ht="12.75" customHeight="1">
      <c r="A1745" s="3" t="s">
        <v>789</v>
      </c>
      <c r="B1745" s="3" t="str">
        <f t="shared" si="1"/>
        <v>40, 40, GASTLY</v>
      </c>
      <c r="C1745" s="2" t="s">
        <v>789</v>
      </c>
    </row>
    <row r="1746" ht="12.75" customHeight="1">
      <c r="A1746" s="3" t="s">
        <v>3193</v>
      </c>
      <c r="B1746" s="3" t="str">
        <f t="shared" si="1"/>
        <v>37, 37, ZUBAT</v>
      </c>
      <c r="C1746" s="2" t="s">
        <v>3193</v>
      </c>
    </row>
    <row r="1747" ht="12.75" customHeight="1">
      <c r="A1747" s="3"/>
      <c r="B1747" s="3" t="str">
        <f t="shared" si="1"/>
        <v/>
      </c>
      <c r="C1747" s="2" t="s">
        <v>2801</v>
      </c>
    </row>
    <row r="1748" ht="12.75" customHeight="1">
      <c r="A1748" s="3" t="s">
        <v>2802</v>
      </c>
      <c r="B1748" s="3" t="str">
        <f t="shared" si="1"/>
        <v>0.1</v>
      </c>
      <c r="C1748" s="2" t="s">
        <v>2802</v>
      </c>
    </row>
    <row r="1749" ht="12.75" customHeight="1">
      <c r="A1749" s="3" t="s">
        <v>3194</v>
      </c>
      <c r="B1749" s="3" t="str">
        <f t="shared" si="1"/>
        <v>44, 44, HAUNTER</v>
      </c>
      <c r="C1749" s="2" t="s">
        <v>3194</v>
      </c>
    </row>
    <row r="1750" ht="12.75" customHeight="1">
      <c r="A1750" s="3" t="s">
        <v>3195</v>
      </c>
      <c r="B1750" s="3" t="str">
        <f t="shared" si="1"/>
        <v>46, 46, HAUNTER</v>
      </c>
      <c r="C1750" s="2" t="s">
        <v>3195</v>
      </c>
    </row>
    <row r="1751" ht="12.75" customHeight="1">
      <c r="A1751" s="3" t="s">
        <v>3196</v>
      </c>
      <c r="B1751" s="3" t="str">
        <f t="shared" si="1"/>
        <v>41, 41, GOLBAT</v>
      </c>
      <c r="C1751" s="2" t="s">
        <v>3196</v>
      </c>
    </row>
    <row r="1752" ht="12.75" customHeight="1">
      <c r="A1752" s="3" t="s">
        <v>3216</v>
      </c>
      <c r="B1752" s="3" t="str">
        <f t="shared" si="1"/>
        <v>15, 15, MISDREAVUS</v>
      </c>
      <c r="C1752" s="2" t="s">
        <v>3216</v>
      </c>
    </row>
    <row r="1753" ht="12.75" customHeight="1">
      <c r="A1753" s="3"/>
      <c r="B1753" s="3" t="str">
        <f t="shared" si="1"/>
        <v/>
      </c>
      <c r="C1753" s="2" t="s">
        <v>2801</v>
      </c>
    </row>
    <row r="1754" ht="12.75" customHeight="1">
      <c r="A1754" s="3" t="s">
        <v>2807</v>
      </c>
      <c r="B1754" s="3" t="str">
        <f t="shared" si="1"/>
        <v>0.05</v>
      </c>
      <c r="C1754" s="2" t="s">
        <v>2807</v>
      </c>
    </row>
    <row r="1755" ht="12.75" customHeight="1">
      <c r="A1755" s="3" t="s">
        <v>3217</v>
      </c>
      <c r="B1755" s="3" t="str">
        <f t="shared" si="1"/>
        <v>20, 20, MISDREAVUS</v>
      </c>
      <c r="C1755" s="2" t="s">
        <v>3217</v>
      </c>
    </row>
    <row r="1756" ht="12.75" customHeight="1">
      <c r="A1756" s="3" t="s">
        <v>3199</v>
      </c>
      <c r="B1756" s="3" t="str">
        <f t="shared" si="1"/>
        <v>48, 48, HAUNTER</v>
      </c>
      <c r="C1756" s="2" t="s">
        <v>3199</v>
      </c>
    </row>
    <row r="1757" ht="12.75" customHeight="1">
      <c r="A1757" s="3"/>
      <c r="B1757" s="3" t="str">
        <f t="shared" si="1"/>
        <v/>
      </c>
      <c r="C1757" s="2" t="s">
        <v>2801</v>
      </c>
    </row>
    <row r="1758" ht="12.75" customHeight="1">
      <c r="A1758" s="3" t="s">
        <v>2810</v>
      </c>
      <c r="B1758" s="3" t="str">
        <f t="shared" si="1"/>
        <v>0.04</v>
      </c>
      <c r="C1758" s="2" t="s">
        <v>2810</v>
      </c>
    </row>
    <row r="1759" ht="12.75" customHeight="1">
      <c r="A1759" s="3" t="s">
        <v>3200</v>
      </c>
      <c r="B1759" s="3" t="str">
        <f t="shared" si="1"/>
        <v>50, 50, HAUNTER</v>
      </c>
      <c r="C1759" s="2" t="s">
        <v>3200</v>
      </c>
    </row>
    <row r="1760" ht="12.75" customHeight="1">
      <c r="A1760" s="3" t="s">
        <v>3201</v>
      </c>
      <c r="B1760" s="3" t="str">
        <f t="shared" si="1"/>
        <v>22, 22, MISDREAVUS</v>
      </c>
      <c r="C1760" s="2" t="s">
        <v>3201</v>
      </c>
    </row>
    <row r="1761" ht="12.75" customHeight="1">
      <c r="A1761" s="3"/>
      <c r="B1761" s="3" t="str">
        <f t="shared" si="1"/>
        <v/>
      </c>
      <c r="C1761" s="2" t="s">
        <v>2801</v>
      </c>
    </row>
    <row r="1762" ht="12.75" customHeight="1">
      <c r="A1762" s="3" t="s">
        <v>2813</v>
      </c>
      <c r="B1762" s="3" t="str">
        <f t="shared" si="1"/>
        <v>0.01</v>
      </c>
      <c r="C1762" s="2" t="s">
        <v>2813</v>
      </c>
    </row>
    <row r="1763" ht="12.75" customHeight="1">
      <c r="A1763" s="3" t="s">
        <v>3202</v>
      </c>
      <c r="B1763" s="3" t="str">
        <f t="shared" si="1"/>
        <v>52, 52, HAUNTER</v>
      </c>
      <c r="C1763" s="2" t="s">
        <v>3202</v>
      </c>
    </row>
    <row r="1764" ht="12.75" customHeight="1">
      <c r="A1764" s="3" t="s">
        <v>3203</v>
      </c>
      <c r="B1764" s="3" t="str">
        <f t="shared" si="1"/>
        <v>22, 22, MISDREAVUS , &lt;null&gt;, &lt;null&gt;, &lt;null&gt;</v>
      </c>
      <c r="C1764" s="2" t="s">
        <v>3203</v>
      </c>
    </row>
    <row r="1765" ht="12.75" customHeight="1">
      <c r="A1765" s="3"/>
      <c r="B1765" s="3" t="str">
        <f t="shared" si="1"/>
        <v/>
      </c>
      <c r="C1765" s="2" t="s">
        <v>2801</v>
      </c>
    </row>
    <row r="1766" ht="12.75" customHeight="1">
      <c r="A1766" s="3" t="s">
        <v>2539</v>
      </c>
      <c r="B1766" s="3" t="str">
        <f t="shared" si="1"/>
        <v>NEW ROUTE</v>
      </c>
      <c r="C1766" s="2" t="s">
        <v>2539</v>
      </c>
    </row>
    <row r="1767" ht="12.75" customHeight="1">
      <c r="A1767" s="3" t="s">
        <v>3221</v>
      </c>
      <c r="B1767" s="3" t="str">
        <f t="shared" si="1"/>
        <v>3, 45, 0,</v>
      </c>
      <c r="C1767" s="2" t="s">
        <v>3221</v>
      </c>
    </row>
    <row r="1768" ht="12.75" customHeight="1">
      <c r="A1768" s="3" t="s">
        <v>2909</v>
      </c>
      <c r="B1768" s="3" t="str">
        <f t="shared" si="1"/>
        <v>20%</v>
      </c>
      <c r="C1768" s="2" t="s">
        <v>2799</v>
      </c>
    </row>
    <row r="1769" ht="12.75" customHeight="1">
      <c r="A1769" s="3" t="s">
        <v>817</v>
      </c>
      <c r="B1769" s="3" t="str">
        <f t="shared" si="1"/>
        <v>32, 32, SPEAROW</v>
      </c>
      <c r="C1769" s="2" t="s">
        <v>817</v>
      </c>
    </row>
    <row r="1770" ht="12.75" customHeight="1">
      <c r="A1770" s="3" t="s">
        <v>3222</v>
      </c>
      <c r="B1770" s="3" t="str">
        <f t="shared" si="1"/>
        <v>34, 34, PONYTA</v>
      </c>
      <c r="C1770" s="2" t="s">
        <v>3222</v>
      </c>
    </row>
    <row r="1771" ht="12.75" customHeight="1">
      <c r="A1771" s="3"/>
      <c r="B1771" s="3" t="str">
        <f t="shared" si="1"/>
        <v/>
      </c>
      <c r="C1771" s="2" t="s">
        <v>2801</v>
      </c>
    </row>
    <row r="1772" ht="12.75" customHeight="1">
      <c r="A1772" s="3" t="s">
        <v>2802</v>
      </c>
      <c r="B1772" s="3" t="str">
        <f t="shared" si="1"/>
        <v>0.1</v>
      </c>
      <c r="C1772" s="2" t="s">
        <v>2802</v>
      </c>
    </row>
    <row r="1773" ht="12.75" customHeight="1">
      <c r="A1773" s="3" t="s">
        <v>3223</v>
      </c>
      <c r="B1773" s="3" t="str">
        <f t="shared" si="1"/>
        <v>36, 36, FEAROW</v>
      </c>
      <c r="C1773" s="2" t="s">
        <v>3223</v>
      </c>
    </row>
    <row r="1774" ht="12.75" customHeight="1">
      <c r="A1774" s="3" t="s">
        <v>3224</v>
      </c>
      <c r="B1774" s="3" t="str">
        <f t="shared" si="1"/>
        <v>31, 31, PONYTA</v>
      </c>
      <c r="C1774" s="2" t="s">
        <v>3224</v>
      </c>
    </row>
    <row r="1775" ht="12.75" customHeight="1">
      <c r="A1775" s="3" t="s">
        <v>3082</v>
      </c>
      <c r="B1775" s="3" t="str">
        <f t="shared" si="1"/>
        <v>31, 31, GEODUDE</v>
      </c>
      <c r="C1775" s="2" t="s">
        <v>3082</v>
      </c>
    </row>
    <row r="1776" ht="12.75" customHeight="1">
      <c r="A1776" s="3" t="s">
        <v>3225</v>
      </c>
      <c r="B1776" s="3" t="str">
        <f t="shared" si="1"/>
        <v>31, 31, MEOWTH</v>
      </c>
      <c r="C1776" s="2" t="s">
        <v>3225</v>
      </c>
    </row>
    <row r="1777" ht="12.75" customHeight="1">
      <c r="A1777" s="3"/>
      <c r="B1777" s="3" t="str">
        <f t="shared" si="1"/>
        <v/>
      </c>
      <c r="C1777" s="2" t="s">
        <v>2801</v>
      </c>
    </row>
    <row r="1778" ht="12.75" customHeight="1">
      <c r="A1778" s="3" t="s">
        <v>2807</v>
      </c>
      <c r="B1778" s="3" t="str">
        <f t="shared" si="1"/>
        <v>0.05</v>
      </c>
      <c r="C1778" s="2" t="s">
        <v>2807</v>
      </c>
    </row>
    <row r="1779" ht="12.75" customHeight="1">
      <c r="A1779" s="3" t="s">
        <v>3226</v>
      </c>
      <c r="B1779" s="3" t="str">
        <f t="shared" si="1"/>
        <v>30, 30, SPEAROW</v>
      </c>
      <c r="C1779" s="2" t="s">
        <v>3226</v>
      </c>
    </row>
    <row r="1780" ht="12.75" customHeight="1">
      <c r="A1780" s="3" t="s">
        <v>3227</v>
      </c>
      <c r="B1780" s="3" t="str">
        <f t="shared" si="1"/>
        <v>34, 34, SLOWPOKE</v>
      </c>
      <c r="C1780" s="2" t="s">
        <v>3227</v>
      </c>
    </row>
    <row r="1781" ht="12.75" customHeight="1">
      <c r="A1781" s="3"/>
      <c r="B1781" s="3" t="str">
        <f t="shared" si="1"/>
        <v/>
      </c>
      <c r="C1781" s="2" t="s">
        <v>2801</v>
      </c>
    </row>
    <row r="1782" ht="12.75" customHeight="1">
      <c r="A1782" s="3" t="s">
        <v>2810</v>
      </c>
      <c r="B1782" s="3" t="str">
        <f t="shared" si="1"/>
        <v>0.04</v>
      </c>
      <c r="C1782" s="2" t="s">
        <v>2810</v>
      </c>
    </row>
    <row r="1783" ht="12.75" customHeight="1">
      <c r="A1783" s="3" t="s">
        <v>3228</v>
      </c>
      <c r="B1783" s="3" t="str">
        <f t="shared" si="1"/>
        <v>37, 37, RAPIDASH</v>
      </c>
      <c r="C1783" s="2" t="s">
        <v>3228</v>
      </c>
    </row>
    <row r="1784" ht="12.75" customHeight="1">
      <c r="A1784" s="3" t="s">
        <v>3229</v>
      </c>
      <c r="B1784" s="3" t="str">
        <f t="shared" si="1"/>
        <v>37, 37, PERSIAN</v>
      </c>
      <c r="C1784" s="2" t="s">
        <v>3229</v>
      </c>
    </row>
    <row r="1785" ht="12.75" customHeight="1">
      <c r="A1785" s="3"/>
      <c r="B1785" s="3" t="str">
        <f t="shared" si="1"/>
        <v/>
      </c>
      <c r="C1785" s="2" t="s">
        <v>2801</v>
      </c>
    </row>
    <row r="1786" ht="12.75" customHeight="1">
      <c r="A1786" s="3" t="s">
        <v>2813</v>
      </c>
      <c r="B1786" s="3" t="str">
        <f t="shared" si="1"/>
        <v>0.01</v>
      </c>
      <c r="C1786" s="2" t="s">
        <v>2813</v>
      </c>
    </row>
    <row r="1787" ht="12.75" customHeight="1">
      <c r="A1787" s="3" t="s">
        <v>3230</v>
      </c>
      <c r="B1787" s="3" t="str">
        <f t="shared" si="1"/>
        <v>40, 40, RAPIDASH</v>
      </c>
      <c r="C1787" s="2" t="s">
        <v>3230</v>
      </c>
    </row>
    <row r="1788" ht="12.75" customHeight="1">
      <c r="A1788" s="3" t="s">
        <v>3231</v>
      </c>
      <c r="B1788" s="3" t="str">
        <f t="shared" si="1"/>
        <v>40, 40, PERSIAN</v>
      </c>
      <c r="C1788" s="2" t="s">
        <v>3231</v>
      </c>
    </row>
    <row r="1789" ht="12.75" customHeight="1">
      <c r="A1789" s="3" t="s">
        <v>3173</v>
      </c>
      <c r="B1789" s="3" t="str">
        <f t="shared" si="1"/>
        <v>2, 5, 20, TENTACOOL</v>
      </c>
      <c r="C1789" s="2" t="s">
        <v>3173</v>
      </c>
    </row>
    <row r="1790" ht="12.75" customHeight="1">
      <c r="A1790" s="3" t="s">
        <v>3174</v>
      </c>
      <c r="B1790" s="3" t="str">
        <f t="shared" si="1"/>
        <v>20, 35, TENTACOOL</v>
      </c>
      <c r="C1790" s="2" t="s">
        <v>3174</v>
      </c>
    </row>
    <row r="1791" ht="12.75" customHeight="1">
      <c r="A1791" s="3" t="s">
        <v>2845</v>
      </c>
      <c r="B1791" s="3" t="str">
        <f t="shared" si="1"/>
        <v>35, 40, TENTACOOL</v>
      </c>
      <c r="C1791" s="2" t="s">
        <v>2845</v>
      </c>
    </row>
    <row r="1792" ht="12.75" customHeight="1">
      <c r="A1792" s="3" t="s">
        <v>3232</v>
      </c>
      <c r="B1792" s="3" t="str">
        <f t="shared" si="1"/>
        <v>35, 40, TENTACRUEL</v>
      </c>
      <c r="C1792" s="2" t="s">
        <v>3232</v>
      </c>
    </row>
    <row r="1793" ht="12.75" customHeight="1">
      <c r="A1793" s="3" t="s">
        <v>3232</v>
      </c>
      <c r="B1793" s="3" t="str">
        <f t="shared" si="1"/>
        <v>35, 40, TENTACRUEL</v>
      </c>
      <c r="C1793" s="2" t="s">
        <v>3232</v>
      </c>
    </row>
    <row r="1794" ht="12.75" customHeight="1">
      <c r="A1794" s="3" t="s">
        <v>3233</v>
      </c>
      <c r="B1794" s="3" t="str">
        <f t="shared" si="1"/>
        <v>25, 5, 20, GEODUDE</v>
      </c>
      <c r="C1794" s="2" t="s">
        <v>3233</v>
      </c>
    </row>
    <row r="1795" ht="12.75" customHeight="1">
      <c r="A1795" s="3" t="s">
        <v>3001</v>
      </c>
      <c r="B1795" s="3" t="str">
        <f t="shared" si="1"/>
        <v>10, 20, GEODUDE</v>
      </c>
      <c r="C1795" s="2" t="s">
        <v>3001</v>
      </c>
    </row>
    <row r="1796" ht="12.75" customHeight="1">
      <c r="A1796" s="3" t="s">
        <v>3002</v>
      </c>
      <c r="B1796" s="3" t="str">
        <f t="shared" si="1"/>
        <v>15, 30, GEODUDE</v>
      </c>
      <c r="C1796" s="2" t="s">
        <v>3002</v>
      </c>
    </row>
    <row r="1797" ht="12.75" customHeight="1">
      <c r="A1797" s="3" t="s">
        <v>3003</v>
      </c>
      <c r="B1797" s="3" t="str">
        <f t="shared" si="1"/>
        <v>25, 40, GRAVELER</v>
      </c>
      <c r="C1797" s="2" t="s">
        <v>3003</v>
      </c>
    </row>
    <row r="1798" ht="12.75" customHeight="1">
      <c r="A1798" s="3" t="s">
        <v>3234</v>
      </c>
      <c r="B1798" s="3" t="str">
        <f t="shared" si="1"/>
        <v>30, 40, GRAVELER</v>
      </c>
      <c r="C1798" s="2" t="s">
        <v>3234</v>
      </c>
    </row>
    <row r="1799" ht="12.75" customHeight="1">
      <c r="A1799" s="3" t="s">
        <v>2926</v>
      </c>
      <c r="B1799" s="3" t="str">
        <f t="shared" si="1"/>
        <v>20, old rod:</v>
      </c>
      <c r="C1799" s="2" t="s">
        <v>2926</v>
      </c>
    </row>
    <row r="1800" ht="12.75" customHeight="1">
      <c r="A1800" s="3" t="s">
        <v>417</v>
      </c>
      <c r="B1800" s="3" t="str">
        <f t="shared" si="1"/>
        <v>5, 5, MAGIKARP</v>
      </c>
      <c r="C1800" s="2" t="s">
        <v>417</v>
      </c>
    </row>
    <row r="1801" ht="12.75" customHeight="1">
      <c r="A1801" s="3" t="s">
        <v>417</v>
      </c>
      <c r="B1801" s="3" t="str">
        <f t="shared" si="1"/>
        <v>5, 5, MAGIKARP</v>
      </c>
      <c r="C1801" s="2" t="s">
        <v>417</v>
      </c>
    </row>
    <row r="1802" ht="12.75" customHeight="1">
      <c r="A1802" s="3"/>
      <c r="B1802" s="3" t="str">
        <f t="shared" si="1"/>
        <v/>
      </c>
      <c r="C1802" s="2" t="s">
        <v>2801</v>
      </c>
    </row>
    <row r="1803" ht="12.75" customHeight="1">
      <c r="A1803" s="3" t="s">
        <v>2847</v>
      </c>
      <c r="B1803" s="3" t="str">
        <f t="shared" si="1"/>
        <v>good rod:</v>
      </c>
      <c r="C1803" s="2" t="s">
        <v>2847</v>
      </c>
    </row>
    <row r="1804" ht="12.75" customHeight="1">
      <c r="A1804" s="3" t="s">
        <v>2848</v>
      </c>
      <c r="B1804" s="3" t="str">
        <f t="shared" si="1"/>
        <v>5, 15, KRABBY</v>
      </c>
      <c r="C1804" s="2" t="s">
        <v>2848</v>
      </c>
    </row>
    <row r="1805" ht="12.75" customHeight="1">
      <c r="A1805" s="3" t="s">
        <v>2849</v>
      </c>
      <c r="B1805" s="3" t="str">
        <f t="shared" si="1"/>
        <v>5, 15, MAGIKARP</v>
      </c>
      <c r="C1805" s="2" t="s">
        <v>2849</v>
      </c>
    </row>
    <row r="1806" ht="12.75" customHeight="1">
      <c r="A1806" s="3" t="s">
        <v>2848</v>
      </c>
      <c r="B1806" s="3" t="str">
        <f t="shared" si="1"/>
        <v>5, 15, KRABBY</v>
      </c>
      <c r="C1806" s="2" t="s">
        <v>2848</v>
      </c>
    </row>
    <row r="1807" ht="12.75" customHeight="1">
      <c r="A1807" s="3"/>
      <c r="B1807" s="3" t="str">
        <f t="shared" si="1"/>
        <v/>
      </c>
      <c r="C1807" s="2" t="s">
        <v>2801</v>
      </c>
    </row>
    <row r="1808" ht="12.75" customHeight="1">
      <c r="A1808" s="3" t="s">
        <v>2851</v>
      </c>
      <c r="B1808" s="3" t="str">
        <f t="shared" si="1"/>
        <v>super rod:</v>
      </c>
      <c r="C1808" s="2" t="s">
        <v>2851</v>
      </c>
    </row>
    <row r="1809" ht="12.75" customHeight="1">
      <c r="A1809" s="3" t="s">
        <v>2852</v>
      </c>
      <c r="B1809" s="3" t="str">
        <f t="shared" si="1"/>
        <v>15, 25, KRABBY</v>
      </c>
      <c r="C1809" s="2" t="s">
        <v>2852</v>
      </c>
    </row>
    <row r="1810" ht="12.75" customHeight="1">
      <c r="A1810" s="3" t="s">
        <v>2852</v>
      </c>
      <c r="B1810" s="3" t="str">
        <f t="shared" si="1"/>
        <v>15, 25, KRABBY</v>
      </c>
      <c r="C1810" s="2" t="s">
        <v>2852</v>
      </c>
    </row>
    <row r="1811" ht="12.75" customHeight="1">
      <c r="A1811" s="3" t="s">
        <v>2854</v>
      </c>
      <c r="B1811" s="3" t="str">
        <f t="shared" si="1"/>
        <v>15, 25, GYARADOS</v>
      </c>
      <c r="C1811" s="2" t="s">
        <v>2854</v>
      </c>
    </row>
    <row r="1812" ht="12.75" customHeight="1">
      <c r="A1812" s="3" t="s">
        <v>3178</v>
      </c>
      <c r="B1812" s="3" t="str">
        <f t="shared" si="1"/>
        <v>25, 35, KINGLER</v>
      </c>
      <c r="C1812" s="2" t="s">
        <v>3178</v>
      </c>
    </row>
    <row r="1813" ht="12.75" customHeight="1">
      <c r="A1813" s="3" t="s">
        <v>2856</v>
      </c>
      <c r="B1813" s="3" t="str">
        <f t="shared" si="1"/>
        <v>25, 35, SLOWPOKE</v>
      </c>
      <c r="C1813" s="2" t="s">
        <v>2856</v>
      </c>
    </row>
    <row r="1814" ht="12.75" customHeight="1">
      <c r="A1814" s="3" t="s">
        <v>2539</v>
      </c>
      <c r="B1814" s="3" t="str">
        <f t="shared" si="1"/>
        <v>NEW ROUTE</v>
      </c>
      <c r="C1814" s="2" t="s">
        <v>2539</v>
      </c>
    </row>
    <row r="1815" ht="12.75" customHeight="1">
      <c r="A1815" s="3" t="s">
        <v>3235</v>
      </c>
      <c r="B1815" s="3" t="str">
        <f t="shared" si="1"/>
        <v>3, 46, 0,</v>
      </c>
      <c r="C1815" s="2" t="s">
        <v>3235</v>
      </c>
    </row>
    <row r="1816" ht="12.75" customHeight="1">
      <c r="A1816" s="3" t="s">
        <v>2909</v>
      </c>
      <c r="B1816" s="3" t="str">
        <f t="shared" si="1"/>
        <v>20%</v>
      </c>
      <c r="C1816" s="2" t="s">
        <v>2799</v>
      </c>
    </row>
    <row r="1817" ht="12.75" customHeight="1">
      <c r="A1817" s="3" t="s">
        <v>817</v>
      </c>
      <c r="B1817" s="3" t="str">
        <f t="shared" si="1"/>
        <v>32, 32, SPEAROW</v>
      </c>
      <c r="C1817" s="2" t="s">
        <v>817</v>
      </c>
    </row>
    <row r="1818" ht="12.75" customHeight="1">
      <c r="A1818" s="3" t="s">
        <v>3236</v>
      </c>
      <c r="B1818" s="3" t="str">
        <f t="shared" si="1"/>
        <v>33, 33, TANGELA</v>
      </c>
      <c r="C1818" s="2" t="s">
        <v>3236</v>
      </c>
    </row>
    <row r="1819" ht="12.75" customHeight="1">
      <c r="A1819" s="3"/>
      <c r="B1819" s="3" t="str">
        <f t="shared" si="1"/>
        <v/>
      </c>
      <c r="C1819" s="2" t="s">
        <v>2801</v>
      </c>
    </row>
    <row r="1820" ht="12.75" customHeight="1">
      <c r="A1820" s="3" t="s">
        <v>2802</v>
      </c>
      <c r="B1820" s="3" t="str">
        <f t="shared" si="1"/>
        <v>0.1</v>
      </c>
      <c r="C1820" s="2" t="s">
        <v>2802</v>
      </c>
    </row>
    <row r="1821" ht="12.75" customHeight="1">
      <c r="A1821" s="3" t="s">
        <v>838</v>
      </c>
      <c r="B1821" s="3" t="str">
        <f t="shared" si="1"/>
        <v>31, 31, SPEAROW</v>
      </c>
      <c r="C1821" s="2" t="s">
        <v>838</v>
      </c>
    </row>
    <row r="1822" ht="12.75" customHeight="1">
      <c r="A1822" s="3" t="s">
        <v>3237</v>
      </c>
      <c r="B1822" s="3" t="str">
        <f t="shared" si="1"/>
        <v>35, 35, TANGELA</v>
      </c>
      <c r="C1822" s="2" t="s">
        <v>3237</v>
      </c>
    </row>
    <row r="1823" ht="12.75" customHeight="1">
      <c r="A1823" s="3" t="s">
        <v>3223</v>
      </c>
      <c r="B1823" s="3" t="str">
        <f t="shared" si="1"/>
        <v>36, 36, FEAROW</v>
      </c>
      <c r="C1823" s="2" t="s">
        <v>3223</v>
      </c>
    </row>
    <row r="1824" ht="12.75" customHeight="1">
      <c r="A1824" s="3" t="s">
        <v>3225</v>
      </c>
      <c r="B1824" s="3" t="str">
        <f t="shared" si="1"/>
        <v>31, 31, MEOWTH</v>
      </c>
      <c r="C1824" s="2" t="s">
        <v>3225</v>
      </c>
    </row>
    <row r="1825" ht="12.75" customHeight="1">
      <c r="A1825" s="3"/>
      <c r="B1825" s="3" t="str">
        <f t="shared" si="1"/>
        <v/>
      </c>
      <c r="C1825" s="2" t="s">
        <v>2801</v>
      </c>
    </row>
    <row r="1826" ht="12.75" customHeight="1">
      <c r="A1826" s="3" t="s">
        <v>2807</v>
      </c>
      <c r="B1826" s="3" t="str">
        <f t="shared" si="1"/>
        <v>0.05</v>
      </c>
      <c r="C1826" s="2" t="s">
        <v>2807</v>
      </c>
    </row>
    <row r="1827" ht="12.75" customHeight="1">
      <c r="A1827" s="3" t="s">
        <v>3071</v>
      </c>
      <c r="B1827" s="3" t="str">
        <f t="shared" si="1"/>
        <v>38, 38, FEAROW</v>
      </c>
      <c r="C1827" s="2" t="s">
        <v>3071</v>
      </c>
    </row>
    <row r="1828" ht="12.75" customHeight="1">
      <c r="A1828" s="3" t="s">
        <v>3134</v>
      </c>
      <c r="B1828" s="3" t="str">
        <f t="shared" si="1"/>
        <v>31, 31, SLOWPOKE</v>
      </c>
      <c r="C1828" s="2" t="s">
        <v>3134</v>
      </c>
    </row>
    <row r="1829" ht="12.75" customHeight="1">
      <c r="A1829" s="3"/>
      <c r="B1829" s="3" t="str">
        <f t="shared" si="1"/>
        <v/>
      </c>
      <c r="C1829" s="2" t="s">
        <v>2801</v>
      </c>
    </row>
    <row r="1830" ht="12.75" customHeight="1">
      <c r="A1830" s="3" t="s">
        <v>2810</v>
      </c>
      <c r="B1830" s="3" t="str">
        <f t="shared" si="1"/>
        <v>0.04</v>
      </c>
      <c r="C1830" s="2" t="s">
        <v>2810</v>
      </c>
    </row>
    <row r="1831" ht="12.75" customHeight="1">
      <c r="A1831" s="3" t="s">
        <v>3075</v>
      </c>
      <c r="B1831" s="3" t="str">
        <f t="shared" si="1"/>
        <v>40, 40, FEAROW</v>
      </c>
      <c r="C1831" s="2" t="s">
        <v>3075</v>
      </c>
    </row>
    <row r="1832" ht="12.75" customHeight="1">
      <c r="A1832" s="3" t="s">
        <v>3229</v>
      </c>
      <c r="B1832" s="3" t="str">
        <f t="shared" si="1"/>
        <v>37, 37, PERSIAN</v>
      </c>
      <c r="C1832" s="2" t="s">
        <v>3229</v>
      </c>
    </row>
    <row r="1833" ht="12.75" customHeight="1">
      <c r="A1833" s="3"/>
      <c r="B1833" s="3" t="str">
        <f t="shared" si="1"/>
        <v/>
      </c>
      <c r="C1833" s="2" t="s">
        <v>2801</v>
      </c>
    </row>
    <row r="1834" ht="12.75" customHeight="1">
      <c r="A1834" s="3" t="s">
        <v>2813</v>
      </c>
      <c r="B1834" s="3" t="str">
        <f t="shared" si="1"/>
        <v>0.01</v>
      </c>
      <c r="C1834" s="2" t="s">
        <v>2813</v>
      </c>
    </row>
    <row r="1835" ht="12.75" customHeight="1">
      <c r="A1835" s="3" t="s">
        <v>3075</v>
      </c>
      <c r="B1835" s="3" t="str">
        <f t="shared" si="1"/>
        <v>40, 40, FEAROW</v>
      </c>
      <c r="C1835" s="2" t="s">
        <v>3075</v>
      </c>
    </row>
    <row r="1836" ht="12.75" customHeight="1">
      <c r="A1836" s="3" t="s">
        <v>3231</v>
      </c>
      <c r="B1836" s="3" t="str">
        <f t="shared" si="1"/>
        <v>40, 40, PERSIAN</v>
      </c>
      <c r="C1836" s="2" t="s">
        <v>3231</v>
      </c>
    </row>
    <row r="1837" ht="12.75" customHeight="1">
      <c r="A1837" s="3" t="s">
        <v>3173</v>
      </c>
      <c r="B1837" s="3" t="str">
        <f t="shared" si="1"/>
        <v>2, 5, 20, TENTACOOL</v>
      </c>
      <c r="C1837" s="2" t="s">
        <v>3173</v>
      </c>
    </row>
    <row r="1838" ht="12.75" customHeight="1">
      <c r="A1838" s="3" t="s">
        <v>3174</v>
      </c>
      <c r="B1838" s="3" t="str">
        <f t="shared" si="1"/>
        <v>20, 35, TENTACOOL</v>
      </c>
      <c r="C1838" s="2" t="s">
        <v>3174</v>
      </c>
    </row>
    <row r="1839" ht="12.75" customHeight="1">
      <c r="A1839" s="3" t="s">
        <v>2845</v>
      </c>
      <c r="B1839" s="3" t="str">
        <f t="shared" si="1"/>
        <v>35, 40, TENTACOOL</v>
      </c>
      <c r="C1839" s="2" t="s">
        <v>2845</v>
      </c>
    </row>
    <row r="1840" ht="12.75" customHeight="1">
      <c r="A1840" s="3" t="s">
        <v>3232</v>
      </c>
      <c r="B1840" s="3" t="str">
        <f t="shared" si="1"/>
        <v>35, 40, TENTACRUEL</v>
      </c>
      <c r="C1840" s="2" t="s">
        <v>3232</v>
      </c>
    </row>
    <row r="1841" ht="12.75" customHeight="1">
      <c r="A1841" s="3" t="s">
        <v>3232</v>
      </c>
      <c r="B1841" s="3" t="str">
        <f t="shared" si="1"/>
        <v>35, 40, TENTACRUEL</v>
      </c>
      <c r="C1841" s="2" t="s">
        <v>3232</v>
      </c>
    </row>
    <row r="1842" ht="12.75" customHeight="1">
      <c r="A1842" s="3" t="s">
        <v>2926</v>
      </c>
      <c r="B1842" s="3" t="str">
        <f t="shared" si="1"/>
        <v>20, old rod:</v>
      </c>
      <c r="C1842" s="2" t="s">
        <v>2926</v>
      </c>
    </row>
    <row r="1843" ht="12.75" customHeight="1">
      <c r="A1843" s="3" t="s">
        <v>417</v>
      </c>
      <c r="B1843" s="3" t="str">
        <f t="shared" si="1"/>
        <v>5, 5, MAGIKARP</v>
      </c>
      <c r="C1843" s="2" t="s">
        <v>417</v>
      </c>
    </row>
    <row r="1844" ht="12.75" customHeight="1">
      <c r="A1844" s="3" t="s">
        <v>417</v>
      </c>
      <c r="B1844" s="3" t="str">
        <f t="shared" si="1"/>
        <v>5, 5, MAGIKARP</v>
      </c>
      <c r="C1844" s="2" t="s">
        <v>417</v>
      </c>
    </row>
    <row r="1845" ht="12.75" customHeight="1">
      <c r="A1845" s="3"/>
      <c r="B1845" s="3" t="str">
        <f t="shared" si="1"/>
        <v/>
      </c>
      <c r="C1845" s="2" t="s">
        <v>2801</v>
      </c>
    </row>
    <row r="1846" ht="12.75" customHeight="1">
      <c r="A1846" s="3" t="s">
        <v>2847</v>
      </c>
      <c r="B1846" s="3" t="str">
        <f t="shared" si="1"/>
        <v>good rod:</v>
      </c>
      <c r="C1846" s="2" t="s">
        <v>2847</v>
      </c>
    </row>
    <row r="1847" ht="12.75" customHeight="1">
      <c r="A1847" s="3" t="s">
        <v>2848</v>
      </c>
      <c r="B1847" s="3" t="str">
        <f t="shared" si="1"/>
        <v>5, 15, KRABBY</v>
      </c>
      <c r="C1847" s="2" t="s">
        <v>2848</v>
      </c>
    </row>
    <row r="1848" ht="12.75" customHeight="1">
      <c r="A1848" s="3" t="s">
        <v>2849</v>
      </c>
      <c r="B1848" s="3" t="str">
        <f t="shared" si="1"/>
        <v>5, 15, MAGIKARP</v>
      </c>
      <c r="C1848" s="2" t="s">
        <v>2849</v>
      </c>
    </row>
    <row r="1849" ht="12.75" customHeight="1">
      <c r="A1849" s="3" t="s">
        <v>2848</v>
      </c>
      <c r="B1849" s="3" t="str">
        <f t="shared" si="1"/>
        <v>5, 15, KRABBY</v>
      </c>
      <c r="C1849" s="2" t="s">
        <v>2848</v>
      </c>
    </row>
    <row r="1850" ht="12.75" customHeight="1">
      <c r="A1850" s="3"/>
      <c r="B1850" s="3" t="str">
        <f t="shared" si="1"/>
        <v/>
      </c>
      <c r="C1850" s="2" t="s">
        <v>2801</v>
      </c>
    </row>
    <row r="1851" ht="12.75" customHeight="1">
      <c r="A1851" s="3" t="s">
        <v>2851</v>
      </c>
      <c r="B1851" s="3" t="str">
        <f t="shared" si="1"/>
        <v>super rod:</v>
      </c>
      <c r="C1851" s="2" t="s">
        <v>2851</v>
      </c>
    </row>
    <row r="1852" ht="12.75" customHeight="1">
      <c r="A1852" s="3" t="s">
        <v>2852</v>
      </c>
      <c r="B1852" s="3" t="str">
        <f t="shared" si="1"/>
        <v>15, 25, KRABBY</v>
      </c>
      <c r="C1852" s="2" t="s">
        <v>2852</v>
      </c>
    </row>
    <row r="1853" ht="12.75" customHeight="1">
      <c r="A1853" s="3" t="s">
        <v>2852</v>
      </c>
      <c r="B1853" s="3" t="str">
        <f t="shared" si="1"/>
        <v>15, 25, KRABBY</v>
      </c>
      <c r="C1853" s="2" t="s">
        <v>2852</v>
      </c>
    </row>
    <row r="1854" ht="12.75" customHeight="1">
      <c r="A1854" s="3" t="s">
        <v>2854</v>
      </c>
      <c r="B1854" s="3" t="str">
        <f t="shared" si="1"/>
        <v>15, 25, GYARADOS</v>
      </c>
      <c r="C1854" s="2" t="s">
        <v>2854</v>
      </c>
    </row>
    <row r="1855" ht="12.75" customHeight="1">
      <c r="A1855" s="3" t="s">
        <v>3178</v>
      </c>
      <c r="B1855" s="3" t="str">
        <f t="shared" si="1"/>
        <v>25, 35, KINGLER</v>
      </c>
      <c r="C1855" s="2" t="s">
        <v>3178</v>
      </c>
    </row>
    <row r="1856" ht="12.75" customHeight="1">
      <c r="A1856" s="3" t="s">
        <v>2856</v>
      </c>
      <c r="B1856" s="3" t="str">
        <f t="shared" si="1"/>
        <v>25, 35, SLOWPOKE</v>
      </c>
      <c r="C1856" s="2" t="s">
        <v>2856</v>
      </c>
    </row>
    <row r="1857" ht="12.75" customHeight="1">
      <c r="A1857" s="3" t="s">
        <v>2539</v>
      </c>
      <c r="B1857" s="3" t="str">
        <f t="shared" si="1"/>
        <v>NEW ROUTE</v>
      </c>
      <c r="C1857" s="2" t="s">
        <v>2539</v>
      </c>
    </row>
    <row r="1858" ht="12.75" customHeight="1">
      <c r="A1858" s="3" t="s">
        <v>3238</v>
      </c>
      <c r="B1858" s="3" t="str">
        <f t="shared" si="1"/>
        <v>3, 47, 0,</v>
      </c>
      <c r="C1858" s="2" t="s">
        <v>3238</v>
      </c>
    </row>
    <row r="1859" ht="12.75" customHeight="1">
      <c r="A1859" s="3" t="s">
        <v>2909</v>
      </c>
      <c r="B1859" s="3" t="str">
        <f t="shared" si="1"/>
        <v>20%</v>
      </c>
      <c r="C1859" s="2" t="s">
        <v>2799</v>
      </c>
    </row>
    <row r="1860" ht="12.75" customHeight="1">
      <c r="A1860" s="3" t="s">
        <v>838</v>
      </c>
      <c r="B1860" s="3" t="str">
        <f t="shared" si="1"/>
        <v>31, 31, SPEAROW</v>
      </c>
      <c r="C1860" s="2" t="s">
        <v>838</v>
      </c>
    </row>
    <row r="1861" ht="12.75" customHeight="1">
      <c r="A1861" s="3" t="s">
        <v>3130</v>
      </c>
      <c r="B1861" s="3" t="str">
        <f t="shared" si="1"/>
        <v>30, 30, BELLSPROUT</v>
      </c>
      <c r="C1861" s="2" t="s">
        <v>3130</v>
      </c>
    </row>
    <row r="1862" ht="12.75" customHeight="1">
      <c r="A1862" s="3"/>
      <c r="B1862" s="3" t="str">
        <f t="shared" si="1"/>
        <v/>
      </c>
      <c r="C1862" s="2" t="s">
        <v>2801</v>
      </c>
    </row>
    <row r="1863" ht="12.75" customHeight="1">
      <c r="A1863" s="3" t="s">
        <v>2802</v>
      </c>
      <c r="B1863" s="3" t="str">
        <f t="shared" si="1"/>
        <v>0.1</v>
      </c>
      <c r="C1863" s="2" t="s">
        <v>2802</v>
      </c>
    </row>
    <row r="1864" ht="12.75" customHeight="1">
      <c r="A1864" s="3" t="s">
        <v>3239</v>
      </c>
      <c r="B1864" s="3" t="str">
        <f t="shared" si="1"/>
        <v>32, 32, BELLSPROUT</v>
      </c>
      <c r="C1864" s="2" t="s">
        <v>3239</v>
      </c>
    </row>
    <row r="1865" ht="12.75" customHeight="1">
      <c r="A1865" s="3" t="s">
        <v>3240</v>
      </c>
      <c r="B1865" s="3" t="str">
        <f t="shared" si="1"/>
        <v>36, 36, WEEPINBELL</v>
      </c>
      <c r="C1865" s="2" t="s">
        <v>3240</v>
      </c>
    </row>
    <row r="1866" ht="12.75" customHeight="1">
      <c r="A1866" s="3" t="s">
        <v>3223</v>
      </c>
      <c r="B1866" s="3" t="str">
        <f t="shared" si="1"/>
        <v>36, 36, FEAROW</v>
      </c>
      <c r="C1866" s="2" t="s">
        <v>3223</v>
      </c>
    </row>
    <row r="1867" ht="12.75" customHeight="1">
      <c r="A1867" s="3" t="s">
        <v>3225</v>
      </c>
      <c r="B1867" s="3" t="str">
        <f t="shared" si="1"/>
        <v>31, 31, MEOWTH</v>
      </c>
      <c r="C1867" s="2" t="s">
        <v>3225</v>
      </c>
    </row>
    <row r="1868" ht="12.75" customHeight="1">
      <c r="A1868" s="3"/>
      <c r="B1868" s="3" t="str">
        <f t="shared" si="1"/>
        <v/>
      </c>
      <c r="C1868" s="2" t="s">
        <v>2801</v>
      </c>
    </row>
    <row r="1869" ht="12.75" customHeight="1">
      <c r="A1869" s="3" t="s">
        <v>2807</v>
      </c>
      <c r="B1869" s="3" t="str">
        <f t="shared" si="1"/>
        <v>0.05</v>
      </c>
      <c r="C1869" s="2" t="s">
        <v>2807</v>
      </c>
    </row>
    <row r="1870" ht="12.75" customHeight="1">
      <c r="A1870" s="3" t="s">
        <v>3241</v>
      </c>
      <c r="B1870" s="3" t="str">
        <f t="shared" si="1"/>
        <v>38, 38, WEEPINBELL</v>
      </c>
      <c r="C1870" s="2" t="s">
        <v>3241</v>
      </c>
    </row>
    <row r="1871" ht="12.75" customHeight="1">
      <c r="A1871" s="3" t="s">
        <v>3134</v>
      </c>
      <c r="B1871" s="3" t="str">
        <f t="shared" si="1"/>
        <v>31, 31, SLOWPOKE</v>
      </c>
      <c r="C1871" s="2" t="s">
        <v>3134</v>
      </c>
    </row>
    <row r="1872" ht="12.75" customHeight="1">
      <c r="A1872" s="3"/>
      <c r="B1872" s="3" t="str">
        <f t="shared" si="1"/>
        <v/>
      </c>
      <c r="C1872" s="2" t="s">
        <v>2801</v>
      </c>
    </row>
    <row r="1873" ht="12.75" customHeight="1">
      <c r="A1873" s="3" t="s">
        <v>2810</v>
      </c>
      <c r="B1873" s="3" t="str">
        <f t="shared" si="1"/>
        <v>0.04</v>
      </c>
      <c r="C1873" s="2" t="s">
        <v>2810</v>
      </c>
    </row>
    <row r="1874" ht="12.75" customHeight="1">
      <c r="A1874" s="3" t="s">
        <v>3242</v>
      </c>
      <c r="B1874" s="3" t="str">
        <f t="shared" si="1"/>
        <v>37, 37, SLOWBRO</v>
      </c>
      <c r="C1874" s="2" t="s">
        <v>3242</v>
      </c>
    </row>
    <row r="1875" ht="12.75" customHeight="1">
      <c r="A1875" s="3" t="s">
        <v>3229</v>
      </c>
      <c r="B1875" s="3" t="str">
        <f t="shared" si="1"/>
        <v>37, 37, PERSIAN</v>
      </c>
      <c r="C1875" s="2" t="s">
        <v>3229</v>
      </c>
    </row>
    <row r="1876" ht="12.75" customHeight="1">
      <c r="A1876" s="3"/>
      <c r="B1876" s="3" t="str">
        <f t="shared" si="1"/>
        <v/>
      </c>
      <c r="C1876" s="2" t="s">
        <v>2801</v>
      </c>
    </row>
    <row r="1877" ht="12.75" customHeight="1">
      <c r="A1877" s="3" t="s">
        <v>2813</v>
      </c>
      <c r="B1877" s="3" t="str">
        <f t="shared" si="1"/>
        <v>0.01</v>
      </c>
      <c r="C1877" s="2" t="s">
        <v>2813</v>
      </c>
    </row>
    <row r="1878" ht="12.75" customHeight="1">
      <c r="A1878" s="3" t="s">
        <v>3243</v>
      </c>
      <c r="B1878" s="3" t="str">
        <f t="shared" si="1"/>
        <v>40, 40, SLOWBRO</v>
      </c>
      <c r="C1878" s="2" t="s">
        <v>3243</v>
      </c>
    </row>
    <row r="1879" ht="12.75" customHeight="1">
      <c r="A1879" s="3" t="s">
        <v>3231</v>
      </c>
      <c r="B1879" s="3" t="str">
        <f t="shared" si="1"/>
        <v>40, 40, PERSIAN</v>
      </c>
      <c r="C1879" s="2" t="s">
        <v>3231</v>
      </c>
    </row>
    <row r="1880" ht="12.75" customHeight="1">
      <c r="A1880" s="3" t="s">
        <v>3139</v>
      </c>
      <c r="B1880" s="3" t="str">
        <f t="shared" si="1"/>
        <v>2, 5, 20, SLOWPOKE</v>
      </c>
      <c r="C1880" s="2" t="s">
        <v>3139</v>
      </c>
    </row>
    <row r="1881" ht="12.75" customHeight="1">
      <c r="A1881" s="3" t="s">
        <v>3140</v>
      </c>
      <c r="B1881" s="3" t="str">
        <f t="shared" si="1"/>
        <v>20, 35, SLOWPOKE</v>
      </c>
      <c r="C1881" s="2" t="s">
        <v>3140</v>
      </c>
    </row>
    <row r="1882" ht="12.75" customHeight="1">
      <c r="A1882" s="3" t="s">
        <v>3141</v>
      </c>
      <c r="B1882" s="3" t="str">
        <f t="shared" si="1"/>
        <v>35, 40, SLOWPOKE</v>
      </c>
      <c r="C1882" s="2" t="s">
        <v>3141</v>
      </c>
    </row>
    <row r="1883" ht="12.75" customHeight="1">
      <c r="A1883" s="3" t="s">
        <v>3142</v>
      </c>
      <c r="B1883" s="3" t="str">
        <f t="shared" si="1"/>
        <v>35, 40, SLOWBRO</v>
      </c>
      <c r="C1883" s="2" t="s">
        <v>3142</v>
      </c>
    </row>
    <row r="1884" ht="12.75" customHeight="1">
      <c r="A1884" s="3" t="s">
        <v>3142</v>
      </c>
      <c r="B1884" s="3" t="str">
        <f t="shared" si="1"/>
        <v>35, 40, SLOWBRO</v>
      </c>
      <c r="C1884" s="2" t="s">
        <v>3142</v>
      </c>
    </row>
    <row r="1885" ht="12.75" customHeight="1">
      <c r="A1885" s="3" t="s">
        <v>2926</v>
      </c>
      <c r="B1885" s="3" t="str">
        <f t="shared" si="1"/>
        <v>20, old rod:</v>
      </c>
      <c r="C1885" s="2" t="s">
        <v>2926</v>
      </c>
    </row>
    <row r="1886" ht="12.75" customHeight="1">
      <c r="A1886" s="3" t="s">
        <v>417</v>
      </c>
      <c r="B1886" s="3" t="str">
        <f t="shared" si="1"/>
        <v>5, 5, MAGIKARP</v>
      </c>
      <c r="C1886" s="2" t="s">
        <v>417</v>
      </c>
    </row>
    <row r="1887" ht="12.75" customHeight="1">
      <c r="A1887" s="3" t="s">
        <v>417</v>
      </c>
      <c r="B1887" s="3" t="str">
        <f t="shared" si="1"/>
        <v>5, 5, MAGIKARP</v>
      </c>
      <c r="C1887" s="2" t="s">
        <v>417</v>
      </c>
    </row>
    <row r="1888" ht="12.75" customHeight="1">
      <c r="A1888" s="3"/>
      <c r="B1888" s="3" t="str">
        <f t="shared" si="1"/>
        <v/>
      </c>
      <c r="C1888" s="2" t="s">
        <v>2801</v>
      </c>
    </row>
    <row r="1889" ht="12.75" customHeight="1">
      <c r="A1889" s="3" t="s">
        <v>2847</v>
      </c>
      <c r="B1889" s="3" t="str">
        <f t="shared" si="1"/>
        <v>good rod:</v>
      </c>
      <c r="C1889" s="2" t="s">
        <v>2847</v>
      </c>
    </row>
    <row r="1890" ht="12.75" customHeight="1">
      <c r="A1890" s="3" t="s">
        <v>3144</v>
      </c>
      <c r="B1890" s="3" t="str">
        <f t="shared" si="1"/>
        <v>5, 15, POLIWAG</v>
      </c>
      <c r="C1890" s="2" t="s">
        <v>3144</v>
      </c>
    </row>
    <row r="1891" ht="12.75" customHeight="1">
      <c r="A1891" s="3" t="s">
        <v>2849</v>
      </c>
      <c r="B1891" s="3" t="str">
        <f t="shared" si="1"/>
        <v>5, 15, MAGIKARP</v>
      </c>
      <c r="C1891" s="2" t="s">
        <v>2849</v>
      </c>
    </row>
    <row r="1892" ht="12.75" customHeight="1">
      <c r="A1892" s="3" t="s">
        <v>3143</v>
      </c>
      <c r="B1892" s="3" t="str">
        <f t="shared" si="1"/>
        <v>5, 15, GOLDEEN</v>
      </c>
      <c r="C1892" s="2" t="s">
        <v>3143</v>
      </c>
    </row>
    <row r="1893" ht="12.75" customHeight="1">
      <c r="A1893" s="3"/>
      <c r="B1893" s="3" t="str">
        <f t="shared" si="1"/>
        <v/>
      </c>
      <c r="C1893" s="2" t="s">
        <v>2801</v>
      </c>
    </row>
    <row r="1894" ht="12.75" customHeight="1">
      <c r="A1894" s="3" t="s">
        <v>2851</v>
      </c>
      <c r="B1894" s="3" t="str">
        <f t="shared" si="1"/>
        <v>super rod:</v>
      </c>
      <c r="C1894" s="2" t="s">
        <v>2851</v>
      </c>
    </row>
    <row r="1895" ht="12.75" customHeight="1">
      <c r="A1895" s="3" t="s">
        <v>3162</v>
      </c>
      <c r="B1895" s="3" t="str">
        <f t="shared" si="1"/>
        <v>15, 25, POLIWAG</v>
      </c>
      <c r="C1895" s="2" t="s">
        <v>3162</v>
      </c>
    </row>
    <row r="1896" ht="12.75" customHeight="1">
      <c r="A1896" s="3" t="s">
        <v>3163</v>
      </c>
      <c r="B1896" s="3" t="str">
        <f t="shared" si="1"/>
        <v>20, 30, POLIWHIRL</v>
      </c>
      <c r="C1896" s="2" t="s">
        <v>3163</v>
      </c>
    </row>
    <row r="1897" ht="12.75" customHeight="1">
      <c r="A1897" s="3" t="s">
        <v>2854</v>
      </c>
      <c r="B1897" s="3" t="str">
        <f t="shared" si="1"/>
        <v>15, 25, GYARADOS</v>
      </c>
      <c r="C1897" s="2" t="s">
        <v>2854</v>
      </c>
    </row>
    <row r="1898" ht="12.75" customHeight="1">
      <c r="A1898" s="3" t="s">
        <v>3147</v>
      </c>
      <c r="B1898" s="3" t="str">
        <f t="shared" si="1"/>
        <v>15, 25, SLOWPOKE</v>
      </c>
      <c r="C1898" s="2" t="s">
        <v>3147</v>
      </c>
    </row>
    <row r="1899" ht="12.75" customHeight="1">
      <c r="A1899" s="3" t="s">
        <v>2856</v>
      </c>
      <c r="B1899" s="3" t="str">
        <f t="shared" si="1"/>
        <v>25, 35, SLOWPOKE</v>
      </c>
      <c r="C1899" s="2" t="s">
        <v>2856</v>
      </c>
    </row>
    <row r="1900" ht="12.75" customHeight="1">
      <c r="A1900" s="3" t="s">
        <v>2539</v>
      </c>
      <c r="B1900" s="3" t="str">
        <f t="shared" si="1"/>
        <v>NEW ROUTE</v>
      </c>
      <c r="C1900" s="2" t="s">
        <v>2539</v>
      </c>
    </row>
    <row r="1901" ht="12.75" customHeight="1">
      <c r="A1901" s="3" t="s">
        <v>3244</v>
      </c>
      <c r="B1901" s="3" t="str">
        <f t="shared" si="1"/>
        <v>3, 48, 0,</v>
      </c>
      <c r="C1901" s="2" t="s">
        <v>3244</v>
      </c>
    </row>
    <row r="1902" ht="12.75" customHeight="1">
      <c r="A1902" s="3" t="s">
        <v>2909</v>
      </c>
      <c r="B1902" s="3" t="str">
        <f t="shared" si="1"/>
        <v>20%</v>
      </c>
      <c r="C1902" s="2" t="s">
        <v>2799</v>
      </c>
    </row>
    <row r="1903" ht="12.75" customHeight="1">
      <c r="A1903" s="3" t="s">
        <v>846</v>
      </c>
      <c r="B1903" s="3" t="str">
        <f t="shared" si="1"/>
        <v>32, 32, PIDGEY</v>
      </c>
      <c r="C1903" s="2" t="s">
        <v>846</v>
      </c>
    </row>
    <row r="1904" ht="12.75" customHeight="1">
      <c r="A1904" s="3" t="s">
        <v>3245</v>
      </c>
      <c r="B1904" s="3" t="str">
        <f t="shared" si="1"/>
        <v>31, 31, BELLSPROUT</v>
      </c>
      <c r="C1904" s="2" t="s">
        <v>3245</v>
      </c>
    </row>
    <row r="1905" ht="12.75" customHeight="1">
      <c r="A1905" s="3"/>
      <c r="B1905" s="3" t="str">
        <f t="shared" si="1"/>
        <v/>
      </c>
      <c r="C1905" s="2" t="s">
        <v>2801</v>
      </c>
    </row>
    <row r="1906" ht="12.75" customHeight="1">
      <c r="A1906" s="3" t="s">
        <v>2802</v>
      </c>
      <c r="B1906" s="3" t="str">
        <f t="shared" si="1"/>
        <v>0.1</v>
      </c>
      <c r="C1906" s="2" t="s">
        <v>2802</v>
      </c>
    </row>
    <row r="1907" ht="12.75" customHeight="1">
      <c r="A1907" s="3" t="s">
        <v>3246</v>
      </c>
      <c r="B1907" s="3" t="str">
        <f t="shared" si="1"/>
        <v>29, 29, PIDGEY</v>
      </c>
      <c r="C1907" s="2" t="s">
        <v>3246</v>
      </c>
    </row>
    <row r="1908" ht="12.75" customHeight="1">
      <c r="A1908" s="3" t="s">
        <v>3240</v>
      </c>
      <c r="B1908" s="3" t="str">
        <f t="shared" si="1"/>
        <v>36, 36, WEEPINBELL</v>
      </c>
      <c r="C1908" s="2" t="s">
        <v>3240</v>
      </c>
    </row>
    <row r="1909" ht="12.75" customHeight="1">
      <c r="A1909" s="3" t="s">
        <v>3247</v>
      </c>
      <c r="B1909" s="3" t="str">
        <f t="shared" si="1"/>
        <v>34, 34, PIDGEOTTO</v>
      </c>
      <c r="C1909" s="2" t="s">
        <v>3247</v>
      </c>
    </row>
    <row r="1910" ht="12.75" customHeight="1">
      <c r="A1910" s="3" t="s">
        <v>3225</v>
      </c>
      <c r="B1910" s="3" t="str">
        <f t="shared" si="1"/>
        <v>31, 31, MEOWTH</v>
      </c>
      <c r="C1910" s="2" t="s">
        <v>3225</v>
      </c>
    </row>
    <row r="1911" ht="12.75" customHeight="1">
      <c r="A1911" s="3"/>
      <c r="B1911" s="3" t="str">
        <f t="shared" si="1"/>
        <v/>
      </c>
      <c r="C1911" s="2" t="s">
        <v>2801</v>
      </c>
    </row>
    <row r="1912" ht="12.75" customHeight="1">
      <c r="A1912" s="3" t="s">
        <v>2807</v>
      </c>
      <c r="B1912" s="3" t="str">
        <f t="shared" si="1"/>
        <v>0.05</v>
      </c>
      <c r="C1912" s="2" t="s">
        <v>2807</v>
      </c>
    </row>
    <row r="1913" ht="12.75" customHeight="1">
      <c r="A1913" s="3" t="s">
        <v>3131</v>
      </c>
      <c r="B1913" s="3" t="str">
        <f t="shared" si="1"/>
        <v>34, 34, VENONAT</v>
      </c>
      <c r="C1913" s="2" t="s">
        <v>3131</v>
      </c>
    </row>
    <row r="1914" ht="12.75" customHeight="1">
      <c r="A1914" s="3" t="s">
        <v>3134</v>
      </c>
      <c r="B1914" s="3" t="str">
        <f t="shared" si="1"/>
        <v>31, 31, SLOWPOKE</v>
      </c>
      <c r="C1914" s="2" t="s">
        <v>3134</v>
      </c>
    </row>
    <row r="1915" ht="12.75" customHeight="1">
      <c r="A1915" s="3"/>
      <c r="B1915" s="3" t="str">
        <f t="shared" si="1"/>
        <v/>
      </c>
      <c r="C1915" s="2" t="s">
        <v>2801</v>
      </c>
    </row>
    <row r="1916" ht="12.75" customHeight="1">
      <c r="A1916" s="3" t="s">
        <v>2810</v>
      </c>
      <c r="B1916" s="3" t="str">
        <f t="shared" si="1"/>
        <v>0.04</v>
      </c>
      <c r="C1916" s="2" t="s">
        <v>2810</v>
      </c>
    </row>
    <row r="1917" ht="12.75" customHeight="1">
      <c r="A1917" s="3" t="s">
        <v>720</v>
      </c>
      <c r="B1917" s="3" t="str">
        <f t="shared" si="1"/>
        <v>37, 37, PIDGEOTTO</v>
      </c>
      <c r="C1917" s="2" t="s">
        <v>720</v>
      </c>
    </row>
    <row r="1918" ht="12.75" customHeight="1">
      <c r="A1918" s="3" t="s">
        <v>3229</v>
      </c>
      <c r="B1918" s="3" t="str">
        <f t="shared" si="1"/>
        <v>37, 37, PERSIAN</v>
      </c>
      <c r="C1918" s="2" t="s">
        <v>3229</v>
      </c>
    </row>
    <row r="1919" ht="12.75" customHeight="1">
      <c r="A1919" s="3"/>
      <c r="B1919" s="3" t="str">
        <f t="shared" si="1"/>
        <v/>
      </c>
      <c r="C1919" s="2" t="s">
        <v>2801</v>
      </c>
    </row>
    <row r="1920" ht="12.75" customHeight="1">
      <c r="A1920" s="3" t="s">
        <v>2813</v>
      </c>
      <c r="B1920" s="3" t="str">
        <f t="shared" si="1"/>
        <v>0.01</v>
      </c>
      <c r="C1920" s="2" t="s">
        <v>2813</v>
      </c>
    </row>
    <row r="1921" ht="12.75" customHeight="1">
      <c r="A1921" s="3" t="s">
        <v>3248</v>
      </c>
      <c r="B1921" s="3" t="str">
        <f t="shared" si="1"/>
        <v>40, 40, PIDGEOTTO</v>
      </c>
      <c r="C1921" s="2" t="s">
        <v>3248</v>
      </c>
    </row>
    <row r="1922" ht="12.75" customHeight="1">
      <c r="A1922" s="3" t="s">
        <v>3231</v>
      </c>
      <c r="B1922" s="3" t="str">
        <f t="shared" si="1"/>
        <v>40, 40, PERSIAN</v>
      </c>
      <c r="C1922" s="2" t="s">
        <v>3231</v>
      </c>
    </row>
    <row r="1923" ht="12.75" customHeight="1">
      <c r="A1923" s="3" t="s">
        <v>3173</v>
      </c>
      <c r="B1923" s="3" t="str">
        <f t="shared" si="1"/>
        <v>2, 5, 20, TENTACOOL</v>
      </c>
      <c r="C1923" s="2" t="s">
        <v>3173</v>
      </c>
    </row>
    <row r="1924" ht="12.75" customHeight="1">
      <c r="A1924" s="3" t="s">
        <v>3174</v>
      </c>
      <c r="B1924" s="3" t="str">
        <f t="shared" si="1"/>
        <v>20, 35, TENTACOOL</v>
      </c>
      <c r="C1924" s="2" t="s">
        <v>3174</v>
      </c>
    </row>
    <row r="1925" ht="12.75" customHeight="1">
      <c r="A1925" s="3" t="s">
        <v>2845</v>
      </c>
      <c r="B1925" s="3" t="str">
        <f t="shared" si="1"/>
        <v>35, 40, TENTACOOL</v>
      </c>
      <c r="C1925" s="2" t="s">
        <v>2845</v>
      </c>
    </row>
    <row r="1926" ht="12.75" customHeight="1">
      <c r="A1926" s="3" t="s">
        <v>3232</v>
      </c>
      <c r="B1926" s="3" t="str">
        <f t="shared" si="1"/>
        <v>35, 40, TENTACRUEL</v>
      </c>
      <c r="C1926" s="2" t="s">
        <v>3232</v>
      </c>
    </row>
    <row r="1927" ht="12.75" customHeight="1">
      <c r="A1927" s="3" t="s">
        <v>3232</v>
      </c>
      <c r="B1927" s="3" t="str">
        <f t="shared" si="1"/>
        <v>35, 40, TENTACRUEL</v>
      </c>
      <c r="C1927" s="2" t="s">
        <v>3232</v>
      </c>
    </row>
    <row r="1928" ht="12.75" customHeight="1">
      <c r="A1928" s="3" t="s">
        <v>2926</v>
      </c>
      <c r="B1928" s="3" t="str">
        <f t="shared" si="1"/>
        <v>20, old rod:</v>
      </c>
      <c r="C1928" s="2" t="s">
        <v>2926</v>
      </c>
    </row>
    <row r="1929" ht="12.75" customHeight="1">
      <c r="A1929" s="3" t="s">
        <v>417</v>
      </c>
      <c r="B1929" s="3" t="str">
        <f t="shared" si="1"/>
        <v>5, 5, MAGIKARP</v>
      </c>
      <c r="C1929" s="2" t="s">
        <v>417</v>
      </c>
    </row>
    <row r="1930" ht="12.75" customHeight="1">
      <c r="A1930" s="3" t="s">
        <v>417</v>
      </c>
      <c r="B1930" s="3" t="str">
        <f t="shared" si="1"/>
        <v>5, 5, MAGIKARP</v>
      </c>
      <c r="C1930" s="2" t="s">
        <v>417</v>
      </c>
    </row>
    <row r="1931" ht="12.75" customHeight="1">
      <c r="A1931" s="3"/>
      <c r="B1931" s="3" t="str">
        <f t="shared" si="1"/>
        <v/>
      </c>
      <c r="C1931" s="2" t="s">
        <v>2801</v>
      </c>
    </row>
    <row r="1932" ht="12.75" customHeight="1">
      <c r="A1932" s="3" t="s">
        <v>2847</v>
      </c>
      <c r="B1932" s="3" t="str">
        <f t="shared" si="1"/>
        <v>good rod:</v>
      </c>
      <c r="C1932" s="2" t="s">
        <v>2847</v>
      </c>
    </row>
    <row r="1933" ht="12.75" customHeight="1">
      <c r="A1933" s="3" t="s">
        <v>2848</v>
      </c>
      <c r="B1933" s="3" t="str">
        <f t="shared" si="1"/>
        <v>5, 15, KRABBY</v>
      </c>
      <c r="C1933" s="2" t="s">
        <v>2848</v>
      </c>
    </row>
    <row r="1934" ht="12.75" customHeight="1">
      <c r="A1934" s="3" t="s">
        <v>2849</v>
      </c>
      <c r="B1934" s="3" t="str">
        <f t="shared" si="1"/>
        <v>5, 15, MAGIKARP</v>
      </c>
      <c r="C1934" s="2" t="s">
        <v>2849</v>
      </c>
    </row>
    <row r="1935" ht="12.75" customHeight="1">
      <c r="A1935" s="3" t="s">
        <v>2848</v>
      </c>
      <c r="B1935" s="3" t="str">
        <f t="shared" si="1"/>
        <v>5, 15, KRABBY</v>
      </c>
      <c r="C1935" s="2" t="s">
        <v>2848</v>
      </c>
    </row>
    <row r="1936" ht="12.75" customHeight="1">
      <c r="A1936" s="3"/>
      <c r="B1936" s="3" t="str">
        <f t="shared" si="1"/>
        <v/>
      </c>
      <c r="C1936" s="2" t="s">
        <v>2801</v>
      </c>
    </row>
    <row r="1937" ht="12.75" customHeight="1">
      <c r="A1937" s="3" t="s">
        <v>2851</v>
      </c>
      <c r="B1937" s="3" t="str">
        <f t="shared" si="1"/>
        <v>super rod:</v>
      </c>
      <c r="C1937" s="2" t="s">
        <v>2851</v>
      </c>
    </row>
    <row r="1938" ht="12.75" customHeight="1">
      <c r="A1938" s="3" t="s">
        <v>2852</v>
      </c>
      <c r="B1938" s="3" t="str">
        <f t="shared" si="1"/>
        <v>15, 25, KRABBY</v>
      </c>
      <c r="C1938" s="2" t="s">
        <v>2852</v>
      </c>
    </row>
    <row r="1939" ht="12.75" customHeight="1">
      <c r="A1939" s="3" t="s">
        <v>2852</v>
      </c>
      <c r="B1939" s="3" t="str">
        <f t="shared" si="1"/>
        <v>15, 25, KRABBY</v>
      </c>
      <c r="C1939" s="2" t="s">
        <v>2852</v>
      </c>
    </row>
    <row r="1940" ht="12.75" customHeight="1">
      <c r="A1940" s="3" t="s">
        <v>2854</v>
      </c>
      <c r="B1940" s="3" t="str">
        <f t="shared" si="1"/>
        <v>15, 25, GYARADOS</v>
      </c>
      <c r="C1940" s="2" t="s">
        <v>2854</v>
      </c>
    </row>
    <row r="1941" ht="12.75" customHeight="1">
      <c r="A1941" s="3" t="s">
        <v>3178</v>
      </c>
      <c r="B1941" s="3" t="str">
        <f t="shared" si="1"/>
        <v>25, 35, KINGLER</v>
      </c>
      <c r="C1941" s="2" t="s">
        <v>3178</v>
      </c>
    </row>
    <row r="1942" ht="12.75" customHeight="1">
      <c r="A1942" s="3" t="s">
        <v>2856</v>
      </c>
      <c r="B1942" s="3" t="str">
        <f t="shared" si="1"/>
        <v>25, 35, SLOWPOKE</v>
      </c>
      <c r="C1942" s="2" t="s">
        <v>2856</v>
      </c>
    </row>
    <row r="1943" ht="12.75" customHeight="1">
      <c r="A1943" s="3" t="s">
        <v>2539</v>
      </c>
      <c r="B1943" s="3" t="str">
        <f t="shared" si="1"/>
        <v>NEW ROUTE</v>
      </c>
      <c r="C1943" s="2" t="s">
        <v>2539</v>
      </c>
    </row>
    <row r="1944" ht="12.75" customHeight="1">
      <c r="A1944" s="3" t="s">
        <v>3249</v>
      </c>
      <c r="B1944" s="3" t="str">
        <f t="shared" si="1"/>
        <v>3, 49, 0,</v>
      </c>
      <c r="C1944" s="2" t="s">
        <v>3249</v>
      </c>
    </row>
    <row r="1945" ht="12.75" customHeight="1">
      <c r="A1945" s="3" t="s">
        <v>3192</v>
      </c>
      <c r="B1945" s="3" t="str">
        <f t="shared" si="1"/>
        <v>20%</v>
      </c>
      <c r="C1945" s="2" t="s">
        <v>2799</v>
      </c>
    </row>
    <row r="1946" ht="12.75" customHeight="1">
      <c r="A1946" s="3" t="s">
        <v>853</v>
      </c>
      <c r="B1946" s="3" t="str">
        <f t="shared" si="1"/>
        <v>15, 15, DUNSPARCE</v>
      </c>
      <c r="C1946" s="2" t="s">
        <v>853</v>
      </c>
    </row>
    <row r="1947" ht="12.75" customHeight="1">
      <c r="A1947" s="3" t="s">
        <v>853</v>
      </c>
      <c r="B1947" s="3" t="str">
        <f t="shared" si="1"/>
        <v>15, 15, DUNSPARCE</v>
      </c>
      <c r="C1947" s="2" t="s">
        <v>853</v>
      </c>
    </row>
    <row r="1948" ht="12.75" customHeight="1">
      <c r="A1948" s="3"/>
      <c r="B1948" s="3" t="str">
        <f t="shared" si="1"/>
        <v/>
      </c>
      <c r="C1948" s="2" t="s">
        <v>2801</v>
      </c>
    </row>
    <row r="1949" ht="12.75" customHeight="1">
      <c r="A1949" s="3" t="s">
        <v>2802</v>
      </c>
      <c r="B1949" s="3" t="str">
        <f t="shared" si="1"/>
        <v>0.1</v>
      </c>
      <c r="C1949" s="2" t="s">
        <v>2802</v>
      </c>
    </row>
    <row r="1950" ht="12.75" customHeight="1">
      <c r="A1950" s="3" t="s">
        <v>3250</v>
      </c>
      <c r="B1950" s="3" t="str">
        <f t="shared" si="1"/>
        <v>10, 10, DUNSPARCE</v>
      </c>
      <c r="C1950" s="2" t="s">
        <v>3250</v>
      </c>
    </row>
    <row r="1951" ht="12.75" customHeight="1">
      <c r="A1951" s="3" t="s">
        <v>3250</v>
      </c>
      <c r="B1951" s="3" t="str">
        <f t="shared" si="1"/>
        <v>10, 10, DUNSPARCE</v>
      </c>
      <c r="C1951" s="2" t="s">
        <v>3250</v>
      </c>
    </row>
    <row r="1952" ht="12.75" customHeight="1">
      <c r="A1952" s="3" t="s">
        <v>3251</v>
      </c>
      <c r="B1952" s="3" t="str">
        <f t="shared" si="1"/>
        <v>20, 20, DUNSPARCE</v>
      </c>
      <c r="C1952" s="2" t="s">
        <v>3251</v>
      </c>
    </row>
    <row r="1953" ht="12.75" customHeight="1">
      <c r="A1953" s="3" t="s">
        <v>3251</v>
      </c>
      <c r="B1953" s="3" t="str">
        <f t="shared" si="1"/>
        <v>20, 20, DUNSPARCE</v>
      </c>
      <c r="C1953" s="2" t="s">
        <v>3251</v>
      </c>
    </row>
    <row r="1954" ht="12.75" customHeight="1">
      <c r="A1954" s="3"/>
      <c r="B1954" s="3" t="str">
        <f t="shared" si="1"/>
        <v/>
      </c>
      <c r="C1954" s="2" t="s">
        <v>2801</v>
      </c>
    </row>
    <row r="1955" ht="12.75" customHeight="1">
      <c r="A1955" s="3" t="s">
        <v>2807</v>
      </c>
      <c r="B1955" s="3" t="str">
        <f t="shared" si="1"/>
        <v>0.05</v>
      </c>
      <c r="C1955" s="2" t="s">
        <v>2807</v>
      </c>
    </row>
    <row r="1956" ht="12.75" customHeight="1">
      <c r="A1956" s="3" t="s">
        <v>3252</v>
      </c>
      <c r="B1956" s="3" t="str">
        <f t="shared" si="1"/>
        <v>25, 25, DUNSPARCE</v>
      </c>
      <c r="C1956" s="2" t="s">
        <v>3252</v>
      </c>
    </row>
    <row r="1957" ht="12.75" customHeight="1">
      <c r="A1957" s="3" t="s">
        <v>3253</v>
      </c>
      <c r="B1957" s="3" t="str">
        <f t="shared" si="1"/>
        <v>30, 30, DUNSPARCE</v>
      </c>
      <c r="C1957" s="2" t="s">
        <v>3253</v>
      </c>
    </row>
    <row r="1958" ht="12.75" customHeight="1">
      <c r="A1958" s="3"/>
      <c r="B1958" s="3" t="str">
        <f t="shared" si="1"/>
        <v/>
      </c>
      <c r="C1958" s="2" t="s">
        <v>2801</v>
      </c>
    </row>
    <row r="1959" ht="12.75" customHeight="1">
      <c r="A1959" s="3" t="s">
        <v>2810</v>
      </c>
      <c r="B1959" s="3" t="str">
        <f t="shared" si="1"/>
        <v>0.04</v>
      </c>
      <c r="C1959" s="2" t="s">
        <v>2810</v>
      </c>
    </row>
    <row r="1960" ht="12.75" customHeight="1">
      <c r="A1960" s="3" t="s">
        <v>3252</v>
      </c>
      <c r="B1960" s="3" t="str">
        <f t="shared" si="1"/>
        <v>25, 25, DUNSPARCE</v>
      </c>
      <c r="C1960" s="2" t="s">
        <v>3252</v>
      </c>
    </row>
    <row r="1961" ht="12.75" customHeight="1">
      <c r="A1961" s="3" t="s">
        <v>3253</v>
      </c>
      <c r="B1961" s="3" t="str">
        <f t="shared" si="1"/>
        <v>30, 30, DUNSPARCE</v>
      </c>
      <c r="C1961" s="2" t="s">
        <v>3253</v>
      </c>
    </row>
    <row r="1962" ht="12.75" customHeight="1">
      <c r="A1962" s="3"/>
      <c r="B1962" s="3" t="str">
        <f t="shared" si="1"/>
        <v/>
      </c>
      <c r="C1962" s="2" t="s">
        <v>2801</v>
      </c>
    </row>
    <row r="1963" ht="12.75" customHeight="1">
      <c r="A1963" s="3" t="s">
        <v>2813</v>
      </c>
      <c r="B1963" s="3" t="str">
        <f t="shared" si="1"/>
        <v>0.01</v>
      </c>
      <c r="C1963" s="2" t="s">
        <v>2813</v>
      </c>
    </row>
    <row r="1964" ht="12.75" customHeight="1">
      <c r="A1964" s="3" t="s">
        <v>3254</v>
      </c>
      <c r="B1964" s="3" t="str">
        <f t="shared" si="1"/>
        <v>5, 5, DUNSPARCE</v>
      </c>
      <c r="C1964" s="2" t="s">
        <v>3254</v>
      </c>
    </row>
    <row r="1965" ht="12.75" customHeight="1">
      <c r="A1965" s="3" t="s">
        <v>3255</v>
      </c>
      <c r="B1965" s="3" t="str">
        <f t="shared" si="1"/>
        <v>35, 35, DUNSPARCE , &lt;null&gt;, &lt;null&gt;, &lt;null&gt;</v>
      </c>
      <c r="C1965" s="2" t="s">
        <v>3255</v>
      </c>
    </row>
    <row r="1966" ht="12.75" customHeight="1">
      <c r="A1966" s="3"/>
      <c r="B1966" s="3" t="str">
        <f t="shared" si="1"/>
        <v/>
      </c>
      <c r="C1966" s="2" t="s">
        <v>2801</v>
      </c>
    </row>
    <row r="1967" ht="12.75" customHeight="1">
      <c r="A1967" s="3" t="s">
        <v>2539</v>
      </c>
      <c r="B1967" s="3" t="str">
        <f t="shared" si="1"/>
        <v>NEW ROUTE</v>
      </c>
      <c r="C1967" s="2" t="s">
        <v>2539</v>
      </c>
    </row>
    <row r="1968" ht="12.75" customHeight="1">
      <c r="A1968" s="3" t="s">
        <v>3256</v>
      </c>
      <c r="B1968" s="3" t="str">
        <f t="shared" si="1"/>
        <v>3, 54, 0, &lt;null&gt;,</v>
      </c>
      <c r="C1968" s="2" t="s">
        <v>3256</v>
      </c>
    </row>
    <row r="1969" ht="12.75" customHeight="1">
      <c r="A1969" s="3"/>
      <c r="B1969" s="3" t="str">
        <f t="shared" si="1"/>
        <v/>
      </c>
      <c r="C1969" s="2" t="s">
        <v>2801</v>
      </c>
    </row>
    <row r="1970" ht="12.75" customHeight="1">
      <c r="A1970" s="3" t="s">
        <v>3257</v>
      </c>
      <c r="B1970" s="3" t="str">
        <f t="shared" si="1"/>
        <v>2, 5, 35, TENTACOOL</v>
      </c>
      <c r="C1970" s="2" t="s">
        <v>3257</v>
      </c>
    </row>
    <row r="1971" ht="12.75" customHeight="1">
      <c r="A1971" s="3" t="s">
        <v>3258</v>
      </c>
      <c r="B1971" s="3" t="str">
        <f t="shared" si="1"/>
        <v>5, 15, HOPPIP</v>
      </c>
      <c r="C1971" s="2" t="s">
        <v>3258</v>
      </c>
    </row>
    <row r="1972" ht="12.75" customHeight="1">
      <c r="A1972" s="3" t="s">
        <v>2845</v>
      </c>
      <c r="B1972" s="3" t="str">
        <f t="shared" si="1"/>
        <v>35, 40, TENTACOOL</v>
      </c>
      <c r="C1972" s="2" t="s">
        <v>2845</v>
      </c>
    </row>
    <row r="1973" ht="12.75" customHeight="1">
      <c r="A1973" s="3" t="s">
        <v>3232</v>
      </c>
      <c r="B1973" s="3" t="str">
        <f t="shared" si="1"/>
        <v>35, 40, TENTACRUEL</v>
      </c>
      <c r="C1973" s="2" t="s">
        <v>3232</v>
      </c>
    </row>
    <row r="1974" ht="12.75" customHeight="1">
      <c r="A1974" s="3" t="s">
        <v>3232</v>
      </c>
      <c r="B1974" s="3" t="str">
        <f t="shared" si="1"/>
        <v>35, 40, TENTACRUEL</v>
      </c>
      <c r="C1974" s="2" t="s">
        <v>3232</v>
      </c>
    </row>
    <row r="1975" ht="12.75" customHeight="1">
      <c r="A1975" s="3" t="s">
        <v>2926</v>
      </c>
      <c r="B1975" s="3" t="str">
        <f t="shared" si="1"/>
        <v>20, old rod:</v>
      </c>
      <c r="C1975" s="2" t="s">
        <v>2926</v>
      </c>
    </row>
    <row r="1976" ht="12.75" customHeight="1">
      <c r="A1976" s="3" t="s">
        <v>417</v>
      </c>
      <c r="B1976" s="3" t="str">
        <f t="shared" si="1"/>
        <v>5, 5, MAGIKARP</v>
      </c>
      <c r="C1976" s="2" t="s">
        <v>417</v>
      </c>
    </row>
    <row r="1977" ht="12.75" customHeight="1">
      <c r="A1977" s="3" t="s">
        <v>417</v>
      </c>
      <c r="B1977" s="3" t="str">
        <f t="shared" si="1"/>
        <v>5, 5, MAGIKARP</v>
      </c>
      <c r="C1977" s="2" t="s">
        <v>417</v>
      </c>
    </row>
    <row r="1978" ht="12.75" customHeight="1">
      <c r="A1978" s="3"/>
      <c r="B1978" s="3" t="str">
        <f t="shared" si="1"/>
        <v/>
      </c>
      <c r="C1978" s="2" t="s">
        <v>2801</v>
      </c>
    </row>
    <row r="1979" ht="12.75" customHeight="1">
      <c r="A1979" s="3" t="s">
        <v>2847</v>
      </c>
      <c r="B1979" s="3" t="str">
        <f t="shared" si="1"/>
        <v>good rod:</v>
      </c>
      <c r="C1979" s="2" t="s">
        <v>2847</v>
      </c>
    </row>
    <row r="1980" ht="12.75" customHeight="1">
      <c r="A1980" s="3" t="s">
        <v>2848</v>
      </c>
      <c r="B1980" s="3" t="str">
        <f t="shared" si="1"/>
        <v>5, 15, KRABBY</v>
      </c>
      <c r="C1980" s="2" t="s">
        <v>2848</v>
      </c>
    </row>
    <row r="1981" ht="12.75" customHeight="1">
      <c r="A1981" s="3" t="s">
        <v>2849</v>
      </c>
      <c r="B1981" s="3" t="str">
        <f t="shared" si="1"/>
        <v>5, 15, MAGIKARP</v>
      </c>
      <c r="C1981" s="2" t="s">
        <v>2849</v>
      </c>
    </row>
    <row r="1982" ht="12.75" customHeight="1">
      <c r="A1982" s="3" t="s">
        <v>2848</v>
      </c>
      <c r="B1982" s="3" t="str">
        <f t="shared" si="1"/>
        <v>5, 15, KRABBY</v>
      </c>
      <c r="C1982" s="2" t="s">
        <v>2848</v>
      </c>
    </row>
    <row r="1983" ht="12.75" customHeight="1">
      <c r="A1983" s="3"/>
      <c r="B1983" s="3" t="str">
        <f t="shared" si="1"/>
        <v/>
      </c>
      <c r="C1983" s="2" t="s">
        <v>2801</v>
      </c>
    </row>
    <row r="1984" ht="12.75" customHeight="1">
      <c r="A1984" s="3" t="s">
        <v>2851</v>
      </c>
      <c r="B1984" s="3" t="str">
        <f t="shared" si="1"/>
        <v>super rod:</v>
      </c>
      <c r="C1984" s="2" t="s">
        <v>2851</v>
      </c>
    </row>
    <row r="1985" ht="12.75" customHeight="1">
      <c r="A1985" s="3" t="s">
        <v>2852</v>
      </c>
      <c r="B1985" s="3" t="str">
        <f t="shared" si="1"/>
        <v>15, 25, KRABBY</v>
      </c>
      <c r="C1985" s="2" t="s">
        <v>2852</v>
      </c>
    </row>
    <row r="1986" ht="12.75" customHeight="1">
      <c r="A1986" s="3" t="s">
        <v>3259</v>
      </c>
      <c r="B1986" s="3" t="str">
        <f t="shared" si="1"/>
        <v>15, 25, REMORAID</v>
      </c>
      <c r="C1986" s="2" t="s">
        <v>3259</v>
      </c>
    </row>
    <row r="1987" ht="12.75" customHeight="1">
      <c r="A1987" s="3" t="s">
        <v>2854</v>
      </c>
      <c r="B1987" s="3" t="str">
        <f t="shared" si="1"/>
        <v>15, 25, GYARADOS</v>
      </c>
      <c r="C1987" s="2" t="s">
        <v>2854</v>
      </c>
    </row>
    <row r="1988" ht="12.75" customHeight="1">
      <c r="A1988" s="3" t="s">
        <v>3178</v>
      </c>
      <c r="B1988" s="3" t="str">
        <f t="shared" si="1"/>
        <v>25, 35, KINGLER</v>
      </c>
      <c r="C1988" s="2" t="s">
        <v>3178</v>
      </c>
    </row>
    <row r="1989" ht="12.75" customHeight="1">
      <c r="A1989" s="3" t="s">
        <v>2856</v>
      </c>
      <c r="B1989" s="3" t="str">
        <f t="shared" si="1"/>
        <v>25, 35, SLOWPOKE</v>
      </c>
      <c r="C1989" s="2" t="s">
        <v>2856</v>
      </c>
    </row>
    <row r="1990" ht="12.75" customHeight="1">
      <c r="A1990" s="3" t="s">
        <v>2539</v>
      </c>
      <c r="B1990" s="3" t="str">
        <f t="shared" si="1"/>
        <v>NEW ROUTE</v>
      </c>
      <c r="C1990" s="2" t="s">
        <v>2539</v>
      </c>
    </row>
    <row r="1991" ht="12.75" customHeight="1">
      <c r="A1991" s="3" t="s">
        <v>3260</v>
      </c>
      <c r="B1991" s="3" t="str">
        <f t="shared" si="1"/>
        <v>3, 55, 0, &lt;null&gt;,</v>
      </c>
      <c r="C1991" s="2" t="s">
        <v>3260</v>
      </c>
    </row>
    <row r="1992" ht="12.75" customHeight="1">
      <c r="A1992" s="3"/>
      <c r="B1992" s="3" t="str">
        <f t="shared" si="1"/>
        <v/>
      </c>
      <c r="C1992" s="2" t="s">
        <v>2801</v>
      </c>
    </row>
    <row r="1993" ht="12.75" customHeight="1">
      <c r="A1993" s="3" t="s">
        <v>3257</v>
      </c>
      <c r="B1993" s="3" t="str">
        <f t="shared" si="1"/>
        <v>2, 5, 35, TENTACOOL</v>
      </c>
      <c r="C1993" s="2" t="s">
        <v>3257</v>
      </c>
    </row>
    <row r="1994" ht="12.75" customHeight="1">
      <c r="A1994" s="3" t="s">
        <v>3258</v>
      </c>
      <c r="B1994" s="3" t="str">
        <f t="shared" si="1"/>
        <v>5, 15, HOPPIP</v>
      </c>
      <c r="C1994" s="2" t="s">
        <v>3258</v>
      </c>
    </row>
    <row r="1995" ht="12.75" customHeight="1">
      <c r="A1995" s="3" t="s">
        <v>2845</v>
      </c>
      <c r="B1995" s="3" t="str">
        <f t="shared" si="1"/>
        <v>35, 40, TENTACOOL</v>
      </c>
      <c r="C1995" s="2" t="s">
        <v>2845</v>
      </c>
    </row>
    <row r="1996" ht="12.75" customHeight="1">
      <c r="A1996" s="3" t="s">
        <v>3232</v>
      </c>
      <c r="B1996" s="3" t="str">
        <f t="shared" si="1"/>
        <v>35, 40, TENTACRUEL</v>
      </c>
      <c r="C1996" s="2" t="s">
        <v>3232</v>
      </c>
    </row>
    <row r="1997" ht="12.75" customHeight="1">
      <c r="A1997" s="3" t="s">
        <v>3232</v>
      </c>
      <c r="B1997" s="3" t="str">
        <f t="shared" si="1"/>
        <v>35, 40, TENTACRUEL</v>
      </c>
      <c r="C1997" s="2" t="s">
        <v>3232</v>
      </c>
    </row>
    <row r="1998" ht="12.75" customHeight="1">
      <c r="A1998" s="3" t="s">
        <v>2926</v>
      </c>
      <c r="B1998" s="3" t="str">
        <f t="shared" si="1"/>
        <v>20, old rod:</v>
      </c>
      <c r="C1998" s="2" t="s">
        <v>2926</v>
      </c>
    </row>
    <row r="1999" ht="12.75" customHeight="1">
      <c r="A1999" s="3" t="s">
        <v>417</v>
      </c>
      <c r="B1999" s="3" t="str">
        <f t="shared" si="1"/>
        <v>5, 5, MAGIKARP</v>
      </c>
      <c r="C1999" s="2" t="s">
        <v>417</v>
      </c>
    </row>
    <row r="2000" ht="12.75" customHeight="1">
      <c r="A2000" s="3" t="s">
        <v>417</v>
      </c>
      <c r="B2000" s="3" t="str">
        <f t="shared" si="1"/>
        <v>5, 5, MAGIKARP</v>
      </c>
      <c r="C2000" s="2" t="s">
        <v>417</v>
      </c>
    </row>
    <row r="2001" ht="12.75" customHeight="1">
      <c r="A2001" s="3"/>
      <c r="B2001" s="3" t="str">
        <f t="shared" si="1"/>
        <v/>
      </c>
      <c r="C2001" s="2" t="s">
        <v>2801</v>
      </c>
    </row>
    <row r="2002" ht="12.75" customHeight="1">
      <c r="A2002" s="3" t="s">
        <v>2847</v>
      </c>
      <c r="B2002" s="3" t="str">
        <f t="shared" si="1"/>
        <v>good rod:</v>
      </c>
      <c r="C2002" s="2" t="s">
        <v>2847</v>
      </c>
    </row>
    <row r="2003" ht="12.75" customHeight="1">
      <c r="A2003" s="3" t="s">
        <v>2848</v>
      </c>
      <c r="B2003" s="3" t="str">
        <f t="shared" si="1"/>
        <v>5, 15, KRABBY</v>
      </c>
      <c r="C2003" s="2" t="s">
        <v>2848</v>
      </c>
    </row>
    <row r="2004" ht="12.75" customHeight="1">
      <c r="A2004" s="3" t="s">
        <v>2849</v>
      </c>
      <c r="B2004" s="3" t="str">
        <f t="shared" si="1"/>
        <v>5, 15, MAGIKARP</v>
      </c>
      <c r="C2004" s="2" t="s">
        <v>2849</v>
      </c>
    </row>
    <row r="2005" ht="12.75" customHeight="1">
      <c r="A2005" s="3" t="s">
        <v>2848</v>
      </c>
      <c r="B2005" s="3" t="str">
        <f t="shared" si="1"/>
        <v>5, 15, KRABBY</v>
      </c>
      <c r="C2005" s="2" t="s">
        <v>2848</v>
      </c>
    </row>
    <row r="2006" ht="12.75" customHeight="1">
      <c r="A2006" s="3"/>
      <c r="B2006" s="3" t="str">
        <f t="shared" si="1"/>
        <v/>
      </c>
      <c r="C2006" s="2" t="s">
        <v>2801</v>
      </c>
    </row>
    <row r="2007" ht="12.75" customHeight="1">
      <c r="A2007" s="3" t="s">
        <v>2851</v>
      </c>
      <c r="B2007" s="3" t="str">
        <f t="shared" si="1"/>
        <v>super rod:</v>
      </c>
      <c r="C2007" s="2" t="s">
        <v>2851</v>
      </c>
    </row>
    <row r="2008" ht="12.75" customHeight="1">
      <c r="A2008" s="3" t="s">
        <v>2852</v>
      </c>
      <c r="B2008" s="3" t="str">
        <f t="shared" si="1"/>
        <v>15, 25, KRABBY</v>
      </c>
      <c r="C2008" s="2" t="s">
        <v>2852</v>
      </c>
    </row>
    <row r="2009" ht="12.75" customHeight="1">
      <c r="A2009" s="3" t="s">
        <v>3259</v>
      </c>
      <c r="B2009" s="3" t="str">
        <f t="shared" si="1"/>
        <v>15, 25, REMORAID</v>
      </c>
      <c r="C2009" s="2" t="s">
        <v>3259</v>
      </c>
    </row>
    <row r="2010" ht="12.75" customHeight="1">
      <c r="A2010" s="3" t="s">
        <v>2854</v>
      </c>
      <c r="B2010" s="3" t="str">
        <f t="shared" si="1"/>
        <v>15, 25, GYARADOS</v>
      </c>
      <c r="C2010" s="2" t="s">
        <v>2854</v>
      </c>
    </row>
    <row r="2011" ht="12.75" customHeight="1">
      <c r="A2011" s="3" t="s">
        <v>3178</v>
      </c>
      <c r="B2011" s="3" t="str">
        <f t="shared" si="1"/>
        <v>25, 35, KINGLER</v>
      </c>
      <c r="C2011" s="2" t="s">
        <v>3178</v>
      </c>
    </row>
    <row r="2012" ht="12.75" customHeight="1">
      <c r="A2012" s="3" t="s">
        <v>2856</v>
      </c>
      <c r="B2012" s="3" t="str">
        <f t="shared" si="1"/>
        <v>25, 35, SLOWPOKE</v>
      </c>
      <c r="C2012" s="2" t="s">
        <v>2856</v>
      </c>
    </row>
    <row r="2013" ht="12.75" customHeight="1">
      <c r="A2013" s="3" t="s">
        <v>2539</v>
      </c>
      <c r="B2013" s="3" t="str">
        <f t="shared" si="1"/>
        <v>NEW ROUTE</v>
      </c>
      <c r="C2013" s="2" t="s">
        <v>2539</v>
      </c>
    </row>
    <row r="2014" ht="12.75" customHeight="1">
      <c r="A2014" s="3" t="s">
        <v>3261</v>
      </c>
      <c r="B2014" s="3" t="str">
        <f t="shared" si="1"/>
        <v>3, 56, 0,</v>
      </c>
      <c r="C2014" s="2" t="s">
        <v>3261</v>
      </c>
    </row>
    <row r="2015" ht="12.75" customHeight="1">
      <c r="A2015" s="3" t="s">
        <v>2909</v>
      </c>
      <c r="B2015" s="3" t="str">
        <f t="shared" si="1"/>
        <v>20%</v>
      </c>
      <c r="C2015" s="2" t="s">
        <v>2799</v>
      </c>
    </row>
    <row r="2016" ht="12.75" customHeight="1">
      <c r="A2016" s="3" t="s">
        <v>866</v>
      </c>
      <c r="B2016" s="3" t="str">
        <f t="shared" si="1"/>
        <v>44, 44, PIDGEY</v>
      </c>
      <c r="C2016" s="2" t="s">
        <v>866</v>
      </c>
    </row>
    <row r="2017" ht="12.75" customHeight="1">
      <c r="A2017" s="3" t="s">
        <v>3262</v>
      </c>
      <c r="B2017" s="3" t="str">
        <f t="shared" si="1"/>
        <v>10, 10, SENTRET</v>
      </c>
      <c r="C2017" s="2" t="s">
        <v>3262</v>
      </c>
    </row>
    <row r="2018" ht="12.75" customHeight="1">
      <c r="A2018" s="3"/>
      <c r="B2018" s="3" t="str">
        <f t="shared" si="1"/>
        <v/>
      </c>
      <c r="C2018" s="2" t="s">
        <v>2801</v>
      </c>
    </row>
    <row r="2019" ht="12.75" customHeight="1">
      <c r="A2019" s="3" t="s">
        <v>2802</v>
      </c>
      <c r="B2019" s="3" t="str">
        <f t="shared" si="1"/>
        <v>0.1</v>
      </c>
      <c r="C2019" s="2" t="s">
        <v>2802</v>
      </c>
    </row>
    <row r="2020" ht="12.75" customHeight="1">
      <c r="A2020" s="3" t="s">
        <v>3263</v>
      </c>
      <c r="B2020" s="3" t="str">
        <f t="shared" si="1"/>
        <v>48, 48, PIDGEOTTO</v>
      </c>
      <c r="C2020" s="2" t="s">
        <v>3263</v>
      </c>
    </row>
    <row r="2021" ht="12.75" customHeight="1">
      <c r="A2021" s="3" t="s">
        <v>877</v>
      </c>
      <c r="B2021" s="3" t="str">
        <f t="shared" si="1"/>
        <v>10, 10, HOPPIP</v>
      </c>
      <c r="C2021" s="2" t="s">
        <v>877</v>
      </c>
    </row>
    <row r="2022" ht="12.75" customHeight="1">
      <c r="A2022" s="3" t="s">
        <v>3264</v>
      </c>
      <c r="B2022" s="3" t="str">
        <f t="shared" si="1"/>
        <v>15, 15, SENTRET</v>
      </c>
      <c r="C2022" s="2" t="s">
        <v>3264</v>
      </c>
    </row>
    <row r="2023" ht="12.75" customHeight="1">
      <c r="A2023" s="3" t="s">
        <v>3265</v>
      </c>
      <c r="B2023" s="3" t="str">
        <f t="shared" si="1"/>
        <v>41, 41, MEOWTH</v>
      </c>
      <c r="C2023" s="2" t="s">
        <v>3265</v>
      </c>
    </row>
    <row r="2024" ht="12.75" customHeight="1">
      <c r="A2024" s="3"/>
      <c r="B2024" s="3" t="str">
        <f t="shared" si="1"/>
        <v/>
      </c>
      <c r="C2024" s="2" t="s">
        <v>2801</v>
      </c>
    </row>
    <row r="2025" ht="12.75" customHeight="1">
      <c r="A2025" s="3" t="s">
        <v>2807</v>
      </c>
      <c r="B2025" s="3" t="str">
        <f t="shared" si="1"/>
        <v>0.05</v>
      </c>
      <c r="C2025" s="2" t="s">
        <v>2807</v>
      </c>
    </row>
    <row r="2026" ht="12.75" customHeight="1">
      <c r="A2026" s="3" t="s">
        <v>3266</v>
      </c>
      <c r="B2026" s="3" t="str">
        <f t="shared" si="1"/>
        <v>15, 15, HOPPIP</v>
      </c>
      <c r="C2026" s="2" t="s">
        <v>3266</v>
      </c>
    </row>
    <row r="2027" ht="12.75" customHeight="1">
      <c r="A2027" s="3" t="s">
        <v>3155</v>
      </c>
      <c r="B2027" s="3" t="str">
        <f t="shared" si="1"/>
        <v>41, 41, SLOWPOKE</v>
      </c>
      <c r="C2027" s="2" t="s">
        <v>3155</v>
      </c>
    </row>
    <row r="2028" ht="12.75" customHeight="1">
      <c r="A2028" s="3"/>
      <c r="B2028" s="3" t="str">
        <f t="shared" si="1"/>
        <v/>
      </c>
      <c r="C2028" s="2" t="s">
        <v>2801</v>
      </c>
    </row>
    <row r="2029" ht="12.75" customHeight="1">
      <c r="A2029" s="3" t="s">
        <v>2810</v>
      </c>
      <c r="B2029" s="3" t="str">
        <f t="shared" si="1"/>
        <v>0.04</v>
      </c>
      <c r="C2029" s="2" t="s">
        <v>2810</v>
      </c>
    </row>
    <row r="2030" ht="12.75" customHeight="1">
      <c r="A2030" s="3" t="s">
        <v>3267</v>
      </c>
      <c r="B2030" s="3" t="str">
        <f t="shared" si="1"/>
        <v>50, 50, PIDGEOTTO</v>
      </c>
      <c r="C2030" s="2" t="s">
        <v>3267</v>
      </c>
    </row>
    <row r="2031" ht="12.75" customHeight="1">
      <c r="A2031" s="3" t="s">
        <v>3268</v>
      </c>
      <c r="B2031" s="3" t="str">
        <f t="shared" si="1"/>
        <v>47, 47, PERSIAN</v>
      </c>
      <c r="C2031" s="2" t="s">
        <v>3268</v>
      </c>
    </row>
    <row r="2032" ht="12.75" customHeight="1">
      <c r="A2032" s="3"/>
      <c r="B2032" s="3" t="str">
        <f t="shared" si="1"/>
        <v/>
      </c>
      <c r="C2032" s="2" t="s">
        <v>2801</v>
      </c>
    </row>
    <row r="2033" ht="12.75" customHeight="1">
      <c r="A2033" s="3" t="s">
        <v>2813</v>
      </c>
      <c r="B2033" s="3" t="str">
        <f t="shared" si="1"/>
        <v>0.01</v>
      </c>
      <c r="C2033" s="2" t="s">
        <v>2813</v>
      </c>
    </row>
    <row r="2034" ht="12.75" customHeight="1">
      <c r="A2034" s="3" t="s">
        <v>3267</v>
      </c>
      <c r="B2034" s="3" t="str">
        <f t="shared" si="1"/>
        <v>50, 50, PIDGEOTTO</v>
      </c>
      <c r="C2034" s="2" t="s">
        <v>3267</v>
      </c>
    </row>
    <row r="2035" ht="12.75" customHeight="1">
      <c r="A2035" s="3" t="s">
        <v>3269</v>
      </c>
      <c r="B2035" s="3" t="str">
        <f t="shared" si="1"/>
        <v>50, 50, PERSIAN</v>
      </c>
      <c r="C2035" s="2" t="s">
        <v>3269</v>
      </c>
    </row>
    <row r="2036" ht="12.75" customHeight="1">
      <c r="A2036" s="3" t="s">
        <v>3257</v>
      </c>
      <c r="B2036" s="3" t="str">
        <f t="shared" si="1"/>
        <v>2, 5, 35, TENTACOOL</v>
      </c>
      <c r="C2036" s="2" t="s">
        <v>3257</v>
      </c>
    </row>
    <row r="2037" ht="12.75" customHeight="1">
      <c r="A2037" s="3" t="s">
        <v>3258</v>
      </c>
      <c r="B2037" s="3" t="str">
        <f t="shared" si="1"/>
        <v>5, 15, HOPPIP</v>
      </c>
      <c r="C2037" s="2" t="s">
        <v>3258</v>
      </c>
    </row>
    <row r="2038" ht="12.75" customHeight="1">
      <c r="A2038" s="3" t="s">
        <v>2845</v>
      </c>
      <c r="B2038" s="3" t="str">
        <f t="shared" si="1"/>
        <v>35, 40, TENTACOOL</v>
      </c>
      <c r="C2038" s="2" t="s">
        <v>2845</v>
      </c>
    </row>
    <row r="2039" ht="12.75" customHeight="1">
      <c r="A2039" s="3" t="s">
        <v>3232</v>
      </c>
      <c r="B2039" s="3" t="str">
        <f t="shared" si="1"/>
        <v>35, 40, TENTACRUEL</v>
      </c>
      <c r="C2039" s="2" t="s">
        <v>3232</v>
      </c>
    </row>
    <row r="2040" ht="12.75" customHeight="1">
      <c r="A2040" s="3" t="s">
        <v>3232</v>
      </c>
      <c r="B2040" s="3" t="str">
        <f t="shared" si="1"/>
        <v>35, 40, TENTACRUEL</v>
      </c>
      <c r="C2040" s="2" t="s">
        <v>3232</v>
      </c>
    </row>
    <row r="2041" ht="12.75" customHeight="1">
      <c r="A2041" s="3" t="s">
        <v>2926</v>
      </c>
      <c r="B2041" s="3" t="str">
        <f t="shared" si="1"/>
        <v>20, old rod:</v>
      </c>
      <c r="C2041" s="2" t="s">
        <v>2926</v>
      </c>
    </row>
    <row r="2042" ht="12.75" customHeight="1">
      <c r="A2042" s="3" t="s">
        <v>417</v>
      </c>
      <c r="B2042" s="3" t="str">
        <f t="shared" si="1"/>
        <v>5, 5, MAGIKARP</v>
      </c>
      <c r="C2042" s="2" t="s">
        <v>417</v>
      </c>
    </row>
    <row r="2043" ht="12.75" customHeight="1">
      <c r="A2043" s="3" t="s">
        <v>417</v>
      </c>
      <c r="B2043" s="3" t="str">
        <f t="shared" si="1"/>
        <v>5, 5, MAGIKARP</v>
      </c>
      <c r="C2043" s="2" t="s">
        <v>417</v>
      </c>
    </row>
    <row r="2044" ht="12.75" customHeight="1">
      <c r="A2044" s="3"/>
      <c r="B2044" s="3" t="str">
        <f t="shared" si="1"/>
        <v/>
      </c>
      <c r="C2044" s="2" t="s">
        <v>2801</v>
      </c>
    </row>
    <row r="2045" ht="12.75" customHeight="1">
      <c r="A2045" s="3" t="s">
        <v>2847</v>
      </c>
      <c r="B2045" s="3" t="str">
        <f t="shared" si="1"/>
        <v>good rod:</v>
      </c>
      <c r="C2045" s="2" t="s">
        <v>2847</v>
      </c>
    </row>
    <row r="2046" ht="12.75" customHeight="1">
      <c r="A2046" s="3" t="s">
        <v>2848</v>
      </c>
      <c r="B2046" s="3" t="str">
        <f t="shared" si="1"/>
        <v>5, 15, KRABBY</v>
      </c>
      <c r="C2046" s="2" t="s">
        <v>2848</v>
      </c>
    </row>
    <row r="2047" ht="12.75" customHeight="1">
      <c r="A2047" s="3" t="s">
        <v>2849</v>
      </c>
      <c r="B2047" s="3" t="str">
        <f t="shared" si="1"/>
        <v>5, 15, MAGIKARP</v>
      </c>
      <c r="C2047" s="2" t="s">
        <v>2849</v>
      </c>
    </row>
    <row r="2048" ht="12.75" customHeight="1">
      <c r="A2048" s="3" t="s">
        <v>2848</v>
      </c>
      <c r="B2048" s="3" t="str">
        <f t="shared" si="1"/>
        <v>5, 15, KRABBY</v>
      </c>
      <c r="C2048" s="2" t="s">
        <v>2848</v>
      </c>
    </row>
    <row r="2049" ht="12.75" customHeight="1">
      <c r="A2049" s="3"/>
      <c r="B2049" s="3" t="str">
        <f t="shared" si="1"/>
        <v/>
      </c>
      <c r="C2049" s="2" t="s">
        <v>2801</v>
      </c>
    </row>
    <row r="2050" ht="12.75" customHeight="1">
      <c r="A2050" s="3" t="s">
        <v>2851</v>
      </c>
      <c r="B2050" s="3" t="str">
        <f t="shared" si="1"/>
        <v>super rod:</v>
      </c>
      <c r="C2050" s="2" t="s">
        <v>2851</v>
      </c>
    </row>
    <row r="2051" ht="12.75" customHeight="1">
      <c r="A2051" s="3" t="s">
        <v>2852</v>
      </c>
      <c r="B2051" s="3" t="str">
        <f t="shared" si="1"/>
        <v>15, 25, KRABBY</v>
      </c>
      <c r="C2051" s="2" t="s">
        <v>2852</v>
      </c>
    </row>
    <row r="2052" ht="12.75" customHeight="1">
      <c r="A2052" s="3" t="s">
        <v>3259</v>
      </c>
      <c r="B2052" s="3" t="str">
        <f t="shared" si="1"/>
        <v>15, 25, REMORAID</v>
      </c>
      <c r="C2052" s="2" t="s">
        <v>3259</v>
      </c>
    </row>
    <row r="2053" ht="12.75" customHeight="1">
      <c r="A2053" s="3" t="s">
        <v>2854</v>
      </c>
      <c r="B2053" s="3" t="str">
        <f t="shared" si="1"/>
        <v>15, 25, GYARADOS</v>
      </c>
      <c r="C2053" s="2" t="s">
        <v>2854</v>
      </c>
    </row>
    <row r="2054" ht="12.75" customHeight="1">
      <c r="A2054" s="3" t="s">
        <v>3178</v>
      </c>
      <c r="B2054" s="3" t="str">
        <f t="shared" si="1"/>
        <v>25, 35, KINGLER</v>
      </c>
      <c r="C2054" s="2" t="s">
        <v>3178</v>
      </c>
    </row>
    <row r="2055" ht="12.75" customHeight="1">
      <c r="A2055" s="3" t="s">
        <v>2856</v>
      </c>
      <c r="B2055" s="3" t="str">
        <f t="shared" si="1"/>
        <v>25, 35, SLOWPOKE</v>
      </c>
      <c r="C2055" s="2" t="s">
        <v>2856</v>
      </c>
    </row>
    <row r="2056" ht="12.75" customHeight="1">
      <c r="A2056" s="3" t="s">
        <v>2539</v>
      </c>
      <c r="B2056" s="3" t="str">
        <f t="shared" si="1"/>
        <v>NEW ROUTE</v>
      </c>
      <c r="C2056" s="2" t="s">
        <v>2539</v>
      </c>
    </row>
    <row r="2057" ht="12.75" customHeight="1">
      <c r="A2057" s="3" t="s">
        <v>3270</v>
      </c>
      <c r="B2057" s="3" t="str">
        <f t="shared" si="1"/>
        <v>3, 57, 0,</v>
      </c>
      <c r="C2057" s="2" t="s">
        <v>3270</v>
      </c>
    </row>
    <row r="2058" ht="12.75" customHeight="1">
      <c r="A2058" s="3" t="s">
        <v>2909</v>
      </c>
      <c r="B2058" s="3" t="str">
        <f t="shared" si="1"/>
        <v>20%</v>
      </c>
      <c r="C2058" s="2" t="s">
        <v>2799</v>
      </c>
    </row>
    <row r="2059" ht="12.75" customHeight="1">
      <c r="A2059" s="3" t="s">
        <v>877</v>
      </c>
      <c r="B2059" s="3" t="str">
        <f t="shared" si="1"/>
        <v>10, 10, HOPPIP</v>
      </c>
      <c r="C2059" s="2" t="s">
        <v>877</v>
      </c>
    </row>
    <row r="2060" ht="12.75" customHeight="1">
      <c r="A2060" s="3" t="s">
        <v>3271</v>
      </c>
      <c r="B2060" s="3" t="str">
        <f t="shared" si="1"/>
        <v>12, 12, HOPPIP</v>
      </c>
      <c r="C2060" s="2" t="s">
        <v>3271</v>
      </c>
    </row>
    <row r="2061" ht="12.75" customHeight="1">
      <c r="A2061" s="3"/>
      <c r="B2061" s="3" t="str">
        <f t="shared" si="1"/>
        <v/>
      </c>
      <c r="C2061" s="2" t="s">
        <v>2801</v>
      </c>
    </row>
    <row r="2062" ht="12.75" customHeight="1">
      <c r="A2062" s="3" t="s">
        <v>2802</v>
      </c>
      <c r="B2062" s="3" t="str">
        <f t="shared" si="1"/>
        <v>0.1</v>
      </c>
      <c r="C2062" s="2" t="s">
        <v>2802</v>
      </c>
    </row>
    <row r="2063" ht="12.75" customHeight="1">
      <c r="A2063" s="3" t="s">
        <v>3272</v>
      </c>
      <c r="B2063" s="3" t="str">
        <f t="shared" si="1"/>
        <v>8, 8, HOPPIP</v>
      </c>
      <c r="C2063" s="2" t="s">
        <v>3272</v>
      </c>
    </row>
    <row r="2064" ht="12.75" customHeight="1">
      <c r="A2064" s="3" t="s">
        <v>3273</v>
      </c>
      <c r="B2064" s="3" t="str">
        <f t="shared" si="1"/>
        <v>14, 14, HOPPIP</v>
      </c>
      <c r="C2064" s="2" t="s">
        <v>3273</v>
      </c>
    </row>
    <row r="2065" ht="12.75" customHeight="1">
      <c r="A2065" s="3" t="s">
        <v>877</v>
      </c>
      <c r="B2065" s="3" t="str">
        <f t="shared" si="1"/>
        <v>10, 10, HOPPIP</v>
      </c>
      <c r="C2065" s="2" t="s">
        <v>877</v>
      </c>
    </row>
    <row r="2066" ht="12.75" customHeight="1">
      <c r="A2066" s="3" t="s">
        <v>3271</v>
      </c>
      <c r="B2066" s="3" t="str">
        <f t="shared" si="1"/>
        <v>12, 12, HOPPIP</v>
      </c>
      <c r="C2066" s="2" t="s">
        <v>3271</v>
      </c>
    </row>
    <row r="2067" ht="12.75" customHeight="1">
      <c r="A2067" s="3"/>
      <c r="B2067" s="3" t="str">
        <f t="shared" si="1"/>
        <v/>
      </c>
      <c r="C2067" s="2" t="s">
        <v>2801</v>
      </c>
    </row>
    <row r="2068" ht="12.75" customHeight="1">
      <c r="A2068" s="3" t="s">
        <v>2807</v>
      </c>
      <c r="B2068" s="3" t="str">
        <f t="shared" si="1"/>
        <v>0.05</v>
      </c>
      <c r="C2068" s="2" t="s">
        <v>2807</v>
      </c>
    </row>
    <row r="2069" ht="12.75" customHeight="1">
      <c r="A2069" s="3" t="s">
        <v>3274</v>
      </c>
      <c r="B2069" s="3" t="str">
        <f t="shared" si="1"/>
        <v>16, 16, HOPPIP</v>
      </c>
      <c r="C2069" s="2" t="s">
        <v>3274</v>
      </c>
    </row>
    <row r="2070" ht="12.75" customHeight="1">
      <c r="A2070" s="3" t="s">
        <v>3275</v>
      </c>
      <c r="B2070" s="3" t="str">
        <f t="shared" si="1"/>
        <v>6, 6, HOPPIP</v>
      </c>
      <c r="C2070" s="2" t="s">
        <v>3275</v>
      </c>
    </row>
    <row r="2071" ht="12.75" customHeight="1">
      <c r="A2071" s="3"/>
      <c r="B2071" s="3" t="str">
        <f t="shared" si="1"/>
        <v/>
      </c>
      <c r="C2071" s="2" t="s">
        <v>2801</v>
      </c>
    </row>
    <row r="2072" ht="12.75" customHeight="1">
      <c r="A2072" s="3" t="s">
        <v>2810</v>
      </c>
      <c r="B2072" s="3" t="str">
        <f t="shared" si="1"/>
        <v>0.04</v>
      </c>
      <c r="C2072" s="2" t="s">
        <v>2810</v>
      </c>
    </row>
    <row r="2073" ht="12.75" customHeight="1">
      <c r="A2073" s="3" t="s">
        <v>3272</v>
      </c>
      <c r="B2073" s="3" t="str">
        <f t="shared" si="1"/>
        <v>8, 8, HOPPIP</v>
      </c>
      <c r="C2073" s="2" t="s">
        <v>3272</v>
      </c>
    </row>
    <row r="2074" ht="12.75" customHeight="1">
      <c r="A2074" s="3" t="s">
        <v>3273</v>
      </c>
      <c r="B2074" s="3" t="str">
        <f t="shared" si="1"/>
        <v>14, 14, HOPPIP</v>
      </c>
      <c r="C2074" s="2" t="s">
        <v>3273</v>
      </c>
    </row>
    <row r="2075" ht="12.75" customHeight="1">
      <c r="A2075" s="3"/>
      <c r="B2075" s="3" t="str">
        <f t="shared" si="1"/>
        <v/>
      </c>
      <c r="C2075" s="2" t="s">
        <v>2801</v>
      </c>
    </row>
    <row r="2076" ht="12.75" customHeight="1">
      <c r="A2076" s="3" t="s">
        <v>2813</v>
      </c>
      <c r="B2076" s="3" t="str">
        <f t="shared" si="1"/>
        <v>0.01</v>
      </c>
      <c r="C2076" s="2" t="s">
        <v>2813</v>
      </c>
    </row>
    <row r="2077" ht="12.75" customHeight="1">
      <c r="A2077" s="3" t="s">
        <v>3272</v>
      </c>
      <c r="B2077" s="3" t="str">
        <f t="shared" si="1"/>
        <v>8, 8, HOPPIP</v>
      </c>
      <c r="C2077" s="2" t="s">
        <v>3272</v>
      </c>
    </row>
    <row r="2078" ht="12.75" customHeight="1">
      <c r="A2078" s="3" t="s">
        <v>3273</v>
      </c>
      <c r="B2078" s="3" t="str">
        <f t="shared" si="1"/>
        <v>14, 14, HOPPIP</v>
      </c>
      <c r="C2078" s="2" t="s">
        <v>3273</v>
      </c>
    </row>
    <row r="2079" ht="12.75" customHeight="1">
      <c r="A2079" s="3" t="s">
        <v>3257</v>
      </c>
      <c r="B2079" s="3" t="str">
        <f t="shared" si="1"/>
        <v>2, 5, 35, TENTACOOL</v>
      </c>
      <c r="C2079" s="2" t="s">
        <v>3257</v>
      </c>
    </row>
    <row r="2080" ht="12.75" customHeight="1">
      <c r="A2080" s="3" t="s">
        <v>3258</v>
      </c>
      <c r="B2080" s="3" t="str">
        <f t="shared" si="1"/>
        <v>5, 15, HOPPIP</v>
      </c>
      <c r="C2080" s="2" t="s">
        <v>3258</v>
      </c>
    </row>
    <row r="2081" ht="12.75" customHeight="1">
      <c r="A2081" s="3" t="s">
        <v>2845</v>
      </c>
      <c r="B2081" s="3" t="str">
        <f t="shared" si="1"/>
        <v>35, 40, TENTACOOL</v>
      </c>
      <c r="C2081" s="2" t="s">
        <v>2845</v>
      </c>
    </row>
    <row r="2082" ht="12.75" customHeight="1">
      <c r="A2082" s="3" t="s">
        <v>3232</v>
      </c>
      <c r="B2082" s="3" t="str">
        <f t="shared" si="1"/>
        <v>35, 40, TENTACRUEL</v>
      </c>
      <c r="C2082" s="2" t="s">
        <v>3232</v>
      </c>
    </row>
    <row r="2083" ht="12.75" customHeight="1">
      <c r="A2083" s="3" t="s">
        <v>3232</v>
      </c>
      <c r="B2083" s="3" t="str">
        <f t="shared" si="1"/>
        <v>35, 40, TENTACRUEL</v>
      </c>
      <c r="C2083" s="2" t="s">
        <v>3232</v>
      </c>
    </row>
    <row r="2084" ht="12.75" customHeight="1">
      <c r="A2084" s="3" t="s">
        <v>2926</v>
      </c>
      <c r="B2084" s="3" t="str">
        <f t="shared" si="1"/>
        <v>20, old rod:</v>
      </c>
      <c r="C2084" s="2" t="s">
        <v>2926</v>
      </c>
    </row>
    <row r="2085" ht="12.75" customHeight="1">
      <c r="A2085" s="3" t="s">
        <v>417</v>
      </c>
      <c r="B2085" s="3" t="str">
        <f t="shared" si="1"/>
        <v>5, 5, MAGIKARP</v>
      </c>
      <c r="C2085" s="2" t="s">
        <v>417</v>
      </c>
    </row>
    <row r="2086" ht="12.75" customHeight="1">
      <c r="A2086" s="3" t="s">
        <v>417</v>
      </c>
      <c r="B2086" s="3" t="str">
        <f t="shared" si="1"/>
        <v>5, 5, MAGIKARP</v>
      </c>
      <c r="C2086" s="2" t="s">
        <v>417</v>
      </c>
    </row>
    <row r="2087" ht="12.75" customHeight="1">
      <c r="A2087" s="3"/>
      <c r="B2087" s="3" t="str">
        <f t="shared" si="1"/>
        <v/>
      </c>
      <c r="C2087" s="2" t="s">
        <v>2801</v>
      </c>
    </row>
    <row r="2088" ht="12.75" customHeight="1">
      <c r="A2088" s="3" t="s">
        <v>2847</v>
      </c>
      <c r="B2088" s="3" t="str">
        <f t="shared" si="1"/>
        <v>good rod:</v>
      </c>
      <c r="C2088" s="2" t="s">
        <v>2847</v>
      </c>
    </row>
    <row r="2089" ht="12.75" customHeight="1">
      <c r="A2089" s="3" t="s">
        <v>2848</v>
      </c>
      <c r="B2089" s="3" t="str">
        <f t="shared" si="1"/>
        <v>5, 15, KRABBY</v>
      </c>
      <c r="C2089" s="2" t="s">
        <v>2848</v>
      </c>
    </row>
    <row r="2090" ht="12.75" customHeight="1">
      <c r="A2090" s="3" t="s">
        <v>2849</v>
      </c>
      <c r="B2090" s="3" t="str">
        <f t="shared" si="1"/>
        <v>5, 15, MAGIKARP</v>
      </c>
      <c r="C2090" s="2" t="s">
        <v>2849</v>
      </c>
    </row>
    <row r="2091" ht="12.75" customHeight="1">
      <c r="A2091" s="3" t="s">
        <v>2848</v>
      </c>
      <c r="B2091" s="3" t="str">
        <f t="shared" si="1"/>
        <v>5, 15, KRABBY</v>
      </c>
      <c r="C2091" s="2" t="s">
        <v>2848</v>
      </c>
    </row>
    <row r="2092" ht="12.75" customHeight="1">
      <c r="A2092" s="3"/>
      <c r="B2092" s="3" t="str">
        <f t="shared" si="1"/>
        <v/>
      </c>
      <c r="C2092" s="2" t="s">
        <v>2801</v>
      </c>
    </row>
    <row r="2093" ht="12.75" customHeight="1">
      <c r="A2093" s="3" t="s">
        <v>2851</v>
      </c>
      <c r="B2093" s="3" t="str">
        <f t="shared" si="1"/>
        <v>super rod:</v>
      </c>
      <c r="C2093" s="2" t="s">
        <v>2851</v>
      </c>
    </row>
    <row r="2094" ht="12.75" customHeight="1">
      <c r="A2094" s="3" t="s">
        <v>2852</v>
      </c>
      <c r="B2094" s="3" t="str">
        <f t="shared" si="1"/>
        <v>15, 25, KRABBY</v>
      </c>
      <c r="C2094" s="2" t="s">
        <v>2852</v>
      </c>
    </row>
    <row r="2095" ht="12.75" customHeight="1">
      <c r="A2095" s="3" t="s">
        <v>3259</v>
      </c>
      <c r="B2095" s="3" t="str">
        <f t="shared" si="1"/>
        <v>15, 25, REMORAID</v>
      </c>
      <c r="C2095" s="2" t="s">
        <v>3259</v>
      </c>
    </row>
    <row r="2096" ht="12.75" customHeight="1">
      <c r="A2096" s="3" t="s">
        <v>2854</v>
      </c>
      <c r="B2096" s="3" t="str">
        <f t="shared" si="1"/>
        <v>15, 25, GYARADOS</v>
      </c>
      <c r="C2096" s="2" t="s">
        <v>2854</v>
      </c>
    </row>
    <row r="2097" ht="12.75" customHeight="1">
      <c r="A2097" s="3" t="s">
        <v>3178</v>
      </c>
      <c r="B2097" s="3" t="str">
        <f t="shared" si="1"/>
        <v>25, 35, KINGLER</v>
      </c>
      <c r="C2097" s="2" t="s">
        <v>3178</v>
      </c>
    </row>
    <row r="2098" ht="12.75" customHeight="1">
      <c r="A2098" s="3" t="s">
        <v>2856</v>
      </c>
      <c r="B2098" s="3" t="str">
        <f t="shared" si="1"/>
        <v>25, 35, SLOWPOKE</v>
      </c>
      <c r="C2098" s="2" t="s">
        <v>2856</v>
      </c>
    </row>
    <row r="2099" ht="12.75" customHeight="1">
      <c r="A2099" s="3" t="s">
        <v>2539</v>
      </c>
      <c r="B2099" s="3" t="str">
        <f t="shared" si="1"/>
        <v>NEW ROUTE</v>
      </c>
      <c r="C2099" s="2" t="s">
        <v>2539</v>
      </c>
    </row>
    <row r="2100" ht="12.75" customHeight="1">
      <c r="A2100" s="3" t="s">
        <v>3276</v>
      </c>
      <c r="B2100" s="3" t="str">
        <f t="shared" si="1"/>
        <v>3, 58, 0, &lt;null&gt;,</v>
      </c>
      <c r="C2100" s="2" t="s">
        <v>3276</v>
      </c>
    </row>
    <row r="2101" ht="12.75" customHeight="1">
      <c r="A2101" s="3"/>
      <c r="B2101" s="3" t="str">
        <f t="shared" si="1"/>
        <v/>
      </c>
      <c r="C2101" s="2" t="s">
        <v>2801</v>
      </c>
    </row>
    <row r="2102" ht="12.75" customHeight="1">
      <c r="A2102" s="3" t="s">
        <v>3173</v>
      </c>
      <c r="B2102" s="3" t="str">
        <f t="shared" si="1"/>
        <v>2, 5, 20, TENTACOOL</v>
      </c>
      <c r="C2102" s="2" t="s">
        <v>3173</v>
      </c>
    </row>
    <row r="2103" ht="12.75" customHeight="1">
      <c r="A2103" s="3" t="s">
        <v>3174</v>
      </c>
      <c r="B2103" s="3" t="str">
        <f t="shared" si="1"/>
        <v>20, 35, TENTACOOL</v>
      </c>
      <c r="C2103" s="2" t="s">
        <v>3174</v>
      </c>
    </row>
    <row r="2104" ht="12.75" customHeight="1">
      <c r="A2104" s="3" t="s">
        <v>2845</v>
      </c>
      <c r="B2104" s="3" t="str">
        <f t="shared" si="1"/>
        <v>35, 40, TENTACOOL</v>
      </c>
      <c r="C2104" s="2" t="s">
        <v>2845</v>
      </c>
    </row>
    <row r="2105" ht="12.75" customHeight="1">
      <c r="A2105" s="3" t="s">
        <v>3232</v>
      </c>
      <c r="B2105" s="3" t="str">
        <f t="shared" si="1"/>
        <v>35, 40, TENTACRUEL</v>
      </c>
      <c r="C2105" s="2" t="s">
        <v>3232</v>
      </c>
    </row>
    <row r="2106" ht="12.75" customHeight="1">
      <c r="A2106" s="3" t="s">
        <v>3232</v>
      </c>
      <c r="B2106" s="3" t="str">
        <f t="shared" si="1"/>
        <v>35, 40, TENTACRUEL</v>
      </c>
      <c r="C2106" s="2" t="s">
        <v>3232</v>
      </c>
    </row>
    <row r="2107" ht="12.75" customHeight="1">
      <c r="A2107" s="3" t="s">
        <v>2926</v>
      </c>
      <c r="B2107" s="3" t="str">
        <f t="shared" si="1"/>
        <v>20, old rod:</v>
      </c>
      <c r="C2107" s="2" t="s">
        <v>2926</v>
      </c>
    </row>
    <row r="2108" ht="12.75" customHeight="1">
      <c r="A2108" s="3" t="s">
        <v>417</v>
      </c>
      <c r="B2108" s="3" t="str">
        <f t="shared" si="1"/>
        <v>5, 5, MAGIKARP</v>
      </c>
      <c r="C2108" s="2" t="s">
        <v>417</v>
      </c>
    </row>
    <row r="2109" ht="12.75" customHeight="1">
      <c r="A2109" s="3" t="s">
        <v>417</v>
      </c>
      <c r="B2109" s="3" t="str">
        <f t="shared" si="1"/>
        <v>5, 5, MAGIKARP</v>
      </c>
      <c r="C2109" s="2" t="s">
        <v>417</v>
      </c>
    </row>
    <row r="2110" ht="12.75" customHeight="1">
      <c r="A2110" s="3"/>
      <c r="B2110" s="3" t="str">
        <f t="shared" si="1"/>
        <v/>
      </c>
      <c r="C2110" s="2" t="s">
        <v>2801</v>
      </c>
    </row>
    <row r="2111" ht="12.75" customHeight="1">
      <c r="A2111" s="3" t="s">
        <v>2847</v>
      </c>
      <c r="B2111" s="3" t="str">
        <f t="shared" si="1"/>
        <v>good rod:</v>
      </c>
      <c r="C2111" s="2" t="s">
        <v>2847</v>
      </c>
    </row>
    <row r="2112" ht="12.75" customHeight="1">
      <c r="A2112" s="3" t="s">
        <v>2848</v>
      </c>
      <c r="B2112" s="3" t="str">
        <f t="shared" si="1"/>
        <v>5, 15, KRABBY</v>
      </c>
      <c r="C2112" s="2" t="s">
        <v>2848</v>
      </c>
    </row>
    <row r="2113" ht="12.75" customHeight="1">
      <c r="A2113" s="3" t="s">
        <v>2849</v>
      </c>
      <c r="B2113" s="3" t="str">
        <f t="shared" si="1"/>
        <v>5, 15, MAGIKARP</v>
      </c>
      <c r="C2113" s="2" t="s">
        <v>2849</v>
      </c>
    </row>
    <row r="2114" ht="12.75" customHeight="1">
      <c r="A2114" s="3" t="s">
        <v>2848</v>
      </c>
      <c r="B2114" s="3" t="str">
        <f t="shared" si="1"/>
        <v>5, 15, KRABBY</v>
      </c>
      <c r="C2114" s="2" t="s">
        <v>2848</v>
      </c>
    </row>
    <row r="2115" ht="12.75" customHeight="1">
      <c r="A2115" s="3"/>
      <c r="B2115" s="3" t="str">
        <f t="shared" si="1"/>
        <v/>
      </c>
      <c r="C2115" s="2" t="s">
        <v>2801</v>
      </c>
    </row>
    <row r="2116" ht="12.75" customHeight="1">
      <c r="A2116" s="3" t="s">
        <v>2851</v>
      </c>
      <c r="B2116" s="3" t="str">
        <f t="shared" si="1"/>
        <v>super rod:</v>
      </c>
      <c r="C2116" s="2" t="s">
        <v>2851</v>
      </c>
    </row>
    <row r="2117" ht="12.75" customHeight="1">
      <c r="A2117" s="3" t="s">
        <v>2852</v>
      </c>
      <c r="B2117" s="3" t="str">
        <f t="shared" si="1"/>
        <v>15, 25, KRABBY</v>
      </c>
      <c r="C2117" s="2" t="s">
        <v>2852</v>
      </c>
    </row>
    <row r="2118" ht="12.75" customHeight="1">
      <c r="A2118" s="3" t="s">
        <v>3259</v>
      </c>
      <c r="B2118" s="3" t="str">
        <f t="shared" si="1"/>
        <v>15, 25, REMORAID</v>
      </c>
      <c r="C2118" s="2" t="s">
        <v>3259</v>
      </c>
    </row>
    <row r="2119" ht="12.75" customHeight="1">
      <c r="A2119" s="3" t="s">
        <v>2854</v>
      </c>
      <c r="B2119" s="3" t="str">
        <f t="shared" si="1"/>
        <v>15, 25, GYARADOS</v>
      </c>
      <c r="C2119" s="2" t="s">
        <v>2854</v>
      </c>
    </row>
    <row r="2120" ht="12.75" customHeight="1">
      <c r="A2120" s="3" t="s">
        <v>3178</v>
      </c>
      <c r="B2120" s="3" t="str">
        <f t="shared" si="1"/>
        <v>25, 35, KINGLER</v>
      </c>
      <c r="C2120" s="2" t="s">
        <v>3178</v>
      </c>
    </row>
    <row r="2121" ht="12.75" customHeight="1">
      <c r="A2121" s="3" t="s">
        <v>2856</v>
      </c>
      <c r="B2121" s="3" t="str">
        <f t="shared" si="1"/>
        <v>25, 35, SLOWPOKE</v>
      </c>
      <c r="C2121" s="2" t="s">
        <v>2856</v>
      </c>
    </row>
    <row r="2122" ht="12.75" customHeight="1">
      <c r="A2122" s="3" t="s">
        <v>2539</v>
      </c>
      <c r="B2122" s="3" t="str">
        <f t="shared" si="1"/>
        <v>NEW ROUTE</v>
      </c>
      <c r="C2122" s="2" t="s">
        <v>2539</v>
      </c>
    </row>
    <row r="2123" ht="12.75" customHeight="1">
      <c r="A2123" s="3" t="s">
        <v>3277</v>
      </c>
      <c r="B2123" s="3" t="str">
        <f t="shared" si="1"/>
        <v>3, 59, 0, &lt;null&gt;,</v>
      </c>
      <c r="C2123" s="2" t="s">
        <v>3277</v>
      </c>
    </row>
    <row r="2124" ht="12.75" customHeight="1">
      <c r="A2124" s="3"/>
      <c r="B2124" s="3" t="str">
        <f t="shared" si="1"/>
        <v/>
      </c>
      <c r="C2124" s="2" t="s">
        <v>2801</v>
      </c>
    </row>
    <row r="2125" ht="12.75" customHeight="1">
      <c r="A2125" s="3" t="s">
        <v>3173</v>
      </c>
      <c r="B2125" s="3" t="str">
        <f t="shared" si="1"/>
        <v>2, 5, 20, TENTACOOL</v>
      </c>
      <c r="C2125" s="2" t="s">
        <v>3173</v>
      </c>
    </row>
    <row r="2126" ht="12.75" customHeight="1">
      <c r="A2126" s="3" t="s">
        <v>3174</v>
      </c>
      <c r="B2126" s="3" t="str">
        <f t="shared" si="1"/>
        <v>20, 35, TENTACOOL</v>
      </c>
      <c r="C2126" s="2" t="s">
        <v>3174</v>
      </c>
    </row>
    <row r="2127" ht="12.75" customHeight="1">
      <c r="A2127" s="3" t="s">
        <v>2845</v>
      </c>
      <c r="B2127" s="3" t="str">
        <f t="shared" si="1"/>
        <v>35, 40, TENTACOOL</v>
      </c>
      <c r="C2127" s="2" t="s">
        <v>2845</v>
      </c>
    </row>
    <row r="2128" ht="12.75" customHeight="1">
      <c r="A2128" s="3" t="s">
        <v>3232</v>
      </c>
      <c r="B2128" s="3" t="str">
        <f t="shared" si="1"/>
        <v>35, 40, TENTACRUEL</v>
      </c>
      <c r="C2128" s="2" t="s">
        <v>3232</v>
      </c>
    </row>
    <row r="2129" ht="12.75" customHeight="1">
      <c r="A2129" s="3" t="s">
        <v>3232</v>
      </c>
      <c r="B2129" s="3" t="str">
        <f t="shared" si="1"/>
        <v>35, 40, TENTACRUEL</v>
      </c>
      <c r="C2129" s="2" t="s">
        <v>3232</v>
      </c>
    </row>
    <row r="2130" ht="12.75" customHeight="1">
      <c r="A2130" s="3" t="s">
        <v>2926</v>
      </c>
      <c r="B2130" s="3" t="str">
        <f t="shared" si="1"/>
        <v>20, old rod:</v>
      </c>
      <c r="C2130" s="2" t="s">
        <v>2926</v>
      </c>
    </row>
    <row r="2131" ht="12.75" customHeight="1">
      <c r="A2131" s="3" t="s">
        <v>417</v>
      </c>
      <c r="B2131" s="3" t="str">
        <f t="shared" si="1"/>
        <v>5, 5, MAGIKARP</v>
      </c>
      <c r="C2131" s="2" t="s">
        <v>417</v>
      </c>
    </row>
    <row r="2132" ht="12.75" customHeight="1">
      <c r="A2132" s="3" t="s">
        <v>417</v>
      </c>
      <c r="B2132" s="3" t="str">
        <f t="shared" si="1"/>
        <v>5, 5, MAGIKARP</v>
      </c>
      <c r="C2132" s="2" t="s">
        <v>417</v>
      </c>
    </row>
    <row r="2133" ht="12.75" customHeight="1">
      <c r="A2133" s="3"/>
      <c r="B2133" s="3" t="str">
        <f t="shared" si="1"/>
        <v/>
      </c>
      <c r="C2133" s="2" t="s">
        <v>2801</v>
      </c>
    </row>
    <row r="2134" ht="12.75" customHeight="1">
      <c r="A2134" s="3" t="s">
        <v>2847</v>
      </c>
      <c r="B2134" s="3" t="str">
        <f t="shared" si="1"/>
        <v>good rod:</v>
      </c>
      <c r="C2134" s="2" t="s">
        <v>2847</v>
      </c>
    </row>
    <row r="2135" ht="12.75" customHeight="1">
      <c r="A2135" s="3" t="s">
        <v>2848</v>
      </c>
      <c r="B2135" s="3" t="str">
        <f t="shared" si="1"/>
        <v>5, 15, KRABBY</v>
      </c>
      <c r="C2135" s="2" t="s">
        <v>2848</v>
      </c>
    </row>
    <row r="2136" ht="12.75" customHeight="1">
      <c r="A2136" s="3" t="s">
        <v>2849</v>
      </c>
      <c r="B2136" s="3" t="str">
        <f t="shared" si="1"/>
        <v>5, 15, MAGIKARP</v>
      </c>
      <c r="C2136" s="2" t="s">
        <v>2849</v>
      </c>
    </row>
    <row r="2137" ht="12.75" customHeight="1">
      <c r="A2137" s="3" t="s">
        <v>2848</v>
      </c>
      <c r="B2137" s="3" t="str">
        <f t="shared" si="1"/>
        <v>5, 15, KRABBY</v>
      </c>
      <c r="C2137" s="2" t="s">
        <v>2848</v>
      </c>
    </row>
    <row r="2138" ht="12.75" customHeight="1">
      <c r="A2138" s="3"/>
      <c r="B2138" s="3" t="str">
        <f t="shared" si="1"/>
        <v/>
      </c>
      <c r="C2138" s="2" t="s">
        <v>2801</v>
      </c>
    </row>
    <row r="2139" ht="12.75" customHeight="1">
      <c r="A2139" s="3" t="s">
        <v>2851</v>
      </c>
      <c r="B2139" s="3" t="str">
        <f t="shared" si="1"/>
        <v>super rod:</v>
      </c>
      <c r="C2139" s="2" t="s">
        <v>2851</v>
      </c>
    </row>
    <row r="2140" ht="12.75" customHeight="1">
      <c r="A2140" s="3" t="s">
        <v>2852</v>
      </c>
      <c r="B2140" s="3" t="str">
        <f t="shared" si="1"/>
        <v>15, 25, KRABBY</v>
      </c>
      <c r="C2140" s="2" t="s">
        <v>2852</v>
      </c>
    </row>
    <row r="2141" ht="12.75" customHeight="1">
      <c r="A2141" s="3" t="s">
        <v>3259</v>
      </c>
      <c r="B2141" s="3" t="str">
        <f t="shared" si="1"/>
        <v>15, 25, REMORAID</v>
      </c>
      <c r="C2141" s="2" t="s">
        <v>3259</v>
      </c>
    </row>
    <row r="2142" ht="12.75" customHeight="1">
      <c r="A2142" s="3" t="s">
        <v>2854</v>
      </c>
      <c r="B2142" s="3" t="str">
        <f t="shared" si="1"/>
        <v>15, 25, GYARADOS</v>
      </c>
      <c r="C2142" s="2" t="s">
        <v>2854</v>
      </c>
    </row>
    <row r="2143" ht="12.75" customHeight="1">
      <c r="A2143" s="3" t="s">
        <v>3178</v>
      </c>
      <c r="B2143" s="3" t="str">
        <f t="shared" si="1"/>
        <v>25, 35, KINGLER</v>
      </c>
      <c r="C2143" s="2" t="s">
        <v>3178</v>
      </c>
    </row>
    <row r="2144" ht="12.75" customHeight="1">
      <c r="A2144" s="3" t="s">
        <v>2856</v>
      </c>
      <c r="B2144" s="3" t="str">
        <f t="shared" si="1"/>
        <v>25, 35, SLOWPOKE</v>
      </c>
      <c r="C2144" s="2" t="s">
        <v>2856</v>
      </c>
    </row>
    <row r="2145" ht="12.75" customHeight="1">
      <c r="A2145" s="3" t="s">
        <v>2539</v>
      </c>
      <c r="B2145" s="3" t="str">
        <f t="shared" si="1"/>
        <v>NEW ROUTE</v>
      </c>
      <c r="C2145" s="2" t="s">
        <v>2539</v>
      </c>
    </row>
    <row r="2146" ht="12.75" customHeight="1">
      <c r="A2146" s="3" t="s">
        <v>3278</v>
      </c>
      <c r="B2146" s="3" t="str">
        <f t="shared" si="1"/>
        <v>3, 60, 0,</v>
      </c>
      <c r="C2146" s="2" t="s">
        <v>3278</v>
      </c>
    </row>
    <row r="2147" ht="12.75" customHeight="1">
      <c r="A2147" s="3" t="s">
        <v>2909</v>
      </c>
      <c r="B2147" s="3" t="str">
        <f t="shared" si="1"/>
        <v>20%</v>
      </c>
      <c r="C2147" s="2" t="s">
        <v>2799</v>
      </c>
    </row>
    <row r="2148" ht="12.75" customHeight="1">
      <c r="A2148" s="3" t="s">
        <v>887</v>
      </c>
      <c r="B2148" s="3" t="str">
        <f t="shared" si="1"/>
        <v>44, 44, SPEAROW</v>
      </c>
      <c r="C2148" s="2" t="s">
        <v>887</v>
      </c>
    </row>
    <row r="2149" ht="12.75" customHeight="1">
      <c r="A2149" s="3" t="s">
        <v>3262</v>
      </c>
      <c r="B2149" s="3" t="str">
        <f t="shared" si="1"/>
        <v>10, 10, SENTRET</v>
      </c>
      <c r="C2149" s="2" t="s">
        <v>3262</v>
      </c>
    </row>
    <row r="2150" ht="12.75" customHeight="1">
      <c r="A2150" s="3"/>
      <c r="B2150" s="3" t="str">
        <f t="shared" si="1"/>
        <v/>
      </c>
      <c r="C2150" s="2" t="s">
        <v>2801</v>
      </c>
    </row>
    <row r="2151" ht="12.75" customHeight="1">
      <c r="A2151" s="3" t="s">
        <v>2802</v>
      </c>
      <c r="B2151" s="3" t="str">
        <f t="shared" si="1"/>
        <v>0.1</v>
      </c>
      <c r="C2151" s="2" t="s">
        <v>2802</v>
      </c>
    </row>
    <row r="2152" ht="12.75" customHeight="1">
      <c r="A2152" s="3" t="s">
        <v>3279</v>
      </c>
      <c r="B2152" s="3" t="str">
        <f t="shared" si="1"/>
        <v>44, 44, BELLSPROUT</v>
      </c>
      <c r="C2152" s="2" t="s">
        <v>3279</v>
      </c>
    </row>
    <row r="2153" ht="12.75" customHeight="1">
      <c r="A2153" s="3" t="s">
        <v>3280</v>
      </c>
      <c r="B2153" s="3" t="str">
        <f t="shared" si="1"/>
        <v>48, 48, FEAROW</v>
      </c>
      <c r="C2153" s="2" t="s">
        <v>3280</v>
      </c>
    </row>
    <row r="2154" ht="12.75" customHeight="1">
      <c r="A2154" s="3" t="s">
        <v>3264</v>
      </c>
      <c r="B2154" s="3" t="str">
        <f t="shared" si="1"/>
        <v>15, 15, SENTRET</v>
      </c>
      <c r="C2154" s="2" t="s">
        <v>3264</v>
      </c>
    </row>
    <row r="2155" ht="12.75" customHeight="1">
      <c r="A2155" s="3" t="s">
        <v>3265</v>
      </c>
      <c r="B2155" s="3" t="str">
        <f t="shared" si="1"/>
        <v>41, 41, MEOWTH</v>
      </c>
      <c r="C2155" s="2" t="s">
        <v>3265</v>
      </c>
    </row>
    <row r="2156" ht="12.75" customHeight="1">
      <c r="A2156" s="3"/>
      <c r="B2156" s="3" t="str">
        <f t="shared" si="1"/>
        <v/>
      </c>
      <c r="C2156" s="2" t="s">
        <v>2801</v>
      </c>
    </row>
    <row r="2157" ht="12.75" customHeight="1">
      <c r="A2157" s="3" t="s">
        <v>2807</v>
      </c>
      <c r="B2157" s="3" t="str">
        <f t="shared" si="1"/>
        <v>0.05</v>
      </c>
      <c r="C2157" s="2" t="s">
        <v>2807</v>
      </c>
    </row>
    <row r="2158" ht="12.75" customHeight="1">
      <c r="A2158" s="3" t="s">
        <v>3281</v>
      </c>
      <c r="B2158" s="3" t="str">
        <f t="shared" si="1"/>
        <v>48, 48, WEEPINBELL</v>
      </c>
      <c r="C2158" s="2" t="s">
        <v>3281</v>
      </c>
    </row>
    <row r="2159" ht="12.75" customHeight="1">
      <c r="A2159" s="3" t="s">
        <v>3155</v>
      </c>
      <c r="B2159" s="3" t="str">
        <f t="shared" si="1"/>
        <v>41, 41, SLOWPOKE</v>
      </c>
      <c r="C2159" s="2" t="s">
        <v>3155</v>
      </c>
    </row>
    <row r="2160" ht="12.75" customHeight="1">
      <c r="A2160" s="3"/>
      <c r="B2160" s="3" t="str">
        <f t="shared" si="1"/>
        <v/>
      </c>
      <c r="C2160" s="2" t="s">
        <v>2801</v>
      </c>
    </row>
    <row r="2161" ht="12.75" customHeight="1">
      <c r="A2161" s="3" t="s">
        <v>2810</v>
      </c>
      <c r="B2161" s="3" t="str">
        <f t="shared" si="1"/>
        <v>0.04</v>
      </c>
      <c r="C2161" s="2" t="s">
        <v>2810</v>
      </c>
    </row>
    <row r="2162" ht="12.75" customHeight="1">
      <c r="A2162" s="3" t="s">
        <v>3282</v>
      </c>
      <c r="B2162" s="3" t="str">
        <f t="shared" si="1"/>
        <v>50, 50, FEAROW</v>
      </c>
      <c r="C2162" s="2" t="s">
        <v>3282</v>
      </c>
    </row>
    <row r="2163" ht="12.75" customHeight="1">
      <c r="A2163" s="3" t="s">
        <v>3268</v>
      </c>
      <c r="B2163" s="3" t="str">
        <f t="shared" si="1"/>
        <v>47, 47, PERSIAN</v>
      </c>
      <c r="C2163" s="2" t="s">
        <v>3268</v>
      </c>
    </row>
    <row r="2164" ht="12.75" customHeight="1">
      <c r="A2164" s="3"/>
      <c r="B2164" s="3" t="str">
        <f t="shared" si="1"/>
        <v/>
      </c>
      <c r="C2164" s="2" t="s">
        <v>2801</v>
      </c>
    </row>
    <row r="2165" ht="12.75" customHeight="1">
      <c r="A2165" s="3" t="s">
        <v>2813</v>
      </c>
      <c r="B2165" s="3" t="str">
        <f t="shared" si="1"/>
        <v>0.01</v>
      </c>
      <c r="C2165" s="2" t="s">
        <v>2813</v>
      </c>
    </row>
    <row r="2166" ht="12.75" customHeight="1">
      <c r="A2166" s="3" t="s">
        <v>3282</v>
      </c>
      <c r="B2166" s="3" t="str">
        <f t="shared" si="1"/>
        <v>50, 50, FEAROW</v>
      </c>
      <c r="C2166" s="2" t="s">
        <v>3282</v>
      </c>
    </row>
    <row r="2167" ht="12.75" customHeight="1">
      <c r="A2167" s="3" t="s">
        <v>3269</v>
      </c>
      <c r="B2167" s="3" t="str">
        <f t="shared" si="1"/>
        <v>50, 50, PERSIAN</v>
      </c>
      <c r="C2167" s="2" t="s">
        <v>3269</v>
      </c>
    </row>
    <row r="2168" ht="12.75" customHeight="1">
      <c r="A2168" s="3" t="s">
        <v>3173</v>
      </c>
      <c r="B2168" s="3" t="str">
        <f t="shared" si="1"/>
        <v>2, 5, 20, TENTACOOL</v>
      </c>
      <c r="C2168" s="2" t="s">
        <v>3173</v>
      </c>
    </row>
    <row r="2169" ht="12.75" customHeight="1">
      <c r="A2169" s="3" t="s">
        <v>3174</v>
      </c>
      <c r="B2169" s="3" t="str">
        <f t="shared" si="1"/>
        <v>20, 35, TENTACOOL</v>
      </c>
      <c r="C2169" s="2" t="s">
        <v>3174</v>
      </c>
    </row>
    <row r="2170" ht="12.75" customHeight="1">
      <c r="A2170" s="3" t="s">
        <v>2845</v>
      </c>
      <c r="B2170" s="3" t="str">
        <f t="shared" si="1"/>
        <v>35, 40, TENTACOOL</v>
      </c>
      <c r="C2170" s="2" t="s">
        <v>2845</v>
      </c>
    </row>
    <row r="2171" ht="12.75" customHeight="1">
      <c r="A2171" s="3" t="s">
        <v>3232</v>
      </c>
      <c r="B2171" s="3" t="str">
        <f t="shared" si="1"/>
        <v>35, 40, TENTACRUEL</v>
      </c>
      <c r="C2171" s="2" t="s">
        <v>3232</v>
      </c>
    </row>
    <row r="2172" ht="12.75" customHeight="1">
      <c r="A2172" s="3" t="s">
        <v>3232</v>
      </c>
      <c r="B2172" s="3" t="str">
        <f t="shared" si="1"/>
        <v>35, 40, TENTACRUEL</v>
      </c>
      <c r="C2172" s="2" t="s">
        <v>3232</v>
      </c>
    </row>
    <row r="2173" ht="12.75" customHeight="1">
      <c r="A2173" s="3" t="s">
        <v>2926</v>
      </c>
      <c r="B2173" s="3" t="str">
        <f t="shared" si="1"/>
        <v>20, old rod:</v>
      </c>
      <c r="C2173" s="2" t="s">
        <v>2926</v>
      </c>
    </row>
    <row r="2174" ht="12.75" customHeight="1">
      <c r="A2174" s="3" t="s">
        <v>417</v>
      </c>
      <c r="B2174" s="3" t="str">
        <f t="shared" si="1"/>
        <v>5, 5, MAGIKARP</v>
      </c>
      <c r="C2174" s="2" t="s">
        <v>417</v>
      </c>
    </row>
    <row r="2175" ht="12.75" customHeight="1">
      <c r="A2175" s="3" t="s">
        <v>417</v>
      </c>
      <c r="B2175" s="3" t="str">
        <f t="shared" si="1"/>
        <v>5, 5, MAGIKARP</v>
      </c>
      <c r="C2175" s="2" t="s">
        <v>417</v>
      </c>
    </row>
    <row r="2176" ht="12.75" customHeight="1">
      <c r="A2176" s="3"/>
      <c r="B2176" s="3" t="str">
        <f t="shared" si="1"/>
        <v/>
      </c>
      <c r="C2176" s="2" t="s">
        <v>2801</v>
      </c>
    </row>
    <row r="2177" ht="12.75" customHeight="1">
      <c r="A2177" s="3" t="s">
        <v>2847</v>
      </c>
      <c r="B2177" s="3" t="str">
        <f t="shared" si="1"/>
        <v>good rod:</v>
      </c>
      <c r="C2177" s="2" t="s">
        <v>2847</v>
      </c>
    </row>
    <row r="2178" ht="12.75" customHeight="1">
      <c r="A2178" s="3" t="s">
        <v>2848</v>
      </c>
      <c r="B2178" s="3" t="str">
        <f t="shared" si="1"/>
        <v>5, 15, KRABBY</v>
      </c>
      <c r="C2178" s="2" t="s">
        <v>2848</v>
      </c>
    </row>
    <row r="2179" ht="12.75" customHeight="1">
      <c r="A2179" s="3" t="s">
        <v>2849</v>
      </c>
      <c r="B2179" s="3" t="str">
        <f t="shared" si="1"/>
        <v>5, 15, MAGIKARP</v>
      </c>
      <c r="C2179" s="2" t="s">
        <v>2849</v>
      </c>
    </row>
    <row r="2180" ht="12.75" customHeight="1">
      <c r="A2180" s="3" t="s">
        <v>2848</v>
      </c>
      <c r="B2180" s="3" t="str">
        <f t="shared" si="1"/>
        <v>5, 15, KRABBY</v>
      </c>
      <c r="C2180" s="2" t="s">
        <v>2848</v>
      </c>
    </row>
    <row r="2181" ht="12.75" customHeight="1">
      <c r="A2181" s="3"/>
      <c r="B2181" s="3" t="str">
        <f t="shared" si="1"/>
        <v/>
      </c>
      <c r="C2181" s="2" t="s">
        <v>2801</v>
      </c>
    </row>
    <row r="2182" ht="12.75" customHeight="1">
      <c r="A2182" s="3" t="s">
        <v>2851</v>
      </c>
      <c r="B2182" s="3" t="str">
        <f t="shared" si="1"/>
        <v>super rod:</v>
      </c>
      <c r="C2182" s="2" t="s">
        <v>2851</v>
      </c>
    </row>
    <row r="2183" ht="12.75" customHeight="1">
      <c r="A2183" s="3" t="s">
        <v>2852</v>
      </c>
      <c r="B2183" s="3" t="str">
        <f t="shared" si="1"/>
        <v>15, 25, KRABBY</v>
      </c>
      <c r="C2183" s="2" t="s">
        <v>2852</v>
      </c>
    </row>
    <row r="2184" ht="12.75" customHeight="1">
      <c r="A2184" s="3" t="s">
        <v>3259</v>
      </c>
      <c r="B2184" s="3" t="str">
        <f t="shared" si="1"/>
        <v>15, 25, REMORAID</v>
      </c>
      <c r="C2184" s="2" t="s">
        <v>3259</v>
      </c>
    </row>
    <row r="2185" ht="12.75" customHeight="1">
      <c r="A2185" s="3" t="s">
        <v>2854</v>
      </c>
      <c r="B2185" s="3" t="str">
        <f t="shared" si="1"/>
        <v>15, 25, GYARADOS</v>
      </c>
      <c r="C2185" s="2" t="s">
        <v>2854</v>
      </c>
    </row>
    <row r="2186" ht="12.75" customHeight="1">
      <c r="A2186" s="3" t="s">
        <v>3178</v>
      </c>
      <c r="B2186" s="3" t="str">
        <f t="shared" si="1"/>
        <v>25, 35, KINGLER</v>
      </c>
      <c r="C2186" s="2" t="s">
        <v>3178</v>
      </c>
    </row>
    <row r="2187" ht="12.75" customHeight="1">
      <c r="A2187" s="3" t="s">
        <v>2856</v>
      </c>
      <c r="B2187" s="3" t="str">
        <f t="shared" si="1"/>
        <v>25, 35, SLOWPOKE</v>
      </c>
      <c r="C2187" s="2" t="s">
        <v>2856</v>
      </c>
    </row>
    <row r="2188" ht="12.75" customHeight="1">
      <c r="A2188" s="3" t="s">
        <v>2539</v>
      </c>
      <c r="B2188" s="3" t="str">
        <f t="shared" si="1"/>
        <v>NEW ROUTE</v>
      </c>
      <c r="C2188" s="2" t="s">
        <v>2539</v>
      </c>
    </row>
    <row r="2189" ht="12.75" customHeight="1">
      <c r="A2189" s="3" t="s">
        <v>3283</v>
      </c>
      <c r="B2189" s="3" t="str">
        <f t="shared" si="1"/>
        <v>3, 61, 0,</v>
      </c>
      <c r="C2189" s="2" t="s">
        <v>3283</v>
      </c>
    </row>
    <row r="2190" ht="12.75" customHeight="1">
      <c r="A2190" s="3" t="s">
        <v>2909</v>
      </c>
      <c r="B2190" s="3" t="str">
        <f t="shared" si="1"/>
        <v>20%</v>
      </c>
      <c r="C2190" s="2" t="s">
        <v>2799</v>
      </c>
    </row>
    <row r="2191" ht="12.75" customHeight="1">
      <c r="A2191" s="3" t="s">
        <v>894</v>
      </c>
      <c r="B2191" s="3" t="str">
        <f t="shared" si="1"/>
        <v>15, 15, NATU</v>
      </c>
      <c r="C2191" s="2" t="s">
        <v>894</v>
      </c>
    </row>
    <row r="2192" ht="12.75" customHeight="1">
      <c r="A2192" s="3" t="s">
        <v>887</v>
      </c>
      <c r="B2192" s="3" t="str">
        <f t="shared" si="1"/>
        <v>44, 44, SPEAROW</v>
      </c>
      <c r="C2192" s="2" t="s">
        <v>887</v>
      </c>
    </row>
    <row r="2193" ht="12.75" customHeight="1">
      <c r="A2193" s="3"/>
      <c r="B2193" s="3" t="str">
        <f t="shared" si="1"/>
        <v/>
      </c>
      <c r="C2193" s="2" t="s">
        <v>2801</v>
      </c>
    </row>
    <row r="2194" ht="12.75" customHeight="1">
      <c r="A2194" s="3" t="s">
        <v>2802</v>
      </c>
      <c r="B2194" s="3" t="str">
        <f t="shared" si="1"/>
        <v>0.1</v>
      </c>
      <c r="C2194" s="2" t="s">
        <v>2802</v>
      </c>
    </row>
    <row r="2195" ht="12.75" customHeight="1">
      <c r="A2195" s="3" t="s">
        <v>3284</v>
      </c>
      <c r="B2195" s="3" t="str">
        <f t="shared" si="1"/>
        <v>18, 18, YANMA</v>
      </c>
      <c r="C2195" s="2" t="s">
        <v>3284</v>
      </c>
    </row>
    <row r="2196" ht="12.75" customHeight="1">
      <c r="A2196" s="3" t="s">
        <v>3285</v>
      </c>
      <c r="B2196" s="3" t="str">
        <f t="shared" si="1"/>
        <v>15, 15, MARILL</v>
      </c>
      <c r="C2196" s="2" t="s">
        <v>3285</v>
      </c>
    </row>
    <row r="2197" ht="12.75" customHeight="1">
      <c r="A2197" s="3" t="s">
        <v>3286</v>
      </c>
      <c r="B2197" s="3" t="str">
        <f t="shared" si="1"/>
        <v>49, 49, FEAROW</v>
      </c>
      <c r="C2197" s="2" t="s">
        <v>3286</v>
      </c>
    </row>
    <row r="2198" ht="12.75" customHeight="1">
      <c r="A2198" s="3" t="s">
        <v>3287</v>
      </c>
      <c r="B2198" s="3" t="str">
        <f t="shared" si="1"/>
        <v>43, 43, MEOWTH</v>
      </c>
      <c r="C2198" s="2" t="s">
        <v>3287</v>
      </c>
    </row>
    <row r="2199" ht="12.75" customHeight="1">
      <c r="A2199" s="3"/>
      <c r="B2199" s="3" t="str">
        <f t="shared" si="1"/>
        <v/>
      </c>
      <c r="C2199" s="2" t="s">
        <v>2801</v>
      </c>
    </row>
    <row r="2200" ht="12.75" customHeight="1">
      <c r="A2200" s="3" t="s">
        <v>2807</v>
      </c>
      <c r="B2200" s="3" t="str">
        <f t="shared" si="1"/>
        <v>0.05</v>
      </c>
      <c r="C2200" s="2" t="s">
        <v>2807</v>
      </c>
    </row>
    <row r="2201" ht="12.75" customHeight="1">
      <c r="A2201" s="3" t="s">
        <v>3288</v>
      </c>
      <c r="B2201" s="3" t="str">
        <f t="shared" si="1"/>
        <v>25, 25, WOBBUFFET</v>
      </c>
      <c r="C2201" s="2" t="s">
        <v>3288</v>
      </c>
    </row>
    <row r="2202" ht="12.75" customHeight="1">
      <c r="A2202" s="3" t="s">
        <v>3155</v>
      </c>
      <c r="B2202" s="3" t="str">
        <f t="shared" si="1"/>
        <v>41, 41, SLOWPOKE</v>
      </c>
      <c r="C2202" s="2" t="s">
        <v>3155</v>
      </c>
    </row>
    <row r="2203" ht="12.75" customHeight="1">
      <c r="A2203" s="3"/>
      <c r="B2203" s="3" t="str">
        <f t="shared" si="1"/>
        <v/>
      </c>
      <c r="C2203" s="2" t="s">
        <v>2801</v>
      </c>
    </row>
    <row r="2204" ht="12.75" customHeight="1">
      <c r="A2204" s="3" t="s">
        <v>2810</v>
      </c>
      <c r="B2204" s="3" t="str">
        <f t="shared" si="1"/>
        <v>0.04</v>
      </c>
      <c r="C2204" s="2" t="s">
        <v>2810</v>
      </c>
    </row>
    <row r="2205" ht="12.75" customHeight="1">
      <c r="A2205" s="3" t="s">
        <v>3289</v>
      </c>
      <c r="B2205" s="3" t="str">
        <f t="shared" si="1"/>
        <v>20, 20, NATU</v>
      </c>
      <c r="C2205" s="2" t="s">
        <v>3289</v>
      </c>
    </row>
    <row r="2206" ht="12.75" customHeight="1">
      <c r="A2206" s="3" t="s">
        <v>3290</v>
      </c>
      <c r="B2206" s="3" t="str">
        <f t="shared" si="1"/>
        <v>49, 49, PERSIAN</v>
      </c>
      <c r="C2206" s="2" t="s">
        <v>3290</v>
      </c>
    </row>
    <row r="2207" ht="12.75" customHeight="1">
      <c r="A2207" s="3"/>
      <c r="B2207" s="3" t="str">
        <f t="shared" si="1"/>
        <v/>
      </c>
      <c r="C2207" s="2" t="s">
        <v>2801</v>
      </c>
    </row>
    <row r="2208" ht="12.75" customHeight="1">
      <c r="A2208" s="3" t="s">
        <v>2813</v>
      </c>
      <c r="B2208" s="3" t="str">
        <f t="shared" si="1"/>
        <v>0.01</v>
      </c>
      <c r="C2208" s="2" t="s">
        <v>2813</v>
      </c>
    </row>
    <row r="2209" ht="12.75" customHeight="1">
      <c r="A2209" s="3" t="s">
        <v>3289</v>
      </c>
      <c r="B2209" s="3" t="str">
        <f t="shared" si="1"/>
        <v>20, 20, NATU</v>
      </c>
      <c r="C2209" s="2" t="s">
        <v>3289</v>
      </c>
    </row>
    <row r="2210" ht="12.75" customHeight="1">
      <c r="A2210" s="3" t="s">
        <v>3291</v>
      </c>
      <c r="B2210" s="3" t="str">
        <f t="shared" si="1"/>
        <v>52, 52, PERSIAN</v>
      </c>
      <c r="C2210" s="2" t="s">
        <v>3291</v>
      </c>
    </row>
    <row r="2211" ht="12.75" customHeight="1">
      <c r="A2211" s="3" t="s">
        <v>3292</v>
      </c>
      <c r="B2211" s="3" t="str">
        <f t="shared" si="1"/>
        <v>2, 5, 20, MARILL</v>
      </c>
      <c r="C2211" s="2" t="s">
        <v>3292</v>
      </c>
    </row>
    <row r="2212" ht="12.75" customHeight="1">
      <c r="A2212" s="3" t="s">
        <v>3293</v>
      </c>
      <c r="B2212" s="3" t="str">
        <f t="shared" si="1"/>
        <v>10, 20, MARILL</v>
      </c>
      <c r="C2212" s="2" t="s">
        <v>3293</v>
      </c>
    </row>
    <row r="2213" ht="12.75" customHeight="1">
      <c r="A2213" s="3" t="s">
        <v>3294</v>
      </c>
      <c r="B2213" s="3" t="str">
        <f t="shared" si="1"/>
        <v>15, 25, MARILL</v>
      </c>
      <c r="C2213" s="2" t="s">
        <v>3294</v>
      </c>
    </row>
    <row r="2214" ht="12.75" customHeight="1">
      <c r="A2214" s="3" t="s">
        <v>3295</v>
      </c>
      <c r="B2214" s="3" t="str">
        <f t="shared" si="1"/>
        <v>20, 25, MARILL</v>
      </c>
      <c r="C2214" s="2" t="s">
        <v>3295</v>
      </c>
    </row>
    <row r="2215" ht="12.75" customHeight="1">
      <c r="A2215" s="3" t="s">
        <v>3295</v>
      </c>
      <c r="B2215" s="3" t="str">
        <f t="shared" si="1"/>
        <v>20, 25, MARILL</v>
      </c>
      <c r="C2215" s="2" t="s">
        <v>3295</v>
      </c>
    </row>
    <row r="2216" ht="12.75" customHeight="1">
      <c r="A2216" s="3" t="s">
        <v>2926</v>
      </c>
      <c r="B2216" s="3" t="str">
        <f t="shared" si="1"/>
        <v>20, old rod:</v>
      </c>
      <c r="C2216" s="2" t="s">
        <v>2926</v>
      </c>
    </row>
    <row r="2217" ht="12.75" customHeight="1">
      <c r="A2217" s="3" t="s">
        <v>417</v>
      </c>
      <c r="B2217" s="3" t="str">
        <f t="shared" si="1"/>
        <v>5, 5, MAGIKARP</v>
      </c>
      <c r="C2217" s="2" t="s">
        <v>417</v>
      </c>
    </row>
    <row r="2218" ht="12.75" customHeight="1">
      <c r="A2218" s="3" t="s">
        <v>417</v>
      </c>
      <c r="B2218" s="3" t="str">
        <f t="shared" si="1"/>
        <v>5, 5, MAGIKARP</v>
      </c>
      <c r="C2218" s="2" t="s">
        <v>417</v>
      </c>
    </row>
    <row r="2219" ht="12.75" customHeight="1">
      <c r="A2219" s="3"/>
      <c r="B2219" s="3" t="str">
        <f t="shared" si="1"/>
        <v/>
      </c>
      <c r="C2219" s="2" t="s">
        <v>2801</v>
      </c>
    </row>
    <row r="2220" ht="12.75" customHeight="1">
      <c r="A2220" s="3" t="s">
        <v>2847</v>
      </c>
      <c r="B2220" s="3" t="str">
        <f t="shared" si="1"/>
        <v>good rod:</v>
      </c>
      <c r="C2220" s="2" t="s">
        <v>2847</v>
      </c>
    </row>
    <row r="2221" ht="12.75" customHeight="1">
      <c r="A2221" s="3" t="s">
        <v>3144</v>
      </c>
      <c r="B2221" s="3" t="str">
        <f t="shared" si="1"/>
        <v>5, 15, POLIWAG</v>
      </c>
      <c r="C2221" s="2" t="s">
        <v>3144</v>
      </c>
    </row>
    <row r="2222" ht="12.75" customHeight="1">
      <c r="A2222" s="3" t="s">
        <v>2849</v>
      </c>
      <c r="B2222" s="3" t="str">
        <f t="shared" si="1"/>
        <v>5, 15, MAGIKARP</v>
      </c>
      <c r="C2222" s="2" t="s">
        <v>2849</v>
      </c>
    </row>
    <row r="2223" ht="12.75" customHeight="1">
      <c r="A2223" s="3" t="s">
        <v>3143</v>
      </c>
      <c r="B2223" s="3" t="str">
        <f t="shared" si="1"/>
        <v>5, 15, GOLDEEN</v>
      </c>
      <c r="C2223" s="2" t="s">
        <v>3143</v>
      </c>
    </row>
    <row r="2224" ht="12.75" customHeight="1">
      <c r="A2224" s="3"/>
      <c r="B2224" s="3" t="str">
        <f t="shared" si="1"/>
        <v/>
      </c>
      <c r="C2224" s="2" t="s">
        <v>2801</v>
      </c>
    </row>
    <row r="2225" ht="12.75" customHeight="1">
      <c r="A2225" s="3" t="s">
        <v>2851</v>
      </c>
      <c r="B2225" s="3" t="str">
        <f t="shared" si="1"/>
        <v>super rod:</v>
      </c>
      <c r="C2225" s="2" t="s">
        <v>2851</v>
      </c>
    </row>
    <row r="2226" ht="12.75" customHeight="1">
      <c r="A2226" s="3" t="s">
        <v>3162</v>
      </c>
      <c r="B2226" s="3" t="str">
        <f t="shared" si="1"/>
        <v>15, 25, POLIWAG</v>
      </c>
      <c r="C2226" s="2" t="s">
        <v>3162</v>
      </c>
    </row>
    <row r="2227" ht="12.75" customHeight="1">
      <c r="A2227" s="3" t="s">
        <v>3163</v>
      </c>
      <c r="B2227" s="3" t="str">
        <f t="shared" si="1"/>
        <v>20, 30, POLIWHIRL</v>
      </c>
      <c r="C2227" s="2" t="s">
        <v>3163</v>
      </c>
    </row>
    <row r="2228" ht="12.75" customHeight="1">
      <c r="A2228" s="3" t="s">
        <v>2854</v>
      </c>
      <c r="B2228" s="3" t="str">
        <f t="shared" si="1"/>
        <v>15, 25, GYARADOS</v>
      </c>
      <c r="C2228" s="2" t="s">
        <v>2854</v>
      </c>
    </row>
    <row r="2229" ht="12.75" customHeight="1">
      <c r="A2229" s="3" t="s">
        <v>3147</v>
      </c>
      <c r="B2229" s="3" t="str">
        <f t="shared" si="1"/>
        <v>15, 25, SLOWPOKE</v>
      </c>
      <c r="C2229" s="2" t="s">
        <v>3147</v>
      </c>
    </row>
    <row r="2230" ht="12.75" customHeight="1">
      <c r="A2230" s="3" t="s">
        <v>2856</v>
      </c>
      <c r="B2230" s="3" t="str">
        <f t="shared" si="1"/>
        <v>25, 35, SLOWPOKE</v>
      </c>
      <c r="C2230" s="2" t="s">
        <v>2856</v>
      </c>
    </row>
    <row r="2231" ht="12.75" customHeight="1">
      <c r="A2231" s="3" t="s">
        <v>2539</v>
      </c>
      <c r="B2231" s="3" t="str">
        <f t="shared" si="1"/>
        <v>NEW ROUTE</v>
      </c>
      <c r="C2231" s="2" t="s">
        <v>2539</v>
      </c>
    </row>
    <row r="2232" ht="12.75" customHeight="1">
      <c r="A2232" s="3" t="s">
        <v>3296</v>
      </c>
      <c r="B2232" s="3" t="str">
        <f t="shared" si="1"/>
        <v>3, 62, 0, &lt;null&gt;,</v>
      </c>
      <c r="C2232" s="2" t="s">
        <v>3296</v>
      </c>
    </row>
    <row r="2233" ht="12.75" customHeight="1">
      <c r="A2233" s="3"/>
      <c r="B2233" s="3" t="str">
        <f t="shared" si="1"/>
        <v/>
      </c>
      <c r="C2233" s="2" t="s">
        <v>2801</v>
      </c>
    </row>
    <row r="2234" ht="12.75" customHeight="1">
      <c r="A2234" s="3" t="s">
        <v>3173</v>
      </c>
      <c r="B2234" s="3" t="str">
        <f t="shared" si="1"/>
        <v>2, 5, 20, TENTACOOL</v>
      </c>
      <c r="C2234" s="2" t="s">
        <v>3173</v>
      </c>
    </row>
    <row r="2235" ht="12.75" customHeight="1">
      <c r="A2235" s="3" t="s">
        <v>3174</v>
      </c>
      <c r="B2235" s="3" t="str">
        <f t="shared" si="1"/>
        <v>20, 35, TENTACOOL</v>
      </c>
      <c r="C2235" s="2" t="s">
        <v>3174</v>
      </c>
    </row>
    <row r="2236" ht="12.75" customHeight="1">
      <c r="A2236" s="3" t="s">
        <v>3297</v>
      </c>
      <c r="B2236" s="3" t="str">
        <f t="shared" si="1"/>
        <v>35, 40, MANTINE</v>
      </c>
      <c r="C2236" s="2" t="s">
        <v>3297</v>
      </c>
    </row>
    <row r="2237" ht="12.75" customHeight="1">
      <c r="A2237" s="3" t="s">
        <v>3232</v>
      </c>
      <c r="B2237" s="3" t="str">
        <f t="shared" si="1"/>
        <v>35, 40, TENTACRUEL</v>
      </c>
      <c r="C2237" s="2" t="s">
        <v>3232</v>
      </c>
    </row>
    <row r="2238" ht="12.75" customHeight="1">
      <c r="A2238" s="3" t="s">
        <v>3232</v>
      </c>
      <c r="B2238" s="3" t="str">
        <f t="shared" si="1"/>
        <v>35, 40, TENTACRUEL</v>
      </c>
      <c r="C2238" s="2" t="s">
        <v>3232</v>
      </c>
    </row>
    <row r="2239" ht="12.75" customHeight="1">
      <c r="A2239" s="3" t="s">
        <v>2926</v>
      </c>
      <c r="B2239" s="3" t="str">
        <f t="shared" si="1"/>
        <v>20, old rod:</v>
      </c>
      <c r="C2239" s="2" t="s">
        <v>2926</v>
      </c>
    </row>
    <row r="2240" ht="12.75" customHeight="1">
      <c r="A2240" s="3" t="s">
        <v>417</v>
      </c>
      <c r="B2240" s="3" t="str">
        <f t="shared" si="1"/>
        <v>5, 5, MAGIKARP</v>
      </c>
      <c r="C2240" s="2" t="s">
        <v>417</v>
      </c>
    </row>
    <row r="2241" ht="12.75" customHeight="1">
      <c r="A2241" s="3" t="s">
        <v>417</v>
      </c>
      <c r="B2241" s="3" t="str">
        <f t="shared" si="1"/>
        <v>5, 5, MAGIKARP</v>
      </c>
      <c r="C2241" s="2" t="s">
        <v>417</v>
      </c>
    </row>
    <row r="2242" ht="12.75" customHeight="1">
      <c r="A2242" s="3"/>
      <c r="B2242" s="3" t="str">
        <f t="shared" si="1"/>
        <v/>
      </c>
      <c r="C2242" s="2" t="s">
        <v>2801</v>
      </c>
    </row>
    <row r="2243" ht="12.75" customHeight="1">
      <c r="A2243" s="3" t="s">
        <v>2847</v>
      </c>
      <c r="B2243" s="3" t="str">
        <f t="shared" si="1"/>
        <v>good rod:</v>
      </c>
      <c r="C2243" s="2" t="s">
        <v>2847</v>
      </c>
    </row>
    <row r="2244" ht="12.75" customHeight="1">
      <c r="A2244" s="3" t="s">
        <v>2848</v>
      </c>
      <c r="B2244" s="3" t="str">
        <f t="shared" si="1"/>
        <v>5, 15, KRABBY</v>
      </c>
      <c r="C2244" s="2" t="s">
        <v>2848</v>
      </c>
    </row>
    <row r="2245" ht="12.75" customHeight="1">
      <c r="A2245" s="3" t="s">
        <v>2849</v>
      </c>
      <c r="B2245" s="3" t="str">
        <f t="shared" si="1"/>
        <v>5, 15, MAGIKARP</v>
      </c>
      <c r="C2245" s="2" t="s">
        <v>2849</v>
      </c>
    </row>
    <row r="2246" ht="12.75" customHeight="1">
      <c r="A2246" s="3" t="s">
        <v>2848</v>
      </c>
      <c r="B2246" s="3" t="str">
        <f t="shared" si="1"/>
        <v>5, 15, KRABBY</v>
      </c>
      <c r="C2246" s="2" t="s">
        <v>2848</v>
      </c>
    </row>
    <row r="2247" ht="12.75" customHeight="1">
      <c r="A2247" s="3"/>
      <c r="B2247" s="3" t="str">
        <f t="shared" si="1"/>
        <v/>
      </c>
      <c r="C2247" s="2" t="s">
        <v>2801</v>
      </c>
    </row>
    <row r="2248" ht="12.75" customHeight="1">
      <c r="A2248" s="3" t="s">
        <v>2851</v>
      </c>
      <c r="B2248" s="3" t="str">
        <f t="shared" si="1"/>
        <v>super rod:</v>
      </c>
      <c r="C2248" s="2" t="s">
        <v>2851</v>
      </c>
    </row>
    <row r="2249" ht="12.75" customHeight="1">
      <c r="A2249" s="3" t="s">
        <v>2852</v>
      </c>
      <c r="B2249" s="3" t="str">
        <f t="shared" si="1"/>
        <v>15, 25, KRABBY</v>
      </c>
      <c r="C2249" s="2" t="s">
        <v>2852</v>
      </c>
    </row>
    <row r="2250" ht="12.75" customHeight="1">
      <c r="A2250" s="3" t="s">
        <v>3259</v>
      </c>
      <c r="B2250" s="3" t="str">
        <f t="shared" si="1"/>
        <v>15, 25, REMORAID</v>
      </c>
      <c r="C2250" s="2" t="s">
        <v>3259</v>
      </c>
    </row>
    <row r="2251" ht="12.75" customHeight="1">
      <c r="A2251" s="3" t="s">
        <v>2854</v>
      </c>
      <c r="B2251" s="3" t="str">
        <f t="shared" si="1"/>
        <v>15, 25, GYARADOS</v>
      </c>
      <c r="C2251" s="2" t="s">
        <v>2854</v>
      </c>
    </row>
    <row r="2252" ht="12.75" customHeight="1">
      <c r="A2252" s="3" t="s">
        <v>3178</v>
      </c>
      <c r="B2252" s="3" t="str">
        <f t="shared" si="1"/>
        <v>25, 35, KINGLER</v>
      </c>
      <c r="C2252" s="2" t="s">
        <v>3178</v>
      </c>
    </row>
    <row r="2253" ht="12.75" customHeight="1">
      <c r="A2253" s="3" t="s">
        <v>2856</v>
      </c>
      <c r="B2253" s="3" t="str">
        <f t="shared" si="1"/>
        <v>25, 35, SLOWPOKE</v>
      </c>
      <c r="C2253" s="2" t="s">
        <v>2856</v>
      </c>
    </row>
    <row r="2254" ht="12.75" customHeight="1">
      <c r="A2254" s="3" t="s">
        <v>2539</v>
      </c>
      <c r="B2254" s="3" t="str">
        <f t="shared" si="1"/>
        <v>NEW ROUTE</v>
      </c>
      <c r="C2254" s="2" t="s">
        <v>2539</v>
      </c>
    </row>
    <row r="2255" ht="12.75" customHeight="1">
      <c r="A2255" s="3" t="s">
        <v>3298</v>
      </c>
      <c r="B2255" s="3" t="str">
        <f t="shared" si="1"/>
        <v>3, 63, 0,</v>
      </c>
      <c r="C2255" s="2" t="s">
        <v>3298</v>
      </c>
    </row>
    <row r="2256" ht="12.75" customHeight="1">
      <c r="A2256" s="3" t="s">
        <v>2909</v>
      </c>
      <c r="B2256" s="3" t="str">
        <f t="shared" si="1"/>
        <v>20%</v>
      </c>
      <c r="C2256" s="2" t="s">
        <v>2799</v>
      </c>
    </row>
    <row r="2257" ht="12.75" customHeight="1">
      <c r="A2257" s="3" t="s">
        <v>887</v>
      </c>
      <c r="B2257" s="3" t="str">
        <f t="shared" si="1"/>
        <v>44, 44, SPEAROW</v>
      </c>
      <c r="C2257" s="2" t="s">
        <v>887</v>
      </c>
    </row>
    <row r="2258" ht="12.75" customHeight="1">
      <c r="A2258" s="3" t="s">
        <v>3262</v>
      </c>
      <c r="B2258" s="3" t="str">
        <f t="shared" si="1"/>
        <v>10, 10, SENTRET</v>
      </c>
      <c r="C2258" s="2" t="s">
        <v>3262</v>
      </c>
    </row>
    <row r="2259" ht="12.75" customHeight="1">
      <c r="A2259" s="3"/>
      <c r="B2259" s="3" t="str">
        <f t="shared" si="1"/>
        <v/>
      </c>
      <c r="C2259" s="2" t="s">
        <v>2801</v>
      </c>
    </row>
    <row r="2260" ht="12.75" customHeight="1">
      <c r="A2260" s="3" t="s">
        <v>2802</v>
      </c>
      <c r="B2260" s="3" t="str">
        <f t="shared" si="1"/>
        <v>0.1</v>
      </c>
      <c r="C2260" s="2" t="s">
        <v>2802</v>
      </c>
    </row>
    <row r="2261" ht="12.75" customHeight="1">
      <c r="A2261" s="3" t="s">
        <v>3299</v>
      </c>
      <c r="B2261" s="3" t="str">
        <f t="shared" si="1"/>
        <v>10, 10, PHANPY</v>
      </c>
      <c r="C2261" s="2" t="s">
        <v>3299</v>
      </c>
    </row>
    <row r="2262" ht="12.75" customHeight="1">
      <c r="A2262" s="3" t="s">
        <v>3280</v>
      </c>
      <c r="B2262" s="3" t="str">
        <f t="shared" si="1"/>
        <v>48, 48, FEAROW</v>
      </c>
      <c r="C2262" s="2" t="s">
        <v>3280</v>
      </c>
    </row>
    <row r="2263" ht="12.75" customHeight="1">
      <c r="A2263" s="3" t="s">
        <v>3264</v>
      </c>
      <c r="B2263" s="3" t="str">
        <f t="shared" si="1"/>
        <v>15, 15, SENTRET</v>
      </c>
      <c r="C2263" s="2" t="s">
        <v>3264</v>
      </c>
    </row>
    <row r="2264" ht="12.75" customHeight="1">
      <c r="A2264" s="3" t="s">
        <v>3265</v>
      </c>
      <c r="B2264" s="3" t="str">
        <f t="shared" si="1"/>
        <v>41, 41, MEOWTH</v>
      </c>
      <c r="C2264" s="2" t="s">
        <v>3265</v>
      </c>
    </row>
    <row r="2265" ht="12.75" customHeight="1">
      <c r="A2265" s="3"/>
      <c r="B2265" s="3" t="str">
        <f t="shared" si="1"/>
        <v/>
      </c>
      <c r="C2265" s="2" t="s">
        <v>2801</v>
      </c>
    </row>
    <row r="2266" ht="12.75" customHeight="1">
      <c r="A2266" s="3" t="s">
        <v>2807</v>
      </c>
      <c r="B2266" s="3" t="str">
        <f t="shared" si="1"/>
        <v>0.05</v>
      </c>
      <c r="C2266" s="2" t="s">
        <v>2807</v>
      </c>
    </row>
    <row r="2267" ht="12.75" customHeight="1">
      <c r="A2267" s="3" t="s">
        <v>3282</v>
      </c>
      <c r="B2267" s="3" t="str">
        <f t="shared" si="1"/>
        <v>50, 50, FEAROW</v>
      </c>
      <c r="C2267" s="2" t="s">
        <v>3282</v>
      </c>
    </row>
    <row r="2268" ht="12.75" customHeight="1">
      <c r="A2268" s="3" t="s">
        <v>3155</v>
      </c>
      <c r="B2268" s="3" t="str">
        <f t="shared" si="1"/>
        <v>41, 41, SLOWPOKE</v>
      </c>
      <c r="C2268" s="2" t="s">
        <v>3155</v>
      </c>
    </row>
    <row r="2269" ht="12.75" customHeight="1">
      <c r="A2269" s="3"/>
      <c r="B2269" s="3" t="str">
        <f t="shared" si="1"/>
        <v/>
      </c>
      <c r="C2269" s="2" t="s">
        <v>2801</v>
      </c>
    </row>
    <row r="2270" ht="12.75" customHeight="1">
      <c r="A2270" s="3" t="s">
        <v>2810</v>
      </c>
      <c r="B2270" s="3" t="str">
        <f t="shared" si="1"/>
        <v>0.04</v>
      </c>
      <c r="C2270" s="2" t="s">
        <v>2810</v>
      </c>
    </row>
    <row r="2271" ht="12.75" customHeight="1">
      <c r="A2271" s="3" t="s">
        <v>3300</v>
      </c>
      <c r="B2271" s="3" t="str">
        <f t="shared" si="1"/>
        <v>15, 15, PHANPY</v>
      </c>
      <c r="C2271" s="2" t="s">
        <v>3300</v>
      </c>
    </row>
    <row r="2272" ht="12.75" customHeight="1">
      <c r="A2272" s="3" t="s">
        <v>3268</v>
      </c>
      <c r="B2272" s="3" t="str">
        <f t="shared" si="1"/>
        <v>47, 47, PERSIAN</v>
      </c>
      <c r="C2272" s="2" t="s">
        <v>3268</v>
      </c>
    </row>
    <row r="2273" ht="12.75" customHeight="1">
      <c r="A2273" s="3"/>
      <c r="B2273" s="3" t="str">
        <f t="shared" si="1"/>
        <v/>
      </c>
      <c r="C2273" s="2" t="s">
        <v>2801</v>
      </c>
    </row>
    <row r="2274" ht="12.75" customHeight="1">
      <c r="A2274" s="3" t="s">
        <v>2813</v>
      </c>
      <c r="B2274" s="3" t="str">
        <f t="shared" si="1"/>
        <v>0.01</v>
      </c>
      <c r="C2274" s="2" t="s">
        <v>2813</v>
      </c>
    </row>
    <row r="2275" ht="12.75" customHeight="1">
      <c r="A2275" s="3" t="s">
        <v>3300</v>
      </c>
      <c r="B2275" s="3" t="str">
        <f t="shared" si="1"/>
        <v>15, 15, PHANPY</v>
      </c>
      <c r="C2275" s="2" t="s">
        <v>3300</v>
      </c>
    </row>
    <row r="2276" ht="12.75" customHeight="1">
      <c r="A2276" s="3" t="s">
        <v>3301</v>
      </c>
      <c r="B2276" s="3" t="str">
        <f t="shared" si="1"/>
        <v>50, 50, PERSIAN , &lt;null&gt;, &lt;null&gt;, &lt;null&gt;</v>
      </c>
      <c r="C2276" s="2" t="s">
        <v>3301</v>
      </c>
    </row>
    <row r="2277" ht="12.75" customHeight="1">
      <c r="A2277" s="3"/>
      <c r="B2277" s="3" t="str">
        <f t="shared" si="1"/>
        <v/>
      </c>
      <c r="C2277" s="2" t="s">
        <v>2801</v>
      </c>
    </row>
    <row r="2278" ht="12.75" customHeight="1">
      <c r="A2278" s="3" t="s">
        <v>2539</v>
      </c>
      <c r="B2278" s="3" t="str">
        <f t="shared" si="1"/>
        <v>NEW ROUTE</v>
      </c>
      <c r="C2278" s="2" t="s">
        <v>2539</v>
      </c>
    </row>
    <row r="2279" ht="12.75" customHeight="1">
      <c r="A2279" s="3" t="s">
        <v>3302</v>
      </c>
      <c r="B2279" s="3" t="str">
        <f t="shared" si="1"/>
        <v>3, 64, 0,</v>
      </c>
      <c r="C2279" s="2" t="s">
        <v>3302</v>
      </c>
    </row>
    <row r="2280" ht="12.75" customHeight="1">
      <c r="A2280" s="3" t="s">
        <v>2909</v>
      </c>
      <c r="B2280" s="3" t="str">
        <f t="shared" si="1"/>
        <v>20%</v>
      </c>
      <c r="C2280" s="2" t="s">
        <v>2799</v>
      </c>
    </row>
    <row r="2281" ht="12.75" customHeight="1">
      <c r="A2281" s="3" t="s">
        <v>915</v>
      </c>
      <c r="B2281" s="3" t="str">
        <f t="shared" si="1"/>
        <v>46, 46, GEODUDE</v>
      </c>
      <c r="C2281" s="2" t="s">
        <v>915</v>
      </c>
    </row>
    <row r="2282" ht="12.75" customHeight="1">
      <c r="A2282" s="3" t="s">
        <v>3300</v>
      </c>
      <c r="B2282" s="3" t="str">
        <f t="shared" si="1"/>
        <v>15, 15, PHANPY</v>
      </c>
      <c r="C2282" s="2" t="s">
        <v>3300</v>
      </c>
    </row>
    <row r="2283" ht="12.75" customHeight="1">
      <c r="A2283" s="3"/>
      <c r="B2283" s="3" t="str">
        <f t="shared" si="1"/>
        <v/>
      </c>
      <c r="C2283" s="2" t="s">
        <v>2801</v>
      </c>
    </row>
    <row r="2284" ht="12.75" customHeight="1">
      <c r="A2284" s="3" t="s">
        <v>2802</v>
      </c>
      <c r="B2284" s="3" t="str">
        <f t="shared" si="1"/>
        <v>0.1</v>
      </c>
      <c r="C2284" s="2" t="s">
        <v>2802</v>
      </c>
    </row>
    <row r="2285" ht="12.75" customHeight="1">
      <c r="A2285" s="3" t="s">
        <v>3303</v>
      </c>
      <c r="B2285" s="3" t="str">
        <f t="shared" si="1"/>
        <v>46, 46, CUBONE</v>
      </c>
      <c r="C2285" s="2" t="s">
        <v>3303</v>
      </c>
    </row>
    <row r="2286" ht="12.75" customHeight="1">
      <c r="A2286" s="3" t="s">
        <v>3282</v>
      </c>
      <c r="B2286" s="3" t="str">
        <f t="shared" si="1"/>
        <v>50, 50, FEAROW</v>
      </c>
      <c r="C2286" s="2" t="s">
        <v>3282</v>
      </c>
    </row>
    <row r="2287" ht="12.75" customHeight="1">
      <c r="A2287" s="3" t="s">
        <v>3304</v>
      </c>
      <c r="B2287" s="3" t="str">
        <f t="shared" si="1"/>
        <v>52, 52, MAROWAK</v>
      </c>
      <c r="C2287" s="2" t="s">
        <v>3304</v>
      </c>
    </row>
    <row r="2288" ht="12.75" customHeight="1">
      <c r="A2288" s="3" t="s">
        <v>3287</v>
      </c>
      <c r="B2288" s="3" t="str">
        <f t="shared" si="1"/>
        <v>43, 43, MEOWTH</v>
      </c>
      <c r="C2288" s="2" t="s">
        <v>3287</v>
      </c>
    </row>
    <row r="2289" ht="12.75" customHeight="1">
      <c r="A2289" s="3"/>
      <c r="B2289" s="3" t="str">
        <f t="shared" si="1"/>
        <v/>
      </c>
      <c r="C2289" s="2" t="s">
        <v>2801</v>
      </c>
    </row>
    <row r="2290" ht="12.75" customHeight="1">
      <c r="A2290" s="3" t="s">
        <v>2807</v>
      </c>
      <c r="B2290" s="3" t="str">
        <f t="shared" si="1"/>
        <v>0.05</v>
      </c>
      <c r="C2290" s="2" t="s">
        <v>2807</v>
      </c>
    </row>
    <row r="2291" ht="12.75" customHeight="1">
      <c r="A2291" s="3" t="s">
        <v>3305</v>
      </c>
      <c r="B2291" s="3" t="str">
        <f t="shared" si="1"/>
        <v>54, 54, ONIX</v>
      </c>
      <c r="C2291" s="2" t="s">
        <v>3305</v>
      </c>
    </row>
    <row r="2292" ht="12.75" customHeight="1">
      <c r="A2292" s="3" t="s">
        <v>3282</v>
      </c>
      <c r="B2292" s="3" t="str">
        <f t="shared" si="1"/>
        <v>50, 50, FEAROW</v>
      </c>
      <c r="C2292" s="2" t="s">
        <v>3282</v>
      </c>
    </row>
    <row r="2293" ht="12.75" customHeight="1">
      <c r="A2293" s="3"/>
      <c r="B2293" s="3" t="str">
        <f t="shared" si="1"/>
        <v/>
      </c>
      <c r="C2293" s="2" t="s">
        <v>2801</v>
      </c>
    </row>
    <row r="2294" ht="12.75" customHeight="1">
      <c r="A2294" s="3" t="s">
        <v>2810</v>
      </c>
      <c r="B2294" s="3" t="str">
        <f t="shared" si="1"/>
        <v>0.04</v>
      </c>
      <c r="C2294" s="2" t="s">
        <v>2810</v>
      </c>
    </row>
    <row r="2295" ht="12.75" customHeight="1">
      <c r="A2295" s="3" t="s">
        <v>3306</v>
      </c>
      <c r="B2295" s="3" t="str">
        <f t="shared" si="1"/>
        <v>15, 15, LARVITAR</v>
      </c>
      <c r="C2295" s="2" t="s">
        <v>3306</v>
      </c>
    </row>
    <row r="2296" ht="12.75" customHeight="1">
      <c r="A2296" s="3" t="s">
        <v>3290</v>
      </c>
      <c r="B2296" s="3" t="str">
        <f t="shared" si="1"/>
        <v>49, 49, PERSIAN</v>
      </c>
      <c r="C2296" s="2" t="s">
        <v>3290</v>
      </c>
    </row>
    <row r="2297" ht="12.75" customHeight="1">
      <c r="A2297" s="3"/>
      <c r="B2297" s="3" t="str">
        <f t="shared" si="1"/>
        <v/>
      </c>
      <c r="C2297" s="2" t="s">
        <v>2801</v>
      </c>
    </row>
    <row r="2298" ht="12.75" customHeight="1">
      <c r="A2298" s="3" t="s">
        <v>2813</v>
      </c>
      <c r="B2298" s="3" t="str">
        <f t="shared" si="1"/>
        <v>0.01</v>
      </c>
      <c r="C2298" s="2" t="s">
        <v>2813</v>
      </c>
    </row>
    <row r="2299" ht="12.75" customHeight="1">
      <c r="A2299" s="3" t="s">
        <v>3307</v>
      </c>
      <c r="B2299" s="3" t="str">
        <f t="shared" si="1"/>
        <v>20, 20, LARVITAR</v>
      </c>
      <c r="C2299" s="2" t="s">
        <v>3307</v>
      </c>
    </row>
    <row r="2300" ht="12.75" customHeight="1">
      <c r="A2300" s="3" t="s">
        <v>3291</v>
      </c>
      <c r="B2300" s="3" t="str">
        <f t="shared" si="1"/>
        <v>52, 52, PERSIAN</v>
      </c>
      <c r="C2300" s="2" t="s">
        <v>3291</v>
      </c>
    </row>
    <row r="2301" ht="12.75" customHeight="1">
      <c r="A2301" s="3" t="s">
        <v>3308</v>
      </c>
      <c r="B2301" s="3" t="str">
        <f t="shared" si="1"/>
        <v>25, 25, 35, GEODUDE</v>
      </c>
      <c r="C2301" s="2" t="s">
        <v>3308</v>
      </c>
    </row>
    <row r="2302" ht="12.75" customHeight="1">
      <c r="A2302" s="3" t="s">
        <v>3103</v>
      </c>
      <c r="B2302" s="3" t="str">
        <f t="shared" si="1"/>
        <v>30, 45, GRAVELER</v>
      </c>
      <c r="C2302" s="2" t="s">
        <v>3103</v>
      </c>
    </row>
    <row r="2303" ht="12.75" customHeight="1">
      <c r="A2303" s="3" t="s">
        <v>3104</v>
      </c>
      <c r="B2303" s="3" t="str">
        <f t="shared" si="1"/>
        <v>35, 50, GRAVELER</v>
      </c>
      <c r="C2303" s="2" t="s">
        <v>3104</v>
      </c>
    </row>
    <row r="2304" ht="12.75" customHeight="1">
      <c r="A2304" s="3" t="s">
        <v>3105</v>
      </c>
      <c r="B2304" s="3" t="str">
        <f t="shared" si="1"/>
        <v>30, 40, GEODUDE</v>
      </c>
      <c r="C2304" s="2" t="s">
        <v>3105</v>
      </c>
    </row>
    <row r="2305" ht="12.75" customHeight="1">
      <c r="A2305" s="3" t="s">
        <v>3106</v>
      </c>
      <c r="B2305" s="3" t="str">
        <f t="shared" si="1"/>
        <v>30, 40, GEODUDE , &lt;null&gt;</v>
      </c>
      <c r="C2305" s="2" t="s">
        <v>3106</v>
      </c>
    </row>
    <row r="2306" ht="12.75" customHeight="1">
      <c r="A2306" s="3"/>
      <c r="B2306" s="3" t="str">
        <f t="shared" si="1"/>
        <v/>
      </c>
      <c r="C2306" s="2" t="s">
        <v>2801</v>
      </c>
    </row>
    <row r="2307" ht="12.75" customHeight="1">
      <c r="A2307" s="3" t="s">
        <v>2539</v>
      </c>
      <c r="B2307" s="3" t="str">
        <f t="shared" si="1"/>
        <v>NEW ROUTE</v>
      </c>
      <c r="C2307" s="2" t="s">
        <v>2539</v>
      </c>
    </row>
    <row r="2308" ht="12.75" customHeight="1">
      <c r="A2308" s="3" t="s">
        <v>3309</v>
      </c>
      <c r="B2308" s="3" t="str">
        <f t="shared" si="1"/>
        <v>3, 65, 0, &lt;null&gt;,</v>
      </c>
      <c r="C2308" s="2" t="s">
        <v>3309</v>
      </c>
    </row>
    <row r="2309" ht="12.75" customHeight="1">
      <c r="A2309" s="3"/>
      <c r="B2309" s="3" t="str">
        <f t="shared" si="1"/>
        <v/>
      </c>
      <c r="C2309" s="2" t="s">
        <v>2801</v>
      </c>
    </row>
    <row r="2310" ht="12.75" customHeight="1">
      <c r="A2310" s="3" t="s">
        <v>3173</v>
      </c>
      <c r="B2310" s="3" t="str">
        <f t="shared" si="1"/>
        <v>2, 5, 20, TENTACOOL</v>
      </c>
      <c r="C2310" s="2" t="s">
        <v>3173</v>
      </c>
    </row>
    <row r="2311" ht="12.75" customHeight="1">
      <c r="A2311" s="3" t="s">
        <v>3174</v>
      </c>
      <c r="B2311" s="3" t="str">
        <f t="shared" si="1"/>
        <v>20, 35, TENTACOOL</v>
      </c>
      <c r="C2311" s="2" t="s">
        <v>3174</v>
      </c>
    </row>
    <row r="2312" ht="12.75" customHeight="1">
      <c r="A2312" s="3" t="s">
        <v>3297</v>
      </c>
      <c r="B2312" s="3" t="str">
        <f t="shared" si="1"/>
        <v>35, 40, MANTINE</v>
      </c>
      <c r="C2312" s="2" t="s">
        <v>3297</v>
      </c>
    </row>
    <row r="2313" ht="12.75" customHeight="1">
      <c r="A2313" s="3" t="s">
        <v>3232</v>
      </c>
      <c r="B2313" s="3" t="str">
        <f t="shared" si="1"/>
        <v>35, 40, TENTACRUEL</v>
      </c>
      <c r="C2313" s="2" t="s">
        <v>3232</v>
      </c>
    </row>
    <row r="2314" ht="12.75" customHeight="1">
      <c r="A2314" s="3" t="s">
        <v>3232</v>
      </c>
      <c r="B2314" s="3" t="str">
        <f t="shared" si="1"/>
        <v>35, 40, TENTACRUEL</v>
      </c>
      <c r="C2314" s="2" t="s">
        <v>3232</v>
      </c>
    </row>
    <row r="2315" ht="12.75" customHeight="1">
      <c r="A2315" s="3" t="s">
        <v>2926</v>
      </c>
      <c r="B2315" s="3" t="str">
        <f t="shared" si="1"/>
        <v>20, old rod:</v>
      </c>
      <c r="C2315" s="2" t="s">
        <v>2926</v>
      </c>
    </row>
    <row r="2316" ht="12.75" customHeight="1">
      <c r="A2316" s="3" t="s">
        <v>417</v>
      </c>
      <c r="B2316" s="3" t="str">
        <f t="shared" si="1"/>
        <v>5, 5, MAGIKARP</v>
      </c>
      <c r="C2316" s="2" t="s">
        <v>417</v>
      </c>
    </row>
    <row r="2317" ht="12.75" customHeight="1">
      <c r="A2317" s="3" t="s">
        <v>417</v>
      </c>
      <c r="B2317" s="3" t="str">
        <f t="shared" si="1"/>
        <v>5, 5, MAGIKARP</v>
      </c>
      <c r="C2317" s="2" t="s">
        <v>417</v>
      </c>
    </row>
    <row r="2318" ht="12.75" customHeight="1">
      <c r="A2318" s="3"/>
      <c r="B2318" s="3" t="str">
        <f t="shared" si="1"/>
        <v/>
      </c>
      <c r="C2318" s="2" t="s">
        <v>2801</v>
      </c>
    </row>
    <row r="2319" ht="12.75" customHeight="1">
      <c r="A2319" s="3" t="s">
        <v>2847</v>
      </c>
      <c r="B2319" s="3" t="str">
        <f t="shared" si="1"/>
        <v>good rod:</v>
      </c>
      <c r="C2319" s="2" t="s">
        <v>2847</v>
      </c>
    </row>
    <row r="2320" ht="12.75" customHeight="1">
      <c r="A2320" s="3" t="s">
        <v>2848</v>
      </c>
      <c r="B2320" s="3" t="str">
        <f t="shared" si="1"/>
        <v>5, 15, KRABBY</v>
      </c>
      <c r="C2320" s="2" t="s">
        <v>2848</v>
      </c>
    </row>
    <row r="2321" ht="12.75" customHeight="1">
      <c r="A2321" s="3" t="s">
        <v>2849</v>
      </c>
      <c r="B2321" s="3" t="str">
        <f t="shared" si="1"/>
        <v>5, 15, MAGIKARP</v>
      </c>
      <c r="C2321" s="2" t="s">
        <v>2849</v>
      </c>
    </row>
    <row r="2322" ht="12.75" customHeight="1">
      <c r="A2322" s="3" t="s">
        <v>2848</v>
      </c>
      <c r="B2322" s="3" t="str">
        <f t="shared" si="1"/>
        <v>5, 15, KRABBY</v>
      </c>
      <c r="C2322" s="2" t="s">
        <v>2848</v>
      </c>
    </row>
    <row r="2323" ht="12.75" customHeight="1">
      <c r="A2323" s="3"/>
      <c r="B2323" s="3" t="str">
        <f t="shared" si="1"/>
        <v/>
      </c>
      <c r="C2323" s="2" t="s">
        <v>2801</v>
      </c>
    </row>
    <row r="2324" ht="12.75" customHeight="1">
      <c r="A2324" s="3" t="s">
        <v>2851</v>
      </c>
      <c r="B2324" s="3" t="str">
        <f t="shared" si="1"/>
        <v>super rod:</v>
      </c>
      <c r="C2324" s="2" t="s">
        <v>2851</v>
      </c>
    </row>
    <row r="2325" ht="12.75" customHeight="1">
      <c r="A2325" s="3" t="s">
        <v>2852</v>
      </c>
      <c r="B2325" s="3" t="str">
        <f t="shared" si="1"/>
        <v>15, 25, KRABBY</v>
      </c>
      <c r="C2325" s="2" t="s">
        <v>2852</v>
      </c>
    </row>
    <row r="2326" ht="12.75" customHeight="1">
      <c r="A2326" s="3" t="s">
        <v>3259</v>
      </c>
      <c r="B2326" s="3" t="str">
        <f t="shared" si="1"/>
        <v>15, 25, REMORAID</v>
      </c>
      <c r="C2326" s="2" t="s">
        <v>3259</v>
      </c>
    </row>
    <row r="2327" ht="12.75" customHeight="1">
      <c r="A2327" s="3" t="s">
        <v>2854</v>
      </c>
      <c r="B2327" s="3" t="str">
        <f t="shared" si="1"/>
        <v>15, 25, GYARADOS</v>
      </c>
      <c r="C2327" s="2" t="s">
        <v>2854</v>
      </c>
    </row>
    <row r="2328" ht="12.75" customHeight="1">
      <c r="A2328" s="3" t="s">
        <v>3178</v>
      </c>
      <c r="B2328" s="3" t="str">
        <f t="shared" si="1"/>
        <v>25, 35, KINGLER</v>
      </c>
      <c r="C2328" s="2" t="s">
        <v>3178</v>
      </c>
    </row>
    <row r="2329" ht="12.75" customHeight="1">
      <c r="A2329" s="3" t="s">
        <v>2856</v>
      </c>
      <c r="B2329" s="3" t="str">
        <f t="shared" si="1"/>
        <v>25, 35, SLOWPOKE</v>
      </c>
      <c r="C2329" s="2" t="s">
        <v>2856</v>
      </c>
    </row>
    <row r="2330" ht="12.75" customHeight="1">
      <c r="A2330" s="3" t="s">
        <v>2539</v>
      </c>
      <c r="B2330" s="3" t="str">
        <f t="shared" si="1"/>
        <v>NEW ROUTE</v>
      </c>
      <c r="C2330" s="2" t="s">
        <v>2539</v>
      </c>
    </row>
    <row r="2331" ht="12.75" customHeight="1">
      <c r="A2331" s="3" t="s">
        <v>3310</v>
      </c>
      <c r="B2331" s="3" t="str">
        <f t="shared" si="1"/>
        <v>3, 19, 0,</v>
      </c>
      <c r="C2331" s="2" t="s">
        <v>3310</v>
      </c>
    </row>
    <row r="2332" ht="12.75" customHeight="1">
      <c r="A2332" s="3" t="s">
        <v>2909</v>
      </c>
      <c r="B2332" s="3" t="str">
        <f t="shared" si="1"/>
        <v>20%</v>
      </c>
      <c r="C2332" s="2" t="s">
        <v>2799</v>
      </c>
    </row>
    <row r="2333" ht="12.75" customHeight="1">
      <c r="A2333" s="3" t="s">
        <v>924</v>
      </c>
      <c r="B2333" s="3" t="str">
        <f t="shared" si="1"/>
        <v>2, 5, PIDGEY</v>
      </c>
      <c r="C2333" s="2" t="s">
        <v>924</v>
      </c>
    </row>
    <row r="2334" ht="12.75" customHeight="1">
      <c r="A2334" s="3" t="s">
        <v>924</v>
      </c>
      <c r="B2334" s="3" t="str">
        <f t="shared" si="1"/>
        <v>2, 5, PIDGEY</v>
      </c>
      <c r="C2334" s="2" t="s">
        <v>924</v>
      </c>
    </row>
    <row r="2335" ht="12.75" customHeight="1">
      <c r="A2335" s="3"/>
      <c r="B2335" s="3" t="str">
        <f t="shared" si="1"/>
        <v/>
      </c>
      <c r="C2335" s="2" t="s">
        <v>2801</v>
      </c>
    </row>
    <row r="2336" ht="12.75" customHeight="1">
      <c r="A2336" s="3" t="s">
        <v>2802</v>
      </c>
      <c r="B2336" s="3" t="str">
        <f t="shared" si="1"/>
        <v>0.1</v>
      </c>
      <c r="C2336" s="2" t="s">
        <v>2802</v>
      </c>
    </row>
    <row r="2337" ht="12.75" customHeight="1">
      <c r="A2337" s="3" t="s">
        <v>3311</v>
      </c>
      <c r="B2337" s="3" t="str">
        <f t="shared" si="1"/>
        <v>2, 4, RATTATA</v>
      </c>
      <c r="C2337" s="2" t="s">
        <v>3311</v>
      </c>
    </row>
    <row r="2338" ht="12.75" customHeight="1">
      <c r="A2338" s="3" t="s">
        <v>3311</v>
      </c>
      <c r="B2338" s="3" t="str">
        <f t="shared" si="1"/>
        <v>2, 4, RATTATA</v>
      </c>
      <c r="C2338" s="2" t="s">
        <v>3311</v>
      </c>
    </row>
    <row r="2339" ht="12.75" customHeight="1">
      <c r="A2339" s="3" t="s">
        <v>3312</v>
      </c>
      <c r="B2339" s="3" t="str">
        <f t="shared" si="1"/>
        <v>2, 4, BELLSPROUT</v>
      </c>
      <c r="C2339" s="2" t="s">
        <v>3312</v>
      </c>
    </row>
    <row r="2340" ht="12.75" customHeight="1">
      <c r="A2340" s="3" t="s">
        <v>3312</v>
      </c>
      <c r="B2340" s="3" t="str">
        <f t="shared" si="1"/>
        <v>2, 4, BELLSPROUT</v>
      </c>
      <c r="C2340" s="2" t="s">
        <v>3312</v>
      </c>
    </row>
    <row r="2341" ht="12.75" customHeight="1">
      <c r="A2341" s="3"/>
      <c r="B2341" s="3" t="str">
        <f t="shared" si="1"/>
        <v/>
      </c>
      <c r="C2341" s="2" t="s">
        <v>2801</v>
      </c>
    </row>
    <row r="2342" ht="12.75" customHeight="1">
      <c r="A2342" s="3" t="s">
        <v>2807</v>
      </c>
      <c r="B2342" s="3" t="str">
        <f t="shared" si="1"/>
        <v>0.05</v>
      </c>
      <c r="C2342" s="2" t="s">
        <v>2807</v>
      </c>
    </row>
    <row r="2343" ht="12.75" customHeight="1">
      <c r="A2343" s="3" t="s">
        <v>3313</v>
      </c>
      <c r="B2343" s="3" t="str">
        <f t="shared" si="1"/>
        <v>2, 4, ODDISH</v>
      </c>
      <c r="C2343" s="2" t="s">
        <v>3313</v>
      </c>
    </row>
    <row r="2344" ht="12.75" customHeight="1">
      <c r="A2344" s="3" t="s">
        <v>3313</v>
      </c>
      <c r="B2344" s="3" t="str">
        <f t="shared" si="1"/>
        <v>2, 4, ODDISH</v>
      </c>
      <c r="C2344" s="2" t="s">
        <v>3313</v>
      </c>
    </row>
    <row r="2345" ht="12.75" customHeight="1">
      <c r="A2345" s="3"/>
      <c r="B2345" s="3" t="str">
        <f t="shared" si="1"/>
        <v/>
      </c>
      <c r="C2345" s="2" t="s">
        <v>2801</v>
      </c>
    </row>
    <row r="2346" ht="12.75" customHeight="1">
      <c r="A2346" s="3" t="s">
        <v>2810</v>
      </c>
      <c r="B2346" s="3" t="str">
        <f t="shared" si="1"/>
        <v>0.04</v>
      </c>
      <c r="C2346" s="2" t="s">
        <v>2810</v>
      </c>
    </row>
    <row r="2347" ht="12.75" customHeight="1">
      <c r="A2347" s="3" t="s">
        <v>3314</v>
      </c>
      <c r="B2347" s="3" t="str">
        <f t="shared" si="1"/>
        <v>2, 4, VENONAT</v>
      </c>
      <c r="C2347" s="2" t="s">
        <v>3314</v>
      </c>
    </row>
    <row r="2348" ht="12.75" customHeight="1">
      <c r="A2348" s="3" t="s">
        <v>3314</v>
      </c>
      <c r="B2348" s="3" t="str">
        <f t="shared" si="1"/>
        <v>2, 4, VENONAT</v>
      </c>
      <c r="C2348" s="2" t="s">
        <v>3314</v>
      </c>
    </row>
    <row r="2349" ht="12.75" customHeight="1">
      <c r="A2349" s="3"/>
      <c r="B2349" s="3" t="str">
        <f t="shared" si="1"/>
        <v/>
      </c>
      <c r="C2349" s="2" t="s">
        <v>2801</v>
      </c>
    </row>
    <row r="2350" ht="12.75" customHeight="1">
      <c r="A2350" s="3" t="s">
        <v>2813</v>
      </c>
      <c r="B2350" s="3" t="str">
        <f t="shared" si="1"/>
        <v>0.01</v>
      </c>
      <c r="C2350" s="2" t="s">
        <v>2813</v>
      </c>
    </row>
    <row r="2351" ht="12.75" customHeight="1">
      <c r="A2351" s="3" t="s">
        <v>3315</v>
      </c>
      <c r="B2351" s="3" t="str">
        <f t="shared" si="1"/>
        <v>3, 3, EEVEE</v>
      </c>
      <c r="C2351" s="2" t="s">
        <v>3315</v>
      </c>
    </row>
    <row r="2352" ht="12.75" customHeight="1">
      <c r="A2352" s="3" t="s">
        <v>3316</v>
      </c>
      <c r="B2352" s="3" t="str">
        <f t="shared" si="1"/>
        <v>3, 3, EEVEE , &lt;null&gt;, &lt;null&gt;, &lt;null&gt;</v>
      </c>
      <c r="C2352" s="2" t="s">
        <v>3316</v>
      </c>
    </row>
    <row r="2353" ht="12.75" customHeight="1">
      <c r="A2353" s="3"/>
      <c r="B2353" s="3" t="str">
        <f t="shared" si="1"/>
        <v/>
      </c>
      <c r="C2353" s="2" t="s">
        <v>2801</v>
      </c>
    </row>
    <row r="2354" ht="12.75" customHeight="1">
      <c r="A2354" s="3" t="s">
        <v>2539</v>
      </c>
      <c r="B2354" s="3" t="str">
        <f t="shared" si="1"/>
        <v>NEW ROUTE</v>
      </c>
      <c r="C2354" s="2" t="s">
        <v>2539</v>
      </c>
    </row>
    <row r="2355" ht="12.75" customHeight="1">
      <c r="A2355" s="3" t="s">
        <v>3317</v>
      </c>
      <c r="B2355" s="3" t="str">
        <f t="shared" si="1"/>
        <v>3, 20, 0,</v>
      </c>
      <c r="C2355" s="2" t="s">
        <v>3317</v>
      </c>
    </row>
    <row r="2356" ht="12.75" customHeight="1">
      <c r="A2356" s="3" t="s">
        <v>2909</v>
      </c>
      <c r="B2356" s="3" t="str">
        <f t="shared" si="1"/>
        <v>20%</v>
      </c>
      <c r="C2356" s="2" t="s">
        <v>2799</v>
      </c>
    </row>
    <row r="2357" ht="12.75" customHeight="1">
      <c r="A2357" s="3" t="s">
        <v>933</v>
      </c>
      <c r="B2357" s="3" t="str">
        <f t="shared" si="1"/>
        <v>3, 5, CATERPIE</v>
      </c>
      <c r="C2357" s="2" t="s">
        <v>933</v>
      </c>
    </row>
    <row r="2358" ht="12.75" customHeight="1">
      <c r="A2358" s="3" t="s">
        <v>3318</v>
      </c>
      <c r="B2358" s="3" t="str">
        <f t="shared" si="1"/>
        <v>3, 5, WEEDLE</v>
      </c>
      <c r="C2358" s="2" t="s">
        <v>3318</v>
      </c>
    </row>
    <row r="2359" ht="12.75" customHeight="1">
      <c r="A2359" s="3"/>
      <c r="B2359" s="3" t="str">
        <f t="shared" si="1"/>
        <v/>
      </c>
      <c r="C2359" s="2" t="s">
        <v>2801</v>
      </c>
    </row>
    <row r="2360" ht="12.75" customHeight="1">
      <c r="A2360" s="3" t="s">
        <v>2802</v>
      </c>
      <c r="B2360" s="3" t="str">
        <f t="shared" si="1"/>
        <v>0.1</v>
      </c>
      <c r="C2360" s="2" t="s">
        <v>2802</v>
      </c>
    </row>
    <row r="2361" ht="12.75" customHeight="1">
      <c r="A2361" s="3" t="s">
        <v>3319</v>
      </c>
      <c r="B2361" s="3" t="str">
        <f t="shared" si="1"/>
        <v>4, 6, PIDGEY</v>
      </c>
      <c r="C2361" s="2" t="s">
        <v>3319</v>
      </c>
    </row>
    <row r="2362" ht="12.75" customHeight="1">
      <c r="A2362" s="3" t="s">
        <v>3320</v>
      </c>
      <c r="B2362" s="3" t="str">
        <f t="shared" si="1"/>
        <v>4, 6, RATTATA</v>
      </c>
      <c r="C2362" s="2" t="s">
        <v>3320</v>
      </c>
    </row>
    <row r="2363" ht="12.75" customHeight="1">
      <c r="A2363" s="3" t="s">
        <v>3320</v>
      </c>
      <c r="B2363" s="3" t="str">
        <f t="shared" si="1"/>
        <v>4, 6, RATTATA</v>
      </c>
      <c r="C2363" s="2" t="s">
        <v>3320</v>
      </c>
    </row>
    <row r="2364" ht="12.75" customHeight="1">
      <c r="A2364" s="3" t="s">
        <v>3319</v>
      </c>
      <c r="B2364" s="3" t="str">
        <f t="shared" si="1"/>
        <v>4, 6, PIDGEY</v>
      </c>
      <c r="C2364" s="2" t="s">
        <v>3319</v>
      </c>
    </row>
    <row r="2365" ht="12.75" customHeight="1">
      <c r="A2365" s="3"/>
      <c r="B2365" s="3" t="str">
        <f t="shared" si="1"/>
        <v/>
      </c>
      <c r="C2365" s="2" t="s">
        <v>2801</v>
      </c>
    </row>
    <row r="2366" ht="12.75" customHeight="1">
      <c r="A2366" s="3" t="s">
        <v>2807</v>
      </c>
      <c r="B2366" s="3" t="str">
        <f t="shared" si="1"/>
        <v>0.05</v>
      </c>
      <c r="C2366" s="2" t="s">
        <v>2807</v>
      </c>
    </row>
    <row r="2367" ht="12.75" customHeight="1">
      <c r="A2367" s="3" t="s">
        <v>3321</v>
      </c>
      <c r="B2367" s="3" t="str">
        <f t="shared" si="1"/>
        <v>5, 8, MEOWTH</v>
      </c>
      <c r="C2367" s="2" t="s">
        <v>3321</v>
      </c>
    </row>
    <row r="2368" ht="12.75" customHeight="1">
      <c r="A2368" s="3" t="s">
        <v>3322</v>
      </c>
      <c r="B2368" s="3" t="str">
        <f t="shared" si="1"/>
        <v>5, 8, FARFETCH'D</v>
      </c>
      <c r="C2368" s="2" t="s">
        <v>3322</v>
      </c>
    </row>
    <row r="2369" ht="12.75" customHeight="1">
      <c r="A2369" s="3"/>
      <c r="B2369" s="3" t="str">
        <f t="shared" si="1"/>
        <v/>
      </c>
      <c r="C2369" s="2" t="s">
        <v>2801</v>
      </c>
    </row>
    <row r="2370" ht="12.75" customHeight="1">
      <c r="A2370" s="3" t="s">
        <v>2810</v>
      </c>
      <c r="B2370" s="3" t="str">
        <f t="shared" si="1"/>
        <v>0.04</v>
      </c>
      <c r="C2370" s="2" t="s">
        <v>2810</v>
      </c>
    </row>
    <row r="2371" ht="12.75" customHeight="1">
      <c r="A2371" s="3" t="s">
        <v>3323</v>
      </c>
      <c r="B2371" s="3" t="str">
        <f t="shared" si="1"/>
        <v>5, 8, MAGNEMITE</v>
      </c>
      <c r="C2371" s="2" t="s">
        <v>3323</v>
      </c>
    </row>
    <row r="2372" ht="12.75" customHeight="1">
      <c r="A2372" s="3" t="s">
        <v>3324</v>
      </c>
      <c r="B2372" s="3" t="str">
        <f t="shared" si="1"/>
        <v>5, 8, GROWLITHE</v>
      </c>
      <c r="C2372" s="2" t="s">
        <v>3324</v>
      </c>
    </row>
    <row r="2373" ht="12.75" customHeight="1">
      <c r="A2373" s="3"/>
      <c r="B2373" s="3" t="str">
        <f t="shared" si="1"/>
        <v/>
      </c>
      <c r="C2373" s="2" t="s">
        <v>2801</v>
      </c>
    </row>
    <row r="2374" ht="12.75" customHeight="1">
      <c r="A2374" s="3" t="s">
        <v>2813</v>
      </c>
      <c r="B2374" s="3" t="str">
        <f t="shared" si="1"/>
        <v>0.01</v>
      </c>
      <c r="C2374" s="2" t="s">
        <v>2813</v>
      </c>
    </row>
    <row r="2375" ht="12.75" customHeight="1">
      <c r="A2375" s="3" t="s">
        <v>3325</v>
      </c>
      <c r="B2375" s="3" t="str">
        <f t="shared" si="1"/>
        <v>7, 7, MAGNEMITE</v>
      </c>
      <c r="C2375" s="2" t="s">
        <v>3325</v>
      </c>
    </row>
    <row r="2376" ht="12.75" customHeight="1">
      <c r="A2376" s="3" t="s">
        <v>3326</v>
      </c>
      <c r="B2376" s="3" t="str">
        <f t="shared" si="1"/>
        <v>7, 7, GROWLITHE , &lt;null&gt;, &lt;null&gt;, &lt;null&gt;</v>
      </c>
      <c r="C2376" s="2" t="s">
        <v>3326</v>
      </c>
    </row>
    <row r="2377" ht="12.75" customHeight="1">
      <c r="A2377" s="3"/>
      <c r="B2377" s="3" t="str">
        <f t="shared" si="1"/>
        <v/>
      </c>
      <c r="C2377" s="2" t="s">
        <v>2801</v>
      </c>
    </row>
    <row r="2378" ht="12.75" customHeight="1">
      <c r="A2378" s="3" t="s">
        <v>2539</v>
      </c>
      <c r="B2378" s="3" t="str">
        <f t="shared" si="1"/>
        <v>NEW ROUTE</v>
      </c>
      <c r="C2378" s="2" t="s">
        <v>2539</v>
      </c>
    </row>
    <row r="2379" ht="12.75" customHeight="1">
      <c r="A2379" s="3" t="s">
        <v>3327</v>
      </c>
      <c r="B2379" s="3" t="str">
        <f t="shared" si="1"/>
        <v>3, 21, 0,</v>
      </c>
      <c r="C2379" s="2" t="s">
        <v>3327</v>
      </c>
    </row>
    <row r="2380" ht="12.75" customHeight="1">
      <c r="A2380" s="3" t="s">
        <v>2909</v>
      </c>
      <c r="B2380" s="3" t="str">
        <f t="shared" si="1"/>
        <v>20%</v>
      </c>
      <c r="C2380" s="2" t="s">
        <v>2799</v>
      </c>
    </row>
    <row r="2381" ht="12.75" customHeight="1">
      <c r="A2381" s="3" t="s">
        <v>944</v>
      </c>
      <c r="B2381" s="3" t="str">
        <f t="shared" si="1"/>
        <v>7, 9, SPEAROW</v>
      </c>
      <c r="C2381" s="2" t="s">
        <v>944</v>
      </c>
    </row>
    <row r="2382" ht="12.75" customHeight="1">
      <c r="A2382" s="3" t="s">
        <v>3328</v>
      </c>
      <c r="B2382" s="3" t="str">
        <f t="shared" si="1"/>
        <v>7, 9, PIDGEY</v>
      </c>
      <c r="C2382" s="2" t="s">
        <v>3328</v>
      </c>
    </row>
    <row r="2383" ht="12.75" customHeight="1">
      <c r="A2383" s="3"/>
      <c r="B2383" s="3" t="str">
        <f t="shared" si="1"/>
        <v/>
      </c>
      <c r="C2383" s="2" t="s">
        <v>2801</v>
      </c>
    </row>
    <row r="2384" ht="12.75" customHeight="1">
      <c r="A2384" s="3" t="s">
        <v>2802</v>
      </c>
      <c r="B2384" s="3" t="str">
        <f t="shared" si="1"/>
        <v>0.1</v>
      </c>
      <c r="C2384" s="2" t="s">
        <v>2802</v>
      </c>
    </row>
    <row r="2385" ht="12.75" customHeight="1">
      <c r="A2385" s="3" t="s">
        <v>3329</v>
      </c>
      <c r="B2385" s="3" t="str">
        <f t="shared" si="1"/>
        <v>8, 10, NIDORAN\sf</v>
      </c>
      <c r="C2385" s="2" t="s">
        <v>3329</v>
      </c>
    </row>
    <row r="2386" ht="12.75" customHeight="1">
      <c r="A2386" s="3" t="s">
        <v>3330</v>
      </c>
      <c r="B2386" s="3" t="str">
        <f t="shared" si="1"/>
        <v>8, 10, NIDORAN\sm</v>
      </c>
      <c r="C2386" s="2" t="s">
        <v>3330</v>
      </c>
    </row>
    <row r="2387" ht="12.75" customHeight="1">
      <c r="A2387" s="3" t="s">
        <v>3331</v>
      </c>
      <c r="B2387" s="3" t="str">
        <f t="shared" si="1"/>
        <v>8, 10, EKANS</v>
      </c>
      <c r="C2387" s="2" t="s">
        <v>3331</v>
      </c>
    </row>
    <row r="2388" ht="12.75" customHeight="1">
      <c r="A2388" s="3" t="s">
        <v>3332</v>
      </c>
      <c r="B2388" s="3" t="str">
        <f t="shared" si="1"/>
        <v>8, 10, SANDSHREW</v>
      </c>
      <c r="C2388" s="2" t="s">
        <v>3332</v>
      </c>
    </row>
    <row r="2389" ht="12.75" customHeight="1">
      <c r="A2389" s="3"/>
      <c r="B2389" s="3" t="str">
        <f t="shared" si="1"/>
        <v/>
      </c>
      <c r="C2389" s="2" t="s">
        <v>2801</v>
      </c>
    </row>
    <row r="2390" ht="12.75" customHeight="1">
      <c r="A2390" s="3" t="s">
        <v>2807</v>
      </c>
      <c r="B2390" s="3" t="str">
        <f t="shared" si="1"/>
        <v>0.05</v>
      </c>
      <c r="C2390" s="2" t="s">
        <v>2807</v>
      </c>
    </row>
    <row r="2391" ht="12.75" customHeight="1">
      <c r="A2391" s="3" t="s">
        <v>3333</v>
      </c>
      <c r="B2391" s="3" t="str">
        <f t="shared" si="1"/>
        <v>9, 10, JIGGLYPUFF</v>
      </c>
      <c r="C2391" s="2" t="s">
        <v>3333</v>
      </c>
    </row>
    <row r="2392" ht="12.75" customHeight="1">
      <c r="A2392" s="3" t="s">
        <v>3334</v>
      </c>
      <c r="B2392" s="3" t="str">
        <f t="shared" si="1"/>
        <v>9, 10, CLEFAIRY</v>
      </c>
      <c r="C2392" s="2" t="s">
        <v>3334</v>
      </c>
    </row>
    <row r="2393" ht="12.75" customHeight="1">
      <c r="A2393" s="3"/>
      <c r="B2393" s="3" t="str">
        <f t="shared" si="1"/>
        <v/>
      </c>
      <c r="C2393" s="2" t="s">
        <v>2801</v>
      </c>
    </row>
    <row r="2394" ht="12.75" customHeight="1">
      <c r="A2394" s="3" t="s">
        <v>2810</v>
      </c>
      <c r="B2394" s="3" t="str">
        <f t="shared" si="1"/>
        <v>0.04</v>
      </c>
      <c r="C2394" s="2" t="s">
        <v>2810</v>
      </c>
    </row>
    <row r="2395" ht="12.75" customHeight="1">
      <c r="A2395" s="3" t="s">
        <v>3335</v>
      </c>
      <c r="B2395" s="3" t="str">
        <f t="shared" si="1"/>
        <v>9, 11, MACHOP</v>
      </c>
      <c r="C2395" s="2" t="s">
        <v>3335</v>
      </c>
    </row>
    <row r="2396" ht="12.75" customHeight="1">
      <c r="A2396" s="3" t="s">
        <v>3335</v>
      </c>
      <c r="B2396" s="3" t="str">
        <f t="shared" si="1"/>
        <v>9, 11, MACHOP</v>
      </c>
      <c r="C2396" s="2" t="s">
        <v>3335</v>
      </c>
    </row>
    <row r="2397" ht="12.75" customHeight="1">
      <c r="A2397" s="3"/>
      <c r="B2397" s="3" t="str">
        <f t="shared" si="1"/>
        <v/>
      </c>
      <c r="C2397" s="2" t="s">
        <v>2801</v>
      </c>
    </row>
    <row r="2398" ht="12.75" customHeight="1">
      <c r="A2398" s="3" t="s">
        <v>2813</v>
      </c>
      <c r="B2398" s="3" t="str">
        <f t="shared" si="1"/>
        <v>0.01</v>
      </c>
      <c r="C2398" s="2" t="s">
        <v>2813</v>
      </c>
    </row>
    <row r="2399" ht="12.75" customHeight="1">
      <c r="A2399" s="3" t="s">
        <v>3336</v>
      </c>
      <c r="B2399" s="3" t="str">
        <f t="shared" si="1"/>
        <v>10, 13, NIDORAN\sf</v>
      </c>
      <c r="C2399" s="2" t="s">
        <v>3336</v>
      </c>
    </row>
    <row r="2400" ht="12.75" customHeight="1">
      <c r="A2400" s="3" t="s">
        <v>3337</v>
      </c>
      <c r="B2400" s="3" t="str">
        <f t="shared" si="1"/>
        <v>10, 13, NIDORAN\sm , &lt;null&gt;, &lt;null&gt;, &lt;null&gt;</v>
      </c>
      <c r="C2400" s="2" t="s">
        <v>3337</v>
      </c>
    </row>
    <row r="2401" ht="12.75" customHeight="1">
      <c r="A2401" s="3"/>
      <c r="B2401" s="3" t="str">
        <f t="shared" si="1"/>
        <v/>
      </c>
      <c r="C2401" s="2" t="s">
        <v>2801</v>
      </c>
    </row>
    <row r="2402" ht="12.75" customHeight="1">
      <c r="A2402" s="3" t="s">
        <v>2539</v>
      </c>
      <c r="B2402" s="3" t="str">
        <f t="shared" si="1"/>
        <v>NEW ROUTE</v>
      </c>
      <c r="C2402" s="2" t="s">
        <v>2539</v>
      </c>
    </row>
    <row r="2403" ht="12.75" customHeight="1">
      <c r="A2403" s="3" t="s">
        <v>3338</v>
      </c>
      <c r="B2403" s="3" t="str">
        <f t="shared" si="1"/>
        <v>3, 22, 0,</v>
      </c>
      <c r="C2403" s="2" t="s">
        <v>3338</v>
      </c>
    </row>
    <row r="2404" ht="12.75" customHeight="1">
      <c r="A2404" s="3" t="s">
        <v>2909</v>
      </c>
      <c r="B2404" s="3" t="str">
        <f t="shared" si="1"/>
        <v>20%</v>
      </c>
      <c r="C2404" s="2" t="s">
        <v>2799</v>
      </c>
    </row>
    <row r="2405" ht="12.75" customHeight="1">
      <c r="A2405" s="3" t="s">
        <v>956</v>
      </c>
      <c r="B2405" s="3" t="str">
        <f t="shared" si="1"/>
        <v>13, 16, RATTATA</v>
      </c>
      <c r="C2405" s="2" t="s">
        <v>956</v>
      </c>
    </row>
    <row r="2406" ht="12.75" customHeight="1">
      <c r="A2406" s="3" t="s">
        <v>3339</v>
      </c>
      <c r="B2406" s="3" t="str">
        <f t="shared" si="1"/>
        <v>13, 16, SPEAROW</v>
      </c>
      <c r="C2406" s="2" t="s">
        <v>3339</v>
      </c>
    </row>
    <row r="2407" ht="12.75" customHeight="1">
      <c r="A2407" s="3"/>
      <c r="B2407" s="3" t="str">
        <f t="shared" si="1"/>
        <v/>
      </c>
      <c r="C2407" s="2" t="s">
        <v>2801</v>
      </c>
    </row>
    <row r="2408" ht="12.75" customHeight="1">
      <c r="A2408" s="3" t="s">
        <v>2802</v>
      </c>
      <c r="B2408" s="3" t="str">
        <f t="shared" si="1"/>
        <v>0.1</v>
      </c>
      <c r="C2408" s="2" t="s">
        <v>2802</v>
      </c>
    </row>
    <row r="2409" ht="12.75" customHeight="1">
      <c r="A2409" s="3" t="s">
        <v>3340</v>
      </c>
      <c r="B2409" s="3" t="str">
        <f t="shared" si="1"/>
        <v>14, 16, PSYDUCK</v>
      </c>
      <c r="C2409" s="2" t="s">
        <v>3340</v>
      </c>
    </row>
    <row r="2410" ht="12.75" customHeight="1">
      <c r="A2410" s="3" t="s">
        <v>3341</v>
      </c>
      <c r="B2410" s="3" t="str">
        <f t="shared" si="1"/>
        <v>14, 16, NIDORAN\sm</v>
      </c>
      <c r="C2410" s="2" t="s">
        <v>3341</v>
      </c>
    </row>
    <row r="2411" ht="12.75" customHeight="1">
      <c r="A2411" s="3" t="s">
        <v>3342</v>
      </c>
      <c r="B2411" s="3" t="str">
        <f t="shared" si="1"/>
        <v>14, 16, NIDORAN\sf</v>
      </c>
      <c r="C2411" s="2" t="s">
        <v>3342</v>
      </c>
    </row>
    <row r="2412" ht="12.75" customHeight="1">
      <c r="A2412" s="3" t="s">
        <v>3343</v>
      </c>
      <c r="B2412" s="3" t="str">
        <f t="shared" si="1"/>
        <v>14, 16, EKANS</v>
      </c>
      <c r="C2412" s="2" t="s">
        <v>3343</v>
      </c>
    </row>
    <row r="2413" ht="12.75" customHeight="1">
      <c r="A2413" s="3"/>
      <c r="B2413" s="3" t="str">
        <f t="shared" si="1"/>
        <v/>
      </c>
      <c r="C2413" s="2" t="s">
        <v>2801</v>
      </c>
    </row>
    <row r="2414" ht="12.75" customHeight="1">
      <c r="A2414" s="3" t="s">
        <v>2807</v>
      </c>
      <c r="B2414" s="3" t="str">
        <f t="shared" si="1"/>
        <v>0.05</v>
      </c>
      <c r="C2414" s="2" t="s">
        <v>2807</v>
      </c>
    </row>
    <row r="2415" ht="12.75" customHeight="1">
      <c r="A2415" s="3" t="s">
        <v>3344</v>
      </c>
      <c r="B2415" s="3" t="str">
        <f t="shared" si="1"/>
        <v>15, 15, JIGGLYPUFF</v>
      </c>
      <c r="C2415" s="2" t="s">
        <v>3344</v>
      </c>
    </row>
    <row r="2416" ht="12.75" customHeight="1">
      <c r="A2416" s="3" t="s">
        <v>3345</v>
      </c>
      <c r="B2416" s="3" t="str">
        <f t="shared" si="1"/>
        <v>15, 15, CLEFAIRY</v>
      </c>
      <c r="C2416" s="2" t="s">
        <v>3345</v>
      </c>
    </row>
    <row r="2417" ht="12.75" customHeight="1">
      <c r="A2417" s="3"/>
      <c r="B2417" s="3" t="str">
        <f t="shared" si="1"/>
        <v/>
      </c>
      <c r="C2417" s="2" t="s">
        <v>2801</v>
      </c>
    </row>
    <row r="2418" ht="12.75" customHeight="1">
      <c r="A2418" s="3" t="s">
        <v>2810</v>
      </c>
      <c r="B2418" s="3" t="str">
        <f t="shared" si="1"/>
        <v>0.04</v>
      </c>
      <c r="C2418" s="2" t="s">
        <v>2810</v>
      </c>
    </row>
    <row r="2419" ht="12.75" customHeight="1">
      <c r="A2419" s="3" t="s">
        <v>3346</v>
      </c>
      <c r="B2419" s="3" t="str">
        <f t="shared" si="1"/>
        <v>13, 18, MANKEY</v>
      </c>
      <c r="C2419" s="2" t="s">
        <v>3346</v>
      </c>
    </row>
    <row r="2420" ht="12.75" customHeight="1">
      <c r="A2420" s="3" t="s">
        <v>3347</v>
      </c>
      <c r="B2420" s="3" t="str">
        <f t="shared" si="1"/>
        <v>13, 18, MACHOP</v>
      </c>
      <c r="C2420" s="2" t="s">
        <v>3347</v>
      </c>
    </row>
    <row r="2421" ht="12.75" customHeight="1">
      <c r="A2421" s="3"/>
      <c r="B2421" s="3" t="str">
        <f t="shared" si="1"/>
        <v/>
      </c>
      <c r="C2421" s="2" t="s">
        <v>2801</v>
      </c>
    </row>
    <row r="2422" ht="12.75" customHeight="1">
      <c r="A2422" s="3" t="s">
        <v>2813</v>
      </c>
      <c r="B2422" s="3" t="str">
        <f t="shared" si="1"/>
        <v>0.01</v>
      </c>
      <c r="C2422" s="2" t="s">
        <v>2813</v>
      </c>
    </row>
    <row r="2423" ht="12.75" customHeight="1">
      <c r="A2423" s="3" t="s">
        <v>3348</v>
      </c>
      <c r="B2423" s="3" t="str">
        <f t="shared" si="1"/>
        <v>16, 16, NIDORINO</v>
      </c>
      <c r="C2423" s="2" t="s">
        <v>3348</v>
      </c>
    </row>
    <row r="2424" ht="12.75" customHeight="1">
      <c r="A2424" s="3" t="s">
        <v>3349</v>
      </c>
      <c r="B2424" s="3" t="str">
        <f t="shared" si="1"/>
        <v>16, 16, NIDORINA</v>
      </c>
      <c r="C2424" s="2" t="s">
        <v>3349</v>
      </c>
    </row>
    <row r="2425" ht="12.75" customHeight="1">
      <c r="A2425" s="3" t="s">
        <v>3350</v>
      </c>
      <c r="B2425" s="3" t="str">
        <f t="shared" si="1"/>
        <v>2, 38, 42, TENTACOOL</v>
      </c>
      <c r="C2425" s="2" t="s">
        <v>3350</v>
      </c>
    </row>
    <row r="2426" ht="12.75" customHeight="1">
      <c r="A2426" s="3" t="s">
        <v>3351</v>
      </c>
      <c r="B2426" s="3" t="str">
        <f t="shared" si="1"/>
        <v>40, 44, PSYDUCK</v>
      </c>
      <c r="C2426" s="2" t="s">
        <v>3351</v>
      </c>
    </row>
    <row r="2427" ht="12.75" customHeight="1">
      <c r="A2427" s="3" t="s">
        <v>3352</v>
      </c>
      <c r="B2427" s="3" t="str">
        <f t="shared" si="1"/>
        <v>42, 46, TENTACRUEL</v>
      </c>
      <c r="C2427" s="2" t="s">
        <v>3352</v>
      </c>
    </row>
    <row r="2428" ht="12.75" customHeight="1">
      <c r="A2428" s="3" t="s">
        <v>2924</v>
      </c>
      <c r="B2428" s="3" t="str">
        <f t="shared" si="1"/>
        <v>42, 46, GOLDUCK</v>
      </c>
      <c r="C2428" s="2" t="s">
        <v>2924</v>
      </c>
    </row>
    <row r="2429" ht="12.75" customHeight="1">
      <c r="A2429" s="3" t="s">
        <v>2925</v>
      </c>
      <c r="B2429" s="3" t="str">
        <f t="shared" si="1"/>
        <v>44, 48, VAPOREON</v>
      </c>
      <c r="C2429" s="2" t="s">
        <v>2925</v>
      </c>
    </row>
    <row r="2430" ht="12.75" customHeight="1">
      <c r="A2430" s="3" t="s">
        <v>2926</v>
      </c>
      <c r="B2430" s="3" t="str">
        <f t="shared" si="1"/>
        <v>20, old rod:</v>
      </c>
      <c r="C2430" s="2" t="s">
        <v>2926</v>
      </c>
    </row>
    <row r="2431" ht="12.75" customHeight="1">
      <c r="A2431" s="3" t="s">
        <v>500</v>
      </c>
      <c r="B2431" s="3" t="str">
        <f t="shared" si="1"/>
        <v>19, 26, MAGIKARP</v>
      </c>
      <c r="C2431" s="2" t="s">
        <v>500</v>
      </c>
    </row>
    <row r="2432" ht="12.75" customHeight="1">
      <c r="A2432" s="3" t="s">
        <v>3353</v>
      </c>
      <c r="B2432" s="3" t="str">
        <f t="shared" si="1"/>
        <v>19, 26, GYARADOS</v>
      </c>
      <c r="C2432" s="2" t="s">
        <v>3353</v>
      </c>
    </row>
    <row r="2433" ht="12.75" customHeight="1">
      <c r="A2433" s="3"/>
      <c r="B2433" s="3" t="str">
        <f t="shared" si="1"/>
        <v/>
      </c>
      <c r="C2433" s="2" t="s">
        <v>2801</v>
      </c>
    </row>
    <row r="2434" ht="12.75" customHeight="1">
      <c r="A2434" s="3" t="s">
        <v>2847</v>
      </c>
      <c r="B2434" s="3" t="str">
        <f t="shared" si="1"/>
        <v>good rod:</v>
      </c>
      <c r="C2434" s="2" t="s">
        <v>2847</v>
      </c>
    </row>
    <row r="2435" ht="12.75" customHeight="1">
      <c r="A2435" s="3" t="s">
        <v>3354</v>
      </c>
      <c r="B2435" s="3" t="str">
        <f t="shared" si="1"/>
        <v>29, 33, SLOWPOKE</v>
      </c>
      <c r="C2435" s="2" t="s">
        <v>3354</v>
      </c>
    </row>
    <row r="2436" ht="12.75" customHeight="1">
      <c r="A2436" s="3" t="s">
        <v>3028</v>
      </c>
      <c r="B2436" s="3" t="str">
        <f t="shared" si="1"/>
        <v>30, 35, KRABBY</v>
      </c>
      <c r="C2436" s="2" t="s">
        <v>3028</v>
      </c>
    </row>
    <row r="2437" ht="12.75" customHeight="1">
      <c r="A2437" s="3" t="s">
        <v>3355</v>
      </c>
      <c r="B2437" s="3" t="str">
        <f t="shared" si="1"/>
        <v>30, 35, PSYDUCK</v>
      </c>
      <c r="C2437" s="2" t="s">
        <v>3355</v>
      </c>
    </row>
    <row r="2438" ht="12.75" customHeight="1">
      <c r="A2438" s="3"/>
      <c r="B2438" s="3" t="str">
        <f t="shared" si="1"/>
        <v/>
      </c>
      <c r="C2438" s="2" t="s">
        <v>2801</v>
      </c>
    </row>
    <row r="2439" ht="12.75" customHeight="1">
      <c r="A2439" s="3" t="s">
        <v>2851</v>
      </c>
      <c r="B2439" s="3" t="str">
        <f t="shared" si="1"/>
        <v>super rod:</v>
      </c>
      <c r="C2439" s="2" t="s">
        <v>2851</v>
      </c>
    </row>
    <row r="2440" ht="12.75" customHeight="1">
      <c r="A2440" s="3" t="s">
        <v>3356</v>
      </c>
      <c r="B2440" s="3" t="str">
        <f t="shared" si="1"/>
        <v>36, 40, SLOWBRO</v>
      </c>
      <c r="C2440" s="2" t="s">
        <v>3356</v>
      </c>
    </row>
    <row r="2441" ht="12.75" customHeight="1">
      <c r="A2441" s="3" t="s">
        <v>3357</v>
      </c>
      <c r="B2441" s="3" t="str">
        <f t="shared" si="1"/>
        <v>36, 40, GYARADOS</v>
      </c>
      <c r="C2441" s="2" t="s">
        <v>3357</v>
      </c>
    </row>
    <row r="2442" ht="12.75" customHeight="1">
      <c r="A2442" s="3" t="s">
        <v>3358</v>
      </c>
      <c r="B2442" s="3" t="str">
        <f t="shared" si="1"/>
        <v>38, 42, GOLDUCK</v>
      </c>
      <c r="C2442" s="2" t="s">
        <v>3358</v>
      </c>
    </row>
    <row r="2443" ht="12.75" customHeight="1">
      <c r="A2443" s="3" t="s">
        <v>3359</v>
      </c>
      <c r="B2443" s="3" t="str">
        <f t="shared" si="1"/>
        <v>38, 42, KINGLER</v>
      </c>
      <c r="C2443" s="2" t="s">
        <v>3359</v>
      </c>
    </row>
    <row r="2444" ht="12.75" customHeight="1">
      <c r="A2444" s="3" t="s">
        <v>3360</v>
      </c>
      <c r="B2444" s="3" t="str">
        <f t="shared" si="1"/>
        <v>40, 44, SLOWMATE</v>
      </c>
      <c r="C2444" s="2" t="s">
        <v>3360</v>
      </c>
    </row>
    <row r="2445" ht="12.75" customHeight="1">
      <c r="A2445" s="3" t="s">
        <v>2539</v>
      </c>
      <c r="B2445" s="3" t="str">
        <f t="shared" si="1"/>
        <v>NEW ROUTE</v>
      </c>
      <c r="C2445" s="2" t="s">
        <v>2539</v>
      </c>
    </row>
    <row r="2446" ht="12.75" customHeight="1">
      <c r="A2446" s="3" t="s">
        <v>3361</v>
      </c>
      <c r="B2446" s="3" t="str">
        <f t="shared" si="1"/>
        <v>3, 23, 0,</v>
      </c>
      <c r="C2446" s="2" t="s">
        <v>3361</v>
      </c>
    </row>
    <row r="2447" ht="12.75" customHeight="1">
      <c r="A2447" s="3" t="s">
        <v>2909</v>
      </c>
      <c r="B2447" s="3" t="str">
        <f t="shared" si="1"/>
        <v>20%</v>
      </c>
      <c r="C2447" s="2" t="s">
        <v>2799</v>
      </c>
    </row>
    <row r="2448" ht="12.75" customHeight="1">
      <c r="A2448" s="3" t="s">
        <v>979</v>
      </c>
      <c r="B2448" s="3" t="str">
        <f t="shared" si="1"/>
        <v>15, 17, PIDGEY</v>
      </c>
      <c r="C2448" s="2" t="s">
        <v>979</v>
      </c>
    </row>
    <row r="2449" ht="12.75" customHeight="1">
      <c r="A2449" s="3" t="s">
        <v>3362</v>
      </c>
      <c r="B2449" s="3" t="str">
        <f t="shared" si="1"/>
        <v>15, 17, MEOWTH</v>
      </c>
      <c r="C2449" s="2" t="s">
        <v>3362</v>
      </c>
    </row>
    <row r="2450" ht="12.75" customHeight="1">
      <c r="A2450" s="3"/>
      <c r="B2450" s="3" t="str">
        <f t="shared" si="1"/>
        <v/>
      </c>
      <c r="C2450" s="2" t="s">
        <v>2801</v>
      </c>
    </row>
    <row r="2451" ht="12.75" customHeight="1">
      <c r="A2451" s="3" t="s">
        <v>2802</v>
      </c>
      <c r="B2451" s="3" t="str">
        <f t="shared" si="1"/>
        <v>0.1</v>
      </c>
      <c r="C2451" s="2" t="s">
        <v>2802</v>
      </c>
    </row>
    <row r="2452" ht="12.75" customHeight="1">
      <c r="A2452" s="3" t="s">
        <v>3363</v>
      </c>
      <c r="B2452" s="3" t="str">
        <f t="shared" si="1"/>
        <v>16, 19, ODDISH</v>
      </c>
      <c r="C2452" s="2" t="s">
        <v>3363</v>
      </c>
    </row>
    <row r="2453" ht="12.75" customHeight="1">
      <c r="A2453" s="3" t="s">
        <v>3364</v>
      </c>
      <c r="B2453" s="3" t="str">
        <f t="shared" si="1"/>
        <v>16, 19, BELLSPROUT</v>
      </c>
      <c r="C2453" s="2" t="s">
        <v>3364</v>
      </c>
    </row>
    <row r="2454" ht="12.75" customHeight="1">
      <c r="A2454" s="3" t="s">
        <v>3365</v>
      </c>
      <c r="B2454" s="3" t="str">
        <f t="shared" si="1"/>
        <v>16, 19, EKANS</v>
      </c>
      <c r="C2454" s="2" t="s">
        <v>3365</v>
      </c>
    </row>
    <row r="2455" ht="12.75" customHeight="1">
      <c r="A2455" s="3" t="s">
        <v>3366</v>
      </c>
      <c r="B2455" s="3" t="str">
        <f t="shared" si="1"/>
        <v>16, 19, PARAS</v>
      </c>
      <c r="C2455" s="2" t="s">
        <v>3366</v>
      </c>
    </row>
    <row r="2456" ht="12.75" customHeight="1">
      <c r="A2456" s="3"/>
      <c r="B2456" s="3" t="str">
        <f t="shared" si="1"/>
        <v/>
      </c>
      <c r="C2456" s="2" t="s">
        <v>2801</v>
      </c>
    </row>
    <row r="2457" ht="12.75" customHeight="1">
      <c r="A2457" s="3" t="s">
        <v>2807</v>
      </c>
      <c r="B2457" s="3" t="str">
        <f t="shared" si="1"/>
        <v>0.05</v>
      </c>
      <c r="C2457" s="2" t="s">
        <v>2807</v>
      </c>
    </row>
    <row r="2458" ht="12.75" customHeight="1">
      <c r="A2458" s="3" t="s">
        <v>3367</v>
      </c>
      <c r="B2458" s="3" t="str">
        <f t="shared" si="1"/>
        <v>17, 17, VULPIX</v>
      </c>
      <c r="C2458" s="2" t="s">
        <v>3367</v>
      </c>
    </row>
    <row r="2459" ht="12.75" customHeight="1">
      <c r="A2459" s="3" t="s">
        <v>3368</v>
      </c>
      <c r="B2459" s="3" t="str">
        <f t="shared" si="1"/>
        <v>17, 17, GROWLITHE</v>
      </c>
      <c r="C2459" s="2" t="s">
        <v>3368</v>
      </c>
    </row>
    <row r="2460" ht="12.75" customHeight="1">
      <c r="A2460" s="3"/>
      <c r="B2460" s="3" t="str">
        <f t="shared" si="1"/>
        <v/>
      </c>
      <c r="C2460" s="2" t="s">
        <v>2801</v>
      </c>
    </row>
    <row r="2461" ht="12.75" customHeight="1">
      <c r="A2461" s="3" t="s">
        <v>2810</v>
      </c>
      <c r="B2461" s="3" t="str">
        <f t="shared" si="1"/>
        <v>0.04</v>
      </c>
      <c r="C2461" s="2" t="s">
        <v>2810</v>
      </c>
    </row>
    <row r="2462" ht="12.75" customHeight="1">
      <c r="A2462" s="3" t="s">
        <v>3369</v>
      </c>
      <c r="B2462" s="3" t="str">
        <f t="shared" si="1"/>
        <v>16, 18, PIKACHU</v>
      </c>
      <c r="C2462" s="2" t="s">
        <v>3369</v>
      </c>
    </row>
    <row r="2463" ht="12.75" customHeight="1">
      <c r="A2463" s="3" t="s">
        <v>3370</v>
      </c>
      <c r="B2463" s="3" t="str">
        <f t="shared" si="1"/>
        <v>16, 18, EEVEE</v>
      </c>
      <c r="C2463" s="2" t="s">
        <v>3370</v>
      </c>
    </row>
    <row r="2464" ht="12.75" customHeight="1">
      <c r="A2464" s="3"/>
      <c r="B2464" s="3" t="str">
        <f t="shared" si="1"/>
        <v/>
      </c>
      <c r="C2464" s="2" t="s">
        <v>2801</v>
      </c>
    </row>
    <row r="2465" ht="12.75" customHeight="1">
      <c r="A2465" s="3" t="s">
        <v>2813</v>
      </c>
      <c r="B2465" s="3" t="str">
        <f t="shared" si="1"/>
        <v>0.01</v>
      </c>
      <c r="C2465" s="2" t="s">
        <v>2813</v>
      </c>
    </row>
    <row r="2466" ht="12.75" customHeight="1">
      <c r="A2466" s="3" t="s">
        <v>3371</v>
      </c>
      <c r="B2466" s="3" t="str">
        <f t="shared" si="1"/>
        <v>20, 20, FEAROW</v>
      </c>
      <c r="C2466" s="2" t="s">
        <v>3371</v>
      </c>
    </row>
    <row r="2467" ht="12.75" customHeight="1">
      <c r="A2467" s="3" t="s">
        <v>3372</v>
      </c>
      <c r="B2467" s="3" t="str">
        <f t="shared" si="1"/>
        <v>20, 20, WEEPINBELL , &lt;null&gt;, &lt;null&gt;, &lt;null&gt;</v>
      </c>
      <c r="C2467" s="2" t="s">
        <v>3372</v>
      </c>
    </row>
    <row r="2468" ht="12.75" customHeight="1">
      <c r="A2468" s="3"/>
      <c r="B2468" s="3" t="str">
        <f t="shared" si="1"/>
        <v/>
      </c>
      <c r="C2468" s="2" t="s">
        <v>2801</v>
      </c>
    </row>
    <row r="2469" ht="12.75" customHeight="1">
      <c r="A2469" s="3" t="s">
        <v>2539</v>
      </c>
      <c r="B2469" s="3" t="str">
        <f t="shared" si="1"/>
        <v>NEW ROUTE</v>
      </c>
      <c r="C2469" s="2" t="s">
        <v>2539</v>
      </c>
    </row>
    <row r="2470" ht="12.75" customHeight="1">
      <c r="A2470" s="3" t="s">
        <v>3373</v>
      </c>
      <c r="B2470" s="3" t="str">
        <f t="shared" si="1"/>
        <v>3, 24, 0,</v>
      </c>
      <c r="C2470" s="2" t="s">
        <v>3373</v>
      </c>
    </row>
    <row r="2471" ht="12.75" customHeight="1">
      <c r="A2471" s="3" t="s">
        <v>2909</v>
      </c>
      <c r="B2471" s="3" t="str">
        <f t="shared" si="1"/>
        <v>20%</v>
      </c>
      <c r="C2471" s="2" t="s">
        <v>2799</v>
      </c>
    </row>
    <row r="2472" ht="12.75" customHeight="1">
      <c r="A2472" s="3" t="s">
        <v>979</v>
      </c>
      <c r="B2472" s="3" t="str">
        <f t="shared" si="1"/>
        <v>15, 17, PIDGEY</v>
      </c>
      <c r="C2472" s="2" t="s">
        <v>979</v>
      </c>
    </row>
    <row r="2473" ht="12.75" customHeight="1">
      <c r="A2473" s="3" t="s">
        <v>3362</v>
      </c>
      <c r="B2473" s="3" t="str">
        <f t="shared" si="1"/>
        <v>15, 17, MEOWTH</v>
      </c>
      <c r="C2473" s="2" t="s">
        <v>3362</v>
      </c>
    </row>
    <row r="2474" ht="12.75" customHeight="1">
      <c r="A2474" s="3"/>
      <c r="B2474" s="3" t="str">
        <f t="shared" si="1"/>
        <v/>
      </c>
      <c r="C2474" s="2" t="s">
        <v>2801</v>
      </c>
    </row>
    <row r="2475" ht="12.75" customHeight="1">
      <c r="A2475" s="3" t="s">
        <v>2802</v>
      </c>
      <c r="B2475" s="3" t="str">
        <f t="shared" si="1"/>
        <v>0.1</v>
      </c>
      <c r="C2475" s="2" t="s">
        <v>2802</v>
      </c>
    </row>
    <row r="2476" ht="12.75" customHeight="1">
      <c r="A2476" s="3" t="s">
        <v>3363</v>
      </c>
      <c r="B2476" s="3" t="str">
        <f t="shared" si="1"/>
        <v>16, 19, ODDISH</v>
      </c>
      <c r="C2476" s="2" t="s">
        <v>3363</v>
      </c>
    </row>
    <row r="2477" ht="12.75" customHeight="1">
      <c r="A2477" s="3" t="s">
        <v>3364</v>
      </c>
      <c r="B2477" s="3" t="str">
        <f t="shared" si="1"/>
        <v>16, 19, BELLSPROUT</v>
      </c>
      <c r="C2477" s="2" t="s">
        <v>3364</v>
      </c>
    </row>
    <row r="2478" ht="12.75" customHeight="1">
      <c r="A2478" s="3" t="s">
        <v>3365</v>
      </c>
      <c r="B2478" s="3" t="str">
        <f t="shared" si="1"/>
        <v>16, 19, EKANS</v>
      </c>
      <c r="C2478" s="2" t="s">
        <v>3365</v>
      </c>
    </row>
    <row r="2479" ht="12.75" customHeight="1">
      <c r="A2479" s="3" t="s">
        <v>3366</v>
      </c>
      <c r="B2479" s="3" t="str">
        <f t="shared" si="1"/>
        <v>16, 19, PARAS</v>
      </c>
      <c r="C2479" s="2" t="s">
        <v>3366</v>
      </c>
    </row>
    <row r="2480" ht="12.75" customHeight="1">
      <c r="A2480" s="3"/>
      <c r="B2480" s="3" t="str">
        <f t="shared" si="1"/>
        <v/>
      </c>
      <c r="C2480" s="2" t="s">
        <v>2801</v>
      </c>
    </row>
    <row r="2481" ht="12.75" customHeight="1">
      <c r="A2481" s="3" t="s">
        <v>2807</v>
      </c>
      <c r="B2481" s="3" t="str">
        <f t="shared" si="1"/>
        <v>0.05</v>
      </c>
      <c r="C2481" s="2" t="s">
        <v>2807</v>
      </c>
    </row>
    <row r="2482" ht="12.75" customHeight="1">
      <c r="A2482" s="3" t="s">
        <v>3367</v>
      </c>
      <c r="B2482" s="3" t="str">
        <f t="shared" si="1"/>
        <v>17, 17, VULPIX</v>
      </c>
      <c r="C2482" s="2" t="s">
        <v>3367</v>
      </c>
    </row>
    <row r="2483" ht="12.75" customHeight="1">
      <c r="A2483" s="3" t="s">
        <v>3368</v>
      </c>
      <c r="B2483" s="3" t="str">
        <f t="shared" si="1"/>
        <v>17, 17, GROWLITHE</v>
      </c>
      <c r="C2483" s="2" t="s">
        <v>3368</v>
      </c>
    </row>
    <row r="2484" ht="12.75" customHeight="1">
      <c r="A2484" s="3"/>
      <c r="B2484" s="3" t="str">
        <f t="shared" si="1"/>
        <v/>
      </c>
      <c r="C2484" s="2" t="s">
        <v>2801</v>
      </c>
    </row>
    <row r="2485" ht="12.75" customHeight="1">
      <c r="A2485" s="3" t="s">
        <v>2810</v>
      </c>
      <c r="B2485" s="3" t="str">
        <f t="shared" si="1"/>
        <v>0.04</v>
      </c>
      <c r="C2485" s="2" t="s">
        <v>2810</v>
      </c>
    </row>
    <row r="2486" ht="12.75" customHeight="1">
      <c r="A2486" s="3" t="s">
        <v>3369</v>
      </c>
      <c r="B2486" s="3" t="str">
        <f t="shared" si="1"/>
        <v>16, 18, PIKACHU</v>
      </c>
      <c r="C2486" s="2" t="s">
        <v>3369</v>
      </c>
    </row>
    <row r="2487" ht="12.75" customHeight="1">
      <c r="A2487" s="3" t="s">
        <v>3370</v>
      </c>
      <c r="B2487" s="3" t="str">
        <f t="shared" si="1"/>
        <v>16, 18, EEVEE</v>
      </c>
      <c r="C2487" s="2" t="s">
        <v>3370</v>
      </c>
    </row>
    <row r="2488" ht="12.75" customHeight="1">
      <c r="A2488" s="3"/>
      <c r="B2488" s="3" t="str">
        <f t="shared" si="1"/>
        <v/>
      </c>
      <c r="C2488" s="2" t="s">
        <v>2801</v>
      </c>
    </row>
    <row r="2489" ht="12.75" customHeight="1">
      <c r="A2489" s="3" t="s">
        <v>2813</v>
      </c>
      <c r="B2489" s="3" t="str">
        <f t="shared" si="1"/>
        <v>0.01</v>
      </c>
      <c r="C2489" s="2" t="s">
        <v>2813</v>
      </c>
    </row>
    <row r="2490" ht="12.75" customHeight="1">
      <c r="A2490" s="3" t="s">
        <v>3371</v>
      </c>
      <c r="B2490" s="3" t="str">
        <f t="shared" si="1"/>
        <v>20, 20, FEAROW</v>
      </c>
      <c r="C2490" s="2" t="s">
        <v>3371</v>
      </c>
    </row>
    <row r="2491" ht="12.75" customHeight="1">
      <c r="A2491" s="3" t="s">
        <v>3374</v>
      </c>
      <c r="B2491" s="3" t="str">
        <f t="shared" si="1"/>
        <v>20, 20, WEEPINBELL</v>
      </c>
      <c r="C2491" s="2" t="s">
        <v>3374</v>
      </c>
    </row>
    <row r="2492" ht="12.75" customHeight="1">
      <c r="A2492" s="3" t="s">
        <v>3350</v>
      </c>
      <c r="B2492" s="3" t="str">
        <f t="shared" si="1"/>
        <v>2, 38, 42, TENTACOOL</v>
      </c>
      <c r="C2492" s="2" t="s">
        <v>3350</v>
      </c>
    </row>
    <row r="2493" ht="12.75" customHeight="1">
      <c r="A2493" s="3" t="s">
        <v>3375</v>
      </c>
      <c r="B2493" s="3" t="str">
        <f t="shared" si="1"/>
        <v>40, 44, SLOWPOKE</v>
      </c>
      <c r="C2493" s="2" t="s">
        <v>3375</v>
      </c>
    </row>
    <row r="2494" ht="12.75" customHeight="1">
      <c r="A2494" s="3" t="s">
        <v>3352</v>
      </c>
      <c r="B2494" s="3" t="str">
        <f t="shared" si="1"/>
        <v>42, 46, TENTACRUEL</v>
      </c>
      <c r="C2494" s="2" t="s">
        <v>3352</v>
      </c>
    </row>
    <row r="2495" ht="12.75" customHeight="1">
      <c r="A2495" s="3" t="s">
        <v>2924</v>
      </c>
      <c r="B2495" s="3" t="str">
        <f t="shared" si="1"/>
        <v>42, 46, GOLDUCK</v>
      </c>
      <c r="C2495" s="2" t="s">
        <v>2924</v>
      </c>
    </row>
    <row r="2496" ht="12.75" customHeight="1">
      <c r="A2496" s="3" t="s">
        <v>3376</v>
      </c>
      <c r="B2496" s="3" t="str">
        <f t="shared" si="1"/>
        <v>44, 48, SLOWBRO</v>
      </c>
      <c r="C2496" s="2" t="s">
        <v>3376</v>
      </c>
    </row>
    <row r="2497" ht="12.75" customHeight="1">
      <c r="A2497" s="3" t="s">
        <v>2926</v>
      </c>
      <c r="B2497" s="3" t="str">
        <f t="shared" si="1"/>
        <v>20, old rod:</v>
      </c>
      <c r="C2497" s="2" t="s">
        <v>2926</v>
      </c>
    </row>
    <row r="2498" ht="12.75" customHeight="1">
      <c r="A2498" s="3" t="s">
        <v>500</v>
      </c>
      <c r="B2498" s="3" t="str">
        <f t="shared" si="1"/>
        <v>19, 26, MAGIKARP</v>
      </c>
      <c r="C2498" s="2" t="s">
        <v>500</v>
      </c>
    </row>
    <row r="2499" ht="12.75" customHeight="1">
      <c r="A2499" s="3" t="s">
        <v>3353</v>
      </c>
      <c r="B2499" s="3" t="str">
        <f t="shared" si="1"/>
        <v>19, 26, GYARADOS</v>
      </c>
      <c r="C2499" s="2" t="s">
        <v>3353</v>
      </c>
    </row>
    <row r="2500" ht="12.75" customHeight="1">
      <c r="A2500" s="3"/>
      <c r="B2500" s="3" t="str">
        <f t="shared" si="1"/>
        <v/>
      </c>
      <c r="C2500" s="2" t="s">
        <v>2801</v>
      </c>
    </row>
    <row r="2501" ht="12.75" customHeight="1">
      <c r="A2501" s="3" t="s">
        <v>2847</v>
      </c>
      <c r="B2501" s="3" t="str">
        <f t="shared" si="1"/>
        <v>good rod:</v>
      </c>
      <c r="C2501" s="2" t="s">
        <v>2847</v>
      </c>
    </row>
    <row r="2502" ht="12.75" customHeight="1">
      <c r="A2502" s="3" t="s">
        <v>3377</v>
      </c>
      <c r="B2502" s="3" t="str">
        <f t="shared" si="1"/>
        <v>29, 33, POLIWAG</v>
      </c>
      <c r="C2502" s="2" t="s">
        <v>3377</v>
      </c>
    </row>
    <row r="2503" ht="12.75" customHeight="1">
      <c r="A2503" s="3" t="s">
        <v>2930</v>
      </c>
      <c r="B2503" s="3" t="str">
        <f t="shared" si="1"/>
        <v>30, 35, GOLDEEN</v>
      </c>
      <c r="C2503" s="2" t="s">
        <v>2930</v>
      </c>
    </row>
    <row r="2504" ht="12.75" customHeight="1">
      <c r="A2504" s="3" t="s">
        <v>3355</v>
      </c>
      <c r="B2504" s="3" t="str">
        <f t="shared" si="1"/>
        <v>30, 35, PSYDUCK</v>
      </c>
      <c r="C2504" s="2" t="s">
        <v>3355</v>
      </c>
    </row>
    <row r="2505" ht="12.75" customHeight="1">
      <c r="A2505" s="3"/>
      <c r="B2505" s="3" t="str">
        <f t="shared" si="1"/>
        <v/>
      </c>
      <c r="C2505" s="2" t="s">
        <v>2801</v>
      </c>
    </row>
    <row r="2506" ht="12.75" customHeight="1">
      <c r="A2506" s="3" t="s">
        <v>2851</v>
      </c>
      <c r="B2506" s="3" t="str">
        <f t="shared" si="1"/>
        <v>super rod:</v>
      </c>
      <c r="C2506" s="2" t="s">
        <v>2851</v>
      </c>
    </row>
    <row r="2507" ht="12.75" customHeight="1">
      <c r="A2507" s="3" t="s">
        <v>2931</v>
      </c>
      <c r="B2507" s="3" t="str">
        <f t="shared" si="1"/>
        <v>36, 40, POLIWHIRL</v>
      </c>
      <c r="C2507" s="2" t="s">
        <v>2931</v>
      </c>
    </row>
    <row r="2508" ht="12.75" customHeight="1">
      <c r="A2508" s="3" t="s">
        <v>2932</v>
      </c>
      <c r="B2508" s="3" t="str">
        <f t="shared" si="1"/>
        <v>36, 40, SEAKING</v>
      </c>
      <c r="C2508" s="2" t="s">
        <v>2932</v>
      </c>
    </row>
    <row r="2509" ht="12.75" customHeight="1">
      <c r="A2509" s="3" t="s">
        <v>3378</v>
      </c>
      <c r="B2509" s="3" t="str">
        <f t="shared" si="1"/>
        <v>38, 42, GYARADOS</v>
      </c>
      <c r="C2509" s="2" t="s">
        <v>3378</v>
      </c>
    </row>
    <row r="2510" ht="12.75" customHeight="1">
      <c r="A2510" s="3" t="s">
        <v>3379</v>
      </c>
      <c r="B2510" s="3" t="str">
        <f t="shared" si="1"/>
        <v>38, 42, POLIWRATH</v>
      </c>
      <c r="C2510" s="2" t="s">
        <v>3379</v>
      </c>
    </row>
    <row r="2511" ht="12.75" customHeight="1">
      <c r="A2511" s="3" t="s">
        <v>3380</v>
      </c>
      <c r="B2511" s="3" t="str">
        <f t="shared" si="1"/>
        <v>40, 44, POLITOES</v>
      </c>
      <c r="C2511" s="2" t="s">
        <v>3380</v>
      </c>
    </row>
    <row r="2512" ht="12.75" customHeight="1">
      <c r="A2512" s="3" t="s">
        <v>2539</v>
      </c>
      <c r="B2512" s="3" t="str">
        <f t="shared" si="1"/>
        <v>NEW ROUTE</v>
      </c>
      <c r="C2512" s="2" t="s">
        <v>2539</v>
      </c>
    </row>
    <row r="2513" ht="12.75" customHeight="1">
      <c r="A2513" s="3" t="s">
        <v>3381</v>
      </c>
      <c r="B2513" s="3" t="str">
        <f t="shared" si="1"/>
        <v>3, 25, 0,</v>
      </c>
      <c r="C2513" s="2" t="s">
        <v>3381</v>
      </c>
    </row>
    <row r="2514" ht="12.75" customHeight="1">
      <c r="A2514" s="3" t="s">
        <v>2909</v>
      </c>
      <c r="B2514" s="3" t="str">
        <f t="shared" si="1"/>
        <v>20%</v>
      </c>
      <c r="C2514" s="2" t="s">
        <v>2799</v>
      </c>
    </row>
    <row r="2515" ht="12.75" customHeight="1">
      <c r="A2515" s="3" t="s">
        <v>1000</v>
      </c>
      <c r="B2515" s="3" t="str">
        <f t="shared" si="1"/>
        <v>24, 26, PONYTA</v>
      </c>
      <c r="C2515" s="2" t="s">
        <v>1000</v>
      </c>
    </row>
    <row r="2516" ht="12.75" customHeight="1">
      <c r="A2516" s="3" t="s">
        <v>3382</v>
      </c>
      <c r="B2516" s="3" t="str">
        <f t="shared" si="1"/>
        <v>24, 26, KOFFING</v>
      </c>
      <c r="C2516" s="2" t="s">
        <v>3382</v>
      </c>
    </row>
    <row r="2517" ht="12.75" customHeight="1">
      <c r="A2517" s="3"/>
      <c r="B2517" s="3" t="str">
        <f t="shared" si="1"/>
        <v/>
      </c>
      <c r="C2517" s="2" t="s">
        <v>2801</v>
      </c>
    </row>
    <row r="2518" ht="12.75" customHeight="1">
      <c r="A2518" s="3" t="s">
        <v>2802</v>
      </c>
      <c r="B2518" s="3" t="str">
        <f t="shared" si="1"/>
        <v>0.1</v>
      </c>
      <c r="C2518" s="2" t="s">
        <v>2802</v>
      </c>
    </row>
    <row r="2519" ht="12.75" customHeight="1">
      <c r="A2519" s="3" t="s">
        <v>3383</v>
      </c>
      <c r="B2519" s="3" t="str">
        <f t="shared" si="1"/>
        <v>25, 27, SANDSHREW</v>
      </c>
      <c r="C2519" s="2" t="s">
        <v>3383</v>
      </c>
    </row>
    <row r="2520" ht="12.75" customHeight="1">
      <c r="A2520" s="3" t="s">
        <v>3384</v>
      </c>
      <c r="B2520" s="3" t="str">
        <f t="shared" si="1"/>
        <v>25, 27, MEOWTH</v>
      </c>
      <c r="C2520" s="2" t="s">
        <v>3384</v>
      </c>
    </row>
    <row r="2521" ht="12.75" customHeight="1">
      <c r="A2521" s="3" t="s">
        <v>3385</v>
      </c>
      <c r="B2521" s="3" t="str">
        <f t="shared" si="1"/>
        <v>25, 27, PARAS</v>
      </c>
      <c r="C2521" s="2" t="s">
        <v>3385</v>
      </c>
    </row>
    <row r="2522" ht="12.75" customHeight="1">
      <c r="A2522" s="3" t="s">
        <v>3386</v>
      </c>
      <c r="B2522" s="3" t="str">
        <f t="shared" si="1"/>
        <v>25, 27, VULPIX</v>
      </c>
      <c r="C2522" s="2" t="s">
        <v>3386</v>
      </c>
    </row>
    <row r="2523" ht="12.75" customHeight="1">
      <c r="A2523" s="3"/>
      <c r="B2523" s="3" t="str">
        <f t="shared" si="1"/>
        <v/>
      </c>
      <c r="C2523" s="2" t="s">
        <v>2801</v>
      </c>
    </row>
    <row r="2524" ht="12.75" customHeight="1">
      <c r="A2524" s="3" t="s">
        <v>2807</v>
      </c>
      <c r="B2524" s="3" t="str">
        <f t="shared" si="1"/>
        <v>0.05</v>
      </c>
      <c r="C2524" s="2" t="s">
        <v>2807</v>
      </c>
    </row>
    <row r="2525" ht="12.75" customHeight="1">
      <c r="A2525" s="3" t="s">
        <v>3387</v>
      </c>
      <c r="B2525" s="3" t="str">
        <f t="shared" si="1"/>
        <v>24, 28, WEEZING</v>
      </c>
      <c r="C2525" s="2" t="s">
        <v>3387</v>
      </c>
    </row>
    <row r="2526" ht="12.75" customHeight="1">
      <c r="A2526" s="3" t="s">
        <v>3388</v>
      </c>
      <c r="B2526" s="3" t="str">
        <f t="shared" si="1"/>
        <v>24, 28, LICKITUNG</v>
      </c>
      <c r="C2526" s="2" t="s">
        <v>3388</v>
      </c>
    </row>
    <row r="2527" ht="12.75" customHeight="1">
      <c r="A2527" s="3"/>
      <c r="B2527" s="3" t="str">
        <f t="shared" si="1"/>
        <v/>
      </c>
      <c r="C2527" s="2" t="s">
        <v>2801</v>
      </c>
    </row>
    <row r="2528" ht="12.75" customHeight="1">
      <c r="A2528" s="3" t="s">
        <v>2810</v>
      </c>
      <c r="B2528" s="3" t="str">
        <f t="shared" si="1"/>
        <v>0.04</v>
      </c>
      <c r="C2528" s="2" t="s">
        <v>2810</v>
      </c>
    </row>
    <row r="2529" ht="12.75" customHeight="1">
      <c r="A2529" s="3" t="s">
        <v>3389</v>
      </c>
      <c r="B2529" s="3" t="str">
        <f t="shared" si="1"/>
        <v>26, 26, PERSIAN</v>
      </c>
      <c r="C2529" s="2" t="s">
        <v>3389</v>
      </c>
    </row>
    <row r="2530" ht="12.75" customHeight="1">
      <c r="A2530" s="3" t="s">
        <v>3390</v>
      </c>
      <c r="B2530" s="3" t="str">
        <f t="shared" si="1"/>
        <v>21, 26, EEVEE</v>
      </c>
      <c r="C2530" s="2" t="s">
        <v>3390</v>
      </c>
    </row>
    <row r="2531" ht="12.75" customHeight="1">
      <c r="A2531" s="3"/>
      <c r="B2531" s="3" t="str">
        <f t="shared" si="1"/>
        <v/>
      </c>
      <c r="C2531" s="2" t="s">
        <v>2801</v>
      </c>
    </row>
    <row r="2532" ht="12.75" customHeight="1">
      <c r="A2532" s="3" t="s">
        <v>2813</v>
      </c>
      <c r="B2532" s="3" t="str">
        <f t="shared" si="1"/>
        <v>0.01</v>
      </c>
      <c r="C2532" s="2" t="s">
        <v>2813</v>
      </c>
    </row>
    <row r="2533" ht="12.75" customHeight="1">
      <c r="A2533" s="3" t="s">
        <v>3391</v>
      </c>
      <c r="B2533" s="3" t="str">
        <f t="shared" si="1"/>
        <v>24, 28, SANDSLASH</v>
      </c>
      <c r="C2533" s="2" t="s">
        <v>3391</v>
      </c>
    </row>
    <row r="2534" ht="12.75" customHeight="1">
      <c r="A2534" s="3" t="s">
        <v>3392</v>
      </c>
      <c r="B2534" s="3" t="str">
        <f t="shared" si="1"/>
        <v>24, 28, PARASECT , &lt;null&gt;, &lt;null&gt;, &lt;null&gt;</v>
      </c>
      <c r="C2534" s="2" t="s">
        <v>3392</v>
      </c>
    </row>
    <row r="2535" ht="12.75" customHeight="1">
      <c r="A2535" s="3"/>
      <c r="B2535" s="3" t="str">
        <f t="shared" si="1"/>
        <v/>
      </c>
      <c r="C2535" s="2" t="s">
        <v>2801</v>
      </c>
    </row>
    <row r="2536" ht="12.75" customHeight="1">
      <c r="A2536" s="3" t="s">
        <v>2539</v>
      </c>
      <c r="B2536" s="3" t="str">
        <f t="shared" si="1"/>
        <v>NEW ROUTE</v>
      </c>
      <c r="C2536" s="2" t="s">
        <v>2539</v>
      </c>
    </row>
    <row r="2537" ht="12.75" customHeight="1">
      <c r="A2537" s="3" t="s">
        <v>3393</v>
      </c>
      <c r="B2537" s="3" t="str">
        <f t="shared" si="1"/>
        <v>3, 26, 0,</v>
      </c>
      <c r="C2537" s="2" t="s">
        <v>3393</v>
      </c>
    </row>
    <row r="2538" ht="12.75" customHeight="1">
      <c r="A2538" s="3" t="s">
        <v>2909</v>
      </c>
      <c r="B2538" s="3" t="str">
        <f t="shared" si="1"/>
        <v>20%</v>
      </c>
      <c r="C2538" s="2" t="s">
        <v>2799</v>
      </c>
    </row>
    <row r="2539" ht="12.75" customHeight="1">
      <c r="A2539" s="3" t="s">
        <v>1013</v>
      </c>
      <c r="B2539" s="3" t="str">
        <f t="shared" si="1"/>
        <v>23, 25, PONYTA</v>
      </c>
      <c r="C2539" s="2" t="s">
        <v>1013</v>
      </c>
    </row>
    <row r="2540" ht="12.75" customHeight="1">
      <c r="A2540" s="3" t="s">
        <v>3394</v>
      </c>
      <c r="B2540" s="3" t="str">
        <f t="shared" si="1"/>
        <v>23, 25, EKANS</v>
      </c>
      <c r="C2540" s="2" t="s">
        <v>3394</v>
      </c>
    </row>
    <row r="2541" ht="12.75" customHeight="1">
      <c r="A2541" s="3"/>
      <c r="B2541" s="3" t="str">
        <f t="shared" si="1"/>
        <v/>
      </c>
      <c r="C2541" s="2" t="s">
        <v>2801</v>
      </c>
    </row>
    <row r="2542" ht="12.75" customHeight="1">
      <c r="A2542" s="3" t="s">
        <v>2802</v>
      </c>
      <c r="B2542" s="3" t="str">
        <f t="shared" si="1"/>
        <v>0.1</v>
      </c>
      <c r="C2542" s="2" t="s">
        <v>2802</v>
      </c>
    </row>
    <row r="2543" ht="12.75" customHeight="1">
      <c r="A2543" s="3" t="s">
        <v>3395</v>
      </c>
      <c r="B2543" s="3" t="str">
        <f t="shared" si="1"/>
        <v>24, 26, SANDSHREW</v>
      </c>
      <c r="C2543" s="2" t="s">
        <v>3395</v>
      </c>
    </row>
    <row r="2544" ht="12.75" customHeight="1">
      <c r="A2544" s="3" t="s">
        <v>3396</v>
      </c>
      <c r="B2544" s="3" t="str">
        <f t="shared" si="1"/>
        <v>24, 26, MEOWTH</v>
      </c>
      <c r="C2544" s="2" t="s">
        <v>3396</v>
      </c>
    </row>
    <row r="2545" ht="12.75" customHeight="1">
      <c r="A2545" s="3" t="s">
        <v>3397</v>
      </c>
      <c r="B2545" s="3" t="str">
        <f t="shared" si="1"/>
        <v>24, 26, VENONAT</v>
      </c>
      <c r="C2545" s="2" t="s">
        <v>3397</v>
      </c>
    </row>
    <row r="2546" ht="12.75" customHeight="1">
      <c r="A2546" s="3" t="s">
        <v>3398</v>
      </c>
      <c r="B2546" s="3" t="str">
        <f t="shared" si="1"/>
        <v>24, 26, GROWLITHE</v>
      </c>
      <c r="C2546" s="2" t="s">
        <v>3398</v>
      </c>
    </row>
    <row r="2547" ht="12.75" customHeight="1">
      <c r="A2547" s="3"/>
      <c r="B2547" s="3" t="str">
        <f t="shared" si="1"/>
        <v/>
      </c>
      <c r="C2547" s="2" t="s">
        <v>2801</v>
      </c>
    </row>
    <row r="2548" ht="12.75" customHeight="1">
      <c r="A2548" s="3" t="s">
        <v>2807</v>
      </c>
      <c r="B2548" s="3" t="str">
        <f t="shared" si="1"/>
        <v>0.05</v>
      </c>
      <c r="C2548" s="2" t="s">
        <v>2807</v>
      </c>
    </row>
    <row r="2549" ht="12.75" customHeight="1">
      <c r="A2549" s="3" t="s">
        <v>3399</v>
      </c>
      <c r="B2549" s="3" t="str">
        <f t="shared" si="1"/>
        <v>23, 27, ARBOK</v>
      </c>
      <c r="C2549" s="2" t="s">
        <v>3399</v>
      </c>
    </row>
    <row r="2550" ht="12.75" customHeight="1">
      <c r="A2550" s="3" t="s">
        <v>3400</v>
      </c>
      <c r="B2550" s="3" t="str">
        <f t="shared" si="1"/>
        <v>23, 27, LICKITUNG</v>
      </c>
      <c r="C2550" s="2" t="s">
        <v>3400</v>
      </c>
    </row>
    <row r="2551" ht="12.75" customHeight="1">
      <c r="A2551" s="3"/>
      <c r="B2551" s="3" t="str">
        <f t="shared" si="1"/>
        <v/>
      </c>
      <c r="C2551" s="2" t="s">
        <v>2801</v>
      </c>
    </row>
    <row r="2552" ht="12.75" customHeight="1">
      <c r="A2552" s="3" t="s">
        <v>2810</v>
      </c>
      <c r="B2552" s="3" t="str">
        <f t="shared" si="1"/>
        <v>0.04</v>
      </c>
      <c r="C2552" s="2" t="s">
        <v>2810</v>
      </c>
    </row>
    <row r="2553" ht="12.75" customHeight="1">
      <c r="A2553" s="3" t="s">
        <v>3401</v>
      </c>
      <c r="B2553" s="3" t="str">
        <f t="shared" si="1"/>
        <v>25, 25, PERSIAN</v>
      </c>
      <c r="C2553" s="2" t="s">
        <v>3401</v>
      </c>
    </row>
    <row r="2554" ht="12.75" customHeight="1">
      <c r="A2554" s="3" t="s">
        <v>3402</v>
      </c>
      <c r="B2554" s="3" t="str">
        <f t="shared" si="1"/>
        <v>20, 25, EEVEE</v>
      </c>
      <c r="C2554" s="2" t="s">
        <v>3402</v>
      </c>
    </row>
    <row r="2555" ht="12.75" customHeight="1">
      <c r="A2555" s="3"/>
      <c r="B2555" s="3" t="str">
        <f t="shared" si="1"/>
        <v/>
      </c>
      <c r="C2555" s="2" t="s">
        <v>2801</v>
      </c>
    </row>
    <row r="2556" ht="12.75" customHeight="1">
      <c r="A2556" s="3" t="s">
        <v>2813</v>
      </c>
      <c r="B2556" s="3" t="str">
        <f t="shared" si="1"/>
        <v>0.01</v>
      </c>
      <c r="C2556" s="2" t="s">
        <v>2813</v>
      </c>
    </row>
    <row r="2557" ht="12.75" customHeight="1">
      <c r="A2557" s="3" t="s">
        <v>3403</v>
      </c>
      <c r="B2557" s="3" t="str">
        <f t="shared" si="1"/>
        <v>23, 27, SANDSLASH</v>
      </c>
      <c r="C2557" s="2" t="s">
        <v>3403</v>
      </c>
    </row>
    <row r="2558" ht="12.75" customHeight="1">
      <c r="A2558" s="3" t="s">
        <v>3404</v>
      </c>
      <c r="B2558" s="3" t="str">
        <f t="shared" si="1"/>
        <v>23, 27, VENOMOTH , &lt;null&gt;, &lt;null&gt;, &lt;null&gt;</v>
      </c>
      <c r="C2558" s="2" t="s">
        <v>3404</v>
      </c>
    </row>
    <row r="2559" ht="12.75" customHeight="1">
      <c r="A2559" s="3"/>
      <c r="B2559" s="3" t="str">
        <f t="shared" si="1"/>
        <v/>
      </c>
      <c r="C2559" s="2" t="s">
        <v>2801</v>
      </c>
    </row>
    <row r="2560" ht="12.75" customHeight="1">
      <c r="A2560" s="3" t="s">
        <v>2539</v>
      </c>
      <c r="B2560" s="3" t="str">
        <f t="shared" si="1"/>
        <v>NEW ROUTE</v>
      </c>
      <c r="C2560" s="2" t="s">
        <v>2539</v>
      </c>
    </row>
    <row r="2561" ht="12.75" customHeight="1">
      <c r="A2561" s="3" t="s">
        <v>3405</v>
      </c>
      <c r="B2561" s="3" t="str">
        <f t="shared" si="1"/>
        <v>3, 27, 0,</v>
      </c>
      <c r="C2561" s="2" t="s">
        <v>3405</v>
      </c>
    </row>
    <row r="2562" ht="12.75" customHeight="1">
      <c r="A2562" s="3" t="s">
        <v>2909</v>
      </c>
      <c r="B2562" s="3" t="str">
        <f t="shared" si="1"/>
        <v>20%</v>
      </c>
      <c r="C2562" s="2" t="s">
        <v>2799</v>
      </c>
    </row>
    <row r="2563" ht="12.75" customHeight="1">
      <c r="A2563" s="3" t="s">
        <v>1026</v>
      </c>
      <c r="B2563" s="3" t="str">
        <f t="shared" si="1"/>
        <v>17, 22, NIDORINA</v>
      </c>
      <c r="C2563" s="2" t="s">
        <v>1026</v>
      </c>
    </row>
    <row r="2564" ht="12.75" customHeight="1">
      <c r="A2564" s="3" t="s">
        <v>3406</v>
      </c>
      <c r="B2564" s="3" t="str">
        <f t="shared" si="1"/>
        <v>17, 22, NIDORINO</v>
      </c>
      <c r="C2564" s="2" t="s">
        <v>3406</v>
      </c>
    </row>
    <row r="2565" ht="12.75" customHeight="1">
      <c r="A2565" s="3"/>
      <c r="B2565" s="3" t="str">
        <f t="shared" si="1"/>
        <v/>
      </c>
      <c r="C2565" s="2" t="s">
        <v>2801</v>
      </c>
    </row>
    <row r="2566" ht="12.75" customHeight="1">
      <c r="A2566" s="3" t="s">
        <v>2802</v>
      </c>
      <c r="B2566" s="3" t="str">
        <f t="shared" si="1"/>
        <v>0.1</v>
      </c>
      <c r="C2566" s="2" t="s">
        <v>2802</v>
      </c>
    </row>
    <row r="2567" ht="12.75" customHeight="1">
      <c r="A2567" s="3" t="s">
        <v>3407</v>
      </c>
      <c r="B2567" s="3" t="str">
        <f t="shared" si="1"/>
        <v>16, 19, SPEAROW</v>
      </c>
      <c r="C2567" s="2" t="s">
        <v>3407</v>
      </c>
    </row>
    <row r="2568" ht="12.75" customHeight="1">
      <c r="A2568" s="3" t="s">
        <v>3408</v>
      </c>
      <c r="B2568" s="3" t="str">
        <f t="shared" si="1"/>
        <v>16, 19, CUBONE</v>
      </c>
      <c r="C2568" s="2" t="s">
        <v>3408</v>
      </c>
    </row>
    <row r="2569" ht="12.75" customHeight="1">
      <c r="A2569" s="3" t="s">
        <v>3409</v>
      </c>
      <c r="B2569" s="3" t="str">
        <f t="shared" si="1"/>
        <v>16, 19, MACHOP</v>
      </c>
      <c r="C2569" s="2" t="s">
        <v>3409</v>
      </c>
    </row>
    <row r="2570" ht="12.75" customHeight="1">
      <c r="A2570" s="3" t="s">
        <v>3410</v>
      </c>
      <c r="B2570" s="3" t="str">
        <f t="shared" si="1"/>
        <v>16, 19, SANDSHREW</v>
      </c>
      <c r="C2570" s="2" t="s">
        <v>3410</v>
      </c>
    </row>
    <row r="2571" ht="12.75" customHeight="1">
      <c r="A2571" s="3"/>
      <c r="B2571" s="3" t="str">
        <f t="shared" si="1"/>
        <v/>
      </c>
      <c r="C2571" s="2" t="s">
        <v>2801</v>
      </c>
    </row>
    <row r="2572" ht="12.75" customHeight="1">
      <c r="A2572" s="3" t="s">
        <v>2807</v>
      </c>
      <c r="B2572" s="3" t="str">
        <f t="shared" si="1"/>
        <v>0.05</v>
      </c>
      <c r="C2572" s="2" t="s">
        <v>2807</v>
      </c>
    </row>
    <row r="2573" ht="12.75" customHeight="1">
      <c r="A2573" s="3" t="s">
        <v>3411</v>
      </c>
      <c r="B2573" s="3" t="str">
        <f t="shared" si="1"/>
        <v>17, 18, DODUO</v>
      </c>
      <c r="C2573" s="2" t="s">
        <v>3411</v>
      </c>
    </row>
    <row r="2574" ht="12.75" customHeight="1">
      <c r="A2574" s="3" t="s">
        <v>3412</v>
      </c>
      <c r="B2574" s="3" t="str">
        <f t="shared" si="1"/>
        <v>17, 18, DROWZEE</v>
      </c>
      <c r="C2574" s="2" t="s">
        <v>3412</v>
      </c>
    </row>
    <row r="2575" ht="12.75" customHeight="1">
      <c r="A2575" s="3"/>
      <c r="B2575" s="3" t="str">
        <f t="shared" si="1"/>
        <v/>
      </c>
      <c r="C2575" s="2" t="s">
        <v>2801</v>
      </c>
    </row>
    <row r="2576" ht="12.75" customHeight="1">
      <c r="A2576" s="3" t="s">
        <v>2810</v>
      </c>
      <c r="B2576" s="3" t="str">
        <f t="shared" si="1"/>
        <v>0.04</v>
      </c>
      <c r="C2576" s="2" t="s">
        <v>2810</v>
      </c>
    </row>
    <row r="2577" ht="12.75" customHeight="1">
      <c r="A2577" s="3" t="s">
        <v>3413</v>
      </c>
      <c r="B2577" s="3" t="str">
        <f t="shared" si="1"/>
        <v>16, 25, FEAROW</v>
      </c>
      <c r="C2577" s="2" t="s">
        <v>3413</v>
      </c>
    </row>
    <row r="2578" ht="12.75" customHeight="1">
      <c r="A2578" s="3" t="s">
        <v>3414</v>
      </c>
      <c r="B2578" s="3" t="str">
        <f t="shared" si="1"/>
        <v>22, 22, SANDSLASH</v>
      </c>
      <c r="C2578" s="2" t="s">
        <v>3414</v>
      </c>
    </row>
    <row r="2579" ht="12.75" customHeight="1">
      <c r="A2579" s="3"/>
      <c r="B2579" s="3" t="str">
        <f t="shared" si="1"/>
        <v/>
      </c>
      <c r="C2579" s="2" t="s">
        <v>2801</v>
      </c>
    </row>
    <row r="2580" ht="12.75" customHeight="1">
      <c r="A2580" s="3" t="s">
        <v>2813</v>
      </c>
      <c r="B2580" s="3" t="str">
        <f t="shared" si="1"/>
        <v>0.01</v>
      </c>
      <c r="C2580" s="2" t="s">
        <v>2813</v>
      </c>
    </row>
    <row r="2581" ht="12.75" customHeight="1">
      <c r="A2581" s="3" t="s">
        <v>3415</v>
      </c>
      <c r="B2581" s="3" t="str">
        <f t="shared" si="1"/>
        <v>14, 17, KANGAKID</v>
      </c>
      <c r="C2581" s="2" t="s">
        <v>3415</v>
      </c>
    </row>
    <row r="2582" ht="12.75" customHeight="1">
      <c r="A2582" s="3" t="s">
        <v>3416</v>
      </c>
      <c r="B2582" s="3" t="str">
        <f t="shared" si="1"/>
        <v>18, 18, KANGAKID , &lt;null&gt;, &lt;null&gt;, &lt;null&gt;</v>
      </c>
      <c r="C2582" s="2" t="s">
        <v>3416</v>
      </c>
    </row>
    <row r="2583" ht="12.75" customHeight="1">
      <c r="A2583" s="3"/>
      <c r="B2583" s="3" t="str">
        <f t="shared" si="1"/>
        <v/>
      </c>
      <c r="C2583" s="2" t="s">
        <v>2801</v>
      </c>
    </row>
    <row r="2584" ht="12.75" customHeight="1">
      <c r="A2584" s="3" t="s">
        <v>2539</v>
      </c>
      <c r="B2584" s="3" t="str">
        <f t="shared" si="1"/>
        <v>NEW ROUTE</v>
      </c>
      <c r="C2584" s="2" t="s">
        <v>2539</v>
      </c>
    </row>
    <row r="2585" ht="12.75" customHeight="1">
      <c r="A2585" s="3" t="s">
        <v>3417</v>
      </c>
      <c r="B2585" s="3" t="str">
        <f t="shared" si="1"/>
        <v>3, 28, 0,</v>
      </c>
      <c r="C2585" s="2" t="s">
        <v>3417</v>
      </c>
    </row>
    <row r="2586" ht="12.75" customHeight="1">
      <c r="A2586" s="3" t="s">
        <v>2909</v>
      </c>
      <c r="B2586" s="3" t="str">
        <f t="shared" si="1"/>
        <v>20%</v>
      </c>
      <c r="C2586" s="2" t="s">
        <v>2799</v>
      </c>
    </row>
    <row r="2587" ht="12.75" customHeight="1">
      <c r="A2587" s="3" t="s">
        <v>1039</v>
      </c>
      <c r="B2587" s="3" t="str">
        <f t="shared" si="1"/>
        <v>19, 23, NIDORINA</v>
      </c>
      <c r="C2587" s="2" t="s">
        <v>1039</v>
      </c>
    </row>
    <row r="2588" ht="12.75" customHeight="1">
      <c r="A2588" s="3" t="s">
        <v>3418</v>
      </c>
      <c r="B2588" s="3" t="str">
        <f t="shared" si="1"/>
        <v>19, 23, NIDORINO</v>
      </c>
      <c r="C2588" s="2" t="s">
        <v>3418</v>
      </c>
    </row>
    <row r="2589" ht="12.75" customHeight="1">
      <c r="A2589" s="3"/>
      <c r="B2589" s="3" t="str">
        <f t="shared" si="1"/>
        <v/>
      </c>
      <c r="C2589" s="2" t="s">
        <v>2801</v>
      </c>
    </row>
    <row r="2590" ht="12.75" customHeight="1">
      <c r="A2590" s="3" t="s">
        <v>2802</v>
      </c>
      <c r="B2590" s="3" t="str">
        <f t="shared" si="1"/>
        <v>0.1</v>
      </c>
      <c r="C2590" s="2" t="s">
        <v>2802</v>
      </c>
    </row>
    <row r="2591" ht="12.75" customHeight="1">
      <c r="A2591" s="3" t="s">
        <v>3419</v>
      </c>
      <c r="B2591" s="3" t="str">
        <f t="shared" si="1"/>
        <v>18, 20, SPEAROW</v>
      </c>
      <c r="C2591" s="2" t="s">
        <v>3419</v>
      </c>
    </row>
    <row r="2592" ht="12.75" customHeight="1">
      <c r="A2592" s="3" t="s">
        <v>3420</v>
      </c>
      <c r="B2592" s="3" t="str">
        <f t="shared" si="1"/>
        <v>18, 20, CUBONE</v>
      </c>
      <c r="C2592" s="2" t="s">
        <v>3420</v>
      </c>
    </row>
    <row r="2593" ht="12.75" customHeight="1">
      <c r="A2593" s="3" t="s">
        <v>3421</v>
      </c>
      <c r="B2593" s="3" t="str">
        <f t="shared" si="1"/>
        <v>18, 20, MAGNEMITE</v>
      </c>
      <c r="C2593" s="2" t="s">
        <v>3421</v>
      </c>
    </row>
    <row r="2594" ht="12.75" customHeight="1">
      <c r="A2594" s="3" t="s">
        <v>3422</v>
      </c>
      <c r="B2594" s="3" t="str">
        <f t="shared" si="1"/>
        <v>18, 20, POLIWAG</v>
      </c>
      <c r="C2594" s="2" t="s">
        <v>3422</v>
      </c>
    </row>
    <row r="2595" ht="12.75" customHeight="1">
      <c r="A2595" s="3"/>
      <c r="B2595" s="3" t="str">
        <f t="shared" si="1"/>
        <v/>
      </c>
      <c r="C2595" s="2" t="s">
        <v>2801</v>
      </c>
    </row>
    <row r="2596" ht="12.75" customHeight="1">
      <c r="A2596" s="3" t="s">
        <v>2807</v>
      </c>
      <c r="B2596" s="3" t="str">
        <f t="shared" si="1"/>
        <v>0.05</v>
      </c>
      <c r="C2596" s="2" t="s">
        <v>2807</v>
      </c>
    </row>
    <row r="2597" ht="12.75" customHeight="1">
      <c r="A2597" s="3" t="s">
        <v>3423</v>
      </c>
      <c r="B2597" s="3" t="str">
        <f t="shared" si="1"/>
        <v>19, 19, DODUO</v>
      </c>
      <c r="C2597" s="2" t="s">
        <v>3423</v>
      </c>
    </row>
    <row r="2598" ht="12.75" customHeight="1">
      <c r="A2598" s="3" t="s">
        <v>3424</v>
      </c>
      <c r="B2598" s="3" t="str">
        <f t="shared" si="1"/>
        <v>19, 19, VOLTORB</v>
      </c>
      <c r="C2598" s="2" t="s">
        <v>3424</v>
      </c>
    </row>
    <row r="2599" ht="12.75" customHeight="1">
      <c r="A2599" s="3"/>
      <c r="B2599" s="3" t="str">
        <f t="shared" si="1"/>
        <v/>
      </c>
      <c r="C2599" s="2" t="s">
        <v>2801</v>
      </c>
    </row>
    <row r="2600" ht="12.75" customHeight="1">
      <c r="A2600" s="3" t="s">
        <v>2810</v>
      </c>
      <c r="B2600" s="3" t="str">
        <f t="shared" si="1"/>
        <v>0.04</v>
      </c>
      <c r="C2600" s="2" t="s">
        <v>2810</v>
      </c>
    </row>
    <row r="2601" ht="12.75" customHeight="1">
      <c r="A2601" s="3" t="s">
        <v>3425</v>
      </c>
      <c r="B2601" s="3" t="str">
        <f t="shared" si="1"/>
        <v>20, 25, FEAROW</v>
      </c>
      <c r="C2601" s="2" t="s">
        <v>3425</v>
      </c>
    </row>
    <row r="2602" ht="12.75" customHeight="1">
      <c r="A2602" s="3" t="s">
        <v>3426</v>
      </c>
      <c r="B2602" s="3" t="str">
        <f t="shared" si="1"/>
        <v>22, 22, POLIWHIRL</v>
      </c>
      <c r="C2602" s="2" t="s">
        <v>3426</v>
      </c>
    </row>
    <row r="2603" ht="12.75" customHeight="1">
      <c r="A2603" s="3"/>
      <c r="B2603" s="3" t="str">
        <f t="shared" si="1"/>
        <v/>
      </c>
      <c r="C2603" s="2" t="s">
        <v>2801</v>
      </c>
    </row>
    <row r="2604" ht="12.75" customHeight="1">
      <c r="A2604" s="3" t="s">
        <v>2813</v>
      </c>
      <c r="B2604" s="3" t="str">
        <f t="shared" si="1"/>
        <v>0.01</v>
      </c>
      <c r="C2604" s="2" t="s">
        <v>2813</v>
      </c>
    </row>
    <row r="2605" ht="12.75" customHeight="1">
      <c r="A2605" s="3" t="s">
        <v>3427</v>
      </c>
      <c r="B2605" s="3" t="str">
        <f t="shared" si="1"/>
        <v>19, 21, TANGELA</v>
      </c>
      <c r="C2605" s="2" t="s">
        <v>3427</v>
      </c>
    </row>
    <row r="2606" ht="12.75" customHeight="1">
      <c r="A2606" s="3" t="s">
        <v>3428</v>
      </c>
      <c r="B2606" s="3" t="str">
        <f t="shared" si="1"/>
        <v>19, 21, PONYTA</v>
      </c>
      <c r="C2606" s="2" t="s">
        <v>3428</v>
      </c>
    </row>
    <row r="2607" ht="12.75" customHeight="1">
      <c r="A2607" s="3" t="s">
        <v>3350</v>
      </c>
      <c r="B2607" s="3" t="str">
        <f t="shared" si="1"/>
        <v>2, 38, 42, TENTACOOL</v>
      </c>
      <c r="C2607" s="2" t="s">
        <v>3350</v>
      </c>
    </row>
    <row r="2608" ht="12.75" customHeight="1">
      <c r="A2608" s="3" t="s">
        <v>3429</v>
      </c>
      <c r="B2608" s="3" t="str">
        <f t="shared" si="1"/>
        <v>40, 44, TENTACRUEL</v>
      </c>
      <c r="C2608" s="2" t="s">
        <v>3429</v>
      </c>
    </row>
    <row r="2609" ht="12.75" customHeight="1">
      <c r="A2609" s="3" t="s">
        <v>3025</v>
      </c>
      <c r="B2609" s="3" t="str">
        <f t="shared" si="1"/>
        <v>42, 46, LAPRAS</v>
      </c>
      <c r="C2609" s="2" t="s">
        <v>3025</v>
      </c>
    </row>
    <row r="2610" ht="12.75" customHeight="1">
      <c r="A2610" s="3" t="s">
        <v>3430</v>
      </c>
      <c r="B2610" s="3" t="str">
        <f t="shared" si="1"/>
        <v>42, 46, TENTACATE</v>
      </c>
      <c r="C2610" s="2" t="s">
        <v>3430</v>
      </c>
    </row>
    <row r="2611" ht="12.75" customHeight="1">
      <c r="A2611" s="3" t="s">
        <v>2925</v>
      </c>
      <c r="B2611" s="3" t="str">
        <f t="shared" si="1"/>
        <v>44, 48, VAPOREON</v>
      </c>
      <c r="C2611" s="2" t="s">
        <v>2925</v>
      </c>
    </row>
    <row r="2612" ht="12.75" customHeight="1">
      <c r="A2612" s="3" t="s">
        <v>2926</v>
      </c>
      <c r="B2612" s="3" t="str">
        <f t="shared" si="1"/>
        <v>20, old rod:</v>
      </c>
      <c r="C2612" s="2" t="s">
        <v>2926</v>
      </c>
    </row>
    <row r="2613" ht="12.75" customHeight="1">
      <c r="A2613" s="3" t="s">
        <v>602</v>
      </c>
      <c r="B2613" s="3" t="str">
        <f t="shared" si="1"/>
        <v>19, 26, HORSEA</v>
      </c>
      <c r="C2613" s="2" t="s">
        <v>602</v>
      </c>
    </row>
    <row r="2614" ht="12.75" customHeight="1">
      <c r="A2614" s="3" t="s">
        <v>1159</v>
      </c>
      <c r="B2614" s="3" t="str">
        <f t="shared" si="1"/>
        <v>19, 26, PSYDUCK</v>
      </c>
      <c r="C2614" s="2" t="s">
        <v>1159</v>
      </c>
    </row>
    <row r="2615" ht="12.75" customHeight="1">
      <c r="A2615" s="3"/>
      <c r="B2615" s="3" t="str">
        <f t="shared" si="1"/>
        <v/>
      </c>
      <c r="C2615" s="2" t="s">
        <v>2801</v>
      </c>
    </row>
    <row r="2616" ht="12.75" customHeight="1">
      <c r="A2616" s="3" t="s">
        <v>2847</v>
      </c>
      <c r="B2616" s="3" t="str">
        <f t="shared" si="1"/>
        <v>good rod:</v>
      </c>
      <c r="C2616" s="2" t="s">
        <v>2847</v>
      </c>
    </row>
    <row r="2617" ht="12.75" customHeight="1">
      <c r="A2617" s="3" t="s">
        <v>3431</v>
      </c>
      <c r="B2617" s="3" t="str">
        <f t="shared" si="1"/>
        <v>29, 33, HORSEA</v>
      </c>
      <c r="C2617" s="2" t="s">
        <v>3431</v>
      </c>
    </row>
    <row r="2618" ht="12.75" customHeight="1">
      <c r="A2618" s="3" t="s">
        <v>3432</v>
      </c>
      <c r="B2618" s="3" t="str">
        <f t="shared" si="1"/>
        <v>30, 35, SLOWPOKE</v>
      </c>
      <c r="C2618" s="2" t="s">
        <v>3432</v>
      </c>
    </row>
    <row r="2619" ht="12.75" customHeight="1">
      <c r="A2619" s="3" t="s">
        <v>3355</v>
      </c>
      <c r="B2619" s="3" t="str">
        <f t="shared" si="1"/>
        <v>30, 35, PSYDUCK</v>
      </c>
      <c r="C2619" s="2" t="s">
        <v>3355</v>
      </c>
    </row>
    <row r="2620" ht="12.75" customHeight="1">
      <c r="A2620" s="3"/>
      <c r="B2620" s="3" t="str">
        <f t="shared" si="1"/>
        <v/>
      </c>
      <c r="C2620" s="2" t="s">
        <v>2801</v>
      </c>
    </row>
    <row r="2621" ht="12.75" customHeight="1">
      <c r="A2621" s="3" t="s">
        <v>2851</v>
      </c>
      <c r="B2621" s="3" t="str">
        <f t="shared" si="1"/>
        <v>super rod:</v>
      </c>
      <c r="C2621" s="2" t="s">
        <v>2851</v>
      </c>
    </row>
    <row r="2622" ht="12.75" customHeight="1">
      <c r="A2622" s="3" t="s">
        <v>3433</v>
      </c>
      <c r="B2622" s="3" t="str">
        <f t="shared" si="1"/>
        <v>36, 40, SEADRA</v>
      </c>
      <c r="C2622" s="2" t="s">
        <v>3433</v>
      </c>
    </row>
    <row r="2623" ht="12.75" customHeight="1">
      <c r="A2623" s="3" t="s">
        <v>3434</v>
      </c>
      <c r="B2623" s="3" t="str">
        <f t="shared" si="1"/>
        <v>36, 40, GOLDUCK</v>
      </c>
      <c r="C2623" s="2" t="s">
        <v>3434</v>
      </c>
    </row>
    <row r="2624" ht="12.75" customHeight="1">
      <c r="A2624" s="3" t="s">
        <v>3435</v>
      </c>
      <c r="B2624" s="3" t="str">
        <f t="shared" si="1"/>
        <v>38, 42, SLOWBRO</v>
      </c>
      <c r="C2624" s="2" t="s">
        <v>3435</v>
      </c>
    </row>
    <row r="2625" ht="12.75" customHeight="1">
      <c r="A2625" s="3" t="s">
        <v>3436</v>
      </c>
      <c r="B2625" s="3" t="str">
        <f t="shared" si="1"/>
        <v>38, 42, KINGDRA</v>
      </c>
      <c r="C2625" s="2" t="s">
        <v>3436</v>
      </c>
    </row>
    <row r="2626" ht="12.75" customHeight="1">
      <c r="A2626" s="3" t="s">
        <v>3437</v>
      </c>
      <c r="B2626" s="3" t="str">
        <f t="shared" si="1"/>
        <v>40, 44, GILDUCK</v>
      </c>
      <c r="C2626" s="2" t="s">
        <v>3437</v>
      </c>
    </row>
    <row r="2627" ht="12.75" customHeight="1">
      <c r="A2627" s="3" t="s">
        <v>2539</v>
      </c>
      <c r="B2627" s="3" t="str">
        <f t="shared" si="1"/>
        <v>NEW ROUTE</v>
      </c>
      <c r="C2627" s="2" t="s">
        <v>2539</v>
      </c>
    </row>
    <row r="2628" ht="12.75" customHeight="1">
      <c r="A2628" s="3" t="s">
        <v>3438</v>
      </c>
      <c r="B2628" s="3" t="str">
        <f t="shared" si="1"/>
        <v>3, 29, 0,</v>
      </c>
      <c r="C2628" s="2" t="s">
        <v>3438</v>
      </c>
    </row>
    <row r="2629" ht="12.75" customHeight="1">
      <c r="A2629" s="3" t="s">
        <v>2909</v>
      </c>
      <c r="B2629" s="3" t="str">
        <f t="shared" si="1"/>
        <v>20%</v>
      </c>
      <c r="C2629" s="2" t="s">
        <v>2799</v>
      </c>
    </row>
    <row r="2630" ht="12.75" customHeight="1">
      <c r="A2630" s="3" t="s">
        <v>1062</v>
      </c>
      <c r="B2630" s="3" t="str">
        <f t="shared" si="1"/>
        <v>16, 18, EKANS</v>
      </c>
      <c r="C2630" s="2" t="s">
        <v>1062</v>
      </c>
    </row>
    <row r="2631" ht="12.75" customHeight="1">
      <c r="A2631" s="3" t="s">
        <v>3439</v>
      </c>
      <c r="B2631" s="3" t="str">
        <f t="shared" si="1"/>
        <v>16, 18, SPEAROW</v>
      </c>
      <c r="C2631" s="2" t="s">
        <v>3439</v>
      </c>
    </row>
    <row r="2632" ht="12.75" customHeight="1">
      <c r="A2632" s="3"/>
      <c r="B2632" s="3" t="str">
        <f t="shared" si="1"/>
        <v/>
      </c>
      <c r="C2632" s="2" t="s">
        <v>2801</v>
      </c>
    </row>
    <row r="2633" ht="12.75" customHeight="1">
      <c r="A2633" s="3" t="s">
        <v>2802</v>
      </c>
      <c r="B2633" s="3" t="str">
        <f t="shared" si="1"/>
        <v>0.1</v>
      </c>
      <c r="C2633" s="2" t="s">
        <v>2802</v>
      </c>
    </row>
    <row r="2634" ht="12.75" customHeight="1">
      <c r="A2634" s="3" t="s">
        <v>3440</v>
      </c>
      <c r="B2634" s="3" t="str">
        <f t="shared" si="1"/>
        <v>17, 20, SANDSHREW</v>
      </c>
      <c r="C2634" s="2" t="s">
        <v>3440</v>
      </c>
    </row>
    <row r="2635" ht="12.75" customHeight="1">
      <c r="A2635" s="3" t="s">
        <v>3441</v>
      </c>
      <c r="B2635" s="3" t="str">
        <f t="shared" si="1"/>
        <v>17, 20, DROWZEE</v>
      </c>
      <c r="C2635" s="2" t="s">
        <v>3441</v>
      </c>
    </row>
    <row r="2636" ht="12.75" customHeight="1">
      <c r="A2636" s="3" t="s">
        <v>3442</v>
      </c>
      <c r="B2636" s="3" t="str">
        <f t="shared" si="1"/>
        <v>17, 20, MAGNEMITE</v>
      </c>
      <c r="C2636" s="2" t="s">
        <v>3442</v>
      </c>
    </row>
    <row r="2637" ht="12.75" customHeight="1">
      <c r="A2637" s="3" t="s">
        <v>3443</v>
      </c>
      <c r="B2637" s="3" t="str">
        <f t="shared" si="1"/>
        <v>17, 20, VOLTORB</v>
      </c>
      <c r="C2637" s="2" t="s">
        <v>3443</v>
      </c>
    </row>
    <row r="2638" ht="12.75" customHeight="1">
      <c r="A2638" s="3"/>
      <c r="B2638" s="3" t="str">
        <f t="shared" si="1"/>
        <v/>
      </c>
      <c r="C2638" s="2" t="s">
        <v>2801</v>
      </c>
    </row>
    <row r="2639" ht="12.75" customHeight="1">
      <c r="A2639" s="3" t="s">
        <v>2807</v>
      </c>
      <c r="B2639" s="3" t="str">
        <f t="shared" si="1"/>
        <v>0.05</v>
      </c>
      <c r="C2639" s="2" t="s">
        <v>2807</v>
      </c>
    </row>
    <row r="2640" ht="12.75" customHeight="1">
      <c r="A2640" s="3" t="s">
        <v>3444</v>
      </c>
      <c r="B2640" s="3" t="str">
        <f t="shared" si="1"/>
        <v>18, 18, FARFETCH'D</v>
      </c>
      <c r="C2640" s="2" t="s">
        <v>3444</v>
      </c>
    </row>
    <row r="2641" ht="12.75" customHeight="1">
      <c r="A2641" s="3" t="s">
        <v>3445</v>
      </c>
      <c r="B2641" s="3" t="str">
        <f t="shared" si="1"/>
        <v>18, 18, ABRA</v>
      </c>
      <c r="C2641" s="2" t="s">
        <v>3445</v>
      </c>
    </row>
    <row r="2642" ht="12.75" customHeight="1">
      <c r="A2642" s="3"/>
      <c r="B2642" s="3" t="str">
        <f t="shared" si="1"/>
        <v/>
      </c>
      <c r="C2642" s="2" t="s">
        <v>2801</v>
      </c>
    </row>
    <row r="2643" ht="12.75" customHeight="1">
      <c r="A2643" s="3" t="s">
        <v>2810</v>
      </c>
      <c r="B2643" s="3" t="str">
        <f t="shared" si="1"/>
        <v>0.04</v>
      </c>
      <c r="C2643" s="2" t="s">
        <v>2810</v>
      </c>
    </row>
    <row r="2644" ht="12.75" customHeight="1">
      <c r="A2644" s="3" t="s">
        <v>3446</v>
      </c>
      <c r="B2644" s="3" t="str">
        <f t="shared" si="1"/>
        <v>15, 19, PIKACHU</v>
      </c>
      <c r="C2644" s="2" t="s">
        <v>3446</v>
      </c>
    </row>
    <row r="2645" ht="12.75" customHeight="1">
      <c r="A2645" s="3" t="s">
        <v>3447</v>
      </c>
      <c r="B2645" s="3" t="str">
        <f t="shared" si="1"/>
        <v>15, 19, KADABRA</v>
      </c>
      <c r="C2645" s="2" t="s">
        <v>3447</v>
      </c>
    </row>
    <row r="2646" ht="12.75" customHeight="1">
      <c r="A2646" s="3"/>
      <c r="B2646" s="3" t="str">
        <f t="shared" si="1"/>
        <v/>
      </c>
      <c r="C2646" s="2" t="s">
        <v>2801</v>
      </c>
    </row>
    <row r="2647" ht="12.75" customHeight="1">
      <c r="A2647" s="3" t="s">
        <v>2813</v>
      </c>
      <c r="B2647" s="3" t="str">
        <f t="shared" si="1"/>
        <v>0.01</v>
      </c>
      <c r="C2647" s="2" t="s">
        <v>2813</v>
      </c>
    </row>
    <row r="2648" ht="12.75" customHeight="1">
      <c r="A2648" s="3" t="s">
        <v>3448</v>
      </c>
      <c r="B2648" s="3" t="str">
        <f t="shared" si="1"/>
        <v>22, 22, ARBOK</v>
      </c>
      <c r="C2648" s="2" t="s">
        <v>3448</v>
      </c>
    </row>
    <row r="2649" ht="12.75" customHeight="1">
      <c r="A2649" s="3" t="s">
        <v>3449</v>
      </c>
      <c r="B2649" s="3" t="str">
        <f t="shared" si="1"/>
        <v>22, 22, LICKITUNG</v>
      </c>
      <c r="C2649" s="2" t="s">
        <v>3449</v>
      </c>
    </row>
    <row r="2650" ht="12.75" customHeight="1">
      <c r="A2650" s="3" t="s">
        <v>3350</v>
      </c>
      <c r="B2650" s="3" t="str">
        <f t="shared" si="1"/>
        <v>2, 38, 42, TENTACOOL</v>
      </c>
      <c r="C2650" s="2" t="s">
        <v>3350</v>
      </c>
    </row>
    <row r="2651" ht="12.75" customHeight="1">
      <c r="A2651" s="3" t="s">
        <v>3429</v>
      </c>
      <c r="B2651" s="3" t="str">
        <f t="shared" si="1"/>
        <v>40, 44, TENTACRUEL</v>
      </c>
      <c r="C2651" s="2" t="s">
        <v>3429</v>
      </c>
    </row>
    <row r="2652" ht="12.75" customHeight="1">
      <c r="A2652" s="3" t="s">
        <v>3025</v>
      </c>
      <c r="B2652" s="3" t="str">
        <f t="shared" si="1"/>
        <v>42, 46, LAPRAS</v>
      </c>
      <c r="C2652" s="2" t="s">
        <v>3025</v>
      </c>
    </row>
    <row r="2653" ht="12.75" customHeight="1">
      <c r="A2653" s="3" t="s">
        <v>3430</v>
      </c>
      <c r="B2653" s="3" t="str">
        <f t="shared" si="1"/>
        <v>42, 46, TENTACATE</v>
      </c>
      <c r="C2653" s="2" t="s">
        <v>3430</v>
      </c>
    </row>
    <row r="2654" ht="12.75" customHeight="1">
      <c r="A2654" s="3" t="s">
        <v>3450</v>
      </c>
      <c r="B2654" s="3" t="str">
        <f t="shared" si="1"/>
        <v>44, 48, LOCHLASS</v>
      </c>
      <c r="C2654" s="2" t="s">
        <v>3450</v>
      </c>
    </row>
    <row r="2655" ht="12.75" customHeight="1">
      <c r="A2655" s="3" t="s">
        <v>2926</v>
      </c>
      <c r="B2655" s="3" t="str">
        <f t="shared" si="1"/>
        <v>20, old rod:</v>
      </c>
      <c r="C2655" s="2" t="s">
        <v>2926</v>
      </c>
    </row>
    <row r="2656" ht="12.75" customHeight="1">
      <c r="A2656" s="3" t="s">
        <v>500</v>
      </c>
      <c r="B2656" s="3" t="str">
        <f t="shared" si="1"/>
        <v>19, 26, MAGIKARP</v>
      </c>
      <c r="C2656" s="2" t="s">
        <v>500</v>
      </c>
    </row>
    <row r="2657" ht="12.75" customHeight="1">
      <c r="A2657" s="3" t="s">
        <v>3353</v>
      </c>
      <c r="B2657" s="3" t="str">
        <f t="shared" si="1"/>
        <v>19, 26, GYARADOS</v>
      </c>
      <c r="C2657" s="2" t="s">
        <v>3353</v>
      </c>
    </row>
    <row r="2658" ht="12.75" customHeight="1">
      <c r="A2658" s="3"/>
      <c r="B2658" s="3" t="str">
        <f t="shared" si="1"/>
        <v/>
      </c>
      <c r="C2658" s="2" t="s">
        <v>2801</v>
      </c>
    </row>
    <row r="2659" ht="12.75" customHeight="1">
      <c r="A2659" s="3" t="s">
        <v>2847</v>
      </c>
      <c r="B2659" s="3" t="str">
        <f t="shared" si="1"/>
        <v>good rod:</v>
      </c>
      <c r="C2659" s="2" t="s">
        <v>2847</v>
      </c>
    </row>
    <row r="2660" ht="12.75" customHeight="1">
      <c r="A2660" s="3" t="s">
        <v>3431</v>
      </c>
      <c r="B2660" s="3" t="str">
        <f t="shared" si="1"/>
        <v>29, 33, HORSEA</v>
      </c>
      <c r="C2660" s="2" t="s">
        <v>3431</v>
      </c>
    </row>
    <row r="2661" ht="12.75" customHeight="1">
      <c r="A2661" s="3" t="s">
        <v>3451</v>
      </c>
      <c r="B2661" s="3" t="str">
        <f t="shared" si="1"/>
        <v>30, 35, SHELLDER</v>
      </c>
      <c r="C2661" s="2" t="s">
        <v>3451</v>
      </c>
    </row>
    <row r="2662" ht="12.75" customHeight="1">
      <c r="A2662" s="3" t="s">
        <v>3452</v>
      </c>
      <c r="B2662" s="3" t="str">
        <f t="shared" si="1"/>
        <v>30, 35, STARYU</v>
      </c>
      <c r="C2662" s="2" t="s">
        <v>3452</v>
      </c>
    </row>
    <row r="2663" ht="12.75" customHeight="1">
      <c r="A2663" s="3"/>
      <c r="B2663" s="3" t="str">
        <f t="shared" si="1"/>
        <v/>
      </c>
      <c r="C2663" s="2" t="s">
        <v>2801</v>
      </c>
    </row>
    <row r="2664" ht="12.75" customHeight="1">
      <c r="A2664" s="3" t="s">
        <v>2851</v>
      </c>
      <c r="B2664" s="3" t="str">
        <f t="shared" si="1"/>
        <v>super rod:</v>
      </c>
      <c r="C2664" s="2" t="s">
        <v>2851</v>
      </c>
    </row>
    <row r="2665" ht="12.75" customHeight="1">
      <c r="A2665" s="3" t="s">
        <v>3027</v>
      </c>
      <c r="B2665" s="3" t="str">
        <f t="shared" si="1"/>
        <v>29, 33, SEADRA</v>
      </c>
      <c r="C2665" s="2" t="s">
        <v>3027</v>
      </c>
    </row>
    <row r="2666" ht="12.75" customHeight="1">
      <c r="A2666" s="3" t="s">
        <v>3357</v>
      </c>
      <c r="B2666" s="3" t="str">
        <f t="shared" si="1"/>
        <v>36, 40, GYARADOS</v>
      </c>
      <c r="C2666" s="2" t="s">
        <v>3357</v>
      </c>
    </row>
    <row r="2667" ht="12.75" customHeight="1">
      <c r="A2667" s="3" t="s">
        <v>3453</v>
      </c>
      <c r="B2667" s="3" t="str">
        <f t="shared" si="1"/>
        <v>38, 42, STARMIE</v>
      </c>
      <c r="C2667" s="2" t="s">
        <v>3453</v>
      </c>
    </row>
    <row r="2668" ht="12.75" customHeight="1">
      <c r="A2668" s="3" t="s">
        <v>3454</v>
      </c>
      <c r="B2668" s="3" t="str">
        <f t="shared" si="1"/>
        <v>38, 42, CLOYSTER</v>
      </c>
      <c r="C2668" s="2" t="s">
        <v>3454</v>
      </c>
    </row>
    <row r="2669" ht="12.75" customHeight="1">
      <c r="A2669" s="3" t="s">
        <v>3455</v>
      </c>
      <c r="B2669" s="3" t="str">
        <f t="shared" si="1"/>
        <v>38, 42, STARUS</v>
      </c>
      <c r="C2669" s="2" t="s">
        <v>3455</v>
      </c>
    </row>
    <row r="2670" ht="12.75" customHeight="1">
      <c r="A2670" s="3" t="s">
        <v>2539</v>
      </c>
      <c r="B2670" s="3" t="str">
        <f t="shared" si="1"/>
        <v>NEW ROUTE</v>
      </c>
      <c r="C2670" s="2" t="s">
        <v>2539</v>
      </c>
    </row>
    <row r="2671" ht="12.75" customHeight="1">
      <c r="A2671" s="3" t="s">
        <v>3456</v>
      </c>
      <c r="B2671" s="3" t="str">
        <f t="shared" si="1"/>
        <v>3, 30, 0,</v>
      </c>
      <c r="C2671" s="2" t="s">
        <v>3456</v>
      </c>
    </row>
    <row r="2672" ht="12.75" customHeight="1">
      <c r="A2672" s="3" t="s">
        <v>2909</v>
      </c>
      <c r="B2672" s="3" t="str">
        <f t="shared" si="1"/>
        <v>20%</v>
      </c>
      <c r="C2672" s="2" t="s">
        <v>2799</v>
      </c>
    </row>
    <row r="2673" ht="12.75" customHeight="1">
      <c r="A2673" s="3" t="s">
        <v>1081</v>
      </c>
      <c r="B2673" s="3" t="str">
        <f t="shared" si="1"/>
        <v>29, 34, BELLSPROUT</v>
      </c>
      <c r="C2673" s="2" t="s">
        <v>1081</v>
      </c>
    </row>
    <row r="2674" ht="12.75" customHeight="1">
      <c r="A2674" s="3" t="s">
        <v>3457</v>
      </c>
      <c r="B2674" s="3" t="str">
        <f t="shared" si="1"/>
        <v>29, 34, PIDGEOTTO</v>
      </c>
      <c r="C2674" s="2" t="s">
        <v>3457</v>
      </c>
    </row>
    <row r="2675" ht="12.75" customHeight="1">
      <c r="A2675" s="3"/>
      <c r="B2675" s="3" t="str">
        <f t="shared" si="1"/>
        <v/>
      </c>
      <c r="C2675" s="2" t="s">
        <v>2801</v>
      </c>
    </row>
    <row r="2676" ht="12.75" customHeight="1">
      <c r="A2676" s="3" t="s">
        <v>2802</v>
      </c>
      <c r="B2676" s="3" t="str">
        <f t="shared" si="1"/>
        <v>0.1</v>
      </c>
      <c r="C2676" s="2" t="s">
        <v>2802</v>
      </c>
    </row>
    <row r="2677" ht="12.75" customHeight="1">
      <c r="A2677" s="3" t="s">
        <v>3458</v>
      </c>
      <c r="B2677" s="3" t="str">
        <f t="shared" si="1"/>
        <v>29, 31, WEEPINBELL</v>
      </c>
      <c r="C2677" s="2" t="s">
        <v>3458</v>
      </c>
    </row>
    <row r="2678" ht="12.75" customHeight="1">
      <c r="A2678" s="3" t="s">
        <v>3459</v>
      </c>
      <c r="B2678" s="3" t="str">
        <f t="shared" si="1"/>
        <v>29, 31, DODUO</v>
      </c>
      <c r="C2678" s="2" t="s">
        <v>3459</v>
      </c>
    </row>
    <row r="2679" ht="12.75" customHeight="1">
      <c r="A2679" s="3" t="s">
        <v>3460</v>
      </c>
      <c r="B2679" s="3" t="str">
        <f t="shared" si="1"/>
        <v>31, 31, PIDGEOT</v>
      </c>
      <c r="C2679" s="2" t="s">
        <v>3460</v>
      </c>
    </row>
    <row r="2680" ht="12.75" customHeight="1">
      <c r="A2680" s="3" t="s">
        <v>3461</v>
      </c>
      <c r="B2680" s="3" t="str">
        <f t="shared" si="1"/>
        <v>29, 31, EXEGGCUTE</v>
      </c>
      <c r="C2680" s="2" t="s">
        <v>3461</v>
      </c>
    </row>
    <row r="2681" ht="12.75" customHeight="1">
      <c r="A2681" s="3"/>
      <c r="B2681" s="3" t="str">
        <f t="shared" si="1"/>
        <v/>
      </c>
      <c r="C2681" s="2" t="s">
        <v>2801</v>
      </c>
    </row>
    <row r="2682" ht="12.75" customHeight="1">
      <c r="A2682" s="3" t="s">
        <v>2807</v>
      </c>
      <c r="B2682" s="3" t="str">
        <f t="shared" si="1"/>
        <v>0.05</v>
      </c>
      <c r="C2682" s="2" t="s">
        <v>2807</v>
      </c>
    </row>
    <row r="2683" ht="12.75" customHeight="1">
      <c r="A2683" s="3" t="s">
        <v>3462</v>
      </c>
      <c r="B2683" s="3" t="str">
        <f t="shared" si="1"/>
        <v>30, 34, SCYTHER</v>
      </c>
      <c r="C2683" s="2" t="s">
        <v>3462</v>
      </c>
    </row>
    <row r="2684" ht="12.75" customHeight="1">
      <c r="A2684" s="3" t="s">
        <v>3463</v>
      </c>
      <c r="B2684" s="3" t="str">
        <f t="shared" si="1"/>
        <v>30, 34, JYNX</v>
      </c>
      <c r="C2684" s="2" t="s">
        <v>3463</v>
      </c>
    </row>
    <row r="2685" ht="12.75" customHeight="1">
      <c r="A2685" s="3"/>
      <c r="B2685" s="3" t="str">
        <f t="shared" si="1"/>
        <v/>
      </c>
      <c r="C2685" s="2" t="s">
        <v>2801</v>
      </c>
    </row>
    <row r="2686" ht="12.75" customHeight="1">
      <c r="A2686" s="3" t="s">
        <v>2810</v>
      </c>
      <c r="B2686" s="3" t="str">
        <f t="shared" si="1"/>
        <v>0.04</v>
      </c>
      <c r="C2686" s="2" t="s">
        <v>2810</v>
      </c>
    </row>
    <row r="2687" ht="12.75" customHeight="1">
      <c r="A2687" s="3" t="s">
        <v>3464</v>
      </c>
      <c r="B2687" s="3" t="str">
        <f t="shared" si="1"/>
        <v>31, 31, DODRIO</v>
      </c>
      <c r="C2687" s="2" t="s">
        <v>3464</v>
      </c>
    </row>
    <row r="2688" ht="12.75" customHeight="1">
      <c r="A2688" s="3" t="s">
        <v>3465</v>
      </c>
      <c r="B2688" s="3" t="str">
        <f t="shared" si="1"/>
        <v>31, 31, EXEGGUTOR</v>
      </c>
      <c r="C2688" s="2" t="s">
        <v>3465</v>
      </c>
    </row>
    <row r="2689" ht="12.75" customHeight="1">
      <c r="A2689" s="3"/>
      <c r="B2689" s="3" t="str">
        <f t="shared" si="1"/>
        <v/>
      </c>
      <c r="C2689" s="2" t="s">
        <v>2801</v>
      </c>
    </row>
    <row r="2690" ht="12.75" customHeight="1">
      <c r="A2690" s="3" t="s">
        <v>2813</v>
      </c>
      <c r="B2690" s="3" t="str">
        <f t="shared" si="1"/>
        <v>0.01</v>
      </c>
      <c r="C2690" s="2" t="s">
        <v>2813</v>
      </c>
    </row>
    <row r="2691" ht="12.75" customHeight="1">
      <c r="A2691" s="3" t="s">
        <v>3466</v>
      </c>
      <c r="B2691" s="3" t="str">
        <f t="shared" si="1"/>
        <v>29, 34, VICTREEBEL</v>
      </c>
      <c r="C2691" s="2" t="s">
        <v>3466</v>
      </c>
    </row>
    <row r="2692" ht="12.75" customHeight="1">
      <c r="A2692" s="3" t="s">
        <v>3467</v>
      </c>
      <c r="B2692" s="3" t="str">
        <f t="shared" si="1"/>
        <v>20, 25, SQUIRTLE</v>
      </c>
      <c r="C2692" s="2" t="s">
        <v>3467</v>
      </c>
    </row>
    <row r="2693" ht="12.75" customHeight="1">
      <c r="A2693" s="3" t="s">
        <v>3350</v>
      </c>
      <c r="B2693" s="3" t="str">
        <f t="shared" si="1"/>
        <v>2, 38, 42, TENTACOOL</v>
      </c>
      <c r="C2693" s="2" t="s">
        <v>3350</v>
      </c>
    </row>
    <row r="2694" ht="12.75" customHeight="1">
      <c r="A2694" s="3" t="s">
        <v>3429</v>
      </c>
      <c r="B2694" s="3" t="str">
        <f t="shared" si="1"/>
        <v>40, 44, TENTACRUEL</v>
      </c>
      <c r="C2694" s="2" t="s">
        <v>3429</v>
      </c>
    </row>
    <row r="2695" ht="12.75" customHeight="1">
      <c r="A2695" s="3" t="s">
        <v>3025</v>
      </c>
      <c r="B2695" s="3" t="str">
        <f t="shared" si="1"/>
        <v>42, 46, LAPRAS</v>
      </c>
      <c r="C2695" s="2" t="s">
        <v>3025</v>
      </c>
    </row>
    <row r="2696" ht="12.75" customHeight="1">
      <c r="A2696" s="3" t="s">
        <v>3430</v>
      </c>
      <c r="B2696" s="3" t="str">
        <f t="shared" si="1"/>
        <v>42, 46, TENTACATE</v>
      </c>
      <c r="C2696" s="2" t="s">
        <v>3430</v>
      </c>
    </row>
    <row r="2697" ht="12.75" customHeight="1">
      <c r="A2697" s="3" t="s">
        <v>3450</v>
      </c>
      <c r="B2697" s="3" t="str">
        <f t="shared" si="1"/>
        <v>44, 48, LOCHLASS</v>
      </c>
      <c r="C2697" s="2" t="s">
        <v>3450</v>
      </c>
    </row>
    <row r="2698" ht="12.75" customHeight="1">
      <c r="A2698" s="3" t="s">
        <v>3468</v>
      </c>
      <c r="B2698" s="3" t="str">
        <f t="shared" si="1"/>
        <v>60, old rod:</v>
      </c>
      <c r="C2698" s="2" t="s">
        <v>3468</v>
      </c>
    </row>
    <row r="2699" ht="12.75" customHeight="1">
      <c r="A2699" s="3" t="s">
        <v>500</v>
      </c>
      <c r="B2699" s="3" t="str">
        <f t="shared" si="1"/>
        <v>19, 26, MAGIKARP</v>
      </c>
      <c r="C2699" s="2" t="s">
        <v>500</v>
      </c>
    </row>
    <row r="2700" ht="12.75" customHeight="1">
      <c r="A2700" s="3" t="s">
        <v>3353</v>
      </c>
      <c r="B2700" s="3" t="str">
        <f t="shared" si="1"/>
        <v>19, 26, GYARADOS</v>
      </c>
      <c r="C2700" s="2" t="s">
        <v>3353</v>
      </c>
    </row>
    <row r="2701" ht="12.75" customHeight="1">
      <c r="A2701" s="3"/>
      <c r="B2701" s="3" t="str">
        <f t="shared" si="1"/>
        <v/>
      </c>
      <c r="C2701" s="2" t="s">
        <v>2801</v>
      </c>
    </row>
    <row r="2702" ht="12.75" customHeight="1">
      <c r="A2702" s="3" t="s">
        <v>2847</v>
      </c>
      <c r="B2702" s="3" t="str">
        <f t="shared" si="1"/>
        <v>good rod:</v>
      </c>
      <c r="C2702" s="2" t="s">
        <v>2847</v>
      </c>
    </row>
    <row r="2703" ht="12.75" customHeight="1">
      <c r="A2703" s="3" t="s">
        <v>3431</v>
      </c>
      <c r="B2703" s="3" t="str">
        <f t="shared" si="1"/>
        <v>29, 33, HORSEA</v>
      </c>
      <c r="C2703" s="2" t="s">
        <v>3431</v>
      </c>
    </row>
    <row r="2704" ht="12.75" customHeight="1">
      <c r="A2704" s="3" t="s">
        <v>3028</v>
      </c>
      <c r="B2704" s="3" t="str">
        <f t="shared" si="1"/>
        <v>30, 35, KRABBY</v>
      </c>
      <c r="C2704" s="2" t="s">
        <v>3028</v>
      </c>
    </row>
    <row r="2705" ht="12.75" customHeight="1">
      <c r="A2705" s="3" t="s">
        <v>3355</v>
      </c>
      <c r="B2705" s="3" t="str">
        <f t="shared" si="1"/>
        <v>30, 35, PSYDUCK</v>
      </c>
      <c r="C2705" s="2" t="s">
        <v>3355</v>
      </c>
    </row>
    <row r="2706" ht="12.75" customHeight="1">
      <c r="A2706" s="3"/>
      <c r="B2706" s="3" t="str">
        <f t="shared" si="1"/>
        <v/>
      </c>
      <c r="C2706" s="2" t="s">
        <v>2801</v>
      </c>
    </row>
    <row r="2707" ht="12.75" customHeight="1">
      <c r="A2707" s="3" t="s">
        <v>2851</v>
      </c>
      <c r="B2707" s="3" t="str">
        <f t="shared" si="1"/>
        <v>super rod:</v>
      </c>
      <c r="C2707" s="2" t="s">
        <v>2851</v>
      </c>
    </row>
    <row r="2708" ht="12.75" customHeight="1">
      <c r="A2708" s="3" t="s">
        <v>3433</v>
      </c>
      <c r="B2708" s="3" t="str">
        <f t="shared" si="1"/>
        <v>36, 40, SEADRA</v>
      </c>
      <c r="C2708" s="2" t="s">
        <v>3433</v>
      </c>
    </row>
    <row r="2709" ht="12.75" customHeight="1">
      <c r="A2709" s="3" t="s">
        <v>3357</v>
      </c>
      <c r="B2709" s="3" t="str">
        <f t="shared" si="1"/>
        <v>36, 40, GYARADOS</v>
      </c>
      <c r="C2709" s="2" t="s">
        <v>3357</v>
      </c>
    </row>
    <row r="2710" ht="12.75" customHeight="1">
      <c r="A2710" s="3" t="s">
        <v>3358</v>
      </c>
      <c r="B2710" s="3" t="str">
        <f t="shared" si="1"/>
        <v>38, 42, GOLDUCK</v>
      </c>
      <c r="C2710" s="2" t="s">
        <v>3358</v>
      </c>
    </row>
    <row r="2711" ht="12.75" customHeight="1">
      <c r="A2711" s="3" t="s">
        <v>3359</v>
      </c>
      <c r="B2711" s="3" t="str">
        <f t="shared" si="1"/>
        <v>38, 42, KINGLER</v>
      </c>
      <c r="C2711" s="2" t="s">
        <v>3359</v>
      </c>
    </row>
    <row r="2712" ht="12.75" customHeight="1">
      <c r="A2712" s="3" t="s">
        <v>3437</v>
      </c>
      <c r="B2712" s="3" t="str">
        <f t="shared" si="1"/>
        <v>40, 44, GILDUCK</v>
      </c>
      <c r="C2712" s="2" t="s">
        <v>3437</v>
      </c>
    </row>
    <row r="2713" ht="12.75" customHeight="1">
      <c r="A2713" s="3" t="s">
        <v>2539</v>
      </c>
      <c r="B2713" s="3" t="str">
        <f t="shared" si="1"/>
        <v>NEW ROUTE</v>
      </c>
      <c r="C2713" s="2" t="s">
        <v>2539</v>
      </c>
    </row>
    <row r="2714" ht="12.75" customHeight="1">
      <c r="A2714" s="3" t="s">
        <v>3469</v>
      </c>
      <c r="B2714" s="3" t="str">
        <f t="shared" si="1"/>
        <v>3, 31, 0,</v>
      </c>
      <c r="C2714" s="2" t="s">
        <v>3469</v>
      </c>
    </row>
    <row r="2715" ht="12.75" customHeight="1">
      <c r="A2715" s="3" t="s">
        <v>2909</v>
      </c>
      <c r="B2715" s="3" t="str">
        <f t="shared" si="1"/>
        <v>20%</v>
      </c>
      <c r="C2715" s="2" t="s">
        <v>2799</v>
      </c>
    </row>
    <row r="2716" ht="12.75" customHeight="1">
      <c r="A2716" s="3" t="s">
        <v>1095</v>
      </c>
      <c r="B2716" s="3" t="str">
        <f t="shared" si="1"/>
        <v>30, 35, BELLSPROUT</v>
      </c>
      <c r="C2716" s="2" t="s">
        <v>1095</v>
      </c>
    </row>
    <row r="2717" ht="12.75" customHeight="1">
      <c r="A2717" s="3" t="s">
        <v>3470</v>
      </c>
      <c r="B2717" s="3" t="str">
        <f t="shared" si="1"/>
        <v>30, 35, PIDGEOTTO</v>
      </c>
      <c r="C2717" s="2" t="s">
        <v>3470</v>
      </c>
    </row>
    <row r="2718" ht="12.75" customHeight="1">
      <c r="A2718" s="3"/>
      <c r="B2718" s="3" t="str">
        <f t="shared" si="1"/>
        <v/>
      </c>
      <c r="C2718" s="2" t="s">
        <v>2801</v>
      </c>
    </row>
    <row r="2719" ht="12.75" customHeight="1">
      <c r="A2719" s="3" t="s">
        <v>2802</v>
      </c>
      <c r="B2719" s="3" t="str">
        <f t="shared" si="1"/>
        <v>0.1</v>
      </c>
      <c r="C2719" s="2" t="s">
        <v>2802</v>
      </c>
    </row>
    <row r="2720" ht="12.75" customHeight="1">
      <c r="A2720" s="3" t="s">
        <v>3471</v>
      </c>
      <c r="B2720" s="3" t="str">
        <f t="shared" si="1"/>
        <v>30, 32, WEEPINBELL</v>
      </c>
      <c r="C2720" s="2" t="s">
        <v>3471</v>
      </c>
    </row>
    <row r="2721" ht="12.75" customHeight="1">
      <c r="A2721" s="3" t="s">
        <v>3472</v>
      </c>
      <c r="B2721" s="3" t="str">
        <f t="shared" si="1"/>
        <v>30, 32, DODUO</v>
      </c>
      <c r="C2721" s="2" t="s">
        <v>3472</v>
      </c>
    </row>
    <row r="2722" ht="12.75" customHeight="1">
      <c r="A2722" s="3" t="s">
        <v>3473</v>
      </c>
      <c r="B2722" s="3" t="str">
        <f t="shared" si="1"/>
        <v>32, 32, PIDGEOT</v>
      </c>
      <c r="C2722" s="2" t="s">
        <v>3473</v>
      </c>
    </row>
    <row r="2723" ht="12.75" customHeight="1">
      <c r="A2723" s="3" t="s">
        <v>3474</v>
      </c>
      <c r="B2723" s="3" t="str">
        <f t="shared" si="1"/>
        <v>30, 32, EXEGGCUTE</v>
      </c>
      <c r="C2723" s="2" t="s">
        <v>3474</v>
      </c>
    </row>
    <row r="2724" ht="12.75" customHeight="1">
      <c r="A2724" s="3"/>
      <c r="B2724" s="3" t="str">
        <f t="shared" si="1"/>
        <v/>
      </c>
      <c r="C2724" s="2" t="s">
        <v>2801</v>
      </c>
    </row>
    <row r="2725" ht="12.75" customHeight="1">
      <c r="A2725" s="3" t="s">
        <v>2807</v>
      </c>
      <c r="B2725" s="3" t="str">
        <f t="shared" si="1"/>
        <v>0.05</v>
      </c>
      <c r="C2725" s="2" t="s">
        <v>2807</v>
      </c>
    </row>
    <row r="2726" ht="12.75" customHeight="1">
      <c r="A2726" s="3" t="s">
        <v>3475</v>
      </c>
      <c r="B2726" s="3" t="str">
        <f t="shared" si="1"/>
        <v>31, 35, SCYTHER</v>
      </c>
      <c r="C2726" s="2" t="s">
        <v>3475</v>
      </c>
    </row>
    <row r="2727" ht="12.75" customHeight="1">
      <c r="A2727" s="3" t="s">
        <v>3476</v>
      </c>
      <c r="B2727" s="3" t="str">
        <f t="shared" si="1"/>
        <v>31, 35, JYNX</v>
      </c>
      <c r="C2727" s="2" t="s">
        <v>3476</v>
      </c>
    </row>
    <row r="2728" ht="12.75" customHeight="1">
      <c r="A2728" s="3"/>
      <c r="B2728" s="3" t="str">
        <f t="shared" si="1"/>
        <v/>
      </c>
      <c r="C2728" s="2" t="s">
        <v>2801</v>
      </c>
    </row>
    <row r="2729" ht="12.75" customHeight="1">
      <c r="A2729" s="3" t="s">
        <v>2810</v>
      </c>
      <c r="B2729" s="3" t="str">
        <f t="shared" si="1"/>
        <v>0.04</v>
      </c>
      <c r="C2729" s="2" t="s">
        <v>2810</v>
      </c>
    </row>
    <row r="2730" ht="12.75" customHeight="1">
      <c r="A2730" s="3" t="s">
        <v>3477</v>
      </c>
      <c r="B2730" s="3" t="str">
        <f t="shared" si="1"/>
        <v>32, 32, DODRIO</v>
      </c>
      <c r="C2730" s="2" t="s">
        <v>3477</v>
      </c>
    </row>
    <row r="2731" ht="12.75" customHeight="1">
      <c r="A2731" s="3" t="s">
        <v>3478</v>
      </c>
      <c r="B2731" s="3" t="str">
        <f t="shared" si="1"/>
        <v>32, 32, EXEGGUTOR</v>
      </c>
      <c r="C2731" s="2" t="s">
        <v>3478</v>
      </c>
    </row>
    <row r="2732" ht="12.75" customHeight="1">
      <c r="A2732" s="3"/>
      <c r="B2732" s="3" t="str">
        <f t="shared" si="1"/>
        <v/>
      </c>
      <c r="C2732" s="2" t="s">
        <v>2801</v>
      </c>
    </row>
    <row r="2733" ht="12.75" customHeight="1">
      <c r="A2733" s="3" t="s">
        <v>2813</v>
      </c>
      <c r="B2733" s="3" t="str">
        <f t="shared" si="1"/>
        <v>0.01</v>
      </c>
      <c r="C2733" s="2" t="s">
        <v>2813</v>
      </c>
    </row>
    <row r="2734" ht="12.75" customHeight="1">
      <c r="A2734" s="3" t="s">
        <v>3479</v>
      </c>
      <c r="B2734" s="3" t="str">
        <f t="shared" si="1"/>
        <v>30, 35, VICTREEBEL</v>
      </c>
      <c r="C2734" s="2" t="s">
        <v>3479</v>
      </c>
    </row>
    <row r="2735" ht="12.75" customHeight="1">
      <c r="A2735" s="3" t="s">
        <v>3467</v>
      </c>
      <c r="B2735" s="3" t="str">
        <f t="shared" si="1"/>
        <v>20, 25, SQUIRTLE</v>
      </c>
      <c r="C2735" s="2" t="s">
        <v>3467</v>
      </c>
    </row>
    <row r="2736" ht="12.75" customHeight="1">
      <c r="A2736" s="3" t="s">
        <v>3350</v>
      </c>
      <c r="B2736" s="3" t="str">
        <f t="shared" si="1"/>
        <v>2, 38, 42, TENTACOOL</v>
      </c>
      <c r="C2736" s="2" t="s">
        <v>3350</v>
      </c>
    </row>
    <row r="2737" ht="12.75" customHeight="1">
      <c r="A2737" s="3" t="s">
        <v>3429</v>
      </c>
      <c r="B2737" s="3" t="str">
        <f t="shared" si="1"/>
        <v>40, 44, TENTACRUEL</v>
      </c>
      <c r="C2737" s="2" t="s">
        <v>3429</v>
      </c>
    </row>
    <row r="2738" ht="12.75" customHeight="1">
      <c r="A2738" s="3" t="s">
        <v>3025</v>
      </c>
      <c r="B2738" s="3" t="str">
        <f t="shared" si="1"/>
        <v>42, 46, LAPRAS</v>
      </c>
      <c r="C2738" s="2" t="s">
        <v>3025</v>
      </c>
    </row>
    <row r="2739" ht="12.75" customHeight="1">
      <c r="A2739" s="3" t="s">
        <v>3430</v>
      </c>
      <c r="B2739" s="3" t="str">
        <f t="shared" si="1"/>
        <v>42, 46, TENTACATE</v>
      </c>
      <c r="C2739" s="2" t="s">
        <v>3430</v>
      </c>
    </row>
    <row r="2740" ht="12.75" customHeight="1">
      <c r="A2740" s="3" t="s">
        <v>3450</v>
      </c>
      <c r="B2740" s="3" t="str">
        <f t="shared" si="1"/>
        <v>44, 48, LOCHLASS</v>
      </c>
      <c r="C2740" s="2" t="s">
        <v>3450</v>
      </c>
    </row>
    <row r="2741" ht="12.75" customHeight="1">
      <c r="A2741" s="3" t="s">
        <v>2926</v>
      </c>
      <c r="B2741" s="3" t="str">
        <f t="shared" si="1"/>
        <v>20, old rod:</v>
      </c>
      <c r="C2741" s="2" t="s">
        <v>2926</v>
      </c>
    </row>
    <row r="2742" ht="12.75" customHeight="1">
      <c r="A2742" s="3" t="s">
        <v>500</v>
      </c>
      <c r="B2742" s="3" t="str">
        <f t="shared" si="1"/>
        <v>19, 26, MAGIKARP</v>
      </c>
      <c r="C2742" s="2" t="s">
        <v>500</v>
      </c>
    </row>
    <row r="2743" ht="12.75" customHeight="1">
      <c r="A2743" s="3" t="s">
        <v>3353</v>
      </c>
      <c r="B2743" s="3" t="str">
        <f t="shared" si="1"/>
        <v>19, 26, GYARADOS</v>
      </c>
      <c r="C2743" s="2" t="s">
        <v>3353</v>
      </c>
    </row>
    <row r="2744" ht="12.75" customHeight="1">
      <c r="A2744" s="3"/>
      <c r="B2744" s="3" t="str">
        <f t="shared" si="1"/>
        <v/>
      </c>
      <c r="C2744" s="2" t="s">
        <v>2801</v>
      </c>
    </row>
    <row r="2745" ht="12.75" customHeight="1">
      <c r="A2745" s="3" t="s">
        <v>2847</v>
      </c>
      <c r="B2745" s="3" t="str">
        <f t="shared" si="1"/>
        <v>good rod:</v>
      </c>
      <c r="C2745" s="2" t="s">
        <v>2847</v>
      </c>
    </row>
    <row r="2746" ht="12.75" customHeight="1">
      <c r="A2746" s="3" t="s">
        <v>3431</v>
      </c>
      <c r="B2746" s="3" t="str">
        <f t="shared" si="1"/>
        <v>29, 33, HORSEA</v>
      </c>
      <c r="C2746" s="2" t="s">
        <v>3431</v>
      </c>
    </row>
    <row r="2747" ht="12.75" customHeight="1">
      <c r="A2747" s="3" t="s">
        <v>3028</v>
      </c>
      <c r="B2747" s="3" t="str">
        <f t="shared" si="1"/>
        <v>30, 35, KRABBY</v>
      </c>
      <c r="C2747" s="2" t="s">
        <v>3028</v>
      </c>
    </row>
    <row r="2748" ht="12.75" customHeight="1">
      <c r="A2748" s="3" t="s">
        <v>3355</v>
      </c>
      <c r="B2748" s="3" t="str">
        <f t="shared" si="1"/>
        <v>30, 35, PSYDUCK</v>
      </c>
      <c r="C2748" s="2" t="s">
        <v>3355</v>
      </c>
    </row>
    <row r="2749" ht="12.75" customHeight="1">
      <c r="A2749" s="3"/>
      <c r="B2749" s="3" t="str">
        <f t="shared" si="1"/>
        <v/>
      </c>
      <c r="C2749" s="2" t="s">
        <v>2801</v>
      </c>
    </row>
    <row r="2750" ht="12.75" customHeight="1">
      <c r="A2750" s="3" t="s">
        <v>2851</v>
      </c>
      <c r="B2750" s="3" t="str">
        <f t="shared" si="1"/>
        <v>super rod:</v>
      </c>
      <c r="C2750" s="2" t="s">
        <v>2851</v>
      </c>
    </row>
    <row r="2751" ht="12.75" customHeight="1">
      <c r="A2751" s="3" t="s">
        <v>3433</v>
      </c>
      <c r="B2751" s="3" t="str">
        <f t="shared" si="1"/>
        <v>36, 40, SEADRA</v>
      </c>
      <c r="C2751" s="2" t="s">
        <v>3433</v>
      </c>
    </row>
    <row r="2752" ht="12.75" customHeight="1">
      <c r="A2752" s="3" t="s">
        <v>3357</v>
      </c>
      <c r="B2752" s="3" t="str">
        <f t="shared" si="1"/>
        <v>36, 40, GYARADOS</v>
      </c>
      <c r="C2752" s="2" t="s">
        <v>3357</v>
      </c>
    </row>
    <row r="2753" ht="12.75" customHeight="1">
      <c r="A2753" s="3" t="s">
        <v>3358</v>
      </c>
      <c r="B2753" s="3" t="str">
        <f t="shared" si="1"/>
        <v>38, 42, GOLDUCK</v>
      </c>
      <c r="C2753" s="2" t="s">
        <v>3358</v>
      </c>
    </row>
    <row r="2754" ht="12.75" customHeight="1">
      <c r="A2754" s="3" t="s">
        <v>3359</v>
      </c>
      <c r="B2754" s="3" t="str">
        <f t="shared" si="1"/>
        <v>38, 42, KINGLER</v>
      </c>
      <c r="C2754" s="2" t="s">
        <v>3359</v>
      </c>
    </row>
    <row r="2755" ht="12.75" customHeight="1">
      <c r="A2755" s="3" t="s">
        <v>3437</v>
      </c>
      <c r="B2755" s="3" t="str">
        <f t="shared" si="1"/>
        <v>40, 44, GILDUCK</v>
      </c>
      <c r="C2755" s="2" t="s">
        <v>3437</v>
      </c>
    </row>
    <row r="2756" ht="12.75" customHeight="1">
      <c r="A2756" s="3" t="s">
        <v>2539</v>
      </c>
      <c r="B2756" s="3" t="str">
        <f t="shared" si="1"/>
        <v>NEW ROUTE</v>
      </c>
      <c r="C2756" s="2" t="s">
        <v>2539</v>
      </c>
    </row>
    <row r="2757" ht="12.75" customHeight="1">
      <c r="A2757" s="3" t="s">
        <v>3480</v>
      </c>
      <c r="B2757" s="3" t="str">
        <f t="shared" si="1"/>
        <v>3, 32, 0,</v>
      </c>
      <c r="C2757" s="2" t="s">
        <v>3480</v>
      </c>
    </row>
    <row r="2758" ht="12.75" customHeight="1">
      <c r="A2758" s="3" t="s">
        <v>2909</v>
      </c>
      <c r="B2758" s="3" t="str">
        <f t="shared" si="1"/>
        <v>20%</v>
      </c>
      <c r="C2758" s="2" t="s">
        <v>2799</v>
      </c>
    </row>
    <row r="2759" ht="12.75" customHeight="1">
      <c r="A2759" s="3" t="s">
        <v>1107</v>
      </c>
      <c r="B2759" s="3" t="str">
        <f t="shared" si="1"/>
        <v>32, 36, BELLSPROUT</v>
      </c>
      <c r="C2759" s="2" t="s">
        <v>1107</v>
      </c>
    </row>
    <row r="2760" ht="12.75" customHeight="1">
      <c r="A2760" s="3" t="s">
        <v>3481</v>
      </c>
      <c r="B2760" s="3" t="str">
        <f t="shared" si="1"/>
        <v>32, 36, PIDGEOTTO</v>
      </c>
      <c r="C2760" s="2" t="s">
        <v>3481</v>
      </c>
    </row>
    <row r="2761" ht="12.75" customHeight="1">
      <c r="A2761" s="3"/>
      <c r="B2761" s="3" t="str">
        <f t="shared" si="1"/>
        <v/>
      </c>
      <c r="C2761" s="2" t="s">
        <v>2801</v>
      </c>
    </row>
    <row r="2762" ht="12.75" customHeight="1">
      <c r="A2762" s="3" t="s">
        <v>2802</v>
      </c>
      <c r="B2762" s="3" t="str">
        <f t="shared" si="1"/>
        <v>0.1</v>
      </c>
      <c r="C2762" s="2" t="s">
        <v>2802</v>
      </c>
    </row>
    <row r="2763" ht="12.75" customHeight="1">
      <c r="A2763" s="3" t="s">
        <v>3482</v>
      </c>
      <c r="B2763" s="3" t="str">
        <f t="shared" si="1"/>
        <v>31, 33, WEEPINBELL</v>
      </c>
      <c r="C2763" s="2" t="s">
        <v>3482</v>
      </c>
    </row>
    <row r="2764" ht="12.75" customHeight="1">
      <c r="A2764" s="3" t="s">
        <v>3483</v>
      </c>
      <c r="B2764" s="3" t="str">
        <f t="shared" si="1"/>
        <v>31, 33, DODUO</v>
      </c>
      <c r="C2764" s="2" t="s">
        <v>3483</v>
      </c>
    </row>
    <row r="2765" ht="12.75" customHeight="1">
      <c r="A2765" s="3" t="s">
        <v>3484</v>
      </c>
      <c r="B2765" s="3" t="str">
        <f t="shared" si="1"/>
        <v>33, 33, PIDGEOT</v>
      </c>
      <c r="C2765" s="2" t="s">
        <v>3484</v>
      </c>
    </row>
    <row r="2766" ht="12.75" customHeight="1">
      <c r="A2766" s="3" t="s">
        <v>3485</v>
      </c>
      <c r="B2766" s="3" t="str">
        <f t="shared" si="1"/>
        <v>31, 33, EXEGGCUTE</v>
      </c>
      <c r="C2766" s="2" t="s">
        <v>3485</v>
      </c>
    </row>
    <row r="2767" ht="12.75" customHeight="1">
      <c r="A2767" s="3"/>
      <c r="B2767" s="3" t="str">
        <f t="shared" si="1"/>
        <v/>
      </c>
      <c r="C2767" s="2" t="s">
        <v>2801</v>
      </c>
    </row>
    <row r="2768" ht="12.75" customHeight="1">
      <c r="A2768" s="3" t="s">
        <v>2807</v>
      </c>
      <c r="B2768" s="3" t="str">
        <f t="shared" si="1"/>
        <v>0.05</v>
      </c>
      <c r="C2768" s="2" t="s">
        <v>2807</v>
      </c>
    </row>
    <row r="2769" ht="12.75" customHeight="1">
      <c r="A2769" s="3" t="s">
        <v>3486</v>
      </c>
      <c r="B2769" s="3" t="str">
        <f t="shared" si="1"/>
        <v>32, 36, SCYTHER</v>
      </c>
      <c r="C2769" s="2" t="s">
        <v>3486</v>
      </c>
    </row>
    <row r="2770" ht="12.75" customHeight="1">
      <c r="A2770" s="3" t="s">
        <v>3487</v>
      </c>
      <c r="B2770" s="3" t="str">
        <f t="shared" si="1"/>
        <v>32, 36, JYNX</v>
      </c>
      <c r="C2770" s="2" t="s">
        <v>3487</v>
      </c>
    </row>
    <row r="2771" ht="12.75" customHeight="1">
      <c r="A2771" s="3"/>
      <c r="B2771" s="3" t="str">
        <f t="shared" si="1"/>
        <v/>
      </c>
      <c r="C2771" s="2" t="s">
        <v>2801</v>
      </c>
    </row>
    <row r="2772" ht="12.75" customHeight="1">
      <c r="A2772" s="3" t="s">
        <v>2810</v>
      </c>
      <c r="B2772" s="3" t="str">
        <f t="shared" si="1"/>
        <v>0.04</v>
      </c>
      <c r="C2772" s="2" t="s">
        <v>2810</v>
      </c>
    </row>
    <row r="2773" ht="12.75" customHeight="1">
      <c r="A2773" s="3" t="s">
        <v>3488</v>
      </c>
      <c r="B2773" s="3" t="str">
        <f t="shared" si="1"/>
        <v>33, 33, DODRIO</v>
      </c>
      <c r="C2773" s="2" t="s">
        <v>3488</v>
      </c>
    </row>
    <row r="2774" ht="12.75" customHeight="1">
      <c r="A2774" s="3" t="s">
        <v>3489</v>
      </c>
      <c r="B2774" s="3" t="str">
        <f t="shared" si="1"/>
        <v>33, 33, EXEGGUTOR</v>
      </c>
      <c r="C2774" s="2" t="s">
        <v>3489</v>
      </c>
    </row>
    <row r="2775" ht="12.75" customHeight="1">
      <c r="A2775" s="3"/>
      <c r="B2775" s="3" t="str">
        <f t="shared" si="1"/>
        <v/>
      </c>
      <c r="C2775" s="2" t="s">
        <v>2801</v>
      </c>
    </row>
    <row r="2776" ht="12.75" customHeight="1">
      <c r="A2776" s="3" t="s">
        <v>2813</v>
      </c>
      <c r="B2776" s="3" t="str">
        <f t="shared" si="1"/>
        <v>0.01</v>
      </c>
      <c r="C2776" s="2" t="s">
        <v>2813</v>
      </c>
    </row>
    <row r="2777" ht="12.75" customHeight="1">
      <c r="A2777" s="3" t="s">
        <v>3490</v>
      </c>
      <c r="B2777" s="3" t="str">
        <f t="shared" si="1"/>
        <v>31, 36, VICTREEBEL</v>
      </c>
      <c r="C2777" s="2" t="s">
        <v>3490</v>
      </c>
    </row>
    <row r="2778" ht="12.75" customHeight="1">
      <c r="A2778" s="3" t="s">
        <v>3491</v>
      </c>
      <c r="B2778" s="3" t="str">
        <f t="shared" si="1"/>
        <v>20, 25, SQUIRTLE , &lt;null&gt;, &lt;null&gt;, &lt;null&gt;</v>
      </c>
      <c r="C2778" s="2" t="s">
        <v>3491</v>
      </c>
    </row>
    <row r="2779" ht="12.75" customHeight="1">
      <c r="A2779" s="3"/>
      <c r="B2779" s="3" t="str">
        <f t="shared" si="1"/>
        <v/>
      </c>
      <c r="C2779" s="2" t="s">
        <v>2801</v>
      </c>
    </row>
    <row r="2780" ht="12.75" customHeight="1">
      <c r="A2780" s="3" t="s">
        <v>2539</v>
      </c>
      <c r="B2780" s="3" t="str">
        <f t="shared" si="1"/>
        <v>NEW ROUTE</v>
      </c>
      <c r="C2780" s="2" t="s">
        <v>2539</v>
      </c>
    </row>
    <row r="2781" ht="12.75" customHeight="1">
      <c r="A2781" s="3" t="s">
        <v>3492</v>
      </c>
      <c r="B2781" s="3" t="str">
        <f t="shared" si="1"/>
        <v>3, 33, 0,</v>
      </c>
      <c r="C2781" s="2" t="s">
        <v>3492</v>
      </c>
    </row>
    <row r="2782" ht="12.75" customHeight="1">
      <c r="A2782" s="3" t="s">
        <v>2909</v>
      </c>
      <c r="B2782" s="3" t="str">
        <f t="shared" si="1"/>
        <v>20%</v>
      </c>
      <c r="C2782" s="2" t="s">
        <v>2799</v>
      </c>
    </row>
    <row r="2783" ht="12.75" customHeight="1">
      <c r="A2783" s="3" t="s">
        <v>1120</v>
      </c>
      <c r="B2783" s="3" t="str">
        <f t="shared" si="1"/>
        <v>33, 37, BELLSPROUT</v>
      </c>
      <c r="C2783" s="2" t="s">
        <v>1120</v>
      </c>
    </row>
    <row r="2784" ht="12.75" customHeight="1">
      <c r="A2784" s="3" t="s">
        <v>3493</v>
      </c>
      <c r="B2784" s="3" t="str">
        <f t="shared" si="1"/>
        <v>33, 37, PIDGEOTTO</v>
      </c>
      <c r="C2784" s="2" t="s">
        <v>3493</v>
      </c>
    </row>
    <row r="2785" ht="12.75" customHeight="1">
      <c r="A2785" s="3"/>
      <c r="B2785" s="3" t="str">
        <f t="shared" si="1"/>
        <v/>
      </c>
      <c r="C2785" s="2" t="s">
        <v>2801</v>
      </c>
    </row>
    <row r="2786" ht="12.75" customHeight="1">
      <c r="A2786" s="3" t="s">
        <v>2802</v>
      </c>
      <c r="B2786" s="3" t="str">
        <f t="shared" si="1"/>
        <v>0.1</v>
      </c>
      <c r="C2786" s="2" t="s">
        <v>2802</v>
      </c>
    </row>
    <row r="2787" ht="12.75" customHeight="1">
      <c r="A2787" s="3" t="s">
        <v>3494</v>
      </c>
      <c r="B2787" s="3" t="str">
        <f t="shared" si="1"/>
        <v>32, 34, WEEPINBELL</v>
      </c>
      <c r="C2787" s="2" t="s">
        <v>3494</v>
      </c>
    </row>
    <row r="2788" ht="12.75" customHeight="1">
      <c r="A2788" s="3" t="s">
        <v>3495</v>
      </c>
      <c r="B2788" s="3" t="str">
        <f t="shared" si="1"/>
        <v>32, 34, DODUO</v>
      </c>
      <c r="C2788" s="2" t="s">
        <v>3495</v>
      </c>
    </row>
    <row r="2789" ht="12.75" customHeight="1">
      <c r="A2789" s="3" t="s">
        <v>3496</v>
      </c>
      <c r="B2789" s="3" t="str">
        <f t="shared" si="1"/>
        <v>34, 34, PIDGEOT</v>
      </c>
      <c r="C2789" s="2" t="s">
        <v>3496</v>
      </c>
    </row>
    <row r="2790" ht="12.75" customHeight="1">
      <c r="A2790" s="3" t="s">
        <v>3497</v>
      </c>
      <c r="B2790" s="3" t="str">
        <f t="shared" si="1"/>
        <v>32, 34, EXEGGCUTE</v>
      </c>
      <c r="C2790" s="2" t="s">
        <v>3497</v>
      </c>
    </row>
    <row r="2791" ht="12.75" customHeight="1">
      <c r="A2791" s="3"/>
      <c r="B2791" s="3" t="str">
        <f t="shared" si="1"/>
        <v/>
      </c>
      <c r="C2791" s="2" t="s">
        <v>2801</v>
      </c>
    </row>
    <row r="2792" ht="12.75" customHeight="1">
      <c r="A2792" s="3" t="s">
        <v>2807</v>
      </c>
      <c r="B2792" s="3" t="str">
        <f t="shared" si="1"/>
        <v>0.05</v>
      </c>
      <c r="C2792" s="2" t="s">
        <v>2807</v>
      </c>
    </row>
    <row r="2793" ht="12.75" customHeight="1">
      <c r="A2793" s="3" t="s">
        <v>3498</v>
      </c>
      <c r="B2793" s="3" t="str">
        <f t="shared" si="1"/>
        <v>33, 37, SCYTHER</v>
      </c>
      <c r="C2793" s="2" t="s">
        <v>3498</v>
      </c>
    </row>
    <row r="2794" ht="12.75" customHeight="1">
      <c r="A2794" s="3" t="s">
        <v>3499</v>
      </c>
      <c r="B2794" s="3" t="str">
        <f t="shared" si="1"/>
        <v>33, 37, JYNX</v>
      </c>
      <c r="C2794" s="2" t="s">
        <v>3499</v>
      </c>
    </row>
    <row r="2795" ht="12.75" customHeight="1">
      <c r="A2795" s="3"/>
      <c r="B2795" s="3" t="str">
        <f t="shared" si="1"/>
        <v/>
      </c>
      <c r="C2795" s="2" t="s">
        <v>2801</v>
      </c>
    </row>
    <row r="2796" ht="12.75" customHeight="1">
      <c r="A2796" s="3" t="s">
        <v>2810</v>
      </c>
      <c r="B2796" s="3" t="str">
        <f t="shared" si="1"/>
        <v>0.04</v>
      </c>
      <c r="C2796" s="2" t="s">
        <v>2810</v>
      </c>
    </row>
    <row r="2797" ht="12.75" customHeight="1">
      <c r="A2797" s="3" t="s">
        <v>3500</v>
      </c>
      <c r="B2797" s="3" t="str">
        <f t="shared" si="1"/>
        <v>34, 34, DODRIO</v>
      </c>
      <c r="C2797" s="2" t="s">
        <v>3500</v>
      </c>
    </row>
    <row r="2798" ht="12.75" customHeight="1">
      <c r="A2798" s="3" t="s">
        <v>3501</v>
      </c>
      <c r="B2798" s="3" t="str">
        <f t="shared" si="1"/>
        <v>34, 34, EXEGGUTOR</v>
      </c>
      <c r="C2798" s="2" t="s">
        <v>3501</v>
      </c>
    </row>
    <row r="2799" ht="12.75" customHeight="1">
      <c r="A2799" s="3"/>
      <c r="B2799" s="3" t="str">
        <f t="shared" si="1"/>
        <v/>
      </c>
      <c r="C2799" s="2" t="s">
        <v>2801</v>
      </c>
    </row>
    <row r="2800" ht="12.75" customHeight="1">
      <c r="A2800" s="3" t="s">
        <v>2813</v>
      </c>
      <c r="B2800" s="3" t="str">
        <f t="shared" si="1"/>
        <v>0.01</v>
      </c>
      <c r="C2800" s="2" t="s">
        <v>2813</v>
      </c>
    </row>
    <row r="2801" ht="12.75" customHeight="1">
      <c r="A2801" s="3" t="s">
        <v>3502</v>
      </c>
      <c r="B2801" s="3" t="str">
        <f t="shared" si="1"/>
        <v>32, 37, VICTREEBEL</v>
      </c>
      <c r="C2801" s="2" t="s">
        <v>3502</v>
      </c>
    </row>
    <row r="2802" ht="12.75" customHeight="1">
      <c r="A2802" s="3" t="s">
        <v>3491</v>
      </c>
      <c r="B2802" s="3" t="str">
        <f t="shared" si="1"/>
        <v>20, 25, SQUIRTLE , &lt;null&gt;, &lt;null&gt;, &lt;null&gt;</v>
      </c>
      <c r="C2802" s="2" t="s">
        <v>3491</v>
      </c>
    </row>
    <row r="2803" ht="12.75" customHeight="1">
      <c r="A2803" s="3"/>
      <c r="B2803" s="3" t="str">
        <f t="shared" si="1"/>
        <v/>
      </c>
      <c r="C2803" s="2" t="s">
        <v>2801</v>
      </c>
    </row>
    <row r="2804" ht="12.75" customHeight="1">
      <c r="A2804" s="3" t="s">
        <v>2539</v>
      </c>
      <c r="B2804" s="3" t="str">
        <f t="shared" si="1"/>
        <v>NEW ROUTE</v>
      </c>
      <c r="C2804" s="2" t="s">
        <v>2539</v>
      </c>
    </row>
    <row r="2805" ht="12.75" customHeight="1">
      <c r="A2805" s="3" t="s">
        <v>3503</v>
      </c>
      <c r="B2805" s="3" t="str">
        <f t="shared" si="1"/>
        <v>3, 34, 0,</v>
      </c>
      <c r="C2805" s="2" t="s">
        <v>3503</v>
      </c>
    </row>
    <row r="2806" ht="12.75" customHeight="1">
      <c r="A2806" s="3" t="s">
        <v>2909</v>
      </c>
      <c r="B2806" s="3" t="str">
        <f t="shared" si="1"/>
        <v>20%</v>
      </c>
      <c r="C2806" s="2" t="s">
        <v>2799</v>
      </c>
    </row>
    <row r="2807" ht="12.75" customHeight="1">
      <c r="A2807" s="3" t="s">
        <v>1132</v>
      </c>
      <c r="B2807" s="3" t="str">
        <f t="shared" si="1"/>
        <v>29, 34, ODDISH</v>
      </c>
      <c r="C2807" s="2" t="s">
        <v>1132</v>
      </c>
    </row>
    <row r="2808" ht="12.75" customHeight="1">
      <c r="A2808" s="3" t="s">
        <v>3457</v>
      </c>
      <c r="B2808" s="3" t="str">
        <f t="shared" si="1"/>
        <v>29, 34, PIDGEOTTO</v>
      </c>
      <c r="C2808" s="2" t="s">
        <v>3457</v>
      </c>
    </row>
    <row r="2809" ht="12.75" customHeight="1">
      <c r="A2809" s="3"/>
      <c r="B2809" s="3" t="str">
        <f t="shared" si="1"/>
        <v/>
      </c>
      <c r="C2809" s="2" t="s">
        <v>2801</v>
      </c>
    </row>
    <row r="2810" ht="12.75" customHeight="1">
      <c r="A2810" s="3" t="s">
        <v>2802</v>
      </c>
      <c r="B2810" s="3" t="str">
        <f t="shared" si="1"/>
        <v>0.1</v>
      </c>
      <c r="C2810" s="2" t="s">
        <v>2802</v>
      </c>
    </row>
    <row r="2811" ht="12.75" customHeight="1">
      <c r="A2811" s="3" t="s">
        <v>3504</v>
      </c>
      <c r="B2811" s="3" t="str">
        <f t="shared" si="1"/>
        <v>29, 31, GLOOM</v>
      </c>
      <c r="C2811" s="2" t="s">
        <v>3504</v>
      </c>
    </row>
    <row r="2812" ht="12.75" customHeight="1">
      <c r="A2812" s="3" t="s">
        <v>3459</v>
      </c>
      <c r="B2812" s="3" t="str">
        <f t="shared" si="1"/>
        <v>29, 31, DODUO</v>
      </c>
      <c r="C2812" s="2" t="s">
        <v>3459</v>
      </c>
    </row>
    <row r="2813" ht="12.75" customHeight="1">
      <c r="A2813" s="3" t="s">
        <v>3460</v>
      </c>
      <c r="B2813" s="3" t="str">
        <f t="shared" si="1"/>
        <v>31, 31, PIDGEOT</v>
      </c>
      <c r="C2813" s="2" t="s">
        <v>3460</v>
      </c>
    </row>
    <row r="2814" ht="12.75" customHeight="1">
      <c r="A2814" s="3" t="s">
        <v>3505</v>
      </c>
      <c r="B2814" s="3" t="str">
        <f t="shared" si="1"/>
        <v>29, 31, LICKITUNG</v>
      </c>
      <c r="C2814" s="2" t="s">
        <v>3505</v>
      </c>
    </row>
    <row r="2815" ht="12.75" customHeight="1">
      <c r="A2815" s="3"/>
      <c r="B2815" s="3" t="str">
        <f t="shared" si="1"/>
        <v/>
      </c>
      <c r="C2815" s="2" t="s">
        <v>2801</v>
      </c>
    </row>
    <row r="2816" ht="12.75" customHeight="1">
      <c r="A2816" s="3" t="s">
        <v>2807</v>
      </c>
      <c r="B2816" s="3" t="str">
        <f t="shared" si="1"/>
        <v>0.05</v>
      </c>
      <c r="C2816" s="2" t="s">
        <v>2807</v>
      </c>
    </row>
    <row r="2817" ht="12.75" customHeight="1">
      <c r="A2817" s="3" t="s">
        <v>3506</v>
      </c>
      <c r="B2817" s="3" t="str">
        <f t="shared" si="1"/>
        <v>30, 34, TAUROS</v>
      </c>
      <c r="C2817" s="2" t="s">
        <v>3506</v>
      </c>
    </row>
    <row r="2818" ht="12.75" customHeight="1">
      <c r="A2818" s="3" t="s">
        <v>3507</v>
      </c>
      <c r="B2818" s="3" t="str">
        <f t="shared" si="1"/>
        <v>30, 34, "MR. MIME"</v>
      </c>
      <c r="C2818" s="2" t="s">
        <v>3507</v>
      </c>
    </row>
    <row r="2819" ht="12.75" customHeight="1">
      <c r="A2819" s="3"/>
      <c r="B2819" s="3" t="str">
        <f t="shared" si="1"/>
        <v/>
      </c>
      <c r="C2819" s="2" t="s">
        <v>2801</v>
      </c>
    </row>
    <row r="2820" ht="12.75" customHeight="1">
      <c r="A2820" s="3" t="s">
        <v>2810</v>
      </c>
      <c r="B2820" s="3" t="str">
        <f t="shared" si="1"/>
        <v>0.04</v>
      </c>
      <c r="C2820" s="2" t="s">
        <v>2810</v>
      </c>
    </row>
    <row r="2821" ht="12.75" customHeight="1">
      <c r="A2821" s="3" t="s">
        <v>3464</v>
      </c>
      <c r="B2821" s="3" t="str">
        <f t="shared" si="1"/>
        <v>31, 31, DODRIO</v>
      </c>
      <c r="C2821" s="2" t="s">
        <v>3464</v>
      </c>
    </row>
    <row r="2822" ht="12.75" customHeight="1">
      <c r="A2822" s="3" t="s">
        <v>3508</v>
      </c>
      <c r="B2822" s="3" t="str">
        <f t="shared" si="1"/>
        <v>31, 31, LICKILICKY</v>
      </c>
      <c r="C2822" s="2" t="s">
        <v>3508</v>
      </c>
    </row>
    <row r="2823" ht="12.75" customHeight="1">
      <c r="A2823" s="3"/>
      <c r="B2823" s="3" t="str">
        <f t="shared" si="1"/>
        <v/>
      </c>
      <c r="C2823" s="2" t="s">
        <v>2801</v>
      </c>
    </row>
    <row r="2824" ht="12.75" customHeight="1">
      <c r="A2824" s="3" t="s">
        <v>2813</v>
      </c>
      <c r="B2824" s="3" t="str">
        <f t="shared" si="1"/>
        <v>0.01</v>
      </c>
      <c r="C2824" s="2" t="s">
        <v>2813</v>
      </c>
    </row>
    <row r="2825" ht="12.75" customHeight="1">
      <c r="A2825" s="3" t="s">
        <v>3509</v>
      </c>
      <c r="B2825" s="3" t="str">
        <f t="shared" si="1"/>
        <v>29, 34, VILEPLUME</v>
      </c>
      <c r="C2825" s="2" t="s">
        <v>3509</v>
      </c>
    </row>
    <row r="2826" ht="12.75" customHeight="1">
      <c r="A2826" s="3" t="s">
        <v>3510</v>
      </c>
      <c r="B2826" s="3" t="str">
        <f t="shared" si="1"/>
        <v>20, 25, BULBASAUR , &lt;null&gt;, &lt;null&gt;, &lt;null&gt;</v>
      </c>
      <c r="C2826" s="2" t="s">
        <v>3510</v>
      </c>
    </row>
    <row r="2827" ht="12.75" customHeight="1">
      <c r="A2827" s="3"/>
      <c r="B2827" s="3" t="str">
        <f t="shared" si="1"/>
        <v/>
      </c>
      <c r="C2827" s="2" t="s">
        <v>2801</v>
      </c>
    </row>
    <row r="2828" ht="12.75" customHeight="1">
      <c r="A2828" s="3" t="s">
        <v>2539</v>
      </c>
      <c r="B2828" s="3" t="str">
        <f t="shared" si="1"/>
        <v>NEW ROUTE</v>
      </c>
      <c r="C2828" s="2" t="s">
        <v>2539</v>
      </c>
    </row>
    <row r="2829" ht="12.75" customHeight="1">
      <c r="A2829" s="3" t="s">
        <v>3511</v>
      </c>
      <c r="B2829" s="3" t="str">
        <f t="shared" si="1"/>
        <v>3, 35, 0,</v>
      </c>
      <c r="C2829" s="2" t="s">
        <v>3511</v>
      </c>
    </row>
    <row r="2830" ht="12.75" customHeight="1">
      <c r="A2830" s="3" t="s">
        <v>2909</v>
      </c>
      <c r="B2830" s="3" t="str">
        <f t="shared" si="1"/>
        <v>20%</v>
      </c>
      <c r="C2830" s="2" t="s">
        <v>2799</v>
      </c>
    </row>
    <row r="2831" ht="12.75" customHeight="1">
      <c r="A2831" s="3" t="s">
        <v>1141</v>
      </c>
      <c r="B2831" s="3" t="str">
        <f t="shared" si="1"/>
        <v>30, 35, ODDISH</v>
      </c>
      <c r="C2831" s="2" t="s">
        <v>1141</v>
      </c>
    </row>
    <row r="2832" ht="12.75" customHeight="1">
      <c r="A2832" s="3" t="s">
        <v>3470</v>
      </c>
      <c r="B2832" s="3" t="str">
        <f t="shared" si="1"/>
        <v>30, 35, PIDGEOTTO</v>
      </c>
      <c r="C2832" s="2" t="s">
        <v>3470</v>
      </c>
    </row>
    <row r="2833" ht="12.75" customHeight="1">
      <c r="A2833" s="3"/>
      <c r="B2833" s="3" t="str">
        <f t="shared" si="1"/>
        <v/>
      </c>
      <c r="C2833" s="2" t="s">
        <v>2801</v>
      </c>
    </row>
    <row r="2834" ht="12.75" customHeight="1">
      <c r="A2834" s="3" t="s">
        <v>2802</v>
      </c>
      <c r="B2834" s="3" t="str">
        <f t="shared" si="1"/>
        <v>0.1</v>
      </c>
      <c r="C2834" s="2" t="s">
        <v>2802</v>
      </c>
    </row>
    <row r="2835" ht="12.75" customHeight="1">
      <c r="A2835" s="3" t="s">
        <v>3512</v>
      </c>
      <c r="B2835" s="3" t="str">
        <f t="shared" si="1"/>
        <v>30, 35, GLOOM</v>
      </c>
      <c r="C2835" s="2" t="s">
        <v>3512</v>
      </c>
    </row>
    <row r="2836" ht="12.75" customHeight="1">
      <c r="A2836" s="3" t="s">
        <v>3513</v>
      </c>
      <c r="B2836" s="3" t="str">
        <f t="shared" si="1"/>
        <v>30, 35, DODUO</v>
      </c>
      <c r="C2836" s="2" t="s">
        <v>3513</v>
      </c>
    </row>
    <row r="2837" ht="12.75" customHeight="1">
      <c r="A2837" s="3" t="s">
        <v>3473</v>
      </c>
      <c r="B2837" s="3" t="str">
        <f t="shared" si="1"/>
        <v>32, 32, PIDGEOT</v>
      </c>
      <c r="C2837" s="2" t="s">
        <v>3473</v>
      </c>
    </row>
    <row r="2838" ht="12.75" customHeight="1">
      <c r="A2838" s="3" t="s">
        <v>3514</v>
      </c>
      <c r="B2838" s="3" t="str">
        <f t="shared" si="1"/>
        <v>30, 32, LICKITUNG</v>
      </c>
      <c r="C2838" s="2" t="s">
        <v>3514</v>
      </c>
    </row>
    <row r="2839" ht="12.75" customHeight="1">
      <c r="A2839" s="3"/>
      <c r="B2839" s="3" t="str">
        <f t="shared" si="1"/>
        <v/>
      </c>
      <c r="C2839" s="2" t="s">
        <v>2801</v>
      </c>
    </row>
    <row r="2840" ht="12.75" customHeight="1">
      <c r="A2840" s="3" t="s">
        <v>2807</v>
      </c>
      <c r="B2840" s="3" t="str">
        <f t="shared" si="1"/>
        <v>0.05</v>
      </c>
      <c r="C2840" s="2" t="s">
        <v>2807</v>
      </c>
    </row>
    <row r="2841" ht="12.75" customHeight="1">
      <c r="A2841" s="3" t="s">
        <v>3515</v>
      </c>
      <c r="B2841" s="3" t="str">
        <f t="shared" si="1"/>
        <v>31, 35, TAUROS</v>
      </c>
      <c r="C2841" s="2" t="s">
        <v>3515</v>
      </c>
    </row>
    <row r="2842" ht="12.75" customHeight="1">
      <c r="A2842" s="3" t="s">
        <v>3516</v>
      </c>
      <c r="B2842" s="3" t="str">
        <f t="shared" si="1"/>
        <v>31, 35, "MR. MIME"</v>
      </c>
      <c r="C2842" s="2" t="s">
        <v>3516</v>
      </c>
    </row>
    <row r="2843" ht="12.75" customHeight="1">
      <c r="A2843" s="3"/>
      <c r="B2843" s="3" t="str">
        <f t="shared" si="1"/>
        <v/>
      </c>
      <c r="C2843" s="2" t="s">
        <v>2801</v>
      </c>
    </row>
    <row r="2844" ht="12.75" customHeight="1">
      <c r="A2844" s="3" t="s">
        <v>2810</v>
      </c>
      <c r="B2844" s="3" t="str">
        <f t="shared" si="1"/>
        <v>0.04</v>
      </c>
      <c r="C2844" s="2" t="s">
        <v>2810</v>
      </c>
    </row>
    <row r="2845" ht="12.75" customHeight="1">
      <c r="A2845" s="3" t="s">
        <v>3477</v>
      </c>
      <c r="B2845" s="3" t="str">
        <f t="shared" si="1"/>
        <v>32, 32, DODRIO</v>
      </c>
      <c r="C2845" s="2" t="s">
        <v>3477</v>
      </c>
    </row>
    <row r="2846" ht="12.75" customHeight="1">
      <c r="A2846" s="3" t="s">
        <v>3517</v>
      </c>
      <c r="B2846" s="3" t="str">
        <f t="shared" si="1"/>
        <v>32, 32, LICKILICKY</v>
      </c>
      <c r="C2846" s="2" t="s">
        <v>3517</v>
      </c>
    </row>
    <row r="2847" ht="12.75" customHeight="1">
      <c r="A2847" s="3"/>
      <c r="B2847" s="3" t="str">
        <f t="shared" si="1"/>
        <v/>
      </c>
      <c r="C2847" s="2" t="s">
        <v>2801</v>
      </c>
    </row>
    <row r="2848" ht="12.75" customHeight="1">
      <c r="A2848" s="3" t="s">
        <v>2813</v>
      </c>
      <c r="B2848" s="3" t="str">
        <f t="shared" si="1"/>
        <v>0.01</v>
      </c>
      <c r="C2848" s="2" t="s">
        <v>2813</v>
      </c>
    </row>
    <row r="2849" ht="12.75" customHeight="1">
      <c r="A2849" s="3" t="s">
        <v>3518</v>
      </c>
      <c r="B2849" s="3" t="str">
        <f t="shared" si="1"/>
        <v>30, 35, VILEPLUME</v>
      </c>
      <c r="C2849" s="2" t="s">
        <v>3518</v>
      </c>
    </row>
    <row r="2850" ht="12.75" customHeight="1">
      <c r="A2850" s="3" t="s">
        <v>3510</v>
      </c>
      <c r="B2850" s="3" t="str">
        <f t="shared" si="1"/>
        <v>20, 25, BULBASAUR , &lt;null&gt;, &lt;null&gt;, &lt;null&gt;</v>
      </c>
      <c r="C2850" s="2" t="s">
        <v>3510</v>
      </c>
    </row>
    <row r="2851" ht="12.75" customHeight="1">
      <c r="A2851" s="3"/>
      <c r="B2851" s="3" t="str">
        <f t="shared" si="1"/>
        <v/>
      </c>
      <c r="C2851" s="2" t="s">
        <v>2801</v>
      </c>
    </row>
    <row r="2852" ht="12.75" customHeight="1">
      <c r="A2852" s="3" t="s">
        <v>2539</v>
      </c>
      <c r="B2852" s="3" t="str">
        <f t="shared" si="1"/>
        <v>NEW ROUTE</v>
      </c>
      <c r="C2852" s="2" t="s">
        <v>2539</v>
      </c>
    </row>
    <row r="2853" ht="12.75" customHeight="1">
      <c r="A2853" s="3" t="s">
        <v>3519</v>
      </c>
      <c r="B2853" s="3" t="str">
        <f t="shared" si="1"/>
        <v>3, 36, 0,</v>
      </c>
      <c r="C2853" s="2" t="s">
        <v>3519</v>
      </c>
    </row>
    <row r="2854" ht="12.75" customHeight="1">
      <c r="A2854" s="3" t="s">
        <v>2909</v>
      </c>
      <c r="B2854" s="3" t="str">
        <f t="shared" si="1"/>
        <v>20%</v>
      </c>
      <c r="C2854" s="2" t="s">
        <v>2799</v>
      </c>
    </row>
    <row r="2855" ht="12.75" customHeight="1">
      <c r="A2855" s="3" t="s">
        <v>1150</v>
      </c>
      <c r="B2855" s="3" t="str">
        <f t="shared" si="1"/>
        <v>32, 36, ODDISH</v>
      </c>
      <c r="C2855" s="2" t="s">
        <v>1150</v>
      </c>
    </row>
    <row r="2856" ht="12.75" customHeight="1">
      <c r="A2856" s="3" t="s">
        <v>3481</v>
      </c>
      <c r="B2856" s="3" t="str">
        <f t="shared" si="1"/>
        <v>32, 36, PIDGEOTTO</v>
      </c>
      <c r="C2856" s="2" t="s">
        <v>3481</v>
      </c>
    </row>
    <row r="2857" ht="12.75" customHeight="1">
      <c r="A2857" s="3"/>
      <c r="B2857" s="3" t="str">
        <f t="shared" si="1"/>
        <v/>
      </c>
      <c r="C2857" s="2" t="s">
        <v>2801</v>
      </c>
    </row>
    <row r="2858" ht="12.75" customHeight="1">
      <c r="A2858" s="3" t="s">
        <v>2802</v>
      </c>
      <c r="B2858" s="3" t="str">
        <f t="shared" si="1"/>
        <v>0.1</v>
      </c>
      <c r="C2858" s="2" t="s">
        <v>2802</v>
      </c>
    </row>
    <row r="2859" ht="12.75" customHeight="1">
      <c r="A2859" s="3" t="s">
        <v>3520</v>
      </c>
      <c r="B2859" s="3" t="str">
        <f t="shared" si="1"/>
        <v>31, 33, GLOOM</v>
      </c>
      <c r="C2859" s="2" t="s">
        <v>3520</v>
      </c>
    </row>
    <row r="2860" ht="12.75" customHeight="1">
      <c r="A2860" s="3" t="s">
        <v>3483</v>
      </c>
      <c r="B2860" s="3" t="str">
        <f t="shared" si="1"/>
        <v>31, 33, DODUO</v>
      </c>
      <c r="C2860" s="2" t="s">
        <v>3483</v>
      </c>
    </row>
    <row r="2861" ht="12.75" customHeight="1">
      <c r="A2861" s="3" t="s">
        <v>3484</v>
      </c>
      <c r="B2861" s="3" t="str">
        <f t="shared" si="1"/>
        <v>33, 33, PIDGEOT</v>
      </c>
      <c r="C2861" s="2" t="s">
        <v>3484</v>
      </c>
    </row>
    <row r="2862" ht="12.75" customHeight="1">
      <c r="A2862" s="3" t="s">
        <v>3521</v>
      </c>
      <c r="B2862" s="3" t="str">
        <f t="shared" si="1"/>
        <v>31, 33, LICKITUNG</v>
      </c>
      <c r="C2862" s="2" t="s">
        <v>3521</v>
      </c>
    </row>
    <row r="2863" ht="12.75" customHeight="1">
      <c r="A2863" s="3"/>
      <c r="B2863" s="3" t="str">
        <f t="shared" si="1"/>
        <v/>
      </c>
      <c r="C2863" s="2" t="s">
        <v>2801</v>
      </c>
    </row>
    <row r="2864" ht="12.75" customHeight="1">
      <c r="A2864" s="3" t="s">
        <v>2807</v>
      </c>
      <c r="B2864" s="3" t="str">
        <f t="shared" si="1"/>
        <v>0.05</v>
      </c>
      <c r="C2864" s="2" t="s">
        <v>2807</v>
      </c>
    </row>
    <row r="2865" ht="12.75" customHeight="1">
      <c r="A2865" s="3" t="s">
        <v>3522</v>
      </c>
      <c r="B2865" s="3" t="str">
        <f t="shared" si="1"/>
        <v>32, 36, TAUROS</v>
      </c>
      <c r="C2865" s="2" t="s">
        <v>3522</v>
      </c>
    </row>
    <row r="2866" ht="12.75" customHeight="1">
      <c r="A2866" s="3" t="s">
        <v>3523</v>
      </c>
      <c r="B2866" s="3" t="str">
        <f t="shared" si="1"/>
        <v>32, 36, "MR. MIME"</v>
      </c>
      <c r="C2866" s="2" t="s">
        <v>3523</v>
      </c>
    </row>
    <row r="2867" ht="12.75" customHeight="1">
      <c r="A2867" s="3"/>
      <c r="B2867" s="3" t="str">
        <f t="shared" si="1"/>
        <v/>
      </c>
      <c r="C2867" s="2" t="s">
        <v>2801</v>
      </c>
    </row>
    <row r="2868" ht="12.75" customHeight="1">
      <c r="A2868" s="3" t="s">
        <v>2810</v>
      </c>
      <c r="B2868" s="3" t="str">
        <f t="shared" si="1"/>
        <v>0.04</v>
      </c>
      <c r="C2868" s="2" t="s">
        <v>2810</v>
      </c>
    </row>
    <row r="2869" ht="12.75" customHeight="1">
      <c r="A2869" s="3" t="s">
        <v>3524</v>
      </c>
      <c r="B2869" s="3" t="str">
        <f t="shared" si="1"/>
        <v>34, 36, DODRIO</v>
      </c>
      <c r="C2869" s="2" t="s">
        <v>3524</v>
      </c>
    </row>
    <row r="2870" ht="12.75" customHeight="1">
      <c r="A2870" s="3" t="s">
        <v>3525</v>
      </c>
      <c r="B2870" s="3" t="str">
        <f t="shared" si="1"/>
        <v>33, 33, LICKILICKY</v>
      </c>
      <c r="C2870" s="2" t="s">
        <v>3525</v>
      </c>
    </row>
    <row r="2871" ht="12.75" customHeight="1">
      <c r="A2871" s="3"/>
      <c r="B2871" s="3" t="str">
        <f t="shared" si="1"/>
        <v/>
      </c>
      <c r="C2871" s="2" t="s">
        <v>2801</v>
      </c>
    </row>
    <row r="2872" ht="12.75" customHeight="1">
      <c r="A2872" s="3" t="s">
        <v>2813</v>
      </c>
      <c r="B2872" s="3" t="str">
        <f t="shared" si="1"/>
        <v>0.01</v>
      </c>
      <c r="C2872" s="2" t="s">
        <v>2813</v>
      </c>
    </row>
    <row r="2873" ht="12.75" customHeight="1">
      <c r="A2873" s="3" t="s">
        <v>3526</v>
      </c>
      <c r="B2873" s="3" t="str">
        <f t="shared" si="1"/>
        <v>31, 36, VILEPLUME</v>
      </c>
      <c r="C2873" s="2" t="s">
        <v>3526</v>
      </c>
    </row>
    <row r="2874" ht="12.75" customHeight="1">
      <c r="A2874" s="3" t="s">
        <v>3510</v>
      </c>
      <c r="B2874" s="3" t="str">
        <f t="shared" si="1"/>
        <v>20, 25, BULBASAUR , &lt;null&gt;, &lt;null&gt;, &lt;null&gt;</v>
      </c>
      <c r="C2874" s="2" t="s">
        <v>3510</v>
      </c>
    </row>
    <row r="2875" ht="12.75" customHeight="1">
      <c r="A2875" s="3"/>
      <c r="B2875" s="3" t="str">
        <f t="shared" si="1"/>
        <v/>
      </c>
      <c r="C2875" s="2" t="s">
        <v>2801</v>
      </c>
    </row>
    <row r="2876" ht="12.75" customHeight="1">
      <c r="A2876" s="3" t="s">
        <v>2539</v>
      </c>
      <c r="B2876" s="3" t="str">
        <f t="shared" si="1"/>
        <v>NEW ROUTE</v>
      </c>
      <c r="C2876" s="2" t="s">
        <v>2539</v>
      </c>
    </row>
    <row r="2877" ht="12.75" customHeight="1">
      <c r="A2877" s="3" t="s">
        <v>3527</v>
      </c>
      <c r="B2877" s="3" t="str">
        <f t="shared" si="1"/>
        <v>3, 37, 0, &lt;null&gt;,</v>
      </c>
      <c r="C2877" s="2" t="s">
        <v>3527</v>
      </c>
    </row>
    <row r="2878" ht="12.75" customHeight="1">
      <c r="A2878" s="3"/>
      <c r="B2878" s="3" t="str">
        <f t="shared" si="1"/>
        <v/>
      </c>
      <c r="C2878" s="2" t="s">
        <v>2801</v>
      </c>
    </row>
    <row r="2879" ht="12.75" customHeight="1">
      <c r="A2879" s="3" t="s">
        <v>3350</v>
      </c>
      <c r="B2879" s="3" t="str">
        <f t="shared" si="1"/>
        <v>2, 38, 42, TENTACOOL</v>
      </c>
      <c r="C2879" s="2" t="s">
        <v>3350</v>
      </c>
    </row>
    <row r="2880" ht="12.75" customHeight="1">
      <c r="A2880" s="3" t="s">
        <v>3429</v>
      </c>
      <c r="B2880" s="3" t="str">
        <f t="shared" si="1"/>
        <v>40, 44, TENTACRUEL</v>
      </c>
      <c r="C2880" s="2" t="s">
        <v>3429</v>
      </c>
    </row>
    <row r="2881" ht="12.75" customHeight="1">
      <c r="A2881" s="3" t="s">
        <v>3430</v>
      </c>
      <c r="B2881" s="3" t="str">
        <f t="shared" si="1"/>
        <v>42, 46, TENTACATE</v>
      </c>
      <c r="C2881" s="2" t="s">
        <v>3430</v>
      </c>
    </row>
    <row r="2882" ht="12.75" customHeight="1">
      <c r="A2882" s="3" t="s">
        <v>3025</v>
      </c>
      <c r="B2882" s="3" t="str">
        <f t="shared" si="1"/>
        <v>42, 46, LAPRAS</v>
      </c>
      <c r="C2882" s="2" t="s">
        <v>3025</v>
      </c>
    </row>
    <row r="2883" ht="12.75" customHeight="1">
      <c r="A2883" s="3" t="s">
        <v>3450</v>
      </c>
      <c r="B2883" s="3" t="str">
        <f t="shared" si="1"/>
        <v>44, 48, LOCHLASS</v>
      </c>
      <c r="C2883" s="2" t="s">
        <v>3450</v>
      </c>
    </row>
    <row r="2884" ht="12.75" customHeight="1">
      <c r="A2884" s="3" t="s">
        <v>2926</v>
      </c>
      <c r="B2884" s="3" t="str">
        <f t="shared" si="1"/>
        <v>20, old rod:</v>
      </c>
      <c r="C2884" s="2" t="s">
        <v>2926</v>
      </c>
    </row>
    <row r="2885" ht="12.75" customHeight="1">
      <c r="A2885" s="3" t="s">
        <v>1159</v>
      </c>
      <c r="B2885" s="3" t="str">
        <f t="shared" si="1"/>
        <v>19, 26, PSYDUCK</v>
      </c>
      <c r="C2885" s="2" t="s">
        <v>1159</v>
      </c>
    </row>
    <row r="2886" ht="12.75" customHeight="1">
      <c r="A2886" s="3" t="s">
        <v>602</v>
      </c>
      <c r="B2886" s="3" t="str">
        <f t="shared" si="1"/>
        <v>19, 26, HORSEA</v>
      </c>
      <c r="C2886" s="2" t="s">
        <v>602</v>
      </c>
    </row>
    <row r="2887" ht="12.75" customHeight="1">
      <c r="A2887" s="3"/>
      <c r="B2887" s="3" t="str">
        <f t="shared" si="1"/>
        <v/>
      </c>
      <c r="C2887" s="2" t="s">
        <v>2801</v>
      </c>
    </row>
    <row r="2888" ht="12.75" customHeight="1">
      <c r="A2888" s="3" t="s">
        <v>2847</v>
      </c>
      <c r="B2888" s="3" t="str">
        <f t="shared" si="1"/>
        <v>good rod:</v>
      </c>
      <c r="C2888" s="2" t="s">
        <v>2847</v>
      </c>
    </row>
    <row r="2889" ht="12.75" customHeight="1">
      <c r="A2889" s="3" t="s">
        <v>3027</v>
      </c>
      <c r="B2889" s="3" t="str">
        <f t="shared" si="1"/>
        <v>29, 33, SEADRA</v>
      </c>
      <c r="C2889" s="2" t="s">
        <v>3027</v>
      </c>
    </row>
    <row r="2890" ht="12.75" customHeight="1">
      <c r="A2890" s="3" t="s">
        <v>3028</v>
      </c>
      <c r="B2890" s="3" t="str">
        <f t="shared" si="1"/>
        <v>30, 35, KRABBY</v>
      </c>
      <c r="C2890" s="2" t="s">
        <v>3028</v>
      </c>
    </row>
    <row r="2891" ht="12.75" customHeight="1">
      <c r="A2891" s="3" t="s">
        <v>3029</v>
      </c>
      <c r="B2891" s="3" t="str">
        <f t="shared" si="1"/>
        <v>30, 35, GOLDUCK</v>
      </c>
      <c r="C2891" s="2" t="s">
        <v>3029</v>
      </c>
    </row>
    <row r="2892" ht="12.75" customHeight="1">
      <c r="A2892" s="3"/>
      <c r="B2892" s="3" t="str">
        <f t="shared" si="1"/>
        <v/>
      </c>
      <c r="C2892" s="2" t="s">
        <v>2801</v>
      </c>
    </row>
    <row r="2893" ht="12.75" customHeight="1">
      <c r="A2893" s="3" t="s">
        <v>2851</v>
      </c>
      <c r="B2893" s="3" t="str">
        <f t="shared" si="1"/>
        <v>super rod:</v>
      </c>
      <c r="C2893" s="2" t="s">
        <v>2851</v>
      </c>
    </row>
    <row r="2894" ht="12.75" customHeight="1">
      <c r="A2894" s="3" t="s">
        <v>3030</v>
      </c>
      <c r="B2894" s="3" t="str">
        <f t="shared" si="1"/>
        <v>36, 40, KINGDRA</v>
      </c>
      <c r="C2894" s="2" t="s">
        <v>3030</v>
      </c>
    </row>
    <row r="2895" ht="12.75" customHeight="1">
      <c r="A2895" s="3" t="s">
        <v>3528</v>
      </c>
      <c r="B2895" s="3" t="str">
        <f t="shared" si="1"/>
        <v>36, 40, KINGLER</v>
      </c>
      <c r="C2895" s="2" t="s">
        <v>3528</v>
      </c>
    </row>
    <row r="2896" ht="12.75" customHeight="1">
      <c r="A2896" s="3" t="s">
        <v>3032</v>
      </c>
      <c r="B2896" s="3" t="str">
        <f t="shared" si="1"/>
        <v>38, 42, GILDUCK</v>
      </c>
      <c r="C2896" s="2" t="s">
        <v>3032</v>
      </c>
    </row>
    <row r="2897" ht="12.75" customHeight="1">
      <c r="A2897" s="3" t="s">
        <v>3033</v>
      </c>
      <c r="B2897" s="3" t="str">
        <f t="shared" si="1"/>
        <v>38, 42, KRAKLAW</v>
      </c>
      <c r="C2897" s="2" t="s">
        <v>3033</v>
      </c>
    </row>
    <row r="2898" ht="12.75" customHeight="1">
      <c r="A2898" s="3" t="s">
        <v>3034</v>
      </c>
      <c r="B2898" s="3" t="str">
        <f t="shared" si="1"/>
        <v>40, 44, LORDRA</v>
      </c>
      <c r="C2898" s="2" t="s">
        <v>3034</v>
      </c>
    </row>
    <row r="2899" ht="12.75" customHeight="1">
      <c r="A2899" s="3" t="s">
        <v>2539</v>
      </c>
      <c r="B2899" s="3" t="str">
        <f t="shared" si="1"/>
        <v>NEW ROUTE</v>
      </c>
      <c r="C2899" s="2" t="s">
        <v>2539</v>
      </c>
    </row>
    <row r="2900" ht="12.75" customHeight="1">
      <c r="A2900" s="3" t="s">
        <v>3529</v>
      </c>
      <c r="B2900" s="3" t="str">
        <f t="shared" si="1"/>
        <v>3, 38, 0, &lt;null&gt;,</v>
      </c>
      <c r="C2900" s="2" t="s">
        <v>3529</v>
      </c>
    </row>
    <row r="2901" ht="12.75" customHeight="1">
      <c r="A2901" s="3"/>
      <c r="B2901" s="3" t="str">
        <f t="shared" si="1"/>
        <v/>
      </c>
      <c r="C2901" s="2" t="s">
        <v>2801</v>
      </c>
    </row>
    <row r="2902" ht="12.75" customHeight="1">
      <c r="A2902" s="3" t="s">
        <v>3350</v>
      </c>
      <c r="B2902" s="3" t="str">
        <f t="shared" si="1"/>
        <v>2, 38, 42, TENTACOOL</v>
      </c>
      <c r="C2902" s="2" t="s">
        <v>3350</v>
      </c>
    </row>
    <row r="2903" ht="12.75" customHeight="1">
      <c r="A2903" s="3" t="s">
        <v>3429</v>
      </c>
      <c r="B2903" s="3" t="str">
        <f t="shared" si="1"/>
        <v>40, 44, TENTACRUEL</v>
      </c>
      <c r="C2903" s="2" t="s">
        <v>3429</v>
      </c>
    </row>
    <row r="2904" ht="12.75" customHeight="1">
      <c r="A2904" s="3" t="s">
        <v>3430</v>
      </c>
      <c r="B2904" s="3" t="str">
        <f t="shared" si="1"/>
        <v>42, 46, TENTACATE</v>
      </c>
      <c r="C2904" s="2" t="s">
        <v>3430</v>
      </c>
    </row>
    <row r="2905" ht="12.75" customHeight="1">
      <c r="A2905" s="3" t="s">
        <v>3025</v>
      </c>
      <c r="B2905" s="3" t="str">
        <f t="shared" si="1"/>
        <v>42, 46, LAPRAS</v>
      </c>
      <c r="C2905" s="2" t="s">
        <v>3025</v>
      </c>
    </row>
    <row r="2906" ht="12.75" customHeight="1">
      <c r="A2906" s="3" t="s">
        <v>3450</v>
      </c>
      <c r="B2906" s="3" t="str">
        <f t="shared" si="1"/>
        <v>44, 48, LOCHLASS</v>
      </c>
      <c r="C2906" s="2" t="s">
        <v>3450</v>
      </c>
    </row>
    <row r="2907" ht="12.75" customHeight="1">
      <c r="A2907" s="3" t="s">
        <v>2926</v>
      </c>
      <c r="B2907" s="3" t="str">
        <f t="shared" si="1"/>
        <v>20, old rod:</v>
      </c>
      <c r="C2907" s="2" t="s">
        <v>2926</v>
      </c>
    </row>
    <row r="2908" ht="12.75" customHeight="1">
      <c r="A2908" s="3" t="s">
        <v>1159</v>
      </c>
      <c r="B2908" s="3" t="str">
        <f t="shared" si="1"/>
        <v>19, 26, PSYDUCK</v>
      </c>
      <c r="C2908" s="2" t="s">
        <v>1159</v>
      </c>
    </row>
    <row r="2909" ht="12.75" customHeight="1">
      <c r="A2909" s="3" t="s">
        <v>602</v>
      </c>
      <c r="B2909" s="3" t="str">
        <f t="shared" si="1"/>
        <v>19, 26, HORSEA</v>
      </c>
      <c r="C2909" s="2" t="s">
        <v>602</v>
      </c>
    </row>
    <row r="2910" ht="12.75" customHeight="1">
      <c r="A2910" s="3"/>
      <c r="B2910" s="3" t="str">
        <f t="shared" si="1"/>
        <v/>
      </c>
      <c r="C2910" s="2" t="s">
        <v>2801</v>
      </c>
    </row>
    <row r="2911" ht="12.75" customHeight="1">
      <c r="A2911" s="3" t="s">
        <v>2847</v>
      </c>
      <c r="B2911" s="3" t="str">
        <f t="shared" si="1"/>
        <v>good rod:</v>
      </c>
      <c r="C2911" s="2" t="s">
        <v>2847</v>
      </c>
    </row>
    <row r="2912" ht="12.75" customHeight="1">
      <c r="A2912" s="3" t="s">
        <v>3027</v>
      </c>
      <c r="B2912" s="3" t="str">
        <f t="shared" si="1"/>
        <v>29, 33, SEADRA</v>
      </c>
      <c r="C2912" s="2" t="s">
        <v>3027</v>
      </c>
    </row>
    <row r="2913" ht="12.75" customHeight="1">
      <c r="A2913" s="3" t="s">
        <v>3028</v>
      </c>
      <c r="B2913" s="3" t="str">
        <f t="shared" si="1"/>
        <v>30, 35, KRABBY</v>
      </c>
      <c r="C2913" s="2" t="s">
        <v>3028</v>
      </c>
    </row>
    <row r="2914" ht="12.75" customHeight="1">
      <c r="A2914" s="3" t="s">
        <v>3029</v>
      </c>
      <c r="B2914" s="3" t="str">
        <f t="shared" si="1"/>
        <v>30, 35, GOLDUCK</v>
      </c>
      <c r="C2914" s="2" t="s">
        <v>3029</v>
      </c>
    </row>
    <row r="2915" ht="12.75" customHeight="1">
      <c r="A2915" s="3"/>
      <c r="B2915" s="3" t="str">
        <f t="shared" si="1"/>
        <v/>
      </c>
      <c r="C2915" s="2" t="s">
        <v>2801</v>
      </c>
    </row>
    <row r="2916" ht="12.75" customHeight="1">
      <c r="A2916" s="3" t="s">
        <v>2851</v>
      </c>
      <c r="B2916" s="3" t="str">
        <f t="shared" si="1"/>
        <v>super rod:</v>
      </c>
      <c r="C2916" s="2" t="s">
        <v>2851</v>
      </c>
    </row>
    <row r="2917" ht="12.75" customHeight="1">
      <c r="A2917" s="3" t="s">
        <v>3030</v>
      </c>
      <c r="B2917" s="3" t="str">
        <f t="shared" si="1"/>
        <v>36, 40, KINGDRA</v>
      </c>
      <c r="C2917" s="2" t="s">
        <v>3030</v>
      </c>
    </row>
    <row r="2918" ht="12.75" customHeight="1">
      <c r="A2918" s="3" t="s">
        <v>3528</v>
      </c>
      <c r="B2918" s="3" t="str">
        <f t="shared" si="1"/>
        <v>36, 40, KINGLER</v>
      </c>
      <c r="C2918" s="2" t="s">
        <v>3528</v>
      </c>
    </row>
    <row r="2919" ht="12.75" customHeight="1">
      <c r="A2919" s="3" t="s">
        <v>3032</v>
      </c>
      <c r="B2919" s="3" t="str">
        <f t="shared" si="1"/>
        <v>38, 42, GILDUCK</v>
      </c>
      <c r="C2919" s="2" t="s">
        <v>3032</v>
      </c>
    </row>
    <row r="2920" ht="12.75" customHeight="1">
      <c r="A2920" s="3" t="s">
        <v>3033</v>
      </c>
      <c r="B2920" s="3" t="str">
        <f t="shared" si="1"/>
        <v>38, 42, KRAKLAW</v>
      </c>
      <c r="C2920" s="2" t="s">
        <v>3033</v>
      </c>
    </row>
    <row r="2921" ht="12.75" customHeight="1">
      <c r="A2921" s="3" t="s">
        <v>3034</v>
      </c>
      <c r="B2921" s="3" t="str">
        <f t="shared" si="1"/>
        <v>40, 44, LORDRA</v>
      </c>
      <c r="C2921" s="2" t="s">
        <v>3034</v>
      </c>
    </row>
    <row r="2922" ht="12.75" customHeight="1">
      <c r="A2922" s="3" t="s">
        <v>2539</v>
      </c>
      <c r="B2922" s="3" t="str">
        <f t="shared" si="1"/>
        <v>NEW ROUTE</v>
      </c>
      <c r="C2922" s="2" t="s">
        <v>2539</v>
      </c>
    </row>
    <row r="2923" ht="12.75" customHeight="1">
      <c r="A2923" s="3" t="s">
        <v>3530</v>
      </c>
      <c r="B2923" s="3" t="str">
        <f t="shared" si="1"/>
        <v>3, 39, 0,</v>
      </c>
      <c r="C2923" s="2" t="s">
        <v>3530</v>
      </c>
    </row>
    <row r="2924" ht="12.75" customHeight="1">
      <c r="A2924" s="3" t="s">
        <v>2798</v>
      </c>
      <c r="B2924" s="3" t="str">
        <f t="shared" si="1"/>
        <v>20%</v>
      </c>
      <c r="C2924" s="2" t="s">
        <v>2799</v>
      </c>
    </row>
    <row r="2925" ht="12.75" customHeight="1">
      <c r="A2925" s="3" t="s">
        <v>1164</v>
      </c>
      <c r="B2925" s="3" t="str">
        <f t="shared" si="1"/>
        <v>39, 46, TANGROWTH</v>
      </c>
      <c r="C2925" s="2" t="s">
        <v>1164</v>
      </c>
    </row>
    <row r="2926" ht="12.75" customHeight="1">
      <c r="A2926" s="3" t="s">
        <v>3531</v>
      </c>
      <c r="B2926" s="3" t="str">
        <f t="shared" si="1"/>
        <v>39, 46, EXEGGUTOR</v>
      </c>
      <c r="C2926" s="2" t="s">
        <v>3531</v>
      </c>
    </row>
    <row r="2927" ht="12.75" customHeight="1">
      <c r="A2927" s="3"/>
      <c r="B2927" s="3" t="str">
        <f t="shared" si="1"/>
        <v/>
      </c>
      <c r="C2927" s="2" t="s">
        <v>2801</v>
      </c>
    </row>
    <row r="2928" ht="12.75" customHeight="1">
      <c r="A2928" s="3" t="s">
        <v>2802</v>
      </c>
      <c r="B2928" s="3" t="str">
        <f t="shared" si="1"/>
        <v>0.1</v>
      </c>
      <c r="C2928" s="2" t="s">
        <v>2802</v>
      </c>
    </row>
    <row r="2929" ht="12.75" customHeight="1">
      <c r="A2929" s="3" t="s">
        <v>3532</v>
      </c>
      <c r="B2929" s="3" t="str">
        <f t="shared" si="1"/>
        <v>39, 42, DODRIO</v>
      </c>
      <c r="C2929" s="2" t="s">
        <v>3532</v>
      </c>
    </row>
    <row r="2930" ht="12.75" customHeight="1">
      <c r="A2930" s="3" t="s">
        <v>3533</v>
      </c>
      <c r="B2930" s="3" t="str">
        <f t="shared" si="1"/>
        <v>39, 42, GOLDUCK</v>
      </c>
      <c r="C2930" s="2" t="s">
        <v>3533</v>
      </c>
    </row>
    <row r="2931" ht="12.75" customHeight="1">
      <c r="A2931" s="3" t="s">
        <v>3534</v>
      </c>
      <c r="B2931" s="3" t="str">
        <f t="shared" si="1"/>
        <v>43, 46, DODRIO</v>
      </c>
      <c r="C2931" s="2" t="s">
        <v>3534</v>
      </c>
    </row>
    <row r="2932" ht="12.75" customHeight="1">
      <c r="A2932" s="3" t="s">
        <v>3535</v>
      </c>
      <c r="B2932" s="3" t="str">
        <f t="shared" si="1"/>
        <v>43, 46, GOLDUCK</v>
      </c>
      <c r="C2932" s="2" t="s">
        <v>3535</v>
      </c>
    </row>
    <row r="2933" ht="12.75" customHeight="1">
      <c r="A2933" s="3"/>
      <c r="B2933" s="3" t="str">
        <f t="shared" si="1"/>
        <v/>
      </c>
      <c r="C2933" s="2" t="s">
        <v>2801</v>
      </c>
    </row>
    <row r="2934" ht="12.75" customHeight="1">
      <c r="A2934" s="3" t="s">
        <v>2807</v>
      </c>
      <c r="B2934" s="3" t="str">
        <f t="shared" si="1"/>
        <v>0.05</v>
      </c>
      <c r="C2934" s="2" t="s">
        <v>2807</v>
      </c>
    </row>
    <row r="2935" ht="12.75" customHeight="1">
      <c r="A2935" s="3" t="s">
        <v>3536</v>
      </c>
      <c r="B2935" s="3" t="str">
        <f t="shared" si="1"/>
        <v>43, 50, TANGATHER</v>
      </c>
      <c r="C2935" s="2" t="s">
        <v>3536</v>
      </c>
    </row>
    <row r="2936" ht="12.75" customHeight="1">
      <c r="A2936" s="3" t="s">
        <v>3537</v>
      </c>
      <c r="B2936" s="3" t="str">
        <f t="shared" si="1"/>
        <v>43, 50, EXEGGITY</v>
      </c>
      <c r="C2936" s="2" t="s">
        <v>3537</v>
      </c>
    </row>
    <row r="2937" ht="12.75" customHeight="1">
      <c r="A2937" s="3"/>
      <c r="B2937" s="3" t="str">
        <f t="shared" si="1"/>
        <v/>
      </c>
      <c r="C2937" s="2" t="s">
        <v>2801</v>
      </c>
    </row>
    <row r="2938" ht="12.75" customHeight="1">
      <c r="A2938" s="3" t="s">
        <v>2810</v>
      </c>
      <c r="B2938" s="3" t="str">
        <f t="shared" si="1"/>
        <v>0.04</v>
      </c>
      <c r="C2938" s="2" t="s">
        <v>2810</v>
      </c>
    </row>
    <row r="2939" ht="12.75" customHeight="1">
      <c r="A2939" s="3" t="s">
        <v>3538</v>
      </c>
      <c r="B2939" s="3" t="str">
        <f t="shared" si="1"/>
        <v>43, 50, GILDUCK</v>
      </c>
      <c r="C2939" s="2" t="s">
        <v>3538</v>
      </c>
    </row>
    <row r="2940" ht="12.75" customHeight="1">
      <c r="A2940" s="3" t="s">
        <v>3539</v>
      </c>
      <c r="B2940" s="3" t="str">
        <f t="shared" si="1"/>
        <v>43, 50, QUADODO</v>
      </c>
      <c r="C2940" s="2" t="s">
        <v>3539</v>
      </c>
    </row>
    <row r="2941" ht="12.75" customHeight="1">
      <c r="A2941" s="3"/>
      <c r="B2941" s="3" t="str">
        <f t="shared" si="1"/>
        <v/>
      </c>
      <c r="C2941" s="2" t="s">
        <v>2801</v>
      </c>
    </row>
    <row r="2942" ht="12.75" customHeight="1">
      <c r="A2942" s="3" t="s">
        <v>2813</v>
      </c>
      <c r="B2942" s="3" t="str">
        <f t="shared" si="1"/>
        <v>0.01</v>
      </c>
      <c r="C2942" s="2" t="s">
        <v>2813</v>
      </c>
    </row>
    <row r="2943" ht="12.75" customHeight="1">
      <c r="A2943" s="3" t="s">
        <v>3540</v>
      </c>
      <c r="B2943" s="3" t="str">
        <f t="shared" si="1"/>
        <v>45, 52, TANGOLIATH</v>
      </c>
      <c r="C2943" s="2" t="s">
        <v>3540</v>
      </c>
    </row>
    <row r="2944" ht="12.75" customHeight="1">
      <c r="A2944" s="3" t="s">
        <v>3541</v>
      </c>
      <c r="B2944" s="3" t="str">
        <f t="shared" si="1"/>
        <v>44, 44, TANGOLIATH</v>
      </c>
      <c r="C2944" s="2" t="s">
        <v>3541</v>
      </c>
    </row>
    <row r="2945" ht="12.75" customHeight="1">
      <c r="A2945" s="3" t="s">
        <v>3350</v>
      </c>
      <c r="B2945" s="3" t="str">
        <f t="shared" si="1"/>
        <v>2, 38, 42, TENTACOOL</v>
      </c>
      <c r="C2945" s="2" t="s">
        <v>3350</v>
      </c>
    </row>
    <row r="2946" ht="12.75" customHeight="1">
      <c r="A2946" s="3" t="s">
        <v>3429</v>
      </c>
      <c r="B2946" s="3" t="str">
        <f t="shared" si="1"/>
        <v>40, 44, TENTACRUEL</v>
      </c>
      <c r="C2946" s="2" t="s">
        <v>3429</v>
      </c>
    </row>
    <row r="2947" ht="12.75" customHeight="1">
      <c r="A2947" s="3" t="s">
        <v>3430</v>
      </c>
      <c r="B2947" s="3" t="str">
        <f t="shared" si="1"/>
        <v>42, 46, TENTACATE</v>
      </c>
      <c r="C2947" s="2" t="s">
        <v>3430</v>
      </c>
    </row>
    <row r="2948" ht="12.75" customHeight="1">
      <c r="A2948" s="3" t="s">
        <v>3025</v>
      </c>
      <c r="B2948" s="3" t="str">
        <f t="shared" si="1"/>
        <v>42, 46, LAPRAS</v>
      </c>
      <c r="C2948" s="2" t="s">
        <v>3025</v>
      </c>
    </row>
    <row r="2949" ht="12.75" customHeight="1">
      <c r="A2949" s="3" t="s">
        <v>3450</v>
      </c>
      <c r="B2949" s="3" t="str">
        <f t="shared" si="1"/>
        <v>44, 48, LOCHLASS</v>
      </c>
      <c r="C2949" s="2" t="s">
        <v>3450</v>
      </c>
    </row>
    <row r="2950" ht="12.75" customHeight="1">
      <c r="A2950" s="3" t="s">
        <v>2926</v>
      </c>
      <c r="B2950" s="3" t="str">
        <f t="shared" si="1"/>
        <v>20, old rod:</v>
      </c>
      <c r="C2950" s="2" t="s">
        <v>2926</v>
      </c>
    </row>
    <row r="2951" ht="12.75" customHeight="1">
      <c r="A2951" s="3" t="s">
        <v>1159</v>
      </c>
      <c r="B2951" s="3" t="str">
        <f t="shared" si="1"/>
        <v>19, 26, PSYDUCK</v>
      </c>
      <c r="C2951" s="2" t="s">
        <v>1159</v>
      </c>
    </row>
    <row r="2952" ht="12.75" customHeight="1">
      <c r="A2952" s="3" t="s">
        <v>602</v>
      </c>
      <c r="B2952" s="3" t="str">
        <f t="shared" si="1"/>
        <v>19, 26, HORSEA</v>
      </c>
      <c r="C2952" s="2" t="s">
        <v>602</v>
      </c>
    </row>
    <row r="2953" ht="12.75" customHeight="1">
      <c r="A2953" s="3"/>
      <c r="B2953" s="3" t="str">
        <f t="shared" si="1"/>
        <v/>
      </c>
      <c r="C2953" s="2" t="s">
        <v>2801</v>
      </c>
    </row>
    <row r="2954" ht="12.75" customHeight="1">
      <c r="A2954" s="3" t="s">
        <v>2847</v>
      </c>
      <c r="B2954" s="3" t="str">
        <f t="shared" si="1"/>
        <v>good rod:</v>
      </c>
      <c r="C2954" s="2" t="s">
        <v>2847</v>
      </c>
    </row>
    <row r="2955" ht="12.75" customHeight="1">
      <c r="A2955" s="3" t="s">
        <v>3027</v>
      </c>
      <c r="B2955" s="3" t="str">
        <f t="shared" si="1"/>
        <v>29, 33, SEADRA</v>
      </c>
      <c r="C2955" s="2" t="s">
        <v>3027</v>
      </c>
    </row>
    <row r="2956" ht="12.75" customHeight="1">
      <c r="A2956" s="3" t="s">
        <v>3028</v>
      </c>
      <c r="B2956" s="3" t="str">
        <f t="shared" si="1"/>
        <v>30, 35, KRABBY</v>
      </c>
      <c r="C2956" s="2" t="s">
        <v>3028</v>
      </c>
    </row>
    <row r="2957" ht="12.75" customHeight="1">
      <c r="A2957" s="3" t="s">
        <v>3029</v>
      </c>
      <c r="B2957" s="3" t="str">
        <f t="shared" si="1"/>
        <v>30, 35, GOLDUCK</v>
      </c>
      <c r="C2957" s="2" t="s">
        <v>3029</v>
      </c>
    </row>
    <row r="2958" ht="12.75" customHeight="1">
      <c r="A2958" s="3"/>
      <c r="B2958" s="3" t="str">
        <f t="shared" si="1"/>
        <v/>
      </c>
      <c r="C2958" s="2" t="s">
        <v>2801</v>
      </c>
    </row>
    <row r="2959" ht="12.75" customHeight="1">
      <c r="A2959" s="3" t="s">
        <v>2851</v>
      </c>
      <c r="B2959" s="3" t="str">
        <f t="shared" si="1"/>
        <v>super rod:</v>
      </c>
      <c r="C2959" s="2" t="s">
        <v>2851</v>
      </c>
    </row>
    <row r="2960" ht="12.75" customHeight="1">
      <c r="A2960" s="3" t="s">
        <v>3030</v>
      </c>
      <c r="B2960" s="3" t="str">
        <f t="shared" si="1"/>
        <v>36, 40, KINGDRA</v>
      </c>
      <c r="C2960" s="2" t="s">
        <v>3030</v>
      </c>
    </row>
    <row r="2961" ht="12.75" customHeight="1">
      <c r="A2961" s="3" t="s">
        <v>3528</v>
      </c>
      <c r="B2961" s="3" t="str">
        <f t="shared" si="1"/>
        <v>36, 40, KINGLER</v>
      </c>
      <c r="C2961" s="2" t="s">
        <v>3528</v>
      </c>
    </row>
    <row r="2962" ht="12.75" customHeight="1">
      <c r="A2962" s="3" t="s">
        <v>3032</v>
      </c>
      <c r="B2962" s="3" t="str">
        <f t="shared" si="1"/>
        <v>38, 42, GILDUCK</v>
      </c>
      <c r="C2962" s="2" t="s">
        <v>3032</v>
      </c>
    </row>
    <row r="2963" ht="12.75" customHeight="1">
      <c r="A2963" s="3" t="s">
        <v>3033</v>
      </c>
      <c r="B2963" s="3" t="str">
        <f t="shared" si="1"/>
        <v>38, 42, KRAKLAW</v>
      </c>
      <c r="C2963" s="2" t="s">
        <v>3033</v>
      </c>
    </row>
    <row r="2964" ht="12.75" customHeight="1">
      <c r="A2964" s="3" t="s">
        <v>3034</v>
      </c>
      <c r="B2964" s="3" t="str">
        <f t="shared" si="1"/>
        <v>40, 44, LORDRA</v>
      </c>
      <c r="C2964" s="2" t="s">
        <v>3034</v>
      </c>
    </row>
    <row r="2965" ht="12.75" customHeight="1">
      <c r="A2965" s="3" t="s">
        <v>2539</v>
      </c>
      <c r="B2965" s="3" t="str">
        <f t="shared" si="1"/>
        <v>NEW ROUTE</v>
      </c>
      <c r="C2965" s="2" t="s">
        <v>2539</v>
      </c>
    </row>
    <row r="2966" ht="12.75" customHeight="1">
      <c r="A2966" s="3" t="s">
        <v>3542</v>
      </c>
      <c r="B2966" s="3" t="str">
        <f t="shared" si="1"/>
        <v>3, 40, 0,</v>
      </c>
      <c r="C2966" s="2" t="s">
        <v>3542</v>
      </c>
    </row>
    <row r="2967" ht="12.75" customHeight="1">
      <c r="A2967" s="3" t="s">
        <v>2798</v>
      </c>
      <c r="B2967" s="3" t="str">
        <f t="shared" si="1"/>
        <v>20%</v>
      </c>
      <c r="C2967" s="2" t="s">
        <v>2799</v>
      </c>
    </row>
    <row r="2968" ht="12.75" customHeight="1">
      <c r="A2968" s="3" t="s">
        <v>1164</v>
      </c>
      <c r="B2968" s="3" t="str">
        <f t="shared" si="1"/>
        <v>39, 46, TANGROWTH</v>
      </c>
      <c r="C2968" s="2" t="s">
        <v>1164</v>
      </c>
    </row>
    <row r="2969" ht="12.75" customHeight="1">
      <c r="A2969" s="3" t="s">
        <v>3531</v>
      </c>
      <c r="B2969" s="3" t="str">
        <f t="shared" si="1"/>
        <v>39, 46, EXEGGUTOR</v>
      </c>
      <c r="C2969" s="2" t="s">
        <v>3531</v>
      </c>
    </row>
    <row r="2970" ht="12.75" customHeight="1">
      <c r="A2970" s="3"/>
      <c r="B2970" s="3" t="str">
        <f t="shared" si="1"/>
        <v/>
      </c>
      <c r="C2970" s="2" t="s">
        <v>2801</v>
      </c>
    </row>
    <row r="2971" ht="12.75" customHeight="1">
      <c r="A2971" s="3" t="s">
        <v>2802</v>
      </c>
      <c r="B2971" s="3" t="str">
        <f t="shared" si="1"/>
        <v>0.1</v>
      </c>
      <c r="C2971" s="2" t="s">
        <v>2802</v>
      </c>
    </row>
    <row r="2972" ht="12.75" customHeight="1">
      <c r="A2972" s="3" t="s">
        <v>3532</v>
      </c>
      <c r="B2972" s="3" t="str">
        <f t="shared" si="1"/>
        <v>39, 42, DODRIO</v>
      </c>
      <c r="C2972" s="2" t="s">
        <v>3532</v>
      </c>
    </row>
    <row r="2973" ht="12.75" customHeight="1">
      <c r="A2973" s="3" t="s">
        <v>3533</v>
      </c>
      <c r="B2973" s="3" t="str">
        <f t="shared" si="1"/>
        <v>39, 42, GOLDUCK</v>
      </c>
      <c r="C2973" s="2" t="s">
        <v>3533</v>
      </c>
    </row>
    <row r="2974" ht="12.75" customHeight="1">
      <c r="A2974" s="3" t="s">
        <v>3534</v>
      </c>
      <c r="B2974" s="3" t="str">
        <f t="shared" si="1"/>
        <v>43, 46, DODRIO</v>
      </c>
      <c r="C2974" s="2" t="s">
        <v>3534</v>
      </c>
    </row>
    <row r="2975" ht="12.75" customHeight="1">
      <c r="A2975" s="3" t="s">
        <v>3535</v>
      </c>
      <c r="B2975" s="3" t="str">
        <f t="shared" si="1"/>
        <v>43, 46, GOLDUCK</v>
      </c>
      <c r="C2975" s="2" t="s">
        <v>3535</v>
      </c>
    </row>
    <row r="2976" ht="12.75" customHeight="1">
      <c r="A2976" s="3"/>
      <c r="B2976" s="3" t="str">
        <f t="shared" si="1"/>
        <v/>
      </c>
      <c r="C2976" s="2" t="s">
        <v>2801</v>
      </c>
    </row>
    <row r="2977" ht="12.75" customHeight="1">
      <c r="A2977" s="3" t="s">
        <v>2807</v>
      </c>
      <c r="B2977" s="3" t="str">
        <f t="shared" si="1"/>
        <v>0.05</v>
      </c>
      <c r="C2977" s="2" t="s">
        <v>2807</v>
      </c>
    </row>
    <row r="2978" ht="12.75" customHeight="1">
      <c r="A2978" s="3" t="s">
        <v>3536</v>
      </c>
      <c r="B2978" s="3" t="str">
        <f t="shared" si="1"/>
        <v>43, 50, TANGATHER</v>
      </c>
      <c r="C2978" s="2" t="s">
        <v>3536</v>
      </c>
    </row>
    <row r="2979" ht="12.75" customHeight="1">
      <c r="A2979" s="3" t="s">
        <v>3537</v>
      </c>
      <c r="B2979" s="3" t="str">
        <f t="shared" si="1"/>
        <v>43, 50, EXEGGITY</v>
      </c>
      <c r="C2979" s="2" t="s">
        <v>3537</v>
      </c>
    </row>
    <row r="2980" ht="12.75" customHeight="1">
      <c r="A2980" s="3"/>
      <c r="B2980" s="3" t="str">
        <f t="shared" si="1"/>
        <v/>
      </c>
      <c r="C2980" s="2" t="s">
        <v>2801</v>
      </c>
    </row>
    <row r="2981" ht="12.75" customHeight="1">
      <c r="A2981" s="3" t="s">
        <v>2810</v>
      </c>
      <c r="B2981" s="3" t="str">
        <f t="shared" si="1"/>
        <v>0.04</v>
      </c>
      <c r="C2981" s="2" t="s">
        <v>2810</v>
      </c>
    </row>
    <row r="2982" ht="12.75" customHeight="1">
      <c r="A2982" s="3" t="s">
        <v>3538</v>
      </c>
      <c r="B2982" s="3" t="str">
        <f t="shared" si="1"/>
        <v>43, 50, GILDUCK</v>
      </c>
      <c r="C2982" s="2" t="s">
        <v>3538</v>
      </c>
    </row>
    <row r="2983" ht="12.75" customHeight="1">
      <c r="A2983" s="3" t="s">
        <v>3539</v>
      </c>
      <c r="B2983" s="3" t="str">
        <f t="shared" si="1"/>
        <v>43, 50, QUADODO</v>
      </c>
      <c r="C2983" s="2" t="s">
        <v>3539</v>
      </c>
    </row>
    <row r="2984" ht="12.75" customHeight="1">
      <c r="A2984" s="3"/>
      <c r="B2984" s="3" t="str">
        <f t="shared" si="1"/>
        <v/>
      </c>
      <c r="C2984" s="2" t="s">
        <v>2801</v>
      </c>
    </row>
    <row r="2985" ht="12.75" customHeight="1">
      <c r="A2985" s="3" t="s">
        <v>2813</v>
      </c>
      <c r="B2985" s="3" t="str">
        <f t="shared" si="1"/>
        <v>0.01</v>
      </c>
      <c r="C2985" s="2" t="s">
        <v>2813</v>
      </c>
    </row>
    <row r="2986" ht="12.75" customHeight="1">
      <c r="A2986" s="3" t="s">
        <v>3540</v>
      </c>
      <c r="B2986" s="3" t="str">
        <f t="shared" si="1"/>
        <v>45, 52, TANGOLIATH</v>
      </c>
      <c r="C2986" s="2" t="s">
        <v>3540</v>
      </c>
    </row>
    <row r="2987" ht="12.75" customHeight="1">
      <c r="A2987" s="3" t="s">
        <v>3541</v>
      </c>
      <c r="B2987" s="3" t="str">
        <f t="shared" si="1"/>
        <v>44, 44, TANGOLIATH</v>
      </c>
      <c r="C2987" s="2" t="s">
        <v>3541</v>
      </c>
    </row>
    <row r="2988" ht="12.75" customHeight="1">
      <c r="A2988" s="3" t="s">
        <v>3350</v>
      </c>
      <c r="B2988" s="3" t="str">
        <f t="shared" si="1"/>
        <v>2, 38, 42, TENTACOOL</v>
      </c>
      <c r="C2988" s="2" t="s">
        <v>3350</v>
      </c>
    </row>
    <row r="2989" ht="12.75" customHeight="1">
      <c r="A2989" s="3" t="s">
        <v>3429</v>
      </c>
      <c r="B2989" s="3" t="str">
        <f t="shared" si="1"/>
        <v>40, 44, TENTACRUEL</v>
      </c>
      <c r="C2989" s="2" t="s">
        <v>3429</v>
      </c>
    </row>
    <row r="2990" ht="12.75" customHeight="1">
      <c r="A2990" s="3" t="s">
        <v>3430</v>
      </c>
      <c r="B2990" s="3" t="str">
        <f t="shared" si="1"/>
        <v>42, 46, TENTACATE</v>
      </c>
      <c r="C2990" s="2" t="s">
        <v>3430</v>
      </c>
    </row>
    <row r="2991" ht="12.75" customHeight="1">
      <c r="A2991" s="3" t="s">
        <v>3025</v>
      </c>
      <c r="B2991" s="3" t="str">
        <f t="shared" si="1"/>
        <v>42, 46, LAPRAS</v>
      </c>
      <c r="C2991" s="2" t="s">
        <v>3025</v>
      </c>
    </row>
    <row r="2992" ht="12.75" customHeight="1">
      <c r="A2992" s="3" t="s">
        <v>3450</v>
      </c>
      <c r="B2992" s="3" t="str">
        <f t="shared" si="1"/>
        <v>44, 48, LOCHLASS</v>
      </c>
      <c r="C2992" s="2" t="s">
        <v>3450</v>
      </c>
    </row>
    <row r="2993" ht="12.75" customHeight="1">
      <c r="A2993" s="3" t="s">
        <v>2926</v>
      </c>
      <c r="B2993" s="3" t="str">
        <f t="shared" si="1"/>
        <v>20, old rod:</v>
      </c>
      <c r="C2993" s="2" t="s">
        <v>2926</v>
      </c>
    </row>
    <row r="2994" ht="12.75" customHeight="1">
      <c r="A2994" s="3" t="s">
        <v>1159</v>
      </c>
      <c r="B2994" s="3" t="str">
        <f t="shared" si="1"/>
        <v>19, 26, PSYDUCK</v>
      </c>
      <c r="C2994" s="2" t="s">
        <v>1159</v>
      </c>
    </row>
    <row r="2995" ht="12.75" customHeight="1">
      <c r="A2995" s="3" t="s">
        <v>602</v>
      </c>
      <c r="B2995" s="3" t="str">
        <f t="shared" si="1"/>
        <v>19, 26, HORSEA</v>
      </c>
      <c r="C2995" s="2" t="s">
        <v>602</v>
      </c>
    </row>
    <row r="2996" ht="12.75" customHeight="1">
      <c r="A2996" s="3"/>
      <c r="B2996" s="3" t="str">
        <f t="shared" si="1"/>
        <v/>
      </c>
      <c r="C2996" s="2" t="s">
        <v>2801</v>
      </c>
    </row>
    <row r="2997" ht="12.75" customHeight="1">
      <c r="A2997" s="3" t="s">
        <v>2847</v>
      </c>
      <c r="B2997" s="3" t="str">
        <f t="shared" si="1"/>
        <v>good rod:</v>
      </c>
      <c r="C2997" s="2" t="s">
        <v>2847</v>
      </c>
    </row>
    <row r="2998" ht="12.75" customHeight="1">
      <c r="A2998" s="3" t="s">
        <v>3027</v>
      </c>
      <c r="B2998" s="3" t="str">
        <f t="shared" si="1"/>
        <v>29, 33, SEADRA</v>
      </c>
      <c r="C2998" s="2" t="s">
        <v>3027</v>
      </c>
    </row>
    <row r="2999" ht="12.75" customHeight="1">
      <c r="A2999" s="3" t="s">
        <v>3028</v>
      </c>
      <c r="B2999" s="3" t="str">
        <f t="shared" si="1"/>
        <v>30, 35, KRABBY</v>
      </c>
      <c r="C2999" s="2" t="s">
        <v>3028</v>
      </c>
    </row>
    <row r="3000" ht="12.75" customHeight="1">
      <c r="A3000" s="3" t="s">
        <v>3029</v>
      </c>
      <c r="B3000" s="3" t="str">
        <f t="shared" si="1"/>
        <v>30, 35, GOLDUCK</v>
      </c>
      <c r="C3000" s="2" t="s">
        <v>3029</v>
      </c>
    </row>
    <row r="3001" ht="12.75" customHeight="1">
      <c r="A3001" s="3"/>
      <c r="B3001" s="3" t="str">
        <f t="shared" si="1"/>
        <v/>
      </c>
      <c r="C3001" s="2" t="s">
        <v>2801</v>
      </c>
    </row>
    <row r="3002" ht="12.75" customHeight="1">
      <c r="A3002" s="3" t="s">
        <v>2851</v>
      </c>
      <c r="B3002" s="3" t="str">
        <f t="shared" si="1"/>
        <v>super rod:</v>
      </c>
      <c r="C3002" s="2" t="s">
        <v>2851</v>
      </c>
    </row>
    <row r="3003" ht="12.75" customHeight="1">
      <c r="A3003" s="3" t="s">
        <v>3030</v>
      </c>
      <c r="B3003" s="3" t="str">
        <f t="shared" si="1"/>
        <v>36, 40, KINGDRA</v>
      </c>
      <c r="C3003" s="2" t="s">
        <v>3030</v>
      </c>
    </row>
    <row r="3004" ht="12.75" customHeight="1">
      <c r="A3004" s="3" t="s">
        <v>3528</v>
      </c>
      <c r="B3004" s="3" t="str">
        <f t="shared" si="1"/>
        <v>36, 40, KINGLER</v>
      </c>
      <c r="C3004" s="2" t="s">
        <v>3528</v>
      </c>
    </row>
    <row r="3005" ht="12.75" customHeight="1">
      <c r="A3005" s="3" t="s">
        <v>3032</v>
      </c>
      <c r="B3005" s="3" t="str">
        <f t="shared" si="1"/>
        <v>38, 42, GILDUCK</v>
      </c>
      <c r="C3005" s="2" t="s">
        <v>3032</v>
      </c>
    </row>
    <row r="3006" ht="12.75" customHeight="1">
      <c r="A3006" s="3" t="s">
        <v>3033</v>
      </c>
      <c r="B3006" s="3" t="str">
        <f t="shared" si="1"/>
        <v>38, 42, KRAKLAW</v>
      </c>
      <c r="C3006" s="2" t="s">
        <v>3033</v>
      </c>
    </row>
    <row r="3007" ht="12.75" customHeight="1">
      <c r="A3007" s="3" t="s">
        <v>3034</v>
      </c>
      <c r="B3007" s="3" t="str">
        <f t="shared" si="1"/>
        <v>40, 44, LORDRA</v>
      </c>
      <c r="C3007" s="2" t="s">
        <v>3034</v>
      </c>
    </row>
    <row r="3008" ht="12.75" customHeight="1">
      <c r="A3008" s="3" t="s">
        <v>2539</v>
      </c>
      <c r="B3008" s="3" t="str">
        <f t="shared" si="1"/>
        <v>NEW ROUTE</v>
      </c>
      <c r="C3008" s="2" t="s">
        <v>2539</v>
      </c>
    </row>
    <row r="3009" ht="12.75" customHeight="1">
      <c r="A3009" s="3" t="s">
        <v>3543</v>
      </c>
      <c r="B3009" s="3" t="str">
        <f t="shared" si="1"/>
        <v>3, 41, 0,</v>
      </c>
      <c r="C3009" s="2" t="s">
        <v>3543</v>
      </c>
    </row>
    <row r="3010" ht="12.75" customHeight="1">
      <c r="A3010" s="3" t="s">
        <v>2909</v>
      </c>
      <c r="B3010" s="3" t="str">
        <f t="shared" si="1"/>
        <v>20%</v>
      </c>
      <c r="C3010" s="2" t="s">
        <v>2799</v>
      </c>
    </row>
    <row r="3011" ht="12.75" customHeight="1">
      <c r="A3011" s="3" t="s">
        <v>1178</v>
      </c>
      <c r="B3011" s="3" t="str">
        <f t="shared" si="1"/>
        <v>2, 3, RATTATA</v>
      </c>
      <c r="C3011" s="2" t="s">
        <v>1178</v>
      </c>
    </row>
    <row r="3012" ht="12.75" customHeight="1">
      <c r="A3012" s="3" t="s">
        <v>3544</v>
      </c>
      <c r="B3012" s="3" t="str">
        <f t="shared" si="1"/>
        <v>4, 5, RATTATA</v>
      </c>
      <c r="C3012" s="2" t="s">
        <v>3544</v>
      </c>
    </row>
    <row r="3013" ht="12.75" customHeight="1">
      <c r="A3013" s="3"/>
      <c r="B3013" s="3" t="str">
        <f t="shared" si="1"/>
        <v/>
      </c>
      <c r="C3013" s="2" t="s">
        <v>2801</v>
      </c>
    </row>
    <row r="3014" ht="12.75" customHeight="1">
      <c r="A3014" s="3" t="s">
        <v>2802</v>
      </c>
      <c r="B3014" s="3" t="str">
        <f t="shared" si="1"/>
        <v>0.1</v>
      </c>
      <c r="C3014" s="2" t="s">
        <v>2802</v>
      </c>
    </row>
    <row r="3015" ht="12.75" customHeight="1">
      <c r="A3015" s="3" t="s">
        <v>3545</v>
      </c>
      <c r="B3015" s="3" t="str">
        <f t="shared" si="1"/>
        <v>2, 3, MEOWTH</v>
      </c>
      <c r="C3015" s="2" t="s">
        <v>3545</v>
      </c>
    </row>
    <row r="3016" ht="12.75" customHeight="1">
      <c r="A3016" s="3" t="s">
        <v>3546</v>
      </c>
      <c r="B3016" s="3" t="str">
        <f t="shared" si="1"/>
        <v>4, 5, MEOWTH</v>
      </c>
      <c r="C3016" s="2" t="s">
        <v>3546</v>
      </c>
    </row>
    <row r="3017" ht="12.75" customHeight="1">
      <c r="A3017" s="3" t="s">
        <v>3547</v>
      </c>
      <c r="B3017" s="3" t="str">
        <f t="shared" si="1"/>
        <v>2, 3, SPEAROW</v>
      </c>
      <c r="C3017" s="2" t="s">
        <v>3547</v>
      </c>
    </row>
    <row r="3018" ht="12.75" customHeight="1">
      <c r="A3018" s="3" t="s">
        <v>3548</v>
      </c>
      <c r="B3018" s="3" t="str">
        <f t="shared" si="1"/>
        <v>4, 5, SPEAROW</v>
      </c>
      <c r="C3018" s="2" t="s">
        <v>3548</v>
      </c>
    </row>
    <row r="3019" ht="12.75" customHeight="1">
      <c r="A3019" s="3"/>
      <c r="B3019" s="3" t="str">
        <f t="shared" si="1"/>
        <v/>
      </c>
      <c r="C3019" s="2" t="s">
        <v>2801</v>
      </c>
    </row>
    <row r="3020" ht="12.75" customHeight="1">
      <c r="A3020" s="3" t="s">
        <v>2807</v>
      </c>
      <c r="B3020" s="3" t="str">
        <f t="shared" si="1"/>
        <v>0.05</v>
      </c>
      <c r="C3020" s="2" t="s">
        <v>2807</v>
      </c>
    </row>
    <row r="3021" ht="12.75" customHeight="1">
      <c r="A3021" s="3" t="s">
        <v>3549</v>
      </c>
      <c r="B3021" s="3" t="str">
        <f t="shared" si="1"/>
        <v>2, 3, GROWLITHE</v>
      </c>
      <c r="C3021" s="2" t="s">
        <v>3549</v>
      </c>
    </row>
    <row r="3022" ht="12.75" customHeight="1">
      <c r="A3022" s="3" t="s">
        <v>3550</v>
      </c>
      <c r="B3022" s="3" t="str">
        <f t="shared" si="1"/>
        <v>4, 5, GROWLITHE</v>
      </c>
      <c r="C3022" s="2" t="s">
        <v>3550</v>
      </c>
    </row>
    <row r="3023" ht="12.75" customHeight="1">
      <c r="A3023" s="3"/>
      <c r="B3023" s="3" t="str">
        <f t="shared" si="1"/>
        <v/>
      </c>
      <c r="C3023" s="2" t="s">
        <v>2801</v>
      </c>
    </row>
    <row r="3024" ht="12.75" customHeight="1">
      <c r="A3024" s="3" t="s">
        <v>2810</v>
      </c>
      <c r="B3024" s="3" t="str">
        <f t="shared" si="1"/>
        <v>0.04</v>
      </c>
      <c r="C3024" s="2" t="s">
        <v>2810</v>
      </c>
    </row>
    <row r="3025" ht="12.75" customHeight="1">
      <c r="A3025" s="3" t="s">
        <v>3551</v>
      </c>
      <c r="B3025" s="3" t="str">
        <f t="shared" si="1"/>
        <v>2, 5, ABRA</v>
      </c>
      <c r="C3025" s="2" t="s">
        <v>3551</v>
      </c>
    </row>
    <row r="3026" ht="12.75" customHeight="1">
      <c r="A3026" s="3" t="s">
        <v>3552</v>
      </c>
      <c r="B3026" s="3" t="str">
        <f t="shared" si="1"/>
        <v>2, 5, KANGAKID</v>
      </c>
      <c r="C3026" s="2" t="s">
        <v>3552</v>
      </c>
    </row>
    <row r="3027" ht="12.75" customHeight="1">
      <c r="A3027" s="3"/>
      <c r="B3027" s="3" t="str">
        <f t="shared" si="1"/>
        <v/>
      </c>
      <c r="C3027" s="2" t="s">
        <v>2801</v>
      </c>
    </row>
    <row r="3028" ht="12.75" customHeight="1">
      <c r="A3028" s="3" t="s">
        <v>2813</v>
      </c>
      <c r="B3028" s="3" t="str">
        <f t="shared" si="1"/>
        <v>0.01</v>
      </c>
      <c r="C3028" s="2" t="s">
        <v>2813</v>
      </c>
    </row>
    <row r="3029" ht="12.75" customHeight="1">
      <c r="A3029" s="3" t="s">
        <v>3553</v>
      </c>
      <c r="B3029" s="3" t="str">
        <f t="shared" si="1"/>
        <v>2, 5, EEVEE</v>
      </c>
      <c r="C3029" s="2" t="s">
        <v>3553</v>
      </c>
    </row>
    <row r="3030" ht="12.75" customHeight="1">
      <c r="A3030" s="3" t="s">
        <v>3554</v>
      </c>
      <c r="B3030" s="3" t="str">
        <f t="shared" si="1"/>
        <v>2, 5, SCYTHER</v>
      </c>
      <c r="C3030" s="2" t="s">
        <v>3554</v>
      </c>
    </row>
    <row r="3031" ht="12.75" customHeight="1">
      <c r="A3031" s="3" t="s">
        <v>3555</v>
      </c>
      <c r="B3031" s="3" t="str">
        <f t="shared" si="1"/>
        <v>2, 40, 44, PSYDUCK</v>
      </c>
      <c r="C3031" s="2" t="s">
        <v>3555</v>
      </c>
    </row>
    <row r="3032" ht="12.75" customHeight="1">
      <c r="A3032" s="3" t="s">
        <v>3556</v>
      </c>
      <c r="B3032" s="3" t="str">
        <f t="shared" si="1"/>
        <v>42, 46, SLOWPOKE</v>
      </c>
      <c r="C3032" s="2" t="s">
        <v>3556</v>
      </c>
    </row>
    <row r="3033" ht="12.75" customHeight="1">
      <c r="A3033" s="3" t="s">
        <v>3557</v>
      </c>
      <c r="B3033" s="3" t="str">
        <f t="shared" si="1"/>
        <v>44, 47, GOLDUCK</v>
      </c>
      <c r="C3033" s="2" t="s">
        <v>3557</v>
      </c>
    </row>
    <row r="3034" ht="12.75" customHeight="1">
      <c r="A3034" s="3" t="s">
        <v>3558</v>
      </c>
      <c r="B3034" s="3" t="str">
        <f t="shared" si="1"/>
        <v>44, 47, SLOWBRO</v>
      </c>
      <c r="C3034" s="2" t="s">
        <v>3558</v>
      </c>
    </row>
    <row r="3035" ht="12.75" customHeight="1">
      <c r="A3035" s="3" t="s">
        <v>3559</v>
      </c>
      <c r="B3035" s="3" t="str">
        <f t="shared" si="1"/>
        <v>45, 50, GILDUCK</v>
      </c>
      <c r="C3035" s="2" t="s">
        <v>3559</v>
      </c>
    </row>
    <row r="3036" ht="12.75" customHeight="1">
      <c r="A3036" s="3" t="s">
        <v>2926</v>
      </c>
      <c r="B3036" s="3" t="str">
        <f t="shared" si="1"/>
        <v>20, old rod:</v>
      </c>
      <c r="C3036" s="2" t="s">
        <v>2926</v>
      </c>
    </row>
    <row r="3037" ht="12.75" customHeight="1">
      <c r="A3037" s="3" t="s">
        <v>500</v>
      </c>
      <c r="B3037" s="3" t="str">
        <f t="shared" si="1"/>
        <v>19, 26, MAGIKARP</v>
      </c>
      <c r="C3037" s="2" t="s">
        <v>500</v>
      </c>
    </row>
    <row r="3038" ht="12.75" customHeight="1">
      <c r="A3038" s="3" t="s">
        <v>2927</v>
      </c>
      <c r="B3038" s="3" t="str">
        <f t="shared" si="1"/>
        <v>19, 26, POLIWAG</v>
      </c>
      <c r="C3038" s="2" t="s">
        <v>2927</v>
      </c>
    </row>
    <row r="3039" ht="12.75" customHeight="1">
      <c r="A3039" s="3"/>
      <c r="B3039" s="3" t="str">
        <f t="shared" si="1"/>
        <v/>
      </c>
      <c r="C3039" s="2" t="s">
        <v>2801</v>
      </c>
    </row>
    <row r="3040" ht="12.75" customHeight="1">
      <c r="A3040" s="3" t="s">
        <v>2847</v>
      </c>
      <c r="B3040" s="3" t="str">
        <f t="shared" si="1"/>
        <v>good rod:</v>
      </c>
      <c r="C3040" s="2" t="s">
        <v>2847</v>
      </c>
    </row>
    <row r="3041" ht="12.75" customHeight="1">
      <c r="A3041" s="3" t="s">
        <v>3560</v>
      </c>
      <c r="B3041" s="3" t="str">
        <f t="shared" si="1"/>
        <v>29, 33, MAGIKARP</v>
      </c>
      <c r="C3041" s="2" t="s">
        <v>3560</v>
      </c>
    </row>
    <row r="3042" ht="12.75" customHeight="1">
      <c r="A3042" s="3" t="s">
        <v>3561</v>
      </c>
      <c r="B3042" s="3" t="str">
        <f t="shared" si="1"/>
        <v>30, 35, GYARADOS</v>
      </c>
      <c r="C3042" s="2" t="s">
        <v>3561</v>
      </c>
    </row>
    <row r="3043" ht="12.75" customHeight="1">
      <c r="A3043" s="3" t="s">
        <v>3562</v>
      </c>
      <c r="B3043" s="3" t="str">
        <f t="shared" si="1"/>
        <v>30, 35, POLIWHIRL</v>
      </c>
      <c r="C3043" s="2" t="s">
        <v>3562</v>
      </c>
    </row>
    <row r="3044" ht="12.75" customHeight="1">
      <c r="A3044" s="3"/>
      <c r="B3044" s="3" t="str">
        <f t="shared" si="1"/>
        <v/>
      </c>
      <c r="C3044" s="2" t="s">
        <v>2801</v>
      </c>
    </row>
    <row r="3045" ht="12.75" customHeight="1">
      <c r="A3045" s="3" t="s">
        <v>2851</v>
      </c>
      <c r="B3045" s="3" t="str">
        <f t="shared" si="1"/>
        <v>super rod:</v>
      </c>
      <c r="C3045" s="2" t="s">
        <v>2851</v>
      </c>
    </row>
    <row r="3046" ht="12.75" customHeight="1">
      <c r="A3046" s="3" t="s">
        <v>3563</v>
      </c>
      <c r="B3046" s="3" t="str">
        <f t="shared" si="1"/>
        <v>36, 40, MAGIKARP</v>
      </c>
      <c r="C3046" s="2" t="s">
        <v>3563</v>
      </c>
    </row>
    <row r="3047" ht="12.75" customHeight="1">
      <c r="A3047" s="3" t="s">
        <v>3357</v>
      </c>
      <c r="B3047" s="3" t="str">
        <f t="shared" si="1"/>
        <v>36, 40, GYARADOS</v>
      </c>
      <c r="C3047" s="2" t="s">
        <v>3357</v>
      </c>
    </row>
    <row r="3048" ht="12.75" customHeight="1">
      <c r="A3048" s="3" t="s">
        <v>3564</v>
      </c>
      <c r="B3048" s="3" t="str">
        <f t="shared" si="1"/>
        <v>38, 42, POLIWHIRL</v>
      </c>
      <c r="C3048" s="2" t="s">
        <v>3564</v>
      </c>
    </row>
    <row r="3049" ht="12.75" customHeight="1">
      <c r="A3049" s="3" t="s">
        <v>3379</v>
      </c>
      <c r="B3049" s="3" t="str">
        <f t="shared" si="1"/>
        <v>38, 42, POLIWRATH</v>
      </c>
      <c r="C3049" s="2" t="s">
        <v>3379</v>
      </c>
    </row>
    <row r="3050" ht="12.75" customHeight="1">
      <c r="A3050" s="3" t="s">
        <v>3380</v>
      </c>
      <c r="B3050" s="3" t="str">
        <f t="shared" si="1"/>
        <v>40, 44, POLITOES</v>
      </c>
      <c r="C3050" s="2" t="s">
        <v>3380</v>
      </c>
    </row>
    <row r="3051" ht="12.75" customHeight="1">
      <c r="A3051" s="3" t="s">
        <v>2539</v>
      </c>
      <c r="B3051" s="3" t="str">
        <f t="shared" si="1"/>
        <v>NEW ROUTE</v>
      </c>
      <c r="C3051" s="2" t="s">
        <v>2539</v>
      </c>
    </row>
    <row r="3052" ht="12.75" customHeight="1">
      <c r="A3052" s="3" t="s">
        <v>3565</v>
      </c>
      <c r="B3052" s="3" t="str">
        <f t="shared" si="1"/>
        <v>3, 42, 0,</v>
      </c>
      <c r="C3052" s="2" t="s">
        <v>3565</v>
      </c>
    </row>
    <row r="3053" ht="12.75" customHeight="1">
      <c r="A3053" s="3" t="s">
        <v>2909</v>
      </c>
      <c r="B3053" s="3" t="str">
        <f t="shared" si="1"/>
        <v>20%</v>
      </c>
      <c r="C3053" s="2" t="s">
        <v>2799</v>
      </c>
    </row>
    <row r="3054" ht="12.75" customHeight="1">
      <c r="A3054" s="3" t="s">
        <v>1200</v>
      </c>
      <c r="B3054" s="3" t="str">
        <f t="shared" si="1"/>
        <v>51, 56, PRIMEAPE</v>
      </c>
      <c r="C3054" s="2" t="s">
        <v>1200</v>
      </c>
    </row>
    <row r="3055" ht="12.75" customHeight="1">
      <c r="A3055" s="3" t="s">
        <v>3566</v>
      </c>
      <c r="B3055" s="3" t="str">
        <f t="shared" si="1"/>
        <v>51, 56, SNEEROW</v>
      </c>
      <c r="C3055" s="2" t="s">
        <v>3566</v>
      </c>
    </row>
    <row r="3056" ht="12.75" customHeight="1">
      <c r="A3056" s="3"/>
      <c r="B3056" s="3" t="str">
        <f t="shared" si="1"/>
        <v/>
      </c>
      <c r="C3056" s="2" t="s">
        <v>2801</v>
      </c>
    </row>
    <row r="3057" ht="12.75" customHeight="1">
      <c r="A3057" s="3" t="s">
        <v>2802</v>
      </c>
      <c r="B3057" s="3" t="str">
        <f t="shared" si="1"/>
        <v>0.1</v>
      </c>
      <c r="C3057" s="2" t="s">
        <v>2802</v>
      </c>
    </row>
    <row r="3058" ht="12.75" customHeight="1">
      <c r="A3058" s="3" t="s">
        <v>3567</v>
      </c>
      <c r="B3058" s="3" t="str">
        <f t="shared" si="1"/>
        <v>53, 57, GORILLASH</v>
      </c>
      <c r="C3058" s="2" t="s">
        <v>3567</v>
      </c>
    </row>
    <row r="3059" ht="12.75" customHeight="1">
      <c r="A3059" s="3" t="s">
        <v>3568</v>
      </c>
      <c r="B3059" s="3" t="str">
        <f t="shared" si="1"/>
        <v>53, 57, ORNITHOW</v>
      </c>
      <c r="C3059" s="2" t="s">
        <v>3568</v>
      </c>
    </row>
    <row r="3060" ht="12.75" customHeight="1">
      <c r="A3060" s="3" t="s">
        <v>2873</v>
      </c>
      <c r="B3060" s="3" t="str">
        <f t="shared" si="1"/>
        <v>53, 57, ADNOKANA</v>
      </c>
      <c r="C3060" s="2" t="s">
        <v>2873</v>
      </c>
    </row>
    <row r="3061" ht="12.75" customHeight="1">
      <c r="A3061" s="3" t="s">
        <v>3569</v>
      </c>
      <c r="B3061" s="3" t="str">
        <f t="shared" si="1"/>
        <v>53, 57, SANDSLAM</v>
      </c>
      <c r="C3061" s="2" t="s">
        <v>3569</v>
      </c>
    </row>
    <row r="3062" ht="12.75" customHeight="1">
      <c r="A3062" s="3"/>
      <c r="B3062" s="3" t="str">
        <f t="shared" si="1"/>
        <v/>
      </c>
      <c r="C3062" s="2" t="s">
        <v>2801</v>
      </c>
    </row>
    <row r="3063" ht="12.75" customHeight="1">
      <c r="A3063" s="3" t="s">
        <v>2807</v>
      </c>
      <c r="B3063" s="3" t="str">
        <f t="shared" si="1"/>
        <v>0.05</v>
      </c>
      <c r="C3063" s="2" t="s">
        <v>2807</v>
      </c>
    </row>
    <row r="3064" ht="12.75" customHeight="1">
      <c r="A3064" s="3" t="s">
        <v>3570</v>
      </c>
      <c r="B3064" s="3" t="str">
        <f t="shared" si="1"/>
        <v>54, 56, "MR. JEST"</v>
      </c>
      <c r="C3064" s="2" t="s">
        <v>3570</v>
      </c>
    </row>
    <row r="3065" ht="12.75" customHeight="1">
      <c r="A3065" s="3" t="s">
        <v>3571</v>
      </c>
      <c r="B3065" s="3" t="str">
        <f t="shared" si="1"/>
        <v>54, 56, ELECTIVINE</v>
      </c>
      <c r="C3065" s="2" t="s">
        <v>3571</v>
      </c>
    </row>
    <row r="3066" ht="12.75" customHeight="1">
      <c r="A3066" s="3"/>
      <c r="B3066" s="3" t="str">
        <f t="shared" si="1"/>
        <v/>
      </c>
      <c r="C3066" s="2" t="s">
        <v>2801</v>
      </c>
    </row>
    <row r="3067" ht="12.75" customHeight="1">
      <c r="A3067" s="3" t="s">
        <v>2810</v>
      </c>
      <c r="B3067" s="3" t="str">
        <f t="shared" si="1"/>
        <v>0.04</v>
      </c>
      <c r="C3067" s="2" t="s">
        <v>2810</v>
      </c>
    </row>
    <row r="3068" ht="12.75" customHeight="1">
      <c r="A3068" s="3" t="s">
        <v>3572</v>
      </c>
      <c r="B3068" s="3" t="str">
        <f t="shared" si="1"/>
        <v>54, 55, FELANKH</v>
      </c>
      <c r="C3068" s="2" t="s">
        <v>3572</v>
      </c>
    </row>
    <row r="3069" ht="12.75" customHeight="1">
      <c r="A3069" s="3" t="s">
        <v>3573</v>
      </c>
      <c r="B3069" s="3" t="str">
        <f t="shared" si="1"/>
        <v>56, 57, FELANKH</v>
      </c>
      <c r="C3069" s="2" t="s">
        <v>3573</v>
      </c>
    </row>
    <row r="3070" ht="12.75" customHeight="1">
      <c r="A3070" s="3"/>
      <c r="B3070" s="3" t="str">
        <f t="shared" si="1"/>
        <v/>
      </c>
      <c r="C3070" s="2" t="s">
        <v>2801</v>
      </c>
    </row>
    <row r="3071" ht="12.75" customHeight="1">
      <c r="A3071" s="3" t="s">
        <v>2813</v>
      </c>
      <c r="B3071" s="3" t="str">
        <f t="shared" si="1"/>
        <v>0.01</v>
      </c>
      <c r="C3071" s="2" t="s">
        <v>2813</v>
      </c>
    </row>
    <row r="3072" ht="12.75" customHeight="1">
      <c r="A3072" s="3" t="s">
        <v>3574</v>
      </c>
      <c r="B3072" s="3" t="str">
        <f t="shared" si="1"/>
        <v>40, 50, AERODACTYL</v>
      </c>
      <c r="C3072" s="2" t="s">
        <v>3574</v>
      </c>
    </row>
    <row r="3073" ht="12.75" customHeight="1">
      <c r="A3073" s="3" t="s">
        <v>3575</v>
      </c>
      <c r="B3073" s="3" t="str">
        <f t="shared" si="1"/>
        <v>57, 59, LUKKEY</v>
      </c>
      <c r="C3073" s="2" t="s">
        <v>3575</v>
      </c>
    </row>
    <row r="3074" ht="12.75" customHeight="1">
      <c r="A3074" s="3" t="s">
        <v>3576</v>
      </c>
      <c r="B3074" s="3" t="str">
        <f t="shared" si="1"/>
        <v>2, 50, 55, GILDUCK</v>
      </c>
      <c r="C3074" s="2" t="s">
        <v>3576</v>
      </c>
    </row>
    <row r="3075" ht="12.75" customHeight="1">
      <c r="A3075" s="3" t="s">
        <v>3577</v>
      </c>
      <c r="B3075" s="3" t="str">
        <f t="shared" si="1"/>
        <v>50, 55, POLITOES</v>
      </c>
      <c r="C3075" s="2" t="s">
        <v>3577</v>
      </c>
    </row>
    <row r="3076" ht="12.75" customHeight="1">
      <c r="A3076" s="3" t="s">
        <v>3578</v>
      </c>
      <c r="B3076" s="3" t="str">
        <f t="shared" si="1"/>
        <v>52, 57, SLOWMATE</v>
      </c>
      <c r="C3076" s="2" t="s">
        <v>3578</v>
      </c>
    </row>
    <row r="3077" ht="12.75" customHeight="1">
      <c r="A3077" s="3" t="s">
        <v>2971</v>
      </c>
      <c r="B3077" s="3" t="str">
        <f t="shared" si="1"/>
        <v>52, 57, POLIWISE</v>
      </c>
      <c r="C3077" s="2" t="s">
        <v>2971</v>
      </c>
    </row>
    <row r="3078" ht="12.75" customHeight="1">
      <c r="A3078" s="3" t="s">
        <v>3579</v>
      </c>
      <c r="B3078" s="3" t="str">
        <f t="shared" si="1"/>
        <v>53, 58, PLATINUPUS</v>
      </c>
      <c r="C3078" s="2" t="s">
        <v>3579</v>
      </c>
    </row>
    <row r="3079" ht="12.75" customHeight="1">
      <c r="A3079" s="3" t="s">
        <v>2926</v>
      </c>
      <c r="B3079" s="3" t="str">
        <f t="shared" si="1"/>
        <v>20, old rod:</v>
      </c>
      <c r="C3079" s="2" t="s">
        <v>2926</v>
      </c>
    </row>
    <row r="3080" ht="12.75" customHeight="1">
      <c r="A3080" s="3" t="s">
        <v>1214</v>
      </c>
      <c r="B3080" s="3" t="str">
        <f t="shared" si="1"/>
        <v>24, 36, GOLDEEN</v>
      </c>
      <c r="C3080" s="2" t="s">
        <v>1214</v>
      </c>
    </row>
    <row r="3081" ht="12.75" customHeight="1">
      <c r="A3081" s="3" t="s">
        <v>3580</v>
      </c>
      <c r="B3081" s="3" t="str">
        <f t="shared" si="1"/>
        <v>23, 36, KRABBY</v>
      </c>
      <c r="C3081" s="2" t="s">
        <v>3580</v>
      </c>
    </row>
    <row r="3082" ht="12.75" customHeight="1">
      <c r="A3082" s="3"/>
      <c r="B3082" s="3" t="str">
        <f t="shared" si="1"/>
        <v/>
      </c>
      <c r="C3082" s="2" t="s">
        <v>2801</v>
      </c>
    </row>
    <row r="3083" ht="12.75" customHeight="1">
      <c r="A3083" s="3" t="s">
        <v>2847</v>
      </c>
      <c r="B3083" s="3" t="str">
        <f t="shared" si="1"/>
        <v>good rod:</v>
      </c>
      <c r="C3083" s="2" t="s">
        <v>2847</v>
      </c>
    </row>
    <row r="3084" ht="12.75" customHeight="1">
      <c r="A3084" s="3" t="s">
        <v>3581</v>
      </c>
      <c r="B3084" s="3" t="str">
        <f t="shared" si="1"/>
        <v>30, 38, SEAKING</v>
      </c>
      <c r="C3084" s="2" t="s">
        <v>3581</v>
      </c>
    </row>
    <row r="3085" ht="12.75" customHeight="1">
      <c r="A3085" s="3" t="s">
        <v>3582</v>
      </c>
      <c r="B3085" s="3" t="str">
        <f t="shared" si="1"/>
        <v>32, 40, KINGLER</v>
      </c>
      <c r="C3085" s="2" t="s">
        <v>3582</v>
      </c>
    </row>
    <row r="3086" ht="12.75" customHeight="1">
      <c r="A3086" s="3" t="s">
        <v>3583</v>
      </c>
      <c r="B3086" s="3" t="str">
        <f t="shared" si="1"/>
        <v>32, 40, DRAGONAIR</v>
      </c>
      <c r="C3086" s="2" t="s">
        <v>3583</v>
      </c>
    </row>
    <row r="3087" ht="12.75" customHeight="1">
      <c r="A3087" s="3"/>
      <c r="B3087" s="3" t="str">
        <f t="shared" si="1"/>
        <v/>
      </c>
      <c r="C3087" s="2" t="s">
        <v>2801</v>
      </c>
    </row>
    <row r="3088" ht="12.75" customHeight="1">
      <c r="A3088" s="3" t="s">
        <v>2851</v>
      </c>
      <c r="B3088" s="3" t="str">
        <f t="shared" si="1"/>
        <v>super rod:</v>
      </c>
      <c r="C3088" s="2" t="s">
        <v>2851</v>
      </c>
    </row>
    <row r="3089" ht="12.75" customHeight="1">
      <c r="A3089" s="3" t="s">
        <v>3584</v>
      </c>
      <c r="B3089" s="3" t="str">
        <f t="shared" si="1"/>
        <v>50, 55, SEAREX</v>
      </c>
      <c r="C3089" s="2" t="s">
        <v>3584</v>
      </c>
    </row>
    <row r="3090" ht="12.75" customHeight="1">
      <c r="A3090" s="3" t="s">
        <v>2970</v>
      </c>
      <c r="B3090" s="3" t="str">
        <f t="shared" si="1"/>
        <v>50, 55, DRAGONITE</v>
      </c>
      <c r="C3090" s="2" t="s">
        <v>2970</v>
      </c>
    </row>
    <row r="3091" ht="12.75" customHeight="1">
      <c r="A3091" s="3" t="s">
        <v>3585</v>
      </c>
      <c r="B3091" s="3" t="str">
        <f t="shared" si="1"/>
        <v>52, 57, KRAKLAW</v>
      </c>
      <c r="C3091" s="2" t="s">
        <v>3585</v>
      </c>
    </row>
    <row r="3092" ht="12.75" customHeight="1">
      <c r="A3092" s="3" t="s">
        <v>3586</v>
      </c>
      <c r="B3092" s="3" t="str">
        <f t="shared" si="1"/>
        <v>52, 57, CAPRISEA</v>
      </c>
      <c r="C3092" s="2" t="s">
        <v>3586</v>
      </c>
    </row>
    <row r="3093" ht="12.75" customHeight="1">
      <c r="A3093" s="3" t="s">
        <v>3587</v>
      </c>
      <c r="B3093" s="3" t="str">
        <f t="shared" si="1"/>
        <v>53, 58, DRAGONIER</v>
      </c>
      <c r="C3093" s="2" t="s">
        <v>3587</v>
      </c>
    </row>
    <row r="3094" ht="12.75" customHeight="1">
      <c r="A3094" s="3" t="s">
        <v>2539</v>
      </c>
      <c r="B3094" s="3" t="str">
        <f t="shared" si="1"/>
        <v>NEW ROUTE</v>
      </c>
      <c r="C3094" s="2" t="s">
        <v>2539</v>
      </c>
    </row>
    <row r="3095" ht="12.75" customHeight="1">
      <c r="A3095" s="3" t="s">
        <v>3588</v>
      </c>
      <c r="B3095" s="3" t="str">
        <f t="shared" si="1"/>
        <v>3, 43, 0,</v>
      </c>
      <c r="C3095" s="2" t="s">
        <v>3588</v>
      </c>
    </row>
    <row r="3096" ht="12.75" customHeight="1">
      <c r="A3096" s="3" t="s">
        <v>2909</v>
      </c>
      <c r="B3096" s="3" t="str">
        <f t="shared" si="1"/>
        <v>20%</v>
      </c>
      <c r="C3096" s="2" t="s">
        <v>2799</v>
      </c>
    </row>
    <row r="3097" ht="12.75" customHeight="1">
      <c r="A3097" s="3" t="s">
        <v>1224</v>
      </c>
      <c r="B3097" s="3" t="str">
        <f t="shared" si="1"/>
        <v>13, 17, PIDGEY</v>
      </c>
      <c r="C3097" s="2" t="s">
        <v>1224</v>
      </c>
    </row>
    <row r="3098" ht="12.75" customHeight="1">
      <c r="A3098" s="3" t="s">
        <v>3589</v>
      </c>
      <c r="B3098" s="3" t="str">
        <f t="shared" si="1"/>
        <v>13, 17, ODDISH</v>
      </c>
      <c r="C3098" s="2" t="s">
        <v>3589</v>
      </c>
    </row>
    <row r="3099" ht="12.75" customHeight="1">
      <c r="A3099" s="3"/>
      <c r="B3099" s="3" t="str">
        <f t="shared" si="1"/>
        <v/>
      </c>
      <c r="C3099" s="2" t="s">
        <v>2801</v>
      </c>
    </row>
    <row r="3100" ht="12.75" customHeight="1">
      <c r="A3100" s="3" t="s">
        <v>2802</v>
      </c>
      <c r="B3100" s="3" t="str">
        <f t="shared" si="1"/>
        <v>0.1</v>
      </c>
      <c r="C3100" s="2" t="s">
        <v>2802</v>
      </c>
    </row>
    <row r="3101" ht="12.75" customHeight="1">
      <c r="A3101" s="3" t="s">
        <v>3590</v>
      </c>
      <c r="B3101" s="3" t="str">
        <f t="shared" si="1"/>
        <v>14, 17, BELLSPROUT</v>
      </c>
      <c r="C3101" s="2" t="s">
        <v>3590</v>
      </c>
    </row>
    <row r="3102" ht="12.75" customHeight="1">
      <c r="A3102" s="3" t="s">
        <v>3591</v>
      </c>
      <c r="B3102" s="3" t="str">
        <f t="shared" si="1"/>
        <v>14, 17, MEOWTH</v>
      </c>
      <c r="C3102" s="2" t="s">
        <v>3591</v>
      </c>
    </row>
    <row r="3103" ht="12.75" customHeight="1">
      <c r="A3103" s="3" t="s">
        <v>3592</v>
      </c>
      <c r="B3103" s="3" t="str">
        <f t="shared" si="1"/>
        <v>14, 17, PSYDUCK</v>
      </c>
      <c r="C3103" s="2" t="s">
        <v>3592</v>
      </c>
    </row>
    <row r="3104" ht="12.75" customHeight="1">
      <c r="A3104" s="3" t="s">
        <v>3593</v>
      </c>
      <c r="B3104" s="3" t="str">
        <f t="shared" si="1"/>
        <v>14, 17, PIDGEOTTO</v>
      </c>
      <c r="C3104" s="2" t="s">
        <v>3593</v>
      </c>
    </row>
    <row r="3105" ht="12.75" customHeight="1">
      <c r="A3105" s="3"/>
      <c r="B3105" s="3" t="str">
        <f t="shared" si="1"/>
        <v/>
      </c>
      <c r="C3105" s="2" t="s">
        <v>2801</v>
      </c>
    </row>
    <row r="3106" ht="12.75" customHeight="1">
      <c r="A3106" s="3" t="s">
        <v>2807</v>
      </c>
      <c r="B3106" s="3" t="str">
        <f t="shared" si="1"/>
        <v>0.05</v>
      </c>
      <c r="C3106" s="2" t="s">
        <v>2807</v>
      </c>
    </row>
    <row r="3107" ht="12.75" customHeight="1">
      <c r="A3107" s="3" t="s">
        <v>3594</v>
      </c>
      <c r="B3107" s="3" t="str">
        <f t="shared" si="1"/>
        <v>16, 16, PIKACHU</v>
      </c>
      <c r="C3107" s="2" t="s">
        <v>3594</v>
      </c>
    </row>
    <row r="3108" ht="12.75" customHeight="1">
      <c r="A3108" s="3" t="s">
        <v>3595</v>
      </c>
      <c r="B3108" s="3" t="str">
        <f t="shared" si="1"/>
        <v>16, 16, ABRA</v>
      </c>
      <c r="C3108" s="2" t="s">
        <v>3595</v>
      </c>
    </row>
    <row r="3109" ht="12.75" customHeight="1">
      <c r="A3109" s="3"/>
      <c r="B3109" s="3" t="str">
        <f t="shared" si="1"/>
        <v/>
      </c>
      <c r="C3109" s="2" t="s">
        <v>2801</v>
      </c>
    </row>
    <row r="3110" ht="12.75" customHeight="1">
      <c r="A3110" s="3" t="s">
        <v>2810</v>
      </c>
      <c r="B3110" s="3" t="str">
        <f t="shared" si="1"/>
        <v>0.04</v>
      </c>
      <c r="C3110" s="2" t="s">
        <v>2810</v>
      </c>
    </row>
    <row r="3111" ht="12.75" customHeight="1">
      <c r="A3111" s="3" t="s">
        <v>3596</v>
      </c>
      <c r="B3111" s="3" t="str">
        <f t="shared" si="1"/>
        <v>15, 18, VENONAT</v>
      </c>
      <c r="C3111" s="2" t="s">
        <v>3596</v>
      </c>
    </row>
    <row r="3112" ht="12.75" customHeight="1">
      <c r="A3112" s="3" t="s">
        <v>3597</v>
      </c>
      <c r="B3112" s="3" t="str">
        <f t="shared" si="1"/>
        <v>15, 18, GLOOM</v>
      </c>
      <c r="C3112" s="2" t="s">
        <v>3597</v>
      </c>
    </row>
    <row r="3113" ht="12.75" customHeight="1">
      <c r="A3113" s="3"/>
      <c r="B3113" s="3" t="str">
        <f t="shared" si="1"/>
        <v/>
      </c>
      <c r="C3113" s="2" t="s">
        <v>2801</v>
      </c>
    </row>
    <row r="3114" ht="12.75" customHeight="1">
      <c r="A3114" s="3" t="s">
        <v>2813</v>
      </c>
      <c r="B3114" s="3" t="str">
        <f t="shared" si="1"/>
        <v>0.01</v>
      </c>
      <c r="C3114" s="2" t="s">
        <v>2813</v>
      </c>
    </row>
    <row r="3115" ht="12.75" customHeight="1">
      <c r="A3115" s="3" t="s">
        <v>3598</v>
      </c>
      <c r="B3115" s="3" t="str">
        <f t="shared" si="1"/>
        <v>17, 17, KADABRA</v>
      </c>
      <c r="C3115" s="2" t="s">
        <v>3598</v>
      </c>
    </row>
    <row r="3116" ht="12.75" customHeight="1">
      <c r="A3116" s="3" t="s">
        <v>3598</v>
      </c>
      <c r="B3116" s="3" t="str">
        <f t="shared" si="1"/>
        <v>17, 17, KADABRA</v>
      </c>
      <c r="C3116" s="2" t="s">
        <v>3598</v>
      </c>
    </row>
    <row r="3117" ht="12.75" customHeight="1">
      <c r="A3117" s="3" t="s">
        <v>3599</v>
      </c>
      <c r="B3117" s="3" t="str">
        <f t="shared" si="1"/>
        <v>2, 34, 40, TENTACOOL</v>
      </c>
      <c r="C3117" s="2" t="s">
        <v>3599</v>
      </c>
    </row>
    <row r="3118" ht="12.75" customHeight="1">
      <c r="A3118" s="3" t="s">
        <v>3600</v>
      </c>
      <c r="B3118" s="3" t="str">
        <f t="shared" si="1"/>
        <v>34, 40, PSYDUCK</v>
      </c>
      <c r="C3118" s="2" t="s">
        <v>3600</v>
      </c>
    </row>
    <row r="3119" ht="12.75" customHeight="1">
      <c r="A3119" s="3" t="s">
        <v>3601</v>
      </c>
      <c r="B3119" s="3" t="str">
        <f t="shared" si="1"/>
        <v>36, 42, TENTACRUEL</v>
      </c>
      <c r="C3119" s="2" t="s">
        <v>3601</v>
      </c>
    </row>
    <row r="3120" ht="12.75" customHeight="1">
      <c r="A3120" s="3" t="s">
        <v>3533</v>
      </c>
      <c r="B3120" s="3" t="str">
        <f t="shared" si="1"/>
        <v>39, 42, GOLDUCK</v>
      </c>
      <c r="C3120" s="2" t="s">
        <v>3533</v>
      </c>
    </row>
    <row r="3121" ht="12.75" customHeight="1">
      <c r="A3121" s="3" t="s">
        <v>3602</v>
      </c>
      <c r="B3121" s="3" t="str">
        <f t="shared" si="1"/>
        <v>39, 42, VAPOREON</v>
      </c>
      <c r="C3121" s="2" t="s">
        <v>3602</v>
      </c>
    </row>
    <row r="3122" ht="12.75" customHeight="1">
      <c r="A3122" s="3" t="s">
        <v>2926</v>
      </c>
      <c r="B3122" s="3" t="str">
        <f t="shared" si="1"/>
        <v>20, old rod:</v>
      </c>
      <c r="C3122" s="2" t="s">
        <v>2926</v>
      </c>
    </row>
    <row r="3123" ht="12.75" customHeight="1">
      <c r="A3123" s="3" t="s">
        <v>500</v>
      </c>
      <c r="B3123" s="3" t="str">
        <f t="shared" si="1"/>
        <v>19, 26, MAGIKARP</v>
      </c>
      <c r="C3123" s="2" t="s">
        <v>500</v>
      </c>
    </row>
    <row r="3124" ht="12.75" customHeight="1">
      <c r="A3124" s="3" t="s">
        <v>3353</v>
      </c>
      <c r="B3124" s="3" t="str">
        <f t="shared" si="1"/>
        <v>19, 26, GYARADOS</v>
      </c>
      <c r="C3124" s="2" t="s">
        <v>3353</v>
      </c>
    </row>
    <row r="3125" ht="12.75" customHeight="1">
      <c r="A3125" s="3"/>
      <c r="B3125" s="3" t="str">
        <f t="shared" si="1"/>
        <v/>
      </c>
      <c r="C3125" s="2" t="s">
        <v>2801</v>
      </c>
    </row>
    <row r="3126" ht="12.75" customHeight="1">
      <c r="A3126" s="3" t="s">
        <v>2847</v>
      </c>
      <c r="B3126" s="3" t="str">
        <f t="shared" si="1"/>
        <v>good rod:</v>
      </c>
      <c r="C3126" s="2" t="s">
        <v>2847</v>
      </c>
    </row>
    <row r="3127" ht="12.75" customHeight="1">
      <c r="A3127" s="3" t="s">
        <v>3354</v>
      </c>
      <c r="B3127" s="3" t="str">
        <f t="shared" si="1"/>
        <v>29, 33, SLOWPOKE</v>
      </c>
      <c r="C3127" s="2" t="s">
        <v>3354</v>
      </c>
    </row>
    <row r="3128" ht="12.75" customHeight="1">
      <c r="A3128" s="3" t="s">
        <v>3028</v>
      </c>
      <c r="B3128" s="3" t="str">
        <f t="shared" si="1"/>
        <v>30, 35, KRABBY</v>
      </c>
      <c r="C3128" s="2" t="s">
        <v>3028</v>
      </c>
    </row>
    <row r="3129" ht="12.75" customHeight="1">
      <c r="A3129" s="3" t="s">
        <v>3355</v>
      </c>
      <c r="B3129" s="3" t="str">
        <f t="shared" si="1"/>
        <v>30, 35, PSYDUCK</v>
      </c>
      <c r="C3129" s="2" t="s">
        <v>3355</v>
      </c>
    </row>
    <row r="3130" ht="12.75" customHeight="1">
      <c r="A3130" s="3"/>
      <c r="B3130" s="3" t="str">
        <f t="shared" si="1"/>
        <v/>
      </c>
      <c r="C3130" s="2" t="s">
        <v>2801</v>
      </c>
    </row>
    <row r="3131" ht="12.75" customHeight="1">
      <c r="A3131" s="3" t="s">
        <v>2851</v>
      </c>
      <c r="B3131" s="3" t="str">
        <f t="shared" si="1"/>
        <v>super rod:</v>
      </c>
      <c r="C3131" s="2" t="s">
        <v>2851</v>
      </c>
    </row>
    <row r="3132" ht="12.75" customHeight="1">
      <c r="A3132" s="3" t="s">
        <v>3356</v>
      </c>
      <c r="B3132" s="3" t="str">
        <f t="shared" si="1"/>
        <v>36, 40, SLOWBRO</v>
      </c>
      <c r="C3132" s="2" t="s">
        <v>3356</v>
      </c>
    </row>
    <row r="3133" ht="12.75" customHeight="1">
      <c r="A3133" s="3" t="s">
        <v>3357</v>
      </c>
      <c r="B3133" s="3" t="str">
        <f t="shared" si="1"/>
        <v>36, 40, GYARADOS</v>
      </c>
      <c r="C3133" s="2" t="s">
        <v>3357</v>
      </c>
    </row>
    <row r="3134" ht="12.75" customHeight="1">
      <c r="A3134" s="3" t="s">
        <v>3358</v>
      </c>
      <c r="B3134" s="3" t="str">
        <f t="shared" si="1"/>
        <v>38, 42, GOLDUCK</v>
      </c>
      <c r="C3134" s="2" t="s">
        <v>3358</v>
      </c>
    </row>
    <row r="3135" ht="12.75" customHeight="1">
      <c r="A3135" s="3" t="s">
        <v>3359</v>
      </c>
      <c r="B3135" s="3" t="str">
        <f t="shared" si="1"/>
        <v>38, 42, KINGLER</v>
      </c>
      <c r="C3135" s="2" t="s">
        <v>3359</v>
      </c>
    </row>
    <row r="3136" ht="12.75" customHeight="1">
      <c r="A3136" s="3" t="s">
        <v>3360</v>
      </c>
      <c r="B3136" s="3" t="str">
        <f t="shared" si="1"/>
        <v>40, 44, SLOWMATE</v>
      </c>
      <c r="C3136" s="2" t="s">
        <v>3360</v>
      </c>
    </row>
    <row r="3137" ht="12.75" customHeight="1">
      <c r="A3137" s="3" t="s">
        <v>2539</v>
      </c>
      <c r="B3137" s="3" t="str">
        <f t="shared" si="1"/>
        <v>NEW ROUTE</v>
      </c>
      <c r="C3137" s="2" t="s">
        <v>2539</v>
      </c>
    </row>
    <row r="3138" ht="12.75" customHeight="1">
      <c r="A3138" s="3" t="s">
        <v>3603</v>
      </c>
      <c r="B3138" s="3" t="str">
        <f t="shared" si="1"/>
        <v>3, 44, 0,</v>
      </c>
      <c r="C3138" s="2" t="s">
        <v>3603</v>
      </c>
    </row>
    <row r="3139" ht="12.75" customHeight="1">
      <c r="A3139" s="3" t="s">
        <v>2909</v>
      </c>
      <c r="B3139" s="3" t="str">
        <f t="shared" si="1"/>
        <v>20%</v>
      </c>
      <c r="C3139" s="2" t="s">
        <v>2799</v>
      </c>
    </row>
    <row r="3140" ht="12.75" customHeight="1">
      <c r="A3140" s="3" t="s">
        <v>1240</v>
      </c>
      <c r="B3140" s="3" t="str">
        <f t="shared" si="1"/>
        <v>14, 17, PIDGEY</v>
      </c>
      <c r="C3140" s="2" t="s">
        <v>1240</v>
      </c>
    </row>
    <row r="3141" ht="12.75" customHeight="1">
      <c r="A3141" s="3" t="s">
        <v>3604</v>
      </c>
      <c r="B3141" s="3" t="str">
        <f t="shared" si="1"/>
        <v>14, 17, ODDISH</v>
      </c>
      <c r="C3141" s="2" t="s">
        <v>3604</v>
      </c>
    </row>
    <row r="3142" ht="12.75" customHeight="1">
      <c r="A3142" s="3"/>
      <c r="B3142" s="3" t="str">
        <f t="shared" si="1"/>
        <v/>
      </c>
      <c r="C3142" s="2" t="s">
        <v>2801</v>
      </c>
    </row>
    <row r="3143" ht="12.75" customHeight="1">
      <c r="A3143" s="3" t="s">
        <v>2802</v>
      </c>
      <c r="B3143" s="3" t="str">
        <f t="shared" si="1"/>
        <v>0.1</v>
      </c>
      <c r="C3143" s="2" t="s">
        <v>2802</v>
      </c>
    </row>
    <row r="3144" ht="12.75" customHeight="1">
      <c r="A3144" s="3" t="s">
        <v>3605</v>
      </c>
      <c r="B3144" s="3" t="str">
        <f t="shared" si="1"/>
        <v>15, 17, BELLSPROUT</v>
      </c>
      <c r="C3144" s="2" t="s">
        <v>3605</v>
      </c>
    </row>
    <row r="3145" ht="12.75" customHeight="1">
      <c r="A3145" s="3" t="s">
        <v>3362</v>
      </c>
      <c r="B3145" s="3" t="str">
        <f t="shared" si="1"/>
        <v>15, 17, MEOWTH</v>
      </c>
      <c r="C3145" s="2" t="s">
        <v>3362</v>
      </c>
    </row>
    <row r="3146" ht="12.75" customHeight="1">
      <c r="A3146" s="3" t="s">
        <v>3606</v>
      </c>
      <c r="B3146" s="3" t="str">
        <f t="shared" si="1"/>
        <v>15, 17, PSYDUCK</v>
      </c>
      <c r="C3146" s="2" t="s">
        <v>3606</v>
      </c>
    </row>
    <row r="3147" ht="12.75" customHeight="1">
      <c r="A3147" s="3" t="s">
        <v>3607</v>
      </c>
      <c r="B3147" s="3" t="str">
        <f t="shared" si="1"/>
        <v>15, 17, PIDGEOTTO</v>
      </c>
      <c r="C3147" s="2" t="s">
        <v>3607</v>
      </c>
    </row>
    <row r="3148" ht="12.75" customHeight="1">
      <c r="A3148" s="3"/>
      <c r="B3148" s="3" t="str">
        <f t="shared" si="1"/>
        <v/>
      </c>
      <c r="C3148" s="2" t="s">
        <v>2801</v>
      </c>
    </row>
    <row r="3149" ht="12.75" customHeight="1">
      <c r="A3149" s="3" t="s">
        <v>2807</v>
      </c>
      <c r="B3149" s="3" t="str">
        <f t="shared" si="1"/>
        <v>0.05</v>
      </c>
      <c r="C3149" s="2" t="s">
        <v>2807</v>
      </c>
    </row>
    <row r="3150" ht="12.75" customHeight="1">
      <c r="A3150" s="3" t="s">
        <v>3594</v>
      </c>
      <c r="B3150" s="3" t="str">
        <f t="shared" si="1"/>
        <v>16, 16, PIKACHU</v>
      </c>
      <c r="C3150" s="2" t="s">
        <v>3594</v>
      </c>
    </row>
    <row r="3151" ht="12.75" customHeight="1">
      <c r="A3151" s="3" t="s">
        <v>3595</v>
      </c>
      <c r="B3151" s="3" t="str">
        <f t="shared" si="1"/>
        <v>16, 16, ABRA</v>
      </c>
      <c r="C3151" s="2" t="s">
        <v>3595</v>
      </c>
    </row>
    <row r="3152" ht="12.75" customHeight="1">
      <c r="A3152" s="3"/>
      <c r="B3152" s="3" t="str">
        <f t="shared" si="1"/>
        <v/>
      </c>
      <c r="C3152" s="2" t="s">
        <v>2801</v>
      </c>
    </row>
    <row r="3153" ht="12.75" customHeight="1">
      <c r="A3153" s="3" t="s">
        <v>2810</v>
      </c>
      <c r="B3153" s="3" t="str">
        <f t="shared" si="1"/>
        <v>0.04</v>
      </c>
      <c r="C3153" s="2" t="s">
        <v>2810</v>
      </c>
    </row>
    <row r="3154" ht="12.75" customHeight="1">
      <c r="A3154" s="3" t="s">
        <v>3596</v>
      </c>
      <c r="B3154" s="3" t="str">
        <f t="shared" si="1"/>
        <v>15, 18, VENONAT</v>
      </c>
      <c r="C3154" s="2" t="s">
        <v>3596</v>
      </c>
    </row>
    <row r="3155" ht="12.75" customHeight="1">
      <c r="A3155" s="3" t="s">
        <v>3597</v>
      </c>
      <c r="B3155" s="3" t="str">
        <f t="shared" si="1"/>
        <v>15, 18, GLOOM</v>
      </c>
      <c r="C3155" s="2" t="s">
        <v>3597</v>
      </c>
    </row>
    <row r="3156" ht="12.75" customHeight="1">
      <c r="A3156" s="3"/>
      <c r="B3156" s="3" t="str">
        <f t="shared" si="1"/>
        <v/>
      </c>
      <c r="C3156" s="2" t="s">
        <v>2801</v>
      </c>
    </row>
    <row r="3157" ht="12.75" customHeight="1">
      <c r="A3157" s="3" t="s">
        <v>2813</v>
      </c>
      <c r="B3157" s="3" t="str">
        <f t="shared" si="1"/>
        <v>0.01</v>
      </c>
      <c r="C3157" s="2" t="s">
        <v>2813</v>
      </c>
    </row>
    <row r="3158" ht="12.75" customHeight="1">
      <c r="A3158" s="3" t="s">
        <v>3608</v>
      </c>
      <c r="B3158" s="3" t="str">
        <f t="shared" si="1"/>
        <v>18, 18, KADABRA</v>
      </c>
      <c r="C3158" s="2" t="s">
        <v>3608</v>
      </c>
    </row>
    <row r="3159" ht="12.75" customHeight="1">
      <c r="A3159" s="3" t="s">
        <v>3608</v>
      </c>
      <c r="B3159" s="3" t="str">
        <f t="shared" si="1"/>
        <v>18, 18, KADABRA</v>
      </c>
      <c r="C3159" s="2" t="s">
        <v>3608</v>
      </c>
    </row>
    <row r="3160" ht="12.75" customHeight="1">
      <c r="A3160" s="3" t="s">
        <v>3599</v>
      </c>
      <c r="B3160" s="3" t="str">
        <f t="shared" si="1"/>
        <v>2, 34, 40, TENTACOOL</v>
      </c>
      <c r="C3160" s="2" t="s">
        <v>3599</v>
      </c>
    </row>
    <row r="3161" ht="12.75" customHeight="1">
      <c r="A3161" s="3" t="s">
        <v>3600</v>
      </c>
      <c r="B3161" s="3" t="str">
        <f t="shared" si="1"/>
        <v>34, 40, PSYDUCK</v>
      </c>
      <c r="C3161" s="2" t="s">
        <v>3600</v>
      </c>
    </row>
    <row r="3162" ht="12.75" customHeight="1">
      <c r="A3162" s="3" t="s">
        <v>3601</v>
      </c>
      <c r="B3162" s="3" t="str">
        <f t="shared" si="1"/>
        <v>36, 42, TENTACRUEL</v>
      </c>
      <c r="C3162" s="2" t="s">
        <v>3601</v>
      </c>
    </row>
    <row r="3163" ht="12.75" customHeight="1">
      <c r="A3163" s="3" t="s">
        <v>3533</v>
      </c>
      <c r="B3163" s="3" t="str">
        <f t="shared" si="1"/>
        <v>39, 42, GOLDUCK</v>
      </c>
      <c r="C3163" s="2" t="s">
        <v>3533</v>
      </c>
    </row>
    <row r="3164" ht="12.75" customHeight="1">
      <c r="A3164" s="3" t="s">
        <v>3602</v>
      </c>
      <c r="B3164" s="3" t="str">
        <f t="shared" si="1"/>
        <v>39, 42, VAPOREON</v>
      </c>
      <c r="C3164" s="2" t="s">
        <v>3602</v>
      </c>
    </row>
    <row r="3165" ht="12.75" customHeight="1">
      <c r="A3165" s="3" t="s">
        <v>2926</v>
      </c>
      <c r="B3165" s="3" t="str">
        <f t="shared" si="1"/>
        <v>20, old rod:</v>
      </c>
      <c r="C3165" s="2" t="s">
        <v>2926</v>
      </c>
    </row>
    <row r="3166" ht="12.75" customHeight="1">
      <c r="A3166" s="3" t="s">
        <v>500</v>
      </c>
      <c r="B3166" s="3" t="str">
        <f t="shared" si="1"/>
        <v>19, 26, MAGIKARP</v>
      </c>
      <c r="C3166" s="2" t="s">
        <v>500</v>
      </c>
    </row>
    <row r="3167" ht="12.75" customHeight="1">
      <c r="A3167" s="3" t="s">
        <v>3353</v>
      </c>
      <c r="B3167" s="3" t="str">
        <f t="shared" si="1"/>
        <v>19, 26, GYARADOS</v>
      </c>
      <c r="C3167" s="2" t="s">
        <v>3353</v>
      </c>
    </row>
    <row r="3168" ht="12.75" customHeight="1">
      <c r="A3168" s="3"/>
      <c r="B3168" s="3" t="str">
        <f t="shared" si="1"/>
        <v/>
      </c>
      <c r="C3168" s="2" t="s">
        <v>2801</v>
      </c>
    </row>
    <row r="3169" ht="12.75" customHeight="1">
      <c r="A3169" s="3" t="s">
        <v>2847</v>
      </c>
      <c r="B3169" s="3" t="str">
        <f t="shared" si="1"/>
        <v>good rod:</v>
      </c>
      <c r="C3169" s="2" t="s">
        <v>2847</v>
      </c>
    </row>
    <row r="3170" ht="12.75" customHeight="1">
      <c r="A3170" s="3" t="s">
        <v>3354</v>
      </c>
      <c r="B3170" s="3" t="str">
        <f t="shared" si="1"/>
        <v>29, 33, SLOWPOKE</v>
      </c>
      <c r="C3170" s="2" t="s">
        <v>3354</v>
      </c>
    </row>
    <row r="3171" ht="12.75" customHeight="1">
      <c r="A3171" s="3" t="s">
        <v>3028</v>
      </c>
      <c r="B3171" s="3" t="str">
        <f t="shared" si="1"/>
        <v>30, 35, KRABBY</v>
      </c>
      <c r="C3171" s="2" t="s">
        <v>3028</v>
      </c>
    </row>
    <row r="3172" ht="12.75" customHeight="1">
      <c r="A3172" s="3" t="s">
        <v>3355</v>
      </c>
      <c r="B3172" s="3" t="str">
        <f t="shared" si="1"/>
        <v>30, 35, PSYDUCK</v>
      </c>
      <c r="C3172" s="2" t="s">
        <v>3355</v>
      </c>
    </row>
    <row r="3173" ht="12.75" customHeight="1">
      <c r="A3173" s="3"/>
      <c r="B3173" s="3" t="str">
        <f t="shared" si="1"/>
        <v/>
      </c>
      <c r="C3173" s="2" t="s">
        <v>2801</v>
      </c>
    </row>
    <row r="3174" ht="12.75" customHeight="1">
      <c r="A3174" s="3" t="s">
        <v>2851</v>
      </c>
      <c r="B3174" s="3" t="str">
        <f t="shared" si="1"/>
        <v>super rod:</v>
      </c>
      <c r="C3174" s="2" t="s">
        <v>2851</v>
      </c>
    </row>
    <row r="3175" ht="12.75" customHeight="1">
      <c r="A3175" s="3" t="s">
        <v>3356</v>
      </c>
      <c r="B3175" s="3" t="str">
        <f t="shared" si="1"/>
        <v>36, 40, SLOWBRO</v>
      </c>
      <c r="C3175" s="2" t="s">
        <v>3356</v>
      </c>
    </row>
    <row r="3176" ht="12.75" customHeight="1">
      <c r="A3176" s="3" t="s">
        <v>3357</v>
      </c>
      <c r="B3176" s="3" t="str">
        <f t="shared" si="1"/>
        <v>36, 40, GYARADOS</v>
      </c>
      <c r="C3176" s="2" t="s">
        <v>3357</v>
      </c>
    </row>
    <row r="3177" ht="12.75" customHeight="1">
      <c r="A3177" s="3" t="s">
        <v>3358</v>
      </c>
      <c r="B3177" s="3" t="str">
        <f t="shared" si="1"/>
        <v>38, 42, GOLDUCK</v>
      </c>
      <c r="C3177" s="2" t="s">
        <v>3358</v>
      </c>
    </row>
    <row r="3178" ht="12.75" customHeight="1">
      <c r="A3178" s="3" t="s">
        <v>3359</v>
      </c>
      <c r="B3178" s="3" t="str">
        <f t="shared" si="1"/>
        <v>38, 42, KINGLER</v>
      </c>
      <c r="C3178" s="2" t="s">
        <v>3359</v>
      </c>
    </row>
    <row r="3179" ht="12.75" customHeight="1">
      <c r="A3179" s="3" t="s">
        <v>3360</v>
      </c>
      <c r="B3179" s="3" t="str">
        <f t="shared" si="1"/>
        <v>40, 44, SLOWMATE</v>
      </c>
      <c r="C3179" s="2" t="s">
        <v>3360</v>
      </c>
    </row>
    <row r="3180" ht="12.75" customHeight="1">
      <c r="A3180" s="3" t="s">
        <v>2539</v>
      </c>
      <c r="B3180" s="3" t="str">
        <f t="shared" si="1"/>
        <v>NEW ROUTE</v>
      </c>
      <c r="C3180" s="2" t="s">
        <v>2539</v>
      </c>
    </row>
    <row r="3181" ht="12.75" customHeight="1">
      <c r="A3181" s="3" t="s">
        <v>3609</v>
      </c>
      <c r="B3181" s="3" t="str">
        <f t="shared" si="1"/>
        <v>3, 0, 0, &lt;null&gt;,</v>
      </c>
      <c r="C3181" s="2" t="s">
        <v>3609</v>
      </c>
    </row>
    <row r="3182" ht="12.75" customHeight="1">
      <c r="A3182" s="3"/>
      <c r="B3182" s="3" t="str">
        <f t="shared" si="1"/>
        <v/>
      </c>
      <c r="C3182" s="2" t="s">
        <v>2801</v>
      </c>
    </row>
    <row r="3183" ht="12.75" customHeight="1">
      <c r="A3183" s="3" t="s">
        <v>3610</v>
      </c>
      <c r="B3183" s="3" t="str">
        <f t="shared" si="1"/>
        <v>1, 38, 42, TENTACOOL</v>
      </c>
      <c r="C3183" s="2" t="s">
        <v>3610</v>
      </c>
    </row>
    <row r="3184" ht="12.75" customHeight="1">
      <c r="A3184" s="3" t="s">
        <v>3429</v>
      </c>
      <c r="B3184" s="3" t="str">
        <f t="shared" si="1"/>
        <v>40, 44, TENTACRUEL</v>
      </c>
      <c r="C3184" s="2" t="s">
        <v>3429</v>
      </c>
    </row>
    <row r="3185" ht="12.75" customHeight="1">
      <c r="A3185" s="3" t="s">
        <v>3025</v>
      </c>
      <c r="B3185" s="3" t="str">
        <f t="shared" si="1"/>
        <v>42, 46, LAPRAS</v>
      </c>
      <c r="C3185" s="2" t="s">
        <v>3025</v>
      </c>
    </row>
    <row r="3186" ht="12.75" customHeight="1">
      <c r="A3186" s="3" t="s">
        <v>3430</v>
      </c>
      <c r="B3186" s="3" t="str">
        <f t="shared" si="1"/>
        <v>42, 46, TENTACATE</v>
      </c>
      <c r="C3186" s="2" t="s">
        <v>3430</v>
      </c>
    </row>
    <row r="3187" ht="12.75" customHeight="1">
      <c r="A3187" s="3" t="s">
        <v>3450</v>
      </c>
      <c r="B3187" s="3" t="str">
        <f t="shared" si="1"/>
        <v>44, 48, LOCHLASS</v>
      </c>
      <c r="C3187" s="2" t="s">
        <v>3450</v>
      </c>
    </row>
    <row r="3188" ht="12.75" customHeight="1">
      <c r="A3188" s="3" t="s">
        <v>2846</v>
      </c>
      <c r="B3188" s="3" t="str">
        <f t="shared" si="1"/>
        <v>10, old rod:</v>
      </c>
      <c r="C3188" s="2" t="s">
        <v>2846</v>
      </c>
    </row>
    <row r="3189" ht="12.75" customHeight="1">
      <c r="A3189" s="3" t="s">
        <v>500</v>
      </c>
      <c r="B3189" s="3" t="str">
        <f t="shared" si="1"/>
        <v>19, 26, MAGIKARP</v>
      </c>
      <c r="C3189" s="2" t="s">
        <v>500</v>
      </c>
    </row>
    <row r="3190" ht="12.75" customHeight="1">
      <c r="A3190" s="3" t="s">
        <v>3353</v>
      </c>
      <c r="B3190" s="3" t="str">
        <f t="shared" si="1"/>
        <v>19, 26, GYARADOS</v>
      </c>
      <c r="C3190" s="2" t="s">
        <v>3353</v>
      </c>
    </row>
    <row r="3191" ht="12.75" customHeight="1">
      <c r="A3191" s="3"/>
      <c r="B3191" s="3" t="str">
        <f t="shared" si="1"/>
        <v/>
      </c>
      <c r="C3191" s="2" t="s">
        <v>2801</v>
      </c>
    </row>
    <row r="3192" ht="12.75" customHeight="1">
      <c r="A3192" s="3" t="s">
        <v>2847</v>
      </c>
      <c r="B3192" s="3" t="str">
        <f t="shared" si="1"/>
        <v>good rod:</v>
      </c>
      <c r="C3192" s="2" t="s">
        <v>2847</v>
      </c>
    </row>
    <row r="3193" ht="12.75" customHeight="1">
      <c r="A3193" s="3" t="s">
        <v>3431</v>
      </c>
      <c r="B3193" s="3" t="str">
        <f t="shared" si="1"/>
        <v>29, 33, HORSEA</v>
      </c>
      <c r="C3193" s="2" t="s">
        <v>3431</v>
      </c>
    </row>
    <row r="3194" ht="12.75" customHeight="1">
      <c r="A3194" s="3" t="s">
        <v>3028</v>
      </c>
      <c r="B3194" s="3" t="str">
        <f t="shared" si="1"/>
        <v>30, 35, KRABBY</v>
      </c>
      <c r="C3194" s="2" t="s">
        <v>3028</v>
      </c>
    </row>
    <row r="3195" ht="12.75" customHeight="1">
      <c r="A3195" s="3" t="s">
        <v>3452</v>
      </c>
      <c r="B3195" s="3" t="str">
        <f t="shared" si="1"/>
        <v>30, 35, STARYU</v>
      </c>
      <c r="C3195" s="2" t="s">
        <v>3452</v>
      </c>
    </row>
    <row r="3196" ht="12.75" customHeight="1">
      <c r="A3196" s="3"/>
      <c r="B3196" s="3" t="str">
        <f t="shared" si="1"/>
        <v/>
      </c>
      <c r="C3196" s="2" t="s">
        <v>2801</v>
      </c>
    </row>
    <row r="3197" ht="12.75" customHeight="1">
      <c r="A3197" s="3" t="s">
        <v>2851</v>
      </c>
      <c r="B3197" s="3" t="str">
        <f t="shared" si="1"/>
        <v>super rod:</v>
      </c>
      <c r="C3197" s="2" t="s">
        <v>2851</v>
      </c>
    </row>
    <row r="3198" ht="12.75" customHeight="1">
      <c r="A3198" s="3" t="s">
        <v>3433</v>
      </c>
      <c r="B3198" s="3" t="str">
        <f t="shared" si="1"/>
        <v>36, 40, SEADRA</v>
      </c>
      <c r="C3198" s="2" t="s">
        <v>3433</v>
      </c>
    </row>
    <row r="3199" ht="12.75" customHeight="1">
      <c r="A3199" s="3" t="s">
        <v>3357</v>
      </c>
      <c r="B3199" s="3" t="str">
        <f t="shared" si="1"/>
        <v>36, 40, GYARADOS</v>
      </c>
      <c r="C3199" s="2" t="s">
        <v>3357</v>
      </c>
    </row>
    <row r="3200" ht="12.75" customHeight="1">
      <c r="A3200" s="3" t="s">
        <v>3453</v>
      </c>
      <c r="B3200" s="3" t="str">
        <f t="shared" si="1"/>
        <v>38, 42, STARMIE</v>
      </c>
      <c r="C3200" s="2" t="s">
        <v>3453</v>
      </c>
    </row>
    <row r="3201" ht="12.75" customHeight="1">
      <c r="A3201" s="3" t="s">
        <v>3359</v>
      </c>
      <c r="B3201" s="3" t="str">
        <f t="shared" si="1"/>
        <v>38, 42, KINGLER</v>
      </c>
      <c r="C3201" s="2" t="s">
        <v>3359</v>
      </c>
    </row>
    <row r="3202" ht="12.75" customHeight="1">
      <c r="A3202" s="3" t="s">
        <v>3611</v>
      </c>
      <c r="B3202" s="3" t="str">
        <f t="shared" si="1"/>
        <v>40, 44, STARUS</v>
      </c>
      <c r="C3202" s="2" t="s">
        <v>3611</v>
      </c>
    </row>
    <row r="3203" ht="12.75" customHeight="1">
      <c r="A3203" s="3" t="s">
        <v>2539</v>
      </c>
      <c r="B3203" s="3" t="str">
        <f t="shared" si="1"/>
        <v>NEW ROUTE</v>
      </c>
      <c r="C3203" s="2" t="s">
        <v>2539</v>
      </c>
    </row>
    <row r="3204" ht="12.75" customHeight="1">
      <c r="A3204" s="3" t="s">
        <v>3612</v>
      </c>
      <c r="B3204" s="3" t="str">
        <f t="shared" si="1"/>
        <v>3, 1, 0, &lt;null&gt;,</v>
      </c>
      <c r="C3204" s="2" t="s">
        <v>3612</v>
      </c>
    </row>
    <row r="3205" ht="12.75" customHeight="1">
      <c r="A3205" s="3"/>
      <c r="B3205" s="3" t="str">
        <f t="shared" si="1"/>
        <v/>
      </c>
      <c r="C3205" s="2" t="s">
        <v>2801</v>
      </c>
    </row>
    <row r="3206" ht="12.75" customHeight="1">
      <c r="A3206" s="3" t="s">
        <v>3613</v>
      </c>
      <c r="B3206" s="3" t="str">
        <f t="shared" si="1"/>
        <v>1, 38, 42, PSYDUCK</v>
      </c>
      <c r="C3206" s="2" t="s">
        <v>3613</v>
      </c>
    </row>
    <row r="3207" ht="12.75" customHeight="1">
      <c r="A3207" s="3" t="s">
        <v>3375</v>
      </c>
      <c r="B3207" s="3" t="str">
        <f t="shared" si="1"/>
        <v>40, 44, SLOWPOKE</v>
      </c>
      <c r="C3207" s="2" t="s">
        <v>3375</v>
      </c>
    </row>
    <row r="3208" ht="12.75" customHeight="1">
      <c r="A3208" s="3" t="s">
        <v>2924</v>
      </c>
      <c r="B3208" s="3" t="str">
        <f t="shared" si="1"/>
        <v>42, 46, GOLDUCK</v>
      </c>
      <c r="C3208" s="2" t="s">
        <v>2924</v>
      </c>
    </row>
    <row r="3209" ht="12.75" customHeight="1">
      <c r="A3209" s="3" t="s">
        <v>2923</v>
      </c>
      <c r="B3209" s="3" t="str">
        <f t="shared" si="1"/>
        <v>42, 46, SLOWBRO</v>
      </c>
      <c r="C3209" s="2" t="s">
        <v>2923</v>
      </c>
    </row>
    <row r="3210" ht="12.75" customHeight="1">
      <c r="A3210" s="3" t="s">
        <v>3614</v>
      </c>
      <c r="B3210" s="3" t="str">
        <f t="shared" si="1"/>
        <v>44, 48, GILDUCK</v>
      </c>
      <c r="C3210" s="2" t="s">
        <v>3614</v>
      </c>
    </row>
    <row r="3211" ht="12.75" customHeight="1">
      <c r="A3211" s="3" t="s">
        <v>2846</v>
      </c>
      <c r="B3211" s="3" t="str">
        <f t="shared" si="1"/>
        <v>10, old rod:</v>
      </c>
      <c r="C3211" s="2" t="s">
        <v>2846</v>
      </c>
    </row>
    <row r="3212" ht="12.75" customHeight="1">
      <c r="A3212" s="3" t="s">
        <v>500</v>
      </c>
      <c r="B3212" s="3" t="str">
        <f t="shared" si="1"/>
        <v>19, 26, MAGIKARP</v>
      </c>
      <c r="C3212" s="2" t="s">
        <v>500</v>
      </c>
    </row>
    <row r="3213" ht="12.75" customHeight="1">
      <c r="A3213" s="3" t="s">
        <v>2927</v>
      </c>
      <c r="B3213" s="3" t="str">
        <f t="shared" si="1"/>
        <v>19, 26, POLIWAG</v>
      </c>
      <c r="C3213" s="2" t="s">
        <v>2927</v>
      </c>
    </row>
    <row r="3214" ht="12.75" customHeight="1">
      <c r="A3214" s="3"/>
      <c r="B3214" s="3" t="str">
        <f t="shared" si="1"/>
        <v/>
      </c>
      <c r="C3214" s="2" t="s">
        <v>2801</v>
      </c>
    </row>
    <row r="3215" ht="12.75" customHeight="1">
      <c r="A3215" s="3" t="s">
        <v>2847</v>
      </c>
      <c r="B3215" s="3" t="str">
        <f t="shared" si="1"/>
        <v>good rod:</v>
      </c>
      <c r="C3215" s="2" t="s">
        <v>2847</v>
      </c>
    </row>
    <row r="3216" ht="12.75" customHeight="1">
      <c r="A3216" s="3" t="s">
        <v>3560</v>
      </c>
      <c r="B3216" s="3" t="str">
        <f t="shared" si="1"/>
        <v>29, 33, MAGIKARP</v>
      </c>
      <c r="C3216" s="2" t="s">
        <v>3560</v>
      </c>
    </row>
    <row r="3217" ht="12.75" customHeight="1">
      <c r="A3217" s="3" t="s">
        <v>3561</v>
      </c>
      <c r="B3217" s="3" t="str">
        <f t="shared" si="1"/>
        <v>30, 35, GYARADOS</v>
      </c>
      <c r="C3217" s="2" t="s">
        <v>3561</v>
      </c>
    </row>
    <row r="3218" ht="12.75" customHeight="1">
      <c r="A3218" s="3" t="s">
        <v>3562</v>
      </c>
      <c r="B3218" s="3" t="str">
        <f t="shared" si="1"/>
        <v>30, 35, POLIWHIRL</v>
      </c>
      <c r="C3218" s="2" t="s">
        <v>3562</v>
      </c>
    </row>
    <row r="3219" ht="12.75" customHeight="1">
      <c r="A3219" s="3"/>
      <c r="B3219" s="3" t="str">
        <f t="shared" si="1"/>
        <v/>
      </c>
      <c r="C3219" s="2" t="s">
        <v>2801</v>
      </c>
    </row>
    <row r="3220" ht="12.75" customHeight="1">
      <c r="A3220" s="3" t="s">
        <v>2851</v>
      </c>
      <c r="B3220" s="3" t="str">
        <f t="shared" si="1"/>
        <v>super rod:</v>
      </c>
      <c r="C3220" s="2" t="s">
        <v>2851</v>
      </c>
    </row>
    <row r="3221" ht="12.75" customHeight="1">
      <c r="A3221" s="3" t="s">
        <v>3563</v>
      </c>
      <c r="B3221" s="3" t="str">
        <f t="shared" si="1"/>
        <v>36, 40, MAGIKARP</v>
      </c>
      <c r="C3221" s="2" t="s">
        <v>3563</v>
      </c>
    </row>
    <row r="3222" ht="12.75" customHeight="1">
      <c r="A3222" s="3" t="s">
        <v>3357</v>
      </c>
      <c r="B3222" s="3" t="str">
        <f t="shared" si="1"/>
        <v>36, 40, GYARADOS</v>
      </c>
      <c r="C3222" s="2" t="s">
        <v>3357</v>
      </c>
    </row>
    <row r="3223" ht="12.75" customHeight="1">
      <c r="A3223" s="3" t="s">
        <v>3564</v>
      </c>
      <c r="B3223" s="3" t="str">
        <f t="shared" si="1"/>
        <v>38, 42, POLIWHIRL</v>
      </c>
      <c r="C3223" s="2" t="s">
        <v>3564</v>
      </c>
    </row>
    <row r="3224" ht="12.75" customHeight="1">
      <c r="A3224" s="3" t="s">
        <v>3379</v>
      </c>
      <c r="B3224" s="3" t="str">
        <f t="shared" si="1"/>
        <v>38, 42, POLIWRATH</v>
      </c>
      <c r="C3224" s="2" t="s">
        <v>3379</v>
      </c>
    </row>
    <row r="3225" ht="12.75" customHeight="1">
      <c r="A3225" s="3" t="s">
        <v>3380</v>
      </c>
      <c r="B3225" s="3" t="str">
        <f t="shared" si="1"/>
        <v>40, 44, POLITOES</v>
      </c>
      <c r="C3225" s="2" t="s">
        <v>3380</v>
      </c>
    </row>
    <row r="3226" ht="12.75" customHeight="1">
      <c r="A3226" s="3" t="s">
        <v>2539</v>
      </c>
      <c r="B3226" s="3" t="str">
        <f t="shared" si="1"/>
        <v>NEW ROUTE</v>
      </c>
      <c r="C3226" s="2" t="s">
        <v>2539</v>
      </c>
    </row>
    <row r="3227" ht="12.75" customHeight="1">
      <c r="A3227" s="3" t="s">
        <v>3615</v>
      </c>
      <c r="B3227" s="3" t="str">
        <f t="shared" si="1"/>
        <v>3, 3, 0, &lt;null&gt;,</v>
      </c>
      <c r="C3227" s="2" t="s">
        <v>3615</v>
      </c>
    </row>
    <row r="3228" ht="12.75" customHeight="1">
      <c r="A3228" s="3"/>
      <c r="B3228" s="3" t="str">
        <f t="shared" si="1"/>
        <v/>
      </c>
      <c r="C3228" s="2" t="s">
        <v>2801</v>
      </c>
    </row>
    <row r="3229" ht="12.75" customHeight="1">
      <c r="A3229" s="3" t="s">
        <v>3610</v>
      </c>
      <c r="B3229" s="3" t="str">
        <f t="shared" si="1"/>
        <v>1, 38, 42, TENTACOOL</v>
      </c>
      <c r="C3229" s="2" t="s">
        <v>3610</v>
      </c>
    </row>
    <row r="3230" ht="12.75" customHeight="1">
      <c r="A3230" s="3" t="s">
        <v>3351</v>
      </c>
      <c r="B3230" s="3" t="str">
        <f t="shared" si="1"/>
        <v>40, 44, PSYDUCK</v>
      </c>
      <c r="C3230" s="2" t="s">
        <v>3351</v>
      </c>
    </row>
    <row r="3231" ht="12.75" customHeight="1">
      <c r="A3231" s="3" t="s">
        <v>3352</v>
      </c>
      <c r="B3231" s="3" t="str">
        <f t="shared" si="1"/>
        <v>42, 46, TENTACRUEL</v>
      </c>
      <c r="C3231" s="2" t="s">
        <v>3352</v>
      </c>
    </row>
    <row r="3232" ht="12.75" customHeight="1">
      <c r="A3232" s="3" t="s">
        <v>2924</v>
      </c>
      <c r="B3232" s="3" t="str">
        <f t="shared" si="1"/>
        <v>42, 46, GOLDUCK</v>
      </c>
      <c r="C3232" s="2" t="s">
        <v>2924</v>
      </c>
    </row>
    <row r="3233" ht="12.75" customHeight="1">
      <c r="A3233" s="3" t="s">
        <v>2925</v>
      </c>
      <c r="B3233" s="3" t="str">
        <f t="shared" si="1"/>
        <v>44, 48, VAPOREON</v>
      </c>
      <c r="C3233" s="2" t="s">
        <v>2925</v>
      </c>
    </row>
    <row r="3234" ht="12.75" customHeight="1">
      <c r="A3234" s="3" t="s">
        <v>2846</v>
      </c>
      <c r="B3234" s="3" t="str">
        <f t="shared" si="1"/>
        <v>10, old rod:</v>
      </c>
      <c r="C3234" s="2" t="s">
        <v>2846</v>
      </c>
    </row>
    <row r="3235" ht="12.75" customHeight="1">
      <c r="A3235" s="3" t="s">
        <v>500</v>
      </c>
      <c r="B3235" s="3" t="str">
        <f t="shared" si="1"/>
        <v>19, 26, MAGIKARP</v>
      </c>
      <c r="C3235" s="2" t="s">
        <v>500</v>
      </c>
    </row>
    <row r="3236" ht="12.75" customHeight="1">
      <c r="A3236" s="3" t="s">
        <v>3353</v>
      </c>
      <c r="B3236" s="3" t="str">
        <f t="shared" si="1"/>
        <v>19, 26, GYARADOS</v>
      </c>
      <c r="C3236" s="2" t="s">
        <v>3353</v>
      </c>
    </row>
    <row r="3237" ht="12.75" customHeight="1">
      <c r="A3237" s="3"/>
      <c r="B3237" s="3" t="str">
        <f t="shared" si="1"/>
        <v/>
      </c>
      <c r="C3237" s="2" t="s">
        <v>2801</v>
      </c>
    </row>
    <row r="3238" ht="12.75" customHeight="1">
      <c r="A3238" s="3" t="s">
        <v>2847</v>
      </c>
      <c r="B3238" s="3" t="str">
        <f t="shared" si="1"/>
        <v>good rod:</v>
      </c>
      <c r="C3238" s="2" t="s">
        <v>2847</v>
      </c>
    </row>
    <row r="3239" ht="12.75" customHeight="1">
      <c r="A3239" s="3" t="s">
        <v>3354</v>
      </c>
      <c r="B3239" s="3" t="str">
        <f t="shared" si="1"/>
        <v>29, 33, SLOWPOKE</v>
      </c>
      <c r="C3239" s="2" t="s">
        <v>3354</v>
      </c>
    </row>
    <row r="3240" ht="12.75" customHeight="1">
      <c r="A3240" s="3" t="s">
        <v>3028</v>
      </c>
      <c r="B3240" s="3" t="str">
        <f t="shared" si="1"/>
        <v>30, 35, KRABBY</v>
      </c>
      <c r="C3240" s="2" t="s">
        <v>3028</v>
      </c>
    </row>
    <row r="3241" ht="12.75" customHeight="1">
      <c r="A3241" s="3" t="s">
        <v>3355</v>
      </c>
      <c r="B3241" s="3" t="str">
        <f t="shared" si="1"/>
        <v>30, 35, PSYDUCK</v>
      </c>
      <c r="C3241" s="2" t="s">
        <v>3355</v>
      </c>
    </row>
    <row r="3242" ht="12.75" customHeight="1">
      <c r="A3242" s="3"/>
      <c r="B3242" s="3" t="str">
        <f t="shared" si="1"/>
        <v/>
      </c>
      <c r="C3242" s="2" t="s">
        <v>2801</v>
      </c>
    </row>
    <row r="3243" ht="12.75" customHeight="1">
      <c r="A3243" s="3" t="s">
        <v>2851</v>
      </c>
      <c r="B3243" s="3" t="str">
        <f t="shared" si="1"/>
        <v>super rod:</v>
      </c>
      <c r="C3243" s="2" t="s">
        <v>2851</v>
      </c>
    </row>
    <row r="3244" ht="12.75" customHeight="1">
      <c r="A3244" s="3" t="s">
        <v>3356</v>
      </c>
      <c r="B3244" s="3" t="str">
        <f t="shared" si="1"/>
        <v>36, 40, SLOWBRO</v>
      </c>
      <c r="C3244" s="2" t="s">
        <v>3356</v>
      </c>
    </row>
    <row r="3245" ht="12.75" customHeight="1">
      <c r="A3245" s="3" t="s">
        <v>3357</v>
      </c>
      <c r="B3245" s="3" t="str">
        <f t="shared" si="1"/>
        <v>36, 40, GYARADOS</v>
      </c>
      <c r="C3245" s="2" t="s">
        <v>3357</v>
      </c>
    </row>
    <row r="3246" ht="12.75" customHeight="1">
      <c r="A3246" s="3" t="s">
        <v>3358</v>
      </c>
      <c r="B3246" s="3" t="str">
        <f t="shared" si="1"/>
        <v>38, 42, GOLDUCK</v>
      </c>
      <c r="C3246" s="2" t="s">
        <v>3358</v>
      </c>
    </row>
    <row r="3247" ht="12.75" customHeight="1">
      <c r="A3247" s="3" t="s">
        <v>3359</v>
      </c>
      <c r="B3247" s="3" t="str">
        <f t="shared" si="1"/>
        <v>38, 42, KINGLER</v>
      </c>
      <c r="C3247" s="2" t="s">
        <v>3359</v>
      </c>
    </row>
    <row r="3248" ht="12.75" customHeight="1">
      <c r="A3248" s="3" t="s">
        <v>3360</v>
      </c>
      <c r="B3248" s="3" t="str">
        <f t="shared" si="1"/>
        <v>40, 44, SLOWMATE</v>
      </c>
      <c r="C3248" s="2" t="s">
        <v>3360</v>
      </c>
    </row>
    <row r="3249" ht="12.75" customHeight="1">
      <c r="A3249" s="3" t="s">
        <v>2539</v>
      </c>
      <c r="B3249" s="3" t="str">
        <f t="shared" si="1"/>
        <v>NEW ROUTE</v>
      </c>
      <c r="C3249" s="2" t="s">
        <v>2539</v>
      </c>
    </row>
    <row r="3250" ht="12.75" customHeight="1">
      <c r="A3250" s="3" t="s">
        <v>3616</v>
      </c>
      <c r="B3250" s="3" t="str">
        <f t="shared" si="1"/>
        <v>3, 5, 0, &lt;null&gt;,</v>
      </c>
      <c r="C3250" s="2" t="s">
        <v>3616</v>
      </c>
    </row>
    <row r="3251" ht="12.75" customHeight="1">
      <c r="A3251" s="3"/>
      <c r="B3251" s="3" t="str">
        <f t="shared" si="1"/>
        <v/>
      </c>
      <c r="C3251" s="2" t="s">
        <v>2801</v>
      </c>
    </row>
    <row r="3252" ht="12.75" customHeight="1">
      <c r="A3252" s="3" t="s">
        <v>3610</v>
      </c>
      <c r="B3252" s="3" t="str">
        <f t="shared" si="1"/>
        <v>1, 38, 42, TENTACOOL</v>
      </c>
      <c r="C3252" s="2" t="s">
        <v>3610</v>
      </c>
    </row>
    <row r="3253" ht="12.75" customHeight="1">
      <c r="A3253" s="3" t="s">
        <v>3429</v>
      </c>
      <c r="B3253" s="3" t="str">
        <f t="shared" si="1"/>
        <v>40, 44, TENTACRUEL</v>
      </c>
      <c r="C3253" s="2" t="s">
        <v>3429</v>
      </c>
    </row>
    <row r="3254" ht="12.75" customHeight="1">
      <c r="A3254" s="3" t="s">
        <v>3025</v>
      </c>
      <c r="B3254" s="3" t="str">
        <f t="shared" si="1"/>
        <v>42, 46, LAPRAS</v>
      </c>
      <c r="C3254" s="2" t="s">
        <v>3025</v>
      </c>
    </row>
    <row r="3255" ht="12.75" customHeight="1">
      <c r="A3255" s="3" t="s">
        <v>3430</v>
      </c>
      <c r="B3255" s="3" t="str">
        <f t="shared" si="1"/>
        <v>42, 46, TENTACATE</v>
      </c>
      <c r="C3255" s="2" t="s">
        <v>3430</v>
      </c>
    </row>
    <row r="3256" ht="12.75" customHeight="1">
      <c r="A3256" s="3" t="s">
        <v>3450</v>
      </c>
      <c r="B3256" s="3" t="str">
        <f t="shared" si="1"/>
        <v>44, 48, LOCHLASS</v>
      </c>
      <c r="C3256" s="2" t="s">
        <v>3450</v>
      </c>
    </row>
    <row r="3257" ht="12.75" customHeight="1">
      <c r="A3257" s="3" t="s">
        <v>2846</v>
      </c>
      <c r="B3257" s="3" t="str">
        <f t="shared" si="1"/>
        <v>10, old rod:</v>
      </c>
      <c r="C3257" s="2" t="s">
        <v>2846</v>
      </c>
    </row>
    <row r="3258" ht="12.75" customHeight="1">
      <c r="A3258" s="3" t="s">
        <v>500</v>
      </c>
      <c r="B3258" s="3" t="str">
        <f t="shared" si="1"/>
        <v>19, 26, MAGIKARP</v>
      </c>
      <c r="C3258" s="2" t="s">
        <v>500</v>
      </c>
    </row>
    <row r="3259" ht="12.75" customHeight="1">
      <c r="A3259" s="3" t="s">
        <v>3353</v>
      </c>
      <c r="B3259" s="3" t="str">
        <f t="shared" si="1"/>
        <v>19, 26, GYARADOS</v>
      </c>
      <c r="C3259" s="2" t="s">
        <v>3353</v>
      </c>
    </row>
    <row r="3260" ht="12.75" customHeight="1">
      <c r="A3260" s="3"/>
      <c r="B3260" s="3" t="str">
        <f t="shared" si="1"/>
        <v/>
      </c>
      <c r="C3260" s="2" t="s">
        <v>2801</v>
      </c>
    </row>
    <row r="3261" ht="12.75" customHeight="1">
      <c r="A3261" s="3" t="s">
        <v>2847</v>
      </c>
      <c r="B3261" s="3" t="str">
        <f t="shared" si="1"/>
        <v>good rod:</v>
      </c>
      <c r="C3261" s="2" t="s">
        <v>2847</v>
      </c>
    </row>
    <row r="3262" ht="12.75" customHeight="1">
      <c r="A3262" s="3" t="s">
        <v>3431</v>
      </c>
      <c r="B3262" s="3" t="str">
        <f t="shared" si="1"/>
        <v>29, 33, HORSEA</v>
      </c>
      <c r="C3262" s="2" t="s">
        <v>3431</v>
      </c>
    </row>
    <row r="3263" ht="12.75" customHeight="1">
      <c r="A3263" s="3" t="s">
        <v>3451</v>
      </c>
      <c r="B3263" s="3" t="str">
        <f t="shared" si="1"/>
        <v>30, 35, SHELLDER</v>
      </c>
      <c r="C3263" s="2" t="s">
        <v>3451</v>
      </c>
    </row>
    <row r="3264" ht="12.75" customHeight="1">
      <c r="A3264" s="3" t="s">
        <v>3452</v>
      </c>
      <c r="B3264" s="3" t="str">
        <f t="shared" si="1"/>
        <v>30, 35, STARYU</v>
      </c>
      <c r="C3264" s="2" t="s">
        <v>3452</v>
      </c>
    </row>
    <row r="3265" ht="12.75" customHeight="1">
      <c r="A3265" s="3"/>
      <c r="B3265" s="3" t="str">
        <f t="shared" si="1"/>
        <v/>
      </c>
      <c r="C3265" s="2" t="s">
        <v>2801</v>
      </c>
    </row>
    <row r="3266" ht="12.75" customHeight="1">
      <c r="A3266" s="3" t="s">
        <v>2851</v>
      </c>
      <c r="B3266" s="3" t="str">
        <f t="shared" si="1"/>
        <v>super rod:</v>
      </c>
      <c r="C3266" s="2" t="s">
        <v>2851</v>
      </c>
    </row>
    <row r="3267" ht="12.75" customHeight="1">
      <c r="A3267" s="3" t="s">
        <v>3027</v>
      </c>
      <c r="B3267" s="3" t="str">
        <f t="shared" si="1"/>
        <v>29, 33, SEADRA</v>
      </c>
      <c r="C3267" s="2" t="s">
        <v>3027</v>
      </c>
    </row>
    <row r="3268" ht="12.75" customHeight="1">
      <c r="A3268" s="3" t="s">
        <v>3357</v>
      </c>
      <c r="B3268" s="3" t="str">
        <f t="shared" si="1"/>
        <v>36, 40, GYARADOS</v>
      </c>
      <c r="C3268" s="2" t="s">
        <v>3357</v>
      </c>
    </row>
    <row r="3269" ht="12.75" customHeight="1">
      <c r="A3269" s="3" t="s">
        <v>3453</v>
      </c>
      <c r="B3269" s="3" t="str">
        <f t="shared" si="1"/>
        <v>38, 42, STARMIE</v>
      </c>
      <c r="C3269" s="2" t="s">
        <v>3453</v>
      </c>
    </row>
    <row r="3270" ht="12.75" customHeight="1">
      <c r="A3270" s="3" t="s">
        <v>3454</v>
      </c>
      <c r="B3270" s="3" t="str">
        <f t="shared" si="1"/>
        <v>38, 42, CLOYSTER</v>
      </c>
      <c r="C3270" s="2" t="s">
        <v>3454</v>
      </c>
    </row>
    <row r="3271" ht="12.75" customHeight="1">
      <c r="A3271" s="3" t="s">
        <v>3455</v>
      </c>
      <c r="B3271" s="3" t="str">
        <f t="shared" si="1"/>
        <v>38, 42, STARUS</v>
      </c>
      <c r="C3271" s="2" t="s">
        <v>3455</v>
      </c>
    </row>
    <row r="3272" ht="12.75" customHeight="1">
      <c r="A3272" s="3" t="s">
        <v>2539</v>
      </c>
      <c r="B3272" s="3" t="str">
        <f t="shared" si="1"/>
        <v>NEW ROUTE</v>
      </c>
      <c r="C3272" s="2" t="s">
        <v>2539</v>
      </c>
    </row>
    <row r="3273" ht="12.75" customHeight="1">
      <c r="A3273" s="3" t="s">
        <v>3617</v>
      </c>
      <c r="B3273" s="3" t="str">
        <f t="shared" si="1"/>
        <v>3, 6, 0, &lt;null&gt;,</v>
      </c>
      <c r="C3273" s="2" t="s">
        <v>3617</v>
      </c>
    </row>
    <row r="3274" ht="12.75" customHeight="1">
      <c r="A3274" s="3"/>
      <c r="B3274" s="3" t="str">
        <f t="shared" si="1"/>
        <v/>
      </c>
      <c r="C3274" s="2" t="s">
        <v>2801</v>
      </c>
    </row>
    <row r="3275" ht="12.75" customHeight="1">
      <c r="A3275" s="3" t="s">
        <v>3613</v>
      </c>
      <c r="B3275" s="3" t="str">
        <f t="shared" si="1"/>
        <v>1, 38, 42, PSYDUCK</v>
      </c>
      <c r="C3275" s="2" t="s">
        <v>3613</v>
      </c>
    </row>
    <row r="3276" ht="12.75" customHeight="1">
      <c r="A3276" s="3" t="s">
        <v>3375</v>
      </c>
      <c r="B3276" s="3" t="str">
        <f t="shared" si="1"/>
        <v>40, 44, SLOWPOKE</v>
      </c>
      <c r="C3276" s="2" t="s">
        <v>3375</v>
      </c>
    </row>
    <row r="3277" ht="12.75" customHeight="1">
      <c r="A3277" s="3" t="s">
        <v>3618</v>
      </c>
      <c r="B3277" s="3" t="str">
        <f t="shared" si="1"/>
        <v>42, 46, KOFFING</v>
      </c>
      <c r="C3277" s="2" t="s">
        <v>3618</v>
      </c>
    </row>
    <row r="3278" ht="12.75" customHeight="1">
      <c r="A3278" s="3" t="s">
        <v>2924</v>
      </c>
      <c r="B3278" s="3" t="str">
        <f t="shared" si="1"/>
        <v>42, 46, GOLDUCK</v>
      </c>
      <c r="C3278" s="2" t="s">
        <v>2924</v>
      </c>
    </row>
    <row r="3279" ht="12.75" customHeight="1">
      <c r="A3279" s="3" t="s">
        <v>3619</v>
      </c>
      <c r="B3279" s="3" t="str">
        <f t="shared" si="1"/>
        <v>44, 48, WEEZING</v>
      </c>
      <c r="C3279" s="2" t="s">
        <v>3619</v>
      </c>
    </row>
    <row r="3280" ht="12.75" customHeight="1">
      <c r="A3280" s="3" t="s">
        <v>2846</v>
      </c>
      <c r="B3280" s="3" t="str">
        <f t="shared" si="1"/>
        <v>10, old rod:</v>
      </c>
      <c r="C3280" s="2" t="s">
        <v>2846</v>
      </c>
    </row>
    <row r="3281" ht="12.75" customHeight="1">
      <c r="A3281" s="3" t="s">
        <v>500</v>
      </c>
      <c r="B3281" s="3" t="str">
        <f t="shared" si="1"/>
        <v>19, 26, MAGIKARP</v>
      </c>
      <c r="C3281" s="2" t="s">
        <v>500</v>
      </c>
    </row>
    <row r="3282" ht="12.75" customHeight="1">
      <c r="A3282" s="3" t="s">
        <v>3620</v>
      </c>
      <c r="B3282" s="3" t="str">
        <f t="shared" si="1"/>
        <v>19, 26, GRIMER</v>
      </c>
      <c r="C3282" s="2" t="s">
        <v>3620</v>
      </c>
    </row>
    <row r="3283" ht="12.75" customHeight="1">
      <c r="A3283" s="3"/>
      <c r="B3283" s="3" t="str">
        <f t="shared" si="1"/>
        <v/>
      </c>
      <c r="C3283" s="2" t="s">
        <v>2801</v>
      </c>
    </row>
    <row r="3284" ht="12.75" customHeight="1">
      <c r="A3284" s="3" t="s">
        <v>2847</v>
      </c>
      <c r="B3284" s="3" t="str">
        <f t="shared" si="1"/>
        <v>good rod:</v>
      </c>
      <c r="C3284" s="2" t="s">
        <v>2847</v>
      </c>
    </row>
    <row r="3285" ht="12.75" customHeight="1">
      <c r="A3285" s="3" t="s">
        <v>3560</v>
      </c>
      <c r="B3285" s="3" t="str">
        <f t="shared" si="1"/>
        <v>29, 33, MAGIKARP</v>
      </c>
      <c r="C3285" s="2" t="s">
        <v>3560</v>
      </c>
    </row>
    <row r="3286" ht="12.75" customHeight="1">
      <c r="A3286" s="3" t="s">
        <v>3561</v>
      </c>
      <c r="B3286" s="3" t="str">
        <f t="shared" si="1"/>
        <v>30, 35, GYARADOS</v>
      </c>
      <c r="C3286" s="2" t="s">
        <v>3561</v>
      </c>
    </row>
    <row r="3287" ht="12.75" customHeight="1">
      <c r="A3287" s="3" t="s">
        <v>3621</v>
      </c>
      <c r="B3287" s="3" t="str">
        <f t="shared" si="1"/>
        <v>30, 35, MUK</v>
      </c>
      <c r="C3287" s="2" t="s">
        <v>3621</v>
      </c>
    </row>
    <row r="3288" ht="12.75" customHeight="1">
      <c r="A3288" s="3"/>
      <c r="B3288" s="3" t="str">
        <f t="shared" si="1"/>
        <v/>
      </c>
      <c r="C3288" s="2" t="s">
        <v>2801</v>
      </c>
    </row>
    <row r="3289" ht="12.75" customHeight="1">
      <c r="A3289" s="3" t="s">
        <v>2851</v>
      </c>
      <c r="B3289" s="3" t="str">
        <f t="shared" si="1"/>
        <v>super rod:</v>
      </c>
      <c r="C3289" s="2" t="s">
        <v>2851</v>
      </c>
    </row>
    <row r="3290" ht="12.75" customHeight="1">
      <c r="A3290" s="3" t="s">
        <v>3357</v>
      </c>
      <c r="B3290" s="3" t="str">
        <f t="shared" si="1"/>
        <v>36, 40, GYARADOS</v>
      </c>
      <c r="C3290" s="2" t="s">
        <v>3357</v>
      </c>
    </row>
    <row r="3291" ht="12.75" customHeight="1">
      <c r="A3291" s="3" t="s">
        <v>3622</v>
      </c>
      <c r="B3291" s="3" t="str">
        <f t="shared" si="1"/>
        <v>36, 40, MUK</v>
      </c>
      <c r="C3291" s="2" t="s">
        <v>3622</v>
      </c>
    </row>
    <row r="3292" ht="12.75" customHeight="1">
      <c r="A3292" s="3" t="s">
        <v>3623</v>
      </c>
      <c r="B3292" s="3" t="str">
        <f t="shared" si="1"/>
        <v>41, 41, GYARADOS</v>
      </c>
      <c r="C3292" s="2" t="s">
        <v>3623</v>
      </c>
    </row>
    <row r="3293" ht="12.75" customHeight="1">
      <c r="A3293" s="3" t="s">
        <v>3624</v>
      </c>
      <c r="B3293" s="3" t="str">
        <f t="shared" si="1"/>
        <v>38, 42, HYDRADOS</v>
      </c>
      <c r="C3293" s="2" t="s">
        <v>3624</v>
      </c>
    </row>
    <row r="3294" ht="12.75" customHeight="1">
      <c r="A3294" s="3" t="s">
        <v>3625</v>
      </c>
      <c r="B3294" s="3" t="str">
        <f t="shared" si="1"/>
        <v>40, 44, GUNK</v>
      </c>
      <c r="C3294" s="2" t="s">
        <v>3625</v>
      </c>
    </row>
    <row r="3295" ht="12.75" customHeight="1">
      <c r="A3295" s="3" t="s">
        <v>2539</v>
      </c>
      <c r="B3295" s="3" t="str">
        <f t="shared" si="1"/>
        <v>NEW ROUTE</v>
      </c>
      <c r="C3295" s="2" t="s">
        <v>2539</v>
      </c>
    </row>
    <row r="3296" ht="12.75" customHeight="1">
      <c r="A3296" s="3" t="s">
        <v>3626</v>
      </c>
      <c r="B3296" s="3" t="str">
        <f t="shared" si="1"/>
        <v>3, 7, 0, &lt;null&gt;,</v>
      </c>
      <c r="C3296" s="2" t="s">
        <v>3626</v>
      </c>
    </row>
    <row r="3297" ht="12.75" customHeight="1">
      <c r="A3297" s="3"/>
      <c r="B3297" s="3" t="str">
        <f t="shared" si="1"/>
        <v/>
      </c>
      <c r="C3297" s="2" t="s">
        <v>2801</v>
      </c>
    </row>
    <row r="3298" ht="12.75" customHeight="1">
      <c r="A3298" s="3" t="s">
        <v>3610</v>
      </c>
      <c r="B3298" s="3" t="str">
        <f t="shared" si="1"/>
        <v>1, 38, 42, TENTACOOL</v>
      </c>
      <c r="C3298" s="2" t="s">
        <v>3610</v>
      </c>
    </row>
    <row r="3299" ht="12.75" customHeight="1">
      <c r="A3299" s="3" t="s">
        <v>3351</v>
      </c>
      <c r="B3299" s="3" t="str">
        <f t="shared" si="1"/>
        <v>40, 44, PSYDUCK</v>
      </c>
      <c r="C3299" s="2" t="s">
        <v>3351</v>
      </c>
    </row>
    <row r="3300" ht="12.75" customHeight="1">
      <c r="A3300" s="3" t="s">
        <v>3352</v>
      </c>
      <c r="B3300" s="3" t="str">
        <f t="shared" si="1"/>
        <v>42, 46, TENTACRUEL</v>
      </c>
      <c r="C3300" s="2" t="s">
        <v>3352</v>
      </c>
    </row>
    <row r="3301" ht="12.75" customHeight="1">
      <c r="A3301" s="3" t="s">
        <v>2924</v>
      </c>
      <c r="B3301" s="3" t="str">
        <f t="shared" si="1"/>
        <v>42, 46, GOLDUCK</v>
      </c>
      <c r="C3301" s="2" t="s">
        <v>2924</v>
      </c>
    </row>
    <row r="3302" ht="12.75" customHeight="1">
      <c r="A3302" s="3" t="s">
        <v>2925</v>
      </c>
      <c r="B3302" s="3" t="str">
        <f t="shared" si="1"/>
        <v>44, 48, VAPOREON</v>
      </c>
      <c r="C3302" s="2" t="s">
        <v>2925</v>
      </c>
    </row>
    <row r="3303" ht="12.75" customHeight="1">
      <c r="A3303" s="3" t="s">
        <v>2846</v>
      </c>
      <c r="B3303" s="3" t="str">
        <f t="shared" si="1"/>
        <v>10, old rod:</v>
      </c>
      <c r="C3303" s="2" t="s">
        <v>2846</v>
      </c>
    </row>
    <row r="3304" ht="12.75" customHeight="1">
      <c r="A3304" s="3" t="s">
        <v>1265</v>
      </c>
      <c r="B3304" s="3" t="str">
        <f t="shared" si="1"/>
        <v>19, 26, SEEL</v>
      </c>
      <c r="C3304" s="2" t="s">
        <v>1265</v>
      </c>
    </row>
    <row r="3305" ht="12.75" customHeight="1">
      <c r="A3305" s="3" t="s">
        <v>2927</v>
      </c>
      <c r="B3305" s="3" t="str">
        <f t="shared" si="1"/>
        <v>19, 26, POLIWAG</v>
      </c>
      <c r="C3305" s="2" t="s">
        <v>2927</v>
      </c>
    </row>
    <row r="3306" ht="12.75" customHeight="1">
      <c r="A3306" s="3"/>
      <c r="B3306" s="3" t="str">
        <f t="shared" si="1"/>
        <v/>
      </c>
      <c r="C3306" s="2" t="s">
        <v>2801</v>
      </c>
    </row>
    <row r="3307" ht="12.75" customHeight="1">
      <c r="A3307" s="3" t="s">
        <v>2847</v>
      </c>
      <c r="B3307" s="3" t="str">
        <f t="shared" si="1"/>
        <v>good rod:</v>
      </c>
      <c r="C3307" s="2" t="s">
        <v>2847</v>
      </c>
    </row>
    <row r="3308" ht="12.75" customHeight="1">
      <c r="A3308" s="3" t="s">
        <v>3627</v>
      </c>
      <c r="B3308" s="3" t="str">
        <f t="shared" si="1"/>
        <v>29, 33, SEEL</v>
      </c>
      <c r="C3308" s="2" t="s">
        <v>3627</v>
      </c>
    </row>
    <row r="3309" ht="12.75" customHeight="1">
      <c r="A3309" s="3" t="s">
        <v>2929</v>
      </c>
      <c r="B3309" s="3" t="str">
        <f t="shared" si="1"/>
        <v>30, 35, POLIWAG</v>
      </c>
      <c r="C3309" s="2" t="s">
        <v>2929</v>
      </c>
    </row>
    <row r="3310" ht="12.75" customHeight="1">
      <c r="A3310" s="3" t="s">
        <v>2930</v>
      </c>
      <c r="B3310" s="3" t="str">
        <f t="shared" si="1"/>
        <v>30, 35, GOLDEEN</v>
      </c>
      <c r="C3310" s="2" t="s">
        <v>2930</v>
      </c>
    </row>
    <row r="3311" ht="12.75" customHeight="1">
      <c r="A3311" s="3"/>
      <c r="B3311" s="3" t="str">
        <f t="shared" si="1"/>
        <v/>
      </c>
      <c r="C3311" s="2" t="s">
        <v>2801</v>
      </c>
    </row>
    <row r="3312" ht="12.75" customHeight="1">
      <c r="A3312" s="3" t="s">
        <v>2851</v>
      </c>
      <c r="B3312" s="3" t="str">
        <f t="shared" si="1"/>
        <v>super rod:</v>
      </c>
      <c r="C3312" s="2" t="s">
        <v>2851</v>
      </c>
    </row>
    <row r="3313" ht="12.75" customHeight="1">
      <c r="A3313" s="3" t="s">
        <v>2931</v>
      </c>
      <c r="B3313" s="3" t="str">
        <f t="shared" si="1"/>
        <v>36, 40, POLIWHIRL</v>
      </c>
      <c r="C3313" s="2" t="s">
        <v>2931</v>
      </c>
    </row>
    <row r="3314" ht="12.75" customHeight="1">
      <c r="A3314" s="3" t="s">
        <v>3628</v>
      </c>
      <c r="B3314" s="3" t="str">
        <f t="shared" si="1"/>
        <v>36, 40, DEWGONG</v>
      </c>
      <c r="C3314" s="2" t="s">
        <v>3628</v>
      </c>
    </row>
    <row r="3315" ht="12.75" customHeight="1">
      <c r="A3315" s="3" t="s">
        <v>3629</v>
      </c>
      <c r="B3315" s="3" t="str">
        <f t="shared" si="1"/>
        <v>38, 42, SEAKING</v>
      </c>
      <c r="C3315" s="2" t="s">
        <v>3629</v>
      </c>
    </row>
    <row r="3316" ht="12.75" customHeight="1">
      <c r="A3316" s="3" t="s">
        <v>3379</v>
      </c>
      <c r="B3316" s="3" t="str">
        <f t="shared" si="1"/>
        <v>38, 42, POLIWRATH</v>
      </c>
      <c r="C3316" s="2" t="s">
        <v>3379</v>
      </c>
    </row>
    <row r="3317" ht="12.75" customHeight="1">
      <c r="A3317" s="3" t="s">
        <v>3630</v>
      </c>
      <c r="B3317" s="3" t="str">
        <f t="shared" si="1"/>
        <v>40, 44, SEAREX</v>
      </c>
      <c r="C3317" s="2" t="s">
        <v>3630</v>
      </c>
    </row>
    <row r="3318" ht="12.75" customHeight="1">
      <c r="A3318" s="3" t="s">
        <v>2539</v>
      </c>
      <c r="B3318" s="3" t="str">
        <f t="shared" si="1"/>
        <v>NEW ROUTE</v>
      </c>
      <c r="C3318" s="2" t="s">
        <v>2539</v>
      </c>
    </row>
    <row r="3319" ht="12.75" customHeight="1">
      <c r="A3319" s="3" t="s">
        <v>3631</v>
      </c>
      <c r="B3319" s="3" t="str">
        <f t="shared" si="1"/>
        <v>3, 8, 0, &lt;null&gt;,</v>
      </c>
      <c r="C3319" s="2" t="s">
        <v>3631</v>
      </c>
    </row>
    <row r="3320" ht="12.75" customHeight="1">
      <c r="A3320" s="3"/>
      <c r="B3320" s="3" t="str">
        <f t="shared" si="1"/>
        <v/>
      </c>
      <c r="C3320" s="2" t="s">
        <v>2801</v>
      </c>
    </row>
    <row r="3321" ht="12.75" customHeight="1">
      <c r="A3321" s="3" t="s">
        <v>3632</v>
      </c>
      <c r="B3321" s="3" t="str">
        <f t="shared" si="1"/>
        <v>1, 40, 44, DEWGONG</v>
      </c>
      <c r="C3321" s="2" t="s">
        <v>3632</v>
      </c>
    </row>
    <row r="3322" ht="12.75" customHeight="1">
      <c r="A3322" s="3" t="s">
        <v>3025</v>
      </c>
      <c r="B3322" s="3" t="str">
        <f t="shared" si="1"/>
        <v>42, 46, LAPRAS</v>
      </c>
      <c r="C3322" s="2" t="s">
        <v>3025</v>
      </c>
    </row>
    <row r="3323" ht="12.75" customHeight="1">
      <c r="A3323" s="3" t="s">
        <v>3014</v>
      </c>
      <c r="B3323" s="3" t="str">
        <f t="shared" si="1"/>
        <v>44, 47, PRECIPED</v>
      </c>
      <c r="C3323" s="2" t="s">
        <v>3014</v>
      </c>
    </row>
    <row r="3324" ht="12.75" customHeight="1">
      <c r="A3324" s="3" t="s">
        <v>3633</v>
      </c>
      <c r="B3324" s="3" t="str">
        <f t="shared" si="1"/>
        <v>44, 47, TENTACATE</v>
      </c>
      <c r="C3324" s="2" t="s">
        <v>3633</v>
      </c>
    </row>
    <row r="3325" ht="12.75" customHeight="1">
      <c r="A3325" s="3" t="s">
        <v>3634</v>
      </c>
      <c r="B3325" s="3" t="str">
        <f t="shared" si="1"/>
        <v>45, 50, LOCHLASS</v>
      </c>
      <c r="C3325" s="2" t="s">
        <v>3634</v>
      </c>
    </row>
    <row r="3326" ht="12.75" customHeight="1">
      <c r="A3326" s="3" t="s">
        <v>2846</v>
      </c>
      <c r="B3326" s="3" t="str">
        <f t="shared" si="1"/>
        <v>10, old rod:</v>
      </c>
      <c r="C3326" s="2" t="s">
        <v>2846</v>
      </c>
    </row>
    <row r="3327" ht="12.75" customHeight="1">
      <c r="A3327" s="3" t="s">
        <v>1273</v>
      </c>
      <c r="B3327" s="3" t="str">
        <f t="shared" si="1"/>
        <v>24, 30, HORSEA</v>
      </c>
      <c r="C3327" s="2" t="s">
        <v>1273</v>
      </c>
    </row>
    <row r="3328" ht="12.75" customHeight="1">
      <c r="A3328" s="3" t="s">
        <v>3635</v>
      </c>
      <c r="B3328" s="3" t="str">
        <f t="shared" si="1"/>
        <v>24, 30, SHELLDER</v>
      </c>
      <c r="C3328" s="2" t="s">
        <v>3635</v>
      </c>
    </row>
    <row r="3329" ht="12.75" customHeight="1">
      <c r="A3329" s="3"/>
      <c r="B3329" s="3" t="str">
        <f t="shared" si="1"/>
        <v/>
      </c>
      <c r="C3329" s="2" t="s">
        <v>2801</v>
      </c>
    </row>
    <row r="3330" ht="12.75" customHeight="1">
      <c r="A3330" s="3" t="s">
        <v>2847</v>
      </c>
      <c r="B3330" s="3" t="str">
        <f t="shared" si="1"/>
        <v>good rod:</v>
      </c>
      <c r="C3330" s="2" t="s">
        <v>2847</v>
      </c>
    </row>
    <row r="3331" ht="12.75" customHeight="1">
      <c r="A3331" s="3" t="s">
        <v>3636</v>
      </c>
      <c r="B3331" s="3" t="str">
        <f t="shared" si="1"/>
        <v>35, 40, SEADRA</v>
      </c>
      <c r="C3331" s="2" t="s">
        <v>3636</v>
      </c>
    </row>
    <row r="3332" ht="12.75" customHeight="1">
      <c r="A3332" s="3" t="s">
        <v>3637</v>
      </c>
      <c r="B3332" s="3" t="str">
        <f t="shared" si="1"/>
        <v>37, 42, KRABBY</v>
      </c>
      <c r="C3332" s="2" t="s">
        <v>3637</v>
      </c>
    </row>
    <row r="3333" ht="12.75" customHeight="1">
      <c r="A3333" s="3" t="s">
        <v>3638</v>
      </c>
      <c r="B3333" s="3" t="str">
        <f t="shared" si="1"/>
        <v>37, 42, CLOYSTER</v>
      </c>
      <c r="C3333" s="2" t="s">
        <v>3638</v>
      </c>
    </row>
    <row r="3334" ht="12.75" customHeight="1">
      <c r="A3334" s="3"/>
      <c r="B3334" s="3" t="str">
        <f t="shared" si="1"/>
        <v/>
      </c>
      <c r="C3334" s="2" t="s">
        <v>2801</v>
      </c>
    </row>
    <row r="3335" ht="12.75" customHeight="1">
      <c r="A3335" s="3" t="s">
        <v>2851</v>
      </c>
      <c r="B3335" s="3" t="str">
        <f t="shared" si="1"/>
        <v>super rod:</v>
      </c>
      <c r="C3335" s="2" t="s">
        <v>2851</v>
      </c>
    </row>
    <row r="3336" ht="12.75" customHeight="1">
      <c r="A3336" s="3" t="s">
        <v>3639</v>
      </c>
      <c r="B3336" s="3" t="str">
        <f t="shared" si="1"/>
        <v>39, 45, KINGDRA</v>
      </c>
      <c r="C3336" s="2" t="s">
        <v>3639</v>
      </c>
    </row>
    <row r="3337" ht="12.75" customHeight="1">
      <c r="A3337" s="3" t="s">
        <v>3640</v>
      </c>
      <c r="B3337" s="3" t="str">
        <f t="shared" si="1"/>
        <v>39, 45, KINGLER</v>
      </c>
      <c r="C3337" s="2" t="s">
        <v>3640</v>
      </c>
    </row>
    <row r="3338" ht="12.75" customHeight="1">
      <c r="A3338" s="3" t="s">
        <v>3641</v>
      </c>
      <c r="B3338" s="3" t="str">
        <f t="shared" si="1"/>
        <v>43, 46, AN'ENEMY</v>
      </c>
      <c r="C3338" s="2" t="s">
        <v>3641</v>
      </c>
    </row>
    <row r="3339" ht="12.75" customHeight="1">
      <c r="A3339" s="3" t="s">
        <v>3642</v>
      </c>
      <c r="B3339" s="3" t="str">
        <f t="shared" si="1"/>
        <v>43, 46, KRAKLAW</v>
      </c>
      <c r="C3339" s="2" t="s">
        <v>3642</v>
      </c>
    </row>
    <row r="3340" ht="12.75" customHeight="1">
      <c r="A3340" s="3" t="s">
        <v>3643</v>
      </c>
      <c r="B3340" s="3" t="str">
        <f t="shared" si="1"/>
        <v>45, 52, LORDRA</v>
      </c>
      <c r="C3340" s="2" t="s">
        <v>3643</v>
      </c>
    </row>
    <row r="3341" ht="12.75" customHeight="1">
      <c r="A3341" s="3" t="s">
        <v>2539</v>
      </c>
      <c r="B3341" s="3" t="str">
        <f t="shared" si="1"/>
        <v>NEW ROUTE</v>
      </c>
      <c r="C3341" s="2" t="s">
        <v>2539</v>
      </c>
    </row>
    <row r="3342" ht="12.75" customHeight="1">
      <c r="A3342" s="3" t="s">
        <v>3644</v>
      </c>
      <c r="B3342" s="3" t="str">
        <f t="shared" si="1"/>
        <v>3, 12, 0, &lt;null&gt;,</v>
      </c>
      <c r="C3342" s="2" t="s">
        <v>3644</v>
      </c>
    </row>
    <row r="3343" ht="12.75" customHeight="1">
      <c r="A3343" s="3"/>
      <c r="B3343" s="3" t="str">
        <f t="shared" si="1"/>
        <v/>
      </c>
      <c r="C3343" s="2" t="s">
        <v>2801</v>
      </c>
    </row>
    <row r="3344" ht="12.75" customHeight="1">
      <c r="A3344" s="3" t="s">
        <v>3645</v>
      </c>
      <c r="B3344" s="3" t="str">
        <f t="shared" si="1"/>
        <v>1, 5, 20, TENTACOOL</v>
      </c>
      <c r="C3344" s="2" t="s">
        <v>3645</v>
      </c>
    </row>
    <row r="3345" ht="12.75" customHeight="1">
      <c r="A3345" s="3" t="s">
        <v>3174</v>
      </c>
      <c r="B3345" s="3" t="str">
        <f t="shared" si="1"/>
        <v>20, 35, TENTACOOL</v>
      </c>
      <c r="C3345" s="2" t="s">
        <v>3174</v>
      </c>
    </row>
    <row r="3346" ht="12.75" customHeight="1">
      <c r="A3346" s="3" t="s">
        <v>2845</v>
      </c>
      <c r="B3346" s="3" t="str">
        <f t="shared" si="1"/>
        <v>35, 40, TENTACOOL</v>
      </c>
      <c r="C3346" s="2" t="s">
        <v>2845</v>
      </c>
    </row>
    <row r="3347" ht="12.75" customHeight="1">
      <c r="A3347" s="3" t="s">
        <v>3232</v>
      </c>
      <c r="B3347" s="3" t="str">
        <f t="shared" si="1"/>
        <v>35, 40, TENTACRUEL</v>
      </c>
      <c r="C3347" s="2" t="s">
        <v>3232</v>
      </c>
    </row>
    <row r="3348" ht="12.75" customHeight="1">
      <c r="A3348" s="3" t="s">
        <v>3232</v>
      </c>
      <c r="B3348" s="3" t="str">
        <f t="shared" si="1"/>
        <v>35, 40, TENTACRUEL</v>
      </c>
      <c r="C3348" s="2" t="s">
        <v>3232</v>
      </c>
    </row>
    <row r="3349" ht="12.75" customHeight="1">
      <c r="A3349" s="3" t="s">
        <v>2846</v>
      </c>
      <c r="B3349" s="3" t="str">
        <f t="shared" si="1"/>
        <v>10, old rod:</v>
      </c>
      <c r="C3349" s="2" t="s">
        <v>2846</v>
      </c>
    </row>
    <row r="3350" ht="12.75" customHeight="1">
      <c r="A3350" s="3" t="s">
        <v>417</v>
      </c>
      <c r="B3350" s="3" t="str">
        <f t="shared" si="1"/>
        <v>5, 5, MAGIKARP</v>
      </c>
      <c r="C3350" s="2" t="s">
        <v>417</v>
      </c>
    </row>
    <row r="3351" ht="12.75" customHeight="1">
      <c r="A3351" s="3" t="s">
        <v>417</v>
      </c>
      <c r="B3351" s="3" t="str">
        <f t="shared" si="1"/>
        <v>5, 5, MAGIKARP</v>
      </c>
      <c r="C3351" s="2" t="s">
        <v>417</v>
      </c>
    </row>
    <row r="3352" ht="12.75" customHeight="1">
      <c r="A3352" s="3"/>
      <c r="B3352" s="3" t="str">
        <f t="shared" si="1"/>
        <v/>
      </c>
      <c r="C3352" s="2" t="s">
        <v>2801</v>
      </c>
    </row>
    <row r="3353" ht="12.75" customHeight="1">
      <c r="A3353" s="3" t="s">
        <v>2847</v>
      </c>
      <c r="B3353" s="3" t="str">
        <f t="shared" si="1"/>
        <v>good rod:</v>
      </c>
      <c r="C3353" s="2" t="s">
        <v>2847</v>
      </c>
    </row>
    <row r="3354" ht="12.75" customHeight="1">
      <c r="A3354" s="3" t="s">
        <v>2848</v>
      </c>
      <c r="B3354" s="3" t="str">
        <f t="shared" si="1"/>
        <v>5, 15, KRABBY</v>
      </c>
      <c r="C3354" s="2" t="s">
        <v>2848</v>
      </c>
    </row>
    <row r="3355" ht="12.75" customHeight="1">
      <c r="A3355" s="3" t="s">
        <v>2849</v>
      </c>
      <c r="B3355" s="3" t="str">
        <f t="shared" si="1"/>
        <v>5, 15, MAGIKARP</v>
      </c>
      <c r="C3355" s="2" t="s">
        <v>2849</v>
      </c>
    </row>
    <row r="3356" ht="12.75" customHeight="1">
      <c r="A3356" s="3" t="s">
        <v>2848</v>
      </c>
      <c r="B3356" s="3" t="str">
        <f t="shared" si="1"/>
        <v>5, 15, KRABBY</v>
      </c>
      <c r="C3356" s="2" t="s">
        <v>2848</v>
      </c>
    </row>
    <row r="3357" ht="12.75" customHeight="1">
      <c r="A3357" s="3"/>
      <c r="B3357" s="3" t="str">
        <f t="shared" si="1"/>
        <v/>
      </c>
      <c r="C3357" s="2" t="s">
        <v>2801</v>
      </c>
    </row>
    <row r="3358" ht="12.75" customHeight="1">
      <c r="A3358" s="3" t="s">
        <v>2851</v>
      </c>
      <c r="B3358" s="3" t="str">
        <f t="shared" si="1"/>
        <v>super rod:</v>
      </c>
      <c r="C3358" s="2" t="s">
        <v>2851</v>
      </c>
    </row>
    <row r="3359" ht="12.75" customHeight="1">
      <c r="A3359" s="3" t="s">
        <v>2852</v>
      </c>
      <c r="B3359" s="3" t="str">
        <f t="shared" si="1"/>
        <v>15, 25, KRABBY</v>
      </c>
      <c r="C3359" s="2" t="s">
        <v>2852</v>
      </c>
    </row>
    <row r="3360" ht="12.75" customHeight="1">
      <c r="A3360" s="3" t="s">
        <v>2853</v>
      </c>
      <c r="B3360" s="3" t="str">
        <f t="shared" si="1"/>
        <v>15, 25, STARYU</v>
      </c>
      <c r="C3360" s="2" t="s">
        <v>2853</v>
      </c>
    </row>
    <row r="3361" ht="12.75" customHeight="1">
      <c r="A3361" s="3" t="s">
        <v>2854</v>
      </c>
      <c r="B3361" s="3" t="str">
        <f t="shared" si="1"/>
        <v>15, 25, GYARADOS</v>
      </c>
      <c r="C3361" s="2" t="s">
        <v>2854</v>
      </c>
    </row>
    <row r="3362" ht="12.75" customHeight="1">
      <c r="A3362" s="3" t="s">
        <v>3178</v>
      </c>
      <c r="B3362" s="3" t="str">
        <f t="shared" si="1"/>
        <v>25, 35, KINGLER</v>
      </c>
      <c r="C3362" s="2" t="s">
        <v>3178</v>
      </c>
    </row>
    <row r="3363" ht="12.75" customHeight="1">
      <c r="A3363" s="3" t="s">
        <v>2856</v>
      </c>
      <c r="B3363" s="3" t="str">
        <f t="shared" si="1"/>
        <v>25, 35, SLOWPOKE</v>
      </c>
      <c r="C3363" s="2" t="s">
        <v>2856</v>
      </c>
    </row>
    <row r="3364" ht="12.75" customHeight="1">
      <c r="A3364" s="3" t="s">
        <v>2539</v>
      </c>
      <c r="B3364" s="3" t="str">
        <f t="shared" si="1"/>
        <v>NEW ROUTE</v>
      </c>
      <c r="C3364" s="2" t="s">
        <v>2539</v>
      </c>
    </row>
    <row r="3365" ht="12.75" customHeight="1">
      <c r="A3365" s="3" t="s">
        <v>3646</v>
      </c>
      <c r="B3365" s="3" t="str">
        <f t="shared" si="1"/>
        <v>3, 15, 0, &lt;null&gt;,</v>
      </c>
      <c r="C3365" s="2" t="s">
        <v>3646</v>
      </c>
    </row>
    <row r="3366" ht="12.75" customHeight="1">
      <c r="A3366" s="3"/>
      <c r="B3366" s="3" t="str">
        <f t="shared" si="1"/>
        <v/>
      </c>
      <c r="C3366" s="2" t="s">
        <v>2801</v>
      </c>
    </row>
    <row r="3367" ht="12.75" customHeight="1">
      <c r="A3367" s="3" t="s">
        <v>3647</v>
      </c>
      <c r="B3367" s="3" t="str">
        <f t="shared" si="1"/>
        <v>2, 5, 15, MARILL</v>
      </c>
      <c r="C3367" s="2" t="s">
        <v>3647</v>
      </c>
    </row>
    <row r="3368" ht="12.75" customHeight="1">
      <c r="A3368" s="3" t="s">
        <v>3159</v>
      </c>
      <c r="B3368" s="3" t="str">
        <f t="shared" si="1"/>
        <v>5, 35, SLOWPOKE</v>
      </c>
      <c r="C3368" s="2" t="s">
        <v>3159</v>
      </c>
    </row>
    <row r="3369" ht="12.75" customHeight="1">
      <c r="A3369" s="3" t="s">
        <v>3294</v>
      </c>
      <c r="B3369" s="3" t="str">
        <f t="shared" si="1"/>
        <v>15, 25, MARILL</v>
      </c>
      <c r="C3369" s="2" t="s">
        <v>3294</v>
      </c>
    </row>
    <row r="3370" ht="12.75" customHeight="1">
      <c r="A3370" s="3" t="s">
        <v>3294</v>
      </c>
      <c r="B3370" s="3" t="str">
        <f t="shared" si="1"/>
        <v>15, 25, MARILL</v>
      </c>
      <c r="C3370" s="2" t="s">
        <v>3294</v>
      </c>
    </row>
    <row r="3371" ht="12.75" customHeight="1">
      <c r="A3371" s="3" t="s">
        <v>3294</v>
      </c>
      <c r="B3371" s="3" t="str">
        <f t="shared" si="1"/>
        <v>15, 25, MARILL</v>
      </c>
      <c r="C3371" s="2" t="s">
        <v>3294</v>
      </c>
    </row>
    <row r="3372" ht="12.75" customHeight="1">
      <c r="A3372" s="3" t="s">
        <v>2926</v>
      </c>
      <c r="B3372" s="3" t="str">
        <f t="shared" si="1"/>
        <v>20, old rod:</v>
      </c>
      <c r="C3372" s="2" t="s">
        <v>2926</v>
      </c>
    </row>
    <row r="3373" ht="12.75" customHeight="1">
      <c r="A3373" s="3" t="s">
        <v>417</v>
      </c>
      <c r="B3373" s="3" t="str">
        <f t="shared" si="1"/>
        <v>5, 5, MAGIKARP</v>
      </c>
      <c r="C3373" s="2" t="s">
        <v>417</v>
      </c>
    </row>
    <row r="3374" ht="12.75" customHeight="1">
      <c r="A3374" s="3" t="s">
        <v>417</v>
      </c>
      <c r="B3374" s="3" t="str">
        <f t="shared" si="1"/>
        <v>5, 5, MAGIKARP</v>
      </c>
      <c r="C3374" s="2" t="s">
        <v>417</v>
      </c>
    </row>
    <row r="3375" ht="12.75" customHeight="1">
      <c r="A3375" s="3"/>
      <c r="B3375" s="3" t="str">
        <f t="shared" si="1"/>
        <v/>
      </c>
      <c r="C3375" s="2" t="s">
        <v>2801</v>
      </c>
    </row>
    <row r="3376" ht="12.75" customHeight="1">
      <c r="A3376" s="3" t="s">
        <v>2847</v>
      </c>
      <c r="B3376" s="3" t="str">
        <f t="shared" si="1"/>
        <v>good rod:</v>
      </c>
      <c r="C3376" s="2" t="s">
        <v>2847</v>
      </c>
    </row>
    <row r="3377" ht="12.75" customHeight="1">
      <c r="A3377" s="3" t="s">
        <v>3144</v>
      </c>
      <c r="B3377" s="3" t="str">
        <f t="shared" si="1"/>
        <v>5, 15, POLIWAG</v>
      </c>
      <c r="C3377" s="2" t="s">
        <v>3144</v>
      </c>
    </row>
    <row r="3378" ht="12.75" customHeight="1">
      <c r="A3378" s="3" t="s">
        <v>2849</v>
      </c>
      <c r="B3378" s="3" t="str">
        <f t="shared" si="1"/>
        <v>5, 15, MAGIKARP</v>
      </c>
      <c r="C3378" s="2" t="s">
        <v>2849</v>
      </c>
    </row>
    <row r="3379" ht="12.75" customHeight="1">
      <c r="A3379" s="3" t="s">
        <v>3143</v>
      </c>
      <c r="B3379" s="3" t="str">
        <f t="shared" si="1"/>
        <v>5, 15, GOLDEEN</v>
      </c>
      <c r="C3379" s="2" t="s">
        <v>3143</v>
      </c>
    </row>
    <row r="3380" ht="12.75" customHeight="1">
      <c r="A3380" s="3"/>
      <c r="B3380" s="3" t="str">
        <f t="shared" si="1"/>
        <v/>
      </c>
      <c r="C3380" s="2" t="s">
        <v>2801</v>
      </c>
    </row>
    <row r="3381" ht="12.75" customHeight="1">
      <c r="A3381" s="3" t="s">
        <v>2851</v>
      </c>
      <c r="B3381" s="3" t="str">
        <f t="shared" si="1"/>
        <v>super rod:</v>
      </c>
      <c r="C3381" s="2" t="s">
        <v>2851</v>
      </c>
    </row>
    <row r="3382" ht="12.75" customHeight="1">
      <c r="A3382" s="3" t="s">
        <v>3162</v>
      </c>
      <c r="B3382" s="3" t="str">
        <f t="shared" si="1"/>
        <v>15, 25, POLIWAG</v>
      </c>
      <c r="C3382" s="2" t="s">
        <v>3162</v>
      </c>
    </row>
    <row r="3383" ht="12.75" customHeight="1">
      <c r="A3383" s="3" t="s">
        <v>3163</v>
      </c>
      <c r="B3383" s="3" t="str">
        <f t="shared" si="1"/>
        <v>20, 30, POLIWHIRL</v>
      </c>
      <c r="C3383" s="2" t="s">
        <v>3163</v>
      </c>
    </row>
    <row r="3384" ht="12.75" customHeight="1">
      <c r="A3384" s="3" t="s">
        <v>2854</v>
      </c>
      <c r="B3384" s="3" t="str">
        <f t="shared" si="1"/>
        <v>15, 25, GYARADOS</v>
      </c>
      <c r="C3384" s="2" t="s">
        <v>2854</v>
      </c>
    </row>
    <row r="3385" ht="12.75" customHeight="1">
      <c r="A3385" s="3" t="s">
        <v>3147</v>
      </c>
      <c r="B3385" s="3" t="str">
        <f t="shared" si="1"/>
        <v>15, 25, SLOWPOKE</v>
      </c>
      <c r="C3385" s="2" t="s">
        <v>3147</v>
      </c>
    </row>
    <row r="3386" ht="12.75" customHeight="1">
      <c r="A3386" s="3" t="s">
        <v>2856</v>
      </c>
      <c r="B3386" s="3" t="str">
        <f t="shared" si="1"/>
        <v>25, 35, SLOWPOKE</v>
      </c>
      <c r="C3386" s="2" t="s">
        <v>2856</v>
      </c>
    </row>
    <row r="3387" ht="12.75" customHeight="1">
      <c r="A3387" s="3" t="s">
        <v>2539</v>
      </c>
      <c r="B3387" s="3" t="str">
        <f t="shared" si="1"/>
        <v>NEW ROUTE</v>
      </c>
      <c r="C3387" s="2" t="s">
        <v>2539</v>
      </c>
    </row>
    <row r="3388" ht="12.75" customHeight="1">
      <c r="A3388" s="3" t="s">
        <v>3648</v>
      </c>
      <c r="B3388" s="3" t="str">
        <f t="shared" si="1"/>
        <v>3, 16, 0, &lt;null&gt;,</v>
      </c>
      <c r="C3388" s="2" t="s">
        <v>3648</v>
      </c>
    </row>
    <row r="3389" ht="12.75" customHeight="1">
      <c r="A3389" s="3"/>
      <c r="B3389" s="3" t="str">
        <f t="shared" si="1"/>
        <v/>
      </c>
      <c r="C3389" s="2" t="s">
        <v>2801</v>
      </c>
    </row>
    <row r="3390" ht="12.75" customHeight="1">
      <c r="A3390" s="3" t="s">
        <v>3649</v>
      </c>
      <c r="B3390" s="3" t="str">
        <f t="shared" si="1"/>
        <v>1, 5, 35, TENTACOOL</v>
      </c>
      <c r="C3390" s="2" t="s">
        <v>3649</v>
      </c>
    </row>
    <row r="3391" ht="12.75" customHeight="1">
      <c r="A3391" s="3" t="s">
        <v>3258</v>
      </c>
      <c r="B3391" s="3" t="str">
        <f t="shared" si="1"/>
        <v>5, 15, HOPPIP</v>
      </c>
      <c r="C3391" s="2" t="s">
        <v>3258</v>
      </c>
    </row>
    <row r="3392" ht="12.75" customHeight="1">
      <c r="A3392" s="3" t="s">
        <v>2845</v>
      </c>
      <c r="B3392" s="3" t="str">
        <f t="shared" si="1"/>
        <v>35, 40, TENTACOOL</v>
      </c>
      <c r="C3392" s="2" t="s">
        <v>2845</v>
      </c>
    </row>
    <row r="3393" ht="12.75" customHeight="1">
      <c r="A3393" s="3" t="s">
        <v>3232</v>
      </c>
      <c r="B3393" s="3" t="str">
        <f t="shared" si="1"/>
        <v>35, 40, TENTACRUEL</v>
      </c>
      <c r="C3393" s="2" t="s">
        <v>3232</v>
      </c>
    </row>
    <row r="3394" ht="12.75" customHeight="1">
      <c r="A3394" s="3" t="s">
        <v>3232</v>
      </c>
      <c r="B3394" s="3" t="str">
        <f t="shared" si="1"/>
        <v>35, 40, TENTACRUEL</v>
      </c>
      <c r="C3394" s="2" t="s">
        <v>3232</v>
      </c>
    </row>
    <row r="3395" ht="12.75" customHeight="1">
      <c r="A3395" s="3" t="s">
        <v>2846</v>
      </c>
      <c r="B3395" s="3" t="str">
        <f t="shared" si="1"/>
        <v>10, old rod:</v>
      </c>
      <c r="C3395" s="2" t="s">
        <v>2846</v>
      </c>
    </row>
    <row r="3396" ht="12.75" customHeight="1">
      <c r="A3396" s="3" t="s">
        <v>417</v>
      </c>
      <c r="B3396" s="3" t="str">
        <f t="shared" si="1"/>
        <v>5, 5, MAGIKARP</v>
      </c>
      <c r="C3396" s="2" t="s">
        <v>417</v>
      </c>
    </row>
    <row r="3397" ht="12.75" customHeight="1">
      <c r="A3397" s="3" t="s">
        <v>417</v>
      </c>
      <c r="B3397" s="3" t="str">
        <f t="shared" si="1"/>
        <v>5, 5, MAGIKARP</v>
      </c>
      <c r="C3397" s="2" t="s">
        <v>417</v>
      </c>
    </row>
    <row r="3398" ht="12.75" customHeight="1">
      <c r="A3398" s="3"/>
      <c r="B3398" s="3" t="str">
        <f t="shared" si="1"/>
        <v/>
      </c>
      <c r="C3398" s="2" t="s">
        <v>2801</v>
      </c>
    </row>
    <row r="3399" ht="12.75" customHeight="1">
      <c r="A3399" s="3" t="s">
        <v>2847</v>
      </c>
      <c r="B3399" s="3" t="str">
        <f t="shared" si="1"/>
        <v>good rod:</v>
      </c>
      <c r="C3399" s="2" t="s">
        <v>2847</v>
      </c>
    </row>
    <row r="3400" ht="12.75" customHeight="1">
      <c r="A3400" s="3" t="s">
        <v>2848</v>
      </c>
      <c r="B3400" s="3" t="str">
        <f t="shared" si="1"/>
        <v>5, 15, KRABBY</v>
      </c>
      <c r="C3400" s="2" t="s">
        <v>2848</v>
      </c>
    </row>
    <row r="3401" ht="12.75" customHeight="1">
      <c r="A3401" s="3" t="s">
        <v>2849</v>
      </c>
      <c r="B3401" s="3" t="str">
        <f t="shared" si="1"/>
        <v>5, 15, MAGIKARP</v>
      </c>
      <c r="C3401" s="2" t="s">
        <v>2849</v>
      </c>
    </row>
    <row r="3402" ht="12.75" customHeight="1">
      <c r="A3402" s="3" t="s">
        <v>2848</v>
      </c>
      <c r="B3402" s="3" t="str">
        <f t="shared" si="1"/>
        <v>5, 15, KRABBY</v>
      </c>
      <c r="C3402" s="2" t="s">
        <v>2848</v>
      </c>
    </row>
    <row r="3403" ht="12.75" customHeight="1">
      <c r="A3403" s="3"/>
      <c r="B3403" s="3" t="str">
        <f t="shared" si="1"/>
        <v/>
      </c>
      <c r="C3403" s="2" t="s">
        <v>2801</v>
      </c>
    </row>
    <row r="3404" ht="12.75" customHeight="1">
      <c r="A3404" s="3" t="s">
        <v>2851</v>
      </c>
      <c r="B3404" s="3" t="str">
        <f t="shared" si="1"/>
        <v>super rod:</v>
      </c>
      <c r="C3404" s="2" t="s">
        <v>2851</v>
      </c>
    </row>
    <row r="3405" ht="12.75" customHeight="1">
      <c r="A3405" s="3" t="s">
        <v>2852</v>
      </c>
      <c r="B3405" s="3" t="str">
        <f t="shared" si="1"/>
        <v>15, 25, KRABBY</v>
      </c>
      <c r="C3405" s="2" t="s">
        <v>2852</v>
      </c>
    </row>
    <row r="3406" ht="12.75" customHeight="1">
      <c r="A3406" s="3" t="s">
        <v>2853</v>
      </c>
      <c r="B3406" s="3" t="str">
        <f t="shared" si="1"/>
        <v>15, 25, STARYU</v>
      </c>
      <c r="C3406" s="2" t="s">
        <v>2853</v>
      </c>
    </row>
    <row r="3407" ht="12.75" customHeight="1">
      <c r="A3407" s="3" t="s">
        <v>2854</v>
      </c>
      <c r="B3407" s="3" t="str">
        <f t="shared" si="1"/>
        <v>15, 25, GYARADOS</v>
      </c>
      <c r="C3407" s="2" t="s">
        <v>2854</v>
      </c>
    </row>
    <row r="3408" ht="12.75" customHeight="1">
      <c r="A3408" s="3" t="s">
        <v>3178</v>
      </c>
      <c r="B3408" s="3" t="str">
        <f t="shared" si="1"/>
        <v>25, 35, KINGLER</v>
      </c>
      <c r="C3408" s="2" t="s">
        <v>3178</v>
      </c>
    </row>
    <row r="3409" ht="12.75" customHeight="1">
      <c r="A3409" s="3" t="s">
        <v>2856</v>
      </c>
      <c r="B3409" s="3" t="str">
        <f t="shared" si="1"/>
        <v>25, 35, SLOWPOKE</v>
      </c>
      <c r="C3409" s="2" t="s">
        <v>2856</v>
      </c>
    </row>
    <row r="3410" ht="12.75" customHeight="1">
      <c r="A3410" s="3" t="s">
        <v>2539</v>
      </c>
      <c r="B3410" s="3" t="str">
        <f t="shared" si="1"/>
        <v>NEW ROUTE</v>
      </c>
      <c r="C3410" s="2" t="s">
        <v>2539</v>
      </c>
    </row>
    <row r="3411" ht="12.75" customHeight="1">
      <c r="A3411" s="3" t="s">
        <v>3650</v>
      </c>
      <c r="B3411" s="3" t="str">
        <f t="shared" si="1"/>
        <v>1, 122, 0,</v>
      </c>
      <c r="C3411" s="2" t="s">
        <v>3650</v>
      </c>
    </row>
    <row r="3412" ht="12.75" customHeight="1">
      <c r="A3412" s="3" t="s">
        <v>2817</v>
      </c>
      <c r="B3412" s="3" t="str">
        <f t="shared" si="1"/>
        <v>20%</v>
      </c>
      <c r="C3412" s="2" t="s">
        <v>2799</v>
      </c>
    </row>
    <row r="3413" ht="12.75" customHeight="1">
      <c r="A3413" s="3" t="s">
        <v>1289</v>
      </c>
      <c r="B3413" s="3" t="str">
        <f t="shared" si="1"/>
        <v>10, 10, ZUBAT</v>
      </c>
      <c r="C3413" s="2" t="s">
        <v>1289</v>
      </c>
    </row>
    <row r="3414" ht="12.75" customHeight="1">
      <c r="A3414" s="3" t="s">
        <v>3651</v>
      </c>
      <c r="B3414" s="3" t="str">
        <f t="shared" si="1"/>
        <v>12, 12, ZUBAT</v>
      </c>
      <c r="C3414" s="2" t="s">
        <v>3651</v>
      </c>
    </row>
    <row r="3415" ht="12.75" customHeight="1">
      <c r="A3415" s="3"/>
      <c r="B3415" s="3" t="str">
        <f t="shared" si="1"/>
        <v/>
      </c>
      <c r="C3415" s="2" t="s">
        <v>2801</v>
      </c>
    </row>
    <row r="3416" ht="12.75" customHeight="1">
      <c r="A3416" s="3" t="s">
        <v>2802</v>
      </c>
      <c r="B3416" s="3" t="str">
        <f t="shared" si="1"/>
        <v>0.1</v>
      </c>
      <c r="C3416" s="2" t="s">
        <v>2802</v>
      </c>
    </row>
    <row r="3417" ht="12.75" customHeight="1">
      <c r="A3417" s="3" t="s">
        <v>3652</v>
      </c>
      <c r="B3417" s="3" t="str">
        <f t="shared" si="1"/>
        <v>8, 8, ZUBAT</v>
      </c>
      <c r="C3417" s="2" t="s">
        <v>3652</v>
      </c>
    </row>
    <row r="3418" ht="12.75" customHeight="1">
      <c r="A3418" s="3" t="s">
        <v>3653</v>
      </c>
      <c r="B3418" s="3" t="str">
        <f t="shared" si="1"/>
        <v>14, 14, ZUBAT</v>
      </c>
      <c r="C3418" s="2" t="s">
        <v>3653</v>
      </c>
    </row>
    <row r="3419" ht="12.75" customHeight="1">
      <c r="A3419" s="3" t="s">
        <v>1289</v>
      </c>
      <c r="B3419" s="3" t="str">
        <f t="shared" si="1"/>
        <v>10, 10, ZUBAT</v>
      </c>
      <c r="C3419" s="2" t="s">
        <v>1289</v>
      </c>
    </row>
    <row r="3420" ht="12.75" customHeight="1">
      <c r="A3420" s="3" t="s">
        <v>3651</v>
      </c>
      <c r="B3420" s="3" t="str">
        <f t="shared" si="1"/>
        <v>12, 12, ZUBAT</v>
      </c>
      <c r="C3420" s="2" t="s">
        <v>3651</v>
      </c>
    </row>
    <row r="3421" ht="12.75" customHeight="1">
      <c r="A3421" s="3"/>
      <c r="B3421" s="3" t="str">
        <f t="shared" si="1"/>
        <v/>
      </c>
      <c r="C3421" s="2" t="s">
        <v>2801</v>
      </c>
    </row>
    <row r="3422" ht="12.75" customHeight="1">
      <c r="A3422" s="3" t="s">
        <v>2807</v>
      </c>
      <c r="B3422" s="3" t="str">
        <f t="shared" si="1"/>
        <v>0.05</v>
      </c>
      <c r="C3422" s="2" t="s">
        <v>2807</v>
      </c>
    </row>
    <row r="3423" ht="12.75" customHeight="1">
      <c r="A3423" s="3" t="s">
        <v>3654</v>
      </c>
      <c r="B3423" s="3" t="str">
        <f t="shared" si="1"/>
        <v>16, 16, ZUBAT</v>
      </c>
      <c r="C3423" s="2" t="s">
        <v>3654</v>
      </c>
    </row>
    <row r="3424" ht="12.75" customHeight="1">
      <c r="A3424" s="3" t="s">
        <v>3655</v>
      </c>
      <c r="B3424" s="3" t="str">
        <f t="shared" si="1"/>
        <v>6, 6, ZUBAT</v>
      </c>
      <c r="C3424" s="2" t="s">
        <v>3655</v>
      </c>
    </row>
    <row r="3425" ht="12.75" customHeight="1">
      <c r="A3425" s="3"/>
      <c r="B3425" s="3" t="str">
        <f t="shared" si="1"/>
        <v/>
      </c>
      <c r="C3425" s="2" t="s">
        <v>2801</v>
      </c>
    </row>
    <row r="3426" ht="12.75" customHeight="1">
      <c r="A3426" s="3" t="s">
        <v>2810</v>
      </c>
      <c r="B3426" s="3" t="str">
        <f t="shared" si="1"/>
        <v>0.04</v>
      </c>
      <c r="C3426" s="2" t="s">
        <v>2810</v>
      </c>
    </row>
    <row r="3427" ht="12.75" customHeight="1">
      <c r="A3427" s="3" t="s">
        <v>3652</v>
      </c>
      <c r="B3427" s="3" t="str">
        <f t="shared" si="1"/>
        <v>8, 8, ZUBAT</v>
      </c>
      <c r="C3427" s="2" t="s">
        <v>3652</v>
      </c>
    </row>
    <row r="3428" ht="12.75" customHeight="1">
      <c r="A3428" s="3" t="s">
        <v>3653</v>
      </c>
      <c r="B3428" s="3" t="str">
        <f t="shared" si="1"/>
        <v>14, 14, ZUBAT</v>
      </c>
      <c r="C3428" s="2" t="s">
        <v>3653</v>
      </c>
    </row>
    <row r="3429" ht="12.75" customHeight="1">
      <c r="A3429" s="3"/>
      <c r="B3429" s="3" t="str">
        <f t="shared" si="1"/>
        <v/>
      </c>
      <c r="C3429" s="2" t="s">
        <v>2801</v>
      </c>
    </row>
    <row r="3430" ht="12.75" customHeight="1">
      <c r="A3430" s="3" t="s">
        <v>2813</v>
      </c>
      <c r="B3430" s="3" t="str">
        <f t="shared" si="1"/>
        <v>0.01</v>
      </c>
      <c r="C3430" s="2" t="s">
        <v>2813</v>
      </c>
    </row>
    <row r="3431" ht="12.75" customHeight="1">
      <c r="A3431" s="3" t="s">
        <v>3652</v>
      </c>
      <c r="B3431" s="3" t="str">
        <f t="shared" si="1"/>
        <v>8, 8, ZUBAT</v>
      </c>
      <c r="C3431" s="2" t="s">
        <v>3652</v>
      </c>
    </row>
    <row r="3432" ht="12.75" customHeight="1">
      <c r="A3432" s="3" t="s">
        <v>3656</v>
      </c>
      <c r="B3432" s="3" t="str">
        <f t="shared" si="1"/>
        <v>14, 14, ZUBAT , &lt;null&gt;, &lt;null&gt;, &lt;null&gt;</v>
      </c>
      <c r="C3432" s="2" t="s">
        <v>3656</v>
      </c>
    </row>
    <row r="3433" ht="12.75" customHeight="1">
      <c r="A3433" s="3"/>
      <c r="B3433" s="3" t="str">
        <f t="shared" si="1"/>
        <v/>
      </c>
      <c r="C3433" s="2" t="s">
        <v>2801</v>
      </c>
    </row>
    <row r="3434" ht="12.75" customHeight="1">
      <c r="A3434" s="3" t="s">
        <v>2539</v>
      </c>
      <c r="B3434" s="3" t="str">
        <f t="shared" si="1"/>
        <v>NEW ROUTE</v>
      </c>
      <c r="C3434" s="2" t="s">
        <v>2539</v>
      </c>
    </row>
    <row r="3435" ht="12.75" customHeight="1">
      <c r="A3435" s="3" t="s">
        <v>3650</v>
      </c>
      <c r="B3435" s="3" t="str">
        <f t="shared" si="1"/>
        <v>1, 122, 0,</v>
      </c>
      <c r="C3435" s="2" t="s">
        <v>3650</v>
      </c>
    </row>
    <row r="3436" ht="12.75" customHeight="1">
      <c r="A3436" s="3" t="s">
        <v>2817</v>
      </c>
      <c r="B3436" s="3" t="str">
        <f t="shared" si="1"/>
        <v>20%</v>
      </c>
      <c r="C3436" s="2" t="s">
        <v>2799</v>
      </c>
    </row>
    <row r="3437" ht="12.75" customHeight="1">
      <c r="A3437" s="3" t="s">
        <v>1297</v>
      </c>
      <c r="B3437" s="3" t="str">
        <f t="shared" si="1"/>
        <v>7, 7, MAREEP</v>
      </c>
      <c r="C3437" s="2" t="s">
        <v>1297</v>
      </c>
    </row>
    <row r="3438" ht="12.75" customHeight="1">
      <c r="A3438" s="3" t="s">
        <v>3657</v>
      </c>
      <c r="B3438" s="3" t="str">
        <f t="shared" si="1"/>
        <v>9, 9, MAREEP</v>
      </c>
      <c r="C3438" s="2" t="s">
        <v>3657</v>
      </c>
    </row>
    <row r="3439" ht="12.75" customHeight="1">
      <c r="A3439" s="3"/>
      <c r="B3439" s="3" t="str">
        <f t="shared" si="1"/>
        <v/>
      </c>
      <c r="C3439" s="2" t="s">
        <v>2801</v>
      </c>
    </row>
    <row r="3440" ht="12.75" customHeight="1">
      <c r="A3440" s="3" t="s">
        <v>2802</v>
      </c>
      <c r="B3440" s="3" t="str">
        <f t="shared" si="1"/>
        <v>0.1</v>
      </c>
      <c r="C3440" s="2" t="s">
        <v>2802</v>
      </c>
    </row>
    <row r="3441" ht="12.75" customHeight="1">
      <c r="A3441" s="3" t="s">
        <v>3658</v>
      </c>
      <c r="B3441" s="3" t="str">
        <f t="shared" si="1"/>
        <v>5, 5, MAREEP</v>
      </c>
      <c r="C3441" s="2" t="s">
        <v>3658</v>
      </c>
    </row>
    <row r="3442" ht="12.75" customHeight="1">
      <c r="A3442" s="3" t="s">
        <v>3659</v>
      </c>
      <c r="B3442" s="3" t="str">
        <f t="shared" si="1"/>
        <v>11, 11, MAREEP</v>
      </c>
      <c r="C3442" s="2" t="s">
        <v>3659</v>
      </c>
    </row>
    <row r="3443" ht="12.75" customHeight="1">
      <c r="A3443" s="3" t="s">
        <v>1297</v>
      </c>
      <c r="B3443" s="3" t="str">
        <f t="shared" si="1"/>
        <v>7, 7, MAREEP</v>
      </c>
      <c r="C3443" s="2" t="s">
        <v>1297</v>
      </c>
    </row>
    <row r="3444" ht="12.75" customHeight="1">
      <c r="A3444" s="3" t="s">
        <v>3657</v>
      </c>
      <c r="B3444" s="3" t="str">
        <f t="shared" si="1"/>
        <v>9, 9, MAREEP</v>
      </c>
      <c r="C3444" s="2" t="s">
        <v>3657</v>
      </c>
    </row>
    <row r="3445" ht="12.75" customHeight="1">
      <c r="A3445" s="3"/>
      <c r="B3445" s="3" t="str">
        <f t="shared" si="1"/>
        <v/>
      </c>
      <c r="C3445" s="2" t="s">
        <v>2801</v>
      </c>
    </row>
    <row r="3446" ht="12.75" customHeight="1">
      <c r="A3446" s="3" t="s">
        <v>2807</v>
      </c>
      <c r="B3446" s="3" t="str">
        <f t="shared" si="1"/>
        <v>0.05</v>
      </c>
      <c r="C3446" s="2" t="s">
        <v>2807</v>
      </c>
    </row>
    <row r="3447" ht="12.75" customHeight="1">
      <c r="A3447" s="3" t="s">
        <v>3660</v>
      </c>
      <c r="B3447" s="3" t="str">
        <f t="shared" si="1"/>
        <v>13, 13, MAREEP</v>
      </c>
      <c r="C3447" s="2" t="s">
        <v>3660</v>
      </c>
    </row>
    <row r="3448" ht="12.75" customHeight="1">
      <c r="A3448" s="3" t="s">
        <v>3661</v>
      </c>
      <c r="B3448" s="3" t="str">
        <f t="shared" si="1"/>
        <v>3, 3, MAREEP</v>
      </c>
      <c r="C3448" s="2" t="s">
        <v>3661</v>
      </c>
    </row>
    <row r="3449" ht="12.75" customHeight="1">
      <c r="A3449" s="3"/>
      <c r="B3449" s="3" t="str">
        <f t="shared" si="1"/>
        <v/>
      </c>
      <c r="C3449" s="2" t="s">
        <v>2801</v>
      </c>
    </row>
    <row r="3450" ht="12.75" customHeight="1">
      <c r="A3450" s="3" t="s">
        <v>2810</v>
      </c>
      <c r="B3450" s="3" t="str">
        <f t="shared" si="1"/>
        <v>0.04</v>
      </c>
      <c r="C3450" s="2" t="s">
        <v>2810</v>
      </c>
    </row>
    <row r="3451" ht="12.75" customHeight="1">
      <c r="A3451" s="3" t="s">
        <v>3658</v>
      </c>
      <c r="B3451" s="3" t="str">
        <f t="shared" si="1"/>
        <v>5, 5, MAREEP</v>
      </c>
      <c r="C3451" s="2" t="s">
        <v>3658</v>
      </c>
    </row>
    <row r="3452" ht="12.75" customHeight="1">
      <c r="A3452" s="3" t="s">
        <v>3659</v>
      </c>
      <c r="B3452" s="3" t="str">
        <f t="shared" si="1"/>
        <v>11, 11, MAREEP</v>
      </c>
      <c r="C3452" s="2" t="s">
        <v>3659</v>
      </c>
    </row>
    <row r="3453" ht="12.75" customHeight="1">
      <c r="A3453" s="3"/>
      <c r="B3453" s="3" t="str">
        <f t="shared" si="1"/>
        <v/>
      </c>
      <c r="C3453" s="2" t="s">
        <v>2801</v>
      </c>
    </row>
    <row r="3454" ht="12.75" customHeight="1">
      <c r="A3454" s="3" t="s">
        <v>2813</v>
      </c>
      <c r="B3454" s="3" t="str">
        <f t="shared" si="1"/>
        <v>0.01</v>
      </c>
      <c r="C3454" s="2" t="s">
        <v>2813</v>
      </c>
    </row>
    <row r="3455" ht="12.75" customHeight="1">
      <c r="A3455" s="3" t="s">
        <v>3658</v>
      </c>
      <c r="B3455" s="3" t="str">
        <f t="shared" si="1"/>
        <v>5, 5, MAREEP</v>
      </c>
      <c r="C3455" s="2" t="s">
        <v>3658</v>
      </c>
    </row>
    <row r="3456" ht="12.75" customHeight="1">
      <c r="A3456" s="3" t="s">
        <v>3662</v>
      </c>
      <c r="B3456" s="3" t="str">
        <f t="shared" si="1"/>
        <v>11, 11, MAREEP , &lt;null&gt;, &lt;null&gt;, &lt;null&gt;</v>
      </c>
      <c r="C3456" s="2" t="s">
        <v>3662</v>
      </c>
    </row>
    <row r="3457" ht="12.75" customHeight="1">
      <c r="A3457" s="3"/>
      <c r="B3457" s="3" t="str">
        <f t="shared" si="1"/>
        <v/>
      </c>
      <c r="C3457" s="2" t="s">
        <v>2801</v>
      </c>
    </row>
    <row r="3458" ht="12.75" customHeight="1">
      <c r="A3458" s="3" t="s">
        <v>2539</v>
      </c>
      <c r="B3458" s="3" t="str">
        <f t="shared" si="1"/>
        <v>NEW ROUTE</v>
      </c>
      <c r="C3458" s="2" t="s">
        <v>2539</v>
      </c>
    </row>
    <row r="3459" ht="12.75" customHeight="1">
      <c r="A3459" s="3" t="s">
        <v>3650</v>
      </c>
      <c r="B3459" s="3" t="str">
        <f t="shared" si="1"/>
        <v>1, 122, 0,</v>
      </c>
      <c r="C3459" s="2" t="s">
        <v>3650</v>
      </c>
    </row>
    <row r="3460" ht="12.75" customHeight="1">
      <c r="A3460" s="3" t="s">
        <v>2817</v>
      </c>
      <c r="B3460" s="3" t="str">
        <f t="shared" si="1"/>
        <v>20%</v>
      </c>
      <c r="C3460" s="2" t="s">
        <v>2799</v>
      </c>
    </row>
    <row r="3461" ht="12.75" customHeight="1">
      <c r="A3461" s="3" t="s">
        <v>1305</v>
      </c>
      <c r="B3461" s="3" t="str">
        <f t="shared" si="1"/>
        <v>23, 23, PINECO</v>
      </c>
      <c r="C3461" s="2" t="s">
        <v>1305</v>
      </c>
    </row>
    <row r="3462" ht="12.75" customHeight="1">
      <c r="A3462" s="3" t="s">
        <v>3663</v>
      </c>
      <c r="B3462" s="3" t="str">
        <f t="shared" si="1"/>
        <v>25, 25, PINECO</v>
      </c>
      <c r="C3462" s="2" t="s">
        <v>3663</v>
      </c>
    </row>
    <row r="3463" ht="12.75" customHeight="1">
      <c r="A3463" s="3"/>
      <c r="B3463" s="3" t="str">
        <f t="shared" si="1"/>
        <v/>
      </c>
      <c r="C3463" s="2" t="s">
        <v>2801</v>
      </c>
    </row>
    <row r="3464" ht="12.75" customHeight="1">
      <c r="A3464" s="3" t="s">
        <v>2802</v>
      </c>
      <c r="B3464" s="3" t="str">
        <f t="shared" si="1"/>
        <v>0.1</v>
      </c>
      <c r="C3464" s="2" t="s">
        <v>2802</v>
      </c>
    </row>
    <row r="3465" ht="12.75" customHeight="1">
      <c r="A3465" s="3" t="s">
        <v>3664</v>
      </c>
      <c r="B3465" s="3" t="str">
        <f t="shared" si="1"/>
        <v>22, 22, PINECO</v>
      </c>
      <c r="C3465" s="2" t="s">
        <v>3664</v>
      </c>
    </row>
    <row r="3466" ht="12.75" customHeight="1">
      <c r="A3466" s="3" t="s">
        <v>3665</v>
      </c>
      <c r="B3466" s="3" t="str">
        <f t="shared" si="1"/>
        <v>27, 27, PINECO</v>
      </c>
      <c r="C3466" s="2" t="s">
        <v>3665</v>
      </c>
    </row>
    <row r="3467" ht="12.75" customHeight="1">
      <c r="A3467" s="3" t="s">
        <v>1305</v>
      </c>
      <c r="B3467" s="3" t="str">
        <f t="shared" si="1"/>
        <v>23, 23, PINECO</v>
      </c>
      <c r="C3467" s="2" t="s">
        <v>1305</v>
      </c>
    </row>
    <row r="3468" ht="12.75" customHeight="1">
      <c r="A3468" s="3" t="s">
        <v>3663</v>
      </c>
      <c r="B3468" s="3" t="str">
        <f t="shared" si="1"/>
        <v>25, 25, PINECO</v>
      </c>
      <c r="C3468" s="2" t="s">
        <v>3663</v>
      </c>
    </row>
    <row r="3469" ht="12.75" customHeight="1">
      <c r="A3469" s="3"/>
      <c r="B3469" s="3" t="str">
        <f t="shared" si="1"/>
        <v/>
      </c>
      <c r="C3469" s="2" t="s">
        <v>2801</v>
      </c>
    </row>
    <row r="3470" ht="12.75" customHeight="1">
      <c r="A3470" s="3" t="s">
        <v>2807</v>
      </c>
      <c r="B3470" s="3" t="str">
        <f t="shared" si="1"/>
        <v>0.05</v>
      </c>
      <c r="C3470" s="2" t="s">
        <v>2807</v>
      </c>
    </row>
    <row r="3471" ht="12.75" customHeight="1">
      <c r="A3471" s="3" t="s">
        <v>3666</v>
      </c>
      <c r="B3471" s="3" t="str">
        <f t="shared" si="1"/>
        <v>29, 29, PINECO</v>
      </c>
      <c r="C3471" s="2" t="s">
        <v>3666</v>
      </c>
    </row>
    <row r="3472" ht="12.75" customHeight="1">
      <c r="A3472" s="3" t="s">
        <v>3667</v>
      </c>
      <c r="B3472" s="3" t="str">
        <f t="shared" si="1"/>
        <v>19, 19, PINECO</v>
      </c>
      <c r="C3472" s="2" t="s">
        <v>3667</v>
      </c>
    </row>
    <row r="3473" ht="12.75" customHeight="1">
      <c r="A3473" s="3"/>
      <c r="B3473" s="3" t="str">
        <f t="shared" si="1"/>
        <v/>
      </c>
      <c r="C3473" s="2" t="s">
        <v>2801</v>
      </c>
    </row>
    <row r="3474" ht="12.75" customHeight="1">
      <c r="A3474" s="3" t="s">
        <v>2810</v>
      </c>
      <c r="B3474" s="3" t="str">
        <f t="shared" si="1"/>
        <v>0.04</v>
      </c>
      <c r="C3474" s="2" t="s">
        <v>2810</v>
      </c>
    </row>
    <row r="3475" ht="12.75" customHeight="1">
      <c r="A3475" s="3" t="s">
        <v>3668</v>
      </c>
      <c r="B3475" s="3" t="str">
        <f t="shared" si="1"/>
        <v>21, 21, PINECO</v>
      </c>
      <c r="C3475" s="2" t="s">
        <v>3668</v>
      </c>
    </row>
    <row r="3476" ht="12.75" customHeight="1">
      <c r="A3476" s="3" t="s">
        <v>3665</v>
      </c>
      <c r="B3476" s="3" t="str">
        <f t="shared" si="1"/>
        <v>27, 27, PINECO</v>
      </c>
      <c r="C3476" s="2" t="s">
        <v>3665</v>
      </c>
    </row>
    <row r="3477" ht="12.75" customHeight="1">
      <c r="A3477" s="3"/>
      <c r="B3477" s="3" t="str">
        <f t="shared" si="1"/>
        <v/>
      </c>
      <c r="C3477" s="2" t="s">
        <v>2801</v>
      </c>
    </row>
    <row r="3478" ht="12.75" customHeight="1">
      <c r="A3478" s="3" t="s">
        <v>2813</v>
      </c>
      <c r="B3478" s="3" t="str">
        <f t="shared" si="1"/>
        <v>0.01</v>
      </c>
      <c r="C3478" s="2" t="s">
        <v>2813</v>
      </c>
    </row>
    <row r="3479" ht="12.75" customHeight="1">
      <c r="A3479" s="3" t="s">
        <v>3668</v>
      </c>
      <c r="B3479" s="3" t="str">
        <f t="shared" si="1"/>
        <v>21, 21, PINECO</v>
      </c>
      <c r="C3479" s="2" t="s">
        <v>3668</v>
      </c>
    </row>
    <row r="3480" ht="12.75" customHeight="1">
      <c r="A3480" s="3" t="s">
        <v>3669</v>
      </c>
      <c r="B3480" s="3" t="str">
        <f t="shared" si="1"/>
        <v>27, 27, PINECO , &lt;null&gt;, &lt;null&gt;, &lt;null&gt;</v>
      </c>
      <c r="C3480" s="2" t="s">
        <v>3669</v>
      </c>
    </row>
    <row r="3481" ht="12.75" customHeight="1">
      <c r="A3481" s="3"/>
      <c r="B3481" s="3" t="str">
        <f t="shared" si="1"/>
        <v/>
      </c>
      <c r="C3481" s="2" t="s">
        <v>2801</v>
      </c>
    </row>
    <row r="3482" ht="12.75" customHeight="1">
      <c r="A3482" s="3" t="s">
        <v>2539</v>
      </c>
      <c r="B3482" s="3" t="str">
        <f t="shared" si="1"/>
        <v>NEW ROUTE</v>
      </c>
      <c r="C3482" s="2" t="s">
        <v>2539</v>
      </c>
    </row>
    <row r="3483" ht="12.75" customHeight="1">
      <c r="A3483" s="3" t="s">
        <v>3650</v>
      </c>
      <c r="B3483" s="3" t="str">
        <f t="shared" si="1"/>
        <v>1, 122, 0,</v>
      </c>
      <c r="C3483" s="2" t="s">
        <v>3650</v>
      </c>
    </row>
    <row r="3484" ht="12.75" customHeight="1">
      <c r="A3484" s="3" t="s">
        <v>2817</v>
      </c>
      <c r="B3484" s="3" t="str">
        <f t="shared" si="1"/>
        <v>20%</v>
      </c>
      <c r="C3484" s="2" t="s">
        <v>2799</v>
      </c>
    </row>
    <row r="3485" ht="12.75" customHeight="1">
      <c r="A3485" s="3" t="s">
        <v>1314</v>
      </c>
      <c r="B3485" s="3" t="str">
        <f t="shared" si="1"/>
        <v>16, 16, HOUNDOUR</v>
      </c>
      <c r="C3485" s="2" t="s">
        <v>1314</v>
      </c>
    </row>
    <row r="3486" ht="12.75" customHeight="1">
      <c r="A3486" s="3" t="s">
        <v>3670</v>
      </c>
      <c r="B3486" s="3" t="str">
        <f t="shared" si="1"/>
        <v>18, 18, HOUNDOUR</v>
      </c>
      <c r="C3486" s="2" t="s">
        <v>3670</v>
      </c>
    </row>
    <row r="3487" ht="12.75" customHeight="1">
      <c r="A3487" s="3"/>
      <c r="B3487" s="3" t="str">
        <f t="shared" si="1"/>
        <v/>
      </c>
      <c r="C3487" s="2" t="s">
        <v>2801</v>
      </c>
    </row>
    <row r="3488" ht="12.75" customHeight="1">
      <c r="A3488" s="3" t="s">
        <v>2802</v>
      </c>
      <c r="B3488" s="3" t="str">
        <f t="shared" si="1"/>
        <v>0.1</v>
      </c>
      <c r="C3488" s="2" t="s">
        <v>2802</v>
      </c>
    </row>
    <row r="3489" ht="12.75" customHeight="1">
      <c r="A3489" s="3" t="s">
        <v>3671</v>
      </c>
      <c r="B3489" s="3" t="str">
        <f t="shared" si="1"/>
        <v>14, 14, HOUNDOUR</v>
      </c>
      <c r="C3489" s="2" t="s">
        <v>3671</v>
      </c>
    </row>
    <row r="3490" ht="12.75" customHeight="1">
      <c r="A3490" s="3" t="s">
        <v>3672</v>
      </c>
      <c r="B3490" s="3" t="str">
        <f t="shared" si="1"/>
        <v>20, 20, HOUNDOUR</v>
      </c>
      <c r="C3490" s="2" t="s">
        <v>3672</v>
      </c>
    </row>
    <row r="3491" ht="12.75" customHeight="1">
      <c r="A3491" s="3" t="s">
        <v>1314</v>
      </c>
      <c r="B3491" s="3" t="str">
        <f t="shared" si="1"/>
        <v>16, 16, HOUNDOUR</v>
      </c>
      <c r="C3491" s="2" t="s">
        <v>1314</v>
      </c>
    </row>
    <row r="3492" ht="12.75" customHeight="1">
      <c r="A3492" s="3" t="s">
        <v>3670</v>
      </c>
      <c r="B3492" s="3" t="str">
        <f t="shared" si="1"/>
        <v>18, 18, HOUNDOUR</v>
      </c>
      <c r="C3492" s="2" t="s">
        <v>3670</v>
      </c>
    </row>
    <row r="3493" ht="12.75" customHeight="1">
      <c r="A3493" s="3"/>
      <c r="B3493" s="3" t="str">
        <f t="shared" si="1"/>
        <v/>
      </c>
      <c r="C3493" s="2" t="s">
        <v>2801</v>
      </c>
    </row>
    <row r="3494" ht="12.75" customHeight="1">
      <c r="A3494" s="3" t="s">
        <v>2807</v>
      </c>
      <c r="B3494" s="3" t="str">
        <f t="shared" si="1"/>
        <v>0.05</v>
      </c>
      <c r="C3494" s="2" t="s">
        <v>2807</v>
      </c>
    </row>
    <row r="3495" ht="12.75" customHeight="1">
      <c r="A3495" s="3" t="s">
        <v>3673</v>
      </c>
      <c r="B3495" s="3" t="str">
        <f t="shared" si="1"/>
        <v>22, 22, HOUNDOUR</v>
      </c>
      <c r="C3495" s="2" t="s">
        <v>3673</v>
      </c>
    </row>
    <row r="3496" ht="12.75" customHeight="1">
      <c r="A3496" s="3" t="s">
        <v>3674</v>
      </c>
      <c r="B3496" s="3" t="str">
        <f t="shared" si="1"/>
        <v>12, 12, HOUNDOUR</v>
      </c>
      <c r="C3496" s="2" t="s">
        <v>3674</v>
      </c>
    </row>
    <row r="3497" ht="12.75" customHeight="1">
      <c r="A3497" s="3"/>
      <c r="B3497" s="3" t="str">
        <f t="shared" si="1"/>
        <v/>
      </c>
      <c r="C3497" s="2" t="s">
        <v>2801</v>
      </c>
    </row>
    <row r="3498" ht="12.75" customHeight="1">
      <c r="A3498" s="3" t="s">
        <v>2810</v>
      </c>
      <c r="B3498" s="3" t="str">
        <f t="shared" si="1"/>
        <v>0.04</v>
      </c>
      <c r="C3498" s="2" t="s">
        <v>2810</v>
      </c>
    </row>
    <row r="3499" ht="12.75" customHeight="1">
      <c r="A3499" s="3" t="s">
        <v>3671</v>
      </c>
      <c r="B3499" s="3" t="str">
        <f t="shared" si="1"/>
        <v>14, 14, HOUNDOUR</v>
      </c>
      <c r="C3499" s="2" t="s">
        <v>3671</v>
      </c>
    </row>
    <row r="3500" ht="12.75" customHeight="1">
      <c r="A3500" s="3" t="s">
        <v>3672</v>
      </c>
      <c r="B3500" s="3" t="str">
        <f t="shared" si="1"/>
        <v>20, 20, HOUNDOUR</v>
      </c>
      <c r="C3500" s="2" t="s">
        <v>3672</v>
      </c>
    </row>
    <row r="3501" ht="12.75" customHeight="1">
      <c r="A3501" s="3"/>
      <c r="B3501" s="3" t="str">
        <f t="shared" si="1"/>
        <v/>
      </c>
      <c r="C3501" s="2" t="s">
        <v>2801</v>
      </c>
    </row>
    <row r="3502" ht="12.75" customHeight="1">
      <c r="A3502" s="3" t="s">
        <v>2813</v>
      </c>
      <c r="B3502" s="3" t="str">
        <f t="shared" si="1"/>
        <v>0.01</v>
      </c>
      <c r="C3502" s="2" t="s">
        <v>2813</v>
      </c>
    </row>
    <row r="3503" ht="12.75" customHeight="1">
      <c r="A3503" s="3" t="s">
        <v>3671</v>
      </c>
      <c r="B3503" s="3" t="str">
        <f t="shared" si="1"/>
        <v>14, 14, HOUNDOUR</v>
      </c>
      <c r="C3503" s="2" t="s">
        <v>3671</v>
      </c>
    </row>
    <row r="3504" ht="12.75" customHeight="1">
      <c r="A3504" s="3" t="s">
        <v>3675</v>
      </c>
      <c r="B3504" s="3" t="str">
        <f t="shared" si="1"/>
        <v>20, 20, HOUNDOUR , &lt;null&gt;, &lt;null&gt;, &lt;null&gt;</v>
      </c>
      <c r="C3504" s="2" t="s">
        <v>3675</v>
      </c>
    </row>
    <row r="3505" ht="12.75" customHeight="1">
      <c r="A3505" s="3"/>
      <c r="B3505" s="3" t="str">
        <f t="shared" si="1"/>
        <v/>
      </c>
      <c r="C3505" s="2" t="s">
        <v>2801</v>
      </c>
    </row>
    <row r="3506" ht="12.75" customHeight="1">
      <c r="A3506" s="3" t="s">
        <v>2539</v>
      </c>
      <c r="B3506" s="3" t="str">
        <f t="shared" si="1"/>
        <v>NEW ROUTE</v>
      </c>
      <c r="C3506" s="2" t="s">
        <v>2539</v>
      </c>
    </row>
    <row r="3507" ht="12.75" customHeight="1">
      <c r="A3507" s="3" t="s">
        <v>3650</v>
      </c>
      <c r="B3507" s="3" t="str">
        <f t="shared" si="1"/>
        <v>1, 122, 0,</v>
      </c>
      <c r="C3507" s="2" t="s">
        <v>3650</v>
      </c>
    </row>
    <row r="3508" ht="12.75" customHeight="1">
      <c r="A3508" s="3" t="s">
        <v>2817</v>
      </c>
      <c r="B3508" s="3" t="str">
        <f t="shared" si="1"/>
        <v>20%</v>
      </c>
      <c r="C3508" s="2" t="s">
        <v>2799</v>
      </c>
    </row>
    <row r="3509" ht="12.75" customHeight="1">
      <c r="A3509" s="3" t="s">
        <v>1322</v>
      </c>
      <c r="B3509" s="3" t="str">
        <f t="shared" si="1"/>
        <v>22, 22, TEDDIURSA</v>
      </c>
      <c r="C3509" s="2" t="s">
        <v>1322</v>
      </c>
    </row>
    <row r="3510" ht="12.75" customHeight="1">
      <c r="A3510" s="3" t="s">
        <v>3676</v>
      </c>
      <c r="B3510" s="3" t="str">
        <f t="shared" si="1"/>
        <v>24, 24, TEDDIURSA</v>
      </c>
      <c r="C3510" s="2" t="s">
        <v>3676</v>
      </c>
    </row>
    <row r="3511" ht="12.75" customHeight="1">
      <c r="A3511" s="3"/>
      <c r="B3511" s="3" t="str">
        <f t="shared" si="1"/>
        <v/>
      </c>
      <c r="C3511" s="2" t="s">
        <v>2801</v>
      </c>
    </row>
    <row r="3512" ht="12.75" customHeight="1">
      <c r="A3512" s="3" t="s">
        <v>2802</v>
      </c>
      <c r="B3512" s="3" t="str">
        <f t="shared" si="1"/>
        <v>0.1</v>
      </c>
      <c r="C3512" s="2" t="s">
        <v>2802</v>
      </c>
    </row>
    <row r="3513" ht="12.75" customHeight="1">
      <c r="A3513" s="3" t="s">
        <v>3677</v>
      </c>
      <c r="B3513" s="3" t="str">
        <f t="shared" si="1"/>
        <v>20, 20, TEDDIURSA</v>
      </c>
      <c r="C3513" s="2" t="s">
        <v>3677</v>
      </c>
    </row>
    <row r="3514" ht="12.75" customHeight="1">
      <c r="A3514" s="3" t="s">
        <v>3678</v>
      </c>
      <c r="B3514" s="3" t="str">
        <f t="shared" si="1"/>
        <v>26, 26, TEDDIURSA</v>
      </c>
      <c r="C3514" s="2" t="s">
        <v>3678</v>
      </c>
    </row>
    <row r="3515" ht="12.75" customHeight="1">
      <c r="A3515" s="3" t="s">
        <v>1322</v>
      </c>
      <c r="B3515" s="3" t="str">
        <f t="shared" si="1"/>
        <v>22, 22, TEDDIURSA</v>
      </c>
      <c r="C3515" s="2" t="s">
        <v>1322</v>
      </c>
    </row>
    <row r="3516" ht="12.75" customHeight="1">
      <c r="A3516" s="3" t="s">
        <v>3676</v>
      </c>
      <c r="B3516" s="3" t="str">
        <f t="shared" si="1"/>
        <v>24, 24, TEDDIURSA</v>
      </c>
      <c r="C3516" s="2" t="s">
        <v>3676</v>
      </c>
    </row>
    <row r="3517" ht="12.75" customHeight="1">
      <c r="A3517" s="3"/>
      <c r="B3517" s="3" t="str">
        <f t="shared" si="1"/>
        <v/>
      </c>
      <c r="C3517" s="2" t="s">
        <v>2801</v>
      </c>
    </row>
    <row r="3518" ht="12.75" customHeight="1">
      <c r="A3518" s="3" t="s">
        <v>2807</v>
      </c>
      <c r="B3518" s="3" t="str">
        <f t="shared" si="1"/>
        <v>0.05</v>
      </c>
      <c r="C3518" s="2" t="s">
        <v>2807</v>
      </c>
    </row>
    <row r="3519" ht="12.75" customHeight="1">
      <c r="A3519" s="3" t="s">
        <v>3679</v>
      </c>
      <c r="B3519" s="3" t="str">
        <f t="shared" si="1"/>
        <v>28, 28, TEDDIURSA</v>
      </c>
      <c r="C3519" s="2" t="s">
        <v>3679</v>
      </c>
    </row>
    <row r="3520" ht="12.75" customHeight="1">
      <c r="A3520" s="3" t="s">
        <v>3680</v>
      </c>
      <c r="B3520" s="3" t="str">
        <f t="shared" si="1"/>
        <v>18, 18, TEDDIURSA</v>
      </c>
      <c r="C3520" s="2" t="s">
        <v>3680</v>
      </c>
    </row>
    <row r="3521" ht="12.75" customHeight="1">
      <c r="A3521" s="3"/>
      <c r="B3521" s="3" t="str">
        <f t="shared" si="1"/>
        <v/>
      </c>
      <c r="C3521" s="2" t="s">
        <v>2801</v>
      </c>
    </row>
    <row r="3522" ht="12.75" customHeight="1">
      <c r="A3522" s="3" t="s">
        <v>2810</v>
      </c>
      <c r="B3522" s="3" t="str">
        <f t="shared" si="1"/>
        <v>0.04</v>
      </c>
      <c r="C3522" s="2" t="s">
        <v>2810</v>
      </c>
    </row>
    <row r="3523" ht="12.75" customHeight="1">
      <c r="A3523" s="3" t="s">
        <v>3677</v>
      </c>
      <c r="B3523" s="3" t="str">
        <f t="shared" si="1"/>
        <v>20, 20, TEDDIURSA</v>
      </c>
      <c r="C3523" s="2" t="s">
        <v>3677</v>
      </c>
    </row>
    <row r="3524" ht="12.75" customHeight="1">
      <c r="A3524" s="3" t="s">
        <v>3678</v>
      </c>
      <c r="B3524" s="3" t="str">
        <f t="shared" si="1"/>
        <v>26, 26, TEDDIURSA</v>
      </c>
      <c r="C3524" s="2" t="s">
        <v>3678</v>
      </c>
    </row>
    <row r="3525" ht="12.75" customHeight="1">
      <c r="A3525" s="3"/>
      <c r="B3525" s="3" t="str">
        <f t="shared" si="1"/>
        <v/>
      </c>
      <c r="C3525" s="2" t="s">
        <v>2801</v>
      </c>
    </row>
    <row r="3526" ht="12.75" customHeight="1">
      <c r="A3526" s="3" t="s">
        <v>2813</v>
      </c>
      <c r="B3526" s="3" t="str">
        <f t="shared" si="1"/>
        <v>0.01</v>
      </c>
      <c r="C3526" s="2" t="s">
        <v>2813</v>
      </c>
    </row>
    <row r="3527" ht="12.75" customHeight="1">
      <c r="A3527" s="3" t="s">
        <v>3677</v>
      </c>
      <c r="B3527" s="3" t="str">
        <f t="shared" si="1"/>
        <v>20, 20, TEDDIURSA</v>
      </c>
      <c r="C3527" s="2" t="s">
        <v>3677</v>
      </c>
    </row>
    <row r="3528" ht="12.75" customHeight="1">
      <c r="A3528" s="3" t="s">
        <v>3681</v>
      </c>
      <c r="B3528" s="3" t="str">
        <f t="shared" si="1"/>
        <v>26, 26, TEDDIURSA , &lt;null&gt;, &lt;null&gt;, &lt;null&gt;</v>
      </c>
      <c r="C3528" s="2" t="s">
        <v>3681</v>
      </c>
    </row>
    <row r="3529" ht="12.75" customHeight="1">
      <c r="A3529" s="3"/>
      <c r="B3529" s="3" t="str">
        <f t="shared" si="1"/>
        <v/>
      </c>
      <c r="C3529" s="2" t="s">
        <v>2801</v>
      </c>
    </row>
    <row r="3530" ht="12.75" customHeight="1">
      <c r="A3530" s="3" t="s">
        <v>2539</v>
      </c>
      <c r="B3530" s="3" t="str">
        <f t="shared" si="1"/>
        <v>NEW ROUTE</v>
      </c>
      <c r="C3530" s="2" t="s">
        <v>2539</v>
      </c>
    </row>
    <row r="3531" ht="12.75" customHeight="1">
      <c r="A3531" s="3" t="s">
        <v>3650</v>
      </c>
      <c r="B3531" s="3" t="str">
        <f t="shared" si="1"/>
        <v>1, 122, 0,</v>
      </c>
      <c r="C3531" s="2" t="s">
        <v>3650</v>
      </c>
    </row>
    <row r="3532" ht="12.75" customHeight="1">
      <c r="A3532" s="3" t="s">
        <v>2817</v>
      </c>
      <c r="B3532" s="3" t="str">
        <f t="shared" si="1"/>
        <v>20%</v>
      </c>
      <c r="C3532" s="2" t="s">
        <v>2799</v>
      </c>
    </row>
    <row r="3533" ht="12.75" customHeight="1">
      <c r="A3533" s="3" t="s">
        <v>1330</v>
      </c>
      <c r="B3533" s="3" t="str">
        <f t="shared" si="1"/>
        <v>22, 22, AIPOM</v>
      </c>
      <c r="C3533" s="2" t="s">
        <v>1330</v>
      </c>
    </row>
    <row r="3534" ht="12.75" customHeight="1">
      <c r="A3534" s="3" t="s">
        <v>3682</v>
      </c>
      <c r="B3534" s="3" t="str">
        <f t="shared" si="1"/>
        <v>24, 24, AIPOM</v>
      </c>
      <c r="C3534" s="2" t="s">
        <v>3682</v>
      </c>
    </row>
    <row r="3535" ht="12.75" customHeight="1">
      <c r="A3535" s="3"/>
      <c r="B3535" s="3" t="str">
        <f t="shared" si="1"/>
        <v/>
      </c>
      <c r="C3535" s="2" t="s">
        <v>2801</v>
      </c>
    </row>
    <row r="3536" ht="12.75" customHeight="1">
      <c r="A3536" s="3" t="s">
        <v>2802</v>
      </c>
      <c r="B3536" s="3" t="str">
        <f t="shared" si="1"/>
        <v>0.1</v>
      </c>
      <c r="C3536" s="2" t="s">
        <v>2802</v>
      </c>
    </row>
    <row r="3537" ht="12.75" customHeight="1">
      <c r="A3537" s="3" t="s">
        <v>3683</v>
      </c>
      <c r="B3537" s="3" t="str">
        <f t="shared" si="1"/>
        <v>20, 20, AIPOM</v>
      </c>
      <c r="C3537" s="2" t="s">
        <v>3683</v>
      </c>
    </row>
    <row r="3538" ht="12.75" customHeight="1">
      <c r="A3538" s="3" t="s">
        <v>3684</v>
      </c>
      <c r="B3538" s="3" t="str">
        <f t="shared" si="1"/>
        <v>26, 26, AIPOM</v>
      </c>
      <c r="C3538" s="2" t="s">
        <v>3684</v>
      </c>
    </row>
    <row r="3539" ht="12.75" customHeight="1">
      <c r="A3539" s="3" t="s">
        <v>1330</v>
      </c>
      <c r="B3539" s="3" t="str">
        <f t="shared" si="1"/>
        <v>22, 22, AIPOM</v>
      </c>
      <c r="C3539" s="2" t="s">
        <v>1330</v>
      </c>
    </row>
    <row r="3540" ht="12.75" customHeight="1">
      <c r="A3540" s="3" t="s">
        <v>3682</v>
      </c>
      <c r="B3540" s="3" t="str">
        <f t="shared" si="1"/>
        <v>24, 24, AIPOM</v>
      </c>
      <c r="C3540" s="2" t="s">
        <v>3682</v>
      </c>
    </row>
    <row r="3541" ht="12.75" customHeight="1">
      <c r="A3541" s="3"/>
      <c r="B3541" s="3" t="str">
        <f t="shared" si="1"/>
        <v/>
      </c>
      <c r="C3541" s="2" t="s">
        <v>2801</v>
      </c>
    </row>
    <row r="3542" ht="12.75" customHeight="1">
      <c r="A3542" s="3" t="s">
        <v>2807</v>
      </c>
      <c r="B3542" s="3" t="str">
        <f t="shared" si="1"/>
        <v>0.05</v>
      </c>
      <c r="C3542" s="2" t="s">
        <v>2807</v>
      </c>
    </row>
    <row r="3543" ht="12.75" customHeight="1">
      <c r="A3543" s="3" t="s">
        <v>3685</v>
      </c>
      <c r="B3543" s="3" t="str">
        <f t="shared" si="1"/>
        <v>28, 28, AIPOM</v>
      </c>
      <c r="C3543" s="2" t="s">
        <v>3685</v>
      </c>
    </row>
    <row r="3544" ht="12.75" customHeight="1">
      <c r="A3544" s="3" t="s">
        <v>3686</v>
      </c>
      <c r="B3544" s="3" t="str">
        <f t="shared" si="1"/>
        <v>18, 18, AIPOM</v>
      </c>
      <c r="C3544" s="2" t="s">
        <v>3686</v>
      </c>
    </row>
    <row r="3545" ht="12.75" customHeight="1">
      <c r="A3545" s="3"/>
      <c r="B3545" s="3" t="str">
        <f t="shared" si="1"/>
        <v/>
      </c>
      <c r="C3545" s="2" t="s">
        <v>2801</v>
      </c>
    </row>
    <row r="3546" ht="12.75" customHeight="1">
      <c r="A3546" s="3" t="s">
        <v>2810</v>
      </c>
      <c r="B3546" s="3" t="str">
        <f t="shared" si="1"/>
        <v>0.04</v>
      </c>
      <c r="C3546" s="2" t="s">
        <v>2810</v>
      </c>
    </row>
    <row r="3547" ht="12.75" customHeight="1">
      <c r="A3547" s="3" t="s">
        <v>3683</v>
      </c>
      <c r="B3547" s="3" t="str">
        <f t="shared" si="1"/>
        <v>20, 20, AIPOM</v>
      </c>
      <c r="C3547" s="2" t="s">
        <v>3683</v>
      </c>
    </row>
    <row r="3548" ht="12.75" customHeight="1">
      <c r="A3548" s="3" t="s">
        <v>3684</v>
      </c>
      <c r="B3548" s="3" t="str">
        <f t="shared" si="1"/>
        <v>26, 26, AIPOM</v>
      </c>
      <c r="C3548" s="2" t="s">
        <v>3684</v>
      </c>
    </row>
    <row r="3549" ht="12.75" customHeight="1">
      <c r="A3549" s="3"/>
      <c r="B3549" s="3" t="str">
        <f t="shared" si="1"/>
        <v/>
      </c>
      <c r="C3549" s="2" t="s">
        <v>2801</v>
      </c>
    </row>
    <row r="3550" ht="12.75" customHeight="1">
      <c r="A3550" s="3" t="s">
        <v>2813</v>
      </c>
      <c r="B3550" s="3" t="str">
        <f t="shared" si="1"/>
        <v>0.01</v>
      </c>
      <c r="C3550" s="2" t="s">
        <v>2813</v>
      </c>
    </row>
    <row r="3551" ht="12.75" customHeight="1">
      <c r="A3551" s="3" t="s">
        <v>3683</v>
      </c>
      <c r="B3551" s="3" t="str">
        <f t="shared" si="1"/>
        <v>20, 20, AIPOM</v>
      </c>
      <c r="C3551" s="2" t="s">
        <v>3683</v>
      </c>
    </row>
    <row r="3552" ht="12.75" customHeight="1">
      <c r="A3552" s="3" t="s">
        <v>3687</v>
      </c>
      <c r="B3552" s="3" t="str">
        <f t="shared" si="1"/>
        <v>26, 26, AIPOM , &lt;null&gt;, &lt;null&gt;, &lt;null&gt;</v>
      </c>
      <c r="C3552" s="2" t="s">
        <v>3687</v>
      </c>
    </row>
    <row r="3553" ht="12.75" customHeight="1">
      <c r="A3553" s="3"/>
      <c r="B3553" s="3" t="str">
        <f t="shared" si="1"/>
        <v/>
      </c>
      <c r="C3553" s="2" t="s">
        <v>2801</v>
      </c>
    </row>
    <row r="3554" ht="12.75" customHeight="1">
      <c r="A3554" s="3" t="s">
        <v>2539</v>
      </c>
      <c r="B3554" s="3" t="str">
        <f t="shared" si="1"/>
        <v>NEW ROUTE</v>
      </c>
      <c r="C3554" s="2" t="s">
        <v>2539</v>
      </c>
    </row>
    <row r="3555" ht="12.75" customHeight="1">
      <c r="A3555" s="3" t="s">
        <v>3650</v>
      </c>
      <c r="B3555" s="3" t="str">
        <f t="shared" si="1"/>
        <v>1, 122, 0,</v>
      </c>
      <c r="C3555" s="2" t="s">
        <v>3650</v>
      </c>
    </row>
    <row r="3556" ht="12.75" customHeight="1">
      <c r="A3556" s="3" t="s">
        <v>2817</v>
      </c>
      <c r="B3556" s="3" t="str">
        <f t="shared" si="1"/>
        <v>20%</v>
      </c>
      <c r="C3556" s="2" t="s">
        <v>2799</v>
      </c>
    </row>
    <row r="3557" ht="12.75" customHeight="1">
      <c r="A3557" s="3" t="s">
        <v>1338</v>
      </c>
      <c r="B3557" s="3" t="str">
        <f t="shared" si="1"/>
        <v>22, 22, SHUCKLE</v>
      </c>
      <c r="C3557" s="2" t="s">
        <v>1338</v>
      </c>
    </row>
    <row r="3558" ht="12.75" customHeight="1">
      <c r="A3558" s="3" t="s">
        <v>3688</v>
      </c>
      <c r="B3558" s="3" t="str">
        <f t="shared" si="1"/>
        <v>24, 24, SHUCKLE</v>
      </c>
      <c r="C3558" s="2" t="s">
        <v>3688</v>
      </c>
    </row>
    <row r="3559" ht="12.75" customHeight="1">
      <c r="A3559" s="3"/>
      <c r="B3559" s="3" t="str">
        <f t="shared" si="1"/>
        <v/>
      </c>
      <c r="C3559" s="2" t="s">
        <v>2801</v>
      </c>
    </row>
    <row r="3560" ht="12.75" customHeight="1">
      <c r="A3560" s="3" t="s">
        <v>2802</v>
      </c>
      <c r="B3560" s="3" t="str">
        <f t="shared" si="1"/>
        <v>0.1</v>
      </c>
      <c r="C3560" s="2" t="s">
        <v>2802</v>
      </c>
    </row>
    <row r="3561" ht="12.75" customHeight="1">
      <c r="A3561" s="3" t="s">
        <v>3689</v>
      </c>
      <c r="B3561" s="3" t="str">
        <f t="shared" si="1"/>
        <v>20, 20, SHUCKLE</v>
      </c>
      <c r="C3561" s="2" t="s">
        <v>3689</v>
      </c>
    </row>
    <row r="3562" ht="12.75" customHeight="1">
      <c r="A3562" s="3" t="s">
        <v>3690</v>
      </c>
      <c r="B3562" s="3" t="str">
        <f t="shared" si="1"/>
        <v>26, 26, SHUCKLE</v>
      </c>
      <c r="C3562" s="2" t="s">
        <v>3690</v>
      </c>
    </row>
    <row r="3563" ht="12.75" customHeight="1">
      <c r="A3563" s="3" t="s">
        <v>1338</v>
      </c>
      <c r="B3563" s="3" t="str">
        <f t="shared" si="1"/>
        <v>22, 22, SHUCKLE</v>
      </c>
      <c r="C3563" s="2" t="s">
        <v>1338</v>
      </c>
    </row>
    <row r="3564" ht="12.75" customHeight="1">
      <c r="A3564" s="3" t="s">
        <v>3688</v>
      </c>
      <c r="B3564" s="3" t="str">
        <f t="shared" si="1"/>
        <v>24, 24, SHUCKLE</v>
      </c>
      <c r="C3564" s="2" t="s">
        <v>3688</v>
      </c>
    </row>
    <row r="3565" ht="12.75" customHeight="1">
      <c r="A3565" s="3"/>
      <c r="B3565" s="3" t="str">
        <f t="shared" si="1"/>
        <v/>
      </c>
      <c r="C3565" s="2" t="s">
        <v>2801</v>
      </c>
    </row>
    <row r="3566" ht="12.75" customHeight="1">
      <c r="A3566" s="3" t="s">
        <v>2807</v>
      </c>
      <c r="B3566" s="3" t="str">
        <f t="shared" si="1"/>
        <v>0.05</v>
      </c>
      <c r="C3566" s="2" t="s">
        <v>2807</v>
      </c>
    </row>
    <row r="3567" ht="12.75" customHeight="1">
      <c r="A3567" s="3" t="s">
        <v>3691</v>
      </c>
      <c r="B3567" s="3" t="str">
        <f t="shared" si="1"/>
        <v>28, 28, SHUCKLE</v>
      </c>
      <c r="C3567" s="2" t="s">
        <v>3691</v>
      </c>
    </row>
    <row r="3568" ht="12.75" customHeight="1">
      <c r="A3568" s="3" t="s">
        <v>3692</v>
      </c>
      <c r="B3568" s="3" t="str">
        <f t="shared" si="1"/>
        <v>18, 18, SHUCKLE</v>
      </c>
      <c r="C3568" s="2" t="s">
        <v>3692</v>
      </c>
    </row>
    <row r="3569" ht="12.75" customHeight="1">
      <c r="A3569" s="3"/>
      <c r="B3569" s="3" t="str">
        <f t="shared" si="1"/>
        <v/>
      </c>
      <c r="C3569" s="2" t="s">
        <v>2801</v>
      </c>
    </row>
    <row r="3570" ht="12.75" customHeight="1">
      <c r="A3570" s="3" t="s">
        <v>2810</v>
      </c>
      <c r="B3570" s="3" t="str">
        <f t="shared" si="1"/>
        <v>0.04</v>
      </c>
      <c r="C3570" s="2" t="s">
        <v>2810</v>
      </c>
    </row>
    <row r="3571" ht="12.75" customHeight="1">
      <c r="A3571" s="3" t="s">
        <v>3689</v>
      </c>
      <c r="B3571" s="3" t="str">
        <f t="shared" si="1"/>
        <v>20, 20, SHUCKLE</v>
      </c>
      <c r="C3571" s="2" t="s">
        <v>3689</v>
      </c>
    </row>
    <row r="3572" ht="12.75" customHeight="1">
      <c r="A3572" s="3" t="s">
        <v>3690</v>
      </c>
      <c r="B3572" s="3" t="str">
        <f t="shared" si="1"/>
        <v>26, 26, SHUCKLE</v>
      </c>
      <c r="C3572" s="2" t="s">
        <v>3690</v>
      </c>
    </row>
    <row r="3573" ht="12.75" customHeight="1">
      <c r="A3573" s="3"/>
      <c r="B3573" s="3" t="str">
        <f t="shared" si="1"/>
        <v/>
      </c>
      <c r="C3573" s="2" t="s">
        <v>2801</v>
      </c>
    </row>
    <row r="3574" ht="12.75" customHeight="1">
      <c r="A3574" s="3" t="s">
        <v>2813</v>
      </c>
      <c r="B3574" s="3" t="str">
        <f t="shared" si="1"/>
        <v>0.01</v>
      </c>
      <c r="C3574" s="2" t="s">
        <v>2813</v>
      </c>
    </row>
    <row r="3575" ht="12.75" customHeight="1">
      <c r="A3575" s="3" t="s">
        <v>3689</v>
      </c>
      <c r="B3575" s="3" t="str">
        <f t="shared" si="1"/>
        <v>20, 20, SHUCKLE</v>
      </c>
      <c r="C3575" s="2" t="s">
        <v>3689</v>
      </c>
    </row>
    <row r="3576" ht="12.75" customHeight="1">
      <c r="A3576" s="3" t="s">
        <v>3693</v>
      </c>
      <c r="B3576" s="3" t="str">
        <f t="shared" si="1"/>
        <v>26, 26, SHUCKLE , &lt;null&gt;, &lt;null&gt;, &lt;null&gt;</v>
      </c>
      <c r="C3576" s="2" t="s">
        <v>3693</v>
      </c>
    </row>
    <row r="3577" ht="12.75" customHeight="1">
      <c r="A3577" s="3"/>
      <c r="B3577" s="3" t="str">
        <f t="shared" si="1"/>
        <v/>
      </c>
      <c r="C3577" s="2" t="s">
        <v>2801</v>
      </c>
    </row>
    <row r="3578" ht="12.75" customHeight="1">
      <c r="A3578" s="3" t="s">
        <v>2539</v>
      </c>
      <c r="B3578" s="3" t="str">
        <f t="shared" si="1"/>
        <v>NEW ROUTE</v>
      </c>
      <c r="C3578" s="2" t="s">
        <v>2539</v>
      </c>
    </row>
    <row r="3579" ht="12.75" customHeight="1">
      <c r="A3579" s="3" t="s">
        <v>3650</v>
      </c>
      <c r="B3579" s="3" t="str">
        <f t="shared" si="1"/>
        <v>1, 122, 0,</v>
      </c>
      <c r="C3579" s="2" t="s">
        <v>3650</v>
      </c>
    </row>
    <row r="3580" ht="12.75" customHeight="1">
      <c r="A3580" s="3" t="s">
        <v>2817</v>
      </c>
      <c r="B3580" s="3" t="str">
        <f t="shared" si="1"/>
        <v>20%</v>
      </c>
      <c r="C3580" s="2" t="s">
        <v>2799</v>
      </c>
    </row>
    <row r="3581" ht="12.75" customHeight="1">
      <c r="A3581" s="3" t="s">
        <v>1346</v>
      </c>
      <c r="B3581" s="3" t="str">
        <f t="shared" si="1"/>
        <v>22, 22, STANTLER</v>
      </c>
      <c r="C3581" s="2" t="s">
        <v>1346</v>
      </c>
    </row>
    <row r="3582" ht="12.75" customHeight="1">
      <c r="A3582" s="3" t="s">
        <v>3694</v>
      </c>
      <c r="B3582" s="3" t="str">
        <f t="shared" si="1"/>
        <v>24, 24, STANTLER</v>
      </c>
      <c r="C3582" s="2" t="s">
        <v>3694</v>
      </c>
    </row>
    <row r="3583" ht="12.75" customHeight="1">
      <c r="A3583" s="3"/>
      <c r="B3583" s="3" t="str">
        <f t="shared" si="1"/>
        <v/>
      </c>
      <c r="C3583" s="2" t="s">
        <v>2801</v>
      </c>
    </row>
    <row r="3584" ht="12.75" customHeight="1">
      <c r="A3584" s="3" t="s">
        <v>2802</v>
      </c>
      <c r="B3584" s="3" t="str">
        <f t="shared" si="1"/>
        <v>0.1</v>
      </c>
      <c r="C3584" s="2" t="s">
        <v>2802</v>
      </c>
    </row>
    <row r="3585" ht="12.75" customHeight="1">
      <c r="A3585" s="3" t="s">
        <v>3695</v>
      </c>
      <c r="B3585" s="3" t="str">
        <f t="shared" si="1"/>
        <v>20, 20, STANTLER</v>
      </c>
      <c r="C3585" s="2" t="s">
        <v>3695</v>
      </c>
    </row>
    <row r="3586" ht="12.75" customHeight="1">
      <c r="A3586" s="3" t="s">
        <v>3696</v>
      </c>
      <c r="B3586" s="3" t="str">
        <f t="shared" si="1"/>
        <v>26, 26, STANTLER</v>
      </c>
      <c r="C3586" s="2" t="s">
        <v>3696</v>
      </c>
    </row>
    <row r="3587" ht="12.75" customHeight="1">
      <c r="A3587" s="3" t="s">
        <v>1346</v>
      </c>
      <c r="B3587" s="3" t="str">
        <f t="shared" si="1"/>
        <v>22, 22, STANTLER</v>
      </c>
      <c r="C3587" s="2" t="s">
        <v>1346</v>
      </c>
    </row>
    <row r="3588" ht="12.75" customHeight="1">
      <c r="A3588" s="3" t="s">
        <v>3694</v>
      </c>
      <c r="B3588" s="3" t="str">
        <f t="shared" si="1"/>
        <v>24, 24, STANTLER</v>
      </c>
      <c r="C3588" s="2" t="s">
        <v>3694</v>
      </c>
    </row>
    <row r="3589" ht="12.75" customHeight="1">
      <c r="A3589" s="3"/>
      <c r="B3589" s="3" t="str">
        <f t="shared" si="1"/>
        <v/>
      </c>
      <c r="C3589" s="2" t="s">
        <v>2801</v>
      </c>
    </row>
    <row r="3590" ht="12.75" customHeight="1">
      <c r="A3590" s="3" t="s">
        <v>2807</v>
      </c>
      <c r="B3590" s="3" t="str">
        <f t="shared" si="1"/>
        <v>0.05</v>
      </c>
      <c r="C3590" s="2" t="s">
        <v>2807</v>
      </c>
    </row>
    <row r="3591" ht="12.75" customHeight="1">
      <c r="A3591" s="3" t="s">
        <v>3697</v>
      </c>
      <c r="B3591" s="3" t="str">
        <f t="shared" si="1"/>
        <v>28, 28, STANTLER</v>
      </c>
      <c r="C3591" s="2" t="s">
        <v>3697</v>
      </c>
    </row>
    <row r="3592" ht="12.75" customHeight="1">
      <c r="A3592" s="3" t="s">
        <v>3698</v>
      </c>
      <c r="B3592" s="3" t="str">
        <f t="shared" si="1"/>
        <v>18, 18, STANTLER</v>
      </c>
      <c r="C3592" s="2" t="s">
        <v>3698</v>
      </c>
    </row>
    <row r="3593" ht="12.75" customHeight="1">
      <c r="A3593" s="3"/>
      <c r="B3593" s="3" t="str">
        <f t="shared" si="1"/>
        <v/>
      </c>
      <c r="C3593" s="2" t="s">
        <v>2801</v>
      </c>
    </row>
    <row r="3594" ht="12.75" customHeight="1">
      <c r="A3594" s="3" t="s">
        <v>2810</v>
      </c>
      <c r="B3594" s="3" t="str">
        <f t="shared" si="1"/>
        <v>0.04</v>
      </c>
      <c r="C3594" s="2" t="s">
        <v>2810</v>
      </c>
    </row>
    <row r="3595" ht="12.75" customHeight="1">
      <c r="A3595" s="3" t="s">
        <v>3695</v>
      </c>
      <c r="B3595" s="3" t="str">
        <f t="shared" si="1"/>
        <v>20, 20, STANTLER</v>
      </c>
      <c r="C3595" s="2" t="s">
        <v>3695</v>
      </c>
    </row>
    <row r="3596" ht="12.75" customHeight="1">
      <c r="A3596" s="3" t="s">
        <v>3696</v>
      </c>
      <c r="B3596" s="3" t="str">
        <f t="shared" si="1"/>
        <v>26, 26, STANTLER</v>
      </c>
      <c r="C3596" s="2" t="s">
        <v>3696</v>
      </c>
    </row>
    <row r="3597" ht="12.75" customHeight="1">
      <c r="A3597" s="3"/>
      <c r="B3597" s="3" t="str">
        <f t="shared" si="1"/>
        <v/>
      </c>
      <c r="C3597" s="2" t="s">
        <v>2801</v>
      </c>
    </row>
    <row r="3598" ht="12.75" customHeight="1">
      <c r="A3598" s="3" t="s">
        <v>2813</v>
      </c>
      <c r="B3598" s="3" t="str">
        <f t="shared" si="1"/>
        <v>0.01</v>
      </c>
      <c r="C3598" s="2" t="s">
        <v>2813</v>
      </c>
    </row>
    <row r="3599" ht="12.75" customHeight="1">
      <c r="A3599" s="3" t="s">
        <v>3695</v>
      </c>
      <c r="B3599" s="3" t="str">
        <f t="shared" si="1"/>
        <v>20, 20, STANTLER</v>
      </c>
      <c r="C3599" s="2" t="s">
        <v>3695</v>
      </c>
    </row>
    <row r="3600" ht="12.75" customHeight="1">
      <c r="A3600" s="3" t="s">
        <v>3699</v>
      </c>
      <c r="B3600" s="3" t="str">
        <f t="shared" si="1"/>
        <v>26, 26, STANTLER , &lt;null&gt;, &lt;null&gt;, &lt;null&gt;</v>
      </c>
      <c r="C3600" s="2" t="s">
        <v>3699</v>
      </c>
    </row>
    <row r="3601" ht="12.75" customHeight="1">
      <c r="A3601" s="3"/>
      <c r="B3601" s="3" t="str">
        <f t="shared" si="1"/>
        <v/>
      </c>
      <c r="C3601" s="2" t="s">
        <v>2801</v>
      </c>
    </row>
    <row r="3602" ht="12.75" customHeight="1">
      <c r="A3602" s="3" t="s">
        <v>2539</v>
      </c>
      <c r="B3602" s="3" t="str">
        <f t="shared" si="1"/>
        <v>NEW ROUTE</v>
      </c>
      <c r="C3602" s="2" t="s">
        <v>2539</v>
      </c>
    </row>
    <row r="3603" ht="12.75" customHeight="1">
      <c r="A3603" s="3" t="s">
        <v>3650</v>
      </c>
      <c r="B3603" s="3" t="str">
        <f t="shared" si="1"/>
        <v>1, 122, 0,</v>
      </c>
      <c r="C3603" s="2" t="s">
        <v>3650</v>
      </c>
    </row>
    <row r="3604" ht="12.75" customHeight="1">
      <c r="A3604" s="3" t="s">
        <v>2817</v>
      </c>
      <c r="B3604" s="3" t="str">
        <f t="shared" si="1"/>
        <v>20%</v>
      </c>
      <c r="C3604" s="2" t="s">
        <v>2799</v>
      </c>
    </row>
    <row r="3605" ht="12.75" customHeight="1">
      <c r="A3605" s="3" t="s">
        <v>1354</v>
      </c>
      <c r="B3605" s="3" t="str">
        <f t="shared" si="1"/>
        <v>22, 22, SMEARGLE</v>
      </c>
      <c r="C3605" s="2" t="s">
        <v>1354</v>
      </c>
    </row>
    <row r="3606" ht="12.75" customHeight="1">
      <c r="A3606" s="3" t="s">
        <v>3700</v>
      </c>
      <c r="B3606" s="3" t="str">
        <f t="shared" si="1"/>
        <v>24, 24, SMEARGLE</v>
      </c>
      <c r="C3606" s="2" t="s">
        <v>3700</v>
      </c>
    </row>
    <row r="3607" ht="12.75" customHeight="1">
      <c r="A3607" s="3"/>
      <c r="B3607" s="3" t="str">
        <f t="shared" si="1"/>
        <v/>
      </c>
      <c r="C3607" s="2" t="s">
        <v>2801</v>
      </c>
    </row>
    <row r="3608" ht="12.75" customHeight="1">
      <c r="A3608" s="3" t="s">
        <v>2802</v>
      </c>
      <c r="B3608" s="3" t="str">
        <f t="shared" si="1"/>
        <v>0.1</v>
      </c>
      <c r="C3608" s="2" t="s">
        <v>2802</v>
      </c>
    </row>
    <row r="3609" ht="12.75" customHeight="1">
      <c r="A3609" s="3" t="s">
        <v>3701</v>
      </c>
      <c r="B3609" s="3" t="str">
        <f t="shared" si="1"/>
        <v>20, 20, SMEARGLE</v>
      </c>
      <c r="C3609" s="2" t="s">
        <v>3701</v>
      </c>
    </row>
    <row r="3610" ht="12.75" customHeight="1">
      <c r="A3610" s="3" t="s">
        <v>3702</v>
      </c>
      <c r="B3610" s="3" t="str">
        <f t="shared" si="1"/>
        <v>26, 26, SMEARGLE</v>
      </c>
      <c r="C3610" s="2" t="s">
        <v>3702</v>
      </c>
    </row>
    <row r="3611" ht="12.75" customHeight="1">
      <c r="A3611" s="3" t="s">
        <v>1354</v>
      </c>
      <c r="B3611" s="3" t="str">
        <f t="shared" si="1"/>
        <v>22, 22, SMEARGLE</v>
      </c>
      <c r="C3611" s="2" t="s">
        <v>1354</v>
      </c>
    </row>
    <row r="3612" ht="12.75" customHeight="1">
      <c r="A3612" s="3" t="s">
        <v>3700</v>
      </c>
      <c r="B3612" s="3" t="str">
        <f t="shared" si="1"/>
        <v>24, 24, SMEARGLE</v>
      </c>
      <c r="C3612" s="2" t="s">
        <v>3700</v>
      </c>
    </row>
    <row r="3613" ht="12.75" customHeight="1">
      <c r="A3613" s="3"/>
      <c r="B3613" s="3" t="str">
        <f t="shared" si="1"/>
        <v/>
      </c>
      <c r="C3613" s="2" t="s">
        <v>2801</v>
      </c>
    </row>
    <row r="3614" ht="12.75" customHeight="1">
      <c r="A3614" s="3" t="s">
        <v>2807</v>
      </c>
      <c r="B3614" s="3" t="str">
        <f t="shared" si="1"/>
        <v>0.05</v>
      </c>
      <c r="C3614" s="2" t="s">
        <v>2807</v>
      </c>
    </row>
    <row r="3615" ht="12.75" customHeight="1">
      <c r="A3615" s="3" t="s">
        <v>3703</v>
      </c>
      <c r="B3615" s="3" t="str">
        <f t="shared" si="1"/>
        <v>28, 28, SMEARGLE</v>
      </c>
      <c r="C3615" s="2" t="s">
        <v>3703</v>
      </c>
    </row>
    <row r="3616" ht="12.75" customHeight="1">
      <c r="A3616" s="3" t="s">
        <v>3704</v>
      </c>
      <c r="B3616" s="3" t="str">
        <f t="shared" si="1"/>
        <v>18, 18, SMEARGLE</v>
      </c>
      <c r="C3616" s="2" t="s">
        <v>3704</v>
      </c>
    </row>
    <row r="3617" ht="12.75" customHeight="1">
      <c r="A3617" s="3"/>
      <c r="B3617" s="3" t="str">
        <f t="shared" si="1"/>
        <v/>
      </c>
      <c r="C3617" s="2" t="s">
        <v>2801</v>
      </c>
    </row>
    <row r="3618" ht="12.75" customHeight="1">
      <c r="A3618" s="3" t="s">
        <v>2810</v>
      </c>
      <c r="B3618" s="3" t="str">
        <f t="shared" si="1"/>
        <v>0.04</v>
      </c>
      <c r="C3618" s="2" t="s">
        <v>2810</v>
      </c>
    </row>
    <row r="3619" ht="12.75" customHeight="1">
      <c r="A3619" s="3" t="s">
        <v>3701</v>
      </c>
      <c r="B3619" s="3" t="str">
        <f t="shared" si="1"/>
        <v>20, 20, SMEARGLE</v>
      </c>
      <c r="C3619" s="2" t="s">
        <v>3701</v>
      </c>
    </row>
    <row r="3620" ht="12.75" customHeight="1">
      <c r="A3620" s="3" t="s">
        <v>3702</v>
      </c>
      <c r="B3620" s="3" t="str">
        <f t="shared" si="1"/>
        <v>26, 26, SMEARGLE</v>
      </c>
      <c r="C3620" s="2" t="s">
        <v>3702</v>
      </c>
    </row>
    <row r="3621" ht="12.75" customHeight="1">
      <c r="A3621" s="3"/>
      <c r="B3621" s="3" t="str">
        <f t="shared" si="1"/>
        <v/>
      </c>
      <c r="C3621" s="2" t="s">
        <v>2801</v>
      </c>
    </row>
    <row r="3622" ht="12.75" customHeight="1">
      <c r="A3622" s="3" t="s">
        <v>2813</v>
      </c>
      <c r="B3622" s="3" t="str">
        <f t="shared" si="1"/>
        <v>0.01</v>
      </c>
      <c r="C3622" s="2" t="s">
        <v>2813</v>
      </c>
    </row>
    <row r="3623" ht="12.75" customHeight="1">
      <c r="A3623" s="3" t="s">
        <v>3701</v>
      </c>
      <c r="B3623" s="3" t="str">
        <f t="shared" si="1"/>
        <v>20, 20, SMEARGLE</v>
      </c>
      <c r="C3623" s="2" t="s">
        <v>3701</v>
      </c>
    </row>
    <row r="3624" ht="12.75" customHeight="1">
      <c r="A3624" s="3" t="s">
        <v>3705</v>
      </c>
      <c r="B3624" s="3" t="str">
        <f t="shared" si="1"/>
        <v>26, 26, SMEARGLE , &lt;null&gt;, &lt;null&gt;, &lt;null&gt;</v>
      </c>
      <c r="C3624" s="2" t="s">
        <v>3705</v>
      </c>
    </row>
    <row r="3625" ht="12.75" customHeight="1">
      <c r="A3625" s="3"/>
      <c r="B3625" s="3" t="str">
        <f t="shared" si="1"/>
        <v/>
      </c>
      <c r="C3625" s="2" t="s">
        <v>2801</v>
      </c>
    </row>
    <row r="3626" ht="12.75" customHeight="1">
      <c r="A3626" s="3" t="s">
        <v>2539</v>
      </c>
      <c r="B3626" s="3" t="str">
        <f t="shared" si="1"/>
        <v>NEW ROUTE</v>
      </c>
      <c r="C3626" s="2" t="s">
        <v>2539</v>
      </c>
    </row>
    <row r="3627" ht="12.75" customHeight="1">
      <c r="A3627" s="3" t="s">
        <v>3694</v>
      </c>
      <c r="B3627" s="3" t="str">
        <f t="shared" si="1"/>
        <v>24, 24, STANTLER</v>
      </c>
      <c r="C3627" s="2" t="s">
        <v>3694</v>
      </c>
    </row>
    <row r="3628" ht="12.75" customHeight="1">
      <c r="A3628" s="3"/>
      <c r="B3628" s="3" t="str">
        <f t="shared" si="1"/>
        <v/>
      </c>
      <c r="C3628" s="2" t="s">
        <v>2801</v>
      </c>
    </row>
    <row r="3629" ht="12.75" customHeight="1">
      <c r="A3629" s="3" t="s">
        <v>2807</v>
      </c>
      <c r="B3629" s="3" t="str">
        <f t="shared" si="1"/>
        <v>0.05</v>
      </c>
      <c r="C3629" s="2" t="s">
        <v>2807</v>
      </c>
    </row>
    <row r="3630" ht="12.75" customHeight="1">
      <c r="A3630" s="3" t="s">
        <v>3697</v>
      </c>
      <c r="B3630" s="3" t="str">
        <f t="shared" si="1"/>
        <v>28, 28, STANTLER</v>
      </c>
      <c r="C3630" s="2" t="s">
        <v>3697</v>
      </c>
    </row>
    <row r="3631" ht="12.75" customHeight="1">
      <c r="A3631" s="3" t="s">
        <v>3698</v>
      </c>
      <c r="B3631" s="3" t="str">
        <f t="shared" si="1"/>
        <v>18, 18, STANTLER</v>
      </c>
      <c r="C3631" s="2" t="s">
        <v>3698</v>
      </c>
    </row>
    <row r="3632" ht="12.75" customHeight="1">
      <c r="A3632" s="3"/>
      <c r="B3632" s="3" t="str">
        <f t="shared" si="1"/>
        <v/>
      </c>
      <c r="C3632" s="2" t="s">
        <v>2801</v>
      </c>
    </row>
    <row r="3633" ht="12.75" customHeight="1">
      <c r="A3633" s="3" t="s">
        <v>2810</v>
      </c>
      <c r="B3633" s="3" t="str">
        <f t="shared" si="1"/>
        <v>0.04</v>
      </c>
      <c r="C3633" s="2" t="s">
        <v>2810</v>
      </c>
    </row>
    <row r="3634" ht="12.75" customHeight="1">
      <c r="A3634" s="3" t="s">
        <v>3695</v>
      </c>
      <c r="B3634" s="3" t="str">
        <f t="shared" si="1"/>
        <v>20, 20, STANTLER</v>
      </c>
      <c r="C3634" s="2" t="s">
        <v>3695</v>
      </c>
    </row>
    <row r="3635" ht="12.75" customHeight="1">
      <c r="A3635" s="3" t="s">
        <v>3696</v>
      </c>
      <c r="B3635" s="3" t="str">
        <f t="shared" si="1"/>
        <v>26, 26, STANTLER</v>
      </c>
      <c r="C3635" s="2" t="s">
        <v>3696</v>
      </c>
    </row>
    <row r="3636" ht="12.75" customHeight="1">
      <c r="A3636" s="3"/>
      <c r="B3636" s="3" t="str">
        <f t="shared" si="1"/>
        <v/>
      </c>
      <c r="C3636" s="2" t="s">
        <v>2801</v>
      </c>
    </row>
    <row r="3637" ht="12.75" customHeight="1">
      <c r="A3637" s="3" t="s">
        <v>2813</v>
      </c>
      <c r="B3637" s="3" t="str">
        <f t="shared" si="1"/>
        <v>0.01</v>
      </c>
      <c r="C3637" s="2" t="s">
        <v>2813</v>
      </c>
    </row>
    <row r="3638" ht="12.75" customHeight="1">
      <c r="A3638" s="3" t="s">
        <v>3695</v>
      </c>
      <c r="B3638" s="3" t="str">
        <f t="shared" si="1"/>
        <v>20, 20, STANTLER</v>
      </c>
      <c r="C3638" s="2" t="s">
        <v>3695</v>
      </c>
    </row>
    <row r="3639" ht="12.75" customHeight="1">
      <c r="A3639" s="3" t="s">
        <v>3699</v>
      </c>
      <c r="B3639" s="3" t="str">
        <f t="shared" si="1"/>
        <v>26, 26, STANTLER , &lt;null&gt;, &lt;null&gt;, &lt;null&gt;</v>
      </c>
      <c r="C3639" s="2" t="s">
        <v>3699</v>
      </c>
    </row>
    <row r="3640" ht="12.75" customHeight="1">
      <c r="A3640" s="3"/>
      <c r="B3640" s="3" t="str">
        <f t="shared" si="1"/>
        <v/>
      </c>
      <c r="C3640" s="2" t="s">
        <v>2801</v>
      </c>
    </row>
    <row r="3641" ht="12.75" customHeight="1">
      <c r="A3641" s="3" t="s">
        <v>2539</v>
      </c>
      <c r="B3641" s="3" t="str">
        <f t="shared" si="1"/>
        <v>NEW ROUTE</v>
      </c>
      <c r="C3641" s="2" t="s">
        <v>2539</v>
      </c>
    </row>
    <row r="3642" ht="12.75" customHeight="1">
      <c r="A3642" s="3" t="s">
        <v>3650</v>
      </c>
      <c r="B3642" s="3" t="str">
        <f t="shared" si="1"/>
        <v>1, 122, 0,</v>
      </c>
      <c r="C3642" s="2" t="s">
        <v>3650</v>
      </c>
    </row>
    <row r="3643" ht="12.75" customHeight="1">
      <c r="A3643" s="3" t="s">
        <v>2817</v>
      </c>
      <c r="B3643" s="3" t="str">
        <f t="shared" si="1"/>
        <v>20%</v>
      </c>
      <c r="C3643" s="2" t="s">
        <v>2799</v>
      </c>
    </row>
    <row r="3644" ht="12.75" customHeight="1">
      <c r="A3644" s="3" t="s">
        <v>1354</v>
      </c>
      <c r="B3644" s="3" t="str">
        <f t="shared" si="1"/>
        <v>22, 22, SMEARGLE</v>
      </c>
      <c r="C3644" s="2" t="s">
        <v>1354</v>
      </c>
    </row>
    <row r="3645" ht="12.75" customHeight="1">
      <c r="A3645" s="3" t="s">
        <v>3700</v>
      </c>
      <c r="B3645" s="3" t="str">
        <f t="shared" si="1"/>
        <v>24, 24, SMEARGLE</v>
      </c>
      <c r="C3645" s="2" t="s">
        <v>3700</v>
      </c>
    </row>
    <row r="3646" ht="12.75" customHeight="1">
      <c r="A3646" s="3"/>
      <c r="B3646" s="3" t="str">
        <f t="shared" si="1"/>
        <v/>
      </c>
      <c r="C3646" s="2" t="s">
        <v>2801</v>
      </c>
    </row>
    <row r="3647" ht="12.75" customHeight="1">
      <c r="A3647" s="3" t="s">
        <v>2802</v>
      </c>
      <c r="B3647" s="3" t="str">
        <f t="shared" si="1"/>
        <v>0.1</v>
      </c>
      <c r="C3647" s="2" t="s">
        <v>2802</v>
      </c>
    </row>
    <row r="3648" ht="12.75" customHeight="1">
      <c r="A3648" s="3" t="s">
        <v>3701</v>
      </c>
      <c r="B3648" s="3" t="str">
        <f t="shared" si="1"/>
        <v>20, 20, SMEARGLE</v>
      </c>
      <c r="C3648" s="2" t="s">
        <v>3701</v>
      </c>
    </row>
    <row r="3649" ht="12.75" customHeight="1">
      <c r="A3649" s="3" t="s">
        <v>3702</v>
      </c>
      <c r="B3649" s="3" t="str">
        <f t="shared" si="1"/>
        <v>26, 26, SMEARGLE</v>
      </c>
      <c r="C3649" s="2" t="s">
        <v>3702</v>
      </c>
    </row>
    <row r="3650" ht="12.75" customHeight="1">
      <c r="A3650" s="3" t="s">
        <v>1354</v>
      </c>
      <c r="B3650" s="3" t="str">
        <f t="shared" si="1"/>
        <v>22, 22, SMEARGLE</v>
      </c>
      <c r="C3650" s="2" t="s">
        <v>1354</v>
      </c>
    </row>
    <row r="3651" ht="12.75" customHeight="1">
      <c r="A3651" s="3" t="s">
        <v>3700</v>
      </c>
      <c r="B3651" s="3" t="str">
        <f t="shared" si="1"/>
        <v>24, 24, SMEARGLE</v>
      </c>
      <c r="C3651" s="2" t="s">
        <v>3700</v>
      </c>
    </row>
    <row r="3652" ht="12.75" customHeight="1">
      <c r="A3652" s="3"/>
      <c r="B3652" s="3" t="str">
        <f t="shared" si="1"/>
        <v/>
      </c>
      <c r="C3652" s="2" t="s">
        <v>2801</v>
      </c>
    </row>
    <row r="3653" ht="12.75" customHeight="1">
      <c r="A3653" s="3" t="s">
        <v>2807</v>
      </c>
      <c r="B3653" s="3" t="str">
        <f t="shared" si="1"/>
        <v>0.05</v>
      </c>
      <c r="C3653" s="2" t="s">
        <v>2807</v>
      </c>
    </row>
    <row r="3654" ht="12.75" customHeight="1">
      <c r="A3654" s="3" t="s">
        <v>3703</v>
      </c>
      <c r="B3654" s="3" t="str">
        <f t="shared" si="1"/>
        <v>28, 28, SMEARGLE</v>
      </c>
      <c r="C3654" s="2" t="s">
        <v>3703</v>
      </c>
    </row>
    <row r="3655" ht="12.75" customHeight="1">
      <c r="A3655" s="3" t="s">
        <v>3704</v>
      </c>
      <c r="B3655" s="3" t="str">
        <f t="shared" si="1"/>
        <v>18, 18, SMEARGLE</v>
      </c>
      <c r="C3655" s="2" t="s">
        <v>3704</v>
      </c>
    </row>
    <row r="3656" ht="12.75" customHeight="1">
      <c r="A3656" s="3"/>
      <c r="B3656" s="3" t="str">
        <f t="shared" si="1"/>
        <v/>
      </c>
      <c r="C3656" s="2" t="s">
        <v>2801</v>
      </c>
    </row>
    <row r="3657" ht="12.75" customHeight="1">
      <c r="A3657" s="3" t="s">
        <v>2810</v>
      </c>
      <c r="B3657" s="3" t="str">
        <f t="shared" si="1"/>
        <v>0.04</v>
      </c>
      <c r="C3657" s="2" t="s">
        <v>2810</v>
      </c>
    </row>
    <row r="3658" ht="12.75" customHeight="1">
      <c r="A3658" s="3" t="s">
        <v>3701</v>
      </c>
      <c r="B3658" s="3" t="str">
        <f t="shared" si="1"/>
        <v>20, 20, SMEARGLE</v>
      </c>
      <c r="C3658" s="2" t="s">
        <v>3701</v>
      </c>
    </row>
    <row r="3659" ht="12.75" customHeight="1">
      <c r="A3659" s="3" t="s">
        <v>3702</v>
      </c>
      <c r="B3659" s="3" t="str">
        <f t="shared" si="1"/>
        <v>26, 26, SMEARGLE</v>
      </c>
      <c r="C3659" s="2" t="s">
        <v>3702</v>
      </c>
    </row>
    <row r="3660" ht="12.75" customHeight="1">
      <c r="A3660" s="3"/>
      <c r="B3660" s="3" t="str">
        <f t="shared" si="1"/>
        <v/>
      </c>
      <c r="C3660" s="2" t="s">
        <v>2801</v>
      </c>
    </row>
    <row r="3661" ht="12.75" customHeight="1">
      <c r="A3661" s="3" t="s">
        <v>2813</v>
      </c>
      <c r="B3661" s="3" t="str">
        <f t="shared" si="1"/>
        <v>0.01</v>
      </c>
      <c r="C3661" s="2" t="s">
        <v>2813</v>
      </c>
    </row>
    <row r="3662" ht="12.75" customHeight="1">
      <c r="A3662" s="3" t="s">
        <v>3701</v>
      </c>
      <c r="B3662" s="3" t="str">
        <f t="shared" si="1"/>
        <v>20, 20, SMEARGLE</v>
      </c>
      <c r="C3662" s="2" t="s">
        <v>3701</v>
      </c>
    </row>
    <row r="3663" ht="12.75" customHeight="1">
      <c r="A3663" s="3" t="s">
        <v>3705</v>
      </c>
      <c r="B3663" s="3" t="str">
        <f t="shared" si="1"/>
        <v>26, 26, SMEARGLE , &lt;null&gt;, &lt;null&gt;, &lt;null&gt;</v>
      </c>
      <c r="C3663" s="2" t="s">
        <v>3705</v>
      </c>
    </row>
  </sheetData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" width="44.38"/>
    <col customWidth="1" min="3" max="11" width="8.63"/>
    <col customWidth="1" min="12" max="13" width="44.38"/>
  </cols>
  <sheetData>
    <row r="1" ht="12.75" customHeight="1">
      <c r="A1" s="3" t="s">
        <v>2539</v>
      </c>
      <c r="B1" s="3" t="str">
        <f t="shared" ref="B1:B3037" si="1">IF(ISNUMBER(SEARCH("%", A1)),RIGHT(A1,3),A1)</f>
        <v>NEW ROUTE</v>
      </c>
      <c r="J1" s="1" t="str">
        <f t="shared" ref="J1:J3037" si="3">IF(H1&lt;&gt;"","0x"&amp;I1&amp;H1,"")</f>
        <v/>
      </c>
      <c r="L1" s="1" t="s">
        <v>2539</v>
      </c>
      <c r="M1" s="1" t="str">
        <f t="shared" ref="M1:M3037" si="4">IF(J1&lt;&gt;"",J1,L1)</f>
        <v>NEW ROUTE</v>
      </c>
    </row>
    <row r="2" ht="12.75" customHeight="1">
      <c r="A2" s="3" t="s">
        <v>2797</v>
      </c>
      <c r="B2" s="3" t="str">
        <f t="shared" si="1"/>
        <v>1, 0, 0,</v>
      </c>
      <c r="C2" s="1" t="str">
        <f t="array" ref="C2">IF(B1="NEW ROUTE",TEXTSPLIT(B2,","),"")</f>
        <v>#NAME?</v>
      </c>
      <c r="H2" s="1" t="str">
        <f t="shared" ref="H2:I2" si="2">IF(C2&lt;&gt;"",DEC2HEX(C2,2),"")</f>
        <v>#NAME?</v>
      </c>
      <c r="I2" s="1" t="str">
        <f t="shared" si="2"/>
        <v/>
      </c>
      <c r="J2" s="1" t="str">
        <f t="shared" si="3"/>
        <v>#NAME?</v>
      </c>
      <c r="L2" s="1" t="s">
        <v>2797</v>
      </c>
      <c r="M2" s="1" t="str">
        <f t="shared" si="4"/>
        <v>#NAME?</v>
      </c>
    </row>
    <row r="3" ht="12.75" customHeight="1">
      <c r="A3" s="3" t="s">
        <v>2798</v>
      </c>
      <c r="B3" s="3" t="str">
        <f t="shared" si="1"/>
        <v>20%</v>
      </c>
      <c r="C3" s="1" t="str">
        <f t="array" ref="C3">IF(B2="NEW ROUTE",TEXTSPLIT(B3,","),"")</f>
        <v/>
      </c>
      <c r="H3" s="1" t="str">
        <f t="shared" ref="H3:I3" si="5">IF(C3&lt;&gt;"",DEC2HEX(C3,2),"")</f>
        <v/>
      </c>
      <c r="I3" s="1" t="str">
        <f t="shared" si="5"/>
        <v/>
      </c>
      <c r="J3" s="1" t="str">
        <f t="shared" si="3"/>
        <v/>
      </c>
      <c r="L3" s="1" t="s">
        <v>2799</v>
      </c>
      <c r="M3" s="1" t="str">
        <f t="shared" si="4"/>
        <v>20%</v>
      </c>
    </row>
    <row r="4" ht="12.75" customHeight="1">
      <c r="A4" s="3" t="s">
        <v>372</v>
      </c>
      <c r="B4" s="3" t="str">
        <f t="shared" si="1"/>
        <v>4, 6, CATERPIE</v>
      </c>
      <c r="C4" s="1" t="str">
        <f t="array" ref="C4">IF(B3="NEW ROUTE",TEXTSPLIT(B4,","),"")</f>
        <v/>
      </c>
      <c r="H4" s="1" t="str">
        <f t="shared" ref="H4:I4" si="6">IF(C4&lt;&gt;"",DEC2HEX(C4,2),"")</f>
        <v/>
      </c>
      <c r="I4" s="1" t="str">
        <f t="shared" si="6"/>
        <v/>
      </c>
      <c r="J4" s="1" t="str">
        <f t="shared" si="3"/>
        <v/>
      </c>
      <c r="L4" s="1" t="s">
        <v>372</v>
      </c>
      <c r="M4" s="1" t="str">
        <f t="shared" si="4"/>
        <v>4, 6, CATERPIE</v>
      </c>
    </row>
    <row r="5" ht="12.75" customHeight="1">
      <c r="A5" s="3" t="s">
        <v>2800</v>
      </c>
      <c r="B5" s="3" t="str">
        <f t="shared" si="1"/>
        <v>4, 6, WEEDLE</v>
      </c>
      <c r="C5" s="1" t="str">
        <f t="array" ref="C5">IF(B4="NEW ROUTE",TEXTSPLIT(B5,","),"")</f>
        <v/>
      </c>
      <c r="H5" s="1" t="str">
        <f t="shared" ref="H5:I5" si="7">IF(C5&lt;&gt;"",DEC2HEX(C5,2),"")</f>
        <v/>
      </c>
      <c r="I5" s="1" t="str">
        <f t="shared" si="7"/>
        <v/>
      </c>
      <c r="J5" s="1" t="str">
        <f t="shared" si="3"/>
        <v/>
      </c>
      <c r="L5" s="1" t="s">
        <v>2800</v>
      </c>
      <c r="M5" s="1" t="str">
        <f t="shared" si="4"/>
        <v>4, 6, WEEDLE</v>
      </c>
    </row>
    <row r="6" ht="12.75" customHeight="1">
      <c r="A6" s="3" t="s">
        <v>2802</v>
      </c>
      <c r="B6" s="3" t="str">
        <f t="shared" si="1"/>
        <v>0.1</v>
      </c>
      <c r="C6" s="1" t="str">
        <f t="array" ref="C6">IF(B5="NEW ROUTE",TEXTSPLIT(B6,","),"")</f>
        <v/>
      </c>
      <c r="H6" s="1" t="str">
        <f t="shared" ref="H6:I6" si="8">IF(C6&lt;&gt;"",DEC2HEX(C6,2),"")</f>
        <v/>
      </c>
      <c r="I6" s="1" t="str">
        <f t="shared" si="8"/>
        <v/>
      </c>
      <c r="J6" s="1" t="str">
        <f t="shared" si="3"/>
        <v/>
      </c>
      <c r="L6" s="1" t="s">
        <v>2802</v>
      </c>
      <c r="M6" s="1" t="str">
        <f t="shared" si="4"/>
        <v>0.1</v>
      </c>
    </row>
    <row r="7" ht="12.75" customHeight="1">
      <c r="A7" s="3" t="s">
        <v>2803</v>
      </c>
      <c r="B7" s="3" t="str">
        <f t="shared" si="1"/>
        <v>5, 7, ODDISH</v>
      </c>
      <c r="C7" s="1" t="str">
        <f t="array" ref="C7">IF(B6="NEW ROUTE",TEXTSPLIT(B7,","),"")</f>
        <v/>
      </c>
      <c r="H7" s="1" t="str">
        <f t="shared" ref="H7:I7" si="9">IF(C7&lt;&gt;"",DEC2HEX(C7,2),"")</f>
        <v/>
      </c>
      <c r="I7" s="1" t="str">
        <f t="shared" si="9"/>
        <v/>
      </c>
      <c r="J7" s="1" t="str">
        <f t="shared" si="3"/>
        <v/>
      </c>
      <c r="L7" s="1" t="s">
        <v>2803</v>
      </c>
      <c r="M7" s="1" t="str">
        <f t="shared" si="4"/>
        <v>5, 7, ODDISH</v>
      </c>
    </row>
    <row r="8" ht="12.75" customHeight="1">
      <c r="A8" s="3" t="s">
        <v>2804</v>
      </c>
      <c r="B8" s="3" t="str">
        <f t="shared" si="1"/>
        <v>7, 9, METAPOD</v>
      </c>
      <c r="C8" s="1" t="str">
        <f t="array" ref="C8">IF(B7="NEW ROUTE",TEXTSPLIT(B8,","),"")</f>
        <v/>
      </c>
      <c r="H8" s="1" t="str">
        <f t="shared" ref="H8:I8" si="10">IF(C8&lt;&gt;"",DEC2HEX(C8,2),"")</f>
        <v/>
      </c>
      <c r="I8" s="1" t="str">
        <f t="shared" si="10"/>
        <v/>
      </c>
      <c r="J8" s="1" t="str">
        <f t="shared" si="3"/>
        <v/>
      </c>
      <c r="L8" s="1" t="s">
        <v>2804</v>
      </c>
      <c r="M8" s="1" t="str">
        <f t="shared" si="4"/>
        <v>7, 9, METAPOD</v>
      </c>
    </row>
    <row r="9" ht="12.75" customHeight="1">
      <c r="A9" s="3" t="s">
        <v>2805</v>
      </c>
      <c r="B9" s="3" t="str">
        <f t="shared" si="1"/>
        <v>7, 9, KAKUNA</v>
      </c>
      <c r="C9" s="1" t="str">
        <f t="array" ref="C9">IF(B8="NEW ROUTE",TEXTSPLIT(B9,","),"")</f>
        <v/>
      </c>
      <c r="H9" s="1" t="str">
        <f t="shared" ref="H9:I9" si="11">IF(C9&lt;&gt;"",DEC2HEX(C9,2),"")</f>
        <v/>
      </c>
      <c r="I9" s="1" t="str">
        <f t="shared" si="11"/>
        <v/>
      </c>
      <c r="J9" s="1" t="str">
        <f t="shared" si="3"/>
        <v/>
      </c>
      <c r="L9" s="1" t="s">
        <v>2805</v>
      </c>
      <c r="M9" s="1" t="str">
        <f t="shared" si="4"/>
        <v>7, 9, KAKUNA</v>
      </c>
    </row>
    <row r="10" ht="12.75" customHeight="1">
      <c r="A10" s="3" t="s">
        <v>2806</v>
      </c>
      <c r="B10" s="3" t="str">
        <f t="shared" si="1"/>
        <v>5, 7, PIKACHU</v>
      </c>
      <c r="C10" s="1" t="str">
        <f t="array" ref="C10">IF(B9="NEW ROUTE",TEXTSPLIT(B10,","),"")</f>
        <v/>
      </c>
      <c r="H10" s="1" t="str">
        <f t="shared" ref="H10:I10" si="12">IF(C10&lt;&gt;"",DEC2HEX(C10,2),"")</f>
        <v/>
      </c>
      <c r="I10" s="1" t="str">
        <f t="shared" si="12"/>
        <v/>
      </c>
      <c r="J10" s="1" t="str">
        <f t="shared" si="3"/>
        <v/>
      </c>
      <c r="L10" s="1" t="s">
        <v>2806</v>
      </c>
      <c r="M10" s="1" t="str">
        <f t="shared" si="4"/>
        <v>5, 7, PIKACHU</v>
      </c>
    </row>
    <row r="11" ht="12.75" customHeight="1">
      <c r="A11" s="3" t="s">
        <v>2807</v>
      </c>
      <c r="B11" s="3" t="str">
        <f t="shared" si="1"/>
        <v>0.05</v>
      </c>
      <c r="C11" s="1" t="str">
        <f t="array" ref="C11">IF(B10="NEW ROUTE",TEXTSPLIT(B11,","),"")</f>
        <v/>
      </c>
      <c r="H11" s="1" t="str">
        <f t="shared" ref="H11:I11" si="13">IF(C11&lt;&gt;"",DEC2HEX(C11,2),"")</f>
        <v/>
      </c>
      <c r="I11" s="1" t="str">
        <f t="shared" si="13"/>
        <v/>
      </c>
      <c r="J11" s="1" t="str">
        <f t="shared" si="3"/>
        <v/>
      </c>
      <c r="L11" s="1" t="s">
        <v>2807</v>
      </c>
      <c r="M11" s="1" t="str">
        <f t="shared" si="4"/>
        <v>0.05</v>
      </c>
    </row>
    <row r="12" ht="12.75" customHeight="1">
      <c r="A12" s="3" t="s">
        <v>2808</v>
      </c>
      <c r="B12" s="3" t="str">
        <f t="shared" si="1"/>
        <v>5, 7, MANKEY</v>
      </c>
      <c r="C12" s="1" t="str">
        <f t="array" ref="C12">IF(B11="NEW ROUTE",TEXTSPLIT(B12,","),"")</f>
        <v/>
      </c>
      <c r="H12" s="1" t="str">
        <f t="shared" ref="H12:I12" si="14">IF(C12&lt;&gt;"",DEC2HEX(C12,2),"")</f>
        <v/>
      </c>
      <c r="I12" s="1" t="str">
        <f t="shared" si="14"/>
        <v/>
      </c>
      <c r="J12" s="1" t="str">
        <f t="shared" si="3"/>
        <v/>
      </c>
      <c r="L12" s="1" t="s">
        <v>2808</v>
      </c>
      <c r="M12" s="1" t="str">
        <f t="shared" si="4"/>
        <v>5, 7, MANKEY</v>
      </c>
    </row>
    <row r="13" ht="12.75" customHeight="1">
      <c r="A13" s="3" t="s">
        <v>2809</v>
      </c>
      <c r="B13" s="3" t="str">
        <f t="shared" si="1"/>
        <v>9, 10, BUTTERFREE</v>
      </c>
      <c r="C13" s="1" t="str">
        <f t="array" ref="C13">IF(B12="NEW ROUTE",TEXTSPLIT(B13,","),"")</f>
        <v/>
      </c>
      <c r="H13" s="1" t="str">
        <f t="shared" ref="H13:I13" si="15">IF(C13&lt;&gt;"",DEC2HEX(C13,2),"")</f>
        <v/>
      </c>
      <c r="I13" s="1" t="str">
        <f t="shared" si="15"/>
        <v/>
      </c>
      <c r="J13" s="1" t="str">
        <f t="shared" si="3"/>
        <v/>
      </c>
      <c r="L13" s="1" t="s">
        <v>2809</v>
      </c>
      <c r="M13" s="1" t="str">
        <f t="shared" si="4"/>
        <v>9, 10, BUTTERFREE</v>
      </c>
    </row>
    <row r="14" ht="12.75" customHeight="1">
      <c r="A14" s="3" t="s">
        <v>2810</v>
      </c>
      <c r="B14" s="3" t="str">
        <f t="shared" si="1"/>
        <v>0.04</v>
      </c>
      <c r="C14" s="1" t="str">
        <f t="array" ref="C14">IF(B13="NEW ROUTE",TEXTSPLIT(B14,","),"")</f>
        <v/>
      </c>
      <c r="H14" s="1" t="str">
        <f t="shared" ref="H14:I14" si="16">IF(C14&lt;&gt;"",DEC2HEX(C14,2),"")</f>
        <v/>
      </c>
      <c r="I14" s="1" t="str">
        <f t="shared" si="16"/>
        <v/>
      </c>
      <c r="J14" s="1" t="str">
        <f t="shared" si="3"/>
        <v/>
      </c>
      <c r="L14" s="1" t="s">
        <v>2810</v>
      </c>
      <c r="M14" s="1" t="str">
        <f t="shared" si="4"/>
        <v>0.04</v>
      </c>
    </row>
    <row r="15" ht="12.75" customHeight="1">
      <c r="A15" s="3" t="s">
        <v>2811</v>
      </c>
      <c r="B15" s="3" t="str">
        <f t="shared" si="1"/>
        <v>9, 10, BEEDRILL</v>
      </c>
      <c r="C15" s="1" t="str">
        <f t="array" ref="C15">IF(B14="NEW ROUTE",TEXTSPLIT(B15,","),"")</f>
        <v/>
      </c>
      <c r="H15" s="1" t="str">
        <f t="shared" ref="H15:I15" si="17">IF(C15&lt;&gt;"",DEC2HEX(C15,2),"")</f>
        <v/>
      </c>
      <c r="I15" s="1" t="str">
        <f t="shared" si="17"/>
        <v/>
      </c>
      <c r="J15" s="1" t="str">
        <f t="shared" si="3"/>
        <v/>
      </c>
      <c r="L15" s="1" t="s">
        <v>2811</v>
      </c>
      <c r="M15" s="1" t="str">
        <f t="shared" si="4"/>
        <v>9, 10, BEEDRILL</v>
      </c>
    </row>
    <row r="16" ht="12.75" customHeight="1">
      <c r="A16" s="3" t="s">
        <v>2812</v>
      </c>
      <c r="B16" s="3" t="str">
        <f t="shared" si="1"/>
        <v>6, 9, TANGELA</v>
      </c>
      <c r="C16" s="1" t="str">
        <f t="array" ref="C16">IF(B15="NEW ROUTE",TEXTSPLIT(B16,","),"")</f>
        <v/>
      </c>
      <c r="H16" s="1" t="str">
        <f t="shared" ref="H16:I16" si="18">IF(C16&lt;&gt;"",DEC2HEX(C16,2),"")</f>
        <v/>
      </c>
      <c r="I16" s="1" t="str">
        <f t="shared" si="18"/>
        <v/>
      </c>
      <c r="J16" s="1" t="str">
        <f t="shared" si="3"/>
        <v/>
      </c>
      <c r="L16" s="1" t="s">
        <v>2812</v>
      </c>
      <c r="M16" s="1" t="str">
        <f t="shared" si="4"/>
        <v>6, 9, TANGELA</v>
      </c>
    </row>
    <row r="17" ht="12.75" customHeight="1">
      <c r="A17" s="3" t="s">
        <v>2813</v>
      </c>
      <c r="B17" s="3" t="str">
        <f t="shared" si="1"/>
        <v>0.01</v>
      </c>
      <c r="C17" s="1" t="str">
        <f t="array" ref="C17">IF(B16="NEW ROUTE",TEXTSPLIT(B17,","),"")</f>
        <v/>
      </c>
      <c r="H17" s="1" t="str">
        <f t="shared" ref="H17:I17" si="19">IF(C17&lt;&gt;"",DEC2HEX(C17,2),"")</f>
        <v/>
      </c>
      <c r="I17" s="1" t="str">
        <f t="shared" si="19"/>
        <v/>
      </c>
      <c r="J17" s="1" t="str">
        <f t="shared" si="3"/>
        <v/>
      </c>
      <c r="L17" s="1" t="s">
        <v>2813</v>
      </c>
      <c r="M17" s="1" t="str">
        <f t="shared" si="4"/>
        <v>0.01</v>
      </c>
    </row>
    <row r="18" ht="12.75" customHeight="1">
      <c r="A18" s="3" t="s">
        <v>2814</v>
      </c>
      <c r="B18" s="3" t="str">
        <f t="shared" si="1"/>
        <v>11, 11, BEEDRILL</v>
      </c>
      <c r="C18" s="1" t="str">
        <f t="array" ref="C18">IF(B17="NEW ROUTE",TEXTSPLIT(B18,","),"")</f>
        <v/>
      </c>
      <c r="H18" s="1" t="str">
        <f t="shared" ref="H18:I18" si="20">IF(C18&lt;&gt;"",DEC2HEX(C18,2),"")</f>
        <v/>
      </c>
      <c r="I18" s="1" t="str">
        <f t="shared" si="20"/>
        <v/>
      </c>
      <c r="J18" s="1" t="str">
        <f t="shared" si="3"/>
        <v/>
      </c>
      <c r="L18" s="1" t="s">
        <v>2814</v>
      </c>
      <c r="M18" s="1" t="str">
        <f t="shared" si="4"/>
        <v>11, 11, BEEDRILL</v>
      </c>
    </row>
    <row r="19" ht="12.75" customHeight="1">
      <c r="A19" s="3" t="s">
        <v>2815</v>
      </c>
      <c r="B19" s="3" t="str">
        <f t="shared" si="1"/>
        <v>10, 10, TANGELA , &lt;null&gt;, &lt;null&gt;, &lt;null&gt;</v>
      </c>
      <c r="C19" s="1" t="str">
        <f t="array" ref="C19">IF(B18="NEW ROUTE",TEXTSPLIT(B19,","),"")</f>
        <v/>
      </c>
      <c r="H19" s="1" t="str">
        <f t="shared" ref="H19:I19" si="21">IF(C19&lt;&gt;"",DEC2HEX(C19,2),"")</f>
        <v/>
      </c>
      <c r="I19" s="1" t="str">
        <f t="shared" si="21"/>
        <v/>
      </c>
      <c r="J19" s="1" t="str">
        <f t="shared" si="3"/>
        <v/>
      </c>
      <c r="L19" s="1" t="s">
        <v>2815</v>
      </c>
      <c r="M19" s="1" t="str">
        <f t="shared" si="4"/>
        <v>10, 10, TANGELA , &lt;null&gt;, &lt;null&gt;, &lt;null&gt;</v>
      </c>
    </row>
    <row r="20" ht="12.75" customHeight="1">
      <c r="A20" s="3" t="s">
        <v>2539</v>
      </c>
      <c r="B20" s="3" t="str">
        <f t="shared" si="1"/>
        <v>NEW ROUTE</v>
      </c>
      <c r="C20" s="1" t="str">
        <f t="array" ref="C20">IF(B19="NEW ROUTE",TEXTSPLIT(B20,","),"")</f>
        <v/>
      </c>
      <c r="H20" s="1" t="str">
        <f t="shared" ref="H20:I20" si="22">IF(C20&lt;&gt;"",DEC2HEX(C20,2),"")</f>
        <v/>
      </c>
      <c r="I20" s="1" t="str">
        <f t="shared" si="22"/>
        <v/>
      </c>
      <c r="J20" s="1" t="str">
        <f t="shared" si="3"/>
        <v/>
      </c>
      <c r="L20" s="1" t="s">
        <v>2539</v>
      </c>
      <c r="M20" s="1" t="str">
        <f t="shared" si="4"/>
        <v>NEW ROUTE</v>
      </c>
    </row>
    <row r="21" ht="12.75" customHeight="1">
      <c r="A21" s="3" t="s">
        <v>2816</v>
      </c>
      <c r="B21" s="3" t="str">
        <f t="shared" si="1"/>
        <v>1, 1, 0,</v>
      </c>
      <c r="C21" s="1" t="str">
        <f t="array" ref="C21">IF(B20="NEW ROUTE",TEXTSPLIT(B21,","),"")</f>
        <v>#NAME?</v>
      </c>
      <c r="H21" s="1" t="str">
        <f t="shared" ref="H21:I21" si="23">IF(C21&lt;&gt;"",DEC2HEX(C21,2),"")</f>
        <v>#NAME?</v>
      </c>
      <c r="I21" s="1" t="str">
        <f t="shared" si="23"/>
        <v/>
      </c>
      <c r="J21" s="1" t="str">
        <f t="shared" si="3"/>
        <v>#NAME?</v>
      </c>
      <c r="L21" s="1" t="s">
        <v>2816</v>
      </c>
      <c r="M21" s="1" t="str">
        <f t="shared" si="4"/>
        <v>#NAME?</v>
      </c>
    </row>
    <row r="22" ht="12.75" customHeight="1">
      <c r="A22" s="3" t="s">
        <v>2817</v>
      </c>
      <c r="B22" s="3" t="str">
        <f t="shared" si="1"/>
        <v>20%</v>
      </c>
      <c r="C22" s="1" t="str">
        <f t="array" ref="C22">IF(B21="NEW ROUTE",TEXTSPLIT(B22,","),"")</f>
        <v/>
      </c>
      <c r="H22" s="1" t="str">
        <f t="shared" ref="H22:I22" si="24">IF(C22&lt;&gt;"",DEC2HEX(C22,2),"")</f>
        <v/>
      </c>
      <c r="I22" s="1" t="str">
        <f t="shared" si="24"/>
        <v/>
      </c>
      <c r="J22" s="1" t="str">
        <f t="shared" si="3"/>
        <v/>
      </c>
      <c r="L22" s="1" t="s">
        <v>2799</v>
      </c>
      <c r="M22" s="1" t="str">
        <f t="shared" si="4"/>
        <v>20%</v>
      </c>
    </row>
    <row r="23" ht="12.75" customHeight="1">
      <c r="A23" s="3" t="s">
        <v>385</v>
      </c>
      <c r="B23" s="3" t="str">
        <f t="shared" si="1"/>
        <v>9, 11, ZUBAT</v>
      </c>
      <c r="C23" s="1" t="str">
        <f t="array" ref="C23">IF(B22="NEW ROUTE",TEXTSPLIT(B23,","),"")</f>
        <v/>
      </c>
      <c r="H23" s="1" t="str">
        <f t="shared" ref="H23:I23" si="25">IF(C23&lt;&gt;"",DEC2HEX(C23,2),"")</f>
        <v/>
      </c>
      <c r="I23" s="1" t="str">
        <f t="shared" si="25"/>
        <v/>
      </c>
      <c r="J23" s="1" t="str">
        <f t="shared" si="3"/>
        <v/>
      </c>
      <c r="L23" s="1" t="s">
        <v>385</v>
      </c>
      <c r="M23" s="1" t="str">
        <f t="shared" si="4"/>
        <v>9, 11, ZUBAT</v>
      </c>
    </row>
    <row r="24" ht="12.75" customHeight="1">
      <c r="A24" s="3" t="s">
        <v>385</v>
      </c>
      <c r="B24" s="3" t="str">
        <f t="shared" si="1"/>
        <v>9, 11, ZUBAT</v>
      </c>
      <c r="C24" s="1" t="str">
        <f t="array" ref="C24">IF(B23="NEW ROUTE",TEXTSPLIT(B24,","),"")</f>
        <v/>
      </c>
      <c r="H24" s="1" t="str">
        <f t="shared" ref="H24:I24" si="26">IF(C24&lt;&gt;"",DEC2HEX(C24,2),"")</f>
        <v/>
      </c>
      <c r="I24" s="1" t="str">
        <f t="shared" si="26"/>
        <v/>
      </c>
      <c r="J24" s="1" t="str">
        <f t="shared" si="3"/>
        <v/>
      </c>
      <c r="L24" s="1" t="s">
        <v>385</v>
      </c>
      <c r="M24" s="1" t="str">
        <f t="shared" si="4"/>
        <v>9, 11, ZUBAT</v>
      </c>
    </row>
    <row r="25" ht="12.75" customHeight="1">
      <c r="A25" s="3" t="s">
        <v>2802</v>
      </c>
      <c r="B25" s="3" t="str">
        <f t="shared" si="1"/>
        <v>0.1</v>
      </c>
      <c r="C25" s="1" t="str">
        <f t="array" ref="C25">IF(B24="NEW ROUTE",TEXTSPLIT(B25,","),"")</f>
        <v/>
      </c>
      <c r="H25" s="1" t="str">
        <f t="shared" ref="H25:I25" si="27">IF(C25&lt;&gt;"",DEC2HEX(C25,2),"")</f>
        <v/>
      </c>
      <c r="I25" s="1" t="str">
        <f t="shared" si="27"/>
        <v/>
      </c>
      <c r="J25" s="1" t="str">
        <f t="shared" si="3"/>
        <v/>
      </c>
      <c r="L25" s="1" t="s">
        <v>2802</v>
      </c>
      <c r="M25" s="1" t="str">
        <f t="shared" si="4"/>
        <v>0.1</v>
      </c>
    </row>
    <row r="26" ht="12.75" customHeight="1">
      <c r="A26" s="3" t="s">
        <v>394</v>
      </c>
      <c r="B26" s="3" t="str">
        <f t="shared" si="1"/>
        <v>10, 12, ZUBAT</v>
      </c>
      <c r="C26" s="1" t="str">
        <f t="array" ref="C26">IF(B25="NEW ROUTE",TEXTSPLIT(B26,","),"")</f>
        <v/>
      </c>
      <c r="H26" s="1" t="str">
        <f t="shared" ref="H26:I26" si="28">IF(C26&lt;&gt;"",DEC2HEX(C26,2),"")</f>
        <v/>
      </c>
      <c r="I26" s="1" t="str">
        <f t="shared" si="28"/>
        <v/>
      </c>
      <c r="J26" s="1" t="str">
        <f t="shared" si="3"/>
        <v/>
      </c>
      <c r="L26" s="1" t="s">
        <v>394</v>
      </c>
      <c r="M26" s="1" t="str">
        <f t="shared" si="4"/>
        <v>10, 12, ZUBAT</v>
      </c>
    </row>
    <row r="27" ht="12.75" customHeight="1">
      <c r="A27" s="3" t="s">
        <v>394</v>
      </c>
      <c r="B27" s="3" t="str">
        <f t="shared" si="1"/>
        <v>10, 12, ZUBAT</v>
      </c>
      <c r="C27" s="1" t="str">
        <f t="array" ref="C27">IF(B26="NEW ROUTE",TEXTSPLIT(B27,","),"")</f>
        <v/>
      </c>
      <c r="H27" s="1" t="str">
        <f t="shared" ref="H27:I27" si="29">IF(C27&lt;&gt;"",DEC2HEX(C27,2),"")</f>
        <v/>
      </c>
      <c r="I27" s="1" t="str">
        <f t="shared" si="29"/>
        <v/>
      </c>
      <c r="J27" s="1" t="str">
        <f t="shared" si="3"/>
        <v/>
      </c>
      <c r="L27" s="1" t="s">
        <v>394</v>
      </c>
      <c r="M27" s="1" t="str">
        <f t="shared" si="4"/>
        <v>10, 12, ZUBAT</v>
      </c>
    </row>
    <row r="28" ht="12.75" customHeight="1">
      <c r="A28" s="3" t="s">
        <v>2818</v>
      </c>
      <c r="B28" s="3" t="str">
        <f t="shared" si="1"/>
        <v>10, 12, GEODUDE</v>
      </c>
      <c r="C28" s="1" t="str">
        <f t="array" ref="C28">IF(B27="NEW ROUTE",TEXTSPLIT(B28,","),"")</f>
        <v/>
      </c>
      <c r="H28" s="1" t="str">
        <f t="shared" ref="H28:I28" si="30">IF(C28&lt;&gt;"",DEC2HEX(C28,2),"")</f>
        <v/>
      </c>
      <c r="I28" s="1" t="str">
        <f t="shared" si="30"/>
        <v/>
      </c>
      <c r="J28" s="1" t="str">
        <f t="shared" si="3"/>
        <v/>
      </c>
      <c r="L28" s="1" t="s">
        <v>2818</v>
      </c>
      <c r="M28" s="1" t="str">
        <f t="shared" si="4"/>
        <v>10, 12, GEODUDE</v>
      </c>
    </row>
    <row r="29" ht="12.75" customHeight="1">
      <c r="A29" s="3" t="s">
        <v>2818</v>
      </c>
      <c r="B29" s="3" t="str">
        <f t="shared" si="1"/>
        <v>10, 12, GEODUDE</v>
      </c>
      <c r="C29" s="1" t="str">
        <f t="array" ref="C29">IF(B28="NEW ROUTE",TEXTSPLIT(B29,","),"")</f>
        <v/>
      </c>
      <c r="H29" s="1" t="str">
        <f t="shared" ref="H29:I29" si="31">IF(C29&lt;&gt;"",DEC2HEX(C29,2),"")</f>
        <v/>
      </c>
      <c r="I29" s="1" t="str">
        <f t="shared" si="31"/>
        <v/>
      </c>
      <c r="J29" s="1" t="str">
        <f t="shared" si="3"/>
        <v/>
      </c>
      <c r="L29" s="1" t="s">
        <v>2818</v>
      </c>
      <c r="M29" s="1" t="str">
        <f t="shared" si="4"/>
        <v>10, 12, GEODUDE</v>
      </c>
    </row>
    <row r="30" ht="12.75" customHeight="1">
      <c r="A30" s="3" t="s">
        <v>2807</v>
      </c>
      <c r="B30" s="3" t="str">
        <f t="shared" si="1"/>
        <v>0.05</v>
      </c>
      <c r="C30" s="1" t="str">
        <f t="array" ref="C30">IF(B29="NEW ROUTE",TEXTSPLIT(B30,","),"")</f>
        <v/>
      </c>
      <c r="H30" s="1" t="str">
        <f t="shared" ref="H30:I30" si="32">IF(C30&lt;&gt;"",DEC2HEX(C30,2),"")</f>
        <v/>
      </c>
      <c r="I30" s="1" t="str">
        <f t="shared" si="32"/>
        <v/>
      </c>
      <c r="J30" s="1" t="str">
        <f t="shared" si="3"/>
        <v/>
      </c>
      <c r="L30" s="1" t="s">
        <v>2807</v>
      </c>
      <c r="M30" s="1" t="str">
        <f t="shared" si="4"/>
        <v>0.05</v>
      </c>
    </row>
    <row r="31" ht="12.75" customHeight="1">
      <c r="A31" s="3" t="s">
        <v>2819</v>
      </c>
      <c r="B31" s="3" t="str">
        <f t="shared" si="1"/>
        <v>11, 11, SANDSHREW</v>
      </c>
      <c r="C31" s="1" t="str">
        <f t="array" ref="C31">IF(B30="NEW ROUTE",TEXTSPLIT(B31,","),"")</f>
        <v/>
      </c>
      <c r="H31" s="1" t="str">
        <f t="shared" ref="H31:I31" si="33">IF(C31&lt;&gt;"",DEC2HEX(C31,2),"")</f>
        <v/>
      </c>
      <c r="I31" s="1" t="str">
        <f t="shared" si="33"/>
        <v/>
      </c>
      <c r="J31" s="1" t="str">
        <f t="shared" si="3"/>
        <v/>
      </c>
      <c r="L31" s="1" t="s">
        <v>2819</v>
      </c>
      <c r="M31" s="1" t="str">
        <f t="shared" si="4"/>
        <v>11, 11, SANDSHREW</v>
      </c>
    </row>
    <row r="32" ht="12.75" customHeight="1">
      <c r="A32" s="3" t="s">
        <v>2819</v>
      </c>
      <c r="B32" s="3" t="str">
        <f t="shared" si="1"/>
        <v>11, 11, SANDSHREW</v>
      </c>
      <c r="C32" s="1" t="str">
        <f t="array" ref="C32">IF(B31="NEW ROUTE",TEXTSPLIT(B32,","),"")</f>
        <v/>
      </c>
      <c r="H32" s="1" t="str">
        <f t="shared" ref="H32:I32" si="34">IF(C32&lt;&gt;"",DEC2HEX(C32,2),"")</f>
        <v/>
      </c>
      <c r="I32" s="1" t="str">
        <f t="shared" si="34"/>
        <v/>
      </c>
      <c r="J32" s="1" t="str">
        <f t="shared" si="3"/>
        <v/>
      </c>
      <c r="L32" s="1" t="s">
        <v>2819</v>
      </c>
      <c r="M32" s="1" t="str">
        <f t="shared" si="4"/>
        <v>11, 11, SANDSHREW</v>
      </c>
    </row>
    <row r="33" ht="12.75" customHeight="1">
      <c r="A33" s="3" t="s">
        <v>2810</v>
      </c>
      <c r="B33" s="3" t="str">
        <f t="shared" si="1"/>
        <v>0.04</v>
      </c>
      <c r="C33" s="1" t="str">
        <f t="array" ref="C33">IF(B32="NEW ROUTE",TEXTSPLIT(B33,","),"")</f>
        <v/>
      </c>
      <c r="H33" s="1" t="str">
        <f t="shared" ref="H33:I33" si="35">IF(C33&lt;&gt;"",DEC2HEX(C33,2),"")</f>
        <v/>
      </c>
      <c r="I33" s="1" t="str">
        <f t="shared" si="35"/>
        <v/>
      </c>
      <c r="J33" s="1" t="str">
        <f t="shared" si="3"/>
        <v/>
      </c>
      <c r="L33" s="1" t="s">
        <v>2810</v>
      </c>
      <c r="M33" s="1" t="str">
        <f t="shared" si="4"/>
        <v>0.04</v>
      </c>
    </row>
    <row r="34" ht="12.75" customHeight="1">
      <c r="A34" s="3" t="s">
        <v>2820</v>
      </c>
      <c r="B34" s="3" t="str">
        <f t="shared" si="1"/>
        <v>11, 11, PARAS</v>
      </c>
      <c r="C34" s="1" t="str">
        <f t="array" ref="C34">IF(B33="NEW ROUTE",TEXTSPLIT(B34,","),"")</f>
        <v/>
      </c>
      <c r="H34" s="1" t="str">
        <f t="shared" ref="H34:I34" si="36">IF(C34&lt;&gt;"",DEC2HEX(C34,2),"")</f>
        <v/>
      </c>
      <c r="I34" s="1" t="str">
        <f t="shared" si="36"/>
        <v/>
      </c>
      <c r="J34" s="1" t="str">
        <f t="shared" si="3"/>
        <v/>
      </c>
      <c r="L34" s="1" t="s">
        <v>2820</v>
      </c>
      <c r="M34" s="1" t="str">
        <f t="shared" si="4"/>
        <v>11, 11, PARAS</v>
      </c>
    </row>
    <row r="35" ht="12.75" customHeight="1">
      <c r="A35" s="3" t="s">
        <v>2820</v>
      </c>
      <c r="B35" s="3" t="str">
        <f t="shared" si="1"/>
        <v>11, 11, PARAS</v>
      </c>
      <c r="C35" s="1" t="str">
        <f t="array" ref="C35">IF(B34="NEW ROUTE",TEXTSPLIT(B35,","),"")</f>
        <v/>
      </c>
      <c r="H35" s="1" t="str">
        <f t="shared" ref="H35:I35" si="37">IF(C35&lt;&gt;"",DEC2HEX(C35,2),"")</f>
        <v/>
      </c>
      <c r="I35" s="1" t="str">
        <f t="shared" si="37"/>
        <v/>
      </c>
      <c r="J35" s="1" t="str">
        <f t="shared" si="3"/>
        <v/>
      </c>
      <c r="L35" s="1" t="s">
        <v>2820</v>
      </c>
      <c r="M35" s="1" t="str">
        <f t="shared" si="4"/>
        <v>11, 11, PARAS</v>
      </c>
    </row>
    <row r="36" ht="12.75" customHeight="1">
      <c r="A36" s="3" t="s">
        <v>2813</v>
      </c>
      <c r="B36" s="3" t="str">
        <f t="shared" si="1"/>
        <v>0.01</v>
      </c>
      <c r="C36" s="1" t="str">
        <f t="array" ref="C36">IF(B35="NEW ROUTE",TEXTSPLIT(B36,","),"")</f>
        <v/>
      </c>
      <c r="H36" s="1" t="str">
        <f t="shared" ref="H36:I36" si="38">IF(C36&lt;&gt;"",DEC2HEX(C36,2),"")</f>
        <v/>
      </c>
      <c r="I36" s="1" t="str">
        <f t="shared" si="38"/>
        <v/>
      </c>
      <c r="J36" s="1" t="str">
        <f t="shared" si="3"/>
        <v/>
      </c>
      <c r="L36" s="1" t="s">
        <v>2813</v>
      </c>
      <c r="M36" s="1" t="str">
        <f t="shared" si="4"/>
        <v>0.01</v>
      </c>
    </row>
    <row r="37" ht="12.75" customHeight="1">
      <c r="A37" s="3" t="s">
        <v>2821</v>
      </c>
      <c r="B37" s="3" t="str">
        <f t="shared" si="1"/>
        <v>11, 14, ONIX</v>
      </c>
      <c r="C37" s="1" t="str">
        <f t="array" ref="C37">IF(B36="NEW ROUTE",TEXTSPLIT(B37,","),"")</f>
        <v/>
      </c>
      <c r="H37" s="1" t="str">
        <f t="shared" ref="H37:I37" si="39">IF(C37&lt;&gt;"",DEC2HEX(C37,2),"")</f>
        <v/>
      </c>
      <c r="I37" s="1" t="str">
        <f t="shared" si="39"/>
        <v/>
      </c>
      <c r="J37" s="1" t="str">
        <f t="shared" si="3"/>
        <v/>
      </c>
      <c r="L37" s="1" t="s">
        <v>2821</v>
      </c>
      <c r="M37" s="1" t="str">
        <f t="shared" si="4"/>
        <v>11, 14, ONIX</v>
      </c>
    </row>
    <row r="38" ht="12.75" customHeight="1">
      <c r="A38" s="3" t="s">
        <v>2822</v>
      </c>
      <c r="B38" s="3" t="str">
        <f t="shared" si="1"/>
        <v>11, 14, CLEFAIRY , &lt;null&gt;, &lt;null&gt;, &lt;null&gt;</v>
      </c>
      <c r="C38" s="1" t="str">
        <f t="array" ref="C38">IF(B37="NEW ROUTE",TEXTSPLIT(B38,","),"")</f>
        <v/>
      </c>
      <c r="H38" s="1" t="str">
        <f t="shared" ref="H38:I38" si="40">IF(C38&lt;&gt;"",DEC2HEX(C38,2),"")</f>
        <v/>
      </c>
      <c r="I38" s="1" t="str">
        <f t="shared" si="40"/>
        <v/>
      </c>
      <c r="J38" s="1" t="str">
        <f t="shared" si="3"/>
        <v/>
      </c>
      <c r="L38" s="1" t="s">
        <v>2822</v>
      </c>
      <c r="M38" s="1" t="str">
        <f t="shared" si="4"/>
        <v>11, 14, CLEFAIRY , &lt;null&gt;, &lt;null&gt;, &lt;null&gt;</v>
      </c>
    </row>
    <row r="39" ht="12.75" customHeight="1">
      <c r="A39" s="3" t="s">
        <v>2539</v>
      </c>
      <c r="B39" s="3" t="str">
        <f t="shared" si="1"/>
        <v>NEW ROUTE</v>
      </c>
      <c r="C39" s="1" t="str">
        <f t="array" ref="C39">IF(B38="NEW ROUTE",TEXTSPLIT(B39,","),"")</f>
        <v/>
      </c>
      <c r="H39" s="1" t="str">
        <f t="shared" ref="H39:I39" si="41">IF(C39&lt;&gt;"",DEC2HEX(C39,2),"")</f>
        <v/>
      </c>
      <c r="I39" s="1" t="str">
        <f t="shared" si="41"/>
        <v/>
      </c>
      <c r="J39" s="1" t="str">
        <f t="shared" si="3"/>
        <v/>
      </c>
      <c r="L39" s="1" t="s">
        <v>2539</v>
      </c>
      <c r="M39" s="1" t="str">
        <f t="shared" si="4"/>
        <v>NEW ROUTE</v>
      </c>
    </row>
    <row r="40" ht="12.75" customHeight="1">
      <c r="A40" s="3" t="s">
        <v>2823</v>
      </c>
      <c r="B40" s="3" t="str">
        <f t="shared" si="1"/>
        <v>1, 2, 0,</v>
      </c>
      <c r="C40" s="1" t="str">
        <f t="array" ref="C40">IF(B39="NEW ROUTE",TEXTSPLIT(B40,","),"")</f>
        <v>#NAME?</v>
      </c>
      <c r="H40" s="1" t="str">
        <f t="shared" ref="H40:I40" si="42">IF(C40&lt;&gt;"",DEC2HEX(C40,2),"")</f>
        <v>#NAME?</v>
      </c>
      <c r="I40" s="1" t="str">
        <f t="shared" si="42"/>
        <v/>
      </c>
      <c r="J40" s="1" t="str">
        <f t="shared" si="3"/>
        <v>#NAME?</v>
      </c>
      <c r="L40" s="1" t="s">
        <v>2823</v>
      </c>
      <c r="M40" s="1" t="str">
        <f t="shared" si="4"/>
        <v>#NAME?</v>
      </c>
    </row>
    <row r="41" ht="12.75" customHeight="1">
      <c r="A41" s="3" t="s">
        <v>2824</v>
      </c>
      <c r="B41" s="3" t="str">
        <f t="shared" si="1"/>
        <v>20%</v>
      </c>
      <c r="C41" s="1" t="str">
        <f t="array" ref="C41">IF(B40="NEW ROUTE",TEXTSPLIT(B41,","),"")</f>
        <v/>
      </c>
      <c r="H41" s="1" t="str">
        <f t="shared" ref="H41:I41" si="43">IF(C41&lt;&gt;"",DEC2HEX(C41,2),"")</f>
        <v/>
      </c>
      <c r="I41" s="1" t="str">
        <f t="shared" si="43"/>
        <v/>
      </c>
      <c r="J41" s="1" t="str">
        <f t="shared" si="3"/>
        <v/>
      </c>
      <c r="L41" s="1" t="s">
        <v>2799</v>
      </c>
      <c r="M41" s="1" t="str">
        <f t="shared" si="4"/>
        <v>20%</v>
      </c>
    </row>
    <row r="42" ht="12.75" customHeight="1">
      <c r="A42" s="3" t="s">
        <v>394</v>
      </c>
      <c r="B42" s="3" t="str">
        <f t="shared" si="1"/>
        <v>10, 12, ZUBAT</v>
      </c>
      <c r="C42" s="1" t="str">
        <f t="array" ref="C42">IF(B41="NEW ROUTE",TEXTSPLIT(B42,","),"")</f>
        <v/>
      </c>
      <c r="H42" s="1" t="str">
        <f t="shared" ref="H42:I42" si="44">IF(C42&lt;&gt;"",DEC2HEX(C42,2),"")</f>
        <v/>
      </c>
      <c r="I42" s="1" t="str">
        <f t="shared" si="44"/>
        <v/>
      </c>
      <c r="J42" s="1" t="str">
        <f t="shared" si="3"/>
        <v/>
      </c>
      <c r="L42" s="1" t="s">
        <v>394</v>
      </c>
      <c r="M42" s="1" t="str">
        <f t="shared" si="4"/>
        <v>10, 12, ZUBAT</v>
      </c>
    </row>
    <row r="43" ht="12.75" customHeight="1">
      <c r="A43" s="3" t="s">
        <v>394</v>
      </c>
      <c r="B43" s="3" t="str">
        <f t="shared" si="1"/>
        <v>10, 12, ZUBAT</v>
      </c>
      <c r="C43" s="1" t="str">
        <f t="array" ref="C43">IF(B42="NEW ROUTE",TEXTSPLIT(B43,","),"")</f>
        <v/>
      </c>
      <c r="H43" s="1" t="str">
        <f t="shared" ref="H43:I43" si="45">IF(C43&lt;&gt;"",DEC2HEX(C43,2),"")</f>
        <v/>
      </c>
      <c r="I43" s="1" t="str">
        <f t="shared" si="45"/>
        <v/>
      </c>
      <c r="J43" s="1" t="str">
        <f t="shared" si="3"/>
        <v/>
      </c>
      <c r="L43" s="1" t="s">
        <v>394</v>
      </c>
      <c r="M43" s="1" t="str">
        <f t="shared" si="4"/>
        <v>10, 12, ZUBAT</v>
      </c>
    </row>
    <row r="44" ht="12.75" customHeight="1">
      <c r="A44" s="3" t="s">
        <v>2802</v>
      </c>
      <c r="B44" s="3" t="str">
        <f t="shared" si="1"/>
        <v>0.1</v>
      </c>
      <c r="C44" s="1" t="str">
        <f t="array" ref="C44">IF(B43="NEW ROUTE",TEXTSPLIT(B44,","),"")</f>
        <v/>
      </c>
      <c r="H44" s="1" t="str">
        <f t="shared" ref="H44:I44" si="46">IF(C44&lt;&gt;"",DEC2HEX(C44,2),"")</f>
        <v/>
      </c>
      <c r="I44" s="1" t="str">
        <f t="shared" si="46"/>
        <v/>
      </c>
      <c r="J44" s="1" t="str">
        <f t="shared" si="3"/>
        <v/>
      </c>
      <c r="L44" s="1" t="s">
        <v>2802</v>
      </c>
      <c r="M44" s="1" t="str">
        <f t="shared" si="4"/>
        <v>0.1</v>
      </c>
    </row>
    <row r="45" ht="12.75" customHeight="1">
      <c r="A45" s="3" t="s">
        <v>2825</v>
      </c>
      <c r="B45" s="3" t="str">
        <f t="shared" si="1"/>
        <v>11, 13, ZUBAT</v>
      </c>
      <c r="C45" s="1" t="str">
        <f t="array" ref="C45">IF(B44="NEW ROUTE",TEXTSPLIT(B45,","),"")</f>
        <v/>
      </c>
      <c r="H45" s="1" t="str">
        <f t="shared" ref="H45:I45" si="47">IF(C45&lt;&gt;"",DEC2HEX(C45,2),"")</f>
        <v/>
      </c>
      <c r="I45" s="1" t="str">
        <f t="shared" si="47"/>
        <v/>
      </c>
      <c r="J45" s="1" t="str">
        <f t="shared" si="3"/>
        <v/>
      </c>
      <c r="L45" s="1" t="s">
        <v>2825</v>
      </c>
      <c r="M45" s="1" t="str">
        <f t="shared" si="4"/>
        <v>11, 13, ZUBAT</v>
      </c>
    </row>
    <row r="46" ht="12.75" customHeight="1">
      <c r="A46" s="3" t="s">
        <v>2825</v>
      </c>
      <c r="B46" s="3" t="str">
        <f t="shared" si="1"/>
        <v>11, 13, ZUBAT</v>
      </c>
      <c r="C46" s="1" t="str">
        <f t="array" ref="C46">IF(B45="NEW ROUTE",TEXTSPLIT(B46,","),"")</f>
        <v/>
      </c>
      <c r="H46" s="1" t="str">
        <f t="shared" ref="H46:I46" si="48">IF(C46&lt;&gt;"",DEC2HEX(C46,2),"")</f>
        <v/>
      </c>
      <c r="I46" s="1" t="str">
        <f t="shared" si="48"/>
        <v/>
      </c>
      <c r="J46" s="1" t="str">
        <f t="shared" si="3"/>
        <v/>
      </c>
      <c r="L46" s="1" t="s">
        <v>2825</v>
      </c>
      <c r="M46" s="1" t="str">
        <f t="shared" si="4"/>
        <v>11, 13, ZUBAT</v>
      </c>
    </row>
    <row r="47" ht="12.75" customHeight="1">
      <c r="A47" s="3" t="s">
        <v>2826</v>
      </c>
      <c r="B47" s="3" t="str">
        <f t="shared" si="1"/>
        <v>11, 13, GEODUDE</v>
      </c>
      <c r="C47" s="1" t="str">
        <f t="array" ref="C47">IF(B46="NEW ROUTE",TEXTSPLIT(B47,","),"")</f>
        <v/>
      </c>
      <c r="H47" s="1" t="str">
        <f t="shared" ref="H47:I47" si="49">IF(C47&lt;&gt;"",DEC2HEX(C47,2),"")</f>
        <v/>
      </c>
      <c r="I47" s="1" t="str">
        <f t="shared" si="49"/>
        <v/>
      </c>
      <c r="J47" s="1" t="str">
        <f t="shared" si="3"/>
        <v/>
      </c>
      <c r="L47" s="1" t="s">
        <v>2826</v>
      </c>
      <c r="M47" s="1" t="str">
        <f t="shared" si="4"/>
        <v>11, 13, GEODUDE</v>
      </c>
    </row>
    <row r="48" ht="12.75" customHeight="1">
      <c r="A48" s="3" t="s">
        <v>2826</v>
      </c>
      <c r="B48" s="3" t="str">
        <f t="shared" si="1"/>
        <v>11, 13, GEODUDE</v>
      </c>
      <c r="C48" s="1" t="str">
        <f t="array" ref="C48">IF(B47="NEW ROUTE",TEXTSPLIT(B48,","),"")</f>
        <v/>
      </c>
      <c r="H48" s="1" t="str">
        <f t="shared" ref="H48:I48" si="50">IF(C48&lt;&gt;"",DEC2HEX(C48,2),"")</f>
        <v/>
      </c>
      <c r="I48" s="1" t="str">
        <f t="shared" si="50"/>
        <v/>
      </c>
      <c r="J48" s="1" t="str">
        <f t="shared" si="3"/>
        <v/>
      </c>
      <c r="L48" s="1" t="s">
        <v>2826</v>
      </c>
      <c r="M48" s="1" t="str">
        <f t="shared" si="4"/>
        <v>11, 13, GEODUDE</v>
      </c>
    </row>
    <row r="49" ht="12.75" customHeight="1">
      <c r="A49" s="3" t="s">
        <v>2807</v>
      </c>
      <c r="B49" s="3" t="str">
        <f t="shared" si="1"/>
        <v>0.05</v>
      </c>
      <c r="C49" s="1" t="str">
        <f t="array" ref="C49">IF(B48="NEW ROUTE",TEXTSPLIT(B49,","),"")</f>
        <v/>
      </c>
      <c r="H49" s="1" t="str">
        <f t="shared" ref="H49:I49" si="51">IF(C49&lt;&gt;"",DEC2HEX(C49,2),"")</f>
        <v/>
      </c>
      <c r="I49" s="1" t="str">
        <f t="shared" si="51"/>
        <v/>
      </c>
      <c r="J49" s="1" t="str">
        <f t="shared" si="3"/>
        <v/>
      </c>
      <c r="L49" s="1" t="s">
        <v>2807</v>
      </c>
      <c r="M49" s="1" t="str">
        <f t="shared" si="4"/>
        <v>0.05</v>
      </c>
    </row>
    <row r="50" ht="12.75" customHeight="1">
      <c r="A50" s="3" t="s">
        <v>2827</v>
      </c>
      <c r="B50" s="3" t="str">
        <f t="shared" si="1"/>
        <v>12, 12, SANDSHREW</v>
      </c>
      <c r="C50" s="1" t="str">
        <f t="array" ref="C50">IF(B49="NEW ROUTE",TEXTSPLIT(B50,","),"")</f>
        <v/>
      </c>
      <c r="H50" s="1" t="str">
        <f t="shared" ref="H50:I50" si="52">IF(C50&lt;&gt;"",DEC2HEX(C50,2),"")</f>
        <v/>
      </c>
      <c r="I50" s="1" t="str">
        <f t="shared" si="52"/>
        <v/>
      </c>
      <c r="J50" s="1" t="str">
        <f t="shared" si="3"/>
        <v/>
      </c>
      <c r="L50" s="1" t="s">
        <v>2827</v>
      </c>
      <c r="M50" s="1" t="str">
        <f t="shared" si="4"/>
        <v>12, 12, SANDSHREW</v>
      </c>
    </row>
    <row r="51" ht="12.75" customHeight="1">
      <c r="A51" s="3" t="s">
        <v>2827</v>
      </c>
      <c r="B51" s="3" t="str">
        <f t="shared" si="1"/>
        <v>12, 12, SANDSHREW</v>
      </c>
      <c r="C51" s="1" t="str">
        <f t="array" ref="C51">IF(B50="NEW ROUTE",TEXTSPLIT(B51,","),"")</f>
        <v/>
      </c>
      <c r="H51" s="1" t="str">
        <f t="shared" ref="H51:I51" si="53">IF(C51&lt;&gt;"",DEC2HEX(C51,2),"")</f>
        <v/>
      </c>
      <c r="I51" s="1" t="str">
        <f t="shared" si="53"/>
        <v/>
      </c>
      <c r="J51" s="1" t="str">
        <f t="shared" si="3"/>
        <v/>
      </c>
      <c r="L51" s="1" t="s">
        <v>2827</v>
      </c>
      <c r="M51" s="1" t="str">
        <f t="shared" si="4"/>
        <v>12, 12, SANDSHREW</v>
      </c>
    </row>
    <row r="52" ht="12.75" customHeight="1">
      <c r="A52" s="3" t="s">
        <v>2810</v>
      </c>
      <c r="B52" s="3" t="str">
        <f t="shared" si="1"/>
        <v>0.04</v>
      </c>
      <c r="C52" s="1" t="str">
        <f t="array" ref="C52">IF(B51="NEW ROUTE",TEXTSPLIT(B52,","),"")</f>
        <v/>
      </c>
      <c r="H52" s="1" t="str">
        <f t="shared" ref="H52:I52" si="54">IF(C52&lt;&gt;"",DEC2HEX(C52,2),"")</f>
        <v/>
      </c>
      <c r="I52" s="1" t="str">
        <f t="shared" si="54"/>
        <v/>
      </c>
      <c r="J52" s="1" t="str">
        <f t="shared" si="3"/>
        <v/>
      </c>
      <c r="L52" s="1" t="s">
        <v>2810</v>
      </c>
      <c r="M52" s="1" t="str">
        <f t="shared" si="4"/>
        <v>0.04</v>
      </c>
    </row>
    <row r="53" ht="12.75" customHeight="1">
      <c r="A53" s="3" t="s">
        <v>2828</v>
      </c>
      <c r="B53" s="3" t="str">
        <f t="shared" si="1"/>
        <v>12, 12, PARAS</v>
      </c>
      <c r="C53" s="1" t="str">
        <f t="array" ref="C53">IF(B52="NEW ROUTE",TEXTSPLIT(B53,","),"")</f>
        <v/>
      </c>
      <c r="H53" s="1" t="str">
        <f t="shared" ref="H53:I53" si="55">IF(C53&lt;&gt;"",DEC2HEX(C53,2),"")</f>
        <v/>
      </c>
      <c r="I53" s="1" t="str">
        <f t="shared" si="55"/>
        <v/>
      </c>
      <c r="J53" s="1" t="str">
        <f t="shared" si="3"/>
        <v/>
      </c>
      <c r="L53" s="1" t="s">
        <v>2828</v>
      </c>
      <c r="M53" s="1" t="str">
        <f t="shared" si="4"/>
        <v>12, 12, PARAS</v>
      </c>
    </row>
    <row r="54" ht="12.75" customHeight="1">
      <c r="A54" s="3" t="s">
        <v>2828</v>
      </c>
      <c r="B54" s="3" t="str">
        <f t="shared" si="1"/>
        <v>12, 12, PARAS</v>
      </c>
      <c r="C54" s="1" t="str">
        <f t="array" ref="C54">IF(B53="NEW ROUTE",TEXTSPLIT(B54,","),"")</f>
        <v/>
      </c>
      <c r="H54" s="1" t="str">
        <f t="shared" ref="H54:I54" si="56">IF(C54&lt;&gt;"",DEC2HEX(C54,2),"")</f>
        <v/>
      </c>
      <c r="I54" s="1" t="str">
        <f t="shared" si="56"/>
        <v/>
      </c>
      <c r="J54" s="1" t="str">
        <f t="shared" si="3"/>
        <v/>
      </c>
      <c r="L54" s="1" t="s">
        <v>2828</v>
      </c>
      <c r="M54" s="1" t="str">
        <f t="shared" si="4"/>
        <v>12, 12, PARAS</v>
      </c>
    </row>
    <row r="55" ht="12.75" customHeight="1">
      <c r="A55" s="3" t="s">
        <v>2813</v>
      </c>
      <c r="B55" s="3" t="str">
        <f t="shared" si="1"/>
        <v>0.01</v>
      </c>
      <c r="C55" s="1" t="str">
        <f t="array" ref="C55">IF(B54="NEW ROUTE",TEXTSPLIT(B55,","),"")</f>
        <v/>
      </c>
      <c r="H55" s="1" t="str">
        <f t="shared" ref="H55:I55" si="57">IF(C55&lt;&gt;"",DEC2HEX(C55,2),"")</f>
        <v/>
      </c>
      <c r="I55" s="1" t="str">
        <f t="shared" si="57"/>
        <v/>
      </c>
      <c r="J55" s="1" t="str">
        <f t="shared" si="3"/>
        <v/>
      </c>
      <c r="L55" s="1" t="s">
        <v>2813</v>
      </c>
      <c r="M55" s="1" t="str">
        <f t="shared" si="4"/>
        <v>0.01</v>
      </c>
    </row>
    <row r="56" ht="12.75" customHeight="1">
      <c r="A56" s="3" t="s">
        <v>2829</v>
      </c>
      <c r="B56" s="3" t="str">
        <f t="shared" si="1"/>
        <v>12, 15, ONIX</v>
      </c>
      <c r="C56" s="1" t="str">
        <f t="array" ref="C56">IF(B55="NEW ROUTE",TEXTSPLIT(B56,","),"")</f>
        <v/>
      </c>
      <c r="H56" s="1" t="str">
        <f t="shared" ref="H56:I56" si="58">IF(C56&lt;&gt;"",DEC2HEX(C56,2),"")</f>
        <v/>
      </c>
      <c r="I56" s="1" t="str">
        <f t="shared" si="58"/>
        <v/>
      </c>
      <c r="J56" s="1" t="str">
        <f t="shared" si="3"/>
        <v/>
      </c>
      <c r="L56" s="1" t="s">
        <v>2829</v>
      </c>
      <c r="M56" s="1" t="str">
        <f t="shared" si="4"/>
        <v>12, 15, ONIX</v>
      </c>
    </row>
    <row r="57" ht="12.75" customHeight="1">
      <c r="A57" s="3" t="s">
        <v>2830</v>
      </c>
      <c r="B57" s="3" t="str">
        <f t="shared" si="1"/>
        <v>12, 15, CLEFAIRY , &lt;null&gt;, &lt;null&gt;, &lt;null&gt;</v>
      </c>
      <c r="C57" s="1" t="str">
        <f t="array" ref="C57">IF(B56="NEW ROUTE",TEXTSPLIT(B57,","),"")</f>
        <v/>
      </c>
      <c r="H57" s="1" t="str">
        <f t="shared" ref="H57:I57" si="59">IF(C57&lt;&gt;"",DEC2HEX(C57,2),"")</f>
        <v/>
      </c>
      <c r="I57" s="1" t="str">
        <f t="shared" si="59"/>
        <v/>
      </c>
      <c r="J57" s="1" t="str">
        <f t="shared" si="3"/>
        <v/>
      </c>
      <c r="L57" s="1" t="s">
        <v>2830</v>
      </c>
      <c r="M57" s="1" t="str">
        <f t="shared" si="4"/>
        <v>12, 15, CLEFAIRY , &lt;null&gt;, &lt;null&gt;, &lt;null&gt;</v>
      </c>
    </row>
    <row r="58" ht="12.75" customHeight="1">
      <c r="A58" s="3" t="s">
        <v>2539</v>
      </c>
      <c r="B58" s="3" t="str">
        <f t="shared" si="1"/>
        <v>NEW ROUTE</v>
      </c>
      <c r="C58" s="1" t="str">
        <f t="array" ref="C58">IF(B57="NEW ROUTE",TEXTSPLIT(B58,","),"")</f>
        <v/>
      </c>
      <c r="H58" s="1" t="str">
        <f t="shared" ref="H58:I58" si="60">IF(C58&lt;&gt;"",DEC2HEX(C58,2),"")</f>
        <v/>
      </c>
      <c r="I58" s="1" t="str">
        <f t="shared" si="60"/>
        <v/>
      </c>
      <c r="J58" s="1" t="str">
        <f t="shared" si="3"/>
        <v/>
      </c>
      <c r="L58" s="1" t="s">
        <v>2539</v>
      </c>
      <c r="M58" s="1" t="str">
        <f t="shared" si="4"/>
        <v>NEW ROUTE</v>
      </c>
    </row>
    <row r="59" ht="12.75" customHeight="1">
      <c r="A59" s="3" t="s">
        <v>2831</v>
      </c>
      <c r="B59" s="3" t="str">
        <f t="shared" si="1"/>
        <v>1, 3, 0,</v>
      </c>
      <c r="C59" s="1" t="str">
        <f t="array" ref="C59">IF(B58="NEW ROUTE",TEXTSPLIT(B59,","),"")</f>
        <v>#NAME?</v>
      </c>
      <c r="H59" s="1" t="str">
        <f t="shared" ref="H59:I59" si="61">IF(C59&lt;&gt;"",DEC2HEX(C59,2),"")</f>
        <v>#NAME?</v>
      </c>
      <c r="I59" s="1" t="str">
        <f t="shared" si="61"/>
        <v/>
      </c>
      <c r="J59" s="1" t="str">
        <f t="shared" si="3"/>
        <v>#NAME?</v>
      </c>
      <c r="L59" s="1" t="s">
        <v>2831</v>
      </c>
      <c r="M59" s="1" t="str">
        <f t="shared" si="4"/>
        <v>#NAME?</v>
      </c>
    </row>
    <row r="60" ht="12.75" customHeight="1">
      <c r="A60" s="3" t="s">
        <v>2817</v>
      </c>
      <c r="B60" s="3" t="str">
        <f t="shared" si="1"/>
        <v>20%</v>
      </c>
      <c r="C60" s="1" t="str">
        <f t="array" ref="C60">IF(B59="NEW ROUTE",TEXTSPLIT(B60,","),"")</f>
        <v/>
      </c>
      <c r="H60" s="1" t="str">
        <f t="shared" ref="H60:I60" si="62">IF(C60&lt;&gt;"",DEC2HEX(C60,2),"")</f>
        <v/>
      </c>
      <c r="I60" s="1" t="str">
        <f t="shared" si="62"/>
        <v/>
      </c>
      <c r="J60" s="1" t="str">
        <f t="shared" si="3"/>
        <v/>
      </c>
      <c r="L60" s="1" t="s">
        <v>2799</v>
      </c>
      <c r="M60" s="1" t="str">
        <f t="shared" si="4"/>
        <v>20%</v>
      </c>
    </row>
    <row r="61" ht="12.75" customHeight="1">
      <c r="A61" s="3" t="s">
        <v>402</v>
      </c>
      <c r="B61" s="3" t="str">
        <f t="shared" si="1"/>
        <v>10, 13, ZUBAT</v>
      </c>
      <c r="C61" s="1" t="str">
        <f t="array" ref="C61">IF(B60="NEW ROUTE",TEXTSPLIT(B61,","),"")</f>
        <v/>
      </c>
      <c r="H61" s="1" t="str">
        <f t="shared" ref="H61:I61" si="63">IF(C61&lt;&gt;"",DEC2HEX(C61,2),"")</f>
        <v/>
      </c>
      <c r="I61" s="1" t="str">
        <f t="shared" si="63"/>
        <v/>
      </c>
      <c r="J61" s="1" t="str">
        <f t="shared" si="3"/>
        <v/>
      </c>
      <c r="L61" s="1" t="s">
        <v>402</v>
      </c>
      <c r="M61" s="1" t="str">
        <f t="shared" si="4"/>
        <v>10, 13, ZUBAT</v>
      </c>
    </row>
    <row r="62" ht="12.75" customHeight="1">
      <c r="A62" s="3" t="s">
        <v>402</v>
      </c>
      <c r="B62" s="3" t="str">
        <f t="shared" si="1"/>
        <v>10, 13, ZUBAT</v>
      </c>
      <c r="C62" s="1" t="str">
        <f t="array" ref="C62">IF(B61="NEW ROUTE",TEXTSPLIT(B62,","),"")</f>
        <v/>
      </c>
      <c r="H62" s="1" t="str">
        <f t="shared" ref="H62:I62" si="64">IF(C62&lt;&gt;"",DEC2HEX(C62,2),"")</f>
        <v/>
      </c>
      <c r="I62" s="1" t="str">
        <f t="shared" si="64"/>
        <v/>
      </c>
      <c r="J62" s="1" t="str">
        <f t="shared" si="3"/>
        <v/>
      </c>
      <c r="L62" s="1" t="s">
        <v>402</v>
      </c>
      <c r="M62" s="1" t="str">
        <f t="shared" si="4"/>
        <v>10, 13, ZUBAT</v>
      </c>
    </row>
    <row r="63" ht="12.75" customHeight="1">
      <c r="A63" s="3" t="s">
        <v>2802</v>
      </c>
      <c r="B63" s="3" t="str">
        <f t="shared" si="1"/>
        <v>0.1</v>
      </c>
      <c r="C63" s="1" t="str">
        <f t="array" ref="C63">IF(B62="NEW ROUTE",TEXTSPLIT(B63,","),"")</f>
        <v/>
      </c>
      <c r="H63" s="1" t="str">
        <f t="shared" ref="H63:I63" si="65">IF(C63&lt;&gt;"",DEC2HEX(C63,2),"")</f>
        <v/>
      </c>
      <c r="I63" s="1" t="str">
        <f t="shared" si="65"/>
        <v/>
      </c>
      <c r="J63" s="1" t="str">
        <f t="shared" si="3"/>
        <v/>
      </c>
      <c r="L63" s="1" t="s">
        <v>2802</v>
      </c>
      <c r="M63" s="1" t="str">
        <f t="shared" si="4"/>
        <v>0.1</v>
      </c>
    </row>
    <row r="64" ht="12.75" customHeight="1">
      <c r="A64" s="3" t="s">
        <v>2832</v>
      </c>
      <c r="B64" s="3" t="str">
        <f t="shared" si="1"/>
        <v>11, 14, ZUBAT</v>
      </c>
      <c r="C64" s="1" t="str">
        <f t="array" ref="C64">IF(B63="NEW ROUTE",TEXTSPLIT(B64,","),"")</f>
        <v/>
      </c>
      <c r="H64" s="1" t="str">
        <f t="shared" ref="H64:I64" si="66">IF(C64&lt;&gt;"",DEC2HEX(C64,2),"")</f>
        <v/>
      </c>
      <c r="I64" s="1" t="str">
        <f t="shared" si="66"/>
        <v/>
      </c>
      <c r="J64" s="1" t="str">
        <f t="shared" si="3"/>
        <v/>
      </c>
      <c r="L64" s="1" t="s">
        <v>2832</v>
      </c>
      <c r="M64" s="1" t="str">
        <f t="shared" si="4"/>
        <v>11, 14, ZUBAT</v>
      </c>
    </row>
    <row r="65" ht="12.75" customHeight="1">
      <c r="A65" s="3" t="s">
        <v>2833</v>
      </c>
      <c r="B65" s="3" t="str">
        <f t="shared" si="1"/>
        <v>11, 14, GEODUDE</v>
      </c>
      <c r="C65" s="1" t="str">
        <f t="array" ref="C65">IF(B64="NEW ROUTE",TEXTSPLIT(B65,","),"")</f>
        <v/>
      </c>
      <c r="H65" s="1" t="str">
        <f t="shared" ref="H65:I65" si="67">IF(C65&lt;&gt;"",DEC2HEX(C65,2),"")</f>
        <v/>
      </c>
      <c r="I65" s="1" t="str">
        <f t="shared" si="67"/>
        <v/>
      </c>
      <c r="J65" s="1" t="str">
        <f t="shared" si="3"/>
        <v/>
      </c>
      <c r="L65" s="1" t="s">
        <v>2833</v>
      </c>
      <c r="M65" s="1" t="str">
        <f t="shared" si="4"/>
        <v>11, 14, GEODUDE</v>
      </c>
    </row>
    <row r="66" ht="12.75" customHeight="1">
      <c r="A66" s="3" t="s">
        <v>2833</v>
      </c>
      <c r="B66" s="3" t="str">
        <f t="shared" si="1"/>
        <v>11, 14, GEODUDE</v>
      </c>
      <c r="C66" s="1" t="str">
        <f t="array" ref="C66">IF(B65="NEW ROUTE",TEXTSPLIT(B66,","),"")</f>
        <v/>
      </c>
      <c r="H66" s="1" t="str">
        <f t="shared" ref="H66:I66" si="68">IF(C66&lt;&gt;"",DEC2HEX(C66,2),"")</f>
        <v/>
      </c>
      <c r="I66" s="1" t="str">
        <f t="shared" si="68"/>
        <v/>
      </c>
      <c r="J66" s="1" t="str">
        <f t="shared" si="3"/>
        <v/>
      </c>
      <c r="L66" s="1" t="s">
        <v>2833</v>
      </c>
      <c r="M66" s="1" t="str">
        <f t="shared" si="4"/>
        <v>11, 14, GEODUDE</v>
      </c>
    </row>
    <row r="67" ht="12.75" customHeight="1">
      <c r="A67" s="3" t="s">
        <v>2834</v>
      </c>
      <c r="B67" s="3" t="str">
        <f t="shared" si="1"/>
        <v>11, 14, SANDSHREW</v>
      </c>
      <c r="C67" s="1" t="str">
        <f t="array" ref="C67">IF(B66="NEW ROUTE",TEXTSPLIT(B67,","),"")</f>
        <v/>
      </c>
      <c r="H67" s="1" t="str">
        <f t="shared" ref="H67:I67" si="69">IF(C67&lt;&gt;"",DEC2HEX(C67,2),"")</f>
        <v/>
      </c>
      <c r="I67" s="1" t="str">
        <f t="shared" si="69"/>
        <v/>
      </c>
      <c r="J67" s="1" t="str">
        <f t="shared" si="3"/>
        <v/>
      </c>
      <c r="L67" s="1" t="s">
        <v>2834</v>
      </c>
      <c r="M67" s="1" t="str">
        <f t="shared" si="4"/>
        <v>11, 14, SANDSHREW</v>
      </c>
    </row>
    <row r="68" ht="12.75" customHeight="1">
      <c r="A68" s="3" t="s">
        <v>2807</v>
      </c>
      <c r="B68" s="3" t="str">
        <f t="shared" si="1"/>
        <v>0.05</v>
      </c>
      <c r="C68" s="1" t="str">
        <f t="array" ref="C68">IF(B67="NEW ROUTE",TEXTSPLIT(B68,","),"")</f>
        <v/>
      </c>
      <c r="H68" s="1" t="str">
        <f t="shared" ref="H68:I68" si="70">IF(C68&lt;&gt;"",DEC2HEX(C68,2),"")</f>
        <v/>
      </c>
      <c r="I68" s="1" t="str">
        <f t="shared" si="70"/>
        <v/>
      </c>
      <c r="J68" s="1" t="str">
        <f t="shared" si="3"/>
        <v/>
      </c>
      <c r="L68" s="1" t="s">
        <v>2807</v>
      </c>
      <c r="M68" s="1" t="str">
        <f t="shared" si="4"/>
        <v>0.05</v>
      </c>
    </row>
    <row r="69" ht="12.75" customHeight="1">
      <c r="A69" s="3" t="s">
        <v>2835</v>
      </c>
      <c r="B69" s="3" t="str">
        <f t="shared" si="1"/>
        <v>13, 13, PARAS</v>
      </c>
      <c r="C69" s="1" t="str">
        <f t="array" ref="C69">IF(B68="NEW ROUTE",TEXTSPLIT(B69,","),"")</f>
        <v/>
      </c>
      <c r="H69" s="1" t="str">
        <f t="shared" ref="H69:I69" si="71">IF(C69&lt;&gt;"",DEC2HEX(C69,2),"")</f>
        <v/>
      </c>
      <c r="I69" s="1" t="str">
        <f t="shared" si="71"/>
        <v/>
      </c>
      <c r="J69" s="1" t="str">
        <f t="shared" si="3"/>
        <v/>
      </c>
      <c r="L69" s="1" t="s">
        <v>2835</v>
      </c>
      <c r="M69" s="1" t="str">
        <f t="shared" si="4"/>
        <v>13, 13, PARAS</v>
      </c>
    </row>
    <row r="70" ht="12.75" customHeight="1">
      <c r="A70" s="3" t="s">
        <v>2835</v>
      </c>
      <c r="B70" s="3" t="str">
        <f t="shared" si="1"/>
        <v>13, 13, PARAS</v>
      </c>
      <c r="C70" s="1" t="str">
        <f t="array" ref="C70">IF(B69="NEW ROUTE",TEXTSPLIT(B70,","),"")</f>
        <v/>
      </c>
      <c r="H70" s="1" t="str">
        <f t="shared" ref="H70:I70" si="72">IF(C70&lt;&gt;"",DEC2HEX(C70,2),"")</f>
        <v/>
      </c>
      <c r="I70" s="1" t="str">
        <f t="shared" si="72"/>
        <v/>
      </c>
      <c r="J70" s="1" t="str">
        <f t="shared" si="3"/>
        <v/>
      </c>
      <c r="L70" s="1" t="s">
        <v>2835</v>
      </c>
      <c r="M70" s="1" t="str">
        <f t="shared" si="4"/>
        <v>13, 13, PARAS</v>
      </c>
    </row>
    <row r="71" ht="12.75" customHeight="1">
      <c r="A71" s="3" t="s">
        <v>2810</v>
      </c>
      <c r="B71" s="3" t="str">
        <f t="shared" si="1"/>
        <v>0.04</v>
      </c>
      <c r="C71" s="1" t="str">
        <f t="array" ref="C71">IF(B70="NEW ROUTE",TEXTSPLIT(B71,","),"")</f>
        <v/>
      </c>
      <c r="H71" s="1" t="str">
        <f t="shared" ref="H71:I71" si="73">IF(C71&lt;&gt;"",DEC2HEX(C71,2),"")</f>
        <v/>
      </c>
      <c r="I71" s="1" t="str">
        <f t="shared" si="73"/>
        <v/>
      </c>
      <c r="J71" s="1" t="str">
        <f t="shared" si="3"/>
        <v/>
      </c>
      <c r="L71" s="1" t="s">
        <v>2810</v>
      </c>
      <c r="M71" s="1" t="str">
        <f t="shared" si="4"/>
        <v>0.04</v>
      </c>
    </row>
    <row r="72" ht="12.75" customHeight="1">
      <c r="A72" s="3" t="s">
        <v>2836</v>
      </c>
      <c r="B72" s="3" t="str">
        <f t="shared" si="1"/>
        <v>13, 13, ONIX</v>
      </c>
      <c r="C72" s="1" t="str">
        <f t="array" ref="C72">IF(B71="NEW ROUTE",TEXTSPLIT(B72,","),"")</f>
        <v/>
      </c>
      <c r="H72" s="1" t="str">
        <f t="shared" ref="H72:I72" si="74">IF(C72&lt;&gt;"",DEC2HEX(C72,2),"")</f>
        <v/>
      </c>
      <c r="I72" s="1" t="str">
        <f t="shared" si="74"/>
        <v/>
      </c>
      <c r="J72" s="1" t="str">
        <f t="shared" si="3"/>
        <v/>
      </c>
      <c r="L72" s="1" t="s">
        <v>2836</v>
      </c>
      <c r="M72" s="1" t="str">
        <f t="shared" si="4"/>
        <v>13, 13, ONIX</v>
      </c>
    </row>
    <row r="73" ht="12.75" customHeight="1">
      <c r="A73" s="3" t="s">
        <v>2837</v>
      </c>
      <c r="B73" s="3" t="str">
        <f t="shared" si="1"/>
        <v>13, 13, CLEFAIRY</v>
      </c>
      <c r="C73" s="1" t="str">
        <f t="array" ref="C73">IF(B72="NEW ROUTE",TEXTSPLIT(B73,","),"")</f>
        <v/>
      </c>
      <c r="H73" s="1" t="str">
        <f t="shared" ref="H73:I73" si="75">IF(C73&lt;&gt;"",DEC2HEX(C73,2),"")</f>
        <v/>
      </c>
      <c r="I73" s="1" t="str">
        <f t="shared" si="75"/>
        <v/>
      </c>
      <c r="J73" s="1" t="str">
        <f t="shared" si="3"/>
        <v/>
      </c>
      <c r="L73" s="1" t="s">
        <v>2837</v>
      </c>
      <c r="M73" s="1" t="str">
        <f t="shared" si="4"/>
        <v>13, 13, CLEFAIRY</v>
      </c>
    </row>
    <row r="74" ht="12.75" customHeight="1">
      <c r="A74" s="3" t="s">
        <v>2813</v>
      </c>
      <c r="B74" s="3" t="str">
        <f t="shared" si="1"/>
        <v>0.01</v>
      </c>
      <c r="C74" s="1" t="str">
        <f t="array" ref="C74">IF(B73="NEW ROUTE",TEXTSPLIT(B74,","),"")</f>
        <v/>
      </c>
      <c r="H74" s="1" t="str">
        <f t="shared" ref="H74:I74" si="76">IF(C74&lt;&gt;"",DEC2HEX(C74,2),"")</f>
        <v/>
      </c>
      <c r="I74" s="1" t="str">
        <f t="shared" si="76"/>
        <v/>
      </c>
      <c r="J74" s="1" t="str">
        <f t="shared" si="3"/>
        <v/>
      </c>
      <c r="L74" s="1" t="s">
        <v>2813</v>
      </c>
      <c r="M74" s="1" t="str">
        <f t="shared" si="4"/>
        <v>0.01</v>
      </c>
    </row>
    <row r="75" ht="12.75" customHeight="1">
      <c r="A75" s="3" t="s">
        <v>2838</v>
      </c>
      <c r="B75" s="3" t="str">
        <f t="shared" si="1"/>
        <v>13, 16, GOLBAT</v>
      </c>
      <c r="C75" s="1" t="str">
        <f t="array" ref="C75">IF(B74="NEW ROUTE",TEXTSPLIT(B75,","),"")</f>
        <v/>
      </c>
      <c r="H75" s="1" t="str">
        <f t="shared" ref="H75:I75" si="77">IF(C75&lt;&gt;"",DEC2HEX(C75,2),"")</f>
        <v/>
      </c>
      <c r="I75" s="1" t="str">
        <f t="shared" si="77"/>
        <v/>
      </c>
      <c r="J75" s="1" t="str">
        <f t="shared" si="3"/>
        <v/>
      </c>
      <c r="L75" s="1" t="s">
        <v>2838</v>
      </c>
      <c r="M75" s="1" t="str">
        <f t="shared" si="4"/>
        <v>13, 16, GOLBAT</v>
      </c>
    </row>
    <row r="76" ht="12.75" customHeight="1">
      <c r="A76" s="3" t="s">
        <v>2839</v>
      </c>
      <c r="B76" s="3" t="str">
        <f t="shared" si="1"/>
        <v>13, 16, GRAVELER , &lt;null&gt;, &lt;null&gt;, &lt;null&gt;</v>
      </c>
      <c r="C76" s="1" t="str">
        <f t="array" ref="C76">IF(B75="NEW ROUTE",TEXTSPLIT(B76,","),"")</f>
        <v/>
      </c>
      <c r="H76" s="1" t="str">
        <f t="shared" ref="H76:I76" si="78">IF(C76&lt;&gt;"",DEC2HEX(C76,2),"")</f>
        <v/>
      </c>
      <c r="I76" s="1" t="str">
        <f t="shared" si="78"/>
        <v/>
      </c>
      <c r="J76" s="1" t="str">
        <f t="shared" si="3"/>
        <v/>
      </c>
      <c r="L76" s="1" t="s">
        <v>2839</v>
      </c>
      <c r="M76" s="1" t="str">
        <f t="shared" si="4"/>
        <v>13, 16, GRAVELER , &lt;null&gt;, &lt;null&gt;, &lt;null&gt;</v>
      </c>
    </row>
    <row r="77" ht="12.75" customHeight="1">
      <c r="A77" s="3" t="s">
        <v>2539</v>
      </c>
      <c r="B77" s="3" t="str">
        <f t="shared" si="1"/>
        <v>NEW ROUTE</v>
      </c>
      <c r="C77" s="1" t="str">
        <f t="array" ref="C77">IF(B76="NEW ROUTE",TEXTSPLIT(B77,","),"")</f>
        <v/>
      </c>
      <c r="H77" s="1" t="str">
        <f t="shared" ref="H77:I77" si="79">IF(C77&lt;&gt;"",DEC2HEX(C77,2),"")</f>
        <v/>
      </c>
      <c r="I77" s="1" t="str">
        <f t="shared" si="79"/>
        <v/>
      </c>
      <c r="J77" s="1" t="str">
        <f t="shared" si="3"/>
        <v/>
      </c>
      <c r="L77" s="1" t="s">
        <v>2539</v>
      </c>
      <c r="M77" s="1" t="str">
        <f t="shared" si="4"/>
        <v>NEW ROUTE</v>
      </c>
    </row>
    <row r="78" ht="12.75" customHeight="1">
      <c r="A78" s="3" t="s">
        <v>2840</v>
      </c>
      <c r="B78" s="3" t="str">
        <f t="shared" si="1"/>
        <v>1, 4, 0, &lt;null&gt;,</v>
      </c>
      <c r="C78" s="1" t="str">
        <f t="array" ref="C78">IF(B77="NEW ROUTE",TEXTSPLIT(B78,","),"")</f>
        <v>#NAME?</v>
      </c>
      <c r="H78" s="1" t="str">
        <f t="shared" ref="H78:I78" si="80">IF(C78&lt;&gt;"",DEC2HEX(C78,2),"")</f>
        <v>#NAME?</v>
      </c>
      <c r="I78" s="1" t="str">
        <f t="shared" si="80"/>
        <v/>
      </c>
      <c r="J78" s="1" t="str">
        <f t="shared" si="3"/>
        <v>#NAME?</v>
      </c>
      <c r="L78" s="1" t="s">
        <v>2840</v>
      </c>
      <c r="M78" s="1" t="str">
        <f t="shared" si="4"/>
        <v>#NAME?</v>
      </c>
    </row>
    <row r="79" ht="12.75" customHeight="1">
      <c r="A79" s="3" t="s">
        <v>2841</v>
      </c>
      <c r="B79" s="3" t="str">
        <f t="shared" si="1"/>
        <v>1, 5, 10, TENTACOOL</v>
      </c>
      <c r="C79" s="1" t="str">
        <f t="array" ref="C79">IF(B78="NEW ROUTE",TEXTSPLIT(B79,","),"")</f>
        <v/>
      </c>
      <c r="H79" s="1" t="str">
        <f t="shared" ref="H79:I79" si="81">IF(C79&lt;&gt;"",DEC2HEX(C79,2),"")</f>
        <v/>
      </c>
      <c r="I79" s="1" t="str">
        <f t="shared" si="81"/>
        <v/>
      </c>
      <c r="J79" s="1" t="str">
        <f t="shared" si="3"/>
        <v/>
      </c>
      <c r="L79" s="1" t="s">
        <v>2841</v>
      </c>
      <c r="M79" s="1" t="str">
        <f t="shared" si="4"/>
        <v>1, 5, 10, TENTACOOL</v>
      </c>
    </row>
    <row r="80" ht="12.75" customHeight="1">
      <c r="A80" s="3" t="s">
        <v>2842</v>
      </c>
      <c r="B80" s="3" t="str">
        <f t="shared" si="1"/>
        <v>10, 20, TENTACOOL</v>
      </c>
      <c r="C80" s="1" t="str">
        <f t="array" ref="C80">IF(B79="NEW ROUTE",TEXTSPLIT(B80,","),"")</f>
        <v/>
      </c>
      <c r="H80" s="1" t="str">
        <f t="shared" ref="H80:I80" si="82">IF(C80&lt;&gt;"",DEC2HEX(C80,2),"")</f>
        <v/>
      </c>
      <c r="I80" s="1" t="str">
        <f t="shared" si="82"/>
        <v/>
      </c>
      <c r="J80" s="1" t="str">
        <f t="shared" si="3"/>
        <v/>
      </c>
      <c r="L80" s="1" t="s">
        <v>2842</v>
      </c>
      <c r="M80" s="1" t="str">
        <f t="shared" si="4"/>
        <v>10, 20, TENTACOOL</v>
      </c>
    </row>
    <row r="81" ht="12.75" customHeight="1">
      <c r="A81" s="3" t="s">
        <v>2843</v>
      </c>
      <c r="B81" s="3" t="str">
        <f t="shared" si="1"/>
        <v>20, 30, TENTACOOL</v>
      </c>
      <c r="C81" s="1" t="str">
        <f t="array" ref="C81">IF(B80="NEW ROUTE",TEXTSPLIT(B81,","),"")</f>
        <v/>
      </c>
      <c r="H81" s="1" t="str">
        <f t="shared" ref="H81:I81" si="83">IF(C81&lt;&gt;"",DEC2HEX(C81,2),"")</f>
        <v/>
      </c>
      <c r="I81" s="1" t="str">
        <f t="shared" si="83"/>
        <v/>
      </c>
      <c r="J81" s="1" t="str">
        <f t="shared" si="3"/>
        <v/>
      </c>
      <c r="L81" s="1" t="s">
        <v>2843</v>
      </c>
      <c r="M81" s="1" t="str">
        <f t="shared" si="4"/>
        <v>20, 30, TENTACOOL</v>
      </c>
    </row>
    <row r="82" ht="12.75" customHeight="1">
      <c r="A82" s="3" t="s">
        <v>2844</v>
      </c>
      <c r="B82" s="3" t="str">
        <f t="shared" si="1"/>
        <v>30, 35, TENTACOOL</v>
      </c>
      <c r="C82" s="1" t="str">
        <f t="array" ref="C82">IF(B81="NEW ROUTE",TEXTSPLIT(B82,","),"")</f>
        <v/>
      </c>
      <c r="H82" s="1" t="str">
        <f t="shared" ref="H82:I82" si="84">IF(C82&lt;&gt;"",DEC2HEX(C82,2),"")</f>
        <v/>
      </c>
      <c r="I82" s="1" t="str">
        <f t="shared" si="84"/>
        <v/>
      </c>
      <c r="J82" s="1" t="str">
        <f t="shared" si="3"/>
        <v/>
      </c>
      <c r="L82" s="1" t="s">
        <v>2844</v>
      </c>
      <c r="M82" s="1" t="str">
        <f t="shared" si="4"/>
        <v>30, 35, TENTACOOL</v>
      </c>
    </row>
    <row r="83" ht="12.75" customHeight="1">
      <c r="A83" s="3" t="s">
        <v>2845</v>
      </c>
      <c r="B83" s="3" t="str">
        <f t="shared" si="1"/>
        <v>35, 40, TENTACOOL</v>
      </c>
      <c r="C83" s="1" t="str">
        <f t="array" ref="C83">IF(B82="NEW ROUTE",TEXTSPLIT(B83,","),"")</f>
        <v/>
      </c>
      <c r="H83" s="1" t="str">
        <f t="shared" ref="H83:I83" si="85">IF(C83&lt;&gt;"",DEC2HEX(C83,2),"")</f>
        <v/>
      </c>
      <c r="I83" s="1" t="str">
        <f t="shared" si="85"/>
        <v/>
      </c>
      <c r="J83" s="1" t="str">
        <f t="shared" si="3"/>
        <v/>
      </c>
      <c r="L83" s="1" t="s">
        <v>2845</v>
      </c>
      <c r="M83" s="1" t="str">
        <f t="shared" si="4"/>
        <v>35, 40, TENTACOOL</v>
      </c>
    </row>
    <row r="84" ht="12.75" customHeight="1">
      <c r="A84" s="3" t="s">
        <v>2846</v>
      </c>
      <c r="B84" s="3" t="str">
        <f t="shared" si="1"/>
        <v>10, old rod:</v>
      </c>
      <c r="C84" s="1" t="str">
        <f t="array" ref="C84">IF(B83="NEW ROUTE",TEXTSPLIT(B84,","),"")</f>
        <v/>
      </c>
      <c r="H84" s="1" t="str">
        <f t="shared" ref="H84:I84" si="86">IF(C84&lt;&gt;"",DEC2HEX(C84,2),"")</f>
        <v/>
      </c>
      <c r="I84" s="1" t="str">
        <f t="shared" si="86"/>
        <v/>
      </c>
      <c r="J84" s="1" t="str">
        <f t="shared" si="3"/>
        <v/>
      </c>
      <c r="L84" s="1" t="s">
        <v>2846</v>
      </c>
      <c r="M84" s="1" t="str">
        <f t="shared" si="4"/>
        <v>10, old rod:</v>
      </c>
    </row>
    <row r="85" ht="12.75" customHeight="1">
      <c r="A85" s="3" t="s">
        <v>417</v>
      </c>
      <c r="B85" s="3" t="str">
        <f t="shared" si="1"/>
        <v>5, 5, MAGIKARP</v>
      </c>
      <c r="C85" s="1" t="str">
        <f t="array" ref="C85">IF(B84="NEW ROUTE",TEXTSPLIT(B85,","),"")</f>
        <v/>
      </c>
      <c r="H85" s="1" t="str">
        <f t="shared" ref="H85:I85" si="87">IF(C85&lt;&gt;"",DEC2HEX(C85,2),"")</f>
        <v/>
      </c>
      <c r="I85" s="1" t="str">
        <f t="shared" si="87"/>
        <v/>
      </c>
      <c r="J85" s="1" t="str">
        <f t="shared" si="3"/>
        <v/>
      </c>
      <c r="L85" s="1" t="s">
        <v>417</v>
      </c>
      <c r="M85" s="1" t="str">
        <f t="shared" si="4"/>
        <v>5, 5, MAGIKARP</v>
      </c>
    </row>
    <row r="86" ht="12.75" customHeight="1">
      <c r="A86" s="3" t="s">
        <v>417</v>
      </c>
      <c r="B86" s="3" t="str">
        <f t="shared" si="1"/>
        <v>5, 5, MAGIKARP</v>
      </c>
      <c r="C86" s="1" t="str">
        <f t="array" ref="C86">IF(B85="NEW ROUTE",TEXTSPLIT(B86,","),"")</f>
        <v/>
      </c>
      <c r="H86" s="1" t="str">
        <f t="shared" ref="H86:I86" si="88">IF(C86&lt;&gt;"",DEC2HEX(C86,2),"")</f>
        <v/>
      </c>
      <c r="I86" s="1" t="str">
        <f t="shared" si="88"/>
        <v/>
      </c>
      <c r="J86" s="1" t="str">
        <f t="shared" si="3"/>
        <v/>
      </c>
      <c r="L86" s="1" t="s">
        <v>417</v>
      </c>
      <c r="M86" s="1" t="str">
        <f t="shared" si="4"/>
        <v>5, 5, MAGIKARP</v>
      </c>
    </row>
    <row r="87" ht="12.75" customHeight="1">
      <c r="A87" s="3" t="s">
        <v>2847</v>
      </c>
      <c r="B87" s="3" t="str">
        <f t="shared" si="1"/>
        <v>good rod:</v>
      </c>
      <c r="C87" s="1" t="str">
        <f t="array" ref="C87">IF(B86="NEW ROUTE",TEXTSPLIT(B87,","),"")</f>
        <v/>
      </c>
      <c r="H87" s="1" t="str">
        <f t="shared" ref="H87:I87" si="89">IF(C87&lt;&gt;"",DEC2HEX(C87,2),"")</f>
        <v/>
      </c>
      <c r="I87" s="1" t="str">
        <f t="shared" si="89"/>
        <v/>
      </c>
      <c r="J87" s="1" t="str">
        <f t="shared" si="3"/>
        <v/>
      </c>
      <c r="L87" s="1" t="s">
        <v>2847</v>
      </c>
      <c r="M87" s="1" t="str">
        <f t="shared" si="4"/>
        <v>good rod:</v>
      </c>
    </row>
    <row r="88" ht="12.75" customHeight="1">
      <c r="A88" s="3" t="s">
        <v>2848</v>
      </c>
      <c r="B88" s="3" t="str">
        <f t="shared" si="1"/>
        <v>5, 15, KRABBY</v>
      </c>
      <c r="C88" s="1" t="str">
        <f t="array" ref="C88">IF(B87="NEW ROUTE",TEXTSPLIT(B88,","),"")</f>
        <v/>
      </c>
      <c r="H88" s="1" t="str">
        <f t="shared" ref="H88:I88" si="90">IF(C88&lt;&gt;"",DEC2HEX(C88,2),"")</f>
        <v/>
      </c>
      <c r="I88" s="1" t="str">
        <f t="shared" si="90"/>
        <v/>
      </c>
      <c r="J88" s="1" t="str">
        <f t="shared" si="3"/>
        <v/>
      </c>
      <c r="L88" s="1" t="s">
        <v>2848</v>
      </c>
      <c r="M88" s="1" t="str">
        <f t="shared" si="4"/>
        <v>5, 15, KRABBY</v>
      </c>
    </row>
    <row r="89" ht="12.75" customHeight="1">
      <c r="A89" s="3" t="s">
        <v>2849</v>
      </c>
      <c r="B89" s="3" t="str">
        <f t="shared" si="1"/>
        <v>5, 15, MAGIKARP</v>
      </c>
      <c r="C89" s="1" t="str">
        <f t="array" ref="C89">IF(B88="NEW ROUTE",TEXTSPLIT(B89,","),"")</f>
        <v/>
      </c>
      <c r="H89" s="1" t="str">
        <f t="shared" ref="H89:I89" si="91">IF(C89&lt;&gt;"",DEC2HEX(C89,2),"")</f>
        <v/>
      </c>
      <c r="I89" s="1" t="str">
        <f t="shared" si="91"/>
        <v/>
      </c>
      <c r="J89" s="1" t="str">
        <f t="shared" si="3"/>
        <v/>
      </c>
      <c r="L89" s="1" t="s">
        <v>2849</v>
      </c>
      <c r="M89" s="1" t="str">
        <f t="shared" si="4"/>
        <v>5, 15, MAGIKARP</v>
      </c>
    </row>
    <row r="90" ht="12.75" customHeight="1">
      <c r="A90" s="3" t="s">
        <v>2850</v>
      </c>
      <c r="B90" s="3" t="str">
        <f t="shared" si="1"/>
        <v>5, 15, HORSEA</v>
      </c>
      <c r="C90" s="1" t="str">
        <f t="array" ref="C90">IF(B89="NEW ROUTE",TEXTSPLIT(B90,","),"")</f>
        <v/>
      </c>
      <c r="H90" s="1" t="str">
        <f t="shared" ref="H90:I90" si="92">IF(C90&lt;&gt;"",DEC2HEX(C90,2),"")</f>
        <v/>
      </c>
      <c r="I90" s="1" t="str">
        <f t="shared" si="92"/>
        <v/>
      </c>
      <c r="J90" s="1" t="str">
        <f t="shared" si="3"/>
        <v/>
      </c>
      <c r="L90" s="1" t="s">
        <v>2850</v>
      </c>
      <c r="M90" s="1" t="str">
        <f t="shared" si="4"/>
        <v>5, 15, HORSEA</v>
      </c>
    </row>
    <row r="91" ht="12.75" customHeight="1">
      <c r="A91" s="3" t="s">
        <v>2851</v>
      </c>
      <c r="B91" s="3" t="str">
        <f t="shared" si="1"/>
        <v>super rod:</v>
      </c>
      <c r="C91" s="1" t="str">
        <f t="array" ref="C91">IF(B90="NEW ROUTE",TEXTSPLIT(B91,","),"")</f>
        <v/>
      </c>
      <c r="H91" s="1" t="str">
        <f t="shared" ref="H91:I91" si="93">IF(C91&lt;&gt;"",DEC2HEX(C91,2),"")</f>
        <v/>
      </c>
      <c r="I91" s="1" t="str">
        <f t="shared" si="93"/>
        <v/>
      </c>
      <c r="J91" s="1" t="str">
        <f t="shared" si="3"/>
        <v/>
      </c>
      <c r="L91" s="1" t="s">
        <v>2851</v>
      </c>
      <c r="M91" s="1" t="str">
        <f t="shared" si="4"/>
        <v>super rod:</v>
      </c>
    </row>
    <row r="92" ht="12.75" customHeight="1">
      <c r="A92" s="3" t="s">
        <v>2852</v>
      </c>
      <c r="B92" s="3" t="str">
        <f t="shared" si="1"/>
        <v>15, 25, KRABBY</v>
      </c>
      <c r="C92" s="1" t="str">
        <f t="array" ref="C92">IF(B91="NEW ROUTE",TEXTSPLIT(B92,","),"")</f>
        <v/>
      </c>
      <c r="H92" s="1" t="str">
        <f t="shared" ref="H92:I92" si="94">IF(C92&lt;&gt;"",DEC2HEX(C92,2),"")</f>
        <v/>
      </c>
      <c r="I92" s="1" t="str">
        <f t="shared" si="94"/>
        <v/>
      </c>
      <c r="J92" s="1" t="str">
        <f t="shared" si="3"/>
        <v/>
      </c>
      <c r="L92" s="1" t="s">
        <v>2852</v>
      </c>
      <c r="M92" s="1" t="str">
        <f t="shared" si="4"/>
        <v>15, 25, KRABBY</v>
      </c>
    </row>
    <row r="93" ht="12.75" customHeight="1">
      <c r="A93" s="3" t="s">
        <v>2853</v>
      </c>
      <c r="B93" s="3" t="str">
        <f t="shared" si="1"/>
        <v>15, 25, STARYU</v>
      </c>
      <c r="C93" s="1" t="str">
        <f t="array" ref="C93">IF(B92="NEW ROUTE",TEXTSPLIT(B93,","),"")</f>
        <v/>
      </c>
      <c r="H93" s="1" t="str">
        <f t="shared" ref="H93:I93" si="95">IF(C93&lt;&gt;"",DEC2HEX(C93,2),"")</f>
        <v/>
      </c>
      <c r="I93" s="1" t="str">
        <f t="shared" si="95"/>
        <v/>
      </c>
      <c r="J93" s="1" t="str">
        <f t="shared" si="3"/>
        <v/>
      </c>
      <c r="L93" s="1" t="s">
        <v>2853</v>
      </c>
      <c r="M93" s="1" t="str">
        <f t="shared" si="4"/>
        <v>15, 25, STARYU</v>
      </c>
    </row>
    <row r="94" ht="12.75" customHeight="1">
      <c r="A94" s="3" t="s">
        <v>2854</v>
      </c>
      <c r="B94" s="3" t="str">
        <f t="shared" si="1"/>
        <v>15, 25, GYARADOS</v>
      </c>
      <c r="C94" s="1" t="str">
        <f t="array" ref="C94">IF(B93="NEW ROUTE",TEXTSPLIT(B94,","),"")</f>
        <v/>
      </c>
      <c r="H94" s="1" t="str">
        <f t="shared" ref="H94:I94" si="96">IF(C94&lt;&gt;"",DEC2HEX(C94,2),"")</f>
        <v/>
      </c>
      <c r="I94" s="1" t="str">
        <f t="shared" si="96"/>
        <v/>
      </c>
      <c r="J94" s="1" t="str">
        <f t="shared" si="3"/>
        <v/>
      </c>
      <c r="L94" s="1" t="s">
        <v>2854</v>
      </c>
      <c r="M94" s="1" t="str">
        <f t="shared" si="4"/>
        <v>15, 25, GYARADOS</v>
      </c>
    </row>
    <row r="95" ht="12.75" customHeight="1">
      <c r="A95" s="3" t="s">
        <v>2855</v>
      </c>
      <c r="B95" s="3" t="str">
        <f t="shared" si="1"/>
        <v>25, 35, KRABBY</v>
      </c>
      <c r="C95" s="1" t="str">
        <f t="array" ref="C95">IF(B94="NEW ROUTE",TEXTSPLIT(B95,","),"")</f>
        <v/>
      </c>
      <c r="H95" s="1" t="str">
        <f t="shared" ref="H95:I95" si="97">IF(C95&lt;&gt;"",DEC2HEX(C95,2),"")</f>
        <v/>
      </c>
      <c r="I95" s="1" t="str">
        <f t="shared" si="97"/>
        <v/>
      </c>
      <c r="J95" s="1" t="str">
        <f t="shared" si="3"/>
        <v/>
      </c>
      <c r="L95" s="1" t="s">
        <v>2855</v>
      </c>
      <c r="M95" s="1" t="str">
        <f t="shared" si="4"/>
        <v>25, 35, KRABBY</v>
      </c>
    </row>
    <row r="96" ht="12.75" customHeight="1">
      <c r="A96" s="3" t="s">
        <v>2856</v>
      </c>
      <c r="B96" s="3" t="str">
        <f t="shared" si="1"/>
        <v>25, 35, SLOWPOKE</v>
      </c>
      <c r="C96" s="1" t="str">
        <f t="array" ref="C96">IF(B95="NEW ROUTE",TEXTSPLIT(B96,","),"")</f>
        <v/>
      </c>
      <c r="H96" s="1" t="str">
        <f t="shared" ref="H96:I96" si="98">IF(C96&lt;&gt;"",DEC2HEX(C96,2),"")</f>
        <v/>
      </c>
      <c r="I96" s="1" t="str">
        <f t="shared" si="98"/>
        <v/>
      </c>
      <c r="J96" s="1" t="str">
        <f t="shared" si="3"/>
        <v/>
      </c>
      <c r="L96" s="1" t="s">
        <v>2856</v>
      </c>
      <c r="M96" s="1" t="str">
        <f t="shared" si="4"/>
        <v>25, 35, SLOWPOKE</v>
      </c>
    </row>
    <row r="97" ht="12.75" customHeight="1">
      <c r="A97" s="3" t="s">
        <v>2539</v>
      </c>
      <c r="B97" s="3" t="str">
        <f t="shared" si="1"/>
        <v>NEW ROUTE</v>
      </c>
      <c r="C97" s="1" t="str">
        <f t="array" ref="C97">IF(B96="NEW ROUTE",TEXTSPLIT(B97,","),"")</f>
        <v/>
      </c>
      <c r="H97" s="1" t="str">
        <f t="shared" ref="H97:I97" si="99">IF(C97&lt;&gt;"",DEC2HEX(C97,2),"")</f>
        <v/>
      </c>
      <c r="I97" s="1" t="str">
        <f t="shared" si="99"/>
        <v/>
      </c>
      <c r="J97" s="1" t="str">
        <f t="shared" si="3"/>
        <v/>
      </c>
      <c r="L97" s="1" t="s">
        <v>2539</v>
      </c>
      <c r="M97" s="1" t="str">
        <f t="shared" si="4"/>
        <v>NEW ROUTE</v>
      </c>
    </row>
    <row r="98" ht="12.75" customHeight="1">
      <c r="A98" s="3" t="s">
        <v>2857</v>
      </c>
      <c r="B98" s="3" t="str">
        <f t="shared" si="1"/>
        <v>1, 37, 0,</v>
      </c>
      <c r="C98" s="1" t="str">
        <f t="array" ref="C98">IF(B97="NEW ROUTE",TEXTSPLIT(B98,","),"")</f>
        <v>#NAME?</v>
      </c>
      <c r="H98" s="1" t="str">
        <f t="shared" ref="H98:I98" si="100">IF(C98&lt;&gt;"",DEC2HEX(C98,2),"")</f>
        <v>#NAME?</v>
      </c>
      <c r="I98" s="1" t="str">
        <f t="shared" si="100"/>
        <v/>
      </c>
      <c r="J98" s="1" t="str">
        <f t="shared" si="3"/>
        <v>#NAME?</v>
      </c>
      <c r="L98" s="1" t="s">
        <v>2857</v>
      </c>
      <c r="M98" s="1" t="str">
        <f t="shared" si="4"/>
        <v>#NAME?</v>
      </c>
    </row>
    <row r="99" ht="12.75" customHeight="1">
      <c r="A99" s="3" t="s">
        <v>2824</v>
      </c>
      <c r="B99" s="3" t="str">
        <f t="shared" si="1"/>
        <v>20%</v>
      </c>
      <c r="C99" s="1" t="str">
        <f t="array" ref="C99">IF(B98="NEW ROUTE",TEXTSPLIT(B99,","),"")</f>
        <v/>
      </c>
      <c r="H99" s="1" t="str">
        <f t="shared" ref="H99:I99" si="101">IF(C99&lt;&gt;"",DEC2HEX(C99,2),"")</f>
        <v/>
      </c>
      <c r="I99" s="1" t="str">
        <f t="shared" si="101"/>
        <v/>
      </c>
      <c r="J99" s="1" t="str">
        <f t="shared" si="3"/>
        <v/>
      </c>
      <c r="L99" s="1" t="s">
        <v>2799</v>
      </c>
      <c r="M99" s="1" t="str">
        <f t="shared" si="4"/>
        <v>20%</v>
      </c>
    </row>
    <row r="100" ht="12.75" customHeight="1">
      <c r="A100" s="3" t="s">
        <v>430</v>
      </c>
      <c r="B100" s="3" t="str">
        <f t="shared" si="1"/>
        <v>18, 18, DIGLETT</v>
      </c>
      <c r="C100" s="1" t="str">
        <f t="array" ref="C100">IF(B99="NEW ROUTE",TEXTSPLIT(B100,","),"")</f>
        <v/>
      </c>
      <c r="H100" s="1" t="str">
        <f t="shared" ref="H100:I100" si="102">IF(C100&lt;&gt;"",DEC2HEX(C100,2),"")</f>
        <v/>
      </c>
      <c r="I100" s="1" t="str">
        <f t="shared" si="102"/>
        <v/>
      </c>
      <c r="J100" s="1" t="str">
        <f t="shared" si="3"/>
        <v/>
      </c>
      <c r="L100" s="1" t="s">
        <v>430</v>
      </c>
      <c r="M100" s="1" t="str">
        <f t="shared" si="4"/>
        <v>18, 18, DIGLETT</v>
      </c>
    </row>
    <row r="101" ht="12.75" customHeight="1">
      <c r="A101" s="3" t="s">
        <v>2858</v>
      </c>
      <c r="B101" s="3" t="str">
        <f t="shared" si="1"/>
        <v>19, 19, DIGLETT</v>
      </c>
      <c r="C101" s="1" t="str">
        <f t="array" ref="C101">IF(B100="NEW ROUTE",TEXTSPLIT(B101,","),"")</f>
        <v/>
      </c>
      <c r="H101" s="1" t="str">
        <f t="shared" ref="H101:I101" si="103">IF(C101&lt;&gt;"",DEC2HEX(C101,2),"")</f>
        <v/>
      </c>
      <c r="I101" s="1" t="str">
        <f t="shared" si="103"/>
        <v/>
      </c>
      <c r="J101" s="1" t="str">
        <f t="shared" si="3"/>
        <v/>
      </c>
      <c r="L101" s="1" t="s">
        <v>2858</v>
      </c>
      <c r="M101" s="1" t="str">
        <f t="shared" si="4"/>
        <v>19, 19, DIGLETT</v>
      </c>
    </row>
    <row r="102" ht="12.75" customHeight="1">
      <c r="A102" s="3" t="s">
        <v>2802</v>
      </c>
      <c r="B102" s="3" t="str">
        <f t="shared" si="1"/>
        <v>0.1</v>
      </c>
      <c r="C102" s="1" t="str">
        <f t="array" ref="C102">IF(B101="NEW ROUTE",TEXTSPLIT(B102,","),"")</f>
        <v/>
      </c>
      <c r="H102" s="1" t="str">
        <f t="shared" ref="H102:I102" si="104">IF(C102&lt;&gt;"",DEC2HEX(C102,2),"")</f>
        <v/>
      </c>
      <c r="I102" s="1" t="str">
        <f t="shared" si="104"/>
        <v/>
      </c>
      <c r="J102" s="1" t="str">
        <f t="shared" si="3"/>
        <v/>
      </c>
      <c r="L102" s="1" t="s">
        <v>2802</v>
      </c>
      <c r="M102" s="1" t="str">
        <f t="shared" si="4"/>
        <v>0.1</v>
      </c>
    </row>
    <row r="103" ht="12.75" customHeight="1">
      <c r="A103" s="3" t="s">
        <v>2859</v>
      </c>
      <c r="B103" s="3" t="str">
        <f t="shared" si="1"/>
        <v>20, 20, DIGLETT</v>
      </c>
      <c r="C103" s="1" t="str">
        <f t="array" ref="C103">IF(B102="NEW ROUTE",TEXTSPLIT(B103,","),"")</f>
        <v/>
      </c>
      <c r="H103" s="1" t="str">
        <f t="shared" ref="H103:I103" si="105">IF(C103&lt;&gt;"",DEC2HEX(C103,2),"")</f>
        <v/>
      </c>
      <c r="I103" s="1" t="str">
        <f t="shared" si="105"/>
        <v/>
      </c>
      <c r="J103" s="1" t="str">
        <f t="shared" si="3"/>
        <v/>
      </c>
      <c r="L103" s="1" t="s">
        <v>2859</v>
      </c>
      <c r="M103" s="1" t="str">
        <f t="shared" si="4"/>
        <v>20, 20, DIGLETT</v>
      </c>
    </row>
    <row r="104" ht="12.75" customHeight="1">
      <c r="A104" s="3" t="s">
        <v>2860</v>
      </c>
      <c r="B104" s="3" t="str">
        <f t="shared" si="1"/>
        <v>21, 21, DIGLETT</v>
      </c>
      <c r="C104" s="1" t="str">
        <f t="array" ref="C104">IF(B103="NEW ROUTE",TEXTSPLIT(B104,","),"")</f>
        <v/>
      </c>
      <c r="H104" s="1" t="str">
        <f t="shared" ref="H104:I104" si="106">IF(C104&lt;&gt;"",DEC2HEX(C104,2),"")</f>
        <v/>
      </c>
      <c r="I104" s="1" t="str">
        <f t="shared" si="106"/>
        <v/>
      </c>
      <c r="J104" s="1" t="str">
        <f t="shared" si="3"/>
        <v/>
      </c>
      <c r="L104" s="1" t="s">
        <v>2860</v>
      </c>
      <c r="M104" s="1" t="str">
        <f t="shared" si="4"/>
        <v>21, 21, DIGLETT</v>
      </c>
    </row>
    <row r="105" ht="12.75" customHeight="1">
      <c r="A105" s="3" t="s">
        <v>2861</v>
      </c>
      <c r="B105" s="3" t="str">
        <f t="shared" si="1"/>
        <v>22, 22, DIGLETT</v>
      </c>
      <c r="C105" s="1" t="str">
        <f t="array" ref="C105">IF(B104="NEW ROUTE",TEXTSPLIT(B105,","),"")</f>
        <v/>
      </c>
      <c r="H105" s="1" t="str">
        <f t="shared" ref="H105:I105" si="107">IF(C105&lt;&gt;"",DEC2HEX(C105,2),"")</f>
        <v/>
      </c>
      <c r="I105" s="1" t="str">
        <f t="shared" si="107"/>
        <v/>
      </c>
      <c r="J105" s="1" t="str">
        <f t="shared" si="3"/>
        <v/>
      </c>
      <c r="L105" s="1" t="s">
        <v>2861</v>
      </c>
      <c r="M105" s="1" t="str">
        <f t="shared" si="4"/>
        <v>22, 22, DIGLETT</v>
      </c>
    </row>
    <row r="106" ht="12.75" customHeight="1">
      <c r="A106" s="3" t="s">
        <v>2862</v>
      </c>
      <c r="B106" s="3" t="str">
        <f t="shared" si="1"/>
        <v>19, 19, DUGTRIO</v>
      </c>
      <c r="C106" s="1" t="str">
        <f t="array" ref="C106">IF(B105="NEW ROUTE",TEXTSPLIT(B106,","),"")</f>
        <v/>
      </c>
      <c r="H106" s="1" t="str">
        <f t="shared" ref="H106:I106" si="108">IF(C106&lt;&gt;"",DEC2HEX(C106,2),"")</f>
        <v/>
      </c>
      <c r="I106" s="1" t="str">
        <f t="shared" si="108"/>
        <v/>
      </c>
      <c r="J106" s="1" t="str">
        <f t="shared" si="3"/>
        <v/>
      </c>
      <c r="L106" s="1" t="s">
        <v>2862</v>
      </c>
      <c r="M106" s="1" t="str">
        <f t="shared" si="4"/>
        <v>19, 19, DUGTRIO</v>
      </c>
    </row>
    <row r="107" ht="12.75" customHeight="1">
      <c r="A107" s="3" t="s">
        <v>2807</v>
      </c>
      <c r="B107" s="3" t="str">
        <f t="shared" si="1"/>
        <v>0.05</v>
      </c>
      <c r="C107" s="1" t="str">
        <f t="array" ref="C107">IF(B106="NEW ROUTE",TEXTSPLIT(B107,","),"")</f>
        <v/>
      </c>
      <c r="H107" s="1" t="str">
        <f t="shared" ref="H107:I107" si="109">IF(C107&lt;&gt;"",DEC2HEX(C107,2),"")</f>
        <v/>
      </c>
      <c r="I107" s="1" t="str">
        <f t="shared" si="109"/>
        <v/>
      </c>
      <c r="J107" s="1" t="str">
        <f t="shared" si="3"/>
        <v/>
      </c>
      <c r="L107" s="1" t="s">
        <v>2807</v>
      </c>
      <c r="M107" s="1" t="str">
        <f t="shared" si="4"/>
        <v>0.05</v>
      </c>
    </row>
    <row r="108" ht="12.75" customHeight="1">
      <c r="A108" s="3" t="s">
        <v>2863</v>
      </c>
      <c r="B108" s="3" t="str">
        <f t="shared" si="1"/>
        <v>23, 23, DIGLETT</v>
      </c>
      <c r="C108" s="1" t="str">
        <f t="array" ref="C108">IF(B107="NEW ROUTE",TEXTSPLIT(B108,","),"")</f>
        <v/>
      </c>
      <c r="H108" s="1" t="str">
        <f t="shared" ref="H108:I108" si="110">IF(C108&lt;&gt;"",DEC2HEX(C108,2),"")</f>
        <v/>
      </c>
      <c r="I108" s="1" t="str">
        <f t="shared" si="110"/>
        <v/>
      </c>
      <c r="J108" s="1" t="str">
        <f t="shared" si="3"/>
        <v/>
      </c>
      <c r="L108" s="1" t="s">
        <v>2863</v>
      </c>
      <c r="M108" s="1" t="str">
        <f t="shared" si="4"/>
        <v>23, 23, DIGLETT</v>
      </c>
    </row>
    <row r="109" ht="12.75" customHeight="1">
      <c r="A109" s="3" t="s">
        <v>2864</v>
      </c>
      <c r="B109" s="3" t="str">
        <f t="shared" si="1"/>
        <v>24, 24, DIGLETT</v>
      </c>
      <c r="C109" s="1" t="str">
        <f t="array" ref="C109">IF(B108="NEW ROUTE",TEXTSPLIT(B109,","),"")</f>
        <v/>
      </c>
      <c r="H109" s="1" t="str">
        <f t="shared" ref="H109:I109" si="111">IF(C109&lt;&gt;"",DEC2HEX(C109,2),"")</f>
        <v/>
      </c>
      <c r="I109" s="1" t="str">
        <f t="shared" si="111"/>
        <v/>
      </c>
      <c r="J109" s="1" t="str">
        <f t="shared" si="3"/>
        <v/>
      </c>
      <c r="L109" s="1" t="s">
        <v>2864</v>
      </c>
      <c r="M109" s="1" t="str">
        <f t="shared" si="4"/>
        <v>24, 24, DIGLETT</v>
      </c>
    </row>
    <row r="110" ht="12.75" customHeight="1">
      <c r="A110" s="3" t="s">
        <v>2810</v>
      </c>
      <c r="B110" s="3" t="str">
        <f t="shared" si="1"/>
        <v>0.04</v>
      </c>
      <c r="C110" s="1" t="str">
        <f t="array" ref="C110">IF(B109="NEW ROUTE",TEXTSPLIT(B110,","),"")</f>
        <v/>
      </c>
      <c r="H110" s="1" t="str">
        <f t="shared" ref="H110:I110" si="112">IF(C110&lt;&gt;"",DEC2HEX(C110,2),"")</f>
        <v/>
      </c>
      <c r="I110" s="1" t="str">
        <f t="shared" si="112"/>
        <v/>
      </c>
      <c r="J110" s="1" t="str">
        <f t="shared" si="3"/>
        <v/>
      </c>
      <c r="L110" s="1" t="s">
        <v>2810</v>
      </c>
      <c r="M110" s="1" t="str">
        <f t="shared" si="4"/>
        <v>0.04</v>
      </c>
    </row>
    <row r="111" ht="12.75" customHeight="1">
      <c r="A111" s="3" t="s">
        <v>2865</v>
      </c>
      <c r="B111" s="3" t="str">
        <f t="shared" si="1"/>
        <v>20, 23, DUGTRIO</v>
      </c>
      <c r="C111" s="1" t="str">
        <f t="array" ref="C111">IF(B110="NEW ROUTE",TEXTSPLIT(B111,","),"")</f>
        <v/>
      </c>
      <c r="H111" s="1" t="str">
        <f t="shared" ref="H111:I111" si="113">IF(C111&lt;&gt;"",DEC2HEX(C111,2),"")</f>
        <v/>
      </c>
      <c r="I111" s="1" t="str">
        <f t="shared" si="113"/>
        <v/>
      </c>
      <c r="J111" s="1" t="str">
        <f t="shared" si="3"/>
        <v/>
      </c>
      <c r="L111" s="1" t="s">
        <v>2865</v>
      </c>
      <c r="M111" s="1" t="str">
        <f t="shared" si="4"/>
        <v>20, 23, DUGTRIO</v>
      </c>
    </row>
    <row r="112" ht="12.75" customHeight="1">
      <c r="A112" s="3" t="s">
        <v>2866</v>
      </c>
      <c r="B112" s="3" t="str">
        <f t="shared" si="1"/>
        <v>24, 26, DUGTRIO</v>
      </c>
      <c r="C112" s="1" t="str">
        <f t="array" ref="C112">IF(B111="NEW ROUTE",TEXTSPLIT(B112,","),"")</f>
        <v/>
      </c>
      <c r="H112" s="1" t="str">
        <f t="shared" ref="H112:I112" si="114">IF(C112&lt;&gt;"",DEC2HEX(C112,2),"")</f>
        <v/>
      </c>
      <c r="I112" s="1" t="str">
        <f t="shared" si="114"/>
        <v/>
      </c>
      <c r="J112" s="1" t="str">
        <f t="shared" si="3"/>
        <v/>
      </c>
      <c r="L112" s="1" t="s">
        <v>2866</v>
      </c>
      <c r="M112" s="1" t="str">
        <f t="shared" si="4"/>
        <v>24, 26, DUGTRIO</v>
      </c>
    </row>
    <row r="113" ht="12.75" customHeight="1">
      <c r="A113" s="3" t="s">
        <v>2813</v>
      </c>
      <c r="B113" s="3" t="str">
        <f t="shared" si="1"/>
        <v>0.01</v>
      </c>
      <c r="C113" s="1" t="str">
        <f t="array" ref="C113">IF(B112="NEW ROUTE",TEXTSPLIT(B113,","),"")</f>
        <v/>
      </c>
      <c r="H113" s="1" t="str">
        <f t="shared" ref="H113:I113" si="115">IF(C113&lt;&gt;"",DEC2HEX(C113,2),"")</f>
        <v/>
      </c>
      <c r="I113" s="1" t="str">
        <f t="shared" si="115"/>
        <v/>
      </c>
      <c r="J113" s="1" t="str">
        <f t="shared" si="3"/>
        <v/>
      </c>
      <c r="L113" s="1" t="s">
        <v>2813</v>
      </c>
      <c r="M113" s="1" t="str">
        <f t="shared" si="4"/>
        <v>0.01</v>
      </c>
    </row>
    <row r="114" ht="12.75" customHeight="1">
      <c r="A114" s="3" t="s">
        <v>2867</v>
      </c>
      <c r="B114" s="3" t="str">
        <f t="shared" si="1"/>
        <v>27, 28, DUGTRIO</v>
      </c>
      <c r="C114" s="1" t="str">
        <f t="array" ref="C114">IF(B113="NEW ROUTE",TEXTSPLIT(B114,","),"")</f>
        <v/>
      </c>
      <c r="H114" s="1" t="str">
        <f t="shared" ref="H114:I114" si="116">IF(C114&lt;&gt;"",DEC2HEX(C114,2),"")</f>
        <v/>
      </c>
      <c r="I114" s="1" t="str">
        <f t="shared" si="116"/>
        <v/>
      </c>
      <c r="J114" s="1" t="str">
        <f t="shared" si="3"/>
        <v/>
      </c>
      <c r="L114" s="1" t="s">
        <v>2867</v>
      </c>
      <c r="M114" s="1" t="str">
        <f t="shared" si="4"/>
        <v>27, 28, DUGTRIO</v>
      </c>
    </row>
    <row r="115" ht="12.75" customHeight="1">
      <c r="A115" s="3" t="s">
        <v>2868</v>
      </c>
      <c r="B115" s="3" t="str">
        <f t="shared" si="1"/>
        <v>30, 30, DUGROUPLE , &lt;null&gt;, &lt;null&gt;, &lt;null&gt;</v>
      </c>
      <c r="C115" s="1" t="str">
        <f t="array" ref="C115">IF(B114="NEW ROUTE",TEXTSPLIT(B115,","),"")</f>
        <v/>
      </c>
      <c r="H115" s="1" t="str">
        <f t="shared" ref="H115:I115" si="117">IF(C115&lt;&gt;"",DEC2HEX(C115,2),"")</f>
        <v/>
      </c>
      <c r="I115" s="1" t="str">
        <f t="shared" si="117"/>
        <v/>
      </c>
      <c r="J115" s="1" t="str">
        <f t="shared" si="3"/>
        <v/>
      </c>
      <c r="L115" s="1" t="s">
        <v>2868</v>
      </c>
      <c r="M115" s="1" t="str">
        <f t="shared" si="4"/>
        <v>30, 30, DUGROUPLE , &lt;null&gt;, &lt;null&gt;, &lt;null&gt;</v>
      </c>
    </row>
    <row r="116" ht="12.75" customHeight="1">
      <c r="A116" s="3" t="s">
        <v>2539</v>
      </c>
      <c r="B116" s="3" t="str">
        <f t="shared" si="1"/>
        <v>NEW ROUTE</v>
      </c>
      <c r="C116" s="1" t="str">
        <f t="array" ref="C116">IF(B115="NEW ROUTE",TEXTSPLIT(B116,","),"")</f>
        <v/>
      </c>
      <c r="H116" s="1" t="str">
        <f t="shared" ref="H116:I116" si="118">IF(C116&lt;&gt;"",DEC2HEX(C116,2),"")</f>
        <v/>
      </c>
      <c r="I116" s="1" t="str">
        <f t="shared" si="118"/>
        <v/>
      </c>
      <c r="J116" s="1" t="str">
        <f t="shared" si="3"/>
        <v/>
      </c>
      <c r="L116" s="1" t="s">
        <v>2539</v>
      </c>
      <c r="M116" s="1" t="str">
        <f t="shared" si="4"/>
        <v>NEW ROUTE</v>
      </c>
    </row>
    <row r="117" ht="12.75" customHeight="1">
      <c r="A117" s="3" t="s">
        <v>2869</v>
      </c>
      <c r="B117" s="3" t="str">
        <f t="shared" si="1"/>
        <v>1, 39, 0,</v>
      </c>
      <c r="C117" s="1" t="str">
        <f t="array" ref="C117">IF(B116="NEW ROUTE",TEXTSPLIT(B117,","),"")</f>
        <v>#NAME?</v>
      </c>
      <c r="H117" s="1" t="str">
        <f t="shared" ref="H117:I117" si="119">IF(C117&lt;&gt;"",DEC2HEX(C117,2),"")</f>
        <v>#NAME?</v>
      </c>
      <c r="I117" s="1" t="str">
        <f t="shared" si="119"/>
        <v/>
      </c>
      <c r="J117" s="1" t="str">
        <f t="shared" si="3"/>
        <v>#NAME?</v>
      </c>
      <c r="L117" s="1" t="s">
        <v>2869</v>
      </c>
      <c r="M117" s="1" t="str">
        <f t="shared" si="4"/>
        <v>#NAME?</v>
      </c>
    </row>
    <row r="118" ht="12.75" customHeight="1">
      <c r="A118" s="3" t="s">
        <v>2817</v>
      </c>
      <c r="B118" s="3" t="str">
        <f t="shared" si="1"/>
        <v>20%</v>
      </c>
      <c r="C118" s="1" t="str">
        <f t="array" ref="C118">IF(B117="NEW ROUTE",TEXTSPLIT(B118,","),"")</f>
        <v/>
      </c>
      <c r="H118" s="1" t="str">
        <f t="shared" ref="H118:I118" si="120">IF(C118&lt;&gt;"",DEC2HEX(C118,2),"")</f>
        <v/>
      </c>
      <c r="I118" s="1" t="str">
        <f t="shared" si="120"/>
        <v/>
      </c>
      <c r="J118" s="1" t="str">
        <f t="shared" si="3"/>
        <v/>
      </c>
      <c r="L118" s="1" t="s">
        <v>2799</v>
      </c>
      <c r="M118" s="1" t="str">
        <f t="shared" si="4"/>
        <v>20%</v>
      </c>
    </row>
    <row r="119" ht="12.75" customHeight="1">
      <c r="A119" s="3" t="s">
        <v>443</v>
      </c>
      <c r="B119" s="3" t="str">
        <f t="shared" si="1"/>
        <v>51, 56, NOHTYP</v>
      </c>
      <c r="C119" s="1" t="str">
        <f t="array" ref="C119">IF(B118="NEW ROUTE",TEXTSPLIT(B119,","),"")</f>
        <v/>
      </c>
      <c r="H119" s="1" t="str">
        <f t="shared" ref="H119:I119" si="121">IF(C119&lt;&gt;"",DEC2HEX(C119,2),"")</f>
        <v/>
      </c>
      <c r="I119" s="1" t="str">
        <f t="shared" si="121"/>
        <v/>
      </c>
      <c r="J119" s="1" t="str">
        <f t="shared" si="3"/>
        <v/>
      </c>
      <c r="L119" s="1" t="s">
        <v>443</v>
      </c>
      <c r="M119" s="1" t="str">
        <f t="shared" si="4"/>
        <v>51, 56, NOHTYP</v>
      </c>
    </row>
    <row r="120" ht="12.75" customHeight="1">
      <c r="A120" s="3" t="s">
        <v>2870</v>
      </c>
      <c r="B120" s="3" t="str">
        <f t="shared" si="1"/>
        <v>51, 56, CROBAT</v>
      </c>
      <c r="C120" s="1" t="str">
        <f t="array" ref="C120">IF(B119="NEW ROUTE",TEXTSPLIT(B120,","),"")</f>
        <v/>
      </c>
      <c r="H120" s="1" t="str">
        <f t="shared" ref="H120:I120" si="122">IF(C120&lt;&gt;"",DEC2HEX(C120,2),"")</f>
        <v/>
      </c>
      <c r="I120" s="1" t="str">
        <f t="shared" si="122"/>
        <v/>
      </c>
      <c r="J120" s="1" t="str">
        <f t="shared" si="3"/>
        <v/>
      </c>
      <c r="L120" s="1" t="s">
        <v>2870</v>
      </c>
      <c r="M120" s="1" t="str">
        <f t="shared" si="4"/>
        <v>51, 56, CROBAT</v>
      </c>
    </row>
    <row r="121" ht="12.75" customHeight="1">
      <c r="A121" s="3" t="s">
        <v>2802</v>
      </c>
      <c r="B121" s="3" t="str">
        <f t="shared" si="1"/>
        <v>0.1</v>
      </c>
      <c r="C121" s="1" t="str">
        <f t="array" ref="C121">IF(B120="NEW ROUTE",TEXTSPLIT(B121,","),"")</f>
        <v/>
      </c>
      <c r="H121" s="1" t="str">
        <f t="shared" ref="H121:I121" si="123">IF(C121&lt;&gt;"",DEC2HEX(C121,2),"")</f>
        <v/>
      </c>
      <c r="I121" s="1" t="str">
        <f t="shared" si="123"/>
        <v/>
      </c>
      <c r="J121" s="1" t="str">
        <f t="shared" si="3"/>
        <v/>
      </c>
      <c r="L121" s="1" t="s">
        <v>2802</v>
      </c>
      <c r="M121" s="1" t="str">
        <f t="shared" si="4"/>
        <v>0.1</v>
      </c>
    </row>
    <row r="122" ht="12.75" customHeight="1">
      <c r="A122" s="3" t="s">
        <v>2871</v>
      </c>
      <c r="B122" s="3" t="str">
        <f t="shared" si="1"/>
        <v>51, 56, MACHAMP</v>
      </c>
      <c r="C122" s="1" t="str">
        <f t="array" ref="C122">IF(B121="NEW ROUTE",TEXTSPLIT(B122,","),"")</f>
        <v/>
      </c>
      <c r="H122" s="1" t="str">
        <f t="shared" ref="H122:I122" si="124">IF(C122&lt;&gt;"",DEC2HEX(C122,2),"")</f>
        <v/>
      </c>
      <c r="I122" s="1" t="str">
        <f t="shared" si="124"/>
        <v/>
      </c>
      <c r="J122" s="1" t="str">
        <f t="shared" si="3"/>
        <v/>
      </c>
      <c r="L122" s="1" t="s">
        <v>2871</v>
      </c>
      <c r="M122" s="1" t="str">
        <f t="shared" si="4"/>
        <v>51, 56, MACHAMP</v>
      </c>
    </row>
    <row r="123" ht="12.75" customHeight="1">
      <c r="A123" s="3" t="s">
        <v>2872</v>
      </c>
      <c r="B123" s="3" t="str">
        <f t="shared" si="1"/>
        <v>51, 56, GOLEM</v>
      </c>
      <c r="C123" s="1" t="str">
        <f t="array" ref="C123">IF(B122="NEW ROUTE",TEXTSPLIT(B123,","),"")</f>
        <v/>
      </c>
      <c r="H123" s="1" t="str">
        <f t="shared" ref="H123:I123" si="125">IF(C123&lt;&gt;"",DEC2HEX(C123,2),"")</f>
        <v/>
      </c>
      <c r="I123" s="1" t="str">
        <f t="shared" si="125"/>
        <v/>
      </c>
      <c r="J123" s="1" t="str">
        <f t="shared" si="3"/>
        <v/>
      </c>
      <c r="L123" s="1" t="s">
        <v>2872</v>
      </c>
      <c r="M123" s="1" t="str">
        <f t="shared" si="4"/>
        <v>51, 56, GOLEM</v>
      </c>
    </row>
    <row r="124" ht="12.75" customHeight="1">
      <c r="A124" s="3" t="s">
        <v>2873</v>
      </c>
      <c r="B124" s="3" t="str">
        <f t="shared" si="1"/>
        <v>53, 57, ADNOKANA</v>
      </c>
      <c r="C124" s="1" t="str">
        <f t="array" ref="C124">IF(B123="NEW ROUTE",TEXTSPLIT(B124,","),"")</f>
        <v/>
      </c>
      <c r="H124" s="1" t="str">
        <f t="shared" ref="H124:I124" si="126">IF(C124&lt;&gt;"",DEC2HEX(C124,2),"")</f>
        <v/>
      </c>
      <c r="I124" s="1" t="str">
        <f t="shared" si="126"/>
        <v/>
      </c>
      <c r="J124" s="1" t="str">
        <f t="shared" si="3"/>
        <v/>
      </c>
      <c r="L124" s="1" t="s">
        <v>2873</v>
      </c>
      <c r="M124" s="1" t="str">
        <f t="shared" si="4"/>
        <v>53, 57, ADNOKANA</v>
      </c>
    </row>
    <row r="125" ht="12.75" customHeight="1">
      <c r="A125" s="3" t="s">
        <v>2874</v>
      </c>
      <c r="B125" s="3" t="str">
        <f t="shared" si="1"/>
        <v>53, 57, POLABAT</v>
      </c>
      <c r="C125" s="1" t="str">
        <f t="array" ref="C125">IF(B124="NEW ROUTE",TEXTSPLIT(B125,","),"")</f>
        <v/>
      </c>
      <c r="H125" s="1" t="str">
        <f t="shared" ref="H125:I125" si="127">IF(C125&lt;&gt;"",DEC2HEX(C125,2),"")</f>
        <v/>
      </c>
      <c r="I125" s="1" t="str">
        <f t="shared" si="127"/>
        <v/>
      </c>
      <c r="J125" s="1" t="str">
        <f t="shared" si="3"/>
        <v/>
      </c>
      <c r="L125" s="1" t="s">
        <v>2874</v>
      </c>
      <c r="M125" s="1" t="str">
        <f t="shared" si="4"/>
        <v>53, 57, POLABAT</v>
      </c>
    </row>
    <row r="126" ht="12.75" customHeight="1">
      <c r="A126" s="3" t="s">
        <v>2807</v>
      </c>
      <c r="B126" s="3" t="str">
        <f t="shared" si="1"/>
        <v>0.05</v>
      </c>
      <c r="C126" s="1" t="str">
        <f t="array" ref="C126">IF(B125="NEW ROUTE",TEXTSPLIT(B126,","),"")</f>
        <v/>
      </c>
      <c r="H126" s="1" t="str">
        <f t="shared" ref="H126:I126" si="128">IF(C126&lt;&gt;"",DEC2HEX(C126,2),"")</f>
        <v/>
      </c>
      <c r="I126" s="1" t="str">
        <f t="shared" si="128"/>
        <v/>
      </c>
      <c r="J126" s="1" t="str">
        <f t="shared" si="3"/>
        <v/>
      </c>
      <c r="L126" s="1" t="s">
        <v>2807</v>
      </c>
      <c r="M126" s="1" t="str">
        <f t="shared" si="4"/>
        <v>0.05</v>
      </c>
    </row>
    <row r="127" ht="12.75" customHeight="1">
      <c r="A127" s="3" t="s">
        <v>2875</v>
      </c>
      <c r="B127" s="3" t="str">
        <f t="shared" si="1"/>
        <v>53, 57, MACHULK</v>
      </c>
      <c r="C127" s="1" t="str">
        <f t="array" ref="C127">IF(B126="NEW ROUTE",TEXTSPLIT(B127,","),"")</f>
        <v/>
      </c>
      <c r="H127" s="1" t="str">
        <f t="shared" ref="H127:I127" si="129">IF(C127&lt;&gt;"",DEC2HEX(C127,2),"")</f>
        <v/>
      </c>
      <c r="I127" s="1" t="str">
        <f t="shared" si="129"/>
        <v/>
      </c>
      <c r="J127" s="1" t="str">
        <f t="shared" si="3"/>
        <v/>
      </c>
      <c r="L127" s="1" t="s">
        <v>2875</v>
      </c>
      <c r="M127" s="1" t="str">
        <f t="shared" si="4"/>
        <v>53, 57, MACHULK</v>
      </c>
    </row>
    <row r="128" ht="12.75" customHeight="1">
      <c r="A128" s="3" t="s">
        <v>2876</v>
      </c>
      <c r="B128" s="3" t="str">
        <f t="shared" si="1"/>
        <v>53, 57, RHYMARKABL</v>
      </c>
      <c r="C128" s="1" t="str">
        <f t="array" ref="C128">IF(B127="NEW ROUTE",TEXTSPLIT(B128,","),"")</f>
        <v/>
      </c>
      <c r="H128" s="1" t="str">
        <f t="shared" ref="H128:I128" si="130">IF(C128&lt;&gt;"",DEC2HEX(C128,2),"")</f>
        <v/>
      </c>
      <c r="I128" s="1" t="str">
        <f t="shared" si="130"/>
        <v/>
      </c>
      <c r="J128" s="1" t="str">
        <f t="shared" si="3"/>
        <v/>
      </c>
      <c r="L128" s="1" t="s">
        <v>2876</v>
      </c>
      <c r="M128" s="1" t="str">
        <f t="shared" si="4"/>
        <v>53, 57, RHYMARKABL</v>
      </c>
    </row>
    <row r="129" ht="12.75" customHeight="1">
      <c r="A129" s="3" t="s">
        <v>2810</v>
      </c>
      <c r="B129" s="3" t="str">
        <f t="shared" si="1"/>
        <v>0.04</v>
      </c>
      <c r="C129" s="1" t="str">
        <f t="array" ref="C129">IF(B128="NEW ROUTE",TEXTSPLIT(B129,","),"")</f>
        <v/>
      </c>
      <c r="H129" s="1" t="str">
        <f t="shared" ref="H129:I129" si="131">IF(C129&lt;&gt;"",DEC2HEX(C129,2),"")</f>
        <v/>
      </c>
      <c r="I129" s="1" t="str">
        <f t="shared" si="131"/>
        <v/>
      </c>
      <c r="J129" s="1" t="str">
        <f t="shared" si="3"/>
        <v/>
      </c>
      <c r="L129" s="1" t="s">
        <v>2810</v>
      </c>
      <c r="M129" s="1" t="str">
        <f t="shared" si="4"/>
        <v>0.04</v>
      </c>
    </row>
    <row r="130" ht="12.75" customHeight="1">
      <c r="A130" s="3" t="s">
        <v>2877</v>
      </c>
      <c r="B130" s="3" t="str">
        <f t="shared" si="1"/>
        <v>55, 57, PLATNIX</v>
      </c>
      <c r="C130" s="1" t="str">
        <f t="array" ref="C130">IF(B129="NEW ROUTE",TEXTSPLIT(B130,","),"")</f>
        <v/>
      </c>
      <c r="H130" s="1" t="str">
        <f t="shared" ref="H130:I130" si="132">IF(C130&lt;&gt;"",DEC2HEX(C130,2),"")</f>
        <v/>
      </c>
      <c r="I130" s="1" t="str">
        <f t="shared" si="132"/>
        <v/>
      </c>
      <c r="J130" s="1" t="str">
        <f t="shared" si="3"/>
        <v/>
      </c>
      <c r="L130" s="1" t="s">
        <v>2877</v>
      </c>
      <c r="M130" s="1" t="str">
        <f t="shared" si="4"/>
        <v>55, 57, PLATNIX</v>
      </c>
    </row>
    <row r="131" ht="12.75" customHeight="1">
      <c r="A131" s="3" t="s">
        <v>2878</v>
      </c>
      <c r="B131" s="3" t="str">
        <f t="shared" si="1"/>
        <v>55, 57, SLAGOLEM</v>
      </c>
      <c r="C131" s="1" t="str">
        <f t="array" ref="C131">IF(B130="NEW ROUTE",TEXTSPLIT(B131,","),"")</f>
        <v/>
      </c>
      <c r="H131" s="1" t="str">
        <f t="shared" ref="H131:I131" si="133">IF(C131&lt;&gt;"",DEC2HEX(C131,2),"")</f>
        <v/>
      </c>
      <c r="I131" s="1" t="str">
        <f t="shared" si="133"/>
        <v/>
      </c>
      <c r="J131" s="1" t="str">
        <f t="shared" si="3"/>
        <v/>
      </c>
      <c r="L131" s="1" t="s">
        <v>2878</v>
      </c>
      <c r="M131" s="1" t="str">
        <f t="shared" si="4"/>
        <v>55, 57, SLAGOLEM</v>
      </c>
    </row>
    <row r="132" ht="12.75" customHeight="1">
      <c r="A132" s="3" t="s">
        <v>2813</v>
      </c>
      <c r="B132" s="3" t="str">
        <f t="shared" si="1"/>
        <v>0.01</v>
      </c>
      <c r="C132" s="1" t="str">
        <f t="array" ref="C132">IF(B131="NEW ROUTE",TEXTSPLIT(B132,","),"")</f>
        <v/>
      </c>
      <c r="H132" s="1" t="str">
        <f t="shared" ref="H132:I132" si="134">IF(C132&lt;&gt;"",DEC2HEX(C132,2),"")</f>
        <v/>
      </c>
      <c r="I132" s="1" t="str">
        <f t="shared" si="134"/>
        <v/>
      </c>
      <c r="J132" s="1" t="str">
        <f t="shared" si="3"/>
        <v/>
      </c>
      <c r="L132" s="1" t="s">
        <v>2813</v>
      </c>
      <c r="M132" s="1" t="str">
        <f t="shared" si="4"/>
        <v>0.01</v>
      </c>
    </row>
    <row r="133" ht="12.75" customHeight="1">
      <c r="A133" s="3" t="s">
        <v>2879</v>
      </c>
      <c r="B133" s="3" t="str">
        <f t="shared" si="1"/>
        <v>58, 60, MOLTREM</v>
      </c>
      <c r="C133" s="1" t="str">
        <f t="array" ref="C133">IF(B132="NEW ROUTE",TEXTSPLIT(B133,","),"")</f>
        <v/>
      </c>
      <c r="H133" s="1" t="str">
        <f t="shared" ref="H133:I133" si="135">IF(C133&lt;&gt;"",DEC2HEX(C133,2),"")</f>
        <v/>
      </c>
      <c r="I133" s="1" t="str">
        <f t="shared" si="135"/>
        <v/>
      </c>
      <c r="J133" s="1" t="str">
        <f t="shared" si="3"/>
        <v/>
      </c>
      <c r="L133" s="1" t="s">
        <v>2879</v>
      </c>
      <c r="M133" s="1" t="str">
        <f t="shared" si="4"/>
        <v>58, 60, MOLTREM</v>
      </c>
    </row>
    <row r="134" ht="12.75" customHeight="1">
      <c r="A134" s="3" t="s">
        <v>2880</v>
      </c>
      <c r="B134" s="3" t="str">
        <f t="shared" si="1"/>
        <v>58, 60, WRAIWRATH , &lt;null&gt;, &lt;null&gt;, &lt;null&gt;</v>
      </c>
      <c r="C134" s="1" t="str">
        <f t="array" ref="C134">IF(B133="NEW ROUTE",TEXTSPLIT(B134,","),"")</f>
        <v/>
      </c>
      <c r="H134" s="1" t="str">
        <f t="shared" ref="H134:I134" si="136">IF(C134&lt;&gt;"",DEC2HEX(C134,2),"")</f>
        <v/>
      </c>
      <c r="I134" s="1" t="str">
        <f t="shared" si="136"/>
        <v/>
      </c>
      <c r="J134" s="1" t="str">
        <f t="shared" si="3"/>
        <v/>
      </c>
      <c r="L134" s="1" t="s">
        <v>2880</v>
      </c>
      <c r="M134" s="1" t="str">
        <f t="shared" si="4"/>
        <v>58, 60, WRAIWRATH , &lt;null&gt;, &lt;null&gt;, &lt;null&gt;</v>
      </c>
    </row>
    <row r="135" ht="12.75" customHeight="1">
      <c r="A135" s="3" t="s">
        <v>2539</v>
      </c>
      <c r="B135" s="3" t="str">
        <f t="shared" si="1"/>
        <v>NEW ROUTE</v>
      </c>
      <c r="C135" s="1" t="str">
        <f t="array" ref="C135">IF(B134="NEW ROUTE",TEXTSPLIT(B135,","),"")</f>
        <v/>
      </c>
      <c r="H135" s="1" t="str">
        <f t="shared" ref="H135:I135" si="137">IF(C135&lt;&gt;"",DEC2HEX(C135,2),"")</f>
        <v/>
      </c>
      <c r="I135" s="1" t="str">
        <f t="shared" si="137"/>
        <v/>
      </c>
      <c r="J135" s="1" t="str">
        <f t="shared" si="3"/>
        <v/>
      </c>
      <c r="L135" s="1" t="s">
        <v>2539</v>
      </c>
      <c r="M135" s="1" t="str">
        <f t="shared" si="4"/>
        <v>NEW ROUTE</v>
      </c>
    </row>
    <row r="136" ht="12.75" customHeight="1">
      <c r="A136" s="3" t="s">
        <v>2881</v>
      </c>
      <c r="B136" s="3" t="str">
        <f t="shared" si="1"/>
        <v>1, 40, 0,</v>
      </c>
      <c r="C136" s="1" t="str">
        <f t="array" ref="C136">IF(B135="NEW ROUTE",TEXTSPLIT(B136,","),"")</f>
        <v>#NAME?</v>
      </c>
      <c r="H136" s="1" t="str">
        <f t="shared" ref="H136:I136" si="138">IF(C136&lt;&gt;"",DEC2HEX(C136,2),"")</f>
        <v>#NAME?</v>
      </c>
      <c r="I136" s="1" t="str">
        <f t="shared" si="138"/>
        <v/>
      </c>
      <c r="J136" s="1" t="str">
        <f t="shared" si="3"/>
        <v>#NAME?</v>
      </c>
      <c r="L136" s="1" t="s">
        <v>2881</v>
      </c>
      <c r="M136" s="1" t="str">
        <f t="shared" si="4"/>
        <v>#NAME?</v>
      </c>
    </row>
    <row r="137" ht="12.75" customHeight="1">
      <c r="A137" s="3" t="s">
        <v>2817</v>
      </c>
      <c r="B137" s="3" t="str">
        <f t="shared" si="1"/>
        <v>20%</v>
      </c>
      <c r="C137" s="1" t="str">
        <f t="array" ref="C137">IF(B136="NEW ROUTE",TEXTSPLIT(B137,","),"")</f>
        <v/>
      </c>
      <c r="H137" s="1" t="str">
        <f t="shared" ref="H137:I137" si="139">IF(C137&lt;&gt;"",DEC2HEX(C137,2),"")</f>
        <v/>
      </c>
      <c r="I137" s="1" t="str">
        <f t="shared" si="139"/>
        <v/>
      </c>
      <c r="J137" s="1" t="str">
        <f t="shared" si="3"/>
        <v/>
      </c>
      <c r="L137" s="1" t="s">
        <v>2799</v>
      </c>
      <c r="M137" s="1" t="str">
        <f t="shared" si="4"/>
        <v>20%</v>
      </c>
    </row>
    <row r="138" ht="12.75" customHeight="1">
      <c r="A138" s="3" t="s">
        <v>443</v>
      </c>
      <c r="B138" s="3" t="str">
        <f t="shared" si="1"/>
        <v>51, 56, NOHTYP</v>
      </c>
      <c r="C138" s="1" t="str">
        <f t="array" ref="C138">IF(B137="NEW ROUTE",TEXTSPLIT(B138,","),"")</f>
        <v/>
      </c>
      <c r="H138" s="1" t="str">
        <f t="shared" ref="H138:I138" si="140">IF(C138&lt;&gt;"",DEC2HEX(C138,2),"")</f>
        <v/>
      </c>
      <c r="I138" s="1" t="str">
        <f t="shared" si="140"/>
        <v/>
      </c>
      <c r="J138" s="1" t="str">
        <f t="shared" si="3"/>
        <v/>
      </c>
      <c r="L138" s="1" t="s">
        <v>443</v>
      </c>
      <c r="M138" s="1" t="str">
        <f t="shared" si="4"/>
        <v>51, 56, NOHTYP</v>
      </c>
    </row>
    <row r="139" ht="12.75" customHeight="1">
      <c r="A139" s="3" t="s">
        <v>2870</v>
      </c>
      <c r="B139" s="3" t="str">
        <f t="shared" si="1"/>
        <v>51, 56, CROBAT</v>
      </c>
      <c r="C139" s="1" t="str">
        <f t="array" ref="C139">IF(B138="NEW ROUTE",TEXTSPLIT(B139,","),"")</f>
        <v/>
      </c>
      <c r="H139" s="1" t="str">
        <f t="shared" ref="H139:I139" si="141">IF(C139&lt;&gt;"",DEC2HEX(C139,2),"")</f>
        <v/>
      </c>
      <c r="I139" s="1" t="str">
        <f t="shared" si="141"/>
        <v/>
      </c>
      <c r="J139" s="1" t="str">
        <f t="shared" si="3"/>
        <v/>
      </c>
      <c r="L139" s="1" t="s">
        <v>2870</v>
      </c>
      <c r="M139" s="1" t="str">
        <f t="shared" si="4"/>
        <v>51, 56, CROBAT</v>
      </c>
    </row>
    <row r="140" ht="12.75" customHeight="1">
      <c r="A140" s="3" t="s">
        <v>2802</v>
      </c>
      <c r="B140" s="3" t="str">
        <f t="shared" si="1"/>
        <v>0.1</v>
      </c>
      <c r="C140" s="1" t="str">
        <f t="array" ref="C140">IF(B139="NEW ROUTE",TEXTSPLIT(B140,","),"")</f>
        <v/>
      </c>
      <c r="H140" s="1" t="str">
        <f t="shared" ref="H140:I140" si="142">IF(C140&lt;&gt;"",DEC2HEX(C140,2),"")</f>
        <v/>
      </c>
      <c r="I140" s="1" t="str">
        <f t="shared" si="142"/>
        <v/>
      </c>
      <c r="J140" s="1" t="str">
        <f t="shared" si="3"/>
        <v/>
      </c>
      <c r="L140" s="1" t="s">
        <v>2802</v>
      </c>
      <c r="M140" s="1" t="str">
        <f t="shared" si="4"/>
        <v>0.1</v>
      </c>
    </row>
    <row r="141" ht="12.75" customHeight="1">
      <c r="A141" s="3" t="s">
        <v>2871</v>
      </c>
      <c r="B141" s="3" t="str">
        <f t="shared" si="1"/>
        <v>51, 56, MACHAMP</v>
      </c>
      <c r="C141" s="1" t="str">
        <f t="array" ref="C141">IF(B140="NEW ROUTE",TEXTSPLIT(B141,","),"")</f>
        <v/>
      </c>
      <c r="H141" s="1" t="str">
        <f t="shared" ref="H141:I141" si="143">IF(C141&lt;&gt;"",DEC2HEX(C141,2),"")</f>
        <v/>
      </c>
      <c r="I141" s="1" t="str">
        <f t="shared" si="143"/>
        <v/>
      </c>
      <c r="J141" s="1" t="str">
        <f t="shared" si="3"/>
        <v/>
      </c>
      <c r="L141" s="1" t="s">
        <v>2871</v>
      </c>
      <c r="M141" s="1" t="str">
        <f t="shared" si="4"/>
        <v>51, 56, MACHAMP</v>
      </c>
    </row>
    <row r="142" ht="12.75" customHeight="1">
      <c r="A142" s="3" t="s">
        <v>2872</v>
      </c>
      <c r="B142" s="3" t="str">
        <f t="shared" si="1"/>
        <v>51, 56, GOLEM</v>
      </c>
      <c r="C142" s="1" t="str">
        <f t="array" ref="C142">IF(B141="NEW ROUTE",TEXTSPLIT(B142,","),"")</f>
        <v/>
      </c>
      <c r="H142" s="1" t="str">
        <f t="shared" ref="H142:I142" si="144">IF(C142&lt;&gt;"",DEC2HEX(C142,2),"")</f>
        <v/>
      </c>
      <c r="I142" s="1" t="str">
        <f t="shared" si="144"/>
        <v/>
      </c>
      <c r="J142" s="1" t="str">
        <f t="shared" si="3"/>
        <v/>
      </c>
      <c r="L142" s="1" t="s">
        <v>2872</v>
      </c>
      <c r="M142" s="1" t="str">
        <f t="shared" si="4"/>
        <v>51, 56, GOLEM</v>
      </c>
    </row>
    <row r="143" ht="12.75" customHeight="1">
      <c r="A143" s="3" t="s">
        <v>2873</v>
      </c>
      <c r="B143" s="3" t="str">
        <f t="shared" si="1"/>
        <v>53, 57, ADNOKANA</v>
      </c>
      <c r="C143" s="1" t="str">
        <f t="array" ref="C143">IF(B142="NEW ROUTE",TEXTSPLIT(B143,","),"")</f>
        <v/>
      </c>
      <c r="H143" s="1" t="str">
        <f t="shared" ref="H143:I143" si="145">IF(C143&lt;&gt;"",DEC2HEX(C143,2),"")</f>
        <v/>
      </c>
      <c r="I143" s="1" t="str">
        <f t="shared" si="145"/>
        <v/>
      </c>
      <c r="J143" s="1" t="str">
        <f t="shared" si="3"/>
        <v/>
      </c>
      <c r="L143" s="1" t="s">
        <v>2873</v>
      </c>
      <c r="M143" s="1" t="str">
        <f t="shared" si="4"/>
        <v>53, 57, ADNOKANA</v>
      </c>
    </row>
    <row r="144" ht="12.75" customHeight="1">
      <c r="A144" s="3" t="s">
        <v>2874</v>
      </c>
      <c r="B144" s="3" t="str">
        <f t="shared" si="1"/>
        <v>53, 57, POLABAT</v>
      </c>
      <c r="C144" s="1" t="str">
        <f t="array" ref="C144">IF(B143="NEW ROUTE",TEXTSPLIT(B144,","),"")</f>
        <v/>
      </c>
      <c r="H144" s="1" t="str">
        <f t="shared" ref="H144:I144" si="146">IF(C144&lt;&gt;"",DEC2HEX(C144,2),"")</f>
        <v/>
      </c>
      <c r="I144" s="1" t="str">
        <f t="shared" si="146"/>
        <v/>
      </c>
      <c r="J144" s="1" t="str">
        <f t="shared" si="3"/>
        <v/>
      </c>
      <c r="L144" s="1" t="s">
        <v>2874</v>
      </c>
      <c r="M144" s="1" t="str">
        <f t="shared" si="4"/>
        <v>53, 57, POLABAT</v>
      </c>
    </row>
    <row r="145" ht="12.75" customHeight="1">
      <c r="A145" s="3" t="s">
        <v>2807</v>
      </c>
      <c r="B145" s="3" t="str">
        <f t="shared" si="1"/>
        <v>0.05</v>
      </c>
      <c r="C145" s="1" t="str">
        <f t="array" ref="C145">IF(B144="NEW ROUTE",TEXTSPLIT(B145,","),"")</f>
        <v/>
      </c>
      <c r="H145" s="1" t="str">
        <f t="shared" ref="H145:I145" si="147">IF(C145&lt;&gt;"",DEC2HEX(C145,2),"")</f>
        <v/>
      </c>
      <c r="I145" s="1" t="str">
        <f t="shared" si="147"/>
        <v/>
      </c>
      <c r="J145" s="1" t="str">
        <f t="shared" si="3"/>
        <v/>
      </c>
      <c r="L145" s="1" t="s">
        <v>2807</v>
      </c>
      <c r="M145" s="1" t="str">
        <f t="shared" si="4"/>
        <v>0.05</v>
      </c>
    </row>
    <row r="146" ht="12.75" customHeight="1">
      <c r="A146" s="3" t="s">
        <v>2875</v>
      </c>
      <c r="B146" s="3" t="str">
        <f t="shared" si="1"/>
        <v>53, 57, MACHULK</v>
      </c>
      <c r="C146" s="1" t="str">
        <f t="array" ref="C146">IF(B145="NEW ROUTE",TEXTSPLIT(B146,","),"")</f>
        <v/>
      </c>
      <c r="H146" s="1" t="str">
        <f t="shared" ref="H146:I146" si="148">IF(C146&lt;&gt;"",DEC2HEX(C146,2),"")</f>
        <v/>
      </c>
      <c r="I146" s="1" t="str">
        <f t="shared" si="148"/>
        <v/>
      </c>
      <c r="J146" s="1" t="str">
        <f t="shared" si="3"/>
        <v/>
      </c>
      <c r="L146" s="1" t="s">
        <v>2875</v>
      </c>
      <c r="M146" s="1" t="str">
        <f t="shared" si="4"/>
        <v>53, 57, MACHULK</v>
      </c>
    </row>
    <row r="147" ht="12.75" customHeight="1">
      <c r="A147" s="3" t="s">
        <v>2876</v>
      </c>
      <c r="B147" s="3" t="str">
        <f t="shared" si="1"/>
        <v>53, 57, RHYMARKABL</v>
      </c>
      <c r="C147" s="1" t="str">
        <f t="array" ref="C147">IF(B146="NEW ROUTE",TEXTSPLIT(B147,","),"")</f>
        <v/>
      </c>
      <c r="H147" s="1" t="str">
        <f t="shared" ref="H147:I147" si="149">IF(C147&lt;&gt;"",DEC2HEX(C147,2),"")</f>
        <v/>
      </c>
      <c r="I147" s="1" t="str">
        <f t="shared" si="149"/>
        <v/>
      </c>
      <c r="J147" s="1" t="str">
        <f t="shared" si="3"/>
        <v/>
      </c>
      <c r="L147" s="1" t="s">
        <v>2876</v>
      </c>
      <c r="M147" s="1" t="str">
        <f t="shared" si="4"/>
        <v>53, 57, RHYMARKABL</v>
      </c>
    </row>
    <row r="148" ht="12.75" customHeight="1">
      <c r="A148" s="3" t="s">
        <v>2810</v>
      </c>
      <c r="B148" s="3" t="str">
        <f t="shared" si="1"/>
        <v>0.04</v>
      </c>
      <c r="C148" s="1" t="str">
        <f t="array" ref="C148">IF(B147="NEW ROUTE",TEXTSPLIT(B148,","),"")</f>
        <v/>
      </c>
      <c r="H148" s="1" t="str">
        <f t="shared" ref="H148:I148" si="150">IF(C148&lt;&gt;"",DEC2HEX(C148,2),"")</f>
        <v/>
      </c>
      <c r="I148" s="1" t="str">
        <f t="shared" si="150"/>
        <v/>
      </c>
      <c r="J148" s="1" t="str">
        <f t="shared" si="3"/>
        <v/>
      </c>
      <c r="L148" s="1" t="s">
        <v>2810</v>
      </c>
      <c r="M148" s="1" t="str">
        <f t="shared" si="4"/>
        <v>0.04</v>
      </c>
    </row>
    <row r="149" ht="12.75" customHeight="1">
      <c r="A149" s="3" t="s">
        <v>2877</v>
      </c>
      <c r="B149" s="3" t="str">
        <f t="shared" si="1"/>
        <v>55, 57, PLATNIX</v>
      </c>
      <c r="C149" s="1" t="str">
        <f t="array" ref="C149">IF(B148="NEW ROUTE",TEXTSPLIT(B149,","),"")</f>
        <v/>
      </c>
      <c r="H149" s="1" t="str">
        <f t="shared" ref="H149:I149" si="151">IF(C149&lt;&gt;"",DEC2HEX(C149,2),"")</f>
        <v/>
      </c>
      <c r="I149" s="1" t="str">
        <f t="shared" si="151"/>
        <v/>
      </c>
      <c r="J149" s="1" t="str">
        <f t="shared" si="3"/>
        <v/>
      </c>
      <c r="L149" s="1" t="s">
        <v>2877</v>
      </c>
      <c r="M149" s="1" t="str">
        <f t="shared" si="4"/>
        <v>55, 57, PLATNIX</v>
      </c>
    </row>
    <row r="150" ht="12.75" customHeight="1">
      <c r="A150" s="3" t="s">
        <v>2878</v>
      </c>
      <c r="B150" s="3" t="str">
        <f t="shared" si="1"/>
        <v>55, 57, SLAGOLEM</v>
      </c>
      <c r="C150" s="1" t="str">
        <f t="array" ref="C150">IF(B149="NEW ROUTE",TEXTSPLIT(B150,","),"")</f>
        <v/>
      </c>
      <c r="H150" s="1" t="str">
        <f t="shared" ref="H150:I150" si="152">IF(C150&lt;&gt;"",DEC2HEX(C150,2),"")</f>
        <v/>
      </c>
      <c r="I150" s="1" t="str">
        <f t="shared" si="152"/>
        <v/>
      </c>
      <c r="J150" s="1" t="str">
        <f t="shared" si="3"/>
        <v/>
      </c>
      <c r="L150" s="1" t="s">
        <v>2878</v>
      </c>
      <c r="M150" s="1" t="str">
        <f t="shared" si="4"/>
        <v>55, 57, SLAGOLEM</v>
      </c>
    </row>
    <row r="151" ht="12.75" customHeight="1">
      <c r="A151" s="3" t="s">
        <v>2813</v>
      </c>
      <c r="B151" s="3" t="str">
        <f t="shared" si="1"/>
        <v>0.01</v>
      </c>
      <c r="C151" s="1" t="str">
        <f t="array" ref="C151">IF(B150="NEW ROUTE",TEXTSPLIT(B151,","),"")</f>
        <v/>
      </c>
      <c r="H151" s="1" t="str">
        <f t="shared" ref="H151:I151" si="153">IF(C151&lt;&gt;"",DEC2HEX(C151,2),"")</f>
        <v/>
      </c>
      <c r="I151" s="1" t="str">
        <f t="shared" si="153"/>
        <v/>
      </c>
      <c r="J151" s="1" t="str">
        <f t="shared" si="3"/>
        <v/>
      </c>
      <c r="L151" s="1" t="s">
        <v>2813</v>
      </c>
      <c r="M151" s="1" t="str">
        <f t="shared" si="4"/>
        <v>0.01</v>
      </c>
    </row>
    <row r="152" ht="12.75" customHeight="1">
      <c r="A152" s="3" t="s">
        <v>2882</v>
      </c>
      <c r="B152" s="3" t="str">
        <f t="shared" si="1"/>
        <v>59, 61, MOLTREM</v>
      </c>
      <c r="C152" s="1" t="str">
        <f t="array" ref="C152">IF(B151="NEW ROUTE",TEXTSPLIT(B152,","),"")</f>
        <v/>
      </c>
      <c r="H152" s="1" t="str">
        <f t="shared" ref="H152:I152" si="154">IF(C152&lt;&gt;"",DEC2HEX(C152,2),"")</f>
        <v/>
      </c>
      <c r="I152" s="1" t="str">
        <f t="shared" si="154"/>
        <v/>
      </c>
      <c r="J152" s="1" t="str">
        <f t="shared" si="3"/>
        <v/>
      </c>
      <c r="L152" s="1" t="s">
        <v>2882</v>
      </c>
      <c r="M152" s="1" t="str">
        <f t="shared" si="4"/>
        <v>59, 61, MOLTREM</v>
      </c>
    </row>
    <row r="153" ht="12.75" customHeight="1">
      <c r="A153" s="3" t="s">
        <v>2883</v>
      </c>
      <c r="B153" s="3" t="str">
        <f t="shared" si="1"/>
        <v>59, 61, FERODILLO , &lt;null&gt;, &lt;null&gt;, &lt;null&gt;</v>
      </c>
      <c r="C153" s="1" t="str">
        <f t="array" ref="C153">IF(B152="NEW ROUTE",TEXTSPLIT(B153,","),"")</f>
        <v/>
      </c>
      <c r="H153" s="1" t="str">
        <f t="shared" ref="H153:I153" si="155">IF(C153&lt;&gt;"",DEC2HEX(C153,2),"")</f>
        <v/>
      </c>
      <c r="I153" s="1" t="str">
        <f t="shared" si="155"/>
        <v/>
      </c>
      <c r="J153" s="1" t="str">
        <f t="shared" si="3"/>
        <v/>
      </c>
      <c r="L153" s="1" t="s">
        <v>2883</v>
      </c>
      <c r="M153" s="1" t="str">
        <f t="shared" si="4"/>
        <v>59, 61, FERODILLO , &lt;null&gt;, &lt;null&gt;, &lt;null&gt;</v>
      </c>
    </row>
    <row r="154" ht="12.75" customHeight="1">
      <c r="A154" s="3" t="s">
        <v>2539</v>
      </c>
      <c r="B154" s="3" t="str">
        <f t="shared" si="1"/>
        <v>NEW ROUTE</v>
      </c>
      <c r="C154" s="1" t="str">
        <f t="array" ref="C154">IF(B153="NEW ROUTE",TEXTSPLIT(B154,","),"")</f>
        <v/>
      </c>
      <c r="H154" s="1" t="str">
        <f t="shared" ref="H154:I154" si="156">IF(C154&lt;&gt;"",DEC2HEX(C154,2),"")</f>
        <v/>
      </c>
      <c r="I154" s="1" t="str">
        <f t="shared" si="156"/>
        <v/>
      </c>
      <c r="J154" s="1" t="str">
        <f t="shared" si="3"/>
        <v/>
      </c>
      <c r="L154" s="1" t="s">
        <v>2539</v>
      </c>
      <c r="M154" s="1" t="str">
        <f t="shared" si="4"/>
        <v>NEW ROUTE</v>
      </c>
    </row>
    <row r="155" ht="12.75" customHeight="1">
      <c r="A155" s="3" t="s">
        <v>2884</v>
      </c>
      <c r="B155" s="3" t="str">
        <f t="shared" si="1"/>
        <v>1, 41, 0,</v>
      </c>
      <c r="C155" s="1" t="str">
        <f t="array" ref="C155">IF(B154="NEW ROUTE",TEXTSPLIT(B155,","),"")</f>
        <v>#NAME?</v>
      </c>
      <c r="H155" s="1" t="str">
        <f t="shared" ref="H155:I155" si="157">IF(C155&lt;&gt;"",DEC2HEX(C155,2),"")</f>
        <v>#NAME?</v>
      </c>
      <c r="I155" s="1" t="str">
        <f t="shared" si="157"/>
        <v/>
      </c>
      <c r="J155" s="1" t="str">
        <f t="shared" si="3"/>
        <v>#NAME?</v>
      </c>
      <c r="L155" s="1" t="s">
        <v>2884</v>
      </c>
      <c r="M155" s="1" t="str">
        <f t="shared" si="4"/>
        <v>#NAME?</v>
      </c>
    </row>
    <row r="156" ht="12.75" customHeight="1">
      <c r="A156" s="3" t="s">
        <v>2817</v>
      </c>
      <c r="B156" s="3" t="str">
        <f t="shared" si="1"/>
        <v>20%</v>
      </c>
      <c r="C156" s="1" t="str">
        <f t="array" ref="C156">IF(B155="NEW ROUTE",TEXTSPLIT(B156,","),"")</f>
        <v/>
      </c>
      <c r="H156" s="1" t="str">
        <f t="shared" ref="H156:I156" si="158">IF(C156&lt;&gt;"",DEC2HEX(C156,2),"")</f>
        <v/>
      </c>
      <c r="I156" s="1" t="str">
        <f t="shared" si="158"/>
        <v/>
      </c>
      <c r="J156" s="1" t="str">
        <f t="shared" si="3"/>
        <v/>
      </c>
      <c r="L156" s="1" t="s">
        <v>2799</v>
      </c>
      <c r="M156" s="1" t="str">
        <f t="shared" si="4"/>
        <v>20%</v>
      </c>
    </row>
    <row r="157" ht="12.75" customHeight="1">
      <c r="A157" s="3" t="s">
        <v>443</v>
      </c>
      <c r="B157" s="3" t="str">
        <f t="shared" si="1"/>
        <v>51, 56, NOHTYP</v>
      </c>
      <c r="C157" s="1" t="str">
        <f t="array" ref="C157">IF(B156="NEW ROUTE",TEXTSPLIT(B157,","),"")</f>
        <v/>
      </c>
      <c r="H157" s="1" t="str">
        <f t="shared" ref="H157:I157" si="159">IF(C157&lt;&gt;"",DEC2HEX(C157,2),"")</f>
        <v/>
      </c>
      <c r="I157" s="1" t="str">
        <f t="shared" si="159"/>
        <v/>
      </c>
      <c r="J157" s="1" t="str">
        <f t="shared" si="3"/>
        <v/>
      </c>
      <c r="L157" s="1" t="s">
        <v>443</v>
      </c>
      <c r="M157" s="1" t="str">
        <f t="shared" si="4"/>
        <v>51, 56, NOHTYP</v>
      </c>
    </row>
    <row r="158" ht="12.75" customHeight="1">
      <c r="A158" s="3" t="s">
        <v>2870</v>
      </c>
      <c r="B158" s="3" t="str">
        <f t="shared" si="1"/>
        <v>51, 56, CROBAT</v>
      </c>
      <c r="C158" s="1" t="str">
        <f t="array" ref="C158">IF(B157="NEW ROUTE",TEXTSPLIT(B158,","),"")</f>
        <v/>
      </c>
      <c r="H158" s="1" t="str">
        <f t="shared" ref="H158:I158" si="160">IF(C158&lt;&gt;"",DEC2HEX(C158,2),"")</f>
        <v/>
      </c>
      <c r="I158" s="1" t="str">
        <f t="shared" si="160"/>
        <v/>
      </c>
      <c r="J158" s="1" t="str">
        <f t="shared" si="3"/>
        <v/>
      </c>
      <c r="L158" s="1" t="s">
        <v>2870</v>
      </c>
      <c r="M158" s="1" t="str">
        <f t="shared" si="4"/>
        <v>51, 56, CROBAT</v>
      </c>
    </row>
    <row r="159" ht="12.75" customHeight="1">
      <c r="A159" s="3" t="s">
        <v>2802</v>
      </c>
      <c r="B159" s="3" t="str">
        <f t="shared" si="1"/>
        <v>0.1</v>
      </c>
      <c r="C159" s="1" t="str">
        <f t="array" ref="C159">IF(B158="NEW ROUTE",TEXTSPLIT(B159,","),"")</f>
        <v/>
      </c>
      <c r="H159" s="1" t="str">
        <f t="shared" ref="H159:I159" si="161">IF(C159&lt;&gt;"",DEC2HEX(C159,2),"")</f>
        <v/>
      </c>
      <c r="I159" s="1" t="str">
        <f t="shared" si="161"/>
        <v/>
      </c>
      <c r="J159" s="1" t="str">
        <f t="shared" si="3"/>
        <v/>
      </c>
      <c r="L159" s="1" t="s">
        <v>2802</v>
      </c>
      <c r="M159" s="1" t="str">
        <f t="shared" si="4"/>
        <v>0.1</v>
      </c>
    </row>
    <row r="160" ht="12.75" customHeight="1">
      <c r="A160" s="3" t="s">
        <v>2871</v>
      </c>
      <c r="B160" s="3" t="str">
        <f t="shared" si="1"/>
        <v>51, 56, MACHAMP</v>
      </c>
      <c r="C160" s="1" t="str">
        <f t="array" ref="C160">IF(B159="NEW ROUTE",TEXTSPLIT(B160,","),"")</f>
        <v/>
      </c>
      <c r="H160" s="1" t="str">
        <f t="shared" ref="H160:I160" si="162">IF(C160&lt;&gt;"",DEC2HEX(C160,2),"")</f>
        <v/>
      </c>
      <c r="I160" s="1" t="str">
        <f t="shared" si="162"/>
        <v/>
      </c>
      <c r="J160" s="1" t="str">
        <f t="shared" si="3"/>
        <v/>
      </c>
      <c r="L160" s="1" t="s">
        <v>2871</v>
      </c>
      <c r="M160" s="1" t="str">
        <f t="shared" si="4"/>
        <v>51, 56, MACHAMP</v>
      </c>
    </row>
    <row r="161" ht="12.75" customHeight="1">
      <c r="A161" s="3" t="s">
        <v>2872</v>
      </c>
      <c r="B161" s="3" t="str">
        <f t="shared" si="1"/>
        <v>51, 56, GOLEM</v>
      </c>
      <c r="C161" s="1" t="str">
        <f t="array" ref="C161">IF(B160="NEW ROUTE",TEXTSPLIT(B161,","),"")</f>
        <v/>
      </c>
      <c r="H161" s="1" t="str">
        <f t="shared" ref="H161:I161" si="163">IF(C161&lt;&gt;"",DEC2HEX(C161,2),"")</f>
        <v/>
      </c>
      <c r="I161" s="1" t="str">
        <f t="shared" si="163"/>
        <v/>
      </c>
      <c r="J161" s="1" t="str">
        <f t="shared" si="3"/>
        <v/>
      </c>
      <c r="L161" s="1" t="s">
        <v>2872</v>
      </c>
      <c r="M161" s="1" t="str">
        <f t="shared" si="4"/>
        <v>51, 56, GOLEM</v>
      </c>
    </row>
    <row r="162" ht="12.75" customHeight="1">
      <c r="A162" s="3" t="s">
        <v>2873</v>
      </c>
      <c r="B162" s="3" t="str">
        <f t="shared" si="1"/>
        <v>53, 57, ADNOKANA</v>
      </c>
      <c r="C162" s="1" t="str">
        <f t="array" ref="C162">IF(B161="NEW ROUTE",TEXTSPLIT(B162,","),"")</f>
        <v/>
      </c>
      <c r="H162" s="1" t="str">
        <f t="shared" ref="H162:I162" si="164">IF(C162&lt;&gt;"",DEC2HEX(C162,2),"")</f>
        <v/>
      </c>
      <c r="I162" s="1" t="str">
        <f t="shared" si="164"/>
        <v/>
      </c>
      <c r="J162" s="1" t="str">
        <f t="shared" si="3"/>
        <v/>
      </c>
      <c r="L162" s="1" t="s">
        <v>2873</v>
      </c>
      <c r="M162" s="1" t="str">
        <f t="shared" si="4"/>
        <v>53, 57, ADNOKANA</v>
      </c>
    </row>
    <row r="163" ht="12.75" customHeight="1">
      <c r="A163" s="3" t="s">
        <v>2874</v>
      </c>
      <c r="B163" s="3" t="str">
        <f t="shared" si="1"/>
        <v>53, 57, POLABAT</v>
      </c>
      <c r="C163" s="1" t="str">
        <f t="array" ref="C163">IF(B162="NEW ROUTE",TEXTSPLIT(B163,","),"")</f>
        <v/>
      </c>
      <c r="H163" s="1" t="str">
        <f t="shared" ref="H163:I163" si="165">IF(C163&lt;&gt;"",DEC2HEX(C163,2),"")</f>
        <v/>
      </c>
      <c r="I163" s="1" t="str">
        <f t="shared" si="165"/>
        <v/>
      </c>
      <c r="J163" s="1" t="str">
        <f t="shared" si="3"/>
        <v/>
      </c>
      <c r="L163" s="1" t="s">
        <v>2874</v>
      </c>
      <c r="M163" s="1" t="str">
        <f t="shared" si="4"/>
        <v>53, 57, POLABAT</v>
      </c>
    </row>
    <row r="164" ht="12.75" customHeight="1">
      <c r="A164" s="3" t="s">
        <v>2807</v>
      </c>
      <c r="B164" s="3" t="str">
        <f t="shared" si="1"/>
        <v>0.05</v>
      </c>
      <c r="C164" s="1" t="str">
        <f t="array" ref="C164">IF(B163="NEW ROUTE",TEXTSPLIT(B164,","),"")</f>
        <v/>
      </c>
      <c r="H164" s="1" t="str">
        <f t="shared" ref="H164:I164" si="166">IF(C164&lt;&gt;"",DEC2HEX(C164,2),"")</f>
        <v/>
      </c>
      <c r="I164" s="1" t="str">
        <f t="shared" si="166"/>
        <v/>
      </c>
      <c r="J164" s="1" t="str">
        <f t="shared" si="3"/>
        <v/>
      </c>
      <c r="L164" s="1" t="s">
        <v>2807</v>
      </c>
      <c r="M164" s="1" t="str">
        <f t="shared" si="4"/>
        <v>0.05</v>
      </c>
    </row>
    <row r="165" ht="12.75" customHeight="1">
      <c r="A165" s="3" t="s">
        <v>2875</v>
      </c>
      <c r="B165" s="3" t="str">
        <f t="shared" si="1"/>
        <v>53, 57, MACHULK</v>
      </c>
      <c r="C165" s="1" t="str">
        <f t="array" ref="C165">IF(B164="NEW ROUTE",TEXTSPLIT(B165,","),"")</f>
        <v/>
      </c>
      <c r="H165" s="1" t="str">
        <f t="shared" ref="H165:I165" si="167">IF(C165&lt;&gt;"",DEC2HEX(C165,2),"")</f>
        <v/>
      </c>
      <c r="I165" s="1" t="str">
        <f t="shared" si="167"/>
        <v/>
      </c>
      <c r="J165" s="1" t="str">
        <f t="shared" si="3"/>
        <v/>
      </c>
      <c r="L165" s="1" t="s">
        <v>2875</v>
      </c>
      <c r="M165" s="1" t="str">
        <f t="shared" si="4"/>
        <v>53, 57, MACHULK</v>
      </c>
    </row>
    <row r="166" ht="12.75" customHeight="1">
      <c r="A166" s="3" t="s">
        <v>2876</v>
      </c>
      <c r="B166" s="3" t="str">
        <f t="shared" si="1"/>
        <v>53, 57, RHYMARKABL</v>
      </c>
      <c r="C166" s="1" t="str">
        <f t="array" ref="C166">IF(B165="NEW ROUTE",TEXTSPLIT(B166,","),"")</f>
        <v/>
      </c>
      <c r="H166" s="1" t="str">
        <f t="shared" ref="H166:I166" si="168">IF(C166&lt;&gt;"",DEC2HEX(C166,2),"")</f>
        <v/>
      </c>
      <c r="I166" s="1" t="str">
        <f t="shared" si="168"/>
        <v/>
      </c>
      <c r="J166" s="1" t="str">
        <f t="shared" si="3"/>
        <v/>
      </c>
      <c r="L166" s="1" t="s">
        <v>2876</v>
      </c>
      <c r="M166" s="1" t="str">
        <f t="shared" si="4"/>
        <v>53, 57, RHYMARKABL</v>
      </c>
    </row>
    <row r="167" ht="12.75" customHeight="1">
      <c r="A167" s="3" t="s">
        <v>2810</v>
      </c>
      <c r="B167" s="3" t="str">
        <f t="shared" si="1"/>
        <v>0.04</v>
      </c>
      <c r="C167" s="1" t="str">
        <f t="array" ref="C167">IF(B166="NEW ROUTE",TEXTSPLIT(B167,","),"")</f>
        <v/>
      </c>
      <c r="H167" s="1" t="str">
        <f t="shared" ref="H167:I167" si="169">IF(C167&lt;&gt;"",DEC2HEX(C167,2),"")</f>
        <v/>
      </c>
      <c r="I167" s="1" t="str">
        <f t="shared" si="169"/>
        <v/>
      </c>
      <c r="J167" s="1" t="str">
        <f t="shared" si="3"/>
        <v/>
      </c>
      <c r="L167" s="1" t="s">
        <v>2810</v>
      </c>
      <c r="M167" s="1" t="str">
        <f t="shared" si="4"/>
        <v>0.04</v>
      </c>
    </row>
    <row r="168" ht="12.75" customHeight="1">
      <c r="A168" s="3" t="s">
        <v>2877</v>
      </c>
      <c r="B168" s="3" t="str">
        <f t="shared" si="1"/>
        <v>55, 57, PLATNIX</v>
      </c>
      <c r="C168" s="1" t="str">
        <f t="array" ref="C168">IF(B167="NEW ROUTE",TEXTSPLIT(B168,","),"")</f>
        <v/>
      </c>
      <c r="H168" s="1" t="str">
        <f t="shared" ref="H168:I168" si="170">IF(C168&lt;&gt;"",DEC2HEX(C168,2),"")</f>
        <v/>
      </c>
      <c r="I168" s="1" t="str">
        <f t="shared" si="170"/>
        <v/>
      </c>
      <c r="J168" s="1" t="str">
        <f t="shared" si="3"/>
        <v/>
      </c>
      <c r="L168" s="1" t="s">
        <v>2877</v>
      </c>
      <c r="M168" s="1" t="str">
        <f t="shared" si="4"/>
        <v>55, 57, PLATNIX</v>
      </c>
    </row>
    <row r="169" ht="12.75" customHeight="1">
      <c r="A169" s="3" t="s">
        <v>2878</v>
      </c>
      <c r="B169" s="3" t="str">
        <f t="shared" si="1"/>
        <v>55, 57, SLAGOLEM</v>
      </c>
      <c r="C169" s="1" t="str">
        <f t="array" ref="C169">IF(B168="NEW ROUTE",TEXTSPLIT(B169,","),"")</f>
        <v/>
      </c>
      <c r="H169" s="1" t="str">
        <f t="shared" ref="H169:I169" si="171">IF(C169&lt;&gt;"",DEC2HEX(C169,2),"")</f>
        <v/>
      </c>
      <c r="I169" s="1" t="str">
        <f t="shared" si="171"/>
        <v/>
      </c>
      <c r="J169" s="1" t="str">
        <f t="shared" si="3"/>
        <v/>
      </c>
      <c r="L169" s="1" t="s">
        <v>2878</v>
      </c>
      <c r="M169" s="1" t="str">
        <f t="shared" si="4"/>
        <v>55, 57, SLAGOLEM</v>
      </c>
    </row>
    <row r="170" ht="12.75" customHeight="1">
      <c r="A170" s="3" t="s">
        <v>2813</v>
      </c>
      <c r="B170" s="3" t="str">
        <f t="shared" si="1"/>
        <v>0.01</v>
      </c>
      <c r="C170" s="1" t="str">
        <f t="array" ref="C170">IF(B169="NEW ROUTE",TEXTSPLIT(B170,","),"")</f>
        <v/>
      </c>
      <c r="H170" s="1" t="str">
        <f t="shared" ref="H170:I170" si="172">IF(C170&lt;&gt;"",DEC2HEX(C170,2),"")</f>
        <v/>
      </c>
      <c r="I170" s="1" t="str">
        <f t="shared" si="172"/>
        <v/>
      </c>
      <c r="J170" s="1" t="str">
        <f t="shared" si="3"/>
        <v/>
      </c>
      <c r="L170" s="1" t="s">
        <v>2813</v>
      </c>
      <c r="M170" s="1" t="str">
        <f t="shared" si="4"/>
        <v>0.01</v>
      </c>
    </row>
    <row r="171" ht="12.75" customHeight="1">
      <c r="A171" s="3" t="s">
        <v>2885</v>
      </c>
      <c r="B171" s="3" t="str">
        <f t="shared" si="1"/>
        <v>60, 62, MOLTREM</v>
      </c>
      <c r="C171" s="1" t="str">
        <f t="array" ref="C171">IF(B170="NEW ROUTE",TEXTSPLIT(B171,","),"")</f>
        <v/>
      </c>
      <c r="H171" s="1" t="str">
        <f t="shared" ref="H171:I171" si="173">IF(C171&lt;&gt;"",DEC2HEX(C171,2),"")</f>
        <v/>
      </c>
      <c r="I171" s="1" t="str">
        <f t="shared" si="173"/>
        <v/>
      </c>
      <c r="J171" s="1" t="str">
        <f t="shared" si="3"/>
        <v/>
      </c>
      <c r="L171" s="1" t="s">
        <v>2885</v>
      </c>
      <c r="M171" s="1" t="str">
        <f t="shared" si="4"/>
        <v>60, 62, MOLTREM</v>
      </c>
    </row>
    <row r="172" ht="12.75" customHeight="1">
      <c r="A172" s="3" t="s">
        <v>2886</v>
      </c>
      <c r="B172" s="3" t="str">
        <f t="shared" si="1"/>
        <v>60, 62, CLAYMOR , &lt;null&gt;, &lt;null&gt;, &lt;null&gt;</v>
      </c>
      <c r="C172" s="1" t="str">
        <f t="array" ref="C172">IF(B171="NEW ROUTE",TEXTSPLIT(B172,","),"")</f>
        <v/>
      </c>
      <c r="H172" s="1" t="str">
        <f t="shared" ref="H172:I172" si="174">IF(C172&lt;&gt;"",DEC2HEX(C172,2),"")</f>
        <v/>
      </c>
      <c r="I172" s="1" t="str">
        <f t="shared" si="174"/>
        <v/>
      </c>
      <c r="J172" s="1" t="str">
        <f t="shared" si="3"/>
        <v/>
      </c>
      <c r="L172" s="1" t="s">
        <v>2886</v>
      </c>
      <c r="M172" s="1" t="str">
        <f t="shared" si="4"/>
        <v>60, 62, CLAYMOR , &lt;null&gt;, &lt;null&gt;, &lt;null&gt;</v>
      </c>
    </row>
    <row r="173" ht="12.75" customHeight="1">
      <c r="A173" s="3" t="s">
        <v>2539</v>
      </c>
      <c r="B173" s="3" t="str">
        <f t="shared" si="1"/>
        <v>NEW ROUTE</v>
      </c>
      <c r="C173" s="1" t="str">
        <f t="array" ref="C173">IF(B172="NEW ROUTE",TEXTSPLIT(B173,","),"")</f>
        <v/>
      </c>
      <c r="H173" s="1" t="str">
        <f t="shared" ref="H173:I173" si="175">IF(C173&lt;&gt;"",DEC2HEX(C173,2),"")</f>
        <v/>
      </c>
      <c r="I173" s="1" t="str">
        <f t="shared" si="175"/>
        <v/>
      </c>
      <c r="J173" s="1" t="str">
        <f t="shared" si="3"/>
        <v/>
      </c>
      <c r="L173" s="1" t="s">
        <v>2539</v>
      </c>
      <c r="M173" s="1" t="str">
        <f t="shared" si="4"/>
        <v>NEW ROUTE</v>
      </c>
    </row>
    <row r="174" ht="12.75" customHeight="1">
      <c r="A174" s="3" t="s">
        <v>2887</v>
      </c>
      <c r="B174" s="3" t="str">
        <f t="shared" si="1"/>
        <v>1, 59, 0,</v>
      </c>
      <c r="C174" s="1" t="str">
        <f t="array" ref="C174">IF(B173="NEW ROUTE",TEXTSPLIT(B174,","),"")</f>
        <v>#NAME?</v>
      </c>
      <c r="H174" s="1" t="str">
        <f t="shared" ref="H174:I174" si="176">IF(C174&lt;&gt;"",DEC2HEX(C174,2),"")</f>
        <v>#NAME?</v>
      </c>
      <c r="I174" s="1" t="str">
        <f t="shared" si="176"/>
        <v/>
      </c>
      <c r="J174" s="1" t="str">
        <f t="shared" si="3"/>
        <v>#NAME?</v>
      </c>
      <c r="L174" s="1" t="s">
        <v>2887</v>
      </c>
      <c r="M174" s="1" t="str">
        <f t="shared" si="4"/>
        <v>#NAME?</v>
      </c>
    </row>
    <row r="175" ht="12.75" customHeight="1">
      <c r="A175" s="3" t="s">
        <v>2817</v>
      </c>
      <c r="B175" s="3" t="str">
        <f t="shared" si="1"/>
        <v>20%</v>
      </c>
      <c r="C175" s="1" t="str">
        <f t="array" ref="C175">IF(B174="NEW ROUTE",TEXTSPLIT(B175,","),"")</f>
        <v/>
      </c>
      <c r="H175" s="1" t="str">
        <f t="shared" ref="H175:I175" si="177">IF(C175&lt;&gt;"",DEC2HEX(C175,2),"")</f>
        <v/>
      </c>
      <c r="I175" s="1" t="str">
        <f t="shared" si="177"/>
        <v/>
      </c>
      <c r="J175" s="1" t="str">
        <f t="shared" si="3"/>
        <v/>
      </c>
      <c r="L175" s="1" t="s">
        <v>2799</v>
      </c>
      <c r="M175" s="1" t="str">
        <f t="shared" si="4"/>
        <v>20%</v>
      </c>
    </row>
    <row r="176" ht="12.75" customHeight="1">
      <c r="A176" s="3" t="s">
        <v>462</v>
      </c>
      <c r="B176" s="3" t="str">
        <f t="shared" si="1"/>
        <v>40, 44, RATTCHET</v>
      </c>
      <c r="C176" s="1" t="str">
        <f t="array" ref="C176">IF(B175="NEW ROUTE",TEXTSPLIT(B176,","),"")</f>
        <v/>
      </c>
      <c r="H176" s="1" t="str">
        <f t="shared" ref="H176:I176" si="178">IF(C176&lt;&gt;"",DEC2HEX(C176,2),"")</f>
        <v/>
      </c>
      <c r="I176" s="1" t="str">
        <f t="shared" si="178"/>
        <v/>
      </c>
      <c r="J176" s="1" t="str">
        <f t="shared" si="3"/>
        <v/>
      </c>
      <c r="L176" s="1" t="s">
        <v>462</v>
      </c>
      <c r="M176" s="1" t="str">
        <f t="shared" si="4"/>
        <v>40, 44, RATTCHET</v>
      </c>
    </row>
    <row r="177" ht="12.75" customHeight="1">
      <c r="A177" s="3" t="s">
        <v>2888</v>
      </c>
      <c r="B177" s="3" t="str">
        <f t="shared" si="1"/>
        <v>40, 44, NINETALES</v>
      </c>
      <c r="C177" s="1" t="str">
        <f t="array" ref="C177">IF(B176="NEW ROUTE",TEXTSPLIT(B177,","),"")</f>
        <v/>
      </c>
      <c r="H177" s="1" t="str">
        <f t="shared" ref="H177:I177" si="179">IF(C177&lt;&gt;"",DEC2HEX(C177,2),"")</f>
        <v/>
      </c>
      <c r="I177" s="1" t="str">
        <f t="shared" si="179"/>
        <v/>
      </c>
      <c r="J177" s="1" t="str">
        <f t="shared" si="3"/>
        <v/>
      </c>
      <c r="L177" s="1" t="s">
        <v>2888</v>
      </c>
      <c r="M177" s="1" t="str">
        <f t="shared" si="4"/>
        <v>40, 44, NINETALES</v>
      </c>
    </row>
    <row r="178" ht="12.75" customHeight="1">
      <c r="A178" s="3" t="s">
        <v>2802</v>
      </c>
      <c r="B178" s="3" t="str">
        <f t="shared" si="1"/>
        <v>0.1</v>
      </c>
      <c r="C178" s="1" t="str">
        <f t="array" ref="C178">IF(B177="NEW ROUTE",TEXTSPLIT(B178,","),"")</f>
        <v/>
      </c>
      <c r="H178" s="1" t="str">
        <f t="shared" ref="H178:I178" si="180">IF(C178&lt;&gt;"",DEC2HEX(C178,2),"")</f>
        <v/>
      </c>
      <c r="I178" s="1" t="str">
        <f t="shared" si="180"/>
        <v/>
      </c>
      <c r="J178" s="1" t="str">
        <f t="shared" si="3"/>
        <v/>
      </c>
      <c r="L178" s="1" t="s">
        <v>2802</v>
      </c>
      <c r="M178" s="1" t="str">
        <f t="shared" si="4"/>
        <v>0.1</v>
      </c>
    </row>
    <row r="179" ht="12.75" customHeight="1">
      <c r="A179" s="3" t="s">
        <v>2889</v>
      </c>
      <c r="B179" s="3" t="str">
        <f t="shared" si="1"/>
        <v>41, 42, ARCANINE</v>
      </c>
      <c r="C179" s="1" t="str">
        <f t="array" ref="C179">IF(B178="NEW ROUTE",TEXTSPLIT(B179,","),"")</f>
        <v/>
      </c>
      <c r="H179" s="1" t="str">
        <f t="shared" ref="H179:I179" si="181">IF(C179&lt;&gt;"",DEC2HEX(C179,2),"")</f>
        <v/>
      </c>
      <c r="I179" s="1" t="str">
        <f t="shared" si="181"/>
        <v/>
      </c>
      <c r="J179" s="1" t="str">
        <f t="shared" si="3"/>
        <v/>
      </c>
      <c r="L179" s="1" t="s">
        <v>2889</v>
      </c>
      <c r="M179" s="1" t="str">
        <f t="shared" si="4"/>
        <v>41, 42, ARCANINE</v>
      </c>
    </row>
    <row r="180" ht="12.75" customHeight="1">
      <c r="A180" s="3" t="s">
        <v>2890</v>
      </c>
      <c r="B180" s="3" t="str">
        <f t="shared" si="1"/>
        <v>43, 44, ARCANINE</v>
      </c>
      <c r="C180" s="1" t="str">
        <f t="array" ref="C180">IF(B179="NEW ROUTE",TEXTSPLIT(B180,","),"")</f>
        <v/>
      </c>
      <c r="H180" s="1" t="str">
        <f t="shared" ref="H180:I180" si="182">IF(C180&lt;&gt;"",DEC2HEX(C180,2),"")</f>
        <v/>
      </c>
      <c r="I180" s="1" t="str">
        <f t="shared" si="182"/>
        <v/>
      </c>
      <c r="J180" s="1" t="str">
        <f t="shared" si="3"/>
        <v/>
      </c>
      <c r="L180" s="1" t="s">
        <v>2890</v>
      </c>
      <c r="M180" s="1" t="str">
        <f t="shared" si="4"/>
        <v>43, 44, ARCANINE</v>
      </c>
    </row>
    <row r="181" ht="12.75" customHeight="1">
      <c r="A181" s="3" t="s">
        <v>2891</v>
      </c>
      <c r="B181" s="3" t="str">
        <f t="shared" si="1"/>
        <v>42, 44, WEEZING</v>
      </c>
      <c r="C181" s="1" t="str">
        <f t="array" ref="C181">IF(B180="NEW ROUTE",TEXTSPLIT(B181,","),"")</f>
        <v/>
      </c>
      <c r="H181" s="1" t="str">
        <f t="shared" ref="H181:I181" si="183">IF(C181&lt;&gt;"",DEC2HEX(C181,2),"")</f>
        <v/>
      </c>
      <c r="I181" s="1" t="str">
        <f t="shared" si="183"/>
        <v/>
      </c>
      <c r="J181" s="1" t="str">
        <f t="shared" si="3"/>
        <v/>
      </c>
      <c r="L181" s="1" t="s">
        <v>2891</v>
      </c>
      <c r="M181" s="1" t="str">
        <f t="shared" si="4"/>
        <v>42, 44, WEEZING</v>
      </c>
    </row>
    <row r="182" ht="12.75" customHeight="1">
      <c r="A182" s="3" t="s">
        <v>2892</v>
      </c>
      <c r="B182" s="3" t="str">
        <f t="shared" si="1"/>
        <v>42, 44, MUK</v>
      </c>
      <c r="C182" s="1" t="str">
        <f t="array" ref="C182">IF(B181="NEW ROUTE",TEXTSPLIT(B182,","),"")</f>
        <v/>
      </c>
      <c r="H182" s="1" t="str">
        <f t="shared" ref="H182:I182" si="184">IF(C182&lt;&gt;"",DEC2HEX(C182,2),"")</f>
        <v/>
      </c>
      <c r="I182" s="1" t="str">
        <f t="shared" si="184"/>
        <v/>
      </c>
      <c r="J182" s="1" t="str">
        <f t="shared" si="3"/>
        <v/>
      </c>
      <c r="L182" s="1" t="s">
        <v>2892</v>
      </c>
      <c r="M182" s="1" t="str">
        <f t="shared" si="4"/>
        <v>42, 44, MUK</v>
      </c>
    </row>
    <row r="183" ht="12.75" customHeight="1">
      <c r="A183" s="3" t="s">
        <v>2807</v>
      </c>
      <c r="B183" s="3" t="str">
        <f t="shared" si="1"/>
        <v>0.05</v>
      </c>
      <c r="C183" s="1" t="str">
        <f t="array" ref="C183">IF(B182="NEW ROUTE",TEXTSPLIT(B183,","),"")</f>
        <v/>
      </c>
      <c r="H183" s="1" t="str">
        <f t="shared" ref="H183:I183" si="185">IF(C183&lt;&gt;"",DEC2HEX(C183,2),"")</f>
        <v/>
      </c>
      <c r="I183" s="1" t="str">
        <f t="shared" si="185"/>
        <v/>
      </c>
      <c r="J183" s="1" t="str">
        <f t="shared" si="3"/>
        <v/>
      </c>
      <c r="L183" s="1" t="s">
        <v>2807</v>
      </c>
      <c r="M183" s="1" t="str">
        <f t="shared" si="4"/>
        <v>0.05</v>
      </c>
    </row>
    <row r="184" ht="12.75" customHeight="1">
      <c r="A184" s="3" t="s">
        <v>2893</v>
      </c>
      <c r="B184" s="3" t="str">
        <f t="shared" si="1"/>
        <v>43, 45, SINGESHA</v>
      </c>
      <c r="C184" s="1" t="str">
        <f t="array" ref="C184">IF(B183="NEW ROUTE",TEXTSPLIT(B184,","),"")</f>
        <v/>
      </c>
      <c r="H184" s="1" t="str">
        <f t="shared" ref="H184:I184" si="186">IF(C184&lt;&gt;"",DEC2HEX(C184,2),"")</f>
        <v/>
      </c>
      <c r="I184" s="1" t="str">
        <f t="shared" si="186"/>
        <v/>
      </c>
      <c r="J184" s="1" t="str">
        <f t="shared" si="3"/>
        <v/>
      </c>
      <c r="L184" s="1" t="s">
        <v>2893</v>
      </c>
      <c r="M184" s="1" t="str">
        <f t="shared" si="4"/>
        <v>43, 45, SINGESHA</v>
      </c>
    </row>
    <row r="185" ht="12.75" customHeight="1">
      <c r="A185" s="3" t="s">
        <v>2894</v>
      </c>
      <c r="B185" s="3" t="str">
        <f t="shared" si="1"/>
        <v>43, 45, SPIRITALES</v>
      </c>
      <c r="C185" s="1" t="str">
        <f t="array" ref="C185">IF(B184="NEW ROUTE",TEXTSPLIT(B185,","),"")</f>
        <v/>
      </c>
      <c r="H185" s="1" t="str">
        <f t="shared" ref="H185:I185" si="187">IF(C185&lt;&gt;"",DEC2HEX(C185,2),"")</f>
        <v/>
      </c>
      <c r="I185" s="1" t="str">
        <f t="shared" si="187"/>
        <v/>
      </c>
      <c r="J185" s="1" t="str">
        <f t="shared" si="3"/>
        <v/>
      </c>
      <c r="L185" s="1" t="s">
        <v>2894</v>
      </c>
      <c r="M185" s="1" t="str">
        <f t="shared" si="4"/>
        <v>43, 45, SPIRITALES</v>
      </c>
    </row>
    <row r="186" ht="12.75" customHeight="1">
      <c r="A186" s="3" t="s">
        <v>2810</v>
      </c>
      <c r="B186" s="3" t="str">
        <f t="shared" si="1"/>
        <v>0.04</v>
      </c>
      <c r="C186" s="1" t="str">
        <f t="array" ref="C186">IF(B185="NEW ROUTE",TEXTSPLIT(B186,","),"")</f>
        <v/>
      </c>
      <c r="H186" s="1" t="str">
        <f t="shared" ref="H186:I186" si="188">IF(C186&lt;&gt;"",DEC2HEX(C186,2),"")</f>
        <v/>
      </c>
      <c r="I186" s="1" t="str">
        <f t="shared" si="188"/>
        <v/>
      </c>
      <c r="J186" s="1" t="str">
        <f t="shared" si="3"/>
        <v/>
      </c>
      <c r="L186" s="1" t="s">
        <v>2810</v>
      </c>
      <c r="M186" s="1" t="str">
        <f t="shared" si="4"/>
        <v>0.04</v>
      </c>
    </row>
    <row r="187" ht="12.75" customHeight="1">
      <c r="A187" s="3" t="s">
        <v>2895</v>
      </c>
      <c r="B187" s="3" t="str">
        <f t="shared" si="1"/>
        <v>45, 46, GUNK</v>
      </c>
      <c r="C187" s="1" t="str">
        <f t="array" ref="C187">IF(B186="NEW ROUTE",TEXTSPLIT(B187,","),"")</f>
        <v/>
      </c>
      <c r="H187" s="1" t="str">
        <f t="shared" ref="H187:I187" si="189">IF(C187&lt;&gt;"",DEC2HEX(C187,2),"")</f>
        <v/>
      </c>
      <c r="I187" s="1" t="str">
        <f t="shared" si="189"/>
        <v/>
      </c>
      <c r="J187" s="1" t="str">
        <f t="shared" si="3"/>
        <v/>
      </c>
      <c r="L187" s="1" t="s">
        <v>2895</v>
      </c>
      <c r="M187" s="1" t="str">
        <f t="shared" si="4"/>
        <v>45, 46, GUNK</v>
      </c>
    </row>
    <row r="188" ht="12.75" customHeight="1">
      <c r="A188" s="3" t="s">
        <v>2896</v>
      </c>
      <c r="B188" s="3" t="str">
        <f t="shared" si="1"/>
        <v>45, 46, HEEVING</v>
      </c>
      <c r="C188" s="1" t="str">
        <f t="array" ref="C188">IF(B187="NEW ROUTE",TEXTSPLIT(B188,","),"")</f>
        <v/>
      </c>
      <c r="H188" s="1" t="str">
        <f t="shared" ref="H188:I188" si="190">IF(C188&lt;&gt;"",DEC2HEX(C188,2),"")</f>
        <v/>
      </c>
      <c r="I188" s="1" t="str">
        <f t="shared" si="190"/>
        <v/>
      </c>
      <c r="J188" s="1" t="str">
        <f t="shared" si="3"/>
        <v/>
      </c>
      <c r="L188" s="1" t="s">
        <v>2896</v>
      </c>
      <c r="M188" s="1" t="str">
        <f t="shared" si="4"/>
        <v>45, 46, HEEVING</v>
      </c>
    </row>
    <row r="189" ht="12.75" customHeight="1">
      <c r="A189" s="3" t="s">
        <v>2813</v>
      </c>
      <c r="B189" s="3" t="str">
        <f t="shared" si="1"/>
        <v>0.01</v>
      </c>
      <c r="C189" s="1" t="str">
        <f t="array" ref="C189">IF(B188="NEW ROUTE",TEXTSPLIT(B189,","),"")</f>
        <v/>
      </c>
      <c r="H189" s="1" t="str">
        <f t="shared" ref="H189:I189" si="191">IF(C189&lt;&gt;"",DEC2HEX(C189,2),"")</f>
        <v/>
      </c>
      <c r="I189" s="1" t="str">
        <f t="shared" si="191"/>
        <v/>
      </c>
      <c r="J189" s="1" t="str">
        <f t="shared" si="3"/>
        <v/>
      </c>
      <c r="L189" s="1" t="s">
        <v>2813</v>
      </c>
      <c r="M189" s="1" t="str">
        <f t="shared" si="4"/>
        <v>0.01</v>
      </c>
    </row>
    <row r="190" ht="12.75" customHeight="1">
      <c r="A190" s="3" t="s">
        <v>2897</v>
      </c>
      <c r="B190" s="3" t="str">
        <f t="shared" si="1"/>
        <v>44, 47, RATTARULE</v>
      </c>
      <c r="C190" s="1" t="str">
        <f t="array" ref="C190">IF(B189="NEW ROUTE",TEXTSPLIT(B190,","),"")</f>
        <v/>
      </c>
      <c r="H190" s="1" t="str">
        <f t="shared" ref="H190:I190" si="192">IF(C190&lt;&gt;"",DEC2HEX(C190,2),"")</f>
        <v/>
      </c>
      <c r="I190" s="1" t="str">
        <f t="shared" si="192"/>
        <v/>
      </c>
      <c r="J190" s="1" t="str">
        <f t="shared" si="3"/>
        <v/>
      </c>
      <c r="L190" s="1" t="s">
        <v>2897</v>
      </c>
      <c r="M190" s="1" t="str">
        <f t="shared" si="4"/>
        <v>44, 47, RATTARULE</v>
      </c>
    </row>
    <row r="191" ht="12.75" customHeight="1">
      <c r="A191" s="3" t="s">
        <v>2898</v>
      </c>
      <c r="B191" s="3" t="str">
        <f t="shared" si="1"/>
        <v>20, 25, CHARMANDER , &lt;null&gt;, &lt;null&gt;, &lt;null&gt;</v>
      </c>
      <c r="C191" s="1" t="str">
        <f t="array" ref="C191">IF(B190="NEW ROUTE",TEXTSPLIT(B191,","),"")</f>
        <v/>
      </c>
      <c r="H191" s="1" t="str">
        <f t="shared" ref="H191:I191" si="193">IF(C191&lt;&gt;"",DEC2HEX(C191,2),"")</f>
        <v/>
      </c>
      <c r="I191" s="1" t="str">
        <f t="shared" si="193"/>
        <v/>
      </c>
      <c r="J191" s="1" t="str">
        <f t="shared" si="3"/>
        <v/>
      </c>
      <c r="L191" s="1" t="s">
        <v>2898</v>
      </c>
      <c r="M191" s="1" t="str">
        <f t="shared" si="4"/>
        <v>20, 25, CHARMANDER , &lt;null&gt;, &lt;null&gt;, &lt;null&gt;</v>
      </c>
    </row>
    <row r="192" ht="12.75" customHeight="1">
      <c r="A192" s="3" t="s">
        <v>2539</v>
      </c>
      <c r="B192" s="3" t="str">
        <f t="shared" si="1"/>
        <v>NEW ROUTE</v>
      </c>
      <c r="C192" s="1" t="str">
        <f t="array" ref="C192">IF(B191="NEW ROUTE",TEXTSPLIT(B192,","),"")</f>
        <v/>
      </c>
      <c r="H192" s="1" t="str">
        <f t="shared" ref="H192:I192" si="194">IF(C192&lt;&gt;"",DEC2HEX(C192,2),"")</f>
        <v/>
      </c>
      <c r="I192" s="1" t="str">
        <f t="shared" si="194"/>
        <v/>
      </c>
      <c r="J192" s="1" t="str">
        <f t="shared" si="3"/>
        <v/>
      </c>
      <c r="L192" s="1" t="s">
        <v>2539</v>
      </c>
      <c r="M192" s="1" t="str">
        <f t="shared" si="4"/>
        <v>NEW ROUTE</v>
      </c>
    </row>
    <row r="193" ht="12.75" customHeight="1">
      <c r="A193" s="3" t="s">
        <v>2899</v>
      </c>
      <c r="B193" s="3" t="str">
        <f t="shared" si="1"/>
        <v>1, 60, 0,</v>
      </c>
      <c r="C193" s="1" t="str">
        <f t="array" ref="C193">IF(B192="NEW ROUTE",TEXTSPLIT(B193,","),"")</f>
        <v>#NAME?</v>
      </c>
      <c r="H193" s="1" t="str">
        <f t="shared" ref="H193:I193" si="195">IF(C193&lt;&gt;"",DEC2HEX(C193,2),"")</f>
        <v>#NAME?</v>
      </c>
      <c r="I193" s="1" t="str">
        <f t="shared" si="195"/>
        <v/>
      </c>
      <c r="J193" s="1" t="str">
        <f t="shared" si="3"/>
        <v>#NAME?</v>
      </c>
      <c r="L193" s="1" t="s">
        <v>2899</v>
      </c>
      <c r="M193" s="1" t="str">
        <f t="shared" si="4"/>
        <v>#NAME?</v>
      </c>
    </row>
    <row r="194" ht="12.75" customHeight="1">
      <c r="A194" s="3" t="s">
        <v>2817</v>
      </c>
      <c r="B194" s="3" t="str">
        <f t="shared" si="1"/>
        <v>20%</v>
      </c>
      <c r="C194" s="1" t="str">
        <f t="array" ref="C194">IF(B193="NEW ROUTE",TEXTSPLIT(B194,","),"")</f>
        <v/>
      </c>
      <c r="H194" s="1" t="str">
        <f t="shared" ref="H194:I194" si="196">IF(C194&lt;&gt;"",DEC2HEX(C194,2),"")</f>
        <v/>
      </c>
      <c r="I194" s="1" t="str">
        <f t="shared" si="196"/>
        <v/>
      </c>
      <c r="J194" s="1" t="str">
        <f t="shared" si="3"/>
        <v/>
      </c>
      <c r="L194" s="1" t="s">
        <v>2799</v>
      </c>
      <c r="M194" s="1" t="str">
        <f t="shared" si="4"/>
        <v>20%</v>
      </c>
    </row>
    <row r="195" ht="12.75" customHeight="1">
      <c r="A195" s="3" t="s">
        <v>462</v>
      </c>
      <c r="B195" s="3" t="str">
        <f t="shared" si="1"/>
        <v>40, 44, RATTCHET</v>
      </c>
      <c r="C195" s="1" t="str">
        <f t="array" ref="C195">IF(B194="NEW ROUTE",TEXTSPLIT(B195,","),"")</f>
        <v/>
      </c>
      <c r="H195" s="1" t="str">
        <f t="shared" ref="H195:I195" si="197">IF(C195&lt;&gt;"",DEC2HEX(C195,2),"")</f>
        <v/>
      </c>
      <c r="I195" s="1" t="str">
        <f t="shared" si="197"/>
        <v/>
      </c>
      <c r="J195" s="1" t="str">
        <f t="shared" si="3"/>
        <v/>
      </c>
      <c r="L195" s="1" t="s">
        <v>462</v>
      </c>
      <c r="M195" s="1" t="str">
        <f t="shared" si="4"/>
        <v>40, 44, RATTCHET</v>
      </c>
    </row>
    <row r="196" ht="12.75" customHeight="1">
      <c r="A196" s="3" t="s">
        <v>2888</v>
      </c>
      <c r="B196" s="3" t="str">
        <f t="shared" si="1"/>
        <v>40, 44, NINETALES</v>
      </c>
      <c r="C196" s="1" t="str">
        <f t="array" ref="C196">IF(B195="NEW ROUTE",TEXTSPLIT(B196,","),"")</f>
        <v/>
      </c>
      <c r="H196" s="1" t="str">
        <f t="shared" ref="H196:I196" si="198">IF(C196&lt;&gt;"",DEC2HEX(C196,2),"")</f>
        <v/>
      </c>
      <c r="I196" s="1" t="str">
        <f t="shared" si="198"/>
        <v/>
      </c>
      <c r="J196" s="1" t="str">
        <f t="shared" si="3"/>
        <v/>
      </c>
      <c r="L196" s="1" t="s">
        <v>2888</v>
      </c>
      <c r="M196" s="1" t="str">
        <f t="shared" si="4"/>
        <v>40, 44, NINETALES</v>
      </c>
    </row>
    <row r="197" ht="12.75" customHeight="1">
      <c r="A197" s="3" t="s">
        <v>2802</v>
      </c>
      <c r="B197" s="3" t="str">
        <f t="shared" si="1"/>
        <v>0.1</v>
      </c>
      <c r="C197" s="1" t="str">
        <f t="array" ref="C197">IF(B196="NEW ROUTE",TEXTSPLIT(B197,","),"")</f>
        <v/>
      </c>
      <c r="H197" s="1" t="str">
        <f t="shared" ref="H197:I197" si="199">IF(C197&lt;&gt;"",DEC2HEX(C197,2),"")</f>
        <v/>
      </c>
      <c r="I197" s="1" t="str">
        <f t="shared" si="199"/>
        <v/>
      </c>
      <c r="J197" s="1" t="str">
        <f t="shared" si="3"/>
        <v/>
      </c>
      <c r="L197" s="1" t="s">
        <v>2802</v>
      </c>
      <c r="M197" s="1" t="str">
        <f t="shared" si="4"/>
        <v>0.1</v>
      </c>
    </row>
    <row r="198" ht="12.75" customHeight="1">
      <c r="A198" s="3" t="s">
        <v>2889</v>
      </c>
      <c r="B198" s="3" t="str">
        <f t="shared" si="1"/>
        <v>41, 42, ARCANINE</v>
      </c>
      <c r="C198" s="1" t="str">
        <f t="array" ref="C198">IF(B197="NEW ROUTE",TEXTSPLIT(B198,","),"")</f>
        <v/>
      </c>
      <c r="H198" s="1" t="str">
        <f t="shared" ref="H198:I198" si="200">IF(C198&lt;&gt;"",DEC2HEX(C198,2),"")</f>
        <v/>
      </c>
      <c r="I198" s="1" t="str">
        <f t="shared" si="200"/>
        <v/>
      </c>
      <c r="J198" s="1" t="str">
        <f t="shared" si="3"/>
        <v/>
      </c>
      <c r="L198" s="1" t="s">
        <v>2889</v>
      </c>
      <c r="M198" s="1" t="str">
        <f t="shared" si="4"/>
        <v>41, 42, ARCANINE</v>
      </c>
    </row>
    <row r="199" ht="12.75" customHeight="1">
      <c r="A199" s="3" t="s">
        <v>2890</v>
      </c>
      <c r="B199" s="3" t="str">
        <f t="shared" si="1"/>
        <v>43, 44, ARCANINE</v>
      </c>
      <c r="C199" s="1" t="str">
        <f t="array" ref="C199">IF(B198="NEW ROUTE",TEXTSPLIT(B199,","),"")</f>
        <v/>
      </c>
      <c r="H199" s="1" t="str">
        <f t="shared" ref="H199:I199" si="201">IF(C199&lt;&gt;"",DEC2HEX(C199,2),"")</f>
        <v/>
      </c>
      <c r="I199" s="1" t="str">
        <f t="shared" si="201"/>
        <v/>
      </c>
      <c r="J199" s="1" t="str">
        <f t="shared" si="3"/>
        <v/>
      </c>
      <c r="L199" s="1" t="s">
        <v>2890</v>
      </c>
      <c r="M199" s="1" t="str">
        <f t="shared" si="4"/>
        <v>43, 44, ARCANINE</v>
      </c>
    </row>
    <row r="200" ht="12.75" customHeight="1">
      <c r="A200" s="3" t="s">
        <v>2891</v>
      </c>
      <c r="B200" s="3" t="str">
        <f t="shared" si="1"/>
        <v>42, 44, WEEZING</v>
      </c>
      <c r="C200" s="1" t="str">
        <f t="array" ref="C200">IF(B199="NEW ROUTE",TEXTSPLIT(B200,","),"")</f>
        <v/>
      </c>
      <c r="H200" s="1" t="str">
        <f t="shared" ref="H200:I200" si="202">IF(C200&lt;&gt;"",DEC2HEX(C200,2),"")</f>
        <v/>
      </c>
      <c r="I200" s="1" t="str">
        <f t="shared" si="202"/>
        <v/>
      </c>
      <c r="J200" s="1" t="str">
        <f t="shared" si="3"/>
        <v/>
      </c>
      <c r="L200" s="1" t="s">
        <v>2891</v>
      </c>
      <c r="M200" s="1" t="str">
        <f t="shared" si="4"/>
        <v>42, 44, WEEZING</v>
      </c>
    </row>
    <row r="201" ht="12.75" customHeight="1">
      <c r="A201" s="3" t="s">
        <v>2892</v>
      </c>
      <c r="B201" s="3" t="str">
        <f t="shared" si="1"/>
        <v>42, 44, MUK</v>
      </c>
      <c r="C201" s="1" t="str">
        <f t="array" ref="C201">IF(B200="NEW ROUTE",TEXTSPLIT(B201,","),"")</f>
        <v/>
      </c>
      <c r="H201" s="1" t="str">
        <f t="shared" ref="H201:I201" si="203">IF(C201&lt;&gt;"",DEC2HEX(C201,2),"")</f>
        <v/>
      </c>
      <c r="I201" s="1" t="str">
        <f t="shared" si="203"/>
        <v/>
      </c>
      <c r="J201" s="1" t="str">
        <f t="shared" si="3"/>
        <v/>
      </c>
      <c r="L201" s="1" t="s">
        <v>2892</v>
      </c>
      <c r="M201" s="1" t="str">
        <f t="shared" si="4"/>
        <v>42, 44, MUK</v>
      </c>
    </row>
    <row r="202" ht="12.75" customHeight="1">
      <c r="A202" s="3" t="s">
        <v>2807</v>
      </c>
      <c r="B202" s="3" t="str">
        <f t="shared" si="1"/>
        <v>0.05</v>
      </c>
      <c r="C202" s="1" t="str">
        <f t="array" ref="C202">IF(B201="NEW ROUTE",TEXTSPLIT(B202,","),"")</f>
        <v/>
      </c>
      <c r="H202" s="1" t="str">
        <f t="shared" ref="H202:I202" si="204">IF(C202&lt;&gt;"",DEC2HEX(C202,2),"")</f>
        <v/>
      </c>
      <c r="I202" s="1" t="str">
        <f t="shared" si="204"/>
        <v/>
      </c>
      <c r="J202" s="1" t="str">
        <f t="shared" si="3"/>
        <v/>
      </c>
      <c r="L202" s="1" t="s">
        <v>2807</v>
      </c>
      <c r="M202" s="1" t="str">
        <f t="shared" si="4"/>
        <v>0.05</v>
      </c>
    </row>
    <row r="203" ht="12.75" customHeight="1">
      <c r="A203" s="3" t="s">
        <v>2893</v>
      </c>
      <c r="B203" s="3" t="str">
        <f t="shared" si="1"/>
        <v>43, 45, SINGESHA</v>
      </c>
      <c r="C203" s="1" t="str">
        <f t="array" ref="C203">IF(B202="NEW ROUTE",TEXTSPLIT(B203,","),"")</f>
        <v/>
      </c>
      <c r="H203" s="1" t="str">
        <f t="shared" ref="H203:I203" si="205">IF(C203&lt;&gt;"",DEC2HEX(C203,2),"")</f>
        <v/>
      </c>
      <c r="I203" s="1" t="str">
        <f t="shared" si="205"/>
        <v/>
      </c>
      <c r="J203" s="1" t="str">
        <f t="shared" si="3"/>
        <v/>
      </c>
      <c r="L203" s="1" t="s">
        <v>2893</v>
      </c>
      <c r="M203" s="1" t="str">
        <f t="shared" si="4"/>
        <v>43, 45, SINGESHA</v>
      </c>
    </row>
    <row r="204" ht="12.75" customHeight="1">
      <c r="A204" s="3" t="s">
        <v>2894</v>
      </c>
      <c r="B204" s="3" t="str">
        <f t="shared" si="1"/>
        <v>43, 45, SPIRITALES</v>
      </c>
      <c r="C204" s="1" t="str">
        <f t="array" ref="C204">IF(B203="NEW ROUTE",TEXTSPLIT(B204,","),"")</f>
        <v/>
      </c>
      <c r="H204" s="1" t="str">
        <f t="shared" ref="H204:I204" si="206">IF(C204&lt;&gt;"",DEC2HEX(C204,2),"")</f>
        <v/>
      </c>
      <c r="I204" s="1" t="str">
        <f t="shared" si="206"/>
        <v/>
      </c>
      <c r="J204" s="1" t="str">
        <f t="shared" si="3"/>
        <v/>
      </c>
      <c r="L204" s="1" t="s">
        <v>2894</v>
      </c>
      <c r="M204" s="1" t="str">
        <f t="shared" si="4"/>
        <v>43, 45, SPIRITALES</v>
      </c>
    </row>
    <row r="205" ht="12.75" customHeight="1">
      <c r="A205" s="3" t="s">
        <v>2810</v>
      </c>
      <c r="B205" s="3" t="str">
        <f t="shared" si="1"/>
        <v>0.04</v>
      </c>
      <c r="C205" s="1" t="str">
        <f t="array" ref="C205">IF(B204="NEW ROUTE",TEXTSPLIT(B205,","),"")</f>
        <v/>
      </c>
      <c r="H205" s="1" t="str">
        <f t="shared" ref="H205:I205" si="207">IF(C205&lt;&gt;"",DEC2HEX(C205,2),"")</f>
        <v/>
      </c>
      <c r="I205" s="1" t="str">
        <f t="shared" si="207"/>
        <v/>
      </c>
      <c r="J205" s="1" t="str">
        <f t="shared" si="3"/>
        <v/>
      </c>
      <c r="L205" s="1" t="s">
        <v>2810</v>
      </c>
      <c r="M205" s="1" t="str">
        <f t="shared" si="4"/>
        <v>0.04</v>
      </c>
    </row>
    <row r="206" ht="12.75" customHeight="1">
      <c r="A206" s="3" t="s">
        <v>2895</v>
      </c>
      <c r="B206" s="3" t="str">
        <f t="shared" si="1"/>
        <v>45, 46, GUNK</v>
      </c>
      <c r="C206" s="1" t="str">
        <f t="array" ref="C206">IF(B205="NEW ROUTE",TEXTSPLIT(B206,","),"")</f>
        <v/>
      </c>
      <c r="H206" s="1" t="str">
        <f t="shared" ref="H206:I206" si="208">IF(C206&lt;&gt;"",DEC2HEX(C206,2),"")</f>
        <v/>
      </c>
      <c r="I206" s="1" t="str">
        <f t="shared" si="208"/>
        <v/>
      </c>
      <c r="J206" s="1" t="str">
        <f t="shared" si="3"/>
        <v/>
      </c>
      <c r="L206" s="1" t="s">
        <v>2895</v>
      </c>
      <c r="M206" s="1" t="str">
        <f t="shared" si="4"/>
        <v>45, 46, GUNK</v>
      </c>
    </row>
    <row r="207" ht="12.75" customHeight="1">
      <c r="A207" s="3" t="s">
        <v>2896</v>
      </c>
      <c r="B207" s="3" t="str">
        <f t="shared" si="1"/>
        <v>45, 46, HEEVING</v>
      </c>
      <c r="C207" s="1" t="str">
        <f t="array" ref="C207">IF(B206="NEW ROUTE",TEXTSPLIT(B207,","),"")</f>
        <v/>
      </c>
      <c r="H207" s="1" t="str">
        <f t="shared" ref="H207:I207" si="209">IF(C207&lt;&gt;"",DEC2HEX(C207,2),"")</f>
        <v/>
      </c>
      <c r="I207" s="1" t="str">
        <f t="shared" si="209"/>
        <v/>
      </c>
      <c r="J207" s="1" t="str">
        <f t="shared" si="3"/>
        <v/>
      </c>
      <c r="L207" s="1" t="s">
        <v>2896</v>
      </c>
      <c r="M207" s="1" t="str">
        <f t="shared" si="4"/>
        <v>45, 46, HEEVING</v>
      </c>
    </row>
    <row r="208" ht="12.75" customHeight="1">
      <c r="A208" s="3" t="s">
        <v>2813</v>
      </c>
      <c r="B208" s="3" t="str">
        <f t="shared" si="1"/>
        <v>0.01</v>
      </c>
      <c r="C208" s="1" t="str">
        <f t="array" ref="C208">IF(B207="NEW ROUTE",TEXTSPLIT(B208,","),"")</f>
        <v/>
      </c>
      <c r="H208" s="1" t="str">
        <f t="shared" ref="H208:I208" si="210">IF(C208&lt;&gt;"",DEC2HEX(C208,2),"")</f>
        <v/>
      </c>
      <c r="I208" s="1" t="str">
        <f t="shared" si="210"/>
        <v/>
      </c>
      <c r="J208" s="1" t="str">
        <f t="shared" si="3"/>
        <v/>
      </c>
      <c r="L208" s="1" t="s">
        <v>2813</v>
      </c>
      <c r="M208" s="1" t="str">
        <f t="shared" si="4"/>
        <v>0.01</v>
      </c>
    </row>
    <row r="209" ht="12.75" customHeight="1">
      <c r="A209" s="3" t="s">
        <v>2897</v>
      </c>
      <c r="B209" s="3" t="str">
        <f t="shared" si="1"/>
        <v>44, 47, RATTARULE</v>
      </c>
      <c r="C209" s="1" t="str">
        <f t="array" ref="C209">IF(B208="NEW ROUTE",TEXTSPLIT(B209,","),"")</f>
        <v/>
      </c>
      <c r="H209" s="1" t="str">
        <f t="shared" ref="H209:I209" si="211">IF(C209&lt;&gt;"",DEC2HEX(C209,2),"")</f>
        <v/>
      </c>
      <c r="I209" s="1" t="str">
        <f t="shared" si="211"/>
        <v/>
      </c>
      <c r="J209" s="1" t="str">
        <f t="shared" si="3"/>
        <v/>
      </c>
      <c r="L209" s="1" t="s">
        <v>2897</v>
      </c>
      <c r="M209" s="1" t="str">
        <f t="shared" si="4"/>
        <v>44, 47, RATTARULE</v>
      </c>
    </row>
    <row r="210" ht="12.75" customHeight="1">
      <c r="A210" s="3" t="s">
        <v>2898</v>
      </c>
      <c r="B210" s="3" t="str">
        <f t="shared" si="1"/>
        <v>20, 25, CHARMANDER , &lt;null&gt;, &lt;null&gt;, &lt;null&gt;</v>
      </c>
      <c r="C210" s="1" t="str">
        <f t="array" ref="C210">IF(B209="NEW ROUTE",TEXTSPLIT(B210,","),"")</f>
        <v/>
      </c>
      <c r="H210" s="1" t="str">
        <f t="shared" ref="H210:I210" si="212">IF(C210&lt;&gt;"",DEC2HEX(C210,2),"")</f>
        <v/>
      </c>
      <c r="I210" s="1" t="str">
        <f t="shared" si="212"/>
        <v/>
      </c>
      <c r="J210" s="1" t="str">
        <f t="shared" si="3"/>
        <v/>
      </c>
      <c r="L210" s="1" t="s">
        <v>2898</v>
      </c>
      <c r="M210" s="1" t="str">
        <f t="shared" si="4"/>
        <v>20, 25, CHARMANDER , &lt;null&gt;, &lt;null&gt;, &lt;null&gt;</v>
      </c>
    </row>
    <row r="211" ht="12.75" customHeight="1">
      <c r="A211" s="3" t="s">
        <v>2539</v>
      </c>
      <c r="B211" s="3" t="str">
        <f t="shared" si="1"/>
        <v>NEW ROUTE</v>
      </c>
      <c r="C211" s="1" t="str">
        <f t="array" ref="C211">IF(B210="NEW ROUTE",TEXTSPLIT(B211,","),"")</f>
        <v/>
      </c>
      <c r="H211" s="1" t="str">
        <f t="shared" ref="H211:I211" si="213">IF(C211&lt;&gt;"",DEC2HEX(C211,2),"")</f>
        <v/>
      </c>
      <c r="I211" s="1" t="str">
        <f t="shared" si="213"/>
        <v/>
      </c>
      <c r="J211" s="1" t="str">
        <f t="shared" si="3"/>
        <v/>
      </c>
      <c r="L211" s="1" t="s">
        <v>2539</v>
      </c>
      <c r="M211" s="1" t="str">
        <f t="shared" si="4"/>
        <v>NEW ROUTE</v>
      </c>
    </row>
    <row r="212" ht="12.75" customHeight="1">
      <c r="A212" s="3" t="s">
        <v>2900</v>
      </c>
      <c r="B212" s="3" t="str">
        <f t="shared" si="1"/>
        <v>1, 61, 0,</v>
      </c>
      <c r="C212" s="1" t="str">
        <f t="array" ref="C212">IF(B211="NEW ROUTE",TEXTSPLIT(B212,","),"")</f>
        <v>#NAME?</v>
      </c>
      <c r="H212" s="1" t="str">
        <f t="shared" ref="H212:I212" si="214">IF(C212&lt;&gt;"",DEC2HEX(C212,2),"")</f>
        <v>#NAME?</v>
      </c>
      <c r="I212" s="1" t="str">
        <f t="shared" si="214"/>
        <v/>
      </c>
      <c r="J212" s="1" t="str">
        <f t="shared" si="3"/>
        <v>#NAME?</v>
      </c>
      <c r="L212" s="1" t="s">
        <v>2900</v>
      </c>
      <c r="M212" s="1" t="str">
        <f t="shared" si="4"/>
        <v>#NAME?</v>
      </c>
    </row>
    <row r="213" ht="12.75" customHeight="1">
      <c r="A213" s="3" t="s">
        <v>2817</v>
      </c>
      <c r="B213" s="3" t="str">
        <f t="shared" si="1"/>
        <v>20%</v>
      </c>
      <c r="C213" s="1" t="str">
        <f t="array" ref="C213">IF(B212="NEW ROUTE",TEXTSPLIT(B213,","),"")</f>
        <v/>
      </c>
      <c r="H213" s="1" t="str">
        <f t="shared" ref="H213:I213" si="215">IF(C213&lt;&gt;"",DEC2HEX(C213,2),"")</f>
        <v/>
      </c>
      <c r="I213" s="1" t="str">
        <f t="shared" si="215"/>
        <v/>
      </c>
      <c r="J213" s="1" t="str">
        <f t="shared" si="3"/>
        <v/>
      </c>
      <c r="L213" s="1" t="s">
        <v>2799</v>
      </c>
      <c r="M213" s="1" t="str">
        <f t="shared" si="4"/>
        <v>20%</v>
      </c>
    </row>
    <row r="214" ht="12.75" customHeight="1">
      <c r="A214" s="3" t="s">
        <v>462</v>
      </c>
      <c r="B214" s="3" t="str">
        <f t="shared" si="1"/>
        <v>40, 44, RATTCHET</v>
      </c>
      <c r="C214" s="1" t="str">
        <f t="array" ref="C214">IF(B213="NEW ROUTE",TEXTSPLIT(B214,","),"")</f>
        <v/>
      </c>
      <c r="H214" s="1" t="str">
        <f t="shared" ref="H214:I214" si="216">IF(C214&lt;&gt;"",DEC2HEX(C214,2),"")</f>
        <v/>
      </c>
      <c r="I214" s="1" t="str">
        <f t="shared" si="216"/>
        <v/>
      </c>
      <c r="J214" s="1" t="str">
        <f t="shared" si="3"/>
        <v/>
      </c>
      <c r="L214" s="1" t="s">
        <v>462</v>
      </c>
      <c r="M214" s="1" t="str">
        <f t="shared" si="4"/>
        <v>40, 44, RATTCHET</v>
      </c>
    </row>
    <row r="215" ht="12.75" customHeight="1">
      <c r="A215" s="3" t="s">
        <v>2888</v>
      </c>
      <c r="B215" s="3" t="str">
        <f t="shared" si="1"/>
        <v>40, 44, NINETALES</v>
      </c>
      <c r="C215" s="1" t="str">
        <f t="array" ref="C215">IF(B214="NEW ROUTE",TEXTSPLIT(B215,","),"")</f>
        <v/>
      </c>
      <c r="H215" s="1" t="str">
        <f t="shared" ref="H215:I215" si="217">IF(C215&lt;&gt;"",DEC2HEX(C215,2),"")</f>
        <v/>
      </c>
      <c r="I215" s="1" t="str">
        <f t="shared" si="217"/>
        <v/>
      </c>
      <c r="J215" s="1" t="str">
        <f t="shared" si="3"/>
        <v/>
      </c>
      <c r="L215" s="1" t="s">
        <v>2888</v>
      </c>
      <c r="M215" s="1" t="str">
        <f t="shared" si="4"/>
        <v>40, 44, NINETALES</v>
      </c>
    </row>
    <row r="216" ht="12.75" customHeight="1">
      <c r="A216" s="3" t="s">
        <v>2802</v>
      </c>
      <c r="B216" s="3" t="str">
        <f t="shared" si="1"/>
        <v>0.1</v>
      </c>
      <c r="C216" s="1" t="str">
        <f t="array" ref="C216">IF(B215="NEW ROUTE",TEXTSPLIT(B216,","),"")</f>
        <v/>
      </c>
      <c r="H216" s="1" t="str">
        <f t="shared" ref="H216:I216" si="218">IF(C216&lt;&gt;"",DEC2HEX(C216,2),"")</f>
        <v/>
      </c>
      <c r="I216" s="1" t="str">
        <f t="shared" si="218"/>
        <v/>
      </c>
      <c r="J216" s="1" t="str">
        <f t="shared" si="3"/>
        <v/>
      </c>
      <c r="L216" s="1" t="s">
        <v>2802</v>
      </c>
      <c r="M216" s="1" t="str">
        <f t="shared" si="4"/>
        <v>0.1</v>
      </c>
    </row>
    <row r="217" ht="12.75" customHeight="1">
      <c r="A217" s="3" t="s">
        <v>2889</v>
      </c>
      <c r="B217" s="3" t="str">
        <f t="shared" si="1"/>
        <v>41, 42, ARCANINE</v>
      </c>
      <c r="C217" s="1" t="str">
        <f t="array" ref="C217">IF(B216="NEW ROUTE",TEXTSPLIT(B217,","),"")</f>
        <v/>
      </c>
      <c r="H217" s="1" t="str">
        <f t="shared" ref="H217:I217" si="219">IF(C217&lt;&gt;"",DEC2HEX(C217,2),"")</f>
        <v/>
      </c>
      <c r="I217" s="1" t="str">
        <f t="shared" si="219"/>
        <v/>
      </c>
      <c r="J217" s="1" t="str">
        <f t="shared" si="3"/>
        <v/>
      </c>
      <c r="L217" s="1" t="s">
        <v>2889</v>
      </c>
      <c r="M217" s="1" t="str">
        <f t="shared" si="4"/>
        <v>41, 42, ARCANINE</v>
      </c>
    </row>
    <row r="218" ht="12.75" customHeight="1">
      <c r="A218" s="3" t="s">
        <v>2890</v>
      </c>
      <c r="B218" s="3" t="str">
        <f t="shared" si="1"/>
        <v>43, 44, ARCANINE</v>
      </c>
      <c r="C218" s="1" t="str">
        <f t="array" ref="C218">IF(B217="NEW ROUTE",TEXTSPLIT(B218,","),"")</f>
        <v/>
      </c>
      <c r="H218" s="1" t="str">
        <f t="shared" ref="H218:I218" si="220">IF(C218&lt;&gt;"",DEC2HEX(C218,2),"")</f>
        <v/>
      </c>
      <c r="I218" s="1" t="str">
        <f t="shared" si="220"/>
        <v/>
      </c>
      <c r="J218" s="1" t="str">
        <f t="shared" si="3"/>
        <v/>
      </c>
      <c r="L218" s="1" t="s">
        <v>2890</v>
      </c>
      <c r="M218" s="1" t="str">
        <f t="shared" si="4"/>
        <v>43, 44, ARCANINE</v>
      </c>
    </row>
    <row r="219" ht="12.75" customHeight="1">
      <c r="A219" s="3" t="s">
        <v>2891</v>
      </c>
      <c r="B219" s="3" t="str">
        <f t="shared" si="1"/>
        <v>42, 44, WEEZING</v>
      </c>
      <c r="C219" s="1" t="str">
        <f t="array" ref="C219">IF(B218="NEW ROUTE",TEXTSPLIT(B219,","),"")</f>
        <v/>
      </c>
      <c r="H219" s="1" t="str">
        <f t="shared" ref="H219:I219" si="221">IF(C219&lt;&gt;"",DEC2HEX(C219,2),"")</f>
        <v/>
      </c>
      <c r="I219" s="1" t="str">
        <f t="shared" si="221"/>
        <v/>
      </c>
      <c r="J219" s="1" t="str">
        <f t="shared" si="3"/>
        <v/>
      </c>
      <c r="L219" s="1" t="s">
        <v>2891</v>
      </c>
      <c r="M219" s="1" t="str">
        <f t="shared" si="4"/>
        <v>42, 44, WEEZING</v>
      </c>
    </row>
    <row r="220" ht="12.75" customHeight="1">
      <c r="A220" s="3" t="s">
        <v>2892</v>
      </c>
      <c r="B220" s="3" t="str">
        <f t="shared" si="1"/>
        <v>42, 44, MUK</v>
      </c>
      <c r="C220" s="1" t="str">
        <f t="array" ref="C220">IF(B219="NEW ROUTE",TEXTSPLIT(B220,","),"")</f>
        <v/>
      </c>
      <c r="H220" s="1" t="str">
        <f t="shared" ref="H220:I220" si="222">IF(C220&lt;&gt;"",DEC2HEX(C220,2),"")</f>
        <v/>
      </c>
      <c r="I220" s="1" t="str">
        <f t="shared" si="222"/>
        <v/>
      </c>
      <c r="J220" s="1" t="str">
        <f t="shared" si="3"/>
        <v/>
      </c>
      <c r="L220" s="1" t="s">
        <v>2892</v>
      </c>
      <c r="M220" s="1" t="str">
        <f t="shared" si="4"/>
        <v>42, 44, MUK</v>
      </c>
    </row>
    <row r="221" ht="12.75" customHeight="1">
      <c r="A221" s="3" t="s">
        <v>2807</v>
      </c>
      <c r="B221" s="3" t="str">
        <f t="shared" si="1"/>
        <v>0.05</v>
      </c>
      <c r="C221" s="1" t="str">
        <f t="array" ref="C221">IF(B220="NEW ROUTE",TEXTSPLIT(B221,","),"")</f>
        <v/>
      </c>
      <c r="H221" s="1" t="str">
        <f t="shared" ref="H221:I221" si="223">IF(C221&lt;&gt;"",DEC2HEX(C221,2),"")</f>
        <v/>
      </c>
      <c r="I221" s="1" t="str">
        <f t="shared" si="223"/>
        <v/>
      </c>
      <c r="J221" s="1" t="str">
        <f t="shared" si="3"/>
        <v/>
      </c>
      <c r="L221" s="1" t="s">
        <v>2807</v>
      </c>
      <c r="M221" s="1" t="str">
        <f t="shared" si="4"/>
        <v>0.05</v>
      </c>
    </row>
    <row r="222" ht="12.75" customHeight="1">
      <c r="A222" s="3" t="s">
        <v>2893</v>
      </c>
      <c r="B222" s="3" t="str">
        <f t="shared" si="1"/>
        <v>43, 45, SINGESHA</v>
      </c>
      <c r="C222" s="1" t="str">
        <f t="array" ref="C222">IF(B221="NEW ROUTE",TEXTSPLIT(B222,","),"")</f>
        <v/>
      </c>
      <c r="H222" s="1" t="str">
        <f t="shared" ref="H222:I222" si="224">IF(C222&lt;&gt;"",DEC2HEX(C222,2),"")</f>
        <v/>
      </c>
      <c r="I222" s="1" t="str">
        <f t="shared" si="224"/>
        <v/>
      </c>
      <c r="J222" s="1" t="str">
        <f t="shared" si="3"/>
        <v/>
      </c>
      <c r="L222" s="1" t="s">
        <v>2893</v>
      </c>
      <c r="M222" s="1" t="str">
        <f t="shared" si="4"/>
        <v>43, 45, SINGESHA</v>
      </c>
    </row>
    <row r="223" ht="12.75" customHeight="1">
      <c r="A223" s="3" t="s">
        <v>2894</v>
      </c>
      <c r="B223" s="3" t="str">
        <f t="shared" si="1"/>
        <v>43, 45, SPIRITALES</v>
      </c>
      <c r="C223" s="1" t="str">
        <f t="array" ref="C223">IF(B222="NEW ROUTE",TEXTSPLIT(B223,","),"")</f>
        <v/>
      </c>
      <c r="H223" s="1" t="str">
        <f t="shared" ref="H223:I223" si="225">IF(C223&lt;&gt;"",DEC2HEX(C223,2),"")</f>
        <v/>
      </c>
      <c r="I223" s="1" t="str">
        <f t="shared" si="225"/>
        <v/>
      </c>
      <c r="J223" s="1" t="str">
        <f t="shared" si="3"/>
        <v/>
      </c>
      <c r="L223" s="1" t="s">
        <v>2894</v>
      </c>
      <c r="M223" s="1" t="str">
        <f t="shared" si="4"/>
        <v>43, 45, SPIRITALES</v>
      </c>
    </row>
    <row r="224" ht="12.75" customHeight="1">
      <c r="A224" s="3" t="s">
        <v>2810</v>
      </c>
      <c r="B224" s="3" t="str">
        <f t="shared" si="1"/>
        <v>0.04</v>
      </c>
      <c r="C224" s="1" t="str">
        <f t="array" ref="C224">IF(B223="NEW ROUTE",TEXTSPLIT(B224,","),"")</f>
        <v/>
      </c>
      <c r="H224" s="1" t="str">
        <f t="shared" ref="H224:I224" si="226">IF(C224&lt;&gt;"",DEC2HEX(C224,2),"")</f>
        <v/>
      </c>
      <c r="I224" s="1" t="str">
        <f t="shared" si="226"/>
        <v/>
      </c>
      <c r="J224" s="1" t="str">
        <f t="shared" si="3"/>
        <v/>
      </c>
      <c r="L224" s="1" t="s">
        <v>2810</v>
      </c>
      <c r="M224" s="1" t="str">
        <f t="shared" si="4"/>
        <v>0.04</v>
      </c>
    </row>
    <row r="225" ht="12.75" customHeight="1">
      <c r="A225" s="3" t="s">
        <v>2895</v>
      </c>
      <c r="B225" s="3" t="str">
        <f t="shared" si="1"/>
        <v>45, 46, GUNK</v>
      </c>
      <c r="C225" s="1" t="str">
        <f t="array" ref="C225">IF(B224="NEW ROUTE",TEXTSPLIT(B225,","),"")</f>
        <v/>
      </c>
      <c r="H225" s="1" t="str">
        <f t="shared" ref="H225:I225" si="227">IF(C225&lt;&gt;"",DEC2HEX(C225,2),"")</f>
        <v/>
      </c>
      <c r="I225" s="1" t="str">
        <f t="shared" si="227"/>
        <v/>
      </c>
      <c r="J225" s="1" t="str">
        <f t="shared" si="3"/>
        <v/>
      </c>
      <c r="L225" s="1" t="s">
        <v>2895</v>
      </c>
      <c r="M225" s="1" t="str">
        <f t="shared" si="4"/>
        <v>45, 46, GUNK</v>
      </c>
    </row>
    <row r="226" ht="12.75" customHeight="1">
      <c r="A226" s="3" t="s">
        <v>2896</v>
      </c>
      <c r="B226" s="3" t="str">
        <f t="shared" si="1"/>
        <v>45, 46, HEEVING</v>
      </c>
      <c r="C226" s="1" t="str">
        <f t="array" ref="C226">IF(B225="NEW ROUTE",TEXTSPLIT(B226,","),"")</f>
        <v/>
      </c>
      <c r="H226" s="1" t="str">
        <f t="shared" ref="H226:I226" si="228">IF(C226&lt;&gt;"",DEC2HEX(C226,2),"")</f>
        <v/>
      </c>
      <c r="I226" s="1" t="str">
        <f t="shared" si="228"/>
        <v/>
      </c>
      <c r="J226" s="1" t="str">
        <f t="shared" si="3"/>
        <v/>
      </c>
      <c r="L226" s="1" t="s">
        <v>2896</v>
      </c>
      <c r="M226" s="1" t="str">
        <f t="shared" si="4"/>
        <v>45, 46, HEEVING</v>
      </c>
    </row>
    <row r="227" ht="12.75" customHeight="1">
      <c r="A227" s="3" t="s">
        <v>2813</v>
      </c>
      <c r="B227" s="3" t="str">
        <f t="shared" si="1"/>
        <v>0.01</v>
      </c>
      <c r="C227" s="1" t="str">
        <f t="array" ref="C227">IF(B226="NEW ROUTE",TEXTSPLIT(B227,","),"")</f>
        <v/>
      </c>
      <c r="H227" s="1" t="str">
        <f t="shared" ref="H227:I227" si="229">IF(C227&lt;&gt;"",DEC2HEX(C227,2),"")</f>
        <v/>
      </c>
      <c r="I227" s="1" t="str">
        <f t="shared" si="229"/>
        <v/>
      </c>
      <c r="J227" s="1" t="str">
        <f t="shared" si="3"/>
        <v/>
      </c>
      <c r="L227" s="1" t="s">
        <v>2813</v>
      </c>
      <c r="M227" s="1" t="str">
        <f t="shared" si="4"/>
        <v>0.01</v>
      </c>
    </row>
    <row r="228" ht="12.75" customHeight="1">
      <c r="A228" s="3" t="s">
        <v>2897</v>
      </c>
      <c r="B228" s="3" t="str">
        <f t="shared" si="1"/>
        <v>44, 47, RATTARULE</v>
      </c>
      <c r="C228" s="1" t="str">
        <f t="array" ref="C228">IF(B227="NEW ROUTE",TEXTSPLIT(B228,","),"")</f>
        <v/>
      </c>
      <c r="H228" s="1" t="str">
        <f t="shared" ref="H228:I228" si="230">IF(C228&lt;&gt;"",DEC2HEX(C228,2),"")</f>
        <v/>
      </c>
      <c r="I228" s="1" t="str">
        <f t="shared" si="230"/>
        <v/>
      </c>
      <c r="J228" s="1" t="str">
        <f t="shared" si="3"/>
        <v/>
      </c>
      <c r="L228" s="1" t="s">
        <v>2897</v>
      </c>
      <c r="M228" s="1" t="str">
        <f t="shared" si="4"/>
        <v>44, 47, RATTARULE</v>
      </c>
    </row>
    <row r="229" ht="12.75" customHeight="1">
      <c r="A229" s="3" t="s">
        <v>2898</v>
      </c>
      <c r="B229" s="3" t="str">
        <f t="shared" si="1"/>
        <v>20, 25, CHARMANDER , &lt;null&gt;, &lt;null&gt;, &lt;null&gt;</v>
      </c>
      <c r="C229" s="1" t="str">
        <f t="array" ref="C229">IF(B228="NEW ROUTE",TEXTSPLIT(B229,","),"")</f>
        <v/>
      </c>
      <c r="H229" s="1" t="str">
        <f t="shared" ref="H229:I229" si="231">IF(C229&lt;&gt;"",DEC2HEX(C229,2),"")</f>
        <v/>
      </c>
      <c r="I229" s="1" t="str">
        <f t="shared" si="231"/>
        <v/>
      </c>
      <c r="J229" s="1" t="str">
        <f t="shared" si="3"/>
        <v/>
      </c>
      <c r="L229" s="1" t="s">
        <v>2898</v>
      </c>
      <c r="M229" s="1" t="str">
        <f t="shared" si="4"/>
        <v>20, 25, CHARMANDER , &lt;null&gt;, &lt;null&gt;, &lt;null&gt;</v>
      </c>
    </row>
    <row r="230" ht="12.75" customHeight="1">
      <c r="A230" s="3" t="s">
        <v>2539</v>
      </c>
      <c r="B230" s="3" t="str">
        <f t="shared" si="1"/>
        <v>NEW ROUTE</v>
      </c>
      <c r="C230" s="1" t="str">
        <f t="array" ref="C230">IF(B229="NEW ROUTE",TEXTSPLIT(B230,","),"")</f>
        <v/>
      </c>
      <c r="H230" s="1" t="str">
        <f t="shared" ref="H230:I230" si="232">IF(C230&lt;&gt;"",DEC2HEX(C230,2),"")</f>
        <v/>
      </c>
      <c r="I230" s="1" t="str">
        <f t="shared" si="232"/>
        <v/>
      </c>
      <c r="J230" s="1" t="str">
        <f t="shared" si="3"/>
        <v/>
      </c>
      <c r="L230" s="1" t="s">
        <v>2539</v>
      </c>
      <c r="M230" s="1" t="str">
        <f t="shared" si="4"/>
        <v>NEW ROUTE</v>
      </c>
    </row>
    <row r="231" ht="12.75" customHeight="1">
      <c r="A231" s="3" t="s">
        <v>2901</v>
      </c>
      <c r="B231" s="3" t="str">
        <f t="shared" si="1"/>
        <v>1, 62, 0,</v>
      </c>
      <c r="C231" s="1" t="str">
        <f t="array" ref="C231">IF(B230="NEW ROUTE",TEXTSPLIT(B231,","),"")</f>
        <v>#NAME?</v>
      </c>
      <c r="H231" s="1" t="str">
        <f t="shared" ref="H231:I231" si="233">IF(C231&lt;&gt;"",DEC2HEX(C231,2),"")</f>
        <v>#NAME?</v>
      </c>
      <c r="I231" s="1" t="str">
        <f t="shared" si="233"/>
        <v/>
      </c>
      <c r="J231" s="1" t="str">
        <f t="shared" si="3"/>
        <v>#NAME?</v>
      </c>
      <c r="L231" s="1" t="s">
        <v>2901</v>
      </c>
      <c r="M231" s="1" t="str">
        <f t="shared" si="4"/>
        <v>#NAME?</v>
      </c>
    </row>
    <row r="232" ht="12.75" customHeight="1">
      <c r="A232" s="3" t="s">
        <v>2824</v>
      </c>
      <c r="B232" s="3" t="str">
        <f t="shared" si="1"/>
        <v>20%</v>
      </c>
      <c r="C232" s="1" t="str">
        <f t="array" ref="C232">IF(B231="NEW ROUTE",TEXTSPLIT(B232,","),"")</f>
        <v/>
      </c>
      <c r="H232" s="1" t="str">
        <f t="shared" ref="H232:I232" si="234">IF(C232&lt;&gt;"",DEC2HEX(C232,2),"")</f>
        <v/>
      </c>
      <c r="I232" s="1" t="str">
        <f t="shared" si="234"/>
        <v/>
      </c>
      <c r="J232" s="1" t="str">
        <f t="shared" si="3"/>
        <v/>
      </c>
      <c r="L232" s="1" t="s">
        <v>2799</v>
      </c>
      <c r="M232" s="1" t="str">
        <f t="shared" si="4"/>
        <v>20%</v>
      </c>
    </row>
    <row r="233" ht="12.75" customHeight="1">
      <c r="A233" s="3" t="s">
        <v>462</v>
      </c>
      <c r="B233" s="3" t="str">
        <f t="shared" si="1"/>
        <v>40, 44, RATTCHET</v>
      </c>
      <c r="C233" s="1" t="str">
        <f t="array" ref="C233">IF(B232="NEW ROUTE",TEXTSPLIT(B233,","),"")</f>
        <v/>
      </c>
      <c r="H233" s="1" t="str">
        <f t="shared" ref="H233:I233" si="235">IF(C233&lt;&gt;"",DEC2HEX(C233,2),"")</f>
        <v/>
      </c>
      <c r="I233" s="1" t="str">
        <f t="shared" si="235"/>
        <v/>
      </c>
      <c r="J233" s="1" t="str">
        <f t="shared" si="3"/>
        <v/>
      </c>
      <c r="L233" s="1" t="s">
        <v>462</v>
      </c>
      <c r="M233" s="1" t="str">
        <f t="shared" si="4"/>
        <v>40, 44, RATTCHET</v>
      </c>
    </row>
    <row r="234" ht="12.75" customHeight="1">
      <c r="A234" s="3" t="s">
        <v>2888</v>
      </c>
      <c r="B234" s="3" t="str">
        <f t="shared" si="1"/>
        <v>40, 44, NINETALES</v>
      </c>
      <c r="C234" s="1" t="str">
        <f t="array" ref="C234">IF(B233="NEW ROUTE",TEXTSPLIT(B234,","),"")</f>
        <v/>
      </c>
      <c r="H234" s="1" t="str">
        <f t="shared" ref="H234:I234" si="236">IF(C234&lt;&gt;"",DEC2HEX(C234,2),"")</f>
        <v/>
      </c>
      <c r="I234" s="1" t="str">
        <f t="shared" si="236"/>
        <v/>
      </c>
      <c r="J234" s="1" t="str">
        <f t="shared" si="3"/>
        <v/>
      </c>
      <c r="L234" s="1" t="s">
        <v>2888</v>
      </c>
      <c r="M234" s="1" t="str">
        <f t="shared" si="4"/>
        <v>40, 44, NINETALES</v>
      </c>
    </row>
    <row r="235" ht="12.75" customHeight="1">
      <c r="A235" s="3" t="s">
        <v>2802</v>
      </c>
      <c r="B235" s="3" t="str">
        <f t="shared" si="1"/>
        <v>0.1</v>
      </c>
      <c r="C235" s="1" t="str">
        <f t="array" ref="C235">IF(B234="NEW ROUTE",TEXTSPLIT(B235,","),"")</f>
        <v/>
      </c>
      <c r="H235" s="1" t="str">
        <f t="shared" ref="H235:I235" si="237">IF(C235&lt;&gt;"",DEC2HEX(C235,2),"")</f>
        <v/>
      </c>
      <c r="I235" s="1" t="str">
        <f t="shared" si="237"/>
        <v/>
      </c>
      <c r="J235" s="1" t="str">
        <f t="shared" si="3"/>
        <v/>
      </c>
      <c r="L235" s="1" t="s">
        <v>2802</v>
      </c>
      <c r="M235" s="1" t="str">
        <f t="shared" si="4"/>
        <v>0.1</v>
      </c>
    </row>
    <row r="236" ht="12.75" customHeight="1">
      <c r="A236" s="3" t="s">
        <v>2889</v>
      </c>
      <c r="B236" s="3" t="str">
        <f t="shared" si="1"/>
        <v>41, 42, ARCANINE</v>
      </c>
      <c r="C236" s="1" t="str">
        <f t="array" ref="C236">IF(B235="NEW ROUTE",TEXTSPLIT(B236,","),"")</f>
        <v/>
      </c>
      <c r="H236" s="1" t="str">
        <f t="shared" ref="H236:I236" si="238">IF(C236&lt;&gt;"",DEC2HEX(C236,2),"")</f>
        <v/>
      </c>
      <c r="I236" s="1" t="str">
        <f t="shared" si="238"/>
        <v/>
      </c>
      <c r="J236" s="1" t="str">
        <f t="shared" si="3"/>
        <v/>
      </c>
      <c r="L236" s="1" t="s">
        <v>2889</v>
      </c>
      <c r="M236" s="1" t="str">
        <f t="shared" si="4"/>
        <v>41, 42, ARCANINE</v>
      </c>
    </row>
    <row r="237" ht="12.75" customHeight="1">
      <c r="A237" s="3" t="s">
        <v>2890</v>
      </c>
      <c r="B237" s="3" t="str">
        <f t="shared" si="1"/>
        <v>43, 44, ARCANINE</v>
      </c>
      <c r="C237" s="1" t="str">
        <f t="array" ref="C237">IF(B236="NEW ROUTE",TEXTSPLIT(B237,","),"")</f>
        <v/>
      </c>
      <c r="H237" s="1" t="str">
        <f t="shared" ref="H237:I237" si="239">IF(C237&lt;&gt;"",DEC2HEX(C237,2),"")</f>
        <v/>
      </c>
      <c r="I237" s="1" t="str">
        <f t="shared" si="239"/>
        <v/>
      </c>
      <c r="J237" s="1" t="str">
        <f t="shared" si="3"/>
        <v/>
      </c>
      <c r="L237" s="1" t="s">
        <v>2890</v>
      </c>
      <c r="M237" s="1" t="str">
        <f t="shared" si="4"/>
        <v>43, 44, ARCANINE</v>
      </c>
    </row>
    <row r="238" ht="12.75" customHeight="1">
      <c r="A238" s="3" t="s">
        <v>2891</v>
      </c>
      <c r="B238" s="3" t="str">
        <f t="shared" si="1"/>
        <v>42, 44, WEEZING</v>
      </c>
      <c r="C238" s="1" t="str">
        <f t="array" ref="C238">IF(B237="NEW ROUTE",TEXTSPLIT(B238,","),"")</f>
        <v/>
      </c>
      <c r="H238" s="1" t="str">
        <f t="shared" ref="H238:I238" si="240">IF(C238&lt;&gt;"",DEC2HEX(C238,2),"")</f>
        <v/>
      </c>
      <c r="I238" s="1" t="str">
        <f t="shared" si="240"/>
        <v/>
      </c>
      <c r="J238" s="1" t="str">
        <f t="shared" si="3"/>
        <v/>
      </c>
      <c r="L238" s="1" t="s">
        <v>2891</v>
      </c>
      <c r="M238" s="1" t="str">
        <f t="shared" si="4"/>
        <v>42, 44, WEEZING</v>
      </c>
    </row>
    <row r="239" ht="12.75" customHeight="1">
      <c r="A239" s="3" t="s">
        <v>2892</v>
      </c>
      <c r="B239" s="3" t="str">
        <f t="shared" si="1"/>
        <v>42, 44, MUK</v>
      </c>
      <c r="C239" s="1" t="str">
        <f t="array" ref="C239">IF(B238="NEW ROUTE",TEXTSPLIT(B239,","),"")</f>
        <v/>
      </c>
      <c r="H239" s="1" t="str">
        <f t="shared" ref="H239:I239" si="241">IF(C239&lt;&gt;"",DEC2HEX(C239,2),"")</f>
        <v/>
      </c>
      <c r="I239" s="1" t="str">
        <f t="shared" si="241"/>
        <v/>
      </c>
      <c r="J239" s="1" t="str">
        <f t="shared" si="3"/>
        <v/>
      </c>
      <c r="L239" s="1" t="s">
        <v>2892</v>
      </c>
      <c r="M239" s="1" t="str">
        <f t="shared" si="4"/>
        <v>42, 44, MUK</v>
      </c>
    </row>
    <row r="240" ht="12.75" customHeight="1">
      <c r="A240" s="3" t="s">
        <v>2807</v>
      </c>
      <c r="B240" s="3" t="str">
        <f t="shared" si="1"/>
        <v>0.05</v>
      </c>
      <c r="C240" s="1" t="str">
        <f t="array" ref="C240">IF(B239="NEW ROUTE",TEXTSPLIT(B240,","),"")</f>
        <v/>
      </c>
      <c r="H240" s="1" t="str">
        <f t="shared" ref="H240:I240" si="242">IF(C240&lt;&gt;"",DEC2HEX(C240,2),"")</f>
        <v/>
      </c>
      <c r="I240" s="1" t="str">
        <f t="shared" si="242"/>
        <v/>
      </c>
      <c r="J240" s="1" t="str">
        <f t="shared" si="3"/>
        <v/>
      </c>
      <c r="L240" s="1" t="s">
        <v>2807</v>
      </c>
      <c r="M240" s="1" t="str">
        <f t="shared" si="4"/>
        <v>0.05</v>
      </c>
    </row>
    <row r="241" ht="12.75" customHeight="1">
      <c r="A241" s="3" t="s">
        <v>2902</v>
      </c>
      <c r="B241" s="3" t="str">
        <f t="shared" si="1"/>
        <v>43, 45, GUNK</v>
      </c>
      <c r="C241" s="1" t="str">
        <f t="array" ref="C241">IF(B240="NEW ROUTE",TEXTSPLIT(B241,","),"")</f>
        <v/>
      </c>
      <c r="H241" s="1" t="str">
        <f t="shared" ref="H241:I241" si="243">IF(C241&lt;&gt;"",DEC2HEX(C241,2),"")</f>
        <v/>
      </c>
      <c r="I241" s="1" t="str">
        <f t="shared" si="243"/>
        <v/>
      </c>
      <c r="J241" s="1" t="str">
        <f t="shared" si="3"/>
        <v/>
      </c>
      <c r="L241" s="1" t="s">
        <v>2902</v>
      </c>
      <c r="M241" s="1" t="str">
        <f t="shared" si="4"/>
        <v>43, 45, GUNK</v>
      </c>
    </row>
    <row r="242" ht="12.75" customHeight="1">
      <c r="A242" s="3" t="s">
        <v>2903</v>
      </c>
      <c r="B242" s="3" t="str">
        <f t="shared" si="1"/>
        <v>43, 45, HEEVING</v>
      </c>
      <c r="C242" s="1" t="str">
        <f t="array" ref="C242">IF(B241="NEW ROUTE",TEXTSPLIT(B242,","),"")</f>
        <v/>
      </c>
      <c r="H242" s="1" t="str">
        <f t="shared" ref="H242:I242" si="244">IF(C242&lt;&gt;"",DEC2HEX(C242,2),"")</f>
        <v/>
      </c>
      <c r="I242" s="1" t="str">
        <f t="shared" si="244"/>
        <v/>
      </c>
      <c r="J242" s="1" t="str">
        <f t="shared" si="3"/>
        <v/>
      </c>
      <c r="L242" s="1" t="s">
        <v>2903</v>
      </c>
      <c r="M242" s="1" t="str">
        <f t="shared" si="4"/>
        <v>43, 45, HEEVING</v>
      </c>
    </row>
    <row r="243" ht="12.75" customHeight="1">
      <c r="A243" s="3" t="s">
        <v>2810</v>
      </c>
      <c r="B243" s="3" t="str">
        <f t="shared" si="1"/>
        <v>0.04</v>
      </c>
      <c r="C243" s="1" t="str">
        <f t="array" ref="C243">IF(B242="NEW ROUTE",TEXTSPLIT(B243,","),"")</f>
        <v/>
      </c>
      <c r="H243" s="1" t="str">
        <f t="shared" ref="H243:I243" si="245">IF(C243&lt;&gt;"",DEC2HEX(C243,2),"")</f>
        <v/>
      </c>
      <c r="I243" s="1" t="str">
        <f t="shared" si="245"/>
        <v/>
      </c>
      <c r="J243" s="1" t="str">
        <f t="shared" si="3"/>
        <v/>
      </c>
      <c r="L243" s="1" t="s">
        <v>2810</v>
      </c>
      <c r="M243" s="1" t="str">
        <f t="shared" si="4"/>
        <v>0.04</v>
      </c>
    </row>
    <row r="244" ht="12.75" customHeight="1">
      <c r="A244" s="3" t="s">
        <v>2904</v>
      </c>
      <c r="B244" s="3" t="str">
        <f t="shared" si="1"/>
        <v>45, 46, RATTARULE</v>
      </c>
      <c r="C244" s="1" t="str">
        <f t="array" ref="C244">IF(B243="NEW ROUTE",TEXTSPLIT(B244,","),"")</f>
        <v/>
      </c>
      <c r="H244" s="1" t="str">
        <f t="shared" ref="H244:I244" si="246">IF(C244&lt;&gt;"",DEC2HEX(C244,2),"")</f>
        <v/>
      </c>
      <c r="I244" s="1" t="str">
        <f t="shared" si="246"/>
        <v/>
      </c>
      <c r="J244" s="1" t="str">
        <f t="shared" si="3"/>
        <v/>
      </c>
      <c r="L244" s="1" t="s">
        <v>2904</v>
      </c>
      <c r="M244" s="1" t="str">
        <f t="shared" si="4"/>
        <v>45, 46, RATTARULE</v>
      </c>
    </row>
    <row r="245" ht="12.75" customHeight="1">
      <c r="A245" s="3" t="s">
        <v>2905</v>
      </c>
      <c r="B245" s="3" t="str">
        <f t="shared" si="1"/>
        <v>45, 46, DITTO</v>
      </c>
      <c r="C245" s="1" t="str">
        <f t="array" ref="C245">IF(B244="NEW ROUTE",TEXTSPLIT(B245,","),"")</f>
        <v/>
      </c>
      <c r="H245" s="1" t="str">
        <f t="shared" ref="H245:I245" si="247">IF(C245&lt;&gt;"",DEC2HEX(C245,2),"")</f>
        <v/>
      </c>
      <c r="I245" s="1" t="str">
        <f t="shared" si="247"/>
        <v/>
      </c>
      <c r="J245" s="1" t="str">
        <f t="shared" si="3"/>
        <v/>
      </c>
      <c r="L245" s="1" t="s">
        <v>2905</v>
      </c>
      <c r="M245" s="1" t="str">
        <f t="shared" si="4"/>
        <v>45, 46, DITTO</v>
      </c>
    </row>
    <row r="246" ht="12.75" customHeight="1">
      <c r="A246" s="3" t="s">
        <v>2813</v>
      </c>
      <c r="B246" s="3" t="str">
        <f t="shared" si="1"/>
        <v>0.01</v>
      </c>
      <c r="C246" s="1" t="str">
        <f t="array" ref="C246">IF(B245="NEW ROUTE",TEXTSPLIT(B246,","),"")</f>
        <v/>
      </c>
      <c r="H246" s="1" t="str">
        <f t="shared" ref="H246:I246" si="248">IF(C246&lt;&gt;"",DEC2HEX(C246,2),"")</f>
        <v/>
      </c>
      <c r="I246" s="1" t="str">
        <f t="shared" si="248"/>
        <v/>
      </c>
      <c r="J246" s="1" t="str">
        <f t="shared" si="3"/>
        <v/>
      </c>
      <c r="L246" s="1" t="s">
        <v>2813</v>
      </c>
      <c r="M246" s="1" t="str">
        <f t="shared" si="4"/>
        <v>0.01</v>
      </c>
    </row>
    <row r="247" ht="12.75" customHeight="1">
      <c r="A247" s="3" t="s">
        <v>2906</v>
      </c>
      <c r="B247" s="3" t="str">
        <f t="shared" si="1"/>
        <v>20, 25, KABUTO</v>
      </c>
      <c r="C247" s="1" t="str">
        <f t="array" ref="C247">IF(B246="NEW ROUTE",TEXTSPLIT(B247,","),"")</f>
        <v/>
      </c>
      <c r="H247" s="1" t="str">
        <f t="shared" ref="H247:I247" si="249">IF(C247&lt;&gt;"",DEC2HEX(C247,2),"")</f>
        <v/>
      </c>
      <c r="I247" s="1" t="str">
        <f t="shared" si="249"/>
        <v/>
      </c>
      <c r="J247" s="1" t="str">
        <f t="shared" si="3"/>
        <v/>
      </c>
      <c r="L247" s="1" t="s">
        <v>2906</v>
      </c>
      <c r="M247" s="1" t="str">
        <f t="shared" si="4"/>
        <v>20, 25, KABUTO</v>
      </c>
    </row>
    <row r="248" ht="12.75" customHeight="1">
      <c r="A248" s="3" t="s">
        <v>2907</v>
      </c>
      <c r="B248" s="3" t="str">
        <f t="shared" si="1"/>
        <v>20, 25, OMANYTE , &lt;null&gt;, &lt;null&gt;, &lt;null&gt;</v>
      </c>
      <c r="C248" s="1" t="str">
        <f t="array" ref="C248">IF(B247="NEW ROUTE",TEXTSPLIT(B248,","),"")</f>
        <v/>
      </c>
      <c r="H248" s="1" t="str">
        <f t="shared" ref="H248:I248" si="250">IF(C248&lt;&gt;"",DEC2HEX(C248,2),"")</f>
        <v/>
      </c>
      <c r="I248" s="1" t="str">
        <f t="shared" si="250"/>
        <v/>
      </c>
      <c r="J248" s="1" t="str">
        <f t="shared" si="3"/>
        <v/>
      </c>
      <c r="L248" s="1" t="s">
        <v>2907</v>
      </c>
      <c r="M248" s="1" t="str">
        <f t="shared" si="4"/>
        <v>20, 25, OMANYTE , &lt;null&gt;, &lt;null&gt;, &lt;null&gt;</v>
      </c>
    </row>
    <row r="249" ht="12.75" customHeight="1">
      <c r="A249" s="3" t="s">
        <v>2539</v>
      </c>
      <c r="B249" s="3" t="str">
        <f t="shared" si="1"/>
        <v>NEW ROUTE</v>
      </c>
      <c r="C249" s="1" t="str">
        <f t="array" ref="C249">IF(B248="NEW ROUTE",TEXTSPLIT(B249,","),"")</f>
        <v/>
      </c>
      <c r="H249" s="1" t="str">
        <f t="shared" ref="H249:I249" si="251">IF(C249&lt;&gt;"",DEC2HEX(C249,2),"")</f>
        <v/>
      </c>
      <c r="I249" s="1" t="str">
        <f t="shared" si="251"/>
        <v/>
      </c>
      <c r="J249" s="1" t="str">
        <f t="shared" si="3"/>
        <v/>
      </c>
      <c r="L249" s="1" t="s">
        <v>2539</v>
      </c>
      <c r="M249" s="1" t="str">
        <f t="shared" si="4"/>
        <v>NEW ROUTE</v>
      </c>
    </row>
    <row r="250" ht="12.75" customHeight="1">
      <c r="A250" s="3" t="s">
        <v>2908</v>
      </c>
      <c r="B250" s="3" t="str">
        <f t="shared" si="1"/>
        <v>1, 63, 0,</v>
      </c>
      <c r="C250" s="1" t="str">
        <f t="array" ref="C250">IF(B249="NEW ROUTE",TEXTSPLIT(B250,","),"")</f>
        <v>#NAME?</v>
      </c>
      <c r="H250" s="1" t="str">
        <f t="shared" ref="H250:I250" si="252">IF(C250&lt;&gt;"",DEC2HEX(C250,2),"")</f>
        <v>#NAME?</v>
      </c>
      <c r="I250" s="1" t="str">
        <f t="shared" si="252"/>
        <v/>
      </c>
      <c r="J250" s="1" t="str">
        <f t="shared" si="3"/>
        <v>#NAME?</v>
      </c>
      <c r="L250" s="1" t="s">
        <v>2908</v>
      </c>
      <c r="M250" s="1" t="str">
        <f t="shared" si="4"/>
        <v>#NAME?</v>
      </c>
    </row>
    <row r="251" ht="12.75" customHeight="1">
      <c r="A251" s="3" t="s">
        <v>2909</v>
      </c>
      <c r="B251" s="3" t="str">
        <f t="shared" si="1"/>
        <v>20%</v>
      </c>
      <c r="C251" s="1" t="str">
        <f t="array" ref="C251">IF(B250="NEW ROUTE",TEXTSPLIT(B251,","),"")</f>
        <v/>
      </c>
      <c r="H251" s="1" t="str">
        <f t="shared" ref="H251:I251" si="253">IF(C251&lt;&gt;"",DEC2HEX(C251,2),"")</f>
        <v/>
      </c>
      <c r="I251" s="1" t="str">
        <f t="shared" si="253"/>
        <v/>
      </c>
      <c r="J251" s="1" t="str">
        <f t="shared" si="3"/>
        <v/>
      </c>
      <c r="L251" s="1" t="s">
        <v>2799</v>
      </c>
      <c r="M251" s="1" t="str">
        <f t="shared" si="4"/>
        <v>20%</v>
      </c>
    </row>
    <row r="252" ht="12.75" customHeight="1">
      <c r="A252" s="3" t="s">
        <v>484</v>
      </c>
      <c r="B252" s="3" t="str">
        <f t="shared" si="1"/>
        <v>35, 40, NIDOKING</v>
      </c>
      <c r="C252" s="1" t="str">
        <f t="array" ref="C252">IF(B251="NEW ROUTE",TEXTSPLIT(B252,","),"")</f>
        <v/>
      </c>
      <c r="H252" s="1" t="str">
        <f t="shared" ref="H252:I252" si="254">IF(C252&lt;&gt;"",DEC2HEX(C252,2),"")</f>
        <v/>
      </c>
      <c r="I252" s="1" t="str">
        <f t="shared" si="254"/>
        <v/>
      </c>
      <c r="J252" s="1" t="str">
        <f t="shared" si="3"/>
        <v/>
      </c>
      <c r="L252" s="1" t="s">
        <v>484</v>
      </c>
      <c r="M252" s="1" t="str">
        <f t="shared" si="4"/>
        <v>35, 40, NIDOKING</v>
      </c>
    </row>
    <row r="253" ht="12.75" customHeight="1">
      <c r="A253" s="3" t="s">
        <v>2910</v>
      </c>
      <c r="B253" s="3" t="str">
        <f t="shared" si="1"/>
        <v>35, 40, NIDOQUEEN</v>
      </c>
      <c r="C253" s="1" t="str">
        <f t="array" ref="C253">IF(B252="NEW ROUTE",TEXTSPLIT(B253,","),"")</f>
        <v/>
      </c>
      <c r="H253" s="1" t="str">
        <f t="shared" ref="H253:I253" si="255">IF(C253&lt;&gt;"",DEC2HEX(C253,2),"")</f>
        <v/>
      </c>
      <c r="I253" s="1" t="str">
        <f t="shared" si="255"/>
        <v/>
      </c>
      <c r="J253" s="1" t="str">
        <f t="shared" si="3"/>
        <v/>
      </c>
      <c r="L253" s="1" t="s">
        <v>2910</v>
      </c>
      <c r="M253" s="1" t="str">
        <f t="shared" si="4"/>
        <v>35, 40, NIDOQUEEN</v>
      </c>
    </row>
    <row r="254" ht="12.75" customHeight="1">
      <c r="A254" s="3" t="s">
        <v>2802</v>
      </c>
      <c r="B254" s="3" t="str">
        <f t="shared" si="1"/>
        <v>0.1</v>
      </c>
      <c r="C254" s="1" t="str">
        <f t="array" ref="C254">IF(B253="NEW ROUTE",TEXTSPLIT(B254,","),"")</f>
        <v/>
      </c>
      <c r="H254" s="1" t="str">
        <f t="shared" ref="H254:I254" si="256">IF(C254&lt;&gt;"",DEC2HEX(C254,2),"")</f>
        <v/>
      </c>
      <c r="I254" s="1" t="str">
        <f t="shared" si="256"/>
        <v/>
      </c>
      <c r="J254" s="1" t="str">
        <f t="shared" si="3"/>
        <v/>
      </c>
      <c r="L254" s="1" t="s">
        <v>2802</v>
      </c>
      <c r="M254" s="1" t="str">
        <f t="shared" si="4"/>
        <v>0.1</v>
      </c>
    </row>
    <row r="255" ht="12.75" customHeight="1">
      <c r="A255" s="3" t="s">
        <v>2911</v>
      </c>
      <c r="B255" s="3" t="str">
        <f t="shared" si="1"/>
        <v>36, 41, PARASECT</v>
      </c>
      <c r="C255" s="1" t="str">
        <f t="array" ref="C255">IF(B254="NEW ROUTE",TEXTSPLIT(B255,","),"")</f>
        <v/>
      </c>
      <c r="H255" s="1" t="str">
        <f t="shared" ref="H255:I255" si="257">IF(C255&lt;&gt;"",DEC2HEX(C255,2),"")</f>
        <v/>
      </c>
      <c r="I255" s="1" t="str">
        <f t="shared" si="257"/>
        <v/>
      </c>
      <c r="J255" s="1" t="str">
        <f t="shared" si="3"/>
        <v/>
      </c>
      <c r="L255" s="1" t="s">
        <v>2911</v>
      </c>
      <c r="M255" s="1" t="str">
        <f t="shared" si="4"/>
        <v>36, 41, PARASECT</v>
      </c>
    </row>
    <row r="256" ht="12.75" customHeight="1">
      <c r="A256" s="3" t="s">
        <v>2912</v>
      </c>
      <c r="B256" s="3" t="str">
        <f t="shared" si="1"/>
        <v>36, 41, VENOMOTH</v>
      </c>
      <c r="C256" s="1" t="str">
        <f t="array" ref="C256">IF(B255="NEW ROUTE",TEXTSPLIT(B256,","),"")</f>
        <v/>
      </c>
      <c r="H256" s="1" t="str">
        <f t="shared" ref="H256:I256" si="258">IF(C256&lt;&gt;"",DEC2HEX(C256,2),"")</f>
        <v/>
      </c>
      <c r="I256" s="1" t="str">
        <f t="shared" si="258"/>
        <v/>
      </c>
      <c r="J256" s="1" t="str">
        <f t="shared" si="3"/>
        <v/>
      </c>
      <c r="L256" s="1" t="s">
        <v>2912</v>
      </c>
      <c r="M256" s="1" t="str">
        <f t="shared" si="4"/>
        <v>36, 41, VENOMOTH</v>
      </c>
    </row>
    <row r="257" ht="12.75" customHeight="1">
      <c r="A257" s="3" t="s">
        <v>2913</v>
      </c>
      <c r="B257" s="3" t="str">
        <f t="shared" si="1"/>
        <v>36, 41, EXEGGUTOR</v>
      </c>
      <c r="C257" s="1" t="str">
        <f t="array" ref="C257">IF(B256="NEW ROUTE",TEXTSPLIT(B257,","),"")</f>
        <v/>
      </c>
      <c r="H257" s="1" t="str">
        <f t="shared" ref="H257:I257" si="259">IF(C257&lt;&gt;"",DEC2HEX(C257,2),"")</f>
        <v/>
      </c>
      <c r="I257" s="1" t="str">
        <f t="shared" si="259"/>
        <v/>
      </c>
      <c r="J257" s="1" t="str">
        <f t="shared" si="3"/>
        <v/>
      </c>
      <c r="L257" s="1" t="s">
        <v>2913</v>
      </c>
      <c r="M257" s="1" t="str">
        <f t="shared" si="4"/>
        <v>36, 41, EXEGGUTOR</v>
      </c>
    </row>
    <row r="258" ht="12.75" customHeight="1">
      <c r="A258" s="3" t="s">
        <v>2914</v>
      </c>
      <c r="B258" s="3" t="str">
        <f t="shared" si="1"/>
        <v>36, 41, RHYDON</v>
      </c>
      <c r="C258" s="1" t="str">
        <f t="array" ref="C258">IF(B257="NEW ROUTE",TEXTSPLIT(B258,","),"")</f>
        <v/>
      </c>
      <c r="H258" s="1" t="str">
        <f t="shared" ref="H258:I258" si="260">IF(C258&lt;&gt;"",DEC2HEX(C258,2),"")</f>
        <v/>
      </c>
      <c r="I258" s="1" t="str">
        <f t="shared" si="260"/>
        <v/>
      </c>
      <c r="J258" s="1" t="str">
        <f t="shared" si="3"/>
        <v/>
      </c>
      <c r="L258" s="1" t="s">
        <v>2914</v>
      </c>
      <c r="M258" s="1" t="str">
        <f t="shared" si="4"/>
        <v>36, 41, RHYDON</v>
      </c>
    </row>
    <row r="259" ht="12.75" customHeight="1">
      <c r="A259" s="3" t="s">
        <v>2807</v>
      </c>
      <c r="B259" s="3" t="str">
        <f t="shared" si="1"/>
        <v>0.05</v>
      </c>
      <c r="C259" s="1" t="str">
        <f t="array" ref="C259">IF(B258="NEW ROUTE",TEXTSPLIT(B259,","),"")</f>
        <v/>
      </c>
      <c r="H259" s="1" t="str">
        <f t="shared" ref="H259:I259" si="261">IF(C259&lt;&gt;"",DEC2HEX(C259,2),"")</f>
        <v/>
      </c>
      <c r="I259" s="1" t="str">
        <f t="shared" si="261"/>
        <v/>
      </c>
      <c r="J259" s="1" t="str">
        <f t="shared" si="3"/>
        <v/>
      </c>
      <c r="L259" s="1" t="s">
        <v>2807</v>
      </c>
      <c r="M259" s="1" t="str">
        <f t="shared" si="4"/>
        <v>0.05</v>
      </c>
    </row>
    <row r="260" ht="12.75" customHeight="1">
      <c r="A260" s="3" t="s">
        <v>2915</v>
      </c>
      <c r="B260" s="3" t="str">
        <f t="shared" si="1"/>
        <v>37, 39, SCIZOR</v>
      </c>
      <c r="C260" s="1" t="str">
        <f t="array" ref="C260">IF(B259="NEW ROUTE",TEXTSPLIT(B260,","),"")</f>
        <v/>
      </c>
      <c r="H260" s="1" t="str">
        <f t="shared" ref="H260:I260" si="262">IF(C260&lt;&gt;"",DEC2HEX(C260,2),"")</f>
        <v/>
      </c>
      <c r="I260" s="1" t="str">
        <f t="shared" si="262"/>
        <v/>
      </c>
      <c r="J260" s="1" t="str">
        <f t="shared" si="3"/>
        <v/>
      </c>
      <c r="L260" s="1" t="s">
        <v>2915</v>
      </c>
      <c r="M260" s="1" t="str">
        <f t="shared" si="4"/>
        <v>37, 39, SCIZOR</v>
      </c>
    </row>
    <row r="261" ht="12.75" customHeight="1">
      <c r="A261" s="3" t="s">
        <v>2916</v>
      </c>
      <c r="B261" s="3" t="str">
        <f t="shared" si="1"/>
        <v>37, 39, PINSIRIOR</v>
      </c>
      <c r="C261" s="1" t="str">
        <f t="array" ref="C261">IF(B260="NEW ROUTE",TEXTSPLIT(B261,","),"")</f>
        <v/>
      </c>
      <c r="H261" s="1" t="str">
        <f t="shared" ref="H261:I261" si="263">IF(C261&lt;&gt;"",DEC2HEX(C261,2),"")</f>
        <v/>
      </c>
      <c r="I261" s="1" t="str">
        <f t="shared" si="263"/>
        <v/>
      </c>
      <c r="J261" s="1" t="str">
        <f t="shared" si="3"/>
        <v/>
      </c>
      <c r="L261" s="1" t="s">
        <v>2916</v>
      </c>
      <c r="M261" s="1" t="str">
        <f t="shared" si="4"/>
        <v>37, 39, PINSIRIOR</v>
      </c>
    </row>
    <row r="262" ht="12.75" customHeight="1">
      <c r="A262" s="3" t="s">
        <v>2810</v>
      </c>
      <c r="B262" s="3" t="str">
        <f t="shared" si="1"/>
        <v>0.04</v>
      </c>
      <c r="C262" s="1" t="str">
        <f t="array" ref="C262">IF(B261="NEW ROUTE",TEXTSPLIT(B262,","),"")</f>
        <v/>
      </c>
      <c r="H262" s="1" t="str">
        <f t="shared" ref="H262:I262" si="264">IF(C262&lt;&gt;"",DEC2HEX(C262,2),"")</f>
        <v/>
      </c>
      <c r="I262" s="1" t="str">
        <f t="shared" si="264"/>
        <v/>
      </c>
      <c r="J262" s="1" t="str">
        <f t="shared" si="3"/>
        <v/>
      </c>
      <c r="L262" s="1" t="s">
        <v>2810</v>
      </c>
      <c r="M262" s="1" t="str">
        <f t="shared" si="4"/>
        <v>0.04</v>
      </c>
    </row>
    <row r="263" ht="12.75" customHeight="1">
      <c r="A263" s="3" t="s">
        <v>2917</v>
      </c>
      <c r="B263" s="3" t="str">
        <f t="shared" si="1"/>
        <v>38, 42, CHANSEY</v>
      </c>
      <c r="C263" s="1" t="str">
        <f t="array" ref="C263">IF(B262="NEW ROUTE",TEXTSPLIT(B263,","),"")</f>
        <v/>
      </c>
      <c r="H263" s="1" t="str">
        <f t="shared" ref="H263:I263" si="265">IF(C263&lt;&gt;"",DEC2HEX(C263,2),"")</f>
        <v/>
      </c>
      <c r="I263" s="1" t="str">
        <f t="shared" si="265"/>
        <v/>
      </c>
      <c r="J263" s="1" t="str">
        <f t="shared" si="3"/>
        <v/>
      </c>
      <c r="L263" s="1" t="s">
        <v>2917</v>
      </c>
      <c r="M263" s="1" t="str">
        <f t="shared" si="4"/>
        <v>38, 42, CHANSEY</v>
      </c>
    </row>
    <row r="264" ht="12.75" customHeight="1">
      <c r="A264" s="3" t="s">
        <v>2918</v>
      </c>
      <c r="B264" s="3" t="str">
        <f t="shared" si="1"/>
        <v>38, 42, JOLTEON</v>
      </c>
      <c r="C264" s="1" t="str">
        <f t="array" ref="C264">IF(B263="NEW ROUTE",TEXTSPLIT(B264,","),"")</f>
        <v/>
      </c>
      <c r="H264" s="1" t="str">
        <f t="shared" ref="H264:I264" si="266">IF(C264&lt;&gt;"",DEC2HEX(C264,2),"")</f>
        <v/>
      </c>
      <c r="I264" s="1" t="str">
        <f t="shared" si="266"/>
        <v/>
      </c>
      <c r="J264" s="1" t="str">
        <f t="shared" si="3"/>
        <v/>
      </c>
      <c r="L264" s="1" t="s">
        <v>2918</v>
      </c>
      <c r="M264" s="1" t="str">
        <f t="shared" si="4"/>
        <v>38, 42, JOLTEON</v>
      </c>
    </row>
    <row r="265" ht="12.75" customHeight="1">
      <c r="A265" s="3" t="s">
        <v>2813</v>
      </c>
      <c r="B265" s="3" t="str">
        <f t="shared" si="1"/>
        <v>0.01</v>
      </c>
      <c r="C265" s="1" t="str">
        <f t="array" ref="C265">IF(B264="NEW ROUTE",TEXTSPLIT(B265,","),"")</f>
        <v/>
      </c>
      <c r="H265" s="1" t="str">
        <f t="shared" ref="H265:I265" si="267">IF(C265&lt;&gt;"",DEC2HEX(C265,2),"")</f>
        <v/>
      </c>
      <c r="I265" s="1" t="str">
        <f t="shared" si="267"/>
        <v/>
      </c>
      <c r="J265" s="1" t="str">
        <f t="shared" si="3"/>
        <v/>
      </c>
      <c r="L265" s="1" t="s">
        <v>2813</v>
      </c>
      <c r="M265" s="1" t="str">
        <f t="shared" si="4"/>
        <v>0.01</v>
      </c>
    </row>
    <row r="266" ht="12.75" customHeight="1">
      <c r="A266" s="3" t="s">
        <v>2919</v>
      </c>
      <c r="B266" s="3" t="str">
        <f t="shared" si="1"/>
        <v>40, 40, BLISSEY</v>
      </c>
      <c r="C266" s="1" t="str">
        <f t="array" ref="C266">IF(B265="NEW ROUTE",TEXTSPLIT(B266,","),"")</f>
        <v/>
      </c>
      <c r="H266" s="1" t="str">
        <f t="shared" ref="H266:I266" si="268">IF(C266&lt;&gt;"",DEC2HEX(C266,2),"")</f>
        <v/>
      </c>
      <c r="I266" s="1" t="str">
        <f t="shared" si="268"/>
        <v/>
      </c>
      <c r="J266" s="1" t="str">
        <f t="shared" si="3"/>
        <v/>
      </c>
      <c r="L266" s="1" t="s">
        <v>2919</v>
      </c>
      <c r="M266" s="1" t="str">
        <f t="shared" si="4"/>
        <v>40, 40, BLISSEY</v>
      </c>
    </row>
    <row r="267" ht="12.75" customHeight="1">
      <c r="A267" s="3" t="s">
        <v>2920</v>
      </c>
      <c r="B267" s="3" t="str">
        <f t="shared" si="1"/>
        <v>40, 40, RHYPERIOR</v>
      </c>
      <c r="C267" s="1" t="str">
        <f t="array" ref="C267">IF(B266="NEW ROUTE",TEXTSPLIT(B267,","),"")</f>
        <v/>
      </c>
      <c r="H267" s="1" t="str">
        <f t="shared" ref="H267:I267" si="269">IF(C267&lt;&gt;"",DEC2HEX(C267,2),"")</f>
        <v/>
      </c>
      <c r="I267" s="1" t="str">
        <f t="shared" si="269"/>
        <v/>
      </c>
      <c r="J267" s="1" t="str">
        <f t="shared" si="3"/>
        <v/>
      </c>
      <c r="L267" s="1" t="s">
        <v>2920</v>
      </c>
      <c r="M267" s="1" t="str">
        <f t="shared" si="4"/>
        <v>40, 40, RHYPERIOR</v>
      </c>
    </row>
    <row r="268" ht="12.75" customHeight="1">
      <c r="A268" s="3" t="s">
        <v>2921</v>
      </c>
      <c r="B268" s="3" t="str">
        <f t="shared" si="1"/>
        <v>2, 38, 42, SLOWPOKE</v>
      </c>
      <c r="C268" s="1" t="str">
        <f t="array" ref="C268">IF(B267="NEW ROUTE",TEXTSPLIT(B268,","),"")</f>
        <v/>
      </c>
      <c r="H268" s="1" t="str">
        <f t="shared" ref="H268:I268" si="270">IF(C268&lt;&gt;"",DEC2HEX(C268,2),"")</f>
        <v/>
      </c>
      <c r="I268" s="1" t="str">
        <f t="shared" si="270"/>
        <v/>
      </c>
      <c r="J268" s="1" t="str">
        <f t="shared" si="3"/>
        <v/>
      </c>
      <c r="L268" s="1" t="s">
        <v>2921</v>
      </c>
      <c r="M268" s="1" t="str">
        <f t="shared" si="4"/>
        <v>2, 38, 42, SLOWPOKE</v>
      </c>
    </row>
    <row r="269" ht="12.75" customHeight="1">
      <c r="A269" s="3" t="s">
        <v>2922</v>
      </c>
      <c r="B269" s="3" t="str">
        <f t="shared" si="1"/>
        <v>40, 42, PSYDUCK</v>
      </c>
      <c r="C269" s="1" t="str">
        <f t="array" ref="C269">IF(B268="NEW ROUTE",TEXTSPLIT(B269,","),"")</f>
        <v/>
      </c>
      <c r="H269" s="1" t="str">
        <f t="shared" ref="H269:I269" si="271">IF(C269&lt;&gt;"",DEC2HEX(C269,2),"")</f>
        <v/>
      </c>
      <c r="I269" s="1" t="str">
        <f t="shared" si="271"/>
        <v/>
      </c>
      <c r="J269" s="1" t="str">
        <f t="shared" si="3"/>
        <v/>
      </c>
      <c r="L269" s="1" t="s">
        <v>2922</v>
      </c>
      <c r="M269" s="1" t="str">
        <f t="shared" si="4"/>
        <v>40, 42, PSYDUCK</v>
      </c>
    </row>
    <row r="270" ht="12.75" customHeight="1">
      <c r="A270" s="3" t="s">
        <v>2923</v>
      </c>
      <c r="B270" s="3" t="str">
        <f t="shared" si="1"/>
        <v>42, 46, SLOWBRO</v>
      </c>
      <c r="C270" s="1" t="str">
        <f t="array" ref="C270">IF(B269="NEW ROUTE",TEXTSPLIT(B270,","),"")</f>
        <v/>
      </c>
      <c r="H270" s="1" t="str">
        <f t="shared" ref="H270:I270" si="272">IF(C270&lt;&gt;"",DEC2HEX(C270,2),"")</f>
        <v/>
      </c>
      <c r="I270" s="1" t="str">
        <f t="shared" si="272"/>
        <v/>
      </c>
      <c r="J270" s="1" t="str">
        <f t="shared" si="3"/>
        <v/>
      </c>
      <c r="L270" s="1" t="s">
        <v>2923</v>
      </c>
      <c r="M270" s="1" t="str">
        <f t="shared" si="4"/>
        <v>42, 46, SLOWBRO</v>
      </c>
    </row>
    <row r="271" ht="12.75" customHeight="1">
      <c r="A271" s="3" t="s">
        <v>2924</v>
      </c>
      <c r="B271" s="3" t="str">
        <f t="shared" si="1"/>
        <v>42, 46, GOLDUCK</v>
      </c>
      <c r="C271" s="1" t="str">
        <f t="array" ref="C271">IF(B270="NEW ROUTE",TEXTSPLIT(B271,","),"")</f>
        <v/>
      </c>
      <c r="H271" s="1" t="str">
        <f t="shared" ref="H271:I271" si="273">IF(C271&lt;&gt;"",DEC2HEX(C271,2),"")</f>
        <v/>
      </c>
      <c r="I271" s="1" t="str">
        <f t="shared" si="273"/>
        <v/>
      </c>
      <c r="J271" s="1" t="str">
        <f t="shared" si="3"/>
        <v/>
      </c>
      <c r="L271" s="1" t="s">
        <v>2924</v>
      </c>
      <c r="M271" s="1" t="str">
        <f t="shared" si="4"/>
        <v>42, 46, GOLDUCK</v>
      </c>
    </row>
    <row r="272" ht="12.75" customHeight="1">
      <c r="A272" s="3" t="s">
        <v>2925</v>
      </c>
      <c r="B272" s="3" t="str">
        <f t="shared" si="1"/>
        <v>44, 48, VAPOREON</v>
      </c>
      <c r="C272" s="1" t="str">
        <f t="array" ref="C272">IF(B271="NEW ROUTE",TEXTSPLIT(B272,","),"")</f>
        <v/>
      </c>
      <c r="H272" s="1" t="str">
        <f t="shared" ref="H272:I272" si="274">IF(C272&lt;&gt;"",DEC2HEX(C272,2),"")</f>
        <v/>
      </c>
      <c r="I272" s="1" t="str">
        <f t="shared" si="274"/>
        <v/>
      </c>
      <c r="J272" s="1" t="str">
        <f t="shared" si="3"/>
        <v/>
      </c>
      <c r="L272" s="1" t="s">
        <v>2925</v>
      </c>
      <c r="M272" s="1" t="str">
        <f t="shared" si="4"/>
        <v>44, 48, VAPOREON</v>
      </c>
    </row>
    <row r="273" ht="12.75" customHeight="1">
      <c r="A273" s="3" t="s">
        <v>2926</v>
      </c>
      <c r="B273" s="3" t="str">
        <f t="shared" si="1"/>
        <v>20, old rod:</v>
      </c>
      <c r="C273" s="1" t="str">
        <f t="array" ref="C273">IF(B272="NEW ROUTE",TEXTSPLIT(B273,","),"")</f>
        <v/>
      </c>
      <c r="H273" s="1" t="str">
        <f t="shared" ref="H273:I273" si="275">IF(C273&lt;&gt;"",DEC2HEX(C273,2),"")</f>
        <v/>
      </c>
      <c r="I273" s="1" t="str">
        <f t="shared" si="275"/>
        <v/>
      </c>
      <c r="J273" s="1" t="str">
        <f t="shared" si="3"/>
        <v/>
      </c>
      <c r="L273" s="1" t="s">
        <v>2926</v>
      </c>
      <c r="M273" s="1" t="str">
        <f t="shared" si="4"/>
        <v>20, old rod:</v>
      </c>
    </row>
    <row r="274" ht="12.75" customHeight="1">
      <c r="A274" s="3" t="s">
        <v>500</v>
      </c>
      <c r="B274" s="3" t="str">
        <f t="shared" si="1"/>
        <v>19, 26, MAGIKARP</v>
      </c>
      <c r="C274" s="1" t="str">
        <f t="array" ref="C274">IF(B273="NEW ROUTE",TEXTSPLIT(B274,","),"")</f>
        <v/>
      </c>
      <c r="H274" s="1" t="str">
        <f t="shared" ref="H274:I274" si="276">IF(C274&lt;&gt;"",DEC2HEX(C274,2),"")</f>
        <v/>
      </c>
      <c r="I274" s="1" t="str">
        <f t="shared" si="276"/>
        <v/>
      </c>
      <c r="J274" s="1" t="str">
        <f t="shared" si="3"/>
        <v/>
      </c>
      <c r="L274" s="1" t="s">
        <v>500</v>
      </c>
      <c r="M274" s="1" t="str">
        <f t="shared" si="4"/>
        <v>19, 26, MAGIKARP</v>
      </c>
    </row>
    <row r="275" ht="12.75" customHeight="1">
      <c r="A275" s="3" t="s">
        <v>2927</v>
      </c>
      <c r="B275" s="3" t="str">
        <f t="shared" si="1"/>
        <v>19, 26, POLIWAG</v>
      </c>
      <c r="C275" s="1" t="str">
        <f t="array" ref="C275">IF(B274="NEW ROUTE",TEXTSPLIT(B275,","),"")</f>
        <v/>
      </c>
      <c r="H275" s="1" t="str">
        <f t="shared" ref="H275:I275" si="277">IF(C275&lt;&gt;"",DEC2HEX(C275,2),"")</f>
        <v/>
      </c>
      <c r="I275" s="1" t="str">
        <f t="shared" si="277"/>
        <v/>
      </c>
      <c r="J275" s="1" t="str">
        <f t="shared" si="3"/>
        <v/>
      </c>
      <c r="L275" s="1" t="s">
        <v>2927</v>
      </c>
      <c r="M275" s="1" t="str">
        <f t="shared" si="4"/>
        <v>19, 26, POLIWAG</v>
      </c>
    </row>
    <row r="276" ht="12.75" customHeight="1">
      <c r="A276" s="3" t="s">
        <v>2847</v>
      </c>
      <c r="B276" s="3" t="str">
        <f t="shared" si="1"/>
        <v>good rod:</v>
      </c>
      <c r="C276" s="1" t="str">
        <f t="array" ref="C276">IF(B275="NEW ROUTE",TEXTSPLIT(B276,","),"")</f>
        <v/>
      </c>
      <c r="H276" s="1" t="str">
        <f t="shared" ref="H276:I276" si="278">IF(C276&lt;&gt;"",DEC2HEX(C276,2),"")</f>
        <v/>
      </c>
      <c r="I276" s="1" t="str">
        <f t="shared" si="278"/>
        <v/>
      </c>
      <c r="J276" s="1" t="str">
        <f t="shared" si="3"/>
        <v/>
      </c>
      <c r="L276" s="1" t="s">
        <v>2847</v>
      </c>
      <c r="M276" s="1" t="str">
        <f t="shared" si="4"/>
        <v>good rod:</v>
      </c>
    </row>
    <row r="277" ht="12.75" customHeight="1">
      <c r="A277" s="3" t="s">
        <v>2928</v>
      </c>
      <c r="B277" s="3" t="str">
        <f t="shared" si="1"/>
        <v>29, 33, GYARADOS</v>
      </c>
      <c r="C277" s="1" t="str">
        <f t="array" ref="C277">IF(B276="NEW ROUTE",TEXTSPLIT(B277,","),"")</f>
        <v/>
      </c>
      <c r="H277" s="1" t="str">
        <f t="shared" ref="H277:I277" si="279">IF(C277&lt;&gt;"",DEC2HEX(C277,2),"")</f>
        <v/>
      </c>
      <c r="I277" s="1" t="str">
        <f t="shared" si="279"/>
        <v/>
      </c>
      <c r="J277" s="1" t="str">
        <f t="shared" si="3"/>
        <v/>
      </c>
      <c r="L277" s="1" t="s">
        <v>2928</v>
      </c>
      <c r="M277" s="1" t="str">
        <f t="shared" si="4"/>
        <v>29, 33, GYARADOS</v>
      </c>
    </row>
    <row r="278" ht="12.75" customHeight="1">
      <c r="A278" s="3" t="s">
        <v>2929</v>
      </c>
      <c r="B278" s="3" t="str">
        <f t="shared" si="1"/>
        <v>30, 35, POLIWAG</v>
      </c>
      <c r="C278" s="1" t="str">
        <f t="array" ref="C278">IF(B277="NEW ROUTE",TEXTSPLIT(B278,","),"")</f>
        <v/>
      </c>
      <c r="H278" s="1" t="str">
        <f t="shared" ref="H278:I278" si="280">IF(C278&lt;&gt;"",DEC2HEX(C278,2),"")</f>
        <v/>
      </c>
      <c r="I278" s="1" t="str">
        <f t="shared" si="280"/>
        <v/>
      </c>
      <c r="J278" s="1" t="str">
        <f t="shared" si="3"/>
        <v/>
      </c>
      <c r="L278" s="1" t="s">
        <v>2929</v>
      </c>
      <c r="M278" s="1" t="str">
        <f t="shared" si="4"/>
        <v>30, 35, POLIWAG</v>
      </c>
    </row>
    <row r="279" ht="12.75" customHeight="1">
      <c r="A279" s="3" t="s">
        <v>2930</v>
      </c>
      <c r="B279" s="3" t="str">
        <f t="shared" si="1"/>
        <v>30, 35, GOLDEEN</v>
      </c>
      <c r="C279" s="1" t="str">
        <f t="array" ref="C279">IF(B278="NEW ROUTE",TEXTSPLIT(B279,","),"")</f>
        <v/>
      </c>
      <c r="H279" s="1" t="str">
        <f t="shared" ref="H279:I279" si="281">IF(C279&lt;&gt;"",DEC2HEX(C279,2),"")</f>
        <v/>
      </c>
      <c r="I279" s="1" t="str">
        <f t="shared" si="281"/>
        <v/>
      </c>
      <c r="J279" s="1" t="str">
        <f t="shared" si="3"/>
        <v/>
      </c>
      <c r="L279" s="1" t="s">
        <v>2930</v>
      </c>
      <c r="M279" s="1" t="str">
        <f t="shared" si="4"/>
        <v>30, 35, GOLDEEN</v>
      </c>
    </row>
    <row r="280" ht="12.75" customHeight="1">
      <c r="A280" s="3" t="s">
        <v>2851</v>
      </c>
      <c r="B280" s="3" t="str">
        <f t="shared" si="1"/>
        <v>super rod:</v>
      </c>
      <c r="C280" s="1" t="str">
        <f t="array" ref="C280">IF(B279="NEW ROUTE",TEXTSPLIT(B280,","),"")</f>
        <v/>
      </c>
      <c r="H280" s="1" t="str">
        <f t="shared" ref="H280:I280" si="282">IF(C280&lt;&gt;"",DEC2HEX(C280,2),"")</f>
        <v/>
      </c>
      <c r="I280" s="1" t="str">
        <f t="shared" si="282"/>
        <v/>
      </c>
      <c r="J280" s="1" t="str">
        <f t="shared" si="3"/>
        <v/>
      </c>
      <c r="L280" s="1" t="s">
        <v>2851</v>
      </c>
      <c r="M280" s="1" t="str">
        <f t="shared" si="4"/>
        <v>super rod:</v>
      </c>
    </row>
    <row r="281" ht="12.75" customHeight="1">
      <c r="A281" s="3" t="s">
        <v>2931</v>
      </c>
      <c r="B281" s="3" t="str">
        <f t="shared" si="1"/>
        <v>36, 40, POLIWHIRL</v>
      </c>
      <c r="C281" s="1" t="str">
        <f t="array" ref="C281">IF(B280="NEW ROUTE",TEXTSPLIT(B281,","),"")</f>
        <v/>
      </c>
      <c r="H281" s="1" t="str">
        <f t="shared" ref="H281:I281" si="283">IF(C281&lt;&gt;"",DEC2HEX(C281,2),"")</f>
        <v/>
      </c>
      <c r="I281" s="1" t="str">
        <f t="shared" si="283"/>
        <v/>
      </c>
      <c r="J281" s="1" t="str">
        <f t="shared" si="3"/>
        <v/>
      </c>
      <c r="L281" s="1" t="s">
        <v>2931</v>
      </c>
      <c r="M281" s="1" t="str">
        <f t="shared" si="4"/>
        <v>36, 40, POLIWHIRL</v>
      </c>
    </row>
    <row r="282" ht="12.75" customHeight="1">
      <c r="A282" s="3" t="s">
        <v>2932</v>
      </c>
      <c r="B282" s="3" t="str">
        <f t="shared" si="1"/>
        <v>36, 40, SEAKING</v>
      </c>
      <c r="C282" s="1" t="str">
        <f t="array" ref="C282">IF(B281="NEW ROUTE",TEXTSPLIT(B282,","),"")</f>
        <v/>
      </c>
      <c r="H282" s="1" t="str">
        <f t="shared" ref="H282:I282" si="284">IF(C282&lt;&gt;"",DEC2HEX(C282,2),"")</f>
        <v/>
      </c>
      <c r="I282" s="1" t="str">
        <f t="shared" si="284"/>
        <v/>
      </c>
      <c r="J282" s="1" t="str">
        <f t="shared" si="3"/>
        <v/>
      </c>
      <c r="L282" s="1" t="s">
        <v>2932</v>
      </c>
      <c r="M282" s="1" t="str">
        <f t="shared" si="4"/>
        <v>36, 40, SEAKING</v>
      </c>
    </row>
    <row r="283" ht="12.75" customHeight="1">
      <c r="A283" s="3" t="s">
        <v>2933</v>
      </c>
      <c r="B283" s="3" t="str">
        <f t="shared" si="1"/>
        <v>38, 42, DRATINI</v>
      </c>
      <c r="C283" s="1" t="str">
        <f t="array" ref="C283">IF(B282="NEW ROUTE",TEXTSPLIT(B283,","),"")</f>
        <v/>
      </c>
      <c r="H283" s="1" t="str">
        <f t="shared" ref="H283:I283" si="285">IF(C283&lt;&gt;"",DEC2HEX(C283,2),"")</f>
        <v/>
      </c>
      <c r="I283" s="1" t="str">
        <f t="shared" si="285"/>
        <v/>
      </c>
      <c r="J283" s="1" t="str">
        <f t="shared" si="3"/>
        <v/>
      </c>
      <c r="L283" s="1" t="s">
        <v>2933</v>
      </c>
      <c r="M283" s="1" t="str">
        <f t="shared" si="4"/>
        <v>38, 42, DRATINI</v>
      </c>
    </row>
    <row r="284" ht="12.75" customHeight="1">
      <c r="A284" s="3" t="s">
        <v>2934</v>
      </c>
      <c r="B284" s="3" t="str">
        <f t="shared" si="1"/>
        <v>38, 42, DRAGONAIR</v>
      </c>
      <c r="C284" s="1" t="str">
        <f t="array" ref="C284">IF(B283="NEW ROUTE",TEXTSPLIT(B284,","),"")</f>
        <v/>
      </c>
      <c r="H284" s="1" t="str">
        <f t="shared" ref="H284:I284" si="286">IF(C284&lt;&gt;"",DEC2HEX(C284,2),"")</f>
        <v/>
      </c>
      <c r="I284" s="1" t="str">
        <f t="shared" si="286"/>
        <v/>
      </c>
      <c r="J284" s="1" t="str">
        <f t="shared" si="3"/>
        <v/>
      </c>
      <c r="L284" s="1" t="s">
        <v>2934</v>
      </c>
      <c r="M284" s="1" t="str">
        <f t="shared" si="4"/>
        <v>38, 42, DRAGONAIR</v>
      </c>
    </row>
    <row r="285" ht="12.75" customHeight="1">
      <c r="A285" s="3" t="s">
        <v>2935</v>
      </c>
      <c r="B285" s="3" t="str">
        <f t="shared" si="1"/>
        <v>40, 44, DRAGONITE</v>
      </c>
      <c r="C285" s="1" t="str">
        <f t="array" ref="C285">IF(B284="NEW ROUTE",TEXTSPLIT(B285,","),"")</f>
        <v/>
      </c>
      <c r="H285" s="1" t="str">
        <f t="shared" ref="H285:I285" si="287">IF(C285&lt;&gt;"",DEC2HEX(C285,2),"")</f>
        <v/>
      </c>
      <c r="I285" s="1" t="str">
        <f t="shared" si="287"/>
        <v/>
      </c>
      <c r="J285" s="1" t="str">
        <f t="shared" si="3"/>
        <v/>
      </c>
      <c r="L285" s="1" t="s">
        <v>2935</v>
      </c>
      <c r="M285" s="1" t="str">
        <f t="shared" si="4"/>
        <v>40, 44, DRAGONITE</v>
      </c>
    </row>
    <row r="286" ht="12.75" customHeight="1">
      <c r="A286" s="3" t="s">
        <v>2539</v>
      </c>
      <c r="B286" s="3" t="str">
        <f t="shared" si="1"/>
        <v>NEW ROUTE</v>
      </c>
      <c r="C286" s="1" t="str">
        <f t="array" ref="C286">IF(B285="NEW ROUTE",TEXTSPLIT(B286,","),"")</f>
        <v/>
      </c>
      <c r="H286" s="1" t="str">
        <f t="shared" ref="H286:I286" si="288">IF(C286&lt;&gt;"",DEC2HEX(C286,2),"")</f>
        <v/>
      </c>
      <c r="I286" s="1" t="str">
        <f t="shared" si="288"/>
        <v/>
      </c>
      <c r="J286" s="1" t="str">
        <f t="shared" si="3"/>
        <v/>
      </c>
      <c r="L286" s="1" t="s">
        <v>2539</v>
      </c>
      <c r="M286" s="1" t="str">
        <f t="shared" si="4"/>
        <v>NEW ROUTE</v>
      </c>
    </row>
    <row r="287" ht="12.75" customHeight="1">
      <c r="A287" s="3" t="s">
        <v>2936</v>
      </c>
      <c r="B287" s="3" t="str">
        <f t="shared" si="1"/>
        <v>1, 64, 0,</v>
      </c>
      <c r="C287" s="1" t="str">
        <f t="array" ref="C287">IF(B286="NEW ROUTE",TEXTSPLIT(B287,","),"")</f>
        <v>#NAME?</v>
      </c>
      <c r="H287" s="1" t="str">
        <f t="shared" ref="H287:I287" si="289">IF(C287&lt;&gt;"",DEC2HEX(C287,2),"")</f>
        <v>#NAME?</v>
      </c>
      <c r="I287" s="1" t="str">
        <f t="shared" si="289"/>
        <v/>
      </c>
      <c r="J287" s="1" t="str">
        <f t="shared" si="3"/>
        <v>#NAME?</v>
      </c>
      <c r="L287" s="1" t="s">
        <v>2936</v>
      </c>
      <c r="M287" s="1" t="str">
        <f t="shared" si="4"/>
        <v>#NAME?</v>
      </c>
    </row>
    <row r="288" ht="12.75" customHeight="1">
      <c r="A288" s="3" t="s">
        <v>2909</v>
      </c>
      <c r="B288" s="3" t="str">
        <f t="shared" si="1"/>
        <v>20%</v>
      </c>
      <c r="C288" s="1" t="str">
        <f t="array" ref="C288">IF(B287="NEW ROUTE",TEXTSPLIT(B288,","),"")</f>
        <v/>
      </c>
      <c r="H288" s="1" t="str">
        <f t="shared" ref="H288:I288" si="290">IF(C288&lt;&gt;"",DEC2HEX(C288,2),"")</f>
        <v/>
      </c>
      <c r="I288" s="1" t="str">
        <f t="shared" si="290"/>
        <v/>
      </c>
      <c r="J288" s="1" t="str">
        <f t="shared" si="3"/>
        <v/>
      </c>
      <c r="L288" s="1" t="s">
        <v>2799</v>
      </c>
      <c r="M288" s="1" t="str">
        <f t="shared" si="4"/>
        <v>20%</v>
      </c>
    </row>
    <row r="289" ht="12.75" customHeight="1">
      <c r="A289" s="3" t="s">
        <v>484</v>
      </c>
      <c r="B289" s="3" t="str">
        <f t="shared" si="1"/>
        <v>35, 40, NIDOKING</v>
      </c>
      <c r="C289" s="1" t="str">
        <f t="array" ref="C289">IF(B288="NEW ROUTE",TEXTSPLIT(B289,","),"")</f>
        <v/>
      </c>
      <c r="H289" s="1" t="str">
        <f t="shared" ref="H289:I289" si="291">IF(C289&lt;&gt;"",DEC2HEX(C289,2),"")</f>
        <v/>
      </c>
      <c r="I289" s="1" t="str">
        <f t="shared" si="291"/>
        <v/>
      </c>
      <c r="J289" s="1" t="str">
        <f t="shared" si="3"/>
        <v/>
      </c>
      <c r="L289" s="1" t="s">
        <v>484</v>
      </c>
      <c r="M289" s="1" t="str">
        <f t="shared" si="4"/>
        <v>35, 40, NIDOKING</v>
      </c>
    </row>
    <row r="290" ht="12.75" customHeight="1">
      <c r="A290" s="3" t="s">
        <v>2910</v>
      </c>
      <c r="B290" s="3" t="str">
        <f t="shared" si="1"/>
        <v>35, 40, NIDOQUEEN</v>
      </c>
      <c r="C290" s="1" t="str">
        <f t="array" ref="C290">IF(B289="NEW ROUTE",TEXTSPLIT(B290,","),"")</f>
        <v/>
      </c>
      <c r="H290" s="1" t="str">
        <f t="shared" ref="H290:I290" si="292">IF(C290&lt;&gt;"",DEC2HEX(C290,2),"")</f>
        <v/>
      </c>
      <c r="I290" s="1" t="str">
        <f t="shared" si="292"/>
        <v/>
      </c>
      <c r="J290" s="1" t="str">
        <f t="shared" si="3"/>
        <v/>
      </c>
      <c r="L290" s="1" t="s">
        <v>2910</v>
      </c>
      <c r="M290" s="1" t="str">
        <f t="shared" si="4"/>
        <v>35, 40, NIDOQUEEN</v>
      </c>
    </row>
    <row r="291" ht="12.75" customHeight="1">
      <c r="A291" s="3" t="s">
        <v>2802</v>
      </c>
      <c r="B291" s="3" t="str">
        <f t="shared" si="1"/>
        <v>0.1</v>
      </c>
      <c r="C291" s="1" t="str">
        <f t="array" ref="C291">IF(B290="NEW ROUTE",TEXTSPLIT(B291,","),"")</f>
        <v/>
      </c>
      <c r="H291" s="1" t="str">
        <f t="shared" ref="H291:I291" si="293">IF(C291&lt;&gt;"",DEC2HEX(C291,2),"")</f>
        <v/>
      </c>
      <c r="I291" s="1" t="str">
        <f t="shared" si="293"/>
        <v/>
      </c>
      <c r="J291" s="1" t="str">
        <f t="shared" si="3"/>
        <v/>
      </c>
      <c r="L291" s="1" t="s">
        <v>2802</v>
      </c>
      <c r="M291" s="1" t="str">
        <f t="shared" si="4"/>
        <v>0.1</v>
      </c>
    </row>
    <row r="292" ht="12.75" customHeight="1">
      <c r="A292" s="3" t="s">
        <v>2911</v>
      </c>
      <c r="B292" s="3" t="str">
        <f t="shared" si="1"/>
        <v>36, 41, PARASECT</v>
      </c>
      <c r="C292" s="1" t="str">
        <f t="array" ref="C292">IF(B291="NEW ROUTE",TEXTSPLIT(B292,","),"")</f>
        <v/>
      </c>
      <c r="H292" s="1" t="str">
        <f t="shared" ref="H292:I292" si="294">IF(C292&lt;&gt;"",DEC2HEX(C292,2),"")</f>
        <v/>
      </c>
      <c r="I292" s="1" t="str">
        <f t="shared" si="294"/>
        <v/>
      </c>
      <c r="J292" s="1" t="str">
        <f t="shared" si="3"/>
        <v/>
      </c>
      <c r="L292" s="1" t="s">
        <v>2911</v>
      </c>
      <c r="M292" s="1" t="str">
        <f t="shared" si="4"/>
        <v>36, 41, PARASECT</v>
      </c>
    </row>
    <row r="293" ht="12.75" customHeight="1">
      <c r="A293" s="3" t="s">
        <v>2912</v>
      </c>
      <c r="B293" s="3" t="str">
        <f t="shared" si="1"/>
        <v>36, 41, VENOMOTH</v>
      </c>
      <c r="C293" s="1" t="str">
        <f t="array" ref="C293">IF(B292="NEW ROUTE",TEXTSPLIT(B293,","),"")</f>
        <v/>
      </c>
      <c r="H293" s="1" t="str">
        <f t="shared" ref="H293:I293" si="295">IF(C293&lt;&gt;"",DEC2HEX(C293,2),"")</f>
        <v/>
      </c>
      <c r="I293" s="1" t="str">
        <f t="shared" si="295"/>
        <v/>
      </c>
      <c r="J293" s="1" t="str">
        <f t="shared" si="3"/>
        <v/>
      </c>
      <c r="L293" s="1" t="s">
        <v>2912</v>
      </c>
      <c r="M293" s="1" t="str">
        <f t="shared" si="4"/>
        <v>36, 41, VENOMOTH</v>
      </c>
    </row>
    <row r="294" ht="12.75" customHeight="1">
      <c r="A294" s="3" t="s">
        <v>2937</v>
      </c>
      <c r="B294" s="3" t="str">
        <f t="shared" si="1"/>
        <v>36, 41, DODRIO</v>
      </c>
      <c r="C294" s="1" t="str">
        <f t="array" ref="C294">IF(B293="NEW ROUTE",TEXTSPLIT(B294,","),"")</f>
        <v/>
      </c>
      <c r="H294" s="1" t="str">
        <f t="shared" ref="H294:I294" si="296">IF(C294&lt;&gt;"",DEC2HEX(C294,2),"")</f>
        <v/>
      </c>
      <c r="I294" s="1" t="str">
        <f t="shared" si="296"/>
        <v/>
      </c>
      <c r="J294" s="1" t="str">
        <f t="shared" si="3"/>
        <v/>
      </c>
      <c r="L294" s="1" t="s">
        <v>2937</v>
      </c>
      <c r="M294" s="1" t="str">
        <f t="shared" si="4"/>
        <v>36, 41, DODRIO</v>
      </c>
    </row>
    <row r="295" ht="12.75" customHeight="1">
      <c r="A295" s="3" t="s">
        <v>2938</v>
      </c>
      <c r="B295" s="3" t="str">
        <f t="shared" si="1"/>
        <v>36, 41, MAGMAR</v>
      </c>
      <c r="C295" s="1" t="str">
        <f t="array" ref="C295">IF(B294="NEW ROUTE",TEXTSPLIT(B295,","),"")</f>
        <v/>
      </c>
      <c r="H295" s="1" t="str">
        <f t="shared" ref="H295:I295" si="297">IF(C295&lt;&gt;"",DEC2HEX(C295,2),"")</f>
        <v/>
      </c>
      <c r="I295" s="1" t="str">
        <f t="shared" si="297"/>
        <v/>
      </c>
      <c r="J295" s="1" t="str">
        <f t="shared" si="3"/>
        <v/>
      </c>
      <c r="L295" s="1" t="s">
        <v>2938</v>
      </c>
      <c r="M295" s="1" t="str">
        <f t="shared" si="4"/>
        <v>36, 41, MAGMAR</v>
      </c>
    </row>
    <row r="296" ht="12.75" customHeight="1">
      <c r="A296" s="3" t="s">
        <v>2807</v>
      </c>
      <c r="B296" s="3" t="str">
        <f t="shared" si="1"/>
        <v>0.05</v>
      </c>
      <c r="C296" s="1" t="str">
        <f t="array" ref="C296">IF(B295="NEW ROUTE",TEXTSPLIT(B296,","),"")</f>
        <v/>
      </c>
      <c r="H296" s="1" t="str">
        <f t="shared" ref="H296:I296" si="298">IF(C296&lt;&gt;"",DEC2HEX(C296,2),"")</f>
        <v/>
      </c>
      <c r="I296" s="1" t="str">
        <f t="shared" si="298"/>
        <v/>
      </c>
      <c r="J296" s="1" t="str">
        <f t="shared" si="3"/>
        <v/>
      </c>
      <c r="L296" s="1" t="s">
        <v>2807</v>
      </c>
      <c r="M296" s="1" t="str">
        <f t="shared" si="4"/>
        <v>0.05</v>
      </c>
    </row>
    <row r="297" ht="12.75" customHeight="1">
      <c r="A297" s="3" t="s">
        <v>2915</v>
      </c>
      <c r="B297" s="3" t="str">
        <f t="shared" si="1"/>
        <v>37, 39, SCIZOR</v>
      </c>
      <c r="C297" s="1" t="str">
        <f t="array" ref="C297">IF(B296="NEW ROUTE",TEXTSPLIT(B297,","),"")</f>
        <v/>
      </c>
      <c r="H297" s="1" t="str">
        <f t="shared" ref="H297:I297" si="299">IF(C297&lt;&gt;"",DEC2HEX(C297,2),"")</f>
        <v/>
      </c>
      <c r="I297" s="1" t="str">
        <f t="shared" si="299"/>
        <v/>
      </c>
      <c r="J297" s="1" t="str">
        <f t="shared" si="3"/>
        <v/>
      </c>
      <c r="L297" s="1" t="s">
        <v>2915</v>
      </c>
      <c r="M297" s="1" t="str">
        <f t="shared" si="4"/>
        <v>37, 39, SCIZOR</v>
      </c>
    </row>
    <row r="298" ht="12.75" customHeight="1">
      <c r="A298" s="3" t="s">
        <v>2916</v>
      </c>
      <c r="B298" s="3" t="str">
        <f t="shared" si="1"/>
        <v>37, 39, PINSIRIOR</v>
      </c>
      <c r="C298" s="1" t="str">
        <f t="array" ref="C298">IF(B297="NEW ROUTE",TEXTSPLIT(B298,","),"")</f>
        <v/>
      </c>
      <c r="H298" s="1" t="str">
        <f t="shared" ref="H298:I298" si="300">IF(C298&lt;&gt;"",DEC2HEX(C298,2),"")</f>
        <v/>
      </c>
      <c r="I298" s="1" t="str">
        <f t="shared" si="300"/>
        <v/>
      </c>
      <c r="J298" s="1" t="str">
        <f t="shared" si="3"/>
        <v/>
      </c>
      <c r="L298" s="1" t="s">
        <v>2916</v>
      </c>
      <c r="M298" s="1" t="str">
        <f t="shared" si="4"/>
        <v>37, 39, PINSIRIOR</v>
      </c>
    </row>
    <row r="299" ht="12.75" customHeight="1">
      <c r="A299" s="3" t="s">
        <v>2810</v>
      </c>
      <c r="B299" s="3" t="str">
        <f t="shared" si="1"/>
        <v>0.04</v>
      </c>
      <c r="C299" s="1" t="str">
        <f t="array" ref="C299">IF(B298="NEW ROUTE",TEXTSPLIT(B299,","),"")</f>
        <v/>
      </c>
      <c r="H299" s="1" t="str">
        <f t="shared" ref="H299:I299" si="301">IF(C299&lt;&gt;"",DEC2HEX(C299,2),"")</f>
        <v/>
      </c>
      <c r="I299" s="1" t="str">
        <f t="shared" si="301"/>
        <v/>
      </c>
      <c r="J299" s="1" t="str">
        <f t="shared" si="3"/>
        <v/>
      </c>
      <c r="L299" s="1" t="s">
        <v>2810</v>
      </c>
      <c r="M299" s="1" t="str">
        <f t="shared" si="4"/>
        <v>0.04</v>
      </c>
    </row>
    <row r="300" ht="12.75" customHeight="1">
      <c r="A300" s="3" t="s">
        <v>2939</v>
      </c>
      <c r="B300" s="3" t="str">
        <f t="shared" si="1"/>
        <v>38, 42, KANGASKHAN</v>
      </c>
      <c r="C300" s="1" t="str">
        <f t="array" ref="C300">IF(B299="NEW ROUTE",TEXTSPLIT(B300,","),"")</f>
        <v/>
      </c>
      <c r="H300" s="1" t="str">
        <f t="shared" ref="H300:I300" si="302">IF(C300&lt;&gt;"",DEC2HEX(C300,2),"")</f>
        <v/>
      </c>
      <c r="I300" s="1" t="str">
        <f t="shared" si="302"/>
        <v/>
      </c>
      <c r="J300" s="1" t="str">
        <f t="shared" si="3"/>
        <v/>
      </c>
      <c r="L300" s="1" t="s">
        <v>2939</v>
      </c>
      <c r="M300" s="1" t="str">
        <f t="shared" si="4"/>
        <v>38, 42, KANGASKHAN</v>
      </c>
    </row>
    <row r="301" ht="12.75" customHeight="1">
      <c r="A301" s="3" t="s">
        <v>2940</v>
      </c>
      <c r="B301" s="3" t="str">
        <f t="shared" si="1"/>
        <v>38, 42, HITMONCHAN</v>
      </c>
      <c r="C301" s="1" t="str">
        <f t="array" ref="C301">IF(B300="NEW ROUTE",TEXTSPLIT(B301,","),"")</f>
        <v/>
      </c>
      <c r="H301" s="1" t="str">
        <f t="shared" ref="H301:I301" si="303">IF(C301&lt;&gt;"",DEC2HEX(C301,2),"")</f>
        <v/>
      </c>
      <c r="I301" s="1" t="str">
        <f t="shared" si="303"/>
        <v/>
      </c>
      <c r="J301" s="1" t="str">
        <f t="shared" si="3"/>
        <v/>
      </c>
      <c r="L301" s="1" t="s">
        <v>2940</v>
      </c>
      <c r="M301" s="1" t="str">
        <f t="shared" si="4"/>
        <v>38, 42, HITMONCHAN</v>
      </c>
    </row>
    <row r="302" ht="12.75" customHeight="1">
      <c r="A302" s="3" t="s">
        <v>2813</v>
      </c>
      <c r="B302" s="3" t="str">
        <f t="shared" si="1"/>
        <v>0.01</v>
      </c>
      <c r="C302" s="1" t="str">
        <f t="array" ref="C302">IF(B301="NEW ROUTE",TEXTSPLIT(B302,","),"")</f>
        <v/>
      </c>
      <c r="H302" s="1" t="str">
        <f t="shared" ref="H302:I302" si="304">IF(C302&lt;&gt;"",DEC2HEX(C302,2),"")</f>
        <v/>
      </c>
      <c r="I302" s="1" t="str">
        <f t="shared" si="304"/>
        <v/>
      </c>
      <c r="J302" s="1" t="str">
        <f t="shared" si="3"/>
        <v/>
      </c>
      <c r="L302" s="1" t="s">
        <v>2813</v>
      </c>
      <c r="M302" s="1" t="str">
        <f t="shared" si="4"/>
        <v>0.01</v>
      </c>
    </row>
    <row r="303" ht="12.75" customHeight="1">
      <c r="A303" s="3" t="s">
        <v>2941</v>
      </c>
      <c r="B303" s="3" t="str">
        <f t="shared" si="1"/>
        <v>40, 40, KANGALLOUS</v>
      </c>
      <c r="C303" s="1" t="str">
        <f t="array" ref="C303">IF(B302="NEW ROUTE",TEXTSPLIT(B303,","),"")</f>
        <v/>
      </c>
      <c r="H303" s="1" t="str">
        <f t="shared" ref="H303:I303" si="305">IF(C303&lt;&gt;"",DEC2HEX(C303,2),"")</f>
        <v/>
      </c>
      <c r="I303" s="1" t="str">
        <f t="shared" si="305"/>
        <v/>
      </c>
      <c r="J303" s="1" t="str">
        <f t="shared" si="3"/>
        <v/>
      </c>
      <c r="L303" s="1" t="s">
        <v>2941</v>
      </c>
      <c r="M303" s="1" t="str">
        <f t="shared" si="4"/>
        <v>40, 40, KANGALLOUS</v>
      </c>
    </row>
    <row r="304" ht="12.75" customHeight="1">
      <c r="A304" s="3" t="s">
        <v>2942</v>
      </c>
      <c r="B304" s="3" t="str">
        <f t="shared" si="1"/>
        <v>40, 40, MAGMORTAR</v>
      </c>
      <c r="C304" s="1" t="str">
        <f t="array" ref="C304">IF(B303="NEW ROUTE",TEXTSPLIT(B304,","),"")</f>
        <v/>
      </c>
      <c r="H304" s="1" t="str">
        <f t="shared" ref="H304:I304" si="306">IF(C304&lt;&gt;"",DEC2HEX(C304,2),"")</f>
        <v/>
      </c>
      <c r="I304" s="1" t="str">
        <f t="shared" si="306"/>
        <v/>
      </c>
      <c r="J304" s="1" t="str">
        <f t="shared" si="3"/>
        <v/>
      </c>
      <c r="L304" s="1" t="s">
        <v>2942</v>
      </c>
      <c r="M304" s="1" t="str">
        <f t="shared" si="4"/>
        <v>40, 40, MAGMORTAR</v>
      </c>
    </row>
    <row r="305" ht="12.75" customHeight="1">
      <c r="A305" s="3" t="s">
        <v>2921</v>
      </c>
      <c r="B305" s="3" t="str">
        <f t="shared" si="1"/>
        <v>2, 38, 42, SLOWPOKE</v>
      </c>
      <c r="C305" s="1" t="str">
        <f t="array" ref="C305">IF(B304="NEW ROUTE",TEXTSPLIT(B305,","),"")</f>
        <v/>
      </c>
      <c r="H305" s="1" t="str">
        <f t="shared" ref="H305:I305" si="307">IF(C305&lt;&gt;"",DEC2HEX(C305,2),"")</f>
        <v/>
      </c>
      <c r="I305" s="1" t="str">
        <f t="shared" si="307"/>
        <v/>
      </c>
      <c r="J305" s="1" t="str">
        <f t="shared" si="3"/>
        <v/>
      </c>
      <c r="L305" s="1" t="s">
        <v>2921</v>
      </c>
      <c r="M305" s="1" t="str">
        <f t="shared" si="4"/>
        <v>2, 38, 42, SLOWPOKE</v>
      </c>
    </row>
    <row r="306" ht="12.75" customHeight="1">
      <c r="A306" s="3" t="s">
        <v>2922</v>
      </c>
      <c r="B306" s="3" t="str">
        <f t="shared" si="1"/>
        <v>40, 42, PSYDUCK</v>
      </c>
      <c r="C306" s="1" t="str">
        <f t="array" ref="C306">IF(B305="NEW ROUTE",TEXTSPLIT(B306,","),"")</f>
        <v/>
      </c>
      <c r="H306" s="1" t="str">
        <f t="shared" ref="H306:I306" si="308">IF(C306&lt;&gt;"",DEC2HEX(C306,2),"")</f>
        <v/>
      </c>
      <c r="I306" s="1" t="str">
        <f t="shared" si="308"/>
        <v/>
      </c>
      <c r="J306" s="1" t="str">
        <f t="shared" si="3"/>
        <v/>
      </c>
      <c r="L306" s="1" t="s">
        <v>2922</v>
      </c>
      <c r="M306" s="1" t="str">
        <f t="shared" si="4"/>
        <v>40, 42, PSYDUCK</v>
      </c>
    </row>
    <row r="307" ht="12.75" customHeight="1">
      <c r="A307" s="3" t="s">
        <v>2923</v>
      </c>
      <c r="B307" s="3" t="str">
        <f t="shared" si="1"/>
        <v>42, 46, SLOWBRO</v>
      </c>
      <c r="C307" s="1" t="str">
        <f t="array" ref="C307">IF(B306="NEW ROUTE",TEXTSPLIT(B307,","),"")</f>
        <v/>
      </c>
      <c r="H307" s="1" t="str">
        <f t="shared" ref="H307:I307" si="309">IF(C307&lt;&gt;"",DEC2HEX(C307,2),"")</f>
        <v/>
      </c>
      <c r="I307" s="1" t="str">
        <f t="shared" si="309"/>
        <v/>
      </c>
      <c r="J307" s="1" t="str">
        <f t="shared" si="3"/>
        <v/>
      </c>
      <c r="L307" s="1" t="s">
        <v>2923</v>
      </c>
      <c r="M307" s="1" t="str">
        <f t="shared" si="4"/>
        <v>42, 46, SLOWBRO</v>
      </c>
    </row>
    <row r="308" ht="12.75" customHeight="1">
      <c r="A308" s="3" t="s">
        <v>2924</v>
      </c>
      <c r="B308" s="3" t="str">
        <f t="shared" si="1"/>
        <v>42, 46, GOLDUCK</v>
      </c>
      <c r="C308" s="1" t="str">
        <f t="array" ref="C308">IF(B307="NEW ROUTE",TEXTSPLIT(B308,","),"")</f>
        <v/>
      </c>
      <c r="H308" s="1" t="str">
        <f t="shared" ref="H308:I308" si="310">IF(C308&lt;&gt;"",DEC2HEX(C308,2),"")</f>
        <v/>
      </c>
      <c r="I308" s="1" t="str">
        <f t="shared" si="310"/>
        <v/>
      </c>
      <c r="J308" s="1" t="str">
        <f t="shared" si="3"/>
        <v/>
      </c>
      <c r="L308" s="1" t="s">
        <v>2924</v>
      </c>
      <c r="M308" s="1" t="str">
        <f t="shared" si="4"/>
        <v>42, 46, GOLDUCK</v>
      </c>
    </row>
    <row r="309" ht="12.75" customHeight="1">
      <c r="A309" s="3" t="s">
        <v>2925</v>
      </c>
      <c r="B309" s="3" t="str">
        <f t="shared" si="1"/>
        <v>44, 48, VAPOREON</v>
      </c>
      <c r="C309" s="1" t="str">
        <f t="array" ref="C309">IF(B308="NEW ROUTE",TEXTSPLIT(B309,","),"")</f>
        <v/>
      </c>
      <c r="H309" s="1" t="str">
        <f t="shared" ref="H309:I309" si="311">IF(C309&lt;&gt;"",DEC2HEX(C309,2),"")</f>
        <v/>
      </c>
      <c r="I309" s="1" t="str">
        <f t="shared" si="311"/>
        <v/>
      </c>
      <c r="J309" s="1" t="str">
        <f t="shared" si="3"/>
        <v/>
      </c>
      <c r="L309" s="1" t="s">
        <v>2925</v>
      </c>
      <c r="M309" s="1" t="str">
        <f t="shared" si="4"/>
        <v>44, 48, VAPOREON</v>
      </c>
    </row>
    <row r="310" ht="12.75" customHeight="1">
      <c r="A310" s="3" t="s">
        <v>2926</v>
      </c>
      <c r="B310" s="3" t="str">
        <f t="shared" si="1"/>
        <v>20, old rod:</v>
      </c>
      <c r="C310" s="1" t="str">
        <f t="array" ref="C310">IF(B309="NEW ROUTE",TEXTSPLIT(B310,","),"")</f>
        <v/>
      </c>
      <c r="H310" s="1" t="str">
        <f t="shared" ref="H310:I310" si="312">IF(C310&lt;&gt;"",DEC2HEX(C310,2),"")</f>
        <v/>
      </c>
      <c r="I310" s="1" t="str">
        <f t="shared" si="312"/>
        <v/>
      </c>
      <c r="J310" s="1" t="str">
        <f t="shared" si="3"/>
        <v/>
      </c>
      <c r="L310" s="1" t="s">
        <v>2926</v>
      </c>
      <c r="M310" s="1" t="str">
        <f t="shared" si="4"/>
        <v>20, old rod:</v>
      </c>
    </row>
    <row r="311" ht="12.75" customHeight="1">
      <c r="A311" s="3" t="s">
        <v>500</v>
      </c>
      <c r="B311" s="3" t="str">
        <f t="shared" si="1"/>
        <v>19, 26, MAGIKARP</v>
      </c>
      <c r="C311" s="1" t="str">
        <f t="array" ref="C311">IF(B310="NEW ROUTE",TEXTSPLIT(B311,","),"")</f>
        <v/>
      </c>
      <c r="H311" s="1" t="str">
        <f t="shared" ref="H311:I311" si="313">IF(C311&lt;&gt;"",DEC2HEX(C311,2),"")</f>
        <v/>
      </c>
      <c r="I311" s="1" t="str">
        <f t="shared" si="313"/>
        <v/>
      </c>
      <c r="J311" s="1" t="str">
        <f t="shared" si="3"/>
        <v/>
      </c>
      <c r="L311" s="1" t="s">
        <v>500</v>
      </c>
      <c r="M311" s="1" t="str">
        <f t="shared" si="4"/>
        <v>19, 26, MAGIKARP</v>
      </c>
    </row>
    <row r="312" ht="12.75" customHeight="1">
      <c r="A312" s="3" t="s">
        <v>2927</v>
      </c>
      <c r="B312" s="3" t="str">
        <f t="shared" si="1"/>
        <v>19, 26, POLIWAG</v>
      </c>
      <c r="C312" s="1" t="str">
        <f t="array" ref="C312">IF(B311="NEW ROUTE",TEXTSPLIT(B312,","),"")</f>
        <v/>
      </c>
      <c r="H312" s="1" t="str">
        <f t="shared" ref="H312:I312" si="314">IF(C312&lt;&gt;"",DEC2HEX(C312,2),"")</f>
        <v/>
      </c>
      <c r="I312" s="1" t="str">
        <f t="shared" si="314"/>
        <v/>
      </c>
      <c r="J312" s="1" t="str">
        <f t="shared" si="3"/>
        <v/>
      </c>
      <c r="L312" s="1" t="s">
        <v>2927</v>
      </c>
      <c r="M312" s="1" t="str">
        <f t="shared" si="4"/>
        <v>19, 26, POLIWAG</v>
      </c>
    </row>
    <row r="313" ht="12.75" customHeight="1">
      <c r="A313" s="3" t="s">
        <v>2847</v>
      </c>
      <c r="B313" s="3" t="str">
        <f t="shared" si="1"/>
        <v>good rod:</v>
      </c>
      <c r="C313" s="1" t="str">
        <f t="array" ref="C313">IF(B312="NEW ROUTE",TEXTSPLIT(B313,","),"")</f>
        <v/>
      </c>
      <c r="H313" s="1" t="str">
        <f t="shared" ref="H313:I313" si="315">IF(C313&lt;&gt;"",DEC2HEX(C313,2),"")</f>
        <v/>
      </c>
      <c r="I313" s="1" t="str">
        <f t="shared" si="315"/>
        <v/>
      </c>
      <c r="J313" s="1" t="str">
        <f t="shared" si="3"/>
        <v/>
      </c>
      <c r="L313" s="1" t="s">
        <v>2847</v>
      </c>
      <c r="M313" s="1" t="str">
        <f t="shared" si="4"/>
        <v>good rod:</v>
      </c>
    </row>
    <row r="314" ht="12.75" customHeight="1">
      <c r="A314" s="3" t="s">
        <v>2928</v>
      </c>
      <c r="B314" s="3" t="str">
        <f t="shared" si="1"/>
        <v>29, 33, GYARADOS</v>
      </c>
      <c r="C314" s="1" t="str">
        <f t="array" ref="C314">IF(B313="NEW ROUTE",TEXTSPLIT(B314,","),"")</f>
        <v/>
      </c>
      <c r="H314" s="1" t="str">
        <f t="shared" ref="H314:I314" si="316">IF(C314&lt;&gt;"",DEC2HEX(C314,2),"")</f>
        <v/>
      </c>
      <c r="I314" s="1" t="str">
        <f t="shared" si="316"/>
        <v/>
      </c>
      <c r="J314" s="1" t="str">
        <f t="shared" si="3"/>
        <v/>
      </c>
      <c r="L314" s="1" t="s">
        <v>2928</v>
      </c>
      <c r="M314" s="1" t="str">
        <f t="shared" si="4"/>
        <v>29, 33, GYARADOS</v>
      </c>
    </row>
    <row r="315" ht="12.75" customHeight="1">
      <c r="A315" s="3" t="s">
        <v>2929</v>
      </c>
      <c r="B315" s="3" t="str">
        <f t="shared" si="1"/>
        <v>30, 35, POLIWAG</v>
      </c>
      <c r="C315" s="1" t="str">
        <f t="array" ref="C315">IF(B314="NEW ROUTE",TEXTSPLIT(B315,","),"")</f>
        <v/>
      </c>
      <c r="H315" s="1" t="str">
        <f t="shared" ref="H315:I315" si="317">IF(C315&lt;&gt;"",DEC2HEX(C315,2),"")</f>
        <v/>
      </c>
      <c r="I315" s="1" t="str">
        <f t="shared" si="317"/>
        <v/>
      </c>
      <c r="J315" s="1" t="str">
        <f t="shared" si="3"/>
        <v/>
      </c>
      <c r="L315" s="1" t="s">
        <v>2929</v>
      </c>
      <c r="M315" s="1" t="str">
        <f t="shared" si="4"/>
        <v>30, 35, POLIWAG</v>
      </c>
    </row>
    <row r="316" ht="12.75" customHeight="1">
      <c r="A316" s="3" t="s">
        <v>2930</v>
      </c>
      <c r="B316" s="3" t="str">
        <f t="shared" si="1"/>
        <v>30, 35, GOLDEEN</v>
      </c>
      <c r="C316" s="1" t="str">
        <f t="array" ref="C316">IF(B315="NEW ROUTE",TEXTSPLIT(B316,","),"")</f>
        <v/>
      </c>
      <c r="H316" s="1" t="str">
        <f t="shared" ref="H316:I316" si="318">IF(C316&lt;&gt;"",DEC2HEX(C316,2),"")</f>
        <v/>
      </c>
      <c r="I316" s="1" t="str">
        <f t="shared" si="318"/>
        <v/>
      </c>
      <c r="J316" s="1" t="str">
        <f t="shared" si="3"/>
        <v/>
      </c>
      <c r="L316" s="1" t="s">
        <v>2930</v>
      </c>
      <c r="M316" s="1" t="str">
        <f t="shared" si="4"/>
        <v>30, 35, GOLDEEN</v>
      </c>
    </row>
    <row r="317" ht="12.75" customHeight="1">
      <c r="A317" s="3" t="s">
        <v>2851</v>
      </c>
      <c r="B317" s="3" t="str">
        <f t="shared" si="1"/>
        <v>super rod:</v>
      </c>
      <c r="C317" s="1" t="str">
        <f t="array" ref="C317">IF(B316="NEW ROUTE",TEXTSPLIT(B317,","),"")</f>
        <v/>
      </c>
      <c r="H317" s="1" t="str">
        <f t="shared" ref="H317:I317" si="319">IF(C317&lt;&gt;"",DEC2HEX(C317,2),"")</f>
        <v/>
      </c>
      <c r="I317" s="1" t="str">
        <f t="shared" si="319"/>
        <v/>
      </c>
      <c r="J317" s="1" t="str">
        <f t="shared" si="3"/>
        <v/>
      </c>
      <c r="L317" s="1" t="s">
        <v>2851</v>
      </c>
      <c r="M317" s="1" t="str">
        <f t="shared" si="4"/>
        <v>super rod:</v>
      </c>
    </row>
    <row r="318" ht="12.75" customHeight="1">
      <c r="A318" s="3" t="s">
        <v>2931</v>
      </c>
      <c r="B318" s="3" t="str">
        <f t="shared" si="1"/>
        <v>36, 40, POLIWHIRL</v>
      </c>
      <c r="C318" s="1" t="str">
        <f t="array" ref="C318">IF(B317="NEW ROUTE",TEXTSPLIT(B318,","),"")</f>
        <v/>
      </c>
      <c r="H318" s="1" t="str">
        <f t="shared" ref="H318:I318" si="320">IF(C318&lt;&gt;"",DEC2HEX(C318,2),"")</f>
        <v/>
      </c>
      <c r="I318" s="1" t="str">
        <f t="shared" si="320"/>
        <v/>
      </c>
      <c r="J318" s="1" t="str">
        <f t="shared" si="3"/>
        <v/>
      </c>
      <c r="L318" s="1" t="s">
        <v>2931</v>
      </c>
      <c r="M318" s="1" t="str">
        <f t="shared" si="4"/>
        <v>36, 40, POLIWHIRL</v>
      </c>
    </row>
    <row r="319" ht="12.75" customHeight="1">
      <c r="A319" s="3" t="s">
        <v>2932</v>
      </c>
      <c r="B319" s="3" t="str">
        <f t="shared" si="1"/>
        <v>36, 40, SEAKING</v>
      </c>
      <c r="C319" s="1" t="str">
        <f t="array" ref="C319">IF(B318="NEW ROUTE",TEXTSPLIT(B319,","),"")</f>
        <v/>
      </c>
      <c r="H319" s="1" t="str">
        <f t="shared" ref="H319:I319" si="321">IF(C319&lt;&gt;"",DEC2HEX(C319,2),"")</f>
        <v/>
      </c>
      <c r="I319" s="1" t="str">
        <f t="shared" si="321"/>
        <v/>
      </c>
      <c r="J319" s="1" t="str">
        <f t="shared" si="3"/>
        <v/>
      </c>
      <c r="L319" s="1" t="s">
        <v>2932</v>
      </c>
      <c r="M319" s="1" t="str">
        <f t="shared" si="4"/>
        <v>36, 40, SEAKING</v>
      </c>
    </row>
    <row r="320" ht="12.75" customHeight="1">
      <c r="A320" s="3" t="s">
        <v>2933</v>
      </c>
      <c r="B320" s="3" t="str">
        <f t="shared" si="1"/>
        <v>38, 42, DRATINI</v>
      </c>
      <c r="C320" s="1" t="str">
        <f t="array" ref="C320">IF(B319="NEW ROUTE",TEXTSPLIT(B320,","),"")</f>
        <v/>
      </c>
      <c r="H320" s="1" t="str">
        <f t="shared" ref="H320:I320" si="322">IF(C320&lt;&gt;"",DEC2HEX(C320,2),"")</f>
        <v/>
      </c>
      <c r="I320" s="1" t="str">
        <f t="shared" si="322"/>
        <v/>
      </c>
      <c r="J320" s="1" t="str">
        <f t="shared" si="3"/>
        <v/>
      </c>
      <c r="L320" s="1" t="s">
        <v>2933</v>
      </c>
      <c r="M320" s="1" t="str">
        <f t="shared" si="4"/>
        <v>38, 42, DRATINI</v>
      </c>
    </row>
    <row r="321" ht="12.75" customHeight="1">
      <c r="A321" s="3" t="s">
        <v>2934</v>
      </c>
      <c r="B321" s="3" t="str">
        <f t="shared" si="1"/>
        <v>38, 42, DRAGONAIR</v>
      </c>
      <c r="C321" s="1" t="str">
        <f t="array" ref="C321">IF(B320="NEW ROUTE",TEXTSPLIT(B321,","),"")</f>
        <v/>
      </c>
      <c r="H321" s="1" t="str">
        <f t="shared" ref="H321:I321" si="323">IF(C321&lt;&gt;"",DEC2HEX(C321,2),"")</f>
        <v/>
      </c>
      <c r="I321" s="1" t="str">
        <f t="shared" si="323"/>
        <v/>
      </c>
      <c r="J321" s="1" t="str">
        <f t="shared" si="3"/>
        <v/>
      </c>
      <c r="L321" s="1" t="s">
        <v>2934</v>
      </c>
      <c r="M321" s="1" t="str">
        <f t="shared" si="4"/>
        <v>38, 42, DRAGONAIR</v>
      </c>
    </row>
    <row r="322" ht="12.75" customHeight="1">
      <c r="A322" s="3" t="s">
        <v>2935</v>
      </c>
      <c r="B322" s="3" t="str">
        <f t="shared" si="1"/>
        <v>40, 44, DRAGONITE</v>
      </c>
      <c r="C322" s="1" t="str">
        <f t="array" ref="C322">IF(B321="NEW ROUTE",TEXTSPLIT(B322,","),"")</f>
        <v/>
      </c>
      <c r="H322" s="1" t="str">
        <f t="shared" ref="H322:I322" si="324">IF(C322&lt;&gt;"",DEC2HEX(C322,2),"")</f>
        <v/>
      </c>
      <c r="I322" s="1" t="str">
        <f t="shared" si="324"/>
        <v/>
      </c>
      <c r="J322" s="1" t="str">
        <f t="shared" si="3"/>
        <v/>
      </c>
      <c r="L322" s="1" t="s">
        <v>2935</v>
      </c>
      <c r="M322" s="1" t="str">
        <f t="shared" si="4"/>
        <v>40, 44, DRAGONITE</v>
      </c>
    </row>
    <row r="323" ht="12.75" customHeight="1">
      <c r="A323" s="3" t="s">
        <v>2539</v>
      </c>
      <c r="B323" s="3" t="str">
        <f t="shared" si="1"/>
        <v>NEW ROUTE</v>
      </c>
      <c r="C323" s="1" t="str">
        <f t="array" ref="C323">IF(B322="NEW ROUTE",TEXTSPLIT(B323,","),"")</f>
        <v/>
      </c>
      <c r="H323" s="1" t="str">
        <f t="shared" ref="H323:I323" si="325">IF(C323&lt;&gt;"",DEC2HEX(C323,2),"")</f>
        <v/>
      </c>
      <c r="I323" s="1" t="str">
        <f t="shared" si="325"/>
        <v/>
      </c>
      <c r="J323" s="1" t="str">
        <f t="shared" si="3"/>
        <v/>
      </c>
      <c r="L323" s="1" t="s">
        <v>2539</v>
      </c>
      <c r="M323" s="1" t="str">
        <f t="shared" si="4"/>
        <v>NEW ROUTE</v>
      </c>
    </row>
    <row r="324" ht="12.75" customHeight="1">
      <c r="A324" s="3" t="s">
        <v>2943</v>
      </c>
      <c r="B324" s="3" t="str">
        <f t="shared" si="1"/>
        <v>1, 65, 0,</v>
      </c>
      <c r="C324" s="1" t="str">
        <f t="array" ref="C324">IF(B323="NEW ROUTE",TEXTSPLIT(B324,","),"")</f>
        <v>#NAME?</v>
      </c>
      <c r="H324" s="1" t="str">
        <f t="shared" ref="H324:I324" si="326">IF(C324&lt;&gt;"",DEC2HEX(C324,2),"")</f>
        <v>#NAME?</v>
      </c>
      <c r="I324" s="1" t="str">
        <f t="shared" si="326"/>
        <v/>
      </c>
      <c r="J324" s="1" t="str">
        <f t="shared" si="3"/>
        <v>#NAME?</v>
      </c>
      <c r="L324" s="1" t="s">
        <v>2943</v>
      </c>
      <c r="M324" s="1" t="str">
        <f t="shared" si="4"/>
        <v>#NAME?</v>
      </c>
    </row>
    <row r="325" ht="12.75" customHeight="1">
      <c r="A325" s="3" t="s">
        <v>2909</v>
      </c>
      <c r="B325" s="3" t="str">
        <f t="shared" si="1"/>
        <v>20%</v>
      </c>
      <c r="C325" s="1" t="str">
        <f t="array" ref="C325">IF(B324="NEW ROUTE",TEXTSPLIT(B325,","),"")</f>
        <v/>
      </c>
      <c r="H325" s="1" t="str">
        <f t="shared" ref="H325:I325" si="327">IF(C325&lt;&gt;"",DEC2HEX(C325,2),"")</f>
        <v/>
      </c>
      <c r="I325" s="1" t="str">
        <f t="shared" si="327"/>
        <v/>
      </c>
      <c r="J325" s="1" t="str">
        <f t="shared" si="3"/>
        <v/>
      </c>
      <c r="L325" s="1" t="s">
        <v>2799</v>
      </c>
      <c r="M325" s="1" t="str">
        <f t="shared" si="4"/>
        <v>20%</v>
      </c>
    </row>
    <row r="326" ht="12.75" customHeight="1">
      <c r="A326" s="3" t="s">
        <v>484</v>
      </c>
      <c r="B326" s="3" t="str">
        <f t="shared" si="1"/>
        <v>35, 40, NIDOKING</v>
      </c>
      <c r="C326" s="1" t="str">
        <f t="array" ref="C326">IF(B325="NEW ROUTE",TEXTSPLIT(B326,","),"")</f>
        <v/>
      </c>
      <c r="H326" s="1" t="str">
        <f t="shared" ref="H326:I326" si="328">IF(C326&lt;&gt;"",DEC2HEX(C326,2),"")</f>
        <v/>
      </c>
      <c r="I326" s="1" t="str">
        <f t="shared" si="328"/>
        <v/>
      </c>
      <c r="J326" s="1" t="str">
        <f t="shared" si="3"/>
        <v/>
      </c>
      <c r="L326" s="1" t="s">
        <v>484</v>
      </c>
      <c r="M326" s="1" t="str">
        <f t="shared" si="4"/>
        <v>35, 40, NIDOKING</v>
      </c>
    </row>
    <row r="327" ht="12.75" customHeight="1">
      <c r="A327" s="3" t="s">
        <v>2910</v>
      </c>
      <c r="B327" s="3" t="str">
        <f t="shared" si="1"/>
        <v>35, 40, NIDOQUEEN</v>
      </c>
      <c r="C327" s="1" t="str">
        <f t="array" ref="C327">IF(B326="NEW ROUTE",TEXTSPLIT(B327,","),"")</f>
        <v/>
      </c>
      <c r="H327" s="1" t="str">
        <f t="shared" ref="H327:I327" si="329">IF(C327&lt;&gt;"",DEC2HEX(C327,2),"")</f>
        <v/>
      </c>
      <c r="I327" s="1" t="str">
        <f t="shared" si="329"/>
        <v/>
      </c>
      <c r="J327" s="1" t="str">
        <f t="shared" si="3"/>
        <v/>
      </c>
      <c r="L327" s="1" t="s">
        <v>2910</v>
      </c>
      <c r="M327" s="1" t="str">
        <f t="shared" si="4"/>
        <v>35, 40, NIDOQUEEN</v>
      </c>
    </row>
    <row r="328" ht="12.75" customHeight="1">
      <c r="A328" s="3" t="s">
        <v>2802</v>
      </c>
      <c r="B328" s="3" t="str">
        <f t="shared" si="1"/>
        <v>0.1</v>
      </c>
      <c r="C328" s="1" t="str">
        <f t="array" ref="C328">IF(B327="NEW ROUTE",TEXTSPLIT(B328,","),"")</f>
        <v/>
      </c>
      <c r="H328" s="1" t="str">
        <f t="shared" ref="H328:I328" si="330">IF(C328&lt;&gt;"",DEC2HEX(C328,2),"")</f>
        <v/>
      </c>
      <c r="I328" s="1" t="str">
        <f t="shared" si="330"/>
        <v/>
      </c>
      <c r="J328" s="1" t="str">
        <f t="shared" si="3"/>
        <v/>
      </c>
      <c r="L328" s="1" t="s">
        <v>2802</v>
      </c>
      <c r="M328" s="1" t="str">
        <f t="shared" si="4"/>
        <v>0.1</v>
      </c>
    </row>
    <row r="329" ht="12.75" customHeight="1">
      <c r="A329" s="3" t="s">
        <v>2911</v>
      </c>
      <c r="B329" s="3" t="str">
        <f t="shared" si="1"/>
        <v>36, 41, PARASECT</v>
      </c>
      <c r="C329" s="1" t="str">
        <f t="array" ref="C329">IF(B328="NEW ROUTE",TEXTSPLIT(B329,","),"")</f>
        <v/>
      </c>
      <c r="H329" s="1" t="str">
        <f t="shared" ref="H329:I329" si="331">IF(C329&lt;&gt;"",DEC2HEX(C329,2),"")</f>
        <v/>
      </c>
      <c r="I329" s="1" t="str">
        <f t="shared" si="331"/>
        <v/>
      </c>
      <c r="J329" s="1" t="str">
        <f t="shared" si="3"/>
        <v/>
      </c>
      <c r="L329" s="1" t="s">
        <v>2911</v>
      </c>
      <c r="M329" s="1" t="str">
        <f t="shared" si="4"/>
        <v>36, 41, PARASECT</v>
      </c>
    </row>
    <row r="330" ht="12.75" customHeight="1">
      <c r="A330" s="3" t="s">
        <v>2912</v>
      </c>
      <c r="B330" s="3" t="str">
        <f t="shared" si="1"/>
        <v>36, 41, VENOMOTH</v>
      </c>
      <c r="C330" s="1" t="str">
        <f t="array" ref="C330">IF(B329="NEW ROUTE",TEXTSPLIT(B330,","),"")</f>
        <v/>
      </c>
      <c r="H330" s="1" t="str">
        <f t="shared" ref="H330:I330" si="332">IF(C330&lt;&gt;"",DEC2HEX(C330,2),"")</f>
        <v/>
      </c>
      <c r="I330" s="1" t="str">
        <f t="shared" si="332"/>
        <v/>
      </c>
      <c r="J330" s="1" t="str">
        <f t="shared" si="3"/>
        <v/>
      </c>
      <c r="L330" s="1" t="s">
        <v>2912</v>
      </c>
      <c r="M330" s="1" t="str">
        <f t="shared" si="4"/>
        <v>36, 41, VENOMOTH</v>
      </c>
    </row>
    <row r="331" ht="12.75" customHeight="1">
      <c r="A331" s="3" t="s">
        <v>2944</v>
      </c>
      <c r="B331" s="3" t="str">
        <f t="shared" si="1"/>
        <v>36, 41, CLEFABLE</v>
      </c>
      <c r="C331" s="1" t="str">
        <f t="array" ref="C331">IF(B330="NEW ROUTE",TEXTSPLIT(B331,","),"")</f>
        <v/>
      </c>
      <c r="H331" s="1" t="str">
        <f t="shared" ref="H331:I331" si="333">IF(C331&lt;&gt;"",DEC2HEX(C331,2),"")</f>
        <v/>
      </c>
      <c r="I331" s="1" t="str">
        <f t="shared" si="333"/>
        <v/>
      </c>
      <c r="J331" s="1" t="str">
        <f t="shared" si="3"/>
        <v/>
      </c>
      <c r="L331" s="1" t="s">
        <v>2944</v>
      </c>
      <c r="M331" s="1" t="str">
        <f t="shared" si="4"/>
        <v>36, 41, CLEFABLE</v>
      </c>
    </row>
    <row r="332" ht="12.75" customHeight="1">
      <c r="A332" s="3" t="s">
        <v>2945</v>
      </c>
      <c r="B332" s="3" t="str">
        <f t="shared" si="1"/>
        <v>36, 41, ELECTABUZZ</v>
      </c>
      <c r="C332" s="1" t="str">
        <f t="array" ref="C332">IF(B331="NEW ROUTE",TEXTSPLIT(B332,","),"")</f>
        <v/>
      </c>
      <c r="H332" s="1" t="str">
        <f t="shared" ref="H332:I332" si="334">IF(C332&lt;&gt;"",DEC2HEX(C332,2),"")</f>
        <v/>
      </c>
      <c r="I332" s="1" t="str">
        <f t="shared" si="334"/>
        <v/>
      </c>
      <c r="J332" s="1" t="str">
        <f t="shared" si="3"/>
        <v/>
      </c>
      <c r="L332" s="1" t="s">
        <v>2945</v>
      </c>
      <c r="M332" s="1" t="str">
        <f t="shared" si="4"/>
        <v>36, 41, ELECTABUZZ</v>
      </c>
    </row>
    <row r="333" ht="12.75" customHeight="1">
      <c r="A333" s="3" t="s">
        <v>2807</v>
      </c>
      <c r="B333" s="3" t="str">
        <f t="shared" si="1"/>
        <v>0.05</v>
      </c>
      <c r="C333" s="1" t="str">
        <f t="array" ref="C333">IF(B332="NEW ROUTE",TEXTSPLIT(B333,","),"")</f>
        <v/>
      </c>
      <c r="H333" s="1" t="str">
        <f t="shared" ref="H333:I333" si="335">IF(C333&lt;&gt;"",DEC2HEX(C333,2),"")</f>
        <v/>
      </c>
      <c r="I333" s="1" t="str">
        <f t="shared" si="335"/>
        <v/>
      </c>
      <c r="J333" s="1" t="str">
        <f t="shared" si="3"/>
        <v/>
      </c>
      <c r="L333" s="1" t="s">
        <v>2807</v>
      </c>
      <c r="M333" s="1" t="str">
        <f t="shared" si="4"/>
        <v>0.05</v>
      </c>
    </row>
    <row r="334" ht="12.75" customHeight="1">
      <c r="A334" s="3" t="s">
        <v>2915</v>
      </c>
      <c r="B334" s="3" t="str">
        <f t="shared" si="1"/>
        <v>37, 39, SCIZOR</v>
      </c>
      <c r="C334" s="1" t="str">
        <f t="array" ref="C334">IF(B333="NEW ROUTE",TEXTSPLIT(B334,","),"")</f>
        <v/>
      </c>
      <c r="H334" s="1" t="str">
        <f t="shared" ref="H334:I334" si="336">IF(C334&lt;&gt;"",DEC2HEX(C334,2),"")</f>
        <v/>
      </c>
      <c r="I334" s="1" t="str">
        <f t="shared" si="336"/>
        <v/>
      </c>
      <c r="J334" s="1" t="str">
        <f t="shared" si="3"/>
        <v/>
      </c>
      <c r="L334" s="1" t="s">
        <v>2915</v>
      </c>
      <c r="M334" s="1" t="str">
        <f t="shared" si="4"/>
        <v>37, 39, SCIZOR</v>
      </c>
    </row>
    <row r="335" ht="12.75" customHeight="1">
      <c r="A335" s="3" t="s">
        <v>2916</v>
      </c>
      <c r="B335" s="3" t="str">
        <f t="shared" si="1"/>
        <v>37, 39, PINSIRIOR</v>
      </c>
      <c r="C335" s="1" t="str">
        <f t="array" ref="C335">IF(B334="NEW ROUTE",TEXTSPLIT(B335,","),"")</f>
        <v/>
      </c>
      <c r="H335" s="1" t="str">
        <f t="shared" ref="H335:I335" si="337">IF(C335&lt;&gt;"",DEC2HEX(C335,2),"")</f>
        <v/>
      </c>
      <c r="I335" s="1" t="str">
        <f t="shared" si="337"/>
        <v/>
      </c>
      <c r="J335" s="1" t="str">
        <f t="shared" si="3"/>
        <v/>
      </c>
      <c r="L335" s="1" t="s">
        <v>2916</v>
      </c>
      <c r="M335" s="1" t="str">
        <f t="shared" si="4"/>
        <v>37, 39, PINSIRIOR</v>
      </c>
    </row>
    <row r="336" ht="12.75" customHeight="1">
      <c r="A336" s="3" t="s">
        <v>2810</v>
      </c>
      <c r="B336" s="3" t="str">
        <f t="shared" si="1"/>
        <v>0.04</v>
      </c>
      <c r="C336" s="1" t="str">
        <f t="array" ref="C336">IF(B335="NEW ROUTE",TEXTSPLIT(B336,","),"")</f>
        <v/>
      </c>
      <c r="H336" s="1" t="str">
        <f t="shared" ref="H336:I336" si="338">IF(C336&lt;&gt;"",DEC2HEX(C336,2),"")</f>
        <v/>
      </c>
      <c r="I336" s="1" t="str">
        <f t="shared" si="338"/>
        <v/>
      </c>
      <c r="J336" s="1" t="str">
        <f t="shared" si="3"/>
        <v/>
      </c>
      <c r="L336" s="1" t="s">
        <v>2810</v>
      </c>
      <c r="M336" s="1" t="str">
        <f t="shared" si="4"/>
        <v>0.04</v>
      </c>
    </row>
    <row r="337" ht="12.75" customHeight="1">
      <c r="A337" s="3" t="s">
        <v>2946</v>
      </c>
      <c r="B337" s="3" t="str">
        <f t="shared" si="1"/>
        <v>38, 42, TAUROS</v>
      </c>
      <c r="C337" s="1" t="str">
        <f t="array" ref="C337">IF(B336="NEW ROUTE",TEXTSPLIT(B337,","),"")</f>
        <v/>
      </c>
      <c r="H337" s="1" t="str">
        <f t="shared" ref="H337:I337" si="339">IF(C337&lt;&gt;"",DEC2HEX(C337,2),"")</f>
        <v/>
      </c>
      <c r="I337" s="1" t="str">
        <f t="shared" si="339"/>
        <v/>
      </c>
      <c r="J337" s="1" t="str">
        <f t="shared" si="3"/>
        <v/>
      </c>
      <c r="L337" s="1" t="s">
        <v>2946</v>
      </c>
      <c r="M337" s="1" t="str">
        <f t="shared" si="4"/>
        <v>38, 42, TAUROS</v>
      </c>
    </row>
    <row r="338" ht="12.75" customHeight="1">
      <c r="A338" s="3" t="s">
        <v>2947</v>
      </c>
      <c r="B338" s="3" t="str">
        <f t="shared" si="1"/>
        <v>38, 42, FLAREON</v>
      </c>
      <c r="C338" s="1" t="str">
        <f t="array" ref="C338">IF(B337="NEW ROUTE",TEXTSPLIT(B338,","),"")</f>
        <v/>
      </c>
      <c r="H338" s="1" t="str">
        <f t="shared" ref="H338:I338" si="340">IF(C338&lt;&gt;"",DEC2HEX(C338,2),"")</f>
        <v/>
      </c>
      <c r="I338" s="1" t="str">
        <f t="shared" si="340"/>
        <v/>
      </c>
      <c r="J338" s="1" t="str">
        <f t="shared" si="3"/>
        <v/>
      </c>
      <c r="L338" s="1" t="s">
        <v>2947</v>
      </c>
      <c r="M338" s="1" t="str">
        <f t="shared" si="4"/>
        <v>38, 42, FLAREON</v>
      </c>
    </row>
    <row r="339" ht="12.75" customHeight="1">
      <c r="A339" s="3" t="s">
        <v>2813</v>
      </c>
      <c r="B339" s="3" t="str">
        <f t="shared" si="1"/>
        <v>0.01</v>
      </c>
      <c r="C339" s="1" t="str">
        <f t="array" ref="C339">IF(B338="NEW ROUTE",TEXTSPLIT(B339,","),"")</f>
        <v/>
      </c>
      <c r="H339" s="1" t="str">
        <f t="shared" ref="H339:I339" si="341">IF(C339&lt;&gt;"",DEC2HEX(C339,2),"")</f>
        <v/>
      </c>
      <c r="I339" s="1" t="str">
        <f t="shared" si="341"/>
        <v/>
      </c>
      <c r="J339" s="1" t="str">
        <f t="shared" si="3"/>
        <v/>
      </c>
      <c r="L339" s="1" t="s">
        <v>2813</v>
      </c>
      <c r="M339" s="1" t="str">
        <f t="shared" si="4"/>
        <v>0.01</v>
      </c>
    </row>
    <row r="340" ht="12.75" customHeight="1">
      <c r="A340" s="3" t="s">
        <v>2948</v>
      </c>
      <c r="B340" s="3" t="str">
        <f t="shared" si="1"/>
        <v>40, 40, TAUROX</v>
      </c>
      <c r="C340" s="1" t="str">
        <f t="array" ref="C340">IF(B339="NEW ROUTE",TEXTSPLIT(B340,","),"")</f>
        <v/>
      </c>
      <c r="H340" s="1" t="str">
        <f t="shared" ref="H340:I340" si="342">IF(C340&lt;&gt;"",DEC2HEX(C340,2),"")</f>
        <v/>
      </c>
      <c r="I340" s="1" t="str">
        <f t="shared" si="342"/>
        <v/>
      </c>
      <c r="J340" s="1" t="str">
        <f t="shared" si="3"/>
        <v/>
      </c>
      <c r="L340" s="1" t="s">
        <v>2948</v>
      </c>
      <c r="M340" s="1" t="str">
        <f t="shared" si="4"/>
        <v>40, 40, TAUROX</v>
      </c>
    </row>
    <row r="341" ht="12.75" customHeight="1">
      <c r="A341" s="3" t="s">
        <v>2949</v>
      </c>
      <c r="B341" s="3" t="str">
        <f t="shared" si="1"/>
        <v>40, 40, ELECTIVIRE</v>
      </c>
      <c r="C341" s="1" t="str">
        <f t="array" ref="C341">IF(B340="NEW ROUTE",TEXTSPLIT(B341,","),"")</f>
        <v/>
      </c>
      <c r="H341" s="1" t="str">
        <f t="shared" ref="H341:I341" si="343">IF(C341&lt;&gt;"",DEC2HEX(C341,2),"")</f>
        <v/>
      </c>
      <c r="I341" s="1" t="str">
        <f t="shared" si="343"/>
        <v/>
      </c>
      <c r="J341" s="1" t="str">
        <f t="shared" si="3"/>
        <v/>
      </c>
      <c r="L341" s="1" t="s">
        <v>2949</v>
      </c>
      <c r="M341" s="1" t="str">
        <f t="shared" si="4"/>
        <v>40, 40, ELECTIVIRE</v>
      </c>
    </row>
    <row r="342" ht="12.75" customHeight="1">
      <c r="A342" s="3" t="s">
        <v>2921</v>
      </c>
      <c r="B342" s="3" t="str">
        <f t="shared" si="1"/>
        <v>2, 38, 42, SLOWPOKE</v>
      </c>
      <c r="C342" s="1" t="str">
        <f t="array" ref="C342">IF(B341="NEW ROUTE",TEXTSPLIT(B342,","),"")</f>
        <v/>
      </c>
      <c r="H342" s="1" t="str">
        <f t="shared" ref="H342:I342" si="344">IF(C342&lt;&gt;"",DEC2HEX(C342,2),"")</f>
        <v/>
      </c>
      <c r="I342" s="1" t="str">
        <f t="shared" si="344"/>
        <v/>
      </c>
      <c r="J342" s="1" t="str">
        <f t="shared" si="3"/>
        <v/>
      </c>
      <c r="L342" s="1" t="s">
        <v>2921</v>
      </c>
      <c r="M342" s="1" t="str">
        <f t="shared" si="4"/>
        <v>2, 38, 42, SLOWPOKE</v>
      </c>
    </row>
    <row r="343" ht="12.75" customHeight="1">
      <c r="A343" s="3" t="s">
        <v>2922</v>
      </c>
      <c r="B343" s="3" t="str">
        <f t="shared" si="1"/>
        <v>40, 42, PSYDUCK</v>
      </c>
      <c r="C343" s="1" t="str">
        <f t="array" ref="C343">IF(B342="NEW ROUTE",TEXTSPLIT(B343,","),"")</f>
        <v/>
      </c>
      <c r="H343" s="1" t="str">
        <f t="shared" ref="H343:I343" si="345">IF(C343&lt;&gt;"",DEC2HEX(C343,2),"")</f>
        <v/>
      </c>
      <c r="I343" s="1" t="str">
        <f t="shared" si="345"/>
        <v/>
      </c>
      <c r="J343" s="1" t="str">
        <f t="shared" si="3"/>
        <v/>
      </c>
      <c r="L343" s="1" t="s">
        <v>2922</v>
      </c>
      <c r="M343" s="1" t="str">
        <f t="shared" si="4"/>
        <v>40, 42, PSYDUCK</v>
      </c>
    </row>
    <row r="344" ht="12.75" customHeight="1">
      <c r="A344" s="3" t="s">
        <v>2923</v>
      </c>
      <c r="B344" s="3" t="str">
        <f t="shared" si="1"/>
        <v>42, 46, SLOWBRO</v>
      </c>
      <c r="C344" s="1" t="str">
        <f t="array" ref="C344">IF(B343="NEW ROUTE",TEXTSPLIT(B344,","),"")</f>
        <v/>
      </c>
      <c r="H344" s="1" t="str">
        <f t="shared" ref="H344:I344" si="346">IF(C344&lt;&gt;"",DEC2HEX(C344,2),"")</f>
        <v/>
      </c>
      <c r="I344" s="1" t="str">
        <f t="shared" si="346"/>
        <v/>
      </c>
      <c r="J344" s="1" t="str">
        <f t="shared" si="3"/>
        <v/>
      </c>
      <c r="L344" s="1" t="s">
        <v>2923</v>
      </c>
      <c r="M344" s="1" t="str">
        <f t="shared" si="4"/>
        <v>42, 46, SLOWBRO</v>
      </c>
    </row>
    <row r="345" ht="12.75" customHeight="1">
      <c r="A345" s="3" t="s">
        <v>2924</v>
      </c>
      <c r="B345" s="3" t="str">
        <f t="shared" si="1"/>
        <v>42, 46, GOLDUCK</v>
      </c>
      <c r="C345" s="1" t="str">
        <f t="array" ref="C345">IF(B344="NEW ROUTE",TEXTSPLIT(B345,","),"")</f>
        <v/>
      </c>
      <c r="H345" s="1" t="str">
        <f t="shared" ref="H345:I345" si="347">IF(C345&lt;&gt;"",DEC2HEX(C345,2),"")</f>
        <v/>
      </c>
      <c r="I345" s="1" t="str">
        <f t="shared" si="347"/>
        <v/>
      </c>
      <c r="J345" s="1" t="str">
        <f t="shared" si="3"/>
        <v/>
      </c>
      <c r="L345" s="1" t="s">
        <v>2924</v>
      </c>
      <c r="M345" s="1" t="str">
        <f t="shared" si="4"/>
        <v>42, 46, GOLDUCK</v>
      </c>
    </row>
    <row r="346" ht="12.75" customHeight="1">
      <c r="A346" s="3" t="s">
        <v>2925</v>
      </c>
      <c r="B346" s="3" t="str">
        <f t="shared" si="1"/>
        <v>44, 48, VAPOREON</v>
      </c>
      <c r="C346" s="1" t="str">
        <f t="array" ref="C346">IF(B345="NEW ROUTE",TEXTSPLIT(B346,","),"")</f>
        <v/>
      </c>
      <c r="H346" s="1" t="str">
        <f t="shared" ref="H346:I346" si="348">IF(C346&lt;&gt;"",DEC2HEX(C346,2),"")</f>
        <v/>
      </c>
      <c r="I346" s="1" t="str">
        <f t="shared" si="348"/>
        <v/>
      </c>
      <c r="J346" s="1" t="str">
        <f t="shared" si="3"/>
        <v/>
      </c>
      <c r="L346" s="1" t="s">
        <v>2925</v>
      </c>
      <c r="M346" s="1" t="str">
        <f t="shared" si="4"/>
        <v>44, 48, VAPOREON</v>
      </c>
    </row>
    <row r="347" ht="12.75" customHeight="1">
      <c r="A347" s="3" t="s">
        <v>2926</v>
      </c>
      <c r="B347" s="3" t="str">
        <f t="shared" si="1"/>
        <v>20, old rod:</v>
      </c>
      <c r="C347" s="1" t="str">
        <f t="array" ref="C347">IF(B346="NEW ROUTE",TEXTSPLIT(B347,","),"")</f>
        <v/>
      </c>
      <c r="H347" s="1" t="str">
        <f t="shared" ref="H347:I347" si="349">IF(C347&lt;&gt;"",DEC2HEX(C347,2),"")</f>
        <v/>
      </c>
      <c r="I347" s="1" t="str">
        <f t="shared" si="349"/>
        <v/>
      </c>
      <c r="J347" s="1" t="str">
        <f t="shared" si="3"/>
        <v/>
      </c>
      <c r="L347" s="1" t="s">
        <v>2926</v>
      </c>
      <c r="M347" s="1" t="str">
        <f t="shared" si="4"/>
        <v>20, old rod:</v>
      </c>
    </row>
    <row r="348" ht="12.75" customHeight="1">
      <c r="A348" s="3" t="s">
        <v>500</v>
      </c>
      <c r="B348" s="3" t="str">
        <f t="shared" si="1"/>
        <v>19, 26, MAGIKARP</v>
      </c>
      <c r="C348" s="1" t="str">
        <f t="array" ref="C348">IF(B347="NEW ROUTE",TEXTSPLIT(B348,","),"")</f>
        <v/>
      </c>
      <c r="H348" s="1" t="str">
        <f t="shared" ref="H348:I348" si="350">IF(C348&lt;&gt;"",DEC2HEX(C348,2),"")</f>
        <v/>
      </c>
      <c r="I348" s="1" t="str">
        <f t="shared" si="350"/>
        <v/>
      </c>
      <c r="J348" s="1" t="str">
        <f t="shared" si="3"/>
        <v/>
      </c>
      <c r="L348" s="1" t="s">
        <v>500</v>
      </c>
      <c r="M348" s="1" t="str">
        <f t="shared" si="4"/>
        <v>19, 26, MAGIKARP</v>
      </c>
    </row>
    <row r="349" ht="12.75" customHeight="1">
      <c r="A349" s="3" t="s">
        <v>2927</v>
      </c>
      <c r="B349" s="3" t="str">
        <f t="shared" si="1"/>
        <v>19, 26, POLIWAG</v>
      </c>
      <c r="C349" s="1" t="str">
        <f t="array" ref="C349">IF(B348="NEW ROUTE",TEXTSPLIT(B349,","),"")</f>
        <v/>
      </c>
      <c r="H349" s="1" t="str">
        <f t="shared" ref="H349:I349" si="351">IF(C349&lt;&gt;"",DEC2HEX(C349,2),"")</f>
        <v/>
      </c>
      <c r="I349" s="1" t="str">
        <f t="shared" si="351"/>
        <v/>
      </c>
      <c r="J349" s="1" t="str">
        <f t="shared" si="3"/>
        <v/>
      </c>
      <c r="L349" s="1" t="s">
        <v>2927</v>
      </c>
      <c r="M349" s="1" t="str">
        <f t="shared" si="4"/>
        <v>19, 26, POLIWAG</v>
      </c>
    </row>
    <row r="350" ht="12.75" customHeight="1">
      <c r="A350" s="3" t="s">
        <v>2847</v>
      </c>
      <c r="B350" s="3" t="str">
        <f t="shared" si="1"/>
        <v>good rod:</v>
      </c>
      <c r="C350" s="1" t="str">
        <f t="array" ref="C350">IF(B349="NEW ROUTE",TEXTSPLIT(B350,","),"")</f>
        <v/>
      </c>
      <c r="H350" s="1" t="str">
        <f t="shared" ref="H350:I350" si="352">IF(C350&lt;&gt;"",DEC2HEX(C350,2),"")</f>
        <v/>
      </c>
      <c r="I350" s="1" t="str">
        <f t="shared" si="352"/>
        <v/>
      </c>
      <c r="J350" s="1" t="str">
        <f t="shared" si="3"/>
        <v/>
      </c>
      <c r="L350" s="1" t="s">
        <v>2847</v>
      </c>
      <c r="M350" s="1" t="str">
        <f t="shared" si="4"/>
        <v>good rod:</v>
      </c>
    </row>
    <row r="351" ht="12.75" customHeight="1">
      <c r="A351" s="3" t="s">
        <v>2928</v>
      </c>
      <c r="B351" s="3" t="str">
        <f t="shared" si="1"/>
        <v>29, 33, GYARADOS</v>
      </c>
      <c r="C351" s="1" t="str">
        <f t="array" ref="C351">IF(B350="NEW ROUTE",TEXTSPLIT(B351,","),"")</f>
        <v/>
      </c>
      <c r="H351" s="1" t="str">
        <f t="shared" ref="H351:I351" si="353">IF(C351&lt;&gt;"",DEC2HEX(C351,2),"")</f>
        <v/>
      </c>
      <c r="I351" s="1" t="str">
        <f t="shared" si="353"/>
        <v/>
      </c>
      <c r="J351" s="1" t="str">
        <f t="shared" si="3"/>
        <v/>
      </c>
      <c r="L351" s="1" t="s">
        <v>2928</v>
      </c>
      <c r="M351" s="1" t="str">
        <f t="shared" si="4"/>
        <v>29, 33, GYARADOS</v>
      </c>
    </row>
    <row r="352" ht="12.75" customHeight="1">
      <c r="A352" s="3" t="s">
        <v>2929</v>
      </c>
      <c r="B352" s="3" t="str">
        <f t="shared" si="1"/>
        <v>30, 35, POLIWAG</v>
      </c>
      <c r="C352" s="1" t="str">
        <f t="array" ref="C352">IF(B351="NEW ROUTE",TEXTSPLIT(B352,","),"")</f>
        <v/>
      </c>
      <c r="H352" s="1" t="str">
        <f t="shared" ref="H352:I352" si="354">IF(C352&lt;&gt;"",DEC2HEX(C352,2),"")</f>
        <v/>
      </c>
      <c r="I352" s="1" t="str">
        <f t="shared" si="354"/>
        <v/>
      </c>
      <c r="J352" s="1" t="str">
        <f t="shared" si="3"/>
        <v/>
      </c>
      <c r="L352" s="1" t="s">
        <v>2929</v>
      </c>
      <c r="M352" s="1" t="str">
        <f t="shared" si="4"/>
        <v>30, 35, POLIWAG</v>
      </c>
    </row>
    <row r="353" ht="12.75" customHeight="1">
      <c r="A353" s="3" t="s">
        <v>2930</v>
      </c>
      <c r="B353" s="3" t="str">
        <f t="shared" si="1"/>
        <v>30, 35, GOLDEEN</v>
      </c>
      <c r="C353" s="1" t="str">
        <f t="array" ref="C353">IF(B352="NEW ROUTE",TEXTSPLIT(B353,","),"")</f>
        <v/>
      </c>
      <c r="H353" s="1" t="str">
        <f t="shared" ref="H353:I353" si="355">IF(C353&lt;&gt;"",DEC2HEX(C353,2),"")</f>
        <v/>
      </c>
      <c r="I353" s="1" t="str">
        <f t="shared" si="355"/>
        <v/>
      </c>
      <c r="J353" s="1" t="str">
        <f t="shared" si="3"/>
        <v/>
      </c>
      <c r="L353" s="1" t="s">
        <v>2930</v>
      </c>
      <c r="M353" s="1" t="str">
        <f t="shared" si="4"/>
        <v>30, 35, GOLDEEN</v>
      </c>
    </row>
    <row r="354" ht="12.75" customHeight="1">
      <c r="A354" s="3" t="s">
        <v>2851</v>
      </c>
      <c r="B354" s="3" t="str">
        <f t="shared" si="1"/>
        <v>super rod:</v>
      </c>
      <c r="C354" s="1" t="str">
        <f t="array" ref="C354">IF(B353="NEW ROUTE",TEXTSPLIT(B354,","),"")</f>
        <v/>
      </c>
      <c r="H354" s="1" t="str">
        <f t="shared" ref="H354:I354" si="356">IF(C354&lt;&gt;"",DEC2HEX(C354,2),"")</f>
        <v/>
      </c>
      <c r="I354" s="1" t="str">
        <f t="shared" si="356"/>
        <v/>
      </c>
      <c r="J354" s="1" t="str">
        <f t="shared" si="3"/>
        <v/>
      </c>
      <c r="L354" s="1" t="s">
        <v>2851</v>
      </c>
      <c r="M354" s="1" t="str">
        <f t="shared" si="4"/>
        <v>super rod:</v>
      </c>
    </row>
    <row r="355" ht="12.75" customHeight="1">
      <c r="A355" s="3" t="s">
        <v>2931</v>
      </c>
      <c r="B355" s="3" t="str">
        <f t="shared" si="1"/>
        <v>36, 40, POLIWHIRL</v>
      </c>
      <c r="C355" s="1" t="str">
        <f t="array" ref="C355">IF(B354="NEW ROUTE",TEXTSPLIT(B355,","),"")</f>
        <v/>
      </c>
      <c r="H355" s="1" t="str">
        <f t="shared" ref="H355:I355" si="357">IF(C355&lt;&gt;"",DEC2HEX(C355,2),"")</f>
        <v/>
      </c>
      <c r="I355" s="1" t="str">
        <f t="shared" si="357"/>
        <v/>
      </c>
      <c r="J355" s="1" t="str">
        <f t="shared" si="3"/>
        <v/>
      </c>
      <c r="L355" s="1" t="s">
        <v>2931</v>
      </c>
      <c r="M355" s="1" t="str">
        <f t="shared" si="4"/>
        <v>36, 40, POLIWHIRL</v>
      </c>
    </row>
    <row r="356" ht="12.75" customHeight="1">
      <c r="A356" s="3" t="s">
        <v>2932</v>
      </c>
      <c r="B356" s="3" t="str">
        <f t="shared" si="1"/>
        <v>36, 40, SEAKING</v>
      </c>
      <c r="C356" s="1" t="str">
        <f t="array" ref="C356">IF(B355="NEW ROUTE",TEXTSPLIT(B356,","),"")</f>
        <v/>
      </c>
      <c r="H356" s="1" t="str">
        <f t="shared" ref="H356:I356" si="358">IF(C356&lt;&gt;"",DEC2HEX(C356,2),"")</f>
        <v/>
      </c>
      <c r="I356" s="1" t="str">
        <f t="shared" si="358"/>
        <v/>
      </c>
      <c r="J356" s="1" t="str">
        <f t="shared" si="3"/>
        <v/>
      </c>
      <c r="L356" s="1" t="s">
        <v>2932</v>
      </c>
      <c r="M356" s="1" t="str">
        <f t="shared" si="4"/>
        <v>36, 40, SEAKING</v>
      </c>
    </row>
    <row r="357" ht="12.75" customHeight="1">
      <c r="A357" s="3" t="s">
        <v>2933</v>
      </c>
      <c r="B357" s="3" t="str">
        <f t="shared" si="1"/>
        <v>38, 42, DRATINI</v>
      </c>
      <c r="C357" s="1" t="str">
        <f t="array" ref="C357">IF(B356="NEW ROUTE",TEXTSPLIT(B357,","),"")</f>
        <v/>
      </c>
      <c r="H357" s="1" t="str">
        <f t="shared" ref="H357:I357" si="359">IF(C357&lt;&gt;"",DEC2HEX(C357,2),"")</f>
        <v/>
      </c>
      <c r="I357" s="1" t="str">
        <f t="shared" si="359"/>
        <v/>
      </c>
      <c r="J357" s="1" t="str">
        <f t="shared" si="3"/>
        <v/>
      </c>
      <c r="L357" s="1" t="s">
        <v>2933</v>
      </c>
      <c r="M357" s="1" t="str">
        <f t="shared" si="4"/>
        <v>38, 42, DRATINI</v>
      </c>
    </row>
    <row r="358" ht="12.75" customHeight="1">
      <c r="A358" s="3" t="s">
        <v>2934</v>
      </c>
      <c r="B358" s="3" t="str">
        <f t="shared" si="1"/>
        <v>38, 42, DRAGONAIR</v>
      </c>
      <c r="C358" s="1" t="str">
        <f t="array" ref="C358">IF(B357="NEW ROUTE",TEXTSPLIT(B358,","),"")</f>
        <v/>
      </c>
      <c r="H358" s="1" t="str">
        <f t="shared" ref="H358:I358" si="360">IF(C358&lt;&gt;"",DEC2HEX(C358,2),"")</f>
        <v/>
      </c>
      <c r="I358" s="1" t="str">
        <f t="shared" si="360"/>
        <v/>
      </c>
      <c r="J358" s="1" t="str">
        <f t="shared" si="3"/>
        <v/>
      </c>
      <c r="L358" s="1" t="s">
        <v>2934</v>
      </c>
      <c r="M358" s="1" t="str">
        <f t="shared" si="4"/>
        <v>38, 42, DRAGONAIR</v>
      </c>
    </row>
    <row r="359" ht="12.75" customHeight="1">
      <c r="A359" s="3" t="s">
        <v>2935</v>
      </c>
      <c r="B359" s="3" t="str">
        <f t="shared" si="1"/>
        <v>40, 44, DRAGONITE</v>
      </c>
      <c r="C359" s="1" t="str">
        <f t="array" ref="C359">IF(B358="NEW ROUTE",TEXTSPLIT(B359,","),"")</f>
        <v/>
      </c>
      <c r="H359" s="1" t="str">
        <f t="shared" ref="H359:I359" si="361">IF(C359&lt;&gt;"",DEC2HEX(C359,2),"")</f>
        <v/>
      </c>
      <c r="I359" s="1" t="str">
        <f t="shared" si="361"/>
        <v/>
      </c>
      <c r="J359" s="1" t="str">
        <f t="shared" si="3"/>
        <v/>
      </c>
      <c r="L359" s="1" t="s">
        <v>2935</v>
      </c>
      <c r="M359" s="1" t="str">
        <f t="shared" si="4"/>
        <v>40, 44, DRAGONITE</v>
      </c>
    </row>
    <row r="360" ht="12.75" customHeight="1">
      <c r="A360" s="3" t="s">
        <v>2539</v>
      </c>
      <c r="B360" s="3" t="str">
        <f t="shared" si="1"/>
        <v>NEW ROUTE</v>
      </c>
      <c r="C360" s="1" t="str">
        <f t="array" ref="C360">IF(B359="NEW ROUTE",TEXTSPLIT(B360,","),"")</f>
        <v/>
      </c>
      <c r="H360" s="1" t="str">
        <f t="shared" ref="H360:I360" si="362">IF(C360&lt;&gt;"",DEC2HEX(C360,2),"")</f>
        <v/>
      </c>
      <c r="I360" s="1" t="str">
        <f t="shared" si="362"/>
        <v/>
      </c>
      <c r="J360" s="1" t="str">
        <f t="shared" si="3"/>
        <v/>
      </c>
      <c r="L360" s="1" t="s">
        <v>2539</v>
      </c>
      <c r="M360" s="1" t="str">
        <f t="shared" si="4"/>
        <v>NEW ROUTE</v>
      </c>
    </row>
    <row r="361" ht="12.75" customHeight="1">
      <c r="A361" s="3" t="s">
        <v>2950</v>
      </c>
      <c r="B361" s="3" t="str">
        <f t="shared" si="1"/>
        <v>1, 66, 0,</v>
      </c>
      <c r="C361" s="1" t="str">
        <f t="array" ref="C361">IF(B360="NEW ROUTE",TEXTSPLIT(B361,","),"")</f>
        <v>#NAME?</v>
      </c>
      <c r="H361" s="1" t="str">
        <f t="shared" ref="H361:I361" si="363">IF(C361&lt;&gt;"",DEC2HEX(C361,2),"")</f>
        <v>#NAME?</v>
      </c>
      <c r="I361" s="1" t="str">
        <f t="shared" si="363"/>
        <v/>
      </c>
      <c r="J361" s="1" t="str">
        <f t="shared" si="3"/>
        <v>#NAME?</v>
      </c>
      <c r="L361" s="1" t="s">
        <v>2950</v>
      </c>
      <c r="M361" s="1" t="str">
        <f t="shared" si="4"/>
        <v>#NAME?</v>
      </c>
    </row>
    <row r="362" ht="12.75" customHeight="1">
      <c r="A362" s="3" t="s">
        <v>2909</v>
      </c>
      <c r="B362" s="3" t="str">
        <f t="shared" si="1"/>
        <v>20%</v>
      </c>
      <c r="C362" s="1" t="str">
        <f t="array" ref="C362">IF(B361="NEW ROUTE",TEXTSPLIT(B362,","),"")</f>
        <v/>
      </c>
      <c r="H362" s="1" t="str">
        <f t="shared" ref="H362:I362" si="364">IF(C362&lt;&gt;"",DEC2HEX(C362,2),"")</f>
        <v/>
      </c>
      <c r="I362" s="1" t="str">
        <f t="shared" si="364"/>
        <v/>
      </c>
      <c r="J362" s="1" t="str">
        <f t="shared" si="3"/>
        <v/>
      </c>
      <c r="L362" s="1" t="s">
        <v>2799</v>
      </c>
      <c r="M362" s="1" t="str">
        <f t="shared" si="4"/>
        <v>20%</v>
      </c>
    </row>
    <row r="363" ht="12.75" customHeight="1">
      <c r="A363" s="3" t="s">
        <v>484</v>
      </c>
      <c r="B363" s="3" t="str">
        <f t="shared" si="1"/>
        <v>35, 40, NIDOKING</v>
      </c>
      <c r="C363" s="1" t="str">
        <f t="array" ref="C363">IF(B362="NEW ROUTE",TEXTSPLIT(B363,","),"")</f>
        <v/>
      </c>
      <c r="H363" s="1" t="str">
        <f t="shared" ref="H363:I363" si="365">IF(C363&lt;&gt;"",DEC2HEX(C363,2),"")</f>
        <v/>
      </c>
      <c r="I363" s="1" t="str">
        <f t="shared" si="365"/>
        <v/>
      </c>
      <c r="J363" s="1" t="str">
        <f t="shared" si="3"/>
        <v/>
      </c>
      <c r="L363" s="1" t="s">
        <v>484</v>
      </c>
      <c r="M363" s="1" t="str">
        <f t="shared" si="4"/>
        <v>35, 40, NIDOKING</v>
      </c>
    </row>
    <row r="364" ht="12.75" customHeight="1">
      <c r="A364" s="3" t="s">
        <v>2910</v>
      </c>
      <c r="B364" s="3" t="str">
        <f t="shared" si="1"/>
        <v>35, 40, NIDOQUEEN</v>
      </c>
      <c r="C364" s="1" t="str">
        <f t="array" ref="C364">IF(B363="NEW ROUTE",TEXTSPLIT(B364,","),"")</f>
        <v/>
      </c>
      <c r="H364" s="1" t="str">
        <f t="shared" ref="H364:I364" si="366">IF(C364&lt;&gt;"",DEC2HEX(C364,2),"")</f>
        <v/>
      </c>
      <c r="I364" s="1" t="str">
        <f t="shared" si="366"/>
        <v/>
      </c>
      <c r="J364" s="1" t="str">
        <f t="shared" si="3"/>
        <v/>
      </c>
      <c r="L364" s="1" t="s">
        <v>2910</v>
      </c>
      <c r="M364" s="1" t="str">
        <f t="shared" si="4"/>
        <v>35, 40, NIDOQUEEN</v>
      </c>
    </row>
    <row r="365" ht="12.75" customHeight="1">
      <c r="A365" s="3" t="s">
        <v>2802</v>
      </c>
      <c r="B365" s="3" t="str">
        <f t="shared" si="1"/>
        <v>0.1</v>
      </c>
      <c r="C365" s="1" t="str">
        <f t="array" ref="C365">IF(B364="NEW ROUTE",TEXTSPLIT(B365,","),"")</f>
        <v/>
      </c>
      <c r="H365" s="1" t="str">
        <f t="shared" ref="H365:I365" si="367">IF(C365&lt;&gt;"",DEC2HEX(C365,2),"")</f>
        <v/>
      </c>
      <c r="I365" s="1" t="str">
        <f t="shared" si="367"/>
        <v/>
      </c>
      <c r="J365" s="1" t="str">
        <f t="shared" si="3"/>
        <v/>
      </c>
      <c r="L365" s="1" t="s">
        <v>2802</v>
      </c>
      <c r="M365" s="1" t="str">
        <f t="shared" si="4"/>
        <v>0.1</v>
      </c>
    </row>
    <row r="366" ht="12.75" customHeight="1">
      <c r="A366" s="3" t="s">
        <v>2911</v>
      </c>
      <c r="B366" s="3" t="str">
        <f t="shared" si="1"/>
        <v>36, 41, PARASECT</v>
      </c>
      <c r="C366" s="1" t="str">
        <f t="array" ref="C366">IF(B365="NEW ROUTE",TEXTSPLIT(B366,","),"")</f>
        <v/>
      </c>
      <c r="H366" s="1" t="str">
        <f t="shared" ref="H366:I366" si="368">IF(C366&lt;&gt;"",DEC2HEX(C366,2),"")</f>
        <v/>
      </c>
      <c r="I366" s="1" t="str">
        <f t="shared" si="368"/>
        <v/>
      </c>
      <c r="J366" s="1" t="str">
        <f t="shared" si="3"/>
        <v/>
      </c>
      <c r="L366" s="1" t="s">
        <v>2911</v>
      </c>
      <c r="M366" s="1" t="str">
        <f t="shared" si="4"/>
        <v>36, 41, PARASECT</v>
      </c>
    </row>
    <row r="367" ht="12.75" customHeight="1">
      <c r="A367" s="3" t="s">
        <v>2912</v>
      </c>
      <c r="B367" s="3" t="str">
        <f t="shared" si="1"/>
        <v>36, 41, VENOMOTH</v>
      </c>
      <c r="C367" s="1" t="str">
        <f t="array" ref="C367">IF(B366="NEW ROUTE",TEXTSPLIT(B367,","),"")</f>
        <v/>
      </c>
      <c r="H367" s="1" t="str">
        <f t="shared" ref="H367:I367" si="369">IF(C367&lt;&gt;"",DEC2HEX(C367,2),"")</f>
        <v/>
      </c>
      <c r="I367" s="1" t="str">
        <f t="shared" si="369"/>
        <v/>
      </c>
      <c r="J367" s="1" t="str">
        <f t="shared" si="3"/>
        <v/>
      </c>
      <c r="L367" s="1" t="s">
        <v>2912</v>
      </c>
      <c r="M367" s="1" t="str">
        <f t="shared" si="4"/>
        <v>36, 41, VENOMOTH</v>
      </c>
    </row>
    <row r="368" ht="12.75" customHeight="1">
      <c r="A368" s="3" t="s">
        <v>2951</v>
      </c>
      <c r="B368" s="3" t="str">
        <f t="shared" si="1"/>
        <v>36, 41, RAPIDASH</v>
      </c>
      <c r="C368" s="1" t="str">
        <f t="array" ref="C368">IF(B367="NEW ROUTE",TEXTSPLIT(B368,","),"")</f>
        <v/>
      </c>
      <c r="H368" s="1" t="str">
        <f t="shared" ref="H368:I368" si="370">IF(C368&lt;&gt;"",DEC2HEX(C368,2),"")</f>
        <v/>
      </c>
      <c r="I368" s="1" t="str">
        <f t="shared" si="370"/>
        <v/>
      </c>
      <c r="J368" s="1" t="str">
        <f t="shared" si="3"/>
        <v/>
      </c>
      <c r="L368" s="1" t="s">
        <v>2951</v>
      </c>
      <c r="M368" s="1" t="str">
        <f t="shared" si="4"/>
        <v>36, 41, RAPIDASH</v>
      </c>
    </row>
    <row r="369" ht="12.75" customHeight="1">
      <c r="A369" s="3" t="s">
        <v>2952</v>
      </c>
      <c r="B369" s="3" t="str">
        <f t="shared" si="1"/>
        <v>36, 41, TANGELA</v>
      </c>
      <c r="C369" s="1" t="str">
        <f t="array" ref="C369">IF(B368="NEW ROUTE",TEXTSPLIT(B369,","),"")</f>
        <v/>
      </c>
      <c r="H369" s="1" t="str">
        <f t="shared" ref="H369:I369" si="371">IF(C369&lt;&gt;"",DEC2HEX(C369,2),"")</f>
        <v/>
      </c>
      <c r="I369" s="1" t="str">
        <f t="shared" si="371"/>
        <v/>
      </c>
      <c r="J369" s="1" t="str">
        <f t="shared" si="3"/>
        <v/>
      </c>
      <c r="L369" s="1" t="s">
        <v>2952</v>
      </c>
      <c r="M369" s="1" t="str">
        <f t="shared" si="4"/>
        <v>36, 41, TANGELA</v>
      </c>
    </row>
    <row r="370" ht="12.75" customHeight="1">
      <c r="A370" s="3" t="s">
        <v>2807</v>
      </c>
      <c r="B370" s="3" t="str">
        <f t="shared" si="1"/>
        <v>0.05</v>
      </c>
      <c r="C370" s="1" t="str">
        <f t="array" ref="C370">IF(B369="NEW ROUTE",TEXTSPLIT(B370,","),"")</f>
        <v/>
      </c>
      <c r="H370" s="1" t="str">
        <f t="shared" ref="H370:I370" si="372">IF(C370&lt;&gt;"",DEC2HEX(C370,2),"")</f>
        <v/>
      </c>
      <c r="I370" s="1" t="str">
        <f t="shared" si="372"/>
        <v/>
      </c>
      <c r="J370" s="1" t="str">
        <f t="shared" si="3"/>
        <v/>
      </c>
      <c r="L370" s="1" t="s">
        <v>2807</v>
      </c>
      <c r="M370" s="1" t="str">
        <f t="shared" si="4"/>
        <v>0.05</v>
      </c>
    </row>
    <row r="371" ht="12.75" customHeight="1">
      <c r="A371" s="3" t="s">
        <v>2915</v>
      </c>
      <c r="B371" s="3" t="str">
        <f t="shared" si="1"/>
        <v>37, 39, SCIZOR</v>
      </c>
      <c r="C371" s="1" t="str">
        <f t="array" ref="C371">IF(B370="NEW ROUTE",TEXTSPLIT(B371,","),"")</f>
        <v/>
      </c>
      <c r="H371" s="1" t="str">
        <f t="shared" ref="H371:I371" si="373">IF(C371&lt;&gt;"",DEC2HEX(C371,2),"")</f>
        <v/>
      </c>
      <c r="I371" s="1" t="str">
        <f t="shared" si="373"/>
        <v/>
      </c>
      <c r="J371" s="1" t="str">
        <f t="shared" si="3"/>
        <v/>
      </c>
      <c r="L371" s="1" t="s">
        <v>2915</v>
      </c>
      <c r="M371" s="1" t="str">
        <f t="shared" si="4"/>
        <v>37, 39, SCIZOR</v>
      </c>
    </row>
    <row r="372" ht="12.75" customHeight="1">
      <c r="A372" s="3" t="s">
        <v>2916</v>
      </c>
      <c r="B372" s="3" t="str">
        <f t="shared" si="1"/>
        <v>37, 39, PINSIRIOR</v>
      </c>
      <c r="C372" s="1" t="str">
        <f t="array" ref="C372">IF(B371="NEW ROUTE",TEXTSPLIT(B372,","),"")</f>
        <v/>
      </c>
      <c r="H372" s="1" t="str">
        <f t="shared" ref="H372:I372" si="374">IF(C372&lt;&gt;"",DEC2HEX(C372,2),"")</f>
        <v/>
      </c>
      <c r="I372" s="1" t="str">
        <f t="shared" si="374"/>
        <v/>
      </c>
      <c r="J372" s="1" t="str">
        <f t="shared" si="3"/>
        <v/>
      </c>
      <c r="L372" s="1" t="s">
        <v>2916</v>
      </c>
      <c r="M372" s="1" t="str">
        <f t="shared" si="4"/>
        <v>37, 39, PINSIRIOR</v>
      </c>
    </row>
    <row r="373" ht="12.75" customHeight="1">
      <c r="A373" s="3" t="s">
        <v>2810</v>
      </c>
      <c r="B373" s="3" t="str">
        <f t="shared" si="1"/>
        <v>0.04</v>
      </c>
      <c r="C373" s="1" t="str">
        <f t="array" ref="C373">IF(B372="NEW ROUTE",TEXTSPLIT(B373,","),"")</f>
        <v/>
      </c>
      <c r="H373" s="1" t="str">
        <f t="shared" ref="H373:I373" si="375">IF(C373&lt;&gt;"",DEC2HEX(C373,2),"")</f>
        <v/>
      </c>
      <c r="I373" s="1" t="str">
        <f t="shared" si="375"/>
        <v/>
      </c>
      <c r="J373" s="1" t="str">
        <f t="shared" si="3"/>
        <v/>
      </c>
      <c r="L373" s="1" t="s">
        <v>2810</v>
      </c>
      <c r="M373" s="1" t="str">
        <f t="shared" si="4"/>
        <v>0.04</v>
      </c>
    </row>
    <row r="374" ht="12.75" customHeight="1">
      <c r="A374" s="3" t="s">
        <v>2953</v>
      </c>
      <c r="B374" s="3" t="str">
        <f t="shared" si="1"/>
        <v>38, 42, SNORLAX</v>
      </c>
      <c r="C374" s="1" t="str">
        <f t="array" ref="C374">IF(B373="NEW ROUTE",TEXTSPLIT(B374,","),"")</f>
        <v/>
      </c>
      <c r="H374" s="1" t="str">
        <f t="shared" ref="H374:I374" si="376">IF(C374&lt;&gt;"",DEC2HEX(C374,2),"")</f>
        <v/>
      </c>
      <c r="I374" s="1" t="str">
        <f t="shared" si="376"/>
        <v/>
      </c>
      <c r="J374" s="1" t="str">
        <f t="shared" si="3"/>
        <v/>
      </c>
      <c r="L374" s="1" t="s">
        <v>2953</v>
      </c>
      <c r="M374" s="1" t="str">
        <f t="shared" si="4"/>
        <v>38, 42, SNORLAX</v>
      </c>
    </row>
    <row r="375" ht="12.75" customHeight="1">
      <c r="A375" s="3" t="s">
        <v>2954</v>
      </c>
      <c r="B375" s="3" t="str">
        <f t="shared" si="1"/>
        <v>38, 42, HITMONLEE</v>
      </c>
      <c r="C375" s="1" t="str">
        <f t="array" ref="C375">IF(B374="NEW ROUTE",TEXTSPLIT(B375,","),"")</f>
        <v/>
      </c>
      <c r="H375" s="1" t="str">
        <f t="shared" ref="H375:I375" si="377">IF(C375&lt;&gt;"",DEC2HEX(C375,2),"")</f>
        <v/>
      </c>
      <c r="I375" s="1" t="str">
        <f t="shared" si="377"/>
        <v/>
      </c>
      <c r="J375" s="1" t="str">
        <f t="shared" si="3"/>
        <v/>
      </c>
      <c r="L375" s="1" t="s">
        <v>2954</v>
      </c>
      <c r="M375" s="1" t="str">
        <f t="shared" si="4"/>
        <v>38, 42, HITMONLEE</v>
      </c>
    </row>
    <row r="376" ht="12.75" customHeight="1">
      <c r="A376" s="3" t="s">
        <v>2813</v>
      </c>
      <c r="B376" s="3" t="str">
        <f t="shared" si="1"/>
        <v>0.01</v>
      </c>
      <c r="C376" s="1" t="str">
        <f t="array" ref="C376">IF(B375="NEW ROUTE",TEXTSPLIT(B376,","),"")</f>
        <v/>
      </c>
      <c r="H376" s="1" t="str">
        <f t="shared" ref="H376:I376" si="378">IF(C376&lt;&gt;"",DEC2HEX(C376,2),"")</f>
        <v/>
      </c>
      <c r="I376" s="1" t="str">
        <f t="shared" si="378"/>
        <v/>
      </c>
      <c r="J376" s="1" t="str">
        <f t="shared" si="3"/>
        <v/>
      </c>
      <c r="L376" s="1" t="s">
        <v>2813</v>
      </c>
      <c r="M376" s="1" t="str">
        <f t="shared" si="4"/>
        <v>0.01</v>
      </c>
    </row>
    <row r="377" ht="12.75" customHeight="1">
      <c r="A377" s="3" t="s">
        <v>2955</v>
      </c>
      <c r="B377" s="3" t="str">
        <f t="shared" si="1"/>
        <v>40, 40, ACTLAX</v>
      </c>
      <c r="C377" s="1" t="str">
        <f t="array" ref="C377">IF(B376="NEW ROUTE",TEXTSPLIT(B377,","),"")</f>
        <v/>
      </c>
      <c r="H377" s="1" t="str">
        <f t="shared" ref="H377:I377" si="379">IF(C377&lt;&gt;"",DEC2HEX(C377,2),"")</f>
        <v/>
      </c>
      <c r="I377" s="1" t="str">
        <f t="shared" si="379"/>
        <v/>
      </c>
      <c r="J377" s="1" t="str">
        <f t="shared" si="3"/>
        <v/>
      </c>
      <c r="L377" s="1" t="s">
        <v>2955</v>
      </c>
      <c r="M377" s="1" t="str">
        <f t="shared" si="4"/>
        <v>40, 40, ACTLAX</v>
      </c>
    </row>
    <row r="378" ht="12.75" customHeight="1">
      <c r="A378" s="3" t="s">
        <v>2956</v>
      </c>
      <c r="B378" s="3" t="str">
        <f t="shared" si="1"/>
        <v>40, 40, TANGROWTH</v>
      </c>
      <c r="C378" s="1" t="str">
        <f t="array" ref="C378">IF(B377="NEW ROUTE",TEXTSPLIT(B378,","),"")</f>
        <v/>
      </c>
      <c r="H378" s="1" t="str">
        <f t="shared" ref="H378:I378" si="380">IF(C378&lt;&gt;"",DEC2HEX(C378,2),"")</f>
        <v/>
      </c>
      <c r="I378" s="1" t="str">
        <f t="shared" si="380"/>
        <v/>
      </c>
      <c r="J378" s="1" t="str">
        <f t="shared" si="3"/>
        <v/>
      </c>
      <c r="L378" s="1" t="s">
        <v>2956</v>
      </c>
      <c r="M378" s="1" t="str">
        <f t="shared" si="4"/>
        <v>40, 40, TANGROWTH</v>
      </c>
    </row>
    <row r="379" ht="12.75" customHeight="1">
      <c r="A379" s="3" t="s">
        <v>2921</v>
      </c>
      <c r="B379" s="3" t="str">
        <f t="shared" si="1"/>
        <v>2, 38, 42, SLOWPOKE</v>
      </c>
      <c r="C379" s="1" t="str">
        <f t="array" ref="C379">IF(B378="NEW ROUTE",TEXTSPLIT(B379,","),"")</f>
        <v/>
      </c>
      <c r="H379" s="1" t="str">
        <f t="shared" ref="H379:I379" si="381">IF(C379&lt;&gt;"",DEC2HEX(C379,2),"")</f>
        <v/>
      </c>
      <c r="I379" s="1" t="str">
        <f t="shared" si="381"/>
        <v/>
      </c>
      <c r="J379" s="1" t="str">
        <f t="shared" si="3"/>
        <v/>
      </c>
      <c r="L379" s="1" t="s">
        <v>2921</v>
      </c>
      <c r="M379" s="1" t="str">
        <f t="shared" si="4"/>
        <v>2, 38, 42, SLOWPOKE</v>
      </c>
    </row>
    <row r="380" ht="12.75" customHeight="1">
      <c r="A380" s="3" t="s">
        <v>2922</v>
      </c>
      <c r="B380" s="3" t="str">
        <f t="shared" si="1"/>
        <v>40, 42, PSYDUCK</v>
      </c>
      <c r="C380" s="1" t="str">
        <f t="array" ref="C380">IF(B379="NEW ROUTE",TEXTSPLIT(B380,","),"")</f>
        <v/>
      </c>
      <c r="H380" s="1" t="str">
        <f t="shared" ref="H380:I380" si="382">IF(C380&lt;&gt;"",DEC2HEX(C380,2),"")</f>
        <v/>
      </c>
      <c r="I380" s="1" t="str">
        <f t="shared" si="382"/>
        <v/>
      </c>
      <c r="J380" s="1" t="str">
        <f t="shared" si="3"/>
        <v/>
      </c>
      <c r="L380" s="1" t="s">
        <v>2922</v>
      </c>
      <c r="M380" s="1" t="str">
        <f t="shared" si="4"/>
        <v>40, 42, PSYDUCK</v>
      </c>
    </row>
    <row r="381" ht="12.75" customHeight="1">
      <c r="A381" s="3" t="s">
        <v>2923</v>
      </c>
      <c r="B381" s="3" t="str">
        <f t="shared" si="1"/>
        <v>42, 46, SLOWBRO</v>
      </c>
      <c r="C381" s="1" t="str">
        <f t="array" ref="C381">IF(B380="NEW ROUTE",TEXTSPLIT(B381,","),"")</f>
        <v/>
      </c>
      <c r="H381" s="1" t="str">
        <f t="shared" ref="H381:I381" si="383">IF(C381&lt;&gt;"",DEC2HEX(C381,2),"")</f>
        <v/>
      </c>
      <c r="I381" s="1" t="str">
        <f t="shared" si="383"/>
        <v/>
      </c>
      <c r="J381" s="1" t="str">
        <f t="shared" si="3"/>
        <v/>
      </c>
      <c r="L381" s="1" t="s">
        <v>2923</v>
      </c>
      <c r="M381" s="1" t="str">
        <f t="shared" si="4"/>
        <v>42, 46, SLOWBRO</v>
      </c>
    </row>
    <row r="382" ht="12.75" customHeight="1">
      <c r="A382" s="3" t="s">
        <v>2924</v>
      </c>
      <c r="B382" s="3" t="str">
        <f t="shared" si="1"/>
        <v>42, 46, GOLDUCK</v>
      </c>
      <c r="C382" s="1" t="str">
        <f t="array" ref="C382">IF(B381="NEW ROUTE",TEXTSPLIT(B382,","),"")</f>
        <v/>
      </c>
      <c r="H382" s="1" t="str">
        <f t="shared" ref="H382:I382" si="384">IF(C382&lt;&gt;"",DEC2HEX(C382,2),"")</f>
        <v/>
      </c>
      <c r="I382" s="1" t="str">
        <f t="shared" si="384"/>
        <v/>
      </c>
      <c r="J382" s="1" t="str">
        <f t="shared" si="3"/>
        <v/>
      </c>
      <c r="L382" s="1" t="s">
        <v>2924</v>
      </c>
      <c r="M382" s="1" t="str">
        <f t="shared" si="4"/>
        <v>42, 46, GOLDUCK</v>
      </c>
    </row>
    <row r="383" ht="12.75" customHeight="1">
      <c r="A383" s="3" t="s">
        <v>2925</v>
      </c>
      <c r="B383" s="3" t="str">
        <f t="shared" si="1"/>
        <v>44, 48, VAPOREON</v>
      </c>
      <c r="C383" s="1" t="str">
        <f t="array" ref="C383">IF(B382="NEW ROUTE",TEXTSPLIT(B383,","),"")</f>
        <v/>
      </c>
      <c r="H383" s="1" t="str">
        <f t="shared" ref="H383:I383" si="385">IF(C383&lt;&gt;"",DEC2HEX(C383,2),"")</f>
        <v/>
      </c>
      <c r="I383" s="1" t="str">
        <f t="shared" si="385"/>
        <v/>
      </c>
      <c r="J383" s="1" t="str">
        <f t="shared" si="3"/>
        <v/>
      </c>
      <c r="L383" s="1" t="s">
        <v>2925</v>
      </c>
      <c r="M383" s="1" t="str">
        <f t="shared" si="4"/>
        <v>44, 48, VAPOREON</v>
      </c>
    </row>
    <row r="384" ht="12.75" customHeight="1">
      <c r="A384" s="3" t="s">
        <v>2926</v>
      </c>
      <c r="B384" s="3" t="str">
        <f t="shared" si="1"/>
        <v>20, old rod:</v>
      </c>
      <c r="C384" s="1" t="str">
        <f t="array" ref="C384">IF(B383="NEW ROUTE",TEXTSPLIT(B384,","),"")</f>
        <v/>
      </c>
      <c r="H384" s="1" t="str">
        <f t="shared" ref="H384:I384" si="386">IF(C384&lt;&gt;"",DEC2HEX(C384,2),"")</f>
        <v/>
      </c>
      <c r="I384" s="1" t="str">
        <f t="shared" si="386"/>
        <v/>
      </c>
      <c r="J384" s="1" t="str">
        <f t="shared" si="3"/>
        <v/>
      </c>
      <c r="L384" s="1" t="s">
        <v>2926</v>
      </c>
      <c r="M384" s="1" t="str">
        <f t="shared" si="4"/>
        <v>20, old rod:</v>
      </c>
    </row>
    <row r="385" ht="12.75" customHeight="1">
      <c r="A385" s="3" t="s">
        <v>500</v>
      </c>
      <c r="B385" s="3" t="str">
        <f t="shared" si="1"/>
        <v>19, 26, MAGIKARP</v>
      </c>
      <c r="C385" s="1" t="str">
        <f t="array" ref="C385">IF(B384="NEW ROUTE",TEXTSPLIT(B385,","),"")</f>
        <v/>
      </c>
      <c r="H385" s="1" t="str">
        <f t="shared" ref="H385:I385" si="387">IF(C385&lt;&gt;"",DEC2HEX(C385,2),"")</f>
        <v/>
      </c>
      <c r="I385" s="1" t="str">
        <f t="shared" si="387"/>
        <v/>
      </c>
      <c r="J385" s="1" t="str">
        <f t="shared" si="3"/>
        <v/>
      </c>
      <c r="L385" s="1" t="s">
        <v>500</v>
      </c>
      <c r="M385" s="1" t="str">
        <f t="shared" si="4"/>
        <v>19, 26, MAGIKARP</v>
      </c>
    </row>
    <row r="386" ht="12.75" customHeight="1">
      <c r="A386" s="3" t="s">
        <v>2927</v>
      </c>
      <c r="B386" s="3" t="str">
        <f t="shared" si="1"/>
        <v>19, 26, POLIWAG</v>
      </c>
      <c r="C386" s="1" t="str">
        <f t="array" ref="C386">IF(B385="NEW ROUTE",TEXTSPLIT(B386,","),"")</f>
        <v/>
      </c>
      <c r="H386" s="1" t="str">
        <f t="shared" ref="H386:I386" si="388">IF(C386&lt;&gt;"",DEC2HEX(C386,2),"")</f>
        <v/>
      </c>
      <c r="I386" s="1" t="str">
        <f t="shared" si="388"/>
        <v/>
      </c>
      <c r="J386" s="1" t="str">
        <f t="shared" si="3"/>
        <v/>
      </c>
      <c r="L386" s="1" t="s">
        <v>2927</v>
      </c>
      <c r="M386" s="1" t="str">
        <f t="shared" si="4"/>
        <v>19, 26, POLIWAG</v>
      </c>
    </row>
    <row r="387" ht="12.75" customHeight="1">
      <c r="A387" s="3" t="s">
        <v>2847</v>
      </c>
      <c r="B387" s="3" t="str">
        <f t="shared" si="1"/>
        <v>good rod:</v>
      </c>
      <c r="C387" s="1" t="str">
        <f t="array" ref="C387">IF(B386="NEW ROUTE",TEXTSPLIT(B387,","),"")</f>
        <v/>
      </c>
      <c r="H387" s="1" t="str">
        <f t="shared" ref="H387:I387" si="389">IF(C387&lt;&gt;"",DEC2HEX(C387,2),"")</f>
        <v/>
      </c>
      <c r="I387" s="1" t="str">
        <f t="shared" si="389"/>
        <v/>
      </c>
      <c r="J387" s="1" t="str">
        <f t="shared" si="3"/>
        <v/>
      </c>
      <c r="L387" s="1" t="s">
        <v>2847</v>
      </c>
      <c r="M387" s="1" t="str">
        <f t="shared" si="4"/>
        <v>good rod:</v>
      </c>
    </row>
    <row r="388" ht="12.75" customHeight="1">
      <c r="A388" s="3" t="s">
        <v>2928</v>
      </c>
      <c r="B388" s="3" t="str">
        <f t="shared" si="1"/>
        <v>29, 33, GYARADOS</v>
      </c>
      <c r="C388" s="1" t="str">
        <f t="array" ref="C388">IF(B387="NEW ROUTE",TEXTSPLIT(B388,","),"")</f>
        <v/>
      </c>
      <c r="H388" s="1" t="str">
        <f t="shared" ref="H388:I388" si="390">IF(C388&lt;&gt;"",DEC2HEX(C388,2),"")</f>
        <v/>
      </c>
      <c r="I388" s="1" t="str">
        <f t="shared" si="390"/>
        <v/>
      </c>
      <c r="J388" s="1" t="str">
        <f t="shared" si="3"/>
        <v/>
      </c>
      <c r="L388" s="1" t="s">
        <v>2928</v>
      </c>
      <c r="M388" s="1" t="str">
        <f t="shared" si="4"/>
        <v>29, 33, GYARADOS</v>
      </c>
    </row>
    <row r="389" ht="12.75" customHeight="1">
      <c r="A389" s="3" t="s">
        <v>2929</v>
      </c>
      <c r="B389" s="3" t="str">
        <f t="shared" si="1"/>
        <v>30, 35, POLIWAG</v>
      </c>
      <c r="C389" s="1" t="str">
        <f t="array" ref="C389">IF(B388="NEW ROUTE",TEXTSPLIT(B389,","),"")</f>
        <v/>
      </c>
      <c r="H389" s="1" t="str">
        <f t="shared" ref="H389:I389" si="391">IF(C389&lt;&gt;"",DEC2HEX(C389,2),"")</f>
        <v/>
      </c>
      <c r="I389" s="1" t="str">
        <f t="shared" si="391"/>
        <v/>
      </c>
      <c r="J389" s="1" t="str">
        <f t="shared" si="3"/>
        <v/>
      </c>
      <c r="L389" s="1" t="s">
        <v>2929</v>
      </c>
      <c r="M389" s="1" t="str">
        <f t="shared" si="4"/>
        <v>30, 35, POLIWAG</v>
      </c>
    </row>
    <row r="390" ht="12.75" customHeight="1">
      <c r="A390" s="3" t="s">
        <v>2930</v>
      </c>
      <c r="B390" s="3" t="str">
        <f t="shared" si="1"/>
        <v>30, 35, GOLDEEN</v>
      </c>
      <c r="C390" s="1" t="str">
        <f t="array" ref="C390">IF(B389="NEW ROUTE",TEXTSPLIT(B390,","),"")</f>
        <v/>
      </c>
      <c r="H390" s="1" t="str">
        <f t="shared" ref="H390:I390" si="392">IF(C390&lt;&gt;"",DEC2HEX(C390,2),"")</f>
        <v/>
      </c>
      <c r="I390" s="1" t="str">
        <f t="shared" si="392"/>
        <v/>
      </c>
      <c r="J390" s="1" t="str">
        <f t="shared" si="3"/>
        <v/>
      </c>
      <c r="L390" s="1" t="s">
        <v>2930</v>
      </c>
      <c r="M390" s="1" t="str">
        <f t="shared" si="4"/>
        <v>30, 35, GOLDEEN</v>
      </c>
    </row>
    <row r="391" ht="12.75" customHeight="1">
      <c r="A391" s="3" t="s">
        <v>2851</v>
      </c>
      <c r="B391" s="3" t="str">
        <f t="shared" si="1"/>
        <v>super rod:</v>
      </c>
      <c r="C391" s="1" t="str">
        <f t="array" ref="C391">IF(B390="NEW ROUTE",TEXTSPLIT(B391,","),"")</f>
        <v/>
      </c>
      <c r="H391" s="1" t="str">
        <f t="shared" ref="H391:I391" si="393">IF(C391&lt;&gt;"",DEC2HEX(C391,2),"")</f>
        <v/>
      </c>
      <c r="I391" s="1" t="str">
        <f t="shared" si="393"/>
        <v/>
      </c>
      <c r="J391" s="1" t="str">
        <f t="shared" si="3"/>
        <v/>
      </c>
      <c r="L391" s="1" t="s">
        <v>2851</v>
      </c>
      <c r="M391" s="1" t="str">
        <f t="shared" si="4"/>
        <v>super rod:</v>
      </c>
    </row>
    <row r="392" ht="12.75" customHeight="1">
      <c r="A392" s="3" t="s">
        <v>2931</v>
      </c>
      <c r="B392" s="3" t="str">
        <f t="shared" si="1"/>
        <v>36, 40, POLIWHIRL</v>
      </c>
      <c r="C392" s="1" t="str">
        <f t="array" ref="C392">IF(B391="NEW ROUTE",TEXTSPLIT(B392,","),"")</f>
        <v/>
      </c>
      <c r="H392" s="1" t="str">
        <f t="shared" ref="H392:I392" si="394">IF(C392&lt;&gt;"",DEC2HEX(C392,2),"")</f>
        <v/>
      </c>
      <c r="I392" s="1" t="str">
        <f t="shared" si="394"/>
        <v/>
      </c>
      <c r="J392" s="1" t="str">
        <f t="shared" si="3"/>
        <v/>
      </c>
      <c r="L392" s="1" t="s">
        <v>2931</v>
      </c>
      <c r="M392" s="1" t="str">
        <f t="shared" si="4"/>
        <v>36, 40, POLIWHIRL</v>
      </c>
    </row>
    <row r="393" ht="12.75" customHeight="1">
      <c r="A393" s="3" t="s">
        <v>2932</v>
      </c>
      <c r="B393" s="3" t="str">
        <f t="shared" si="1"/>
        <v>36, 40, SEAKING</v>
      </c>
      <c r="C393" s="1" t="str">
        <f t="array" ref="C393">IF(B392="NEW ROUTE",TEXTSPLIT(B393,","),"")</f>
        <v/>
      </c>
      <c r="H393" s="1" t="str">
        <f t="shared" ref="H393:I393" si="395">IF(C393&lt;&gt;"",DEC2HEX(C393,2),"")</f>
        <v/>
      </c>
      <c r="I393" s="1" t="str">
        <f t="shared" si="395"/>
        <v/>
      </c>
      <c r="J393" s="1" t="str">
        <f t="shared" si="3"/>
        <v/>
      </c>
      <c r="L393" s="1" t="s">
        <v>2932</v>
      </c>
      <c r="M393" s="1" t="str">
        <f t="shared" si="4"/>
        <v>36, 40, SEAKING</v>
      </c>
    </row>
    <row r="394" ht="12.75" customHeight="1">
      <c r="A394" s="3" t="s">
        <v>2933</v>
      </c>
      <c r="B394" s="3" t="str">
        <f t="shared" si="1"/>
        <v>38, 42, DRATINI</v>
      </c>
      <c r="C394" s="1" t="str">
        <f t="array" ref="C394">IF(B393="NEW ROUTE",TEXTSPLIT(B394,","),"")</f>
        <v/>
      </c>
      <c r="H394" s="1" t="str">
        <f t="shared" ref="H394:I394" si="396">IF(C394&lt;&gt;"",DEC2HEX(C394,2),"")</f>
        <v/>
      </c>
      <c r="I394" s="1" t="str">
        <f t="shared" si="396"/>
        <v/>
      </c>
      <c r="J394" s="1" t="str">
        <f t="shared" si="3"/>
        <v/>
      </c>
      <c r="L394" s="1" t="s">
        <v>2933</v>
      </c>
      <c r="M394" s="1" t="str">
        <f t="shared" si="4"/>
        <v>38, 42, DRATINI</v>
      </c>
    </row>
    <row r="395" ht="12.75" customHeight="1">
      <c r="A395" s="3" t="s">
        <v>2934</v>
      </c>
      <c r="B395" s="3" t="str">
        <f t="shared" si="1"/>
        <v>38, 42, DRAGONAIR</v>
      </c>
      <c r="C395" s="1" t="str">
        <f t="array" ref="C395">IF(B394="NEW ROUTE",TEXTSPLIT(B395,","),"")</f>
        <v/>
      </c>
      <c r="H395" s="1" t="str">
        <f t="shared" ref="H395:I395" si="397">IF(C395&lt;&gt;"",DEC2HEX(C395,2),"")</f>
        <v/>
      </c>
      <c r="I395" s="1" t="str">
        <f t="shared" si="397"/>
        <v/>
      </c>
      <c r="J395" s="1" t="str">
        <f t="shared" si="3"/>
        <v/>
      </c>
      <c r="L395" s="1" t="s">
        <v>2934</v>
      </c>
      <c r="M395" s="1" t="str">
        <f t="shared" si="4"/>
        <v>38, 42, DRAGONAIR</v>
      </c>
    </row>
    <row r="396" ht="12.75" customHeight="1">
      <c r="A396" s="3" t="s">
        <v>2935</v>
      </c>
      <c r="B396" s="3" t="str">
        <f t="shared" si="1"/>
        <v>40, 44, DRAGONITE</v>
      </c>
      <c r="C396" s="1" t="str">
        <f t="array" ref="C396">IF(B395="NEW ROUTE",TEXTSPLIT(B396,","),"")</f>
        <v/>
      </c>
      <c r="H396" s="1" t="str">
        <f t="shared" ref="H396:I396" si="398">IF(C396&lt;&gt;"",DEC2HEX(C396,2),"")</f>
        <v/>
      </c>
      <c r="I396" s="1" t="str">
        <f t="shared" si="398"/>
        <v/>
      </c>
      <c r="J396" s="1" t="str">
        <f t="shared" si="3"/>
        <v/>
      </c>
      <c r="L396" s="1" t="s">
        <v>2935</v>
      </c>
      <c r="M396" s="1" t="str">
        <f t="shared" si="4"/>
        <v>40, 44, DRAGONITE</v>
      </c>
    </row>
    <row r="397" ht="12.75" customHeight="1">
      <c r="A397" s="3" t="s">
        <v>2539</v>
      </c>
      <c r="B397" s="3" t="str">
        <f t="shared" si="1"/>
        <v>NEW ROUTE</v>
      </c>
      <c r="C397" s="1" t="str">
        <f t="array" ref="C397">IF(B396="NEW ROUTE",TEXTSPLIT(B397,","),"")</f>
        <v/>
      </c>
      <c r="H397" s="1" t="str">
        <f t="shared" ref="H397:I397" si="399">IF(C397&lt;&gt;"",DEC2HEX(C397,2),"")</f>
        <v/>
      </c>
      <c r="I397" s="1" t="str">
        <f t="shared" si="399"/>
        <v/>
      </c>
      <c r="J397" s="1" t="str">
        <f t="shared" si="3"/>
        <v/>
      </c>
      <c r="L397" s="1" t="s">
        <v>2539</v>
      </c>
      <c r="M397" s="1" t="str">
        <f t="shared" si="4"/>
        <v>NEW ROUTE</v>
      </c>
    </row>
    <row r="398" ht="12.75" customHeight="1">
      <c r="A398" s="3" t="s">
        <v>2957</v>
      </c>
      <c r="B398" s="3" t="str">
        <f t="shared" si="1"/>
        <v>1, 72, 0,</v>
      </c>
      <c r="C398" s="1" t="str">
        <f t="array" ref="C398">IF(B397="NEW ROUTE",TEXTSPLIT(B398,","),"")</f>
        <v>#NAME?</v>
      </c>
      <c r="H398" s="1" t="str">
        <f t="shared" ref="H398:I398" si="400">IF(C398&lt;&gt;"",DEC2HEX(C398,2),"")</f>
        <v>#NAME?</v>
      </c>
      <c r="I398" s="1" t="str">
        <f t="shared" si="400"/>
        <v/>
      </c>
      <c r="J398" s="1" t="str">
        <f t="shared" si="3"/>
        <v>#NAME?</v>
      </c>
      <c r="L398" s="1" t="s">
        <v>2957</v>
      </c>
      <c r="M398" s="1" t="str">
        <f t="shared" si="4"/>
        <v>#NAME?</v>
      </c>
    </row>
    <row r="399" ht="12.75" customHeight="1">
      <c r="A399" s="3" t="s">
        <v>2817</v>
      </c>
      <c r="B399" s="3" t="str">
        <f t="shared" si="1"/>
        <v>20%</v>
      </c>
      <c r="C399" s="1" t="str">
        <f t="array" ref="C399">IF(B398="NEW ROUTE",TEXTSPLIT(B399,","),"")</f>
        <v/>
      </c>
      <c r="H399" s="1" t="str">
        <f t="shared" ref="H399:I399" si="401">IF(C399&lt;&gt;"",DEC2HEX(C399,2),"")</f>
        <v/>
      </c>
      <c r="I399" s="1" t="str">
        <f t="shared" si="401"/>
        <v/>
      </c>
      <c r="J399" s="1" t="str">
        <f t="shared" si="3"/>
        <v/>
      </c>
      <c r="L399" s="1" t="s">
        <v>2799</v>
      </c>
      <c r="M399" s="1" t="str">
        <f t="shared" si="4"/>
        <v>20%</v>
      </c>
    </row>
    <row r="400" ht="12.75" customHeight="1">
      <c r="A400" s="3" t="s">
        <v>532</v>
      </c>
      <c r="B400" s="3" t="str">
        <f t="shared" si="1"/>
        <v>50, 55, DUGROUPLE</v>
      </c>
      <c r="C400" s="1" t="str">
        <f t="array" ref="C400">IF(B399="NEW ROUTE",TEXTSPLIT(B400,","),"")</f>
        <v/>
      </c>
      <c r="H400" s="1" t="str">
        <f t="shared" ref="H400:I400" si="402">IF(C400&lt;&gt;"",DEC2HEX(C400,2),"")</f>
        <v/>
      </c>
      <c r="I400" s="1" t="str">
        <f t="shared" si="402"/>
        <v/>
      </c>
      <c r="J400" s="1" t="str">
        <f t="shared" si="3"/>
        <v/>
      </c>
      <c r="L400" s="1" t="s">
        <v>532</v>
      </c>
      <c r="M400" s="1" t="str">
        <f t="shared" si="4"/>
        <v>50, 55, DUGROUPLE</v>
      </c>
    </row>
    <row r="401" ht="12.75" customHeight="1">
      <c r="A401" s="3" t="s">
        <v>2958</v>
      </c>
      <c r="B401" s="3" t="str">
        <f t="shared" si="1"/>
        <v>50, 55, POLABAT</v>
      </c>
      <c r="C401" s="1" t="str">
        <f t="array" ref="C401">IF(B400="NEW ROUTE",TEXTSPLIT(B401,","),"")</f>
        <v/>
      </c>
      <c r="H401" s="1" t="str">
        <f t="shared" ref="H401:I401" si="403">IF(C401&lt;&gt;"",DEC2HEX(C401,2),"")</f>
        <v/>
      </c>
      <c r="I401" s="1" t="str">
        <f t="shared" si="403"/>
        <v/>
      </c>
      <c r="J401" s="1" t="str">
        <f t="shared" si="3"/>
        <v/>
      </c>
      <c r="L401" s="1" t="s">
        <v>2958</v>
      </c>
      <c r="M401" s="1" t="str">
        <f t="shared" si="4"/>
        <v>50, 55, POLABAT</v>
      </c>
    </row>
    <row r="402" ht="12.75" customHeight="1">
      <c r="A402" s="3" t="s">
        <v>2802</v>
      </c>
      <c r="B402" s="3" t="str">
        <f t="shared" si="1"/>
        <v>0.1</v>
      </c>
      <c r="C402" s="1" t="str">
        <f t="array" ref="C402">IF(B401="NEW ROUTE",TEXTSPLIT(B402,","),"")</f>
        <v/>
      </c>
      <c r="H402" s="1" t="str">
        <f t="shared" ref="H402:I402" si="404">IF(C402&lt;&gt;"",DEC2HEX(C402,2),"")</f>
        <v/>
      </c>
      <c r="I402" s="1" t="str">
        <f t="shared" si="404"/>
        <v/>
      </c>
      <c r="J402" s="1" t="str">
        <f t="shared" si="3"/>
        <v/>
      </c>
      <c r="L402" s="1" t="s">
        <v>2802</v>
      </c>
      <c r="M402" s="1" t="str">
        <f t="shared" si="4"/>
        <v>0.1</v>
      </c>
    </row>
    <row r="403" ht="12.75" customHeight="1">
      <c r="A403" s="3" t="s">
        <v>2959</v>
      </c>
      <c r="B403" s="3" t="str">
        <f t="shared" si="1"/>
        <v>52, 55, VENOMENON</v>
      </c>
      <c r="C403" s="1" t="str">
        <f t="array" ref="C403">IF(B402="NEW ROUTE",TEXTSPLIT(B403,","),"")</f>
        <v/>
      </c>
      <c r="H403" s="1" t="str">
        <f t="shared" ref="H403:I403" si="405">IF(C403&lt;&gt;"",DEC2HEX(C403,2),"")</f>
        <v/>
      </c>
      <c r="I403" s="1" t="str">
        <f t="shared" si="405"/>
        <v/>
      </c>
      <c r="J403" s="1" t="str">
        <f t="shared" si="3"/>
        <v/>
      </c>
      <c r="L403" s="1" t="s">
        <v>2959</v>
      </c>
      <c r="M403" s="1" t="str">
        <f t="shared" si="4"/>
        <v>52, 55, VENOMENON</v>
      </c>
    </row>
    <row r="404" ht="12.75" customHeight="1">
      <c r="A404" s="3" t="s">
        <v>2960</v>
      </c>
      <c r="B404" s="3" t="str">
        <f t="shared" si="1"/>
        <v>52, 55, "MR. JEST"</v>
      </c>
      <c r="C404" s="1" t="str">
        <f t="array" ref="C404">IF(B403="NEW ROUTE",TEXTSPLIT(B404,","),"")</f>
        <v/>
      </c>
      <c r="H404" s="1" t="str">
        <f t="shared" ref="H404:I404" si="406">IF(C404&lt;&gt;"",DEC2HEX(C404,2),"")</f>
        <v/>
      </c>
      <c r="I404" s="1" t="str">
        <f t="shared" si="406"/>
        <v/>
      </c>
      <c r="J404" s="1" t="str">
        <f t="shared" si="3"/>
        <v/>
      </c>
      <c r="L404" s="1" t="s">
        <v>2960</v>
      </c>
      <c r="M404" s="1" t="str">
        <f t="shared" si="4"/>
        <v>52, 55, "MR. JEST"</v>
      </c>
    </row>
    <row r="405" ht="12.75" customHeight="1">
      <c r="A405" s="3" t="s">
        <v>2961</v>
      </c>
      <c r="B405" s="3" t="str">
        <f t="shared" si="1"/>
        <v>52, 55, NIDORULY</v>
      </c>
      <c r="C405" s="1" t="str">
        <f t="array" ref="C405">IF(B404="NEW ROUTE",TEXTSPLIT(B405,","),"")</f>
        <v/>
      </c>
      <c r="H405" s="1" t="str">
        <f t="shared" ref="H405:I405" si="407">IF(C405&lt;&gt;"",DEC2HEX(C405,2),"")</f>
        <v/>
      </c>
      <c r="I405" s="1" t="str">
        <f t="shared" si="407"/>
        <v/>
      </c>
      <c r="J405" s="1" t="str">
        <f t="shared" si="3"/>
        <v/>
      </c>
      <c r="L405" s="1" t="s">
        <v>2961</v>
      </c>
      <c r="M405" s="1" t="str">
        <f t="shared" si="4"/>
        <v>52, 55, NIDORULY</v>
      </c>
    </row>
    <row r="406" ht="12.75" customHeight="1">
      <c r="A406" s="3" t="s">
        <v>2962</v>
      </c>
      <c r="B406" s="3" t="str">
        <f t="shared" si="1"/>
        <v>52, 55, NIDOREGAL</v>
      </c>
      <c r="C406" s="1" t="str">
        <f t="array" ref="C406">IF(B405="NEW ROUTE",TEXTSPLIT(B406,","),"")</f>
        <v/>
      </c>
      <c r="H406" s="1" t="str">
        <f t="shared" ref="H406:I406" si="408">IF(C406&lt;&gt;"",DEC2HEX(C406,2),"")</f>
        <v/>
      </c>
      <c r="I406" s="1" t="str">
        <f t="shared" si="408"/>
        <v/>
      </c>
      <c r="J406" s="1" t="str">
        <f t="shared" si="3"/>
        <v/>
      </c>
      <c r="L406" s="1" t="s">
        <v>2962</v>
      </c>
      <c r="M406" s="1" t="str">
        <f t="shared" si="4"/>
        <v>52, 55, NIDOREGAL</v>
      </c>
    </row>
    <row r="407" ht="12.75" customHeight="1">
      <c r="A407" s="3" t="s">
        <v>2807</v>
      </c>
      <c r="B407" s="3" t="str">
        <f t="shared" si="1"/>
        <v>0.05</v>
      </c>
      <c r="C407" s="1" t="str">
        <f t="array" ref="C407">IF(B406="NEW ROUTE",TEXTSPLIT(B407,","),"")</f>
        <v/>
      </c>
      <c r="H407" s="1" t="str">
        <f t="shared" ref="H407:I407" si="409">IF(C407&lt;&gt;"",DEC2HEX(C407,2),"")</f>
        <v/>
      </c>
      <c r="I407" s="1" t="str">
        <f t="shared" si="409"/>
        <v/>
      </c>
      <c r="J407" s="1" t="str">
        <f t="shared" si="3"/>
        <v/>
      </c>
      <c r="L407" s="1" t="s">
        <v>2807</v>
      </c>
      <c r="M407" s="1" t="str">
        <f t="shared" si="4"/>
        <v>0.05</v>
      </c>
    </row>
    <row r="408" ht="12.75" customHeight="1">
      <c r="A408" s="3" t="s">
        <v>2963</v>
      </c>
      <c r="B408" s="3" t="str">
        <f t="shared" si="1"/>
        <v>54, 56, MORPHO</v>
      </c>
      <c r="C408" s="1" t="str">
        <f t="array" ref="C408">IF(B407="NEW ROUTE",TEXTSPLIT(B408,","),"")</f>
        <v/>
      </c>
      <c r="H408" s="1" t="str">
        <f t="shared" ref="H408:I408" si="410">IF(C408&lt;&gt;"",DEC2HEX(C408,2),"")</f>
        <v/>
      </c>
      <c r="I408" s="1" t="str">
        <f t="shared" si="410"/>
        <v/>
      </c>
      <c r="J408" s="1" t="str">
        <f t="shared" si="3"/>
        <v/>
      </c>
      <c r="L408" s="1" t="s">
        <v>2963</v>
      </c>
      <c r="M408" s="1" t="str">
        <f t="shared" si="4"/>
        <v>54, 56, MORPHO</v>
      </c>
    </row>
    <row r="409" ht="12.75" customHeight="1">
      <c r="A409" s="3" t="s">
        <v>2964</v>
      </c>
      <c r="B409" s="3" t="str">
        <f t="shared" si="1"/>
        <v>54, 56, MAGNEMELD</v>
      </c>
      <c r="C409" s="1" t="str">
        <f t="array" ref="C409">IF(B408="NEW ROUTE",TEXTSPLIT(B409,","),"")</f>
        <v/>
      </c>
      <c r="H409" s="1" t="str">
        <f t="shared" ref="H409:I409" si="411">IF(C409&lt;&gt;"",DEC2HEX(C409,2),"")</f>
        <v/>
      </c>
      <c r="I409" s="1" t="str">
        <f t="shared" si="411"/>
        <v/>
      </c>
      <c r="J409" s="1" t="str">
        <f t="shared" si="3"/>
        <v/>
      </c>
      <c r="L409" s="1" t="s">
        <v>2964</v>
      </c>
      <c r="M409" s="1" t="str">
        <f t="shared" si="4"/>
        <v>54, 56, MAGNEMELD</v>
      </c>
    </row>
    <row r="410" ht="12.75" customHeight="1">
      <c r="A410" s="3" t="s">
        <v>2810</v>
      </c>
      <c r="B410" s="3" t="str">
        <f t="shared" si="1"/>
        <v>0.04</v>
      </c>
      <c r="C410" s="1" t="str">
        <f t="array" ref="C410">IF(B409="NEW ROUTE",TEXTSPLIT(B410,","),"")</f>
        <v/>
      </c>
      <c r="H410" s="1" t="str">
        <f t="shared" ref="H410:I410" si="412">IF(C410&lt;&gt;"",DEC2HEX(C410,2),"")</f>
        <v/>
      </c>
      <c r="I410" s="1" t="str">
        <f t="shared" si="412"/>
        <v/>
      </c>
      <c r="J410" s="1" t="str">
        <f t="shared" si="3"/>
        <v/>
      </c>
      <c r="L410" s="1" t="s">
        <v>2810</v>
      </c>
      <c r="M410" s="1" t="str">
        <f t="shared" si="4"/>
        <v>0.04</v>
      </c>
    </row>
    <row r="411" ht="12.75" customHeight="1">
      <c r="A411" s="3" t="s">
        <v>2965</v>
      </c>
      <c r="B411" s="3" t="str">
        <f t="shared" si="1"/>
        <v>54, 56, VOHOO-DU</v>
      </c>
      <c r="C411" s="1" t="str">
        <f t="array" ref="C411">IF(B410="NEW ROUTE",TEXTSPLIT(B411,","),"")</f>
        <v/>
      </c>
      <c r="H411" s="1" t="str">
        <f t="shared" ref="H411:I411" si="413">IF(C411&lt;&gt;"",DEC2HEX(C411,2),"")</f>
        <v/>
      </c>
      <c r="I411" s="1" t="str">
        <f t="shared" si="413"/>
        <v/>
      </c>
      <c r="J411" s="1" t="str">
        <f t="shared" si="3"/>
        <v/>
      </c>
      <c r="L411" s="1" t="s">
        <v>2965</v>
      </c>
      <c r="M411" s="1" t="str">
        <f t="shared" si="4"/>
        <v>54, 56, VOHOO-DU</v>
      </c>
    </row>
    <row r="412" ht="12.75" customHeight="1">
      <c r="A412" s="3" t="s">
        <v>2966</v>
      </c>
      <c r="B412" s="3" t="str">
        <f t="shared" si="1"/>
        <v>54, 56, CLEFAEFAE</v>
      </c>
      <c r="C412" s="1" t="str">
        <f t="array" ref="C412">IF(B411="NEW ROUTE",TEXTSPLIT(B412,","),"")</f>
        <v/>
      </c>
      <c r="H412" s="1" t="str">
        <f t="shared" ref="H412:I412" si="414">IF(C412&lt;&gt;"",DEC2HEX(C412,2),"")</f>
        <v/>
      </c>
      <c r="I412" s="1" t="str">
        <f t="shared" si="414"/>
        <v/>
      </c>
      <c r="J412" s="1" t="str">
        <f t="shared" si="3"/>
        <v/>
      </c>
      <c r="L412" s="1" t="s">
        <v>2966</v>
      </c>
      <c r="M412" s="1" t="str">
        <f t="shared" si="4"/>
        <v>54, 56, CLEFAEFAE</v>
      </c>
    </row>
    <row r="413" ht="12.75" customHeight="1">
      <c r="A413" s="3" t="s">
        <v>2813</v>
      </c>
      <c r="B413" s="3" t="str">
        <f t="shared" si="1"/>
        <v>0.01</v>
      </c>
      <c r="C413" s="1" t="str">
        <f t="array" ref="C413">IF(B412="NEW ROUTE",TEXTSPLIT(B413,","),"")</f>
        <v/>
      </c>
      <c r="H413" s="1" t="str">
        <f t="shared" ref="H413:I413" si="415">IF(C413&lt;&gt;"",DEC2HEX(C413,2),"")</f>
        <v/>
      </c>
      <c r="I413" s="1" t="str">
        <f t="shared" si="415"/>
        <v/>
      </c>
      <c r="J413" s="1" t="str">
        <f t="shared" si="3"/>
        <v/>
      </c>
      <c r="L413" s="1" t="s">
        <v>2813</v>
      </c>
      <c r="M413" s="1" t="str">
        <f t="shared" si="4"/>
        <v>0.01</v>
      </c>
    </row>
    <row r="414" ht="12.75" customHeight="1">
      <c r="A414" s="3" t="s">
        <v>2967</v>
      </c>
      <c r="B414" s="3" t="str">
        <f t="shared" si="1"/>
        <v>55, 56, KABUTAK</v>
      </c>
      <c r="C414" s="1" t="str">
        <f t="array" ref="C414">IF(B413="NEW ROUTE",TEXTSPLIT(B414,","),"")</f>
        <v/>
      </c>
      <c r="H414" s="1" t="str">
        <f t="shared" ref="H414:I414" si="416">IF(C414&lt;&gt;"",DEC2HEX(C414,2),"")</f>
        <v/>
      </c>
      <c r="I414" s="1" t="str">
        <f t="shared" si="416"/>
        <v/>
      </c>
      <c r="J414" s="1" t="str">
        <f t="shared" si="3"/>
        <v/>
      </c>
      <c r="L414" s="1" t="s">
        <v>2967</v>
      </c>
      <c r="M414" s="1" t="str">
        <f t="shared" si="4"/>
        <v>55, 56, KABUTAK</v>
      </c>
    </row>
    <row r="415" ht="12.75" customHeight="1">
      <c r="A415" s="3" t="s">
        <v>2968</v>
      </c>
      <c r="B415" s="3" t="str">
        <f t="shared" si="1"/>
        <v>55, 56, OMAPAL</v>
      </c>
      <c r="C415" s="1" t="str">
        <f t="array" ref="C415">IF(B414="NEW ROUTE",TEXTSPLIT(B415,","),"")</f>
        <v/>
      </c>
      <c r="H415" s="1" t="str">
        <f t="shared" ref="H415:I415" si="417">IF(C415&lt;&gt;"",DEC2HEX(C415,2),"")</f>
        <v/>
      </c>
      <c r="I415" s="1" t="str">
        <f t="shared" si="417"/>
        <v/>
      </c>
      <c r="J415" s="1" t="str">
        <f t="shared" si="3"/>
        <v/>
      </c>
      <c r="L415" s="1" t="s">
        <v>2968</v>
      </c>
      <c r="M415" s="1" t="str">
        <f t="shared" si="4"/>
        <v>55, 56, OMAPAL</v>
      </c>
    </row>
    <row r="416" ht="12.75" customHeight="1">
      <c r="A416" s="3" t="s">
        <v>2969</v>
      </c>
      <c r="B416" s="3" t="str">
        <f t="shared" si="1"/>
        <v>2, 50, 55, POLITOES</v>
      </c>
      <c r="C416" s="1" t="str">
        <f t="array" ref="C416">IF(B415="NEW ROUTE",TEXTSPLIT(B416,","),"")</f>
        <v/>
      </c>
      <c r="H416" s="1" t="str">
        <f t="shared" ref="H416:I416" si="418">IF(C416&lt;&gt;"",DEC2HEX(C416,2),"")</f>
        <v/>
      </c>
      <c r="I416" s="1" t="str">
        <f t="shared" si="418"/>
        <v/>
      </c>
      <c r="J416" s="1" t="str">
        <f t="shared" si="3"/>
        <v/>
      </c>
      <c r="L416" s="1" t="s">
        <v>2969</v>
      </c>
      <c r="M416" s="1" t="str">
        <f t="shared" si="4"/>
        <v>2, 50, 55, POLITOES</v>
      </c>
    </row>
    <row r="417" ht="12.75" customHeight="1">
      <c r="A417" s="3" t="s">
        <v>2970</v>
      </c>
      <c r="B417" s="3" t="str">
        <f t="shared" si="1"/>
        <v>50, 55, DRAGONITE</v>
      </c>
      <c r="C417" s="1" t="str">
        <f t="array" ref="C417">IF(B416="NEW ROUTE",TEXTSPLIT(B417,","),"")</f>
        <v/>
      </c>
      <c r="H417" s="1" t="str">
        <f t="shared" ref="H417:I417" si="419">IF(C417&lt;&gt;"",DEC2HEX(C417,2),"")</f>
        <v/>
      </c>
      <c r="I417" s="1" t="str">
        <f t="shared" si="419"/>
        <v/>
      </c>
      <c r="J417" s="1" t="str">
        <f t="shared" si="3"/>
        <v/>
      </c>
      <c r="L417" s="1" t="s">
        <v>2970</v>
      </c>
      <c r="M417" s="1" t="str">
        <f t="shared" si="4"/>
        <v>50, 55, DRAGONITE</v>
      </c>
    </row>
    <row r="418" ht="12.75" customHeight="1">
      <c r="A418" s="3" t="s">
        <v>2971</v>
      </c>
      <c r="B418" s="3" t="str">
        <f t="shared" si="1"/>
        <v>52, 57, POLIWISE</v>
      </c>
      <c r="C418" s="1" t="str">
        <f t="array" ref="C418">IF(B417="NEW ROUTE",TEXTSPLIT(B418,","),"")</f>
        <v/>
      </c>
      <c r="H418" s="1" t="str">
        <f t="shared" ref="H418:I418" si="420">IF(C418&lt;&gt;"",DEC2HEX(C418,2),"")</f>
        <v/>
      </c>
      <c r="I418" s="1" t="str">
        <f t="shared" si="420"/>
        <v/>
      </c>
      <c r="J418" s="1" t="str">
        <f t="shared" si="3"/>
        <v/>
      </c>
      <c r="L418" s="1" t="s">
        <v>2971</v>
      </c>
      <c r="M418" s="1" t="str">
        <f t="shared" si="4"/>
        <v>52, 57, POLIWISE</v>
      </c>
    </row>
    <row r="419" ht="12.75" customHeight="1">
      <c r="A419" s="3" t="s">
        <v>2972</v>
      </c>
      <c r="B419" s="3" t="str">
        <f t="shared" si="1"/>
        <v>52, 57, DRAGONIER</v>
      </c>
      <c r="C419" s="1" t="str">
        <f t="array" ref="C419">IF(B418="NEW ROUTE",TEXTSPLIT(B419,","),"")</f>
        <v/>
      </c>
      <c r="H419" s="1" t="str">
        <f t="shared" ref="H419:I419" si="421">IF(C419&lt;&gt;"",DEC2HEX(C419,2),"")</f>
        <v/>
      </c>
      <c r="I419" s="1" t="str">
        <f t="shared" si="421"/>
        <v/>
      </c>
      <c r="J419" s="1" t="str">
        <f t="shared" si="3"/>
        <v/>
      </c>
      <c r="L419" s="1" t="s">
        <v>2972</v>
      </c>
      <c r="M419" s="1" t="str">
        <f t="shared" si="4"/>
        <v>52, 57, DRAGONIER</v>
      </c>
    </row>
    <row r="420" ht="12.75" customHeight="1">
      <c r="A420" s="3" t="s">
        <v>2973</v>
      </c>
      <c r="B420" s="3" t="str">
        <f t="shared" si="1"/>
        <v>53, 58, NESSEA</v>
      </c>
      <c r="C420" s="1" t="str">
        <f t="array" ref="C420">IF(B419="NEW ROUTE",TEXTSPLIT(B420,","),"")</f>
        <v/>
      </c>
      <c r="H420" s="1" t="str">
        <f t="shared" ref="H420:I420" si="422">IF(C420&lt;&gt;"",DEC2HEX(C420,2),"")</f>
        <v/>
      </c>
      <c r="I420" s="1" t="str">
        <f t="shared" si="422"/>
        <v/>
      </c>
      <c r="J420" s="1" t="str">
        <f t="shared" si="3"/>
        <v/>
      </c>
      <c r="L420" s="1" t="s">
        <v>2973</v>
      </c>
      <c r="M420" s="1" t="str">
        <f t="shared" si="4"/>
        <v>53, 58, NESSEA</v>
      </c>
    </row>
    <row r="421" ht="12.75" customHeight="1">
      <c r="A421" s="3" t="s">
        <v>2926</v>
      </c>
      <c r="B421" s="3" t="str">
        <f t="shared" si="1"/>
        <v>20, old rod:</v>
      </c>
      <c r="C421" s="1" t="str">
        <f t="array" ref="C421">IF(B420="NEW ROUTE",TEXTSPLIT(B421,","),"")</f>
        <v/>
      </c>
      <c r="H421" s="1" t="str">
        <f t="shared" ref="H421:I421" si="423">IF(C421&lt;&gt;"",DEC2HEX(C421,2),"")</f>
        <v/>
      </c>
      <c r="I421" s="1" t="str">
        <f t="shared" si="423"/>
        <v/>
      </c>
      <c r="J421" s="1" t="str">
        <f t="shared" si="3"/>
        <v/>
      </c>
      <c r="L421" s="1" t="s">
        <v>2926</v>
      </c>
      <c r="M421" s="1" t="str">
        <f t="shared" si="4"/>
        <v>20, old rod:</v>
      </c>
    </row>
    <row r="422" ht="12.75" customHeight="1">
      <c r="A422" s="3" t="s">
        <v>548</v>
      </c>
      <c r="B422" s="3" t="str">
        <f t="shared" si="1"/>
        <v>23, 36, CLOYSTER</v>
      </c>
      <c r="C422" s="1" t="str">
        <f t="array" ref="C422">IF(B421="NEW ROUTE",TEXTSPLIT(B422,","),"")</f>
        <v/>
      </c>
      <c r="H422" s="1" t="str">
        <f t="shared" ref="H422:I422" si="424">IF(C422&lt;&gt;"",DEC2HEX(C422,2),"")</f>
        <v/>
      </c>
      <c r="I422" s="1" t="str">
        <f t="shared" si="424"/>
        <v/>
      </c>
      <c r="J422" s="1" t="str">
        <f t="shared" si="3"/>
        <v/>
      </c>
      <c r="L422" s="1" t="s">
        <v>548</v>
      </c>
      <c r="M422" s="1" t="str">
        <f t="shared" si="4"/>
        <v>23, 36, CLOYSTER</v>
      </c>
    </row>
    <row r="423" ht="12.75" customHeight="1">
      <c r="A423" s="3" t="s">
        <v>2974</v>
      </c>
      <c r="B423" s="3" t="str">
        <f t="shared" si="1"/>
        <v>23, 36, GYARADOS</v>
      </c>
      <c r="C423" s="1" t="str">
        <f t="array" ref="C423">IF(B422="NEW ROUTE",TEXTSPLIT(B423,","),"")</f>
        <v/>
      </c>
      <c r="H423" s="1" t="str">
        <f t="shared" ref="H423:I423" si="425">IF(C423&lt;&gt;"",DEC2HEX(C423,2),"")</f>
        <v/>
      </c>
      <c r="I423" s="1" t="str">
        <f t="shared" si="425"/>
        <v/>
      </c>
      <c r="J423" s="1" t="str">
        <f t="shared" si="3"/>
        <v/>
      </c>
      <c r="L423" s="1" t="s">
        <v>2974</v>
      </c>
      <c r="M423" s="1" t="str">
        <f t="shared" si="4"/>
        <v>23, 36, GYARADOS</v>
      </c>
    </row>
    <row r="424" ht="12.75" customHeight="1">
      <c r="A424" s="3" t="s">
        <v>2847</v>
      </c>
      <c r="B424" s="3" t="str">
        <f t="shared" si="1"/>
        <v>good rod:</v>
      </c>
      <c r="C424" s="1" t="str">
        <f t="array" ref="C424">IF(B423="NEW ROUTE",TEXTSPLIT(B424,","),"")</f>
        <v/>
      </c>
      <c r="H424" s="1" t="str">
        <f t="shared" ref="H424:I424" si="426">IF(C424&lt;&gt;"",DEC2HEX(C424,2),"")</f>
        <v/>
      </c>
      <c r="I424" s="1" t="str">
        <f t="shared" si="426"/>
        <v/>
      </c>
      <c r="J424" s="1" t="str">
        <f t="shared" si="3"/>
        <v/>
      </c>
      <c r="L424" s="1" t="s">
        <v>2847</v>
      </c>
      <c r="M424" s="1" t="str">
        <f t="shared" si="4"/>
        <v>good rod:</v>
      </c>
    </row>
    <row r="425" ht="12.75" customHeight="1">
      <c r="A425" s="3" t="s">
        <v>2975</v>
      </c>
      <c r="B425" s="3" t="str">
        <f t="shared" si="1"/>
        <v>30, 38, CLOYSTER</v>
      </c>
      <c r="C425" s="1" t="str">
        <f t="array" ref="C425">IF(B424="NEW ROUTE",TEXTSPLIT(B425,","),"")</f>
        <v/>
      </c>
      <c r="H425" s="1" t="str">
        <f t="shared" ref="H425:I425" si="427">IF(C425&lt;&gt;"",DEC2HEX(C425,2),"")</f>
        <v/>
      </c>
      <c r="I425" s="1" t="str">
        <f t="shared" si="427"/>
        <v/>
      </c>
      <c r="J425" s="1" t="str">
        <f t="shared" si="3"/>
        <v/>
      </c>
      <c r="L425" s="1" t="s">
        <v>2975</v>
      </c>
      <c r="M425" s="1" t="str">
        <f t="shared" si="4"/>
        <v>30, 38, CLOYSTER</v>
      </c>
    </row>
    <row r="426" ht="12.75" customHeight="1">
      <c r="A426" s="3" t="s">
        <v>2976</v>
      </c>
      <c r="B426" s="3" t="str">
        <f t="shared" si="1"/>
        <v>32, 40, KINGDRA</v>
      </c>
      <c r="C426" s="1" t="str">
        <f t="array" ref="C426">IF(B425="NEW ROUTE",TEXTSPLIT(B426,","),"")</f>
        <v/>
      </c>
      <c r="H426" s="1" t="str">
        <f t="shared" ref="H426:I426" si="428">IF(C426&lt;&gt;"",DEC2HEX(C426,2),"")</f>
        <v/>
      </c>
      <c r="I426" s="1" t="str">
        <f t="shared" si="428"/>
        <v/>
      </c>
      <c r="J426" s="1" t="str">
        <f t="shared" si="3"/>
        <v/>
      </c>
      <c r="L426" s="1" t="s">
        <v>2976</v>
      </c>
      <c r="M426" s="1" t="str">
        <f t="shared" si="4"/>
        <v>32, 40, KINGDRA</v>
      </c>
    </row>
    <row r="427" ht="12.75" customHeight="1">
      <c r="A427" s="3" t="s">
        <v>2977</v>
      </c>
      <c r="B427" s="3" t="str">
        <f t="shared" si="1"/>
        <v>32, 40, HYDRADOS</v>
      </c>
      <c r="C427" s="1" t="str">
        <f t="array" ref="C427">IF(B426="NEW ROUTE",TEXTSPLIT(B427,","),"")</f>
        <v/>
      </c>
      <c r="H427" s="1" t="str">
        <f t="shared" ref="H427:I427" si="429">IF(C427&lt;&gt;"",DEC2HEX(C427,2),"")</f>
        <v/>
      </c>
      <c r="I427" s="1" t="str">
        <f t="shared" si="429"/>
        <v/>
      </c>
      <c r="J427" s="1" t="str">
        <f t="shared" si="3"/>
        <v/>
      </c>
      <c r="L427" s="1" t="s">
        <v>2977</v>
      </c>
      <c r="M427" s="1" t="str">
        <f t="shared" si="4"/>
        <v>32, 40, HYDRADOS</v>
      </c>
    </row>
    <row r="428" ht="12.75" customHeight="1">
      <c r="A428" s="3" t="s">
        <v>2851</v>
      </c>
      <c r="B428" s="3" t="str">
        <f t="shared" si="1"/>
        <v>super rod:</v>
      </c>
      <c r="C428" s="1" t="str">
        <f t="array" ref="C428">IF(B427="NEW ROUTE",TEXTSPLIT(B428,","),"")</f>
        <v/>
      </c>
      <c r="H428" s="1" t="str">
        <f t="shared" ref="H428:I428" si="430">IF(C428&lt;&gt;"",DEC2HEX(C428,2),"")</f>
        <v/>
      </c>
      <c r="I428" s="1" t="str">
        <f t="shared" si="430"/>
        <v/>
      </c>
      <c r="J428" s="1" t="str">
        <f t="shared" si="3"/>
        <v/>
      </c>
      <c r="L428" s="1" t="s">
        <v>2851</v>
      </c>
      <c r="M428" s="1" t="str">
        <f t="shared" si="4"/>
        <v>super rod:</v>
      </c>
    </row>
    <row r="429" ht="12.75" customHeight="1">
      <c r="A429" s="3" t="s">
        <v>2978</v>
      </c>
      <c r="B429" s="3" t="str">
        <f t="shared" si="1"/>
        <v>50, 55, LORDRA</v>
      </c>
      <c r="C429" s="1" t="str">
        <f t="array" ref="C429">IF(B428="NEW ROUTE",TEXTSPLIT(B429,","),"")</f>
        <v/>
      </c>
      <c r="H429" s="1" t="str">
        <f t="shared" ref="H429:I429" si="431">IF(C429&lt;&gt;"",DEC2HEX(C429,2),"")</f>
        <v/>
      </c>
      <c r="I429" s="1" t="str">
        <f t="shared" si="431"/>
        <v/>
      </c>
      <c r="J429" s="1" t="str">
        <f t="shared" si="3"/>
        <v/>
      </c>
      <c r="L429" s="1" t="s">
        <v>2978</v>
      </c>
      <c r="M429" s="1" t="str">
        <f t="shared" si="4"/>
        <v>50, 55, LORDRA</v>
      </c>
    </row>
    <row r="430" ht="12.75" customHeight="1">
      <c r="A430" s="3" t="s">
        <v>2979</v>
      </c>
      <c r="B430" s="3" t="str">
        <f t="shared" si="1"/>
        <v>50, 55, AN'ENEMY</v>
      </c>
      <c r="C430" s="1" t="str">
        <f t="array" ref="C430">IF(B429="NEW ROUTE",TEXTSPLIT(B430,","),"")</f>
        <v/>
      </c>
      <c r="H430" s="1" t="str">
        <f t="shared" ref="H430:I430" si="432">IF(C430&lt;&gt;"",DEC2HEX(C430,2),"")</f>
        <v/>
      </c>
      <c r="I430" s="1" t="str">
        <f t="shared" si="432"/>
        <v/>
      </c>
      <c r="J430" s="1" t="str">
        <f t="shared" si="3"/>
        <v/>
      </c>
      <c r="L430" s="1" t="s">
        <v>2979</v>
      </c>
      <c r="M430" s="1" t="str">
        <f t="shared" si="4"/>
        <v>50, 55, AN'ENEMY</v>
      </c>
    </row>
    <row r="431" ht="12.75" customHeight="1">
      <c r="A431" s="3" t="s">
        <v>2980</v>
      </c>
      <c r="B431" s="3" t="str">
        <f t="shared" si="1"/>
        <v>52, 57, DRACOSMIC</v>
      </c>
      <c r="C431" s="1" t="str">
        <f t="array" ref="C431">IF(B430="NEW ROUTE",TEXTSPLIT(B431,","),"")</f>
        <v/>
      </c>
      <c r="H431" s="1" t="str">
        <f t="shared" ref="H431:I431" si="433">IF(C431&lt;&gt;"",DEC2HEX(C431,2),"")</f>
        <v/>
      </c>
      <c r="I431" s="1" t="str">
        <f t="shared" si="433"/>
        <v/>
      </c>
      <c r="J431" s="1" t="str">
        <f t="shared" si="3"/>
        <v/>
      </c>
      <c r="L431" s="1" t="s">
        <v>2980</v>
      </c>
      <c r="M431" s="1" t="str">
        <f t="shared" si="4"/>
        <v>52, 57, DRACOSMIC</v>
      </c>
    </row>
    <row r="432" ht="12.75" customHeight="1">
      <c r="A432" s="3" t="s">
        <v>2981</v>
      </c>
      <c r="B432" s="3" t="str">
        <f t="shared" si="1"/>
        <v>52, 57, GLAISHELL</v>
      </c>
      <c r="C432" s="1" t="str">
        <f t="array" ref="C432">IF(B431="NEW ROUTE",TEXTSPLIT(B432,","),"")</f>
        <v/>
      </c>
      <c r="H432" s="1" t="str">
        <f t="shared" ref="H432:I432" si="434">IF(C432&lt;&gt;"",DEC2HEX(C432,2),"")</f>
        <v/>
      </c>
      <c r="I432" s="1" t="str">
        <f t="shared" si="434"/>
        <v/>
      </c>
      <c r="J432" s="1" t="str">
        <f t="shared" si="3"/>
        <v/>
      </c>
      <c r="L432" s="1" t="s">
        <v>2981</v>
      </c>
      <c r="M432" s="1" t="str">
        <f t="shared" si="4"/>
        <v>52, 57, GLAISHELL</v>
      </c>
    </row>
    <row r="433" ht="12.75" customHeight="1">
      <c r="A433" s="3" t="s">
        <v>2982</v>
      </c>
      <c r="B433" s="3" t="str">
        <f t="shared" si="1"/>
        <v>53, 58, STARWE</v>
      </c>
      <c r="C433" s="1" t="str">
        <f t="array" ref="C433">IF(B432="NEW ROUTE",TEXTSPLIT(B433,","),"")</f>
        <v/>
      </c>
      <c r="H433" s="1" t="str">
        <f t="shared" ref="H433:I433" si="435">IF(C433&lt;&gt;"",DEC2HEX(C433,2),"")</f>
        <v/>
      </c>
      <c r="I433" s="1" t="str">
        <f t="shared" si="435"/>
        <v/>
      </c>
      <c r="J433" s="1" t="str">
        <f t="shared" si="3"/>
        <v/>
      </c>
      <c r="L433" s="1" t="s">
        <v>2982</v>
      </c>
      <c r="M433" s="1" t="str">
        <f t="shared" si="4"/>
        <v>53, 58, STARWE</v>
      </c>
    </row>
    <row r="434" ht="12.75" customHeight="1">
      <c r="A434" s="3" t="s">
        <v>2539</v>
      </c>
      <c r="B434" s="3" t="str">
        <f t="shared" si="1"/>
        <v>NEW ROUTE</v>
      </c>
      <c r="C434" s="1" t="str">
        <f t="array" ref="C434">IF(B433="NEW ROUTE",TEXTSPLIT(B434,","),"")</f>
        <v/>
      </c>
      <c r="H434" s="1" t="str">
        <f t="shared" ref="H434:I434" si="436">IF(C434&lt;&gt;"",DEC2HEX(C434,2),"")</f>
        <v/>
      </c>
      <c r="I434" s="1" t="str">
        <f t="shared" si="436"/>
        <v/>
      </c>
      <c r="J434" s="1" t="str">
        <f t="shared" si="3"/>
        <v/>
      </c>
      <c r="L434" s="1" t="s">
        <v>2539</v>
      </c>
      <c r="M434" s="1" t="str">
        <f t="shared" si="4"/>
        <v>NEW ROUTE</v>
      </c>
    </row>
    <row r="435" ht="12.75" customHeight="1">
      <c r="A435" s="3" t="s">
        <v>2983</v>
      </c>
      <c r="B435" s="3" t="str">
        <f t="shared" si="1"/>
        <v>1, 73, 0,</v>
      </c>
      <c r="C435" s="1" t="str">
        <f t="array" ref="C435">IF(B434="NEW ROUTE",TEXTSPLIT(B435,","),"")</f>
        <v>#NAME?</v>
      </c>
      <c r="H435" s="1" t="str">
        <f t="shared" ref="H435:I435" si="437">IF(C435&lt;&gt;"",DEC2HEX(C435,2),"")</f>
        <v>#NAME?</v>
      </c>
      <c r="I435" s="1" t="str">
        <f t="shared" si="437"/>
        <v/>
      </c>
      <c r="J435" s="1" t="str">
        <f t="shared" si="3"/>
        <v>#NAME?</v>
      </c>
      <c r="L435" s="1" t="s">
        <v>2983</v>
      </c>
      <c r="M435" s="1" t="str">
        <f t="shared" si="4"/>
        <v>#NAME?</v>
      </c>
    </row>
    <row r="436" ht="12.75" customHeight="1">
      <c r="A436" s="3" t="s">
        <v>2817</v>
      </c>
      <c r="B436" s="3" t="str">
        <f t="shared" si="1"/>
        <v>20%</v>
      </c>
      <c r="C436" s="1" t="str">
        <f t="array" ref="C436">IF(B435="NEW ROUTE",TEXTSPLIT(B436,","),"")</f>
        <v/>
      </c>
      <c r="H436" s="1" t="str">
        <f t="shared" ref="H436:I436" si="438">IF(C436&lt;&gt;"",DEC2HEX(C436,2),"")</f>
        <v/>
      </c>
      <c r="I436" s="1" t="str">
        <f t="shared" si="438"/>
        <v/>
      </c>
      <c r="J436" s="1" t="str">
        <f t="shared" si="3"/>
        <v/>
      </c>
      <c r="L436" s="1" t="s">
        <v>2799</v>
      </c>
      <c r="M436" s="1" t="str">
        <f t="shared" si="4"/>
        <v>20%</v>
      </c>
    </row>
    <row r="437" ht="12.75" customHeight="1">
      <c r="A437" s="3" t="s">
        <v>532</v>
      </c>
      <c r="B437" s="3" t="str">
        <f t="shared" si="1"/>
        <v>50, 55, DUGROUPLE</v>
      </c>
      <c r="C437" s="1" t="str">
        <f t="array" ref="C437">IF(B436="NEW ROUTE",TEXTSPLIT(B437,","),"")</f>
        <v/>
      </c>
      <c r="H437" s="1" t="str">
        <f t="shared" ref="H437:I437" si="439">IF(C437&lt;&gt;"",DEC2HEX(C437,2),"")</f>
        <v/>
      </c>
      <c r="I437" s="1" t="str">
        <f t="shared" si="439"/>
        <v/>
      </c>
      <c r="J437" s="1" t="str">
        <f t="shared" si="3"/>
        <v/>
      </c>
      <c r="L437" s="1" t="s">
        <v>532</v>
      </c>
      <c r="M437" s="1" t="str">
        <f t="shared" si="4"/>
        <v>50, 55, DUGROUPLE</v>
      </c>
    </row>
    <row r="438" ht="12.75" customHeight="1">
      <c r="A438" s="3" t="s">
        <v>2958</v>
      </c>
      <c r="B438" s="3" t="str">
        <f t="shared" si="1"/>
        <v>50, 55, POLABAT</v>
      </c>
      <c r="C438" s="1" t="str">
        <f t="array" ref="C438">IF(B437="NEW ROUTE",TEXTSPLIT(B438,","),"")</f>
        <v/>
      </c>
      <c r="H438" s="1" t="str">
        <f t="shared" ref="H438:I438" si="440">IF(C438&lt;&gt;"",DEC2HEX(C438,2),"")</f>
        <v/>
      </c>
      <c r="I438" s="1" t="str">
        <f t="shared" si="440"/>
        <v/>
      </c>
      <c r="J438" s="1" t="str">
        <f t="shared" si="3"/>
        <v/>
      </c>
      <c r="L438" s="1" t="s">
        <v>2958</v>
      </c>
      <c r="M438" s="1" t="str">
        <f t="shared" si="4"/>
        <v>50, 55, POLABAT</v>
      </c>
    </row>
    <row r="439" ht="12.75" customHeight="1">
      <c r="A439" s="3" t="s">
        <v>2802</v>
      </c>
      <c r="B439" s="3" t="str">
        <f t="shared" si="1"/>
        <v>0.1</v>
      </c>
      <c r="C439" s="1" t="str">
        <f t="array" ref="C439">IF(B438="NEW ROUTE",TEXTSPLIT(B439,","),"")</f>
        <v/>
      </c>
      <c r="H439" s="1" t="str">
        <f t="shared" ref="H439:I439" si="441">IF(C439&lt;&gt;"",DEC2HEX(C439,2),"")</f>
        <v/>
      </c>
      <c r="I439" s="1" t="str">
        <f t="shared" si="441"/>
        <v/>
      </c>
      <c r="J439" s="1" t="str">
        <f t="shared" si="3"/>
        <v/>
      </c>
      <c r="L439" s="1" t="s">
        <v>2802</v>
      </c>
      <c r="M439" s="1" t="str">
        <f t="shared" si="4"/>
        <v>0.1</v>
      </c>
    </row>
    <row r="440" ht="12.75" customHeight="1">
      <c r="A440" s="3" t="s">
        <v>2959</v>
      </c>
      <c r="B440" s="3" t="str">
        <f t="shared" si="1"/>
        <v>52, 55, VENOMENON</v>
      </c>
      <c r="C440" s="1" t="str">
        <f t="array" ref="C440">IF(B439="NEW ROUTE",TEXTSPLIT(B440,","),"")</f>
        <v/>
      </c>
      <c r="H440" s="1" t="str">
        <f t="shared" ref="H440:I440" si="442">IF(C440&lt;&gt;"",DEC2HEX(C440,2),"")</f>
        <v/>
      </c>
      <c r="I440" s="1" t="str">
        <f t="shared" si="442"/>
        <v/>
      </c>
      <c r="J440" s="1" t="str">
        <f t="shared" si="3"/>
        <v/>
      </c>
      <c r="L440" s="1" t="s">
        <v>2959</v>
      </c>
      <c r="M440" s="1" t="str">
        <f t="shared" si="4"/>
        <v>52, 55, VENOMENON</v>
      </c>
    </row>
    <row r="441" ht="12.75" customHeight="1">
      <c r="A441" s="3" t="s">
        <v>2960</v>
      </c>
      <c r="B441" s="3" t="str">
        <f t="shared" si="1"/>
        <v>52, 55, "MR. JEST"</v>
      </c>
      <c r="C441" s="1" t="str">
        <f t="array" ref="C441">IF(B440="NEW ROUTE",TEXTSPLIT(B441,","),"")</f>
        <v/>
      </c>
      <c r="H441" s="1" t="str">
        <f t="shared" ref="H441:I441" si="443">IF(C441&lt;&gt;"",DEC2HEX(C441,2),"")</f>
        <v/>
      </c>
      <c r="I441" s="1" t="str">
        <f t="shared" si="443"/>
        <v/>
      </c>
      <c r="J441" s="1" t="str">
        <f t="shared" si="3"/>
        <v/>
      </c>
      <c r="L441" s="1" t="s">
        <v>2960</v>
      </c>
      <c r="M441" s="1" t="str">
        <f t="shared" si="4"/>
        <v>52, 55, "MR. JEST"</v>
      </c>
    </row>
    <row r="442" ht="12.75" customHeight="1">
      <c r="A442" s="3" t="s">
        <v>2961</v>
      </c>
      <c r="B442" s="3" t="str">
        <f t="shared" si="1"/>
        <v>52, 55, NIDORULY</v>
      </c>
      <c r="C442" s="1" t="str">
        <f t="array" ref="C442">IF(B441="NEW ROUTE",TEXTSPLIT(B442,","),"")</f>
        <v/>
      </c>
      <c r="H442" s="1" t="str">
        <f t="shared" ref="H442:I442" si="444">IF(C442&lt;&gt;"",DEC2HEX(C442,2),"")</f>
        <v/>
      </c>
      <c r="I442" s="1" t="str">
        <f t="shared" si="444"/>
        <v/>
      </c>
      <c r="J442" s="1" t="str">
        <f t="shared" si="3"/>
        <v/>
      </c>
      <c r="L442" s="1" t="s">
        <v>2961</v>
      </c>
      <c r="M442" s="1" t="str">
        <f t="shared" si="4"/>
        <v>52, 55, NIDORULY</v>
      </c>
    </row>
    <row r="443" ht="12.75" customHeight="1">
      <c r="A443" s="3" t="s">
        <v>2962</v>
      </c>
      <c r="B443" s="3" t="str">
        <f t="shared" si="1"/>
        <v>52, 55, NIDOREGAL</v>
      </c>
      <c r="C443" s="1" t="str">
        <f t="array" ref="C443">IF(B442="NEW ROUTE",TEXTSPLIT(B443,","),"")</f>
        <v/>
      </c>
      <c r="H443" s="1" t="str">
        <f t="shared" ref="H443:I443" si="445">IF(C443&lt;&gt;"",DEC2HEX(C443,2),"")</f>
        <v/>
      </c>
      <c r="I443" s="1" t="str">
        <f t="shared" si="445"/>
        <v/>
      </c>
      <c r="J443" s="1" t="str">
        <f t="shared" si="3"/>
        <v/>
      </c>
      <c r="L443" s="1" t="s">
        <v>2962</v>
      </c>
      <c r="M443" s="1" t="str">
        <f t="shared" si="4"/>
        <v>52, 55, NIDOREGAL</v>
      </c>
    </row>
    <row r="444" ht="12.75" customHeight="1">
      <c r="A444" s="3" t="s">
        <v>2807</v>
      </c>
      <c r="B444" s="3" t="str">
        <f t="shared" si="1"/>
        <v>0.05</v>
      </c>
      <c r="C444" s="1" t="str">
        <f t="array" ref="C444">IF(B443="NEW ROUTE",TEXTSPLIT(B444,","),"")</f>
        <v/>
      </c>
      <c r="H444" s="1" t="str">
        <f t="shared" ref="H444:I444" si="446">IF(C444&lt;&gt;"",DEC2HEX(C444,2),"")</f>
        <v/>
      </c>
      <c r="I444" s="1" t="str">
        <f t="shared" si="446"/>
        <v/>
      </c>
      <c r="J444" s="1" t="str">
        <f t="shared" si="3"/>
        <v/>
      </c>
      <c r="L444" s="1" t="s">
        <v>2807</v>
      </c>
      <c r="M444" s="1" t="str">
        <f t="shared" si="4"/>
        <v>0.05</v>
      </c>
    </row>
    <row r="445" ht="12.75" customHeight="1">
      <c r="A445" s="3" t="s">
        <v>2963</v>
      </c>
      <c r="B445" s="3" t="str">
        <f t="shared" si="1"/>
        <v>54, 56, MORPHO</v>
      </c>
      <c r="C445" s="1" t="str">
        <f t="array" ref="C445">IF(B444="NEW ROUTE",TEXTSPLIT(B445,","),"")</f>
        <v/>
      </c>
      <c r="H445" s="1" t="str">
        <f t="shared" ref="H445:I445" si="447">IF(C445&lt;&gt;"",DEC2HEX(C445,2),"")</f>
        <v/>
      </c>
      <c r="I445" s="1" t="str">
        <f t="shared" si="447"/>
        <v/>
      </c>
      <c r="J445" s="1" t="str">
        <f t="shared" si="3"/>
        <v/>
      </c>
      <c r="L445" s="1" t="s">
        <v>2963</v>
      </c>
      <c r="M445" s="1" t="str">
        <f t="shared" si="4"/>
        <v>54, 56, MORPHO</v>
      </c>
    </row>
    <row r="446" ht="12.75" customHeight="1">
      <c r="A446" s="3" t="s">
        <v>2964</v>
      </c>
      <c r="B446" s="3" t="str">
        <f t="shared" si="1"/>
        <v>54, 56, MAGNEMELD</v>
      </c>
      <c r="C446" s="1" t="str">
        <f t="array" ref="C446">IF(B445="NEW ROUTE",TEXTSPLIT(B446,","),"")</f>
        <v/>
      </c>
      <c r="H446" s="1" t="str">
        <f t="shared" ref="H446:I446" si="448">IF(C446&lt;&gt;"",DEC2HEX(C446,2),"")</f>
        <v/>
      </c>
      <c r="I446" s="1" t="str">
        <f t="shared" si="448"/>
        <v/>
      </c>
      <c r="J446" s="1" t="str">
        <f t="shared" si="3"/>
        <v/>
      </c>
      <c r="L446" s="1" t="s">
        <v>2964</v>
      </c>
      <c r="M446" s="1" t="str">
        <f t="shared" si="4"/>
        <v>54, 56, MAGNEMELD</v>
      </c>
    </row>
    <row r="447" ht="12.75" customHeight="1">
      <c r="A447" s="3" t="s">
        <v>2810</v>
      </c>
      <c r="B447" s="3" t="str">
        <f t="shared" si="1"/>
        <v>0.04</v>
      </c>
      <c r="C447" s="1" t="str">
        <f t="array" ref="C447">IF(B446="NEW ROUTE",TEXTSPLIT(B447,","),"")</f>
        <v/>
      </c>
      <c r="H447" s="1" t="str">
        <f t="shared" ref="H447:I447" si="449">IF(C447&lt;&gt;"",DEC2HEX(C447,2),"")</f>
        <v/>
      </c>
      <c r="I447" s="1" t="str">
        <f t="shared" si="449"/>
        <v/>
      </c>
      <c r="J447" s="1" t="str">
        <f t="shared" si="3"/>
        <v/>
      </c>
      <c r="L447" s="1" t="s">
        <v>2810</v>
      </c>
      <c r="M447" s="1" t="str">
        <f t="shared" si="4"/>
        <v>0.04</v>
      </c>
    </row>
    <row r="448" ht="12.75" customHeight="1">
      <c r="A448" s="3" t="s">
        <v>2965</v>
      </c>
      <c r="B448" s="3" t="str">
        <f t="shared" si="1"/>
        <v>54, 56, VOHOO-DU</v>
      </c>
      <c r="C448" s="1" t="str">
        <f t="array" ref="C448">IF(B447="NEW ROUTE",TEXTSPLIT(B448,","),"")</f>
        <v/>
      </c>
      <c r="H448" s="1" t="str">
        <f t="shared" ref="H448:I448" si="450">IF(C448&lt;&gt;"",DEC2HEX(C448,2),"")</f>
        <v/>
      </c>
      <c r="I448" s="1" t="str">
        <f t="shared" si="450"/>
        <v/>
      </c>
      <c r="J448" s="1" t="str">
        <f t="shared" si="3"/>
        <v/>
      </c>
      <c r="L448" s="1" t="s">
        <v>2965</v>
      </c>
      <c r="M448" s="1" t="str">
        <f t="shared" si="4"/>
        <v>54, 56, VOHOO-DU</v>
      </c>
    </row>
    <row r="449" ht="12.75" customHeight="1">
      <c r="A449" s="3" t="s">
        <v>2966</v>
      </c>
      <c r="B449" s="3" t="str">
        <f t="shared" si="1"/>
        <v>54, 56, CLEFAEFAE</v>
      </c>
      <c r="C449" s="1" t="str">
        <f t="array" ref="C449">IF(B448="NEW ROUTE",TEXTSPLIT(B449,","),"")</f>
        <v/>
      </c>
      <c r="H449" s="1" t="str">
        <f t="shared" ref="H449:I449" si="451">IF(C449&lt;&gt;"",DEC2HEX(C449,2),"")</f>
        <v/>
      </c>
      <c r="I449" s="1" t="str">
        <f t="shared" si="451"/>
        <v/>
      </c>
      <c r="J449" s="1" t="str">
        <f t="shared" si="3"/>
        <v/>
      </c>
      <c r="L449" s="1" t="s">
        <v>2966</v>
      </c>
      <c r="M449" s="1" t="str">
        <f t="shared" si="4"/>
        <v>54, 56, CLEFAEFAE</v>
      </c>
    </row>
    <row r="450" ht="12.75" customHeight="1">
      <c r="A450" s="3" t="s">
        <v>2813</v>
      </c>
      <c r="B450" s="3" t="str">
        <f t="shared" si="1"/>
        <v>0.01</v>
      </c>
      <c r="C450" s="1" t="str">
        <f t="array" ref="C450">IF(B449="NEW ROUTE",TEXTSPLIT(B450,","),"")</f>
        <v/>
      </c>
      <c r="H450" s="1" t="str">
        <f t="shared" ref="H450:I450" si="452">IF(C450&lt;&gt;"",DEC2HEX(C450,2),"")</f>
        <v/>
      </c>
      <c r="I450" s="1" t="str">
        <f t="shared" si="452"/>
        <v/>
      </c>
      <c r="J450" s="1" t="str">
        <f t="shared" si="3"/>
        <v/>
      </c>
      <c r="L450" s="1" t="s">
        <v>2813</v>
      </c>
      <c r="M450" s="1" t="str">
        <f t="shared" si="4"/>
        <v>0.01</v>
      </c>
    </row>
    <row r="451" ht="12.75" customHeight="1">
      <c r="A451" s="3" t="s">
        <v>2967</v>
      </c>
      <c r="B451" s="3" t="str">
        <f t="shared" si="1"/>
        <v>55, 56, KABUTAK</v>
      </c>
      <c r="C451" s="1" t="str">
        <f t="array" ref="C451">IF(B450="NEW ROUTE",TEXTSPLIT(B451,","),"")</f>
        <v/>
      </c>
      <c r="H451" s="1" t="str">
        <f t="shared" ref="H451:I451" si="453">IF(C451&lt;&gt;"",DEC2HEX(C451,2),"")</f>
        <v/>
      </c>
      <c r="I451" s="1" t="str">
        <f t="shared" si="453"/>
        <v/>
      </c>
      <c r="J451" s="1" t="str">
        <f t="shared" si="3"/>
        <v/>
      </c>
      <c r="L451" s="1" t="s">
        <v>2967</v>
      </c>
      <c r="M451" s="1" t="str">
        <f t="shared" si="4"/>
        <v>55, 56, KABUTAK</v>
      </c>
    </row>
    <row r="452" ht="12.75" customHeight="1">
      <c r="A452" s="3" t="s">
        <v>2984</v>
      </c>
      <c r="B452" s="3" t="str">
        <f t="shared" si="1"/>
        <v>55, 56, OMAPAL , &lt;null&gt;, &lt;null&gt;, &lt;null&gt;</v>
      </c>
      <c r="C452" s="1" t="str">
        <f t="array" ref="C452">IF(B451="NEW ROUTE",TEXTSPLIT(B452,","),"")</f>
        <v/>
      </c>
      <c r="H452" s="1" t="str">
        <f t="shared" ref="H452:I452" si="454">IF(C452&lt;&gt;"",DEC2HEX(C452,2),"")</f>
        <v/>
      </c>
      <c r="I452" s="1" t="str">
        <f t="shared" si="454"/>
        <v/>
      </c>
      <c r="J452" s="1" t="str">
        <f t="shared" si="3"/>
        <v/>
      </c>
      <c r="L452" s="1" t="s">
        <v>2984</v>
      </c>
      <c r="M452" s="1" t="str">
        <f t="shared" si="4"/>
        <v>55, 56, OMAPAL , &lt;null&gt;, &lt;null&gt;, &lt;null&gt;</v>
      </c>
    </row>
    <row r="453" ht="12.75" customHeight="1">
      <c r="A453" s="3" t="s">
        <v>2539</v>
      </c>
      <c r="B453" s="3" t="str">
        <f t="shared" si="1"/>
        <v>NEW ROUTE</v>
      </c>
      <c r="C453" s="1" t="str">
        <f t="array" ref="C453">IF(B452="NEW ROUTE",TEXTSPLIT(B453,","),"")</f>
        <v/>
      </c>
      <c r="H453" s="1" t="str">
        <f t="shared" ref="H453:I453" si="455">IF(C453&lt;&gt;"",DEC2HEX(C453,2),"")</f>
        <v/>
      </c>
      <c r="I453" s="1" t="str">
        <f t="shared" si="455"/>
        <v/>
      </c>
      <c r="J453" s="1" t="str">
        <f t="shared" si="3"/>
        <v/>
      </c>
      <c r="L453" s="1" t="s">
        <v>2539</v>
      </c>
      <c r="M453" s="1" t="str">
        <f t="shared" si="4"/>
        <v>NEW ROUTE</v>
      </c>
    </row>
    <row r="454" ht="12.75" customHeight="1">
      <c r="A454" s="3" t="s">
        <v>2985</v>
      </c>
      <c r="B454" s="3" t="str">
        <f t="shared" si="1"/>
        <v>1, 74, 0,</v>
      </c>
      <c r="C454" s="1" t="str">
        <f t="array" ref="C454">IF(B453="NEW ROUTE",TEXTSPLIT(B454,","),"")</f>
        <v>#NAME?</v>
      </c>
      <c r="H454" s="1" t="str">
        <f t="shared" ref="H454:I454" si="456">IF(C454&lt;&gt;"",DEC2HEX(C454,2),"")</f>
        <v>#NAME?</v>
      </c>
      <c r="I454" s="1" t="str">
        <f t="shared" si="456"/>
        <v/>
      </c>
      <c r="J454" s="1" t="str">
        <f t="shared" si="3"/>
        <v>#NAME?</v>
      </c>
      <c r="L454" s="1" t="s">
        <v>2985</v>
      </c>
      <c r="M454" s="1" t="str">
        <f t="shared" si="4"/>
        <v>#NAME?</v>
      </c>
    </row>
    <row r="455" ht="12.75" customHeight="1">
      <c r="A455" s="3" t="s">
        <v>2817</v>
      </c>
      <c r="B455" s="3" t="str">
        <f t="shared" si="1"/>
        <v>20%</v>
      </c>
      <c r="C455" s="1" t="str">
        <f t="array" ref="C455">IF(B454="NEW ROUTE",TEXTSPLIT(B455,","),"")</f>
        <v/>
      </c>
      <c r="H455" s="1" t="str">
        <f t="shared" ref="H455:I455" si="457">IF(C455&lt;&gt;"",DEC2HEX(C455,2),"")</f>
        <v/>
      </c>
      <c r="I455" s="1" t="str">
        <f t="shared" si="457"/>
        <v/>
      </c>
      <c r="J455" s="1" t="str">
        <f t="shared" si="3"/>
        <v/>
      </c>
      <c r="L455" s="1" t="s">
        <v>2799</v>
      </c>
      <c r="M455" s="1" t="str">
        <f t="shared" si="4"/>
        <v>20%</v>
      </c>
    </row>
    <row r="456" ht="12.75" customHeight="1">
      <c r="A456" s="3" t="s">
        <v>532</v>
      </c>
      <c r="B456" s="3" t="str">
        <f t="shared" si="1"/>
        <v>50, 55, DUGROUPLE</v>
      </c>
      <c r="C456" s="1" t="str">
        <f t="array" ref="C456">IF(B455="NEW ROUTE",TEXTSPLIT(B456,","),"")</f>
        <v/>
      </c>
      <c r="H456" s="1" t="str">
        <f t="shared" ref="H456:I456" si="458">IF(C456&lt;&gt;"",DEC2HEX(C456,2),"")</f>
        <v/>
      </c>
      <c r="I456" s="1" t="str">
        <f t="shared" si="458"/>
        <v/>
      </c>
      <c r="J456" s="1" t="str">
        <f t="shared" si="3"/>
        <v/>
      </c>
      <c r="L456" s="1" t="s">
        <v>532</v>
      </c>
      <c r="M456" s="1" t="str">
        <f t="shared" si="4"/>
        <v>50, 55, DUGROUPLE</v>
      </c>
    </row>
    <row r="457" ht="12.75" customHeight="1">
      <c r="A457" s="3" t="s">
        <v>2958</v>
      </c>
      <c r="B457" s="3" t="str">
        <f t="shared" si="1"/>
        <v>50, 55, POLABAT</v>
      </c>
      <c r="C457" s="1" t="str">
        <f t="array" ref="C457">IF(B456="NEW ROUTE",TEXTSPLIT(B457,","),"")</f>
        <v/>
      </c>
      <c r="H457" s="1" t="str">
        <f t="shared" ref="H457:I457" si="459">IF(C457&lt;&gt;"",DEC2HEX(C457,2),"")</f>
        <v/>
      </c>
      <c r="I457" s="1" t="str">
        <f t="shared" si="459"/>
        <v/>
      </c>
      <c r="J457" s="1" t="str">
        <f t="shared" si="3"/>
        <v/>
      </c>
      <c r="L457" s="1" t="s">
        <v>2958</v>
      </c>
      <c r="M457" s="1" t="str">
        <f t="shared" si="4"/>
        <v>50, 55, POLABAT</v>
      </c>
    </row>
    <row r="458" ht="12.75" customHeight="1">
      <c r="A458" s="3" t="s">
        <v>2802</v>
      </c>
      <c r="B458" s="3" t="str">
        <f t="shared" si="1"/>
        <v>0.1</v>
      </c>
      <c r="C458" s="1" t="str">
        <f t="array" ref="C458">IF(B457="NEW ROUTE",TEXTSPLIT(B458,","),"")</f>
        <v/>
      </c>
      <c r="H458" s="1" t="str">
        <f t="shared" ref="H458:I458" si="460">IF(C458&lt;&gt;"",DEC2HEX(C458,2),"")</f>
        <v/>
      </c>
      <c r="I458" s="1" t="str">
        <f t="shared" si="460"/>
        <v/>
      </c>
      <c r="J458" s="1" t="str">
        <f t="shared" si="3"/>
        <v/>
      </c>
      <c r="L458" s="1" t="s">
        <v>2802</v>
      </c>
      <c r="M458" s="1" t="str">
        <f t="shared" si="4"/>
        <v>0.1</v>
      </c>
    </row>
    <row r="459" ht="12.75" customHeight="1">
      <c r="A459" s="3" t="s">
        <v>2959</v>
      </c>
      <c r="B459" s="3" t="str">
        <f t="shared" si="1"/>
        <v>52, 55, VENOMENON</v>
      </c>
      <c r="C459" s="1" t="str">
        <f t="array" ref="C459">IF(B458="NEW ROUTE",TEXTSPLIT(B459,","),"")</f>
        <v/>
      </c>
      <c r="H459" s="1" t="str">
        <f t="shared" ref="H459:I459" si="461">IF(C459&lt;&gt;"",DEC2HEX(C459,2),"")</f>
        <v/>
      </c>
      <c r="I459" s="1" t="str">
        <f t="shared" si="461"/>
        <v/>
      </c>
      <c r="J459" s="1" t="str">
        <f t="shared" si="3"/>
        <v/>
      </c>
      <c r="L459" s="1" t="s">
        <v>2959</v>
      </c>
      <c r="M459" s="1" t="str">
        <f t="shared" si="4"/>
        <v>52, 55, VENOMENON</v>
      </c>
    </row>
    <row r="460" ht="12.75" customHeight="1">
      <c r="A460" s="3" t="s">
        <v>2960</v>
      </c>
      <c r="B460" s="3" t="str">
        <f t="shared" si="1"/>
        <v>52, 55, "MR. JEST"</v>
      </c>
      <c r="C460" s="1" t="str">
        <f t="array" ref="C460">IF(B459="NEW ROUTE",TEXTSPLIT(B460,","),"")</f>
        <v/>
      </c>
      <c r="H460" s="1" t="str">
        <f t="shared" ref="H460:I460" si="462">IF(C460&lt;&gt;"",DEC2HEX(C460,2),"")</f>
        <v/>
      </c>
      <c r="I460" s="1" t="str">
        <f t="shared" si="462"/>
        <v/>
      </c>
      <c r="J460" s="1" t="str">
        <f t="shared" si="3"/>
        <v/>
      </c>
      <c r="L460" s="1" t="s">
        <v>2960</v>
      </c>
      <c r="M460" s="1" t="str">
        <f t="shared" si="4"/>
        <v>52, 55, "MR. JEST"</v>
      </c>
    </row>
    <row r="461" ht="12.75" customHeight="1">
      <c r="A461" s="3" t="s">
        <v>2961</v>
      </c>
      <c r="B461" s="3" t="str">
        <f t="shared" si="1"/>
        <v>52, 55, NIDORULY</v>
      </c>
      <c r="C461" s="1" t="str">
        <f t="array" ref="C461">IF(B460="NEW ROUTE",TEXTSPLIT(B461,","),"")</f>
        <v/>
      </c>
      <c r="H461" s="1" t="str">
        <f t="shared" ref="H461:I461" si="463">IF(C461&lt;&gt;"",DEC2HEX(C461,2),"")</f>
        <v/>
      </c>
      <c r="I461" s="1" t="str">
        <f t="shared" si="463"/>
        <v/>
      </c>
      <c r="J461" s="1" t="str">
        <f t="shared" si="3"/>
        <v/>
      </c>
      <c r="L461" s="1" t="s">
        <v>2961</v>
      </c>
      <c r="M461" s="1" t="str">
        <f t="shared" si="4"/>
        <v>52, 55, NIDORULY</v>
      </c>
    </row>
    <row r="462" ht="12.75" customHeight="1">
      <c r="A462" s="3" t="s">
        <v>2962</v>
      </c>
      <c r="B462" s="3" t="str">
        <f t="shared" si="1"/>
        <v>52, 55, NIDOREGAL</v>
      </c>
      <c r="C462" s="1" t="str">
        <f t="array" ref="C462">IF(B461="NEW ROUTE",TEXTSPLIT(B462,","),"")</f>
        <v/>
      </c>
      <c r="H462" s="1" t="str">
        <f t="shared" ref="H462:I462" si="464">IF(C462&lt;&gt;"",DEC2HEX(C462,2),"")</f>
        <v/>
      </c>
      <c r="I462" s="1" t="str">
        <f t="shared" si="464"/>
        <v/>
      </c>
      <c r="J462" s="1" t="str">
        <f t="shared" si="3"/>
        <v/>
      </c>
      <c r="L462" s="1" t="s">
        <v>2962</v>
      </c>
      <c r="M462" s="1" t="str">
        <f t="shared" si="4"/>
        <v>52, 55, NIDOREGAL</v>
      </c>
    </row>
    <row r="463" ht="12.75" customHeight="1">
      <c r="A463" s="3" t="s">
        <v>2807</v>
      </c>
      <c r="B463" s="3" t="str">
        <f t="shared" si="1"/>
        <v>0.05</v>
      </c>
      <c r="C463" s="1" t="str">
        <f t="array" ref="C463">IF(B462="NEW ROUTE",TEXTSPLIT(B463,","),"")</f>
        <v/>
      </c>
      <c r="H463" s="1" t="str">
        <f t="shared" ref="H463:I463" si="465">IF(C463&lt;&gt;"",DEC2HEX(C463,2),"")</f>
        <v/>
      </c>
      <c r="I463" s="1" t="str">
        <f t="shared" si="465"/>
        <v/>
      </c>
      <c r="J463" s="1" t="str">
        <f t="shared" si="3"/>
        <v/>
      </c>
      <c r="L463" s="1" t="s">
        <v>2807</v>
      </c>
      <c r="M463" s="1" t="str">
        <f t="shared" si="4"/>
        <v>0.05</v>
      </c>
    </row>
    <row r="464" ht="12.75" customHeight="1">
      <c r="A464" s="3" t="s">
        <v>2963</v>
      </c>
      <c r="B464" s="3" t="str">
        <f t="shared" si="1"/>
        <v>54, 56, MORPHO</v>
      </c>
      <c r="C464" s="1" t="str">
        <f t="array" ref="C464">IF(B463="NEW ROUTE",TEXTSPLIT(B464,","),"")</f>
        <v/>
      </c>
      <c r="H464" s="1" t="str">
        <f t="shared" ref="H464:I464" si="466">IF(C464&lt;&gt;"",DEC2HEX(C464,2),"")</f>
        <v/>
      </c>
      <c r="I464" s="1" t="str">
        <f t="shared" si="466"/>
        <v/>
      </c>
      <c r="J464" s="1" t="str">
        <f t="shared" si="3"/>
        <v/>
      </c>
      <c r="L464" s="1" t="s">
        <v>2963</v>
      </c>
      <c r="M464" s="1" t="str">
        <f t="shared" si="4"/>
        <v>54, 56, MORPHO</v>
      </c>
    </row>
    <row r="465" ht="12.75" customHeight="1">
      <c r="A465" s="3" t="s">
        <v>2964</v>
      </c>
      <c r="B465" s="3" t="str">
        <f t="shared" si="1"/>
        <v>54, 56, MAGNEMELD</v>
      </c>
      <c r="C465" s="1" t="str">
        <f t="array" ref="C465">IF(B464="NEW ROUTE",TEXTSPLIT(B465,","),"")</f>
        <v/>
      </c>
      <c r="H465" s="1" t="str">
        <f t="shared" ref="H465:I465" si="467">IF(C465&lt;&gt;"",DEC2HEX(C465,2),"")</f>
        <v/>
      </c>
      <c r="I465" s="1" t="str">
        <f t="shared" si="467"/>
        <v/>
      </c>
      <c r="J465" s="1" t="str">
        <f t="shared" si="3"/>
        <v/>
      </c>
      <c r="L465" s="1" t="s">
        <v>2964</v>
      </c>
      <c r="M465" s="1" t="str">
        <f t="shared" si="4"/>
        <v>54, 56, MAGNEMELD</v>
      </c>
    </row>
    <row r="466" ht="12.75" customHeight="1">
      <c r="A466" s="3" t="s">
        <v>2810</v>
      </c>
      <c r="B466" s="3" t="str">
        <f t="shared" si="1"/>
        <v>0.04</v>
      </c>
      <c r="C466" s="1" t="str">
        <f t="array" ref="C466">IF(B465="NEW ROUTE",TEXTSPLIT(B466,","),"")</f>
        <v/>
      </c>
      <c r="H466" s="1" t="str">
        <f t="shared" ref="H466:I466" si="468">IF(C466&lt;&gt;"",DEC2HEX(C466,2),"")</f>
        <v/>
      </c>
      <c r="I466" s="1" t="str">
        <f t="shared" si="468"/>
        <v/>
      </c>
      <c r="J466" s="1" t="str">
        <f t="shared" si="3"/>
        <v/>
      </c>
      <c r="L466" s="1" t="s">
        <v>2810</v>
      </c>
      <c r="M466" s="1" t="str">
        <f t="shared" si="4"/>
        <v>0.04</v>
      </c>
    </row>
    <row r="467" ht="12.75" customHeight="1">
      <c r="A467" s="3" t="s">
        <v>2965</v>
      </c>
      <c r="B467" s="3" t="str">
        <f t="shared" si="1"/>
        <v>54, 56, VOHOO-DU</v>
      </c>
      <c r="C467" s="1" t="str">
        <f t="array" ref="C467">IF(B466="NEW ROUTE",TEXTSPLIT(B467,","),"")</f>
        <v/>
      </c>
      <c r="H467" s="1" t="str">
        <f t="shared" ref="H467:I467" si="469">IF(C467&lt;&gt;"",DEC2HEX(C467,2),"")</f>
        <v/>
      </c>
      <c r="I467" s="1" t="str">
        <f t="shared" si="469"/>
        <v/>
      </c>
      <c r="J467" s="1" t="str">
        <f t="shared" si="3"/>
        <v/>
      </c>
      <c r="L467" s="1" t="s">
        <v>2965</v>
      </c>
      <c r="M467" s="1" t="str">
        <f t="shared" si="4"/>
        <v>54, 56, VOHOO-DU</v>
      </c>
    </row>
    <row r="468" ht="12.75" customHeight="1">
      <c r="A468" s="3" t="s">
        <v>2966</v>
      </c>
      <c r="B468" s="3" t="str">
        <f t="shared" si="1"/>
        <v>54, 56, CLEFAEFAE</v>
      </c>
      <c r="C468" s="1" t="str">
        <f t="array" ref="C468">IF(B467="NEW ROUTE",TEXTSPLIT(B468,","),"")</f>
        <v/>
      </c>
      <c r="H468" s="1" t="str">
        <f t="shared" ref="H468:I468" si="470">IF(C468&lt;&gt;"",DEC2HEX(C468,2),"")</f>
        <v/>
      </c>
      <c r="I468" s="1" t="str">
        <f t="shared" si="470"/>
        <v/>
      </c>
      <c r="J468" s="1" t="str">
        <f t="shared" si="3"/>
        <v/>
      </c>
      <c r="L468" s="1" t="s">
        <v>2966</v>
      </c>
      <c r="M468" s="1" t="str">
        <f t="shared" si="4"/>
        <v>54, 56, CLEFAEFAE</v>
      </c>
    </row>
    <row r="469" ht="12.75" customHeight="1">
      <c r="A469" s="3" t="s">
        <v>2813</v>
      </c>
      <c r="B469" s="3" t="str">
        <f t="shared" si="1"/>
        <v>0.01</v>
      </c>
      <c r="C469" s="1" t="str">
        <f t="array" ref="C469">IF(B468="NEW ROUTE",TEXTSPLIT(B469,","),"")</f>
        <v/>
      </c>
      <c r="H469" s="1" t="str">
        <f t="shared" ref="H469:I469" si="471">IF(C469&lt;&gt;"",DEC2HEX(C469,2),"")</f>
        <v/>
      </c>
      <c r="I469" s="1" t="str">
        <f t="shared" si="471"/>
        <v/>
      </c>
      <c r="J469" s="1" t="str">
        <f t="shared" si="3"/>
        <v/>
      </c>
      <c r="L469" s="1" t="s">
        <v>2813</v>
      </c>
      <c r="M469" s="1" t="str">
        <f t="shared" si="4"/>
        <v>0.01</v>
      </c>
    </row>
    <row r="470" ht="12.75" customHeight="1">
      <c r="A470" s="3" t="s">
        <v>2967</v>
      </c>
      <c r="B470" s="3" t="str">
        <f t="shared" si="1"/>
        <v>55, 56, KABUTAK</v>
      </c>
      <c r="C470" s="1" t="str">
        <f t="array" ref="C470">IF(B469="NEW ROUTE",TEXTSPLIT(B470,","),"")</f>
        <v/>
      </c>
      <c r="H470" s="1" t="str">
        <f t="shared" ref="H470:I470" si="472">IF(C470&lt;&gt;"",DEC2HEX(C470,2),"")</f>
        <v/>
      </c>
      <c r="I470" s="1" t="str">
        <f t="shared" si="472"/>
        <v/>
      </c>
      <c r="J470" s="1" t="str">
        <f t="shared" si="3"/>
        <v/>
      </c>
      <c r="L470" s="1" t="s">
        <v>2967</v>
      </c>
      <c r="M470" s="1" t="str">
        <f t="shared" si="4"/>
        <v>55, 56, KABUTAK</v>
      </c>
    </row>
    <row r="471" ht="12.75" customHeight="1">
      <c r="A471" s="3" t="s">
        <v>2968</v>
      </c>
      <c r="B471" s="3" t="str">
        <f t="shared" si="1"/>
        <v>55, 56, OMAPAL</v>
      </c>
      <c r="C471" s="1" t="str">
        <f t="array" ref="C471">IF(B470="NEW ROUTE",TEXTSPLIT(B471,","),"")</f>
        <v/>
      </c>
      <c r="H471" s="1" t="str">
        <f t="shared" ref="H471:I471" si="473">IF(C471&lt;&gt;"",DEC2HEX(C471,2),"")</f>
        <v/>
      </c>
      <c r="I471" s="1" t="str">
        <f t="shared" si="473"/>
        <v/>
      </c>
      <c r="J471" s="1" t="str">
        <f t="shared" si="3"/>
        <v/>
      </c>
      <c r="L471" s="1" t="s">
        <v>2968</v>
      </c>
      <c r="M471" s="1" t="str">
        <f t="shared" si="4"/>
        <v>55, 56, OMAPAL</v>
      </c>
    </row>
    <row r="472" ht="12.75" customHeight="1">
      <c r="A472" s="3" t="s">
        <v>2969</v>
      </c>
      <c r="B472" s="3" t="str">
        <f t="shared" si="1"/>
        <v>2, 50, 55, POLITOES</v>
      </c>
      <c r="C472" s="1" t="str">
        <f t="array" ref="C472">IF(B471="NEW ROUTE",TEXTSPLIT(B472,","),"")</f>
        <v/>
      </c>
      <c r="H472" s="1" t="str">
        <f t="shared" ref="H472:I472" si="474">IF(C472&lt;&gt;"",DEC2HEX(C472,2),"")</f>
        <v/>
      </c>
      <c r="I472" s="1" t="str">
        <f t="shared" si="474"/>
        <v/>
      </c>
      <c r="J472" s="1" t="str">
        <f t="shared" si="3"/>
        <v/>
      </c>
      <c r="L472" s="1" t="s">
        <v>2969</v>
      </c>
      <c r="M472" s="1" t="str">
        <f t="shared" si="4"/>
        <v>2, 50, 55, POLITOES</v>
      </c>
    </row>
    <row r="473" ht="12.75" customHeight="1">
      <c r="A473" s="3" t="s">
        <v>2970</v>
      </c>
      <c r="B473" s="3" t="str">
        <f t="shared" si="1"/>
        <v>50, 55, DRAGONITE</v>
      </c>
      <c r="C473" s="1" t="str">
        <f t="array" ref="C473">IF(B472="NEW ROUTE",TEXTSPLIT(B473,","),"")</f>
        <v/>
      </c>
      <c r="H473" s="1" t="str">
        <f t="shared" ref="H473:I473" si="475">IF(C473&lt;&gt;"",DEC2HEX(C473,2),"")</f>
        <v/>
      </c>
      <c r="I473" s="1" t="str">
        <f t="shared" si="475"/>
        <v/>
      </c>
      <c r="J473" s="1" t="str">
        <f t="shared" si="3"/>
        <v/>
      </c>
      <c r="L473" s="1" t="s">
        <v>2970</v>
      </c>
      <c r="M473" s="1" t="str">
        <f t="shared" si="4"/>
        <v>50, 55, DRAGONITE</v>
      </c>
    </row>
    <row r="474" ht="12.75" customHeight="1">
      <c r="A474" s="3" t="s">
        <v>2971</v>
      </c>
      <c r="B474" s="3" t="str">
        <f t="shared" si="1"/>
        <v>52, 57, POLIWISE</v>
      </c>
      <c r="C474" s="1" t="str">
        <f t="array" ref="C474">IF(B473="NEW ROUTE",TEXTSPLIT(B474,","),"")</f>
        <v/>
      </c>
      <c r="H474" s="1" t="str">
        <f t="shared" ref="H474:I474" si="476">IF(C474&lt;&gt;"",DEC2HEX(C474,2),"")</f>
        <v/>
      </c>
      <c r="I474" s="1" t="str">
        <f t="shared" si="476"/>
        <v/>
      </c>
      <c r="J474" s="1" t="str">
        <f t="shared" si="3"/>
        <v/>
      </c>
      <c r="L474" s="1" t="s">
        <v>2971</v>
      </c>
      <c r="M474" s="1" t="str">
        <f t="shared" si="4"/>
        <v>52, 57, POLIWISE</v>
      </c>
    </row>
    <row r="475" ht="12.75" customHeight="1">
      <c r="A475" s="3" t="s">
        <v>2972</v>
      </c>
      <c r="B475" s="3" t="str">
        <f t="shared" si="1"/>
        <v>52, 57, DRAGONIER</v>
      </c>
      <c r="C475" s="1" t="str">
        <f t="array" ref="C475">IF(B474="NEW ROUTE",TEXTSPLIT(B475,","),"")</f>
        <v/>
      </c>
      <c r="H475" s="1" t="str">
        <f t="shared" ref="H475:I475" si="477">IF(C475&lt;&gt;"",DEC2HEX(C475,2),"")</f>
        <v/>
      </c>
      <c r="I475" s="1" t="str">
        <f t="shared" si="477"/>
        <v/>
      </c>
      <c r="J475" s="1" t="str">
        <f t="shared" si="3"/>
        <v/>
      </c>
      <c r="L475" s="1" t="s">
        <v>2972</v>
      </c>
      <c r="M475" s="1" t="str">
        <f t="shared" si="4"/>
        <v>52, 57, DRAGONIER</v>
      </c>
    </row>
    <row r="476" ht="12.75" customHeight="1">
      <c r="A476" s="3" t="s">
        <v>2973</v>
      </c>
      <c r="B476" s="3" t="str">
        <f t="shared" si="1"/>
        <v>53, 58, NESSEA</v>
      </c>
      <c r="C476" s="1" t="str">
        <f t="array" ref="C476">IF(B475="NEW ROUTE",TEXTSPLIT(B476,","),"")</f>
        <v/>
      </c>
      <c r="H476" s="1" t="str">
        <f t="shared" ref="H476:I476" si="478">IF(C476&lt;&gt;"",DEC2HEX(C476,2),"")</f>
        <v/>
      </c>
      <c r="I476" s="1" t="str">
        <f t="shared" si="478"/>
        <v/>
      </c>
      <c r="J476" s="1" t="str">
        <f t="shared" si="3"/>
        <v/>
      </c>
      <c r="L476" s="1" t="s">
        <v>2973</v>
      </c>
      <c r="M476" s="1" t="str">
        <f t="shared" si="4"/>
        <v>53, 58, NESSEA</v>
      </c>
    </row>
    <row r="477" ht="12.75" customHeight="1">
      <c r="A477" s="3" t="s">
        <v>2926</v>
      </c>
      <c r="B477" s="3" t="str">
        <f t="shared" si="1"/>
        <v>20, old rod:</v>
      </c>
      <c r="C477" s="1" t="str">
        <f t="array" ref="C477">IF(B476="NEW ROUTE",TEXTSPLIT(B477,","),"")</f>
        <v/>
      </c>
      <c r="H477" s="1" t="str">
        <f t="shared" ref="H477:I477" si="479">IF(C477&lt;&gt;"",DEC2HEX(C477,2),"")</f>
        <v/>
      </c>
      <c r="I477" s="1" t="str">
        <f t="shared" si="479"/>
        <v/>
      </c>
      <c r="J477" s="1" t="str">
        <f t="shared" si="3"/>
        <v/>
      </c>
      <c r="L477" s="1" t="s">
        <v>2926</v>
      </c>
      <c r="M477" s="1" t="str">
        <f t="shared" si="4"/>
        <v>20, old rod:</v>
      </c>
    </row>
    <row r="478" ht="12.75" customHeight="1">
      <c r="A478" s="3" t="s">
        <v>548</v>
      </c>
      <c r="B478" s="3" t="str">
        <f t="shared" si="1"/>
        <v>23, 36, CLOYSTER</v>
      </c>
      <c r="C478" s="1" t="str">
        <f t="array" ref="C478">IF(B477="NEW ROUTE",TEXTSPLIT(B478,","),"")</f>
        <v/>
      </c>
      <c r="H478" s="1" t="str">
        <f t="shared" ref="H478:I478" si="480">IF(C478&lt;&gt;"",DEC2HEX(C478,2),"")</f>
        <v/>
      </c>
      <c r="I478" s="1" t="str">
        <f t="shared" si="480"/>
        <v/>
      </c>
      <c r="J478" s="1" t="str">
        <f t="shared" si="3"/>
        <v/>
      </c>
      <c r="L478" s="1" t="s">
        <v>548</v>
      </c>
      <c r="M478" s="1" t="str">
        <f t="shared" si="4"/>
        <v>23, 36, CLOYSTER</v>
      </c>
    </row>
    <row r="479" ht="12.75" customHeight="1">
      <c r="A479" s="3" t="s">
        <v>2974</v>
      </c>
      <c r="B479" s="3" t="str">
        <f t="shared" si="1"/>
        <v>23, 36, GYARADOS</v>
      </c>
      <c r="C479" s="1" t="str">
        <f t="array" ref="C479">IF(B478="NEW ROUTE",TEXTSPLIT(B479,","),"")</f>
        <v/>
      </c>
      <c r="H479" s="1" t="str">
        <f t="shared" ref="H479:I479" si="481">IF(C479&lt;&gt;"",DEC2HEX(C479,2),"")</f>
        <v/>
      </c>
      <c r="I479" s="1" t="str">
        <f t="shared" si="481"/>
        <v/>
      </c>
      <c r="J479" s="1" t="str">
        <f t="shared" si="3"/>
        <v/>
      </c>
      <c r="L479" s="1" t="s">
        <v>2974</v>
      </c>
      <c r="M479" s="1" t="str">
        <f t="shared" si="4"/>
        <v>23, 36, GYARADOS</v>
      </c>
    </row>
    <row r="480" ht="12.75" customHeight="1">
      <c r="A480" s="3" t="s">
        <v>2847</v>
      </c>
      <c r="B480" s="3" t="str">
        <f t="shared" si="1"/>
        <v>good rod:</v>
      </c>
      <c r="C480" s="1" t="str">
        <f t="array" ref="C480">IF(B479="NEW ROUTE",TEXTSPLIT(B480,","),"")</f>
        <v/>
      </c>
      <c r="H480" s="1" t="str">
        <f t="shared" ref="H480:I480" si="482">IF(C480&lt;&gt;"",DEC2HEX(C480,2),"")</f>
        <v/>
      </c>
      <c r="I480" s="1" t="str">
        <f t="shared" si="482"/>
        <v/>
      </c>
      <c r="J480" s="1" t="str">
        <f t="shared" si="3"/>
        <v/>
      </c>
      <c r="L480" s="1" t="s">
        <v>2847</v>
      </c>
      <c r="M480" s="1" t="str">
        <f t="shared" si="4"/>
        <v>good rod:</v>
      </c>
    </row>
    <row r="481" ht="12.75" customHeight="1">
      <c r="A481" s="3" t="s">
        <v>2975</v>
      </c>
      <c r="B481" s="3" t="str">
        <f t="shared" si="1"/>
        <v>30, 38, CLOYSTER</v>
      </c>
      <c r="C481" s="1" t="str">
        <f t="array" ref="C481">IF(B480="NEW ROUTE",TEXTSPLIT(B481,","),"")</f>
        <v/>
      </c>
      <c r="H481" s="1" t="str">
        <f t="shared" ref="H481:I481" si="483">IF(C481&lt;&gt;"",DEC2HEX(C481,2),"")</f>
        <v/>
      </c>
      <c r="I481" s="1" t="str">
        <f t="shared" si="483"/>
        <v/>
      </c>
      <c r="J481" s="1" t="str">
        <f t="shared" si="3"/>
        <v/>
      </c>
      <c r="L481" s="1" t="s">
        <v>2975</v>
      </c>
      <c r="M481" s="1" t="str">
        <f t="shared" si="4"/>
        <v>30, 38, CLOYSTER</v>
      </c>
    </row>
    <row r="482" ht="12.75" customHeight="1">
      <c r="A482" s="3" t="s">
        <v>2976</v>
      </c>
      <c r="B482" s="3" t="str">
        <f t="shared" si="1"/>
        <v>32, 40, KINGDRA</v>
      </c>
      <c r="C482" s="1" t="str">
        <f t="array" ref="C482">IF(B481="NEW ROUTE",TEXTSPLIT(B482,","),"")</f>
        <v/>
      </c>
      <c r="H482" s="1" t="str">
        <f t="shared" ref="H482:I482" si="484">IF(C482&lt;&gt;"",DEC2HEX(C482,2),"")</f>
        <v/>
      </c>
      <c r="I482" s="1" t="str">
        <f t="shared" si="484"/>
        <v/>
      </c>
      <c r="J482" s="1" t="str">
        <f t="shared" si="3"/>
        <v/>
      </c>
      <c r="L482" s="1" t="s">
        <v>2976</v>
      </c>
      <c r="M482" s="1" t="str">
        <f t="shared" si="4"/>
        <v>32, 40, KINGDRA</v>
      </c>
    </row>
    <row r="483" ht="12.75" customHeight="1">
      <c r="A483" s="3" t="s">
        <v>2977</v>
      </c>
      <c r="B483" s="3" t="str">
        <f t="shared" si="1"/>
        <v>32, 40, HYDRADOS</v>
      </c>
      <c r="C483" s="1" t="str">
        <f t="array" ref="C483">IF(B482="NEW ROUTE",TEXTSPLIT(B483,","),"")</f>
        <v/>
      </c>
      <c r="H483" s="1" t="str">
        <f t="shared" ref="H483:I483" si="485">IF(C483&lt;&gt;"",DEC2HEX(C483,2),"")</f>
        <v/>
      </c>
      <c r="I483" s="1" t="str">
        <f t="shared" si="485"/>
        <v/>
      </c>
      <c r="J483" s="1" t="str">
        <f t="shared" si="3"/>
        <v/>
      </c>
      <c r="L483" s="1" t="s">
        <v>2977</v>
      </c>
      <c r="M483" s="1" t="str">
        <f t="shared" si="4"/>
        <v>32, 40, HYDRADOS</v>
      </c>
    </row>
    <row r="484" ht="12.75" customHeight="1">
      <c r="A484" s="3" t="s">
        <v>2851</v>
      </c>
      <c r="B484" s="3" t="str">
        <f t="shared" si="1"/>
        <v>super rod:</v>
      </c>
      <c r="C484" s="1" t="str">
        <f t="array" ref="C484">IF(B483="NEW ROUTE",TEXTSPLIT(B484,","),"")</f>
        <v/>
      </c>
      <c r="H484" s="1" t="str">
        <f t="shared" ref="H484:I484" si="486">IF(C484&lt;&gt;"",DEC2HEX(C484,2),"")</f>
        <v/>
      </c>
      <c r="I484" s="1" t="str">
        <f t="shared" si="486"/>
        <v/>
      </c>
      <c r="J484" s="1" t="str">
        <f t="shared" si="3"/>
        <v/>
      </c>
      <c r="L484" s="1" t="s">
        <v>2851</v>
      </c>
      <c r="M484" s="1" t="str">
        <f t="shared" si="4"/>
        <v>super rod:</v>
      </c>
    </row>
    <row r="485" ht="12.75" customHeight="1">
      <c r="A485" s="3" t="s">
        <v>2978</v>
      </c>
      <c r="B485" s="3" t="str">
        <f t="shared" si="1"/>
        <v>50, 55, LORDRA</v>
      </c>
      <c r="C485" s="1" t="str">
        <f t="array" ref="C485">IF(B484="NEW ROUTE",TEXTSPLIT(B485,","),"")</f>
        <v/>
      </c>
      <c r="H485" s="1" t="str">
        <f t="shared" ref="H485:I485" si="487">IF(C485&lt;&gt;"",DEC2HEX(C485,2),"")</f>
        <v/>
      </c>
      <c r="I485" s="1" t="str">
        <f t="shared" si="487"/>
        <v/>
      </c>
      <c r="J485" s="1" t="str">
        <f t="shared" si="3"/>
        <v/>
      </c>
      <c r="L485" s="1" t="s">
        <v>2978</v>
      </c>
      <c r="M485" s="1" t="str">
        <f t="shared" si="4"/>
        <v>50, 55, LORDRA</v>
      </c>
    </row>
    <row r="486" ht="12.75" customHeight="1">
      <c r="A486" s="3" t="s">
        <v>2979</v>
      </c>
      <c r="B486" s="3" t="str">
        <f t="shared" si="1"/>
        <v>50, 55, AN'ENEMY</v>
      </c>
      <c r="C486" s="1" t="str">
        <f t="array" ref="C486">IF(B485="NEW ROUTE",TEXTSPLIT(B486,","),"")</f>
        <v/>
      </c>
      <c r="H486" s="1" t="str">
        <f t="shared" ref="H486:I486" si="488">IF(C486&lt;&gt;"",DEC2HEX(C486,2),"")</f>
        <v/>
      </c>
      <c r="I486" s="1" t="str">
        <f t="shared" si="488"/>
        <v/>
      </c>
      <c r="J486" s="1" t="str">
        <f t="shared" si="3"/>
        <v/>
      </c>
      <c r="L486" s="1" t="s">
        <v>2979</v>
      </c>
      <c r="M486" s="1" t="str">
        <f t="shared" si="4"/>
        <v>50, 55, AN'ENEMY</v>
      </c>
    </row>
    <row r="487" ht="12.75" customHeight="1">
      <c r="A487" s="3" t="s">
        <v>2980</v>
      </c>
      <c r="B487" s="3" t="str">
        <f t="shared" si="1"/>
        <v>52, 57, DRACOSMIC</v>
      </c>
      <c r="C487" s="1" t="str">
        <f t="array" ref="C487">IF(B486="NEW ROUTE",TEXTSPLIT(B487,","),"")</f>
        <v/>
      </c>
      <c r="H487" s="1" t="str">
        <f t="shared" ref="H487:I487" si="489">IF(C487&lt;&gt;"",DEC2HEX(C487,2),"")</f>
        <v/>
      </c>
      <c r="I487" s="1" t="str">
        <f t="shared" si="489"/>
        <v/>
      </c>
      <c r="J487" s="1" t="str">
        <f t="shared" si="3"/>
        <v/>
      </c>
      <c r="L487" s="1" t="s">
        <v>2980</v>
      </c>
      <c r="M487" s="1" t="str">
        <f t="shared" si="4"/>
        <v>52, 57, DRACOSMIC</v>
      </c>
    </row>
    <row r="488" ht="12.75" customHeight="1">
      <c r="A488" s="3" t="s">
        <v>2981</v>
      </c>
      <c r="B488" s="3" t="str">
        <f t="shared" si="1"/>
        <v>52, 57, GLAISHELL</v>
      </c>
      <c r="C488" s="1" t="str">
        <f t="array" ref="C488">IF(B487="NEW ROUTE",TEXTSPLIT(B488,","),"")</f>
        <v/>
      </c>
      <c r="H488" s="1" t="str">
        <f t="shared" ref="H488:I488" si="490">IF(C488&lt;&gt;"",DEC2HEX(C488,2),"")</f>
        <v/>
      </c>
      <c r="I488" s="1" t="str">
        <f t="shared" si="490"/>
        <v/>
      </c>
      <c r="J488" s="1" t="str">
        <f t="shared" si="3"/>
        <v/>
      </c>
      <c r="L488" s="1" t="s">
        <v>2981</v>
      </c>
      <c r="M488" s="1" t="str">
        <f t="shared" si="4"/>
        <v>52, 57, GLAISHELL</v>
      </c>
    </row>
    <row r="489" ht="12.75" customHeight="1">
      <c r="A489" s="3" t="s">
        <v>2982</v>
      </c>
      <c r="B489" s="3" t="str">
        <f t="shared" si="1"/>
        <v>53, 58, STARWE</v>
      </c>
      <c r="C489" s="1" t="str">
        <f t="array" ref="C489">IF(B488="NEW ROUTE",TEXTSPLIT(B489,","),"")</f>
        <v/>
      </c>
      <c r="H489" s="1" t="str">
        <f t="shared" ref="H489:I489" si="491">IF(C489&lt;&gt;"",DEC2HEX(C489,2),"")</f>
        <v/>
      </c>
      <c r="I489" s="1" t="str">
        <f t="shared" si="491"/>
        <v/>
      </c>
      <c r="J489" s="1" t="str">
        <f t="shared" si="3"/>
        <v/>
      </c>
      <c r="L489" s="1" t="s">
        <v>2982</v>
      </c>
      <c r="M489" s="1" t="str">
        <f t="shared" si="4"/>
        <v>53, 58, STARWE</v>
      </c>
    </row>
    <row r="490" ht="12.75" customHeight="1">
      <c r="A490" s="3" t="s">
        <v>2539</v>
      </c>
      <c r="B490" s="3" t="str">
        <f t="shared" si="1"/>
        <v>NEW ROUTE</v>
      </c>
      <c r="C490" s="1" t="str">
        <f t="array" ref="C490">IF(B489="NEW ROUTE",TEXTSPLIT(B490,","),"")</f>
        <v/>
      </c>
      <c r="H490" s="1" t="str">
        <f t="shared" ref="H490:I490" si="492">IF(C490&lt;&gt;"",DEC2HEX(C490,2),"")</f>
        <v/>
      </c>
      <c r="I490" s="1" t="str">
        <f t="shared" si="492"/>
        <v/>
      </c>
      <c r="J490" s="1" t="str">
        <f t="shared" si="3"/>
        <v/>
      </c>
      <c r="L490" s="1" t="s">
        <v>2539</v>
      </c>
      <c r="M490" s="1" t="str">
        <f t="shared" si="4"/>
        <v>NEW ROUTE</v>
      </c>
    </row>
    <row r="491" ht="12.75" customHeight="1">
      <c r="A491" s="3" t="s">
        <v>2986</v>
      </c>
      <c r="B491" s="3" t="str">
        <f t="shared" si="1"/>
        <v>1, 81, 0,</v>
      </c>
      <c r="C491" s="1" t="str">
        <f t="array" ref="C491">IF(B490="NEW ROUTE",TEXTSPLIT(B491,","),"")</f>
        <v>#NAME?</v>
      </c>
      <c r="H491" s="1" t="str">
        <f t="shared" ref="H491:I491" si="493">IF(C491&lt;&gt;"",DEC2HEX(C491,2),"")</f>
        <v>#NAME?</v>
      </c>
      <c r="I491" s="1" t="str">
        <f t="shared" si="493"/>
        <v/>
      </c>
      <c r="J491" s="1" t="str">
        <f t="shared" si="3"/>
        <v>#NAME?</v>
      </c>
      <c r="L491" s="1" t="s">
        <v>2986</v>
      </c>
      <c r="M491" s="1" t="str">
        <f t="shared" si="4"/>
        <v>#NAME?</v>
      </c>
    </row>
    <row r="492" ht="12.75" customHeight="1">
      <c r="A492" s="3" t="s">
        <v>2817</v>
      </c>
      <c r="B492" s="3" t="str">
        <f t="shared" si="1"/>
        <v>20%</v>
      </c>
      <c r="C492" s="1" t="str">
        <f t="array" ref="C492">IF(B491="NEW ROUTE",TEXTSPLIT(B492,","),"")</f>
        <v/>
      </c>
      <c r="H492" s="1" t="str">
        <f t="shared" ref="H492:I492" si="494">IF(C492&lt;&gt;"",DEC2HEX(C492,2),"")</f>
        <v/>
      </c>
      <c r="I492" s="1" t="str">
        <f t="shared" si="494"/>
        <v/>
      </c>
      <c r="J492" s="1" t="str">
        <f t="shared" si="3"/>
        <v/>
      </c>
      <c r="L492" s="1" t="s">
        <v>2799</v>
      </c>
      <c r="M492" s="1" t="str">
        <f t="shared" si="4"/>
        <v>20%</v>
      </c>
    </row>
    <row r="493" ht="12.75" customHeight="1">
      <c r="A493" s="3" t="s">
        <v>562</v>
      </c>
      <c r="B493" s="3" t="str">
        <f t="shared" si="1"/>
        <v>20, 23, RHYHORN</v>
      </c>
      <c r="C493" s="1" t="str">
        <f t="array" ref="C493">IF(B492="NEW ROUTE",TEXTSPLIT(B493,","),"")</f>
        <v/>
      </c>
      <c r="H493" s="1" t="str">
        <f t="shared" ref="H493:I493" si="495">IF(C493&lt;&gt;"",DEC2HEX(C493,2),"")</f>
        <v/>
      </c>
      <c r="I493" s="1" t="str">
        <f t="shared" si="495"/>
        <v/>
      </c>
      <c r="J493" s="1" t="str">
        <f t="shared" si="3"/>
        <v/>
      </c>
      <c r="L493" s="1" t="s">
        <v>562</v>
      </c>
      <c r="M493" s="1" t="str">
        <f t="shared" si="4"/>
        <v>20, 23, RHYHORN</v>
      </c>
    </row>
    <row r="494" ht="12.75" customHeight="1">
      <c r="A494" s="3" t="s">
        <v>2987</v>
      </c>
      <c r="B494" s="3" t="str">
        <f t="shared" si="1"/>
        <v>20, 23, GEODUDE</v>
      </c>
      <c r="C494" s="1" t="str">
        <f t="array" ref="C494">IF(B493="NEW ROUTE",TEXTSPLIT(B494,","),"")</f>
        <v/>
      </c>
      <c r="H494" s="1" t="str">
        <f t="shared" ref="H494:I494" si="496">IF(C494&lt;&gt;"",DEC2HEX(C494,2),"")</f>
        <v/>
      </c>
      <c r="I494" s="1" t="str">
        <f t="shared" si="496"/>
        <v/>
      </c>
      <c r="J494" s="1" t="str">
        <f t="shared" si="3"/>
        <v/>
      </c>
      <c r="L494" s="1" t="s">
        <v>2987</v>
      </c>
      <c r="M494" s="1" t="str">
        <f t="shared" si="4"/>
        <v>20, 23, GEODUDE</v>
      </c>
    </row>
    <row r="495" ht="12.75" customHeight="1">
      <c r="A495" s="3" t="s">
        <v>2802</v>
      </c>
      <c r="B495" s="3" t="str">
        <f t="shared" si="1"/>
        <v>0.1</v>
      </c>
      <c r="C495" s="1" t="str">
        <f t="array" ref="C495">IF(B494="NEW ROUTE",TEXTSPLIT(B495,","),"")</f>
        <v/>
      </c>
      <c r="H495" s="1" t="str">
        <f t="shared" ref="H495:I495" si="497">IF(C495&lt;&gt;"",DEC2HEX(C495,2),"")</f>
        <v/>
      </c>
      <c r="I495" s="1" t="str">
        <f t="shared" si="497"/>
        <v/>
      </c>
      <c r="J495" s="1" t="str">
        <f t="shared" si="3"/>
        <v/>
      </c>
      <c r="L495" s="1" t="s">
        <v>2802</v>
      </c>
      <c r="M495" s="1" t="str">
        <f t="shared" si="4"/>
        <v>0.1</v>
      </c>
    </row>
    <row r="496" ht="12.75" customHeight="1">
      <c r="A496" s="3" t="s">
        <v>2988</v>
      </c>
      <c r="B496" s="3" t="str">
        <f t="shared" si="1"/>
        <v>20, 24, ONIX</v>
      </c>
      <c r="C496" s="1" t="str">
        <f t="array" ref="C496">IF(B495="NEW ROUTE",TEXTSPLIT(B496,","),"")</f>
        <v/>
      </c>
      <c r="H496" s="1" t="str">
        <f t="shared" ref="H496:I496" si="498">IF(C496&lt;&gt;"",DEC2HEX(C496,2),"")</f>
        <v/>
      </c>
      <c r="I496" s="1" t="str">
        <f t="shared" si="498"/>
        <v/>
      </c>
      <c r="J496" s="1" t="str">
        <f t="shared" si="3"/>
        <v/>
      </c>
      <c r="L496" s="1" t="s">
        <v>2988</v>
      </c>
      <c r="M496" s="1" t="str">
        <f t="shared" si="4"/>
        <v>20, 24, ONIX</v>
      </c>
    </row>
    <row r="497" ht="12.75" customHeight="1">
      <c r="A497" s="3" t="s">
        <v>2989</v>
      </c>
      <c r="B497" s="3" t="str">
        <f t="shared" si="1"/>
        <v>19, 23, MANKEY</v>
      </c>
      <c r="C497" s="1" t="str">
        <f t="array" ref="C497">IF(B496="NEW ROUTE",TEXTSPLIT(B497,","),"")</f>
        <v/>
      </c>
      <c r="H497" s="1" t="str">
        <f t="shared" ref="H497:I497" si="499">IF(C497&lt;&gt;"",DEC2HEX(C497,2),"")</f>
        <v/>
      </c>
      <c r="I497" s="1" t="str">
        <f t="shared" si="499"/>
        <v/>
      </c>
      <c r="J497" s="1" t="str">
        <f t="shared" si="3"/>
        <v/>
      </c>
      <c r="L497" s="1" t="s">
        <v>2989</v>
      </c>
      <c r="M497" s="1" t="str">
        <f t="shared" si="4"/>
        <v>19, 23, MANKEY</v>
      </c>
    </row>
    <row r="498" ht="12.75" customHeight="1">
      <c r="A498" s="3" t="s">
        <v>2990</v>
      </c>
      <c r="B498" s="3" t="str">
        <f t="shared" si="1"/>
        <v>19, 23, MACHOP</v>
      </c>
      <c r="C498" s="1" t="str">
        <f t="array" ref="C498">IF(B497="NEW ROUTE",TEXTSPLIT(B498,","),"")</f>
        <v/>
      </c>
      <c r="H498" s="1" t="str">
        <f t="shared" ref="H498:I498" si="500">IF(C498&lt;&gt;"",DEC2HEX(C498,2),"")</f>
        <v/>
      </c>
      <c r="I498" s="1" t="str">
        <f t="shared" si="500"/>
        <v/>
      </c>
      <c r="J498" s="1" t="str">
        <f t="shared" si="3"/>
        <v/>
      </c>
      <c r="L498" s="1" t="s">
        <v>2990</v>
      </c>
      <c r="M498" s="1" t="str">
        <f t="shared" si="4"/>
        <v>19, 23, MACHOP</v>
      </c>
    </row>
    <row r="499" ht="12.75" customHeight="1">
      <c r="A499" s="3" t="s">
        <v>2991</v>
      </c>
      <c r="B499" s="3" t="str">
        <f t="shared" si="1"/>
        <v>22, 24, GOLBAT</v>
      </c>
      <c r="C499" s="1" t="str">
        <f t="array" ref="C499">IF(B498="NEW ROUTE",TEXTSPLIT(B499,","),"")</f>
        <v/>
      </c>
      <c r="H499" s="1" t="str">
        <f t="shared" ref="H499:I499" si="501">IF(C499&lt;&gt;"",DEC2HEX(C499,2),"")</f>
        <v/>
      </c>
      <c r="I499" s="1" t="str">
        <f t="shared" si="501"/>
        <v/>
      </c>
      <c r="J499" s="1" t="str">
        <f t="shared" si="3"/>
        <v/>
      </c>
      <c r="L499" s="1" t="s">
        <v>2991</v>
      </c>
      <c r="M499" s="1" t="str">
        <f t="shared" si="4"/>
        <v>22, 24, GOLBAT</v>
      </c>
    </row>
    <row r="500" ht="12.75" customHeight="1">
      <c r="A500" s="3" t="s">
        <v>2807</v>
      </c>
      <c r="B500" s="3" t="str">
        <f t="shared" si="1"/>
        <v>0.05</v>
      </c>
      <c r="C500" s="1" t="str">
        <f t="array" ref="C500">IF(B499="NEW ROUTE",TEXTSPLIT(B500,","),"")</f>
        <v/>
      </c>
      <c r="H500" s="1" t="str">
        <f t="shared" ref="H500:I500" si="502">IF(C500&lt;&gt;"",DEC2HEX(C500,2),"")</f>
        <v/>
      </c>
      <c r="I500" s="1" t="str">
        <f t="shared" si="502"/>
        <v/>
      </c>
      <c r="J500" s="1" t="str">
        <f t="shared" si="3"/>
        <v/>
      </c>
      <c r="L500" s="1" t="s">
        <v>2807</v>
      </c>
      <c r="M500" s="1" t="str">
        <f t="shared" si="4"/>
        <v>0.05</v>
      </c>
    </row>
    <row r="501" ht="12.75" customHeight="1">
      <c r="A501" s="3" t="s">
        <v>2992</v>
      </c>
      <c r="B501" s="3" t="str">
        <f t="shared" si="1"/>
        <v>24, 24, RHYHORN</v>
      </c>
      <c r="C501" s="1" t="str">
        <f t="array" ref="C501">IF(B500="NEW ROUTE",TEXTSPLIT(B501,","),"")</f>
        <v/>
      </c>
      <c r="H501" s="1" t="str">
        <f t="shared" ref="H501:I501" si="503">IF(C501&lt;&gt;"",DEC2HEX(C501,2),"")</f>
        <v/>
      </c>
      <c r="I501" s="1" t="str">
        <f t="shared" si="503"/>
        <v/>
      </c>
      <c r="J501" s="1" t="str">
        <f t="shared" si="3"/>
        <v/>
      </c>
      <c r="L501" s="1" t="s">
        <v>2992</v>
      </c>
      <c r="M501" s="1" t="str">
        <f t="shared" si="4"/>
        <v>24, 24, RHYHORN</v>
      </c>
    </row>
    <row r="502" ht="12.75" customHeight="1">
      <c r="A502" s="3" t="s">
        <v>2993</v>
      </c>
      <c r="B502" s="3" t="str">
        <f t="shared" si="1"/>
        <v>24, 24, GEODUDE</v>
      </c>
      <c r="C502" s="1" t="str">
        <f t="array" ref="C502">IF(B501="NEW ROUTE",TEXTSPLIT(B502,","),"")</f>
        <v/>
      </c>
      <c r="H502" s="1" t="str">
        <f t="shared" ref="H502:I502" si="504">IF(C502&lt;&gt;"",DEC2HEX(C502,2),"")</f>
        <v/>
      </c>
      <c r="I502" s="1" t="str">
        <f t="shared" si="504"/>
        <v/>
      </c>
      <c r="J502" s="1" t="str">
        <f t="shared" si="3"/>
        <v/>
      </c>
      <c r="L502" s="1" t="s">
        <v>2993</v>
      </c>
      <c r="M502" s="1" t="str">
        <f t="shared" si="4"/>
        <v>24, 24, GEODUDE</v>
      </c>
    </row>
    <row r="503" ht="12.75" customHeight="1">
      <c r="A503" s="3" t="s">
        <v>2810</v>
      </c>
      <c r="B503" s="3" t="str">
        <f t="shared" si="1"/>
        <v>0.04</v>
      </c>
      <c r="C503" s="1" t="str">
        <f t="array" ref="C503">IF(B502="NEW ROUTE",TEXTSPLIT(B503,","),"")</f>
        <v/>
      </c>
      <c r="H503" s="1" t="str">
        <f t="shared" ref="H503:I503" si="505">IF(C503&lt;&gt;"",DEC2HEX(C503,2),"")</f>
        <v/>
      </c>
      <c r="I503" s="1" t="str">
        <f t="shared" si="505"/>
        <v/>
      </c>
      <c r="J503" s="1" t="str">
        <f t="shared" si="3"/>
        <v/>
      </c>
      <c r="L503" s="1" t="s">
        <v>2810</v>
      </c>
      <c r="M503" s="1" t="str">
        <f t="shared" si="4"/>
        <v>0.04</v>
      </c>
    </row>
    <row r="504" ht="12.75" customHeight="1">
      <c r="A504" s="3" t="s">
        <v>2994</v>
      </c>
      <c r="B504" s="3" t="str">
        <f t="shared" si="1"/>
        <v>20, 25, GRAVELER</v>
      </c>
      <c r="C504" s="1" t="str">
        <f t="array" ref="C504">IF(B503="NEW ROUTE",TEXTSPLIT(B504,","),"")</f>
        <v/>
      </c>
      <c r="H504" s="1" t="str">
        <f t="shared" ref="H504:I504" si="506">IF(C504&lt;&gt;"",DEC2HEX(C504,2),"")</f>
        <v/>
      </c>
      <c r="I504" s="1" t="str">
        <f t="shared" si="506"/>
        <v/>
      </c>
      <c r="J504" s="1" t="str">
        <f t="shared" si="3"/>
        <v/>
      </c>
      <c r="L504" s="1" t="s">
        <v>2994</v>
      </c>
      <c r="M504" s="1" t="str">
        <f t="shared" si="4"/>
        <v>20, 25, GRAVELER</v>
      </c>
    </row>
    <row r="505" ht="12.75" customHeight="1">
      <c r="A505" s="3" t="s">
        <v>2995</v>
      </c>
      <c r="B505" s="3" t="str">
        <f t="shared" si="1"/>
        <v>25, 25, GOLBAT</v>
      </c>
      <c r="C505" s="1" t="str">
        <f t="array" ref="C505">IF(B504="NEW ROUTE",TEXTSPLIT(B505,","),"")</f>
        <v/>
      </c>
      <c r="H505" s="1" t="str">
        <f t="shared" ref="H505:I505" si="507">IF(C505&lt;&gt;"",DEC2HEX(C505,2),"")</f>
        <v/>
      </c>
      <c r="I505" s="1" t="str">
        <f t="shared" si="507"/>
        <v/>
      </c>
      <c r="J505" s="1" t="str">
        <f t="shared" si="3"/>
        <v/>
      </c>
      <c r="L505" s="1" t="s">
        <v>2995</v>
      </c>
      <c r="M505" s="1" t="str">
        <f t="shared" si="4"/>
        <v>25, 25, GOLBAT</v>
      </c>
    </row>
    <row r="506" ht="12.75" customHeight="1">
      <c r="A506" s="3" t="s">
        <v>2813</v>
      </c>
      <c r="B506" s="3" t="str">
        <f t="shared" si="1"/>
        <v>0.01</v>
      </c>
      <c r="C506" s="1" t="str">
        <f t="array" ref="C506">IF(B505="NEW ROUTE",TEXTSPLIT(B506,","),"")</f>
        <v/>
      </c>
      <c r="H506" s="1" t="str">
        <f t="shared" ref="H506:I506" si="508">IF(C506&lt;&gt;"",DEC2HEX(C506,2),"")</f>
        <v/>
      </c>
      <c r="I506" s="1" t="str">
        <f t="shared" si="508"/>
        <v/>
      </c>
      <c r="J506" s="1" t="str">
        <f t="shared" si="3"/>
        <v/>
      </c>
      <c r="L506" s="1" t="s">
        <v>2813</v>
      </c>
      <c r="M506" s="1" t="str">
        <f t="shared" si="4"/>
        <v>0.01</v>
      </c>
    </row>
    <row r="507" ht="12.75" customHeight="1">
      <c r="A507" s="3" t="s">
        <v>2996</v>
      </c>
      <c r="B507" s="3" t="str">
        <f t="shared" si="1"/>
        <v>20, 25, PINSIR</v>
      </c>
      <c r="C507" s="1" t="str">
        <f t="array" ref="C507">IF(B506="NEW ROUTE",TEXTSPLIT(B507,","),"")</f>
        <v/>
      </c>
      <c r="H507" s="1" t="str">
        <f t="shared" ref="H507:I507" si="509">IF(C507&lt;&gt;"",DEC2HEX(C507,2),"")</f>
        <v/>
      </c>
      <c r="I507" s="1" t="str">
        <f t="shared" si="509"/>
        <v/>
      </c>
      <c r="J507" s="1" t="str">
        <f t="shared" si="3"/>
        <v/>
      </c>
      <c r="L507" s="1" t="s">
        <v>2996</v>
      </c>
      <c r="M507" s="1" t="str">
        <f t="shared" si="4"/>
        <v>20, 25, PINSIR</v>
      </c>
    </row>
    <row r="508" ht="12.75" customHeight="1">
      <c r="A508" s="3" t="s">
        <v>2997</v>
      </c>
      <c r="B508" s="3" t="str">
        <f t="shared" si="1"/>
        <v>20, 23, KANGASKHAN , &lt;null&gt;, &lt;null&gt;, &lt;null&gt;</v>
      </c>
      <c r="C508" s="1" t="str">
        <f t="array" ref="C508">IF(B507="NEW ROUTE",TEXTSPLIT(B508,","),"")</f>
        <v/>
      </c>
      <c r="H508" s="1" t="str">
        <f t="shared" ref="H508:I508" si="510">IF(C508&lt;&gt;"",DEC2HEX(C508,2),"")</f>
        <v/>
      </c>
      <c r="I508" s="1" t="str">
        <f t="shared" si="510"/>
        <v/>
      </c>
      <c r="J508" s="1" t="str">
        <f t="shared" si="3"/>
        <v/>
      </c>
      <c r="L508" s="1" t="s">
        <v>2997</v>
      </c>
      <c r="M508" s="1" t="str">
        <f t="shared" si="4"/>
        <v>20, 23, KANGASKHAN , &lt;null&gt;, &lt;null&gt;, &lt;null&gt;</v>
      </c>
    </row>
    <row r="509" ht="12.75" customHeight="1">
      <c r="A509" s="3" t="s">
        <v>2539</v>
      </c>
      <c r="B509" s="3" t="str">
        <f t="shared" si="1"/>
        <v>NEW ROUTE</v>
      </c>
      <c r="C509" s="1" t="str">
        <f t="array" ref="C509">IF(B508="NEW ROUTE",TEXTSPLIT(B509,","),"")</f>
        <v/>
      </c>
      <c r="H509" s="1" t="str">
        <f t="shared" ref="H509:I509" si="511">IF(C509&lt;&gt;"",DEC2HEX(C509,2),"")</f>
        <v/>
      </c>
      <c r="I509" s="1" t="str">
        <f t="shared" si="511"/>
        <v/>
      </c>
      <c r="J509" s="1" t="str">
        <f t="shared" si="3"/>
        <v/>
      </c>
      <c r="L509" s="1" t="s">
        <v>2539</v>
      </c>
      <c r="M509" s="1" t="str">
        <f t="shared" si="4"/>
        <v>NEW ROUTE</v>
      </c>
    </row>
    <row r="510" ht="12.75" customHeight="1">
      <c r="A510" s="3" t="s">
        <v>2998</v>
      </c>
      <c r="B510" s="3" t="str">
        <f t="shared" si="1"/>
        <v>1, 82, 0,</v>
      </c>
      <c r="C510" s="1" t="str">
        <f t="array" ref="C510">IF(B509="NEW ROUTE",TEXTSPLIT(B510,","),"")</f>
        <v>#NAME?</v>
      </c>
      <c r="H510" s="1" t="str">
        <f t="shared" ref="H510:I510" si="512">IF(C510&lt;&gt;"",DEC2HEX(C510,2),"")</f>
        <v>#NAME?</v>
      </c>
      <c r="I510" s="1" t="str">
        <f t="shared" si="512"/>
        <v/>
      </c>
      <c r="J510" s="1" t="str">
        <f t="shared" si="3"/>
        <v>#NAME?</v>
      </c>
      <c r="L510" s="1" t="s">
        <v>2998</v>
      </c>
      <c r="M510" s="1" t="str">
        <f t="shared" si="4"/>
        <v>#NAME?</v>
      </c>
    </row>
    <row r="511" ht="12.75" customHeight="1">
      <c r="A511" s="3" t="s">
        <v>2817</v>
      </c>
      <c r="B511" s="3" t="str">
        <f t="shared" si="1"/>
        <v>20%</v>
      </c>
      <c r="C511" s="1" t="str">
        <f t="array" ref="C511">IF(B510="NEW ROUTE",TEXTSPLIT(B511,","),"")</f>
        <v/>
      </c>
      <c r="H511" s="1" t="str">
        <f t="shared" ref="H511:I511" si="513">IF(C511&lt;&gt;"",DEC2HEX(C511,2),"")</f>
        <v/>
      </c>
      <c r="I511" s="1" t="str">
        <f t="shared" si="513"/>
        <v/>
      </c>
      <c r="J511" s="1" t="str">
        <f t="shared" si="3"/>
        <v/>
      </c>
      <c r="L511" s="1" t="s">
        <v>2799</v>
      </c>
      <c r="M511" s="1" t="str">
        <f t="shared" si="4"/>
        <v>20%</v>
      </c>
    </row>
    <row r="512" ht="12.75" customHeight="1">
      <c r="A512" s="3" t="s">
        <v>562</v>
      </c>
      <c r="B512" s="3" t="str">
        <f t="shared" si="1"/>
        <v>20, 23, RHYHORN</v>
      </c>
      <c r="C512" s="1" t="str">
        <f t="array" ref="C512">IF(B511="NEW ROUTE",TEXTSPLIT(B512,","),"")</f>
        <v/>
      </c>
      <c r="H512" s="1" t="str">
        <f t="shared" ref="H512:I512" si="514">IF(C512&lt;&gt;"",DEC2HEX(C512,2),"")</f>
        <v/>
      </c>
      <c r="I512" s="1" t="str">
        <f t="shared" si="514"/>
        <v/>
      </c>
      <c r="J512" s="1" t="str">
        <f t="shared" si="3"/>
        <v/>
      </c>
      <c r="L512" s="1" t="s">
        <v>562</v>
      </c>
      <c r="M512" s="1" t="str">
        <f t="shared" si="4"/>
        <v>20, 23, RHYHORN</v>
      </c>
    </row>
    <row r="513" ht="12.75" customHeight="1">
      <c r="A513" s="3" t="s">
        <v>2987</v>
      </c>
      <c r="B513" s="3" t="str">
        <f t="shared" si="1"/>
        <v>20, 23, GEODUDE</v>
      </c>
      <c r="C513" s="1" t="str">
        <f t="array" ref="C513">IF(B512="NEW ROUTE",TEXTSPLIT(B513,","),"")</f>
        <v/>
      </c>
      <c r="H513" s="1" t="str">
        <f t="shared" ref="H513:I513" si="515">IF(C513&lt;&gt;"",DEC2HEX(C513,2),"")</f>
        <v/>
      </c>
      <c r="I513" s="1" t="str">
        <f t="shared" si="515"/>
        <v/>
      </c>
      <c r="J513" s="1" t="str">
        <f t="shared" si="3"/>
        <v/>
      </c>
      <c r="L513" s="1" t="s">
        <v>2987</v>
      </c>
      <c r="M513" s="1" t="str">
        <f t="shared" si="4"/>
        <v>20, 23, GEODUDE</v>
      </c>
    </row>
    <row r="514" ht="12.75" customHeight="1">
      <c r="A514" s="3" t="s">
        <v>2802</v>
      </c>
      <c r="B514" s="3" t="str">
        <f t="shared" si="1"/>
        <v>0.1</v>
      </c>
      <c r="C514" s="1" t="str">
        <f t="array" ref="C514">IF(B513="NEW ROUTE",TEXTSPLIT(B514,","),"")</f>
        <v/>
      </c>
      <c r="H514" s="1" t="str">
        <f t="shared" ref="H514:I514" si="516">IF(C514&lt;&gt;"",DEC2HEX(C514,2),"")</f>
        <v/>
      </c>
      <c r="I514" s="1" t="str">
        <f t="shared" si="516"/>
        <v/>
      </c>
      <c r="J514" s="1" t="str">
        <f t="shared" si="3"/>
        <v/>
      </c>
      <c r="L514" s="1" t="s">
        <v>2802</v>
      </c>
      <c r="M514" s="1" t="str">
        <f t="shared" si="4"/>
        <v>0.1</v>
      </c>
    </row>
    <row r="515" ht="12.75" customHeight="1">
      <c r="A515" s="3" t="s">
        <v>2988</v>
      </c>
      <c r="B515" s="3" t="str">
        <f t="shared" si="1"/>
        <v>20, 24, ONIX</v>
      </c>
      <c r="C515" s="1" t="str">
        <f t="array" ref="C515">IF(B514="NEW ROUTE",TEXTSPLIT(B515,","),"")</f>
        <v/>
      </c>
      <c r="H515" s="1" t="str">
        <f t="shared" ref="H515:I515" si="517">IF(C515&lt;&gt;"",DEC2HEX(C515,2),"")</f>
        <v/>
      </c>
      <c r="I515" s="1" t="str">
        <f t="shared" si="517"/>
        <v/>
      </c>
      <c r="J515" s="1" t="str">
        <f t="shared" si="3"/>
        <v/>
      </c>
      <c r="L515" s="1" t="s">
        <v>2988</v>
      </c>
      <c r="M515" s="1" t="str">
        <f t="shared" si="4"/>
        <v>20, 24, ONIX</v>
      </c>
    </row>
    <row r="516" ht="12.75" customHeight="1">
      <c r="A516" s="3" t="s">
        <v>2989</v>
      </c>
      <c r="B516" s="3" t="str">
        <f t="shared" si="1"/>
        <v>19, 23, MANKEY</v>
      </c>
      <c r="C516" s="1" t="str">
        <f t="array" ref="C516">IF(B515="NEW ROUTE",TEXTSPLIT(B516,","),"")</f>
        <v/>
      </c>
      <c r="H516" s="1" t="str">
        <f t="shared" ref="H516:I516" si="518">IF(C516&lt;&gt;"",DEC2HEX(C516,2),"")</f>
        <v/>
      </c>
      <c r="I516" s="1" t="str">
        <f t="shared" si="518"/>
        <v/>
      </c>
      <c r="J516" s="1" t="str">
        <f t="shared" si="3"/>
        <v/>
      </c>
      <c r="L516" s="1" t="s">
        <v>2989</v>
      </c>
      <c r="M516" s="1" t="str">
        <f t="shared" si="4"/>
        <v>19, 23, MANKEY</v>
      </c>
    </row>
    <row r="517" ht="12.75" customHeight="1">
      <c r="A517" s="3" t="s">
        <v>2990</v>
      </c>
      <c r="B517" s="3" t="str">
        <f t="shared" si="1"/>
        <v>19, 23, MACHOP</v>
      </c>
      <c r="C517" s="1" t="str">
        <f t="array" ref="C517">IF(B516="NEW ROUTE",TEXTSPLIT(B517,","),"")</f>
        <v/>
      </c>
      <c r="H517" s="1" t="str">
        <f t="shared" ref="H517:I517" si="519">IF(C517&lt;&gt;"",DEC2HEX(C517,2),"")</f>
        <v/>
      </c>
      <c r="I517" s="1" t="str">
        <f t="shared" si="519"/>
        <v/>
      </c>
      <c r="J517" s="1" t="str">
        <f t="shared" si="3"/>
        <v/>
      </c>
      <c r="L517" s="1" t="s">
        <v>2990</v>
      </c>
      <c r="M517" s="1" t="str">
        <f t="shared" si="4"/>
        <v>19, 23, MACHOP</v>
      </c>
    </row>
    <row r="518" ht="12.75" customHeight="1">
      <c r="A518" s="3" t="s">
        <v>2991</v>
      </c>
      <c r="B518" s="3" t="str">
        <f t="shared" si="1"/>
        <v>22, 24, GOLBAT</v>
      </c>
      <c r="C518" s="1" t="str">
        <f t="array" ref="C518">IF(B517="NEW ROUTE",TEXTSPLIT(B518,","),"")</f>
        <v/>
      </c>
      <c r="H518" s="1" t="str">
        <f t="shared" ref="H518:I518" si="520">IF(C518&lt;&gt;"",DEC2HEX(C518,2),"")</f>
        <v/>
      </c>
      <c r="I518" s="1" t="str">
        <f t="shared" si="520"/>
        <v/>
      </c>
      <c r="J518" s="1" t="str">
        <f t="shared" si="3"/>
        <v/>
      </c>
      <c r="L518" s="1" t="s">
        <v>2991</v>
      </c>
      <c r="M518" s="1" t="str">
        <f t="shared" si="4"/>
        <v>22, 24, GOLBAT</v>
      </c>
    </row>
    <row r="519" ht="12.75" customHeight="1">
      <c r="A519" s="3" t="s">
        <v>2807</v>
      </c>
      <c r="B519" s="3" t="str">
        <f t="shared" si="1"/>
        <v>0.05</v>
      </c>
      <c r="C519" s="1" t="str">
        <f t="array" ref="C519">IF(B518="NEW ROUTE",TEXTSPLIT(B519,","),"")</f>
        <v/>
      </c>
      <c r="H519" s="1" t="str">
        <f t="shared" ref="H519:I519" si="521">IF(C519&lt;&gt;"",DEC2HEX(C519,2),"")</f>
        <v/>
      </c>
      <c r="I519" s="1" t="str">
        <f t="shared" si="521"/>
        <v/>
      </c>
      <c r="J519" s="1" t="str">
        <f t="shared" si="3"/>
        <v/>
      </c>
      <c r="L519" s="1" t="s">
        <v>2807</v>
      </c>
      <c r="M519" s="1" t="str">
        <f t="shared" si="4"/>
        <v>0.05</v>
      </c>
    </row>
    <row r="520" ht="12.75" customHeight="1">
      <c r="A520" s="3" t="s">
        <v>2992</v>
      </c>
      <c r="B520" s="3" t="str">
        <f t="shared" si="1"/>
        <v>24, 24, RHYHORN</v>
      </c>
      <c r="C520" s="1" t="str">
        <f t="array" ref="C520">IF(B519="NEW ROUTE",TEXTSPLIT(B520,","),"")</f>
        <v/>
      </c>
      <c r="H520" s="1" t="str">
        <f t="shared" ref="H520:I520" si="522">IF(C520&lt;&gt;"",DEC2HEX(C520,2),"")</f>
        <v/>
      </c>
      <c r="I520" s="1" t="str">
        <f t="shared" si="522"/>
        <v/>
      </c>
      <c r="J520" s="1" t="str">
        <f t="shared" si="3"/>
        <v/>
      </c>
      <c r="L520" s="1" t="s">
        <v>2992</v>
      </c>
      <c r="M520" s="1" t="str">
        <f t="shared" si="4"/>
        <v>24, 24, RHYHORN</v>
      </c>
    </row>
    <row r="521" ht="12.75" customHeight="1">
      <c r="A521" s="3" t="s">
        <v>2993</v>
      </c>
      <c r="B521" s="3" t="str">
        <f t="shared" si="1"/>
        <v>24, 24, GEODUDE</v>
      </c>
      <c r="C521" s="1" t="str">
        <f t="array" ref="C521">IF(B520="NEW ROUTE",TEXTSPLIT(B521,","),"")</f>
        <v/>
      </c>
      <c r="H521" s="1" t="str">
        <f t="shared" ref="H521:I521" si="523">IF(C521&lt;&gt;"",DEC2HEX(C521,2),"")</f>
        <v/>
      </c>
      <c r="I521" s="1" t="str">
        <f t="shared" si="523"/>
        <v/>
      </c>
      <c r="J521" s="1" t="str">
        <f t="shared" si="3"/>
        <v/>
      </c>
      <c r="L521" s="1" t="s">
        <v>2993</v>
      </c>
      <c r="M521" s="1" t="str">
        <f t="shared" si="4"/>
        <v>24, 24, GEODUDE</v>
      </c>
    </row>
    <row r="522" ht="12.75" customHeight="1">
      <c r="A522" s="3" t="s">
        <v>2810</v>
      </c>
      <c r="B522" s="3" t="str">
        <f t="shared" si="1"/>
        <v>0.04</v>
      </c>
      <c r="C522" s="1" t="str">
        <f t="array" ref="C522">IF(B521="NEW ROUTE",TEXTSPLIT(B522,","),"")</f>
        <v/>
      </c>
      <c r="H522" s="1" t="str">
        <f t="shared" ref="H522:I522" si="524">IF(C522&lt;&gt;"",DEC2HEX(C522,2),"")</f>
        <v/>
      </c>
      <c r="I522" s="1" t="str">
        <f t="shared" si="524"/>
        <v/>
      </c>
      <c r="J522" s="1" t="str">
        <f t="shared" si="3"/>
        <v/>
      </c>
      <c r="L522" s="1" t="s">
        <v>2810</v>
      </c>
      <c r="M522" s="1" t="str">
        <f t="shared" si="4"/>
        <v>0.04</v>
      </c>
    </row>
    <row r="523" ht="12.75" customHeight="1">
      <c r="A523" s="3" t="s">
        <v>2994</v>
      </c>
      <c r="B523" s="3" t="str">
        <f t="shared" si="1"/>
        <v>20, 25, GRAVELER</v>
      </c>
      <c r="C523" s="1" t="str">
        <f t="array" ref="C523">IF(B522="NEW ROUTE",TEXTSPLIT(B523,","),"")</f>
        <v/>
      </c>
      <c r="H523" s="1" t="str">
        <f t="shared" ref="H523:I523" si="525">IF(C523&lt;&gt;"",DEC2HEX(C523,2),"")</f>
        <v/>
      </c>
      <c r="I523" s="1" t="str">
        <f t="shared" si="525"/>
        <v/>
      </c>
      <c r="J523" s="1" t="str">
        <f t="shared" si="3"/>
        <v/>
      </c>
      <c r="L523" s="1" t="s">
        <v>2994</v>
      </c>
      <c r="M523" s="1" t="str">
        <f t="shared" si="4"/>
        <v>20, 25, GRAVELER</v>
      </c>
    </row>
    <row r="524" ht="12.75" customHeight="1">
      <c r="A524" s="3" t="s">
        <v>2995</v>
      </c>
      <c r="B524" s="3" t="str">
        <f t="shared" si="1"/>
        <v>25, 25, GOLBAT</v>
      </c>
      <c r="C524" s="1" t="str">
        <f t="array" ref="C524">IF(B523="NEW ROUTE",TEXTSPLIT(B524,","),"")</f>
        <v/>
      </c>
      <c r="H524" s="1" t="str">
        <f t="shared" ref="H524:I524" si="526">IF(C524&lt;&gt;"",DEC2HEX(C524,2),"")</f>
        <v/>
      </c>
      <c r="I524" s="1" t="str">
        <f t="shared" si="526"/>
        <v/>
      </c>
      <c r="J524" s="1" t="str">
        <f t="shared" si="3"/>
        <v/>
      </c>
      <c r="L524" s="1" t="s">
        <v>2995</v>
      </c>
      <c r="M524" s="1" t="str">
        <f t="shared" si="4"/>
        <v>25, 25, GOLBAT</v>
      </c>
    </row>
    <row r="525" ht="12.75" customHeight="1">
      <c r="A525" s="3" t="s">
        <v>2813</v>
      </c>
      <c r="B525" s="3" t="str">
        <f t="shared" si="1"/>
        <v>0.01</v>
      </c>
      <c r="C525" s="1" t="str">
        <f t="array" ref="C525">IF(B524="NEW ROUTE",TEXTSPLIT(B525,","),"")</f>
        <v/>
      </c>
      <c r="H525" s="1" t="str">
        <f t="shared" ref="H525:I525" si="527">IF(C525&lt;&gt;"",DEC2HEX(C525,2),"")</f>
        <v/>
      </c>
      <c r="I525" s="1" t="str">
        <f t="shared" si="527"/>
        <v/>
      </c>
      <c r="J525" s="1" t="str">
        <f t="shared" si="3"/>
        <v/>
      </c>
      <c r="L525" s="1" t="s">
        <v>2813</v>
      </c>
      <c r="M525" s="1" t="str">
        <f t="shared" si="4"/>
        <v>0.01</v>
      </c>
    </row>
    <row r="526" ht="12.75" customHeight="1">
      <c r="A526" s="3" t="s">
        <v>2996</v>
      </c>
      <c r="B526" s="3" t="str">
        <f t="shared" si="1"/>
        <v>20, 25, PINSIR</v>
      </c>
      <c r="C526" s="1" t="str">
        <f t="array" ref="C526">IF(B525="NEW ROUTE",TEXTSPLIT(B526,","),"")</f>
        <v/>
      </c>
      <c r="H526" s="1" t="str">
        <f t="shared" ref="H526:I526" si="528">IF(C526&lt;&gt;"",DEC2HEX(C526,2),"")</f>
        <v/>
      </c>
      <c r="I526" s="1" t="str">
        <f t="shared" si="528"/>
        <v/>
      </c>
      <c r="J526" s="1" t="str">
        <f t="shared" si="3"/>
        <v/>
      </c>
      <c r="L526" s="1" t="s">
        <v>2996</v>
      </c>
      <c r="M526" s="1" t="str">
        <f t="shared" si="4"/>
        <v>20, 25, PINSIR</v>
      </c>
    </row>
    <row r="527" ht="12.75" customHeight="1">
      <c r="A527" s="3" t="s">
        <v>2999</v>
      </c>
      <c r="B527" s="3" t="str">
        <f t="shared" si="1"/>
        <v>21, 24, KANGASKHAN</v>
      </c>
      <c r="C527" s="1" t="str">
        <f t="array" ref="C527">IF(B526="NEW ROUTE",TEXTSPLIT(B527,","),"")</f>
        <v/>
      </c>
      <c r="H527" s="1" t="str">
        <f t="shared" ref="H527:I527" si="529">IF(C527&lt;&gt;"",DEC2HEX(C527,2),"")</f>
        <v/>
      </c>
      <c r="I527" s="1" t="str">
        <f t="shared" si="529"/>
        <v/>
      </c>
      <c r="J527" s="1" t="str">
        <f t="shared" si="3"/>
        <v/>
      </c>
      <c r="L527" s="1" t="s">
        <v>2999</v>
      </c>
      <c r="M527" s="1" t="str">
        <f t="shared" si="4"/>
        <v>21, 24, KANGASKHAN</v>
      </c>
    </row>
    <row r="528" ht="12.75" customHeight="1">
      <c r="A528" s="3" t="s">
        <v>3000</v>
      </c>
      <c r="B528" s="3" t="str">
        <f t="shared" si="1"/>
        <v>50, 5, 20, GEODUDE</v>
      </c>
      <c r="C528" s="1" t="str">
        <f t="array" ref="C528">IF(B527="NEW ROUTE",TEXTSPLIT(B528,","),"")</f>
        <v/>
      </c>
      <c r="H528" s="1" t="str">
        <f t="shared" ref="H528:I528" si="530">IF(C528&lt;&gt;"",DEC2HEX(C528,2),"")</f>
        <v/>
      </c>
      <c r="I528" s="1" t="str">
        <f t="shared" si="530"/>
        <v/>
      </c>
      <c r="J528" s="1" t="str">
        <f t="shared" si="3"/>
        <v/>
      </c>
      <c r="L528" s="1" t="s">
        <v>3000</v>
      </c>
      <c r="M528" s="1" t="str">
        <f t="shared" si="4"/>
        <v>50, 5, 20, GEODUDE</v>
      </c>
    </row>
    <row r="529" ht="12.75" customHeight="1">
      <c r="A529" s="3" t="s">
        <v>3001</v>
      </c>
      <c r="B529" s="3" t="str">
        <f t="shared" si="1"/>
        <v>10, 20, GEODUDE</v>
      </c>
      <c r="C529" s="1" t="str">
        <f t="array" ref="C529">IF(B528="NEW ROUTE",TEXTSPLIT(B529,","),"")</f>
        <v/>
      </c>
      <c r="H529" s="1" t="str">
        <f t="shared" ref="H529:I529" si="531">IF(C529&lt;&gt;"",DEC2HEX(C529,2),"")</f>
        <v/>
      </c>
      <c r="I529" s="1" t="str">
        <f t="shared" si="531"/>
        <v/>
      </c>
      <c r="J529" s="1" t="str">
        <f t="shared" si="3"/>
        <v/>
      </c>
      <c r="L529" s="1" t="s">
        <v>3001</v>
      </c>
      <c r="M529" s="1" t="str">
        <f t="shared" si="4"/>
        <v>10, 20, GEODUDE</v>
      </c>
    </row>
    <row r="530" ht="12.75" customHeight="1">
      <c r="A530" s="3" t="s">
        <v>3002</v>
      </c>
      <c r="B530" s="3" t="str">
        <f t="shared" si="1"/>
        <v>15, 30, GEODUDE</v>
      </c>
      <c r="C530" s="1" t="str">
        <f t="array" ref="C530">IF(B529="NEW ROUTE",TEXTSPLIT(B530,","),"")</f>
        <v/>
      </c>
      <c r="H530" s="1" t="str">
        <f t="shared" ref="H530:I530" si="532">IF(C530&lt;&gt;"",DEC2HEX(C530,2),"")</f>
        <v/>
      </c>
      <c r="I530" s="1" t="str">
        <f t="shared" si="532"/>
        <v/>
      </c>
      <c r="J530" s="1" t="str">
        <f t="shared" si="3"/>
        <v/>
      </c>
      <c r="L530" s="1" t="s">
        <v>3002</v>
      </c>
      <c r="M530" s="1" t="str">
        <f t="shared" si="4"/>
        <v>15, 30, GEODUDE</v>
      </c>
    </row>
    <row r="531" ht="12.75" customHeight="1">
      <c r="A531" s="3" t="s">
        <v>3003</v>
      </c>
      <c r="B531" s="3" t="str">
        <f t="shared" si="1"/>
        <v>25, 40, GRAVELER</v>
      </c>
      <c r="C531" s="1" t="str">
        <f t="array" ref="C531">IF(B530="NEW ROUTE",TEXTSPLIT(B531,","),"")</f>
        <v/>
      </c>
      <c r="H531" s="1" t="str">
        <f t="shared" ref="H531:I531" si="533">IF(C531&lt;&gt;"",DEC2HEX(C531,2),"")</f>
        <v/>
      </c>
      <c r="I531" s="1" t="str">
        <f t="shared" si="533"/>
        <v/>
      </c>
      <c r="J531" s="1" t="str">
        <f t="shared" si="3"/>
        <v/>
      </c>
      <c r="L531" s="1" t="s">
        <v>3003</v>
      </c>
      <c r="M531" s="1" t="str">
        <f t="shared" si="4"/>
        <v>25, 40, GRAVELER</v>
      </c>
    </row>
    <row r="532" ht="12.75" customHeight="1">
      <c r="A532" s="3" t="s">
        <v>3004</v>
      </c>
      <c r="B532" s="3" t="str">
        <f t="shared" si="1"/>
        <v>30, 40, GRAVELER , &lt;null&gt;</v>
      </c>
      <c r="C532" s="1" t="str">
        <f t="array" ref="C532">IF(B531="NEW ROUTE",TEXTSPLIT(B532,","),"")</f>
        <v/>
      </c>
      <c r="H532" s="1" t="str">
        <f t="shared" ref="H532:I532" si="534">IF(C532&lt;&gt;"",DEC2HEX(C532,2),"")</f>
        <v/>
      </c>
      <c r="I532" s="1" t="str">
        <f t="shared" si="534"/>
        <v/>
      </c>
      <c r="J532" s="1" t="str">
        <f t="shared" si="3"/>
        <v/>
      </c>
      <c r="L532" s="1" t="s">
        <v>3004</v>
      </c>
      <c r="M532" s="1" t="str">
        <f t="shared" si="4"/>
        <v>30, 40, GRAVELER , &lt;null&gt;</v>
      </c>
    </row>
    <row r="533" ht="12.75" customHeight="1">
      <c r="A533" s="3" t="s">
        <v>2539</v>
      </c>
      <c r="B533" s="3" t="str">
        <f t="shared" si="1"/>
        <v>NEW ROUTE</v>
      </c>
      <c r="C533" s="1" t="str">
        <f t="array" ref="C533">IF(B532="NEW ROUTE",TEXTSPLIT(B533,","),"")</f>
        <v/>
      </c>
      <c r="H533" s="1" t="str">
        <f t="shared" ref="H533:I533" si="535">IF(C533&lt;&gt;"",DEC2HEX(C533,2),"")</f>
        <v/>
      </c>
      <c r="I533" s="1" t="str">
        <f t="shared" si="535"/>
        <v/>
      </c>
      <c r="J533" s="1" t="str">
        <f t="shared" si="3"/>
        <v/>
      </c>
      <c r="L533" s="1" t="s">
        <v>2539</v>
      </c>
      <c r="M533" s="1" t="str">
        <f t="shared" si="4"/>
        <v>NEW ROUTE</v>
      </c>
    </row>
    <row r="534" ht="12.75" customHeight="1">
      <c r="A534" s="3" t="s">
        <v>3005</v>
      </c>
      <c r="B534" s="3" t="str">
        <f t="shared" si="1"/>
        <v>1, 83, 0,</v>
      </c>
      <c r="C534" s="1" t="str">
        <f t="array" ref="C534">IF(B533="NEW ROUTE",TEXTSPLIT(B534,","),"")</f>
        <v>#NAME?</v>
      </c>
      <c r="H534" s="1" t="str">
        <f t="shared" ref="H534:I534" si="536">IF(C534&lt;&gt;"",DEC2HEX(C534,2),"")</f>
        <v>#NAME?</v>
      </c>
      <c r="I534" s="1" t="str">
        <f t="shared" si="536"/>
        <v/>
      </c>
      <c r="J534" s="1" t="str">
        <f t="shared" si="3"/>
        <v>#NAME?</v>
      </c>
      <c r="L534" s="1" t="s">
        <v>3005</v>
      </c>
      <c r="M534" s="1" t="str">
        <f t="shared" si="4"/>
        <v>#NAME?</v>
      </c>
    </row>
    <row r="535" ht="12.75" customHeight="1">
      <c r="A535" s="3" t="s">
        <v>2817</v>
      </c>
      <c r="B535" s="3" t="str">
        <f t="shared" si="1"/>
        <v>20%</v>
      </c>
      <c r="C535" s="1" t="str">
        <f t="array" ref="C535">IF(B534="NEW ROUTE",TEXTSPLIT(B535,","),"")</f>
        <v/>
      </c>
      <c r="H535" s="1" t="str">
        <f t="shared" ref="H535:I535" si="537">IF(C535&lt;&gt;"",DEC2HEX(C535,2),"")</f>
        <v/>
      </c>
      <c r="I535" s="1" t="str">
        <f t="shared" si="537"/>
        <v/>
      </c>
      <c r="J535" s="1" t="str">
        <f t="shared" si="3"/>
        <v/>
      </c>
      <c r="L535" s="1" t="s">
        <v>2799</v>
      </c>
      <c r="M535" s="1" t="str">
        <f t="shared" si="4"/>
        <v>20%</v>
      </c>
    </row>
    <row r="536" ht="12.75" customHeight="1">
      <c r="A536" s="3" t="s">
        <v>581</v>
      </c>
      <c r="B536" s="3" t="str">
        <f t="shared" si="1"/>
        <v>40, 44, GOLBAT</v>
      </c>
      <c r="C536" s="1" t="str">
        <f t="array" ref="C536">IF(B535="NEW ROUTE",TEXTSPLIT(B536,","),"")</f>
        <v/>
      </c>
      <c r="H536" s="1" t="str">
        <f t="shared" ref="H536:I536" si="538">IF(C536&lt;&gt;"",DEC2HEX(C536,2),"")</f>
        <v/>
      </c>
      <c r="I536" s="1" t="str">
        <f t="shared" si="538"/>
        <v/>
      </c>
      <c r="J536" s="1" t="str">
        <f t="shared" si="3"/>
        <v/>
      </c>
      <c r="L536" s="1" t="s">
        <v>581</v>
      </c>
      <c r="M536" s="1" t="str">
        <f t="shared" si="4"/>
        <v>40, 44, GOLBAT</v>
      </c>
    </row>
    <row r="537" ht="12.75" customHeight="1">
      <c r="A537" s="3" t="s">
        <v>3006</v>
      </c>
      <c r="B537" s="3" t="str">
        <f t="shared" si="1"/>
        <v>40, 44, GOLDUCK</v>
      </c>
      <c r="C537" s="1" t="str">
        <f t="array" ref="C537">IF(B536="NEW ROUTE",TEXTSPLIT(B537,","),"")</f>
        <v/>
      </c>
      <c r="H537" s="1" t="str">
        <f t="shared" ref="H537:I537" si="539">IF(C537&lt;&gt;"",DEC2HEX(C537,2),"")</f>
        <v/>
      </c>
      <c r="I537" s="1" t="str">
        <f t="shared" si="539"/>
        <v/>
      </c>
      <c r="J537" s="1" t="str">
        <f t="shared" si="3"/>
        <v/>
      </c>
      <c r="L537" s="1" t="s">
        <v>3006</v>
      </c>
      <c r="M537" s="1" t="str">
        <f t="shared" si="4"/>
        <v>40, 44, GOLDUCK</v>
      </c>
    </row>
    <row r="538" ht="12.75" customHeight="1">
      <c r="A538" s="3" t="s">
        <v>2802</v>
      </c>
      <c r="B538" s="3" t="str">
        <f t="shared" si="1"/>
        <v>0.1</v>
      </c>
      <c r="C538" s="1" t="str">
        <f t="array" ref="C538">IF(B537="NEW ROUTE",TEXTSPLIT(B538,","),"")</f>
        <v/>
      </c>
      <c r="H538" s="1" t="str">
        <f t="shared" ref="H538:I538" si="540">IF(C538&lt;&gt;"",DEC2HEX(C538,2),"")</f>
        <v/>
      </c>
      <c r="I538" s="1" t="str">
        <f t="shared" si="540"/>
        <v/>
      </c>
      <c r="J538" s="1" t="str">
        <f t="shared" si="3"/>
        <v/>
      </c>
      <c r="L538" s="1" t="s">
        <v>2802</v>
      </c>
      <c r="M538" s="1" t="str">
        <f t="shared" si="4"/>
        <v>0.1</v>
      </c>
    </row>
    <row r="539" ht="12.75" customHeight="1">
      <c r="A539" s="3" t="s">
        <v>3007</v>
      </c>
      <c r="B539" s="3" t="str">
        <f t="shared" si="1"/>
        <v>40, 44, SLOWBRO</v>
      </c>
      <c r="C539" s="1" t="str">
        <f t="array" ref="C539">IF(B538="NEW ROUTE",TEXTSPLIT(B539,","),"")</f>
        <v/>
      </c>
      <c r="H539" s="1" t="str">
        <f t="shared" ref="H539:I539" si="541">IF(C539&lt;&gt;"",DEC2HEX(C539,2),"")</f>
        <v/>
      </c>
      <c r="I539" s="1" t="str">
        <f t="shared" si="541"/>
        <v/>
      </c>
      <c r="J539" s="1" t="str">
        <f t="shared" si="3"/>
        <v/>
      </c>
      <c r="L539" s="1" t="s">
        <v>3007</v>
      </c>
      <c r="M539" s="1" t="str">
        <f t="shared" si="4"/>
        <v>40, 44, SLOWBRO</v>
      </c>
    </row>
    <row r="540" ht="12.75" customHeight="1">
      <c r="A540" s="3" t="s">
        <v>3008</v>
      </c>
      <c r="B540" s="3" t="str">
        <f t="shared" si="1"/>
        <v>40, 44, CROBAT</v>
      </c>
      <c r="C540" s="1" t="str">
        <f t="array" ref="C540">IF(B539="NEW ROUTE",TEXTSPLIT(B540,","),"")</f>
        <v/>
      </c>
      <c r="H540" s="1" t="str">
        <f t="shared" ref="H540:I540" si="542">IF(C540&lt;&gt;"",DEC2HEX(C540,2),"")</f>
        <v/>
      </c>
      <c r="I540" s="1" t="str">
        <f t="shared" si="542"/>
        <v/>
      </c>
      <c r="J540" s="1" t="str">
        <f t="shared" si="3"/>
        <v/>
      </c>
      <c r="L540" s="1" t="s">
        <v>3008</v>
      </c>
      <c r="M540" s="1" t="str">
        <f t="shared" si="4"/>
        <v>40, 44, CROBAT</v>
      </c>
    </row>
    <row r="541" ht="12.75" customHeight="1">
      <c r="A541" s="3" t="s">
        <v>3009</v>
      </c>
      <c r="B541" s="3" t="str">
        <f t="shared" si="1"/>
        <v>40, 44, DEWGONG</v>
      </c>
      <c r="C541" s="1" t="str">
        <f t="array" ref="C541">IF(B540="NEW ROUTE",TEXTSPLIT(B541,","),"")</f>
        <v/>
      </c>
      <c r="H541" s="1" t="str">
        <f t="shared" ref="H541:I541" si="543">IF(C541&lt;&gt;"",DEC2HEX(C541,2),"")</f>
        <v/>
      </c>
      <c r="I541" s="1" t="str">
        <f t="shared" si="543"/>
        <v/>
      </c>
      <c r="J541" s="1" t="str">
        <f t="shared" si="3"/>
        <v/>
      </c>
      <c r="L541" s="1" t="s">
        <v>3009</v>
      </c>
      <c r="M541" s="1" t="str">
        <f t="shared" si="4"/>
        <v>40, 44, DEWGONG</v>
      </c>
    </row>
    <row r="542" ht="12.75" customHeight="1">
      <c r="A542" s="3" t="s">
        <v>3010</v>
      </c>
      <c r="B542" s="3" t="str">
        <f t="shared" si="1"/>
        <v>40, 44, LICKILICKY</v>
      </c>
      <c r="C542" s="1" t="str">
        <f t="array" ref="C542">IF(B541="NEW ROUTE",TEXTSPLIT(B542,","),"")</f>
        <v/>
      </c>
      <c r="H542" s="1" t="str">
        <f t="shared" ref="H542:I542" si="544">IF(C542&lt;&gt;"",DEC2HEX(C542,2),"")</f>
        <v/>
      </c>
      <c r="I542" s="1" t="str">
        <f t="shared" si="544"/>
        <v/>
      </c>
      <c r="J542" s="1" t="str">
        <f t="shared" si="3"/>
        <v/>
      </c>
      <c r="L542" s="1" t="s">
        <v>3010</v>
      </c>
      <c r="M542" s="1" t="str">
        <f t="shared" si="4"/>
        <v>40, 44, LICKILICKY</v>
      </c>
    </row>
    <row r="543" ht="12.75" customHeight="1">
      <c r="A543" s="3" t="s">
        <v>2807</v>
      </c>
      <c r="B543" s="3" t="str">
        <f t="shared" si="1"/>
        <v>0.05</v>
      </c>
      <c r="C543" s="1" t="str">
        <f t="array" ref="C543">IF(B542="NEW ROUTE",TEXTSPLIT(B543,","),"")</f>
        <v/>
      </c>
      <c r="H543" s="1" t="str">
        <f t="shared" ref="H543:I543" si="545">IF(C543&lt;&gt;"",DEC2HEX(C543,2),"")</f>
        <v/>
      </c>
      <c r="I543" s="1" t="str">
        <f t="shared" si="545"/>
        <v/>
      </c>
      <c r="J543" s="1" t="str">
        <f t="shared" si="3"/>
        <v/>
      </c>
      <c r="L543" s="1" t="s">
        <v>2807</v>
      </c>
      <c r="M543" s="1" t="str">
        <f t="shared" si="4"/>
        <v>0.05</v>
      </c>
    </row>
    <row r="544" ht="12.75" customHeight="1">
      <c r="A544" s="3" t="s">
        <v>3011</v>
      </c>
      <c r="B544" s="3" t="str">
        <f t="shared" si="1"/>
        <v>42, 46, POLABAT</v>
      </c>
      <c r="C544" s="1" t="str">
        <f t="array" ref="C544">IF(B543="NEW ROUTE",TEXTSPLIT(B544,","),"")</f>
        <v/>
      </c>
      <c r="H544" s="1" t="str">
        <f t="shared" ref="H544:I544" si="546">IF(C544&lt;&gt;"",DEC2HEX(C544,2),"")</f>
        <v/>
      </c>
      <c r="I544" s="1" t="str">
        <f t="shared" si="546"/>
        <v/>
      </c>
      <c r="J544" s="1" t="str">
        <f t="shared" si="3"/>
        <v/>
      </c>
      <c r="L544" s="1" t="s">
        <v>3011</v>
      </c>
      <c r="M544" s="1" t="str">
        <f t="shared" si="4"/>
        <v>42, 46, POLABAT</v>
      </c>
    </row>
    <row r="545" ht="12.75" customHeight="1">
      <c r="A545" s="3" t="s">
        <v>3012</v>
      </c>
      <c r="B545" s="3" t="str">
        <f t="shared" si="1"/>
        <v>42, 46, GILDUCK</v>
      </c>
      <c r="C545" s="1" t="str">
        <f t="array" ref="C545">IF(B544="NEW ROUTE",TEXTSPLIT(B545,","),"")</f>
        <v/>
      </c>
      <c r="H545" s="1" t="str">
        <f t="shared" ref="H545:I545" si="547">IF(C545&lt;&gt;"",DEC2HEX(C545,2),"")</f>
        <v/>
      </c>
      <c r="I545" s="1" t="str">
        <f t="shared" si="547"/>
        <v/>
      </c>
      <c r="J545" s="1" t="str">
        <f t="shared" si="3"/>
        <v/>
      </c>
      <c r="L545" s="1" t="s">
        <v>3012</v>
      </c>
      <c r="M545" s="1" t="str">
        <f t="shared" si="4"/>
        <v>42, 46, GILDUCK</v>
      </c>
    </row>
    <row r="546" ht="12.75" customHeight="1">
      <c r="A546" s="3" t="s">
        <v>2810</v>
      </c>
      <c r="B546" s="3" t="str">
        <f t="shared" si="1"/>
        <v>0.04</v>
      </c>
      <c r="C546" s="1" t="str">
        <f t="array" ref="C546">IF(B545="NEW ROUTE",TEXTSPLIT(B546,","),"")</f>
        <v/>
      </c>
      <c r="H546" s="1" t="str">
        <f t="shared" ref="H546:I546" si="548">IF(C546&lt;&gt;"",DEC2HEX(C546,2),"")</f>
        <v/>
      </c>
      <c r="I546" s="1" t="str">
        <f t="shared" si="548"/>
        <v/>
      </c>
      <c r="J546" s="1" t="str">
        <f t="shared" si="3"/>
        <v/>
      </c>
      <c r="L546" s="1" t="s">
        <v>2810</v>
      </c>
      <c r="M546" s="1" t="str">
        <f t="shared" si="4"/>
        <v>0.04</v>
      </c>
    </row>
    <row r="547" ht="12.75" customHeight="1">
      <c r="A547" s="3" t="s">
        <v>3013</v>
      </c>
      <c r="B547" s="3" t="str">
        <f t="shared" si="1"/>
        <v>44, 47, SLOWMATE</v>
      </c>
      <c r="C547" s="1" t="str">
        <f t="array" ref="C547">IF(B546="NEW ROUTE",TEXTSPLIT(B547,","),"")</f>
        <v/>
      </c>
      <c r="H547" s="1" t="str">
        <f t="shared" ref="H547:I547" si="549">IF(C547&lt;&gt;"",DEC2HEX(C547,2),"")</f>
        <v/>
      </c>
      <c r="I547" s="1" t="str">
        <f t="shared" si="549"/>
        <v/>
      </c>
      <c r="J547" s="1" t="str">
        <f t="shared" si="3"/>
        <v/>
      </c>
      <c r="L547" s="1" t="s">
        <v>3013</v>
      </c>
      <c r="M547" s="1" t="str">
        <f t="shared" si="4"/>
        <v>44, 47, SLOWMATE</v>
      </c>
    </row>
    <row r="548" ht="12.75" customHeight="1">
      <c r="A548" s="3" t="s">
        <v>3014</v>
      </c>
      <c r="B548" s="3" t="str">
        <f t="shared" si="1"/>
        <v>44, 47, PRECIPED</v>
      </c>
      <c r="C548" s="1" t="str">
        <f t="array" ref="C548">IF(B547="NEW ROUTE",TEXTSPLIT(B548,","),"")</f>
        <v/>
      </c>
      <c r="H548" s="1" t="str">
        <f t="shared" ref="H548:I548" si="550">IF(C548&lt;&gt;"",DEC2HEX(C548,2),"")</f>
        <v/>
      </c>
      <c r="I548" s="1" t="str">
        <f t="shared" si="550"/>
        <v/>
      </c>
      <c r="J548" s="1" t="str">
        <f t="shared" si="3"/>
        <v/>
      </c>
      <c r="L548" s="1" t="s">
        <v>3014</v>
      </c>
      <c r="M548" s="1" t="str">
        <f t="shared" si="4"/>
        <v>44, 47, PRECIPED</v>
      </c>
    </row>
    <row r="549" ht="12.75" customHeight="1">
      <c r="A549" s="3" t="s">
        <v>2813</v>
      </c>
      <c r="B549" s="3" t="str">
        <f t="shared" si="1"/>
        <v>0.01</v>
      </c>
      <c r="C549" s="1" t="str">
        <f t="array" ref="C549">IF(B548="NEW ROUTE",TEXTSPLIT(B549,","),"")</f>
        <v/>
      </c>
      <c r="H549" s="1" t="str">
        <f t="shared" ref="H549:I549" si="551">IF(C549&lt;&gt;"",DEC2HEX(C549,2),"")</f>
        <v/>
      </c>
      <c r="I549" s="1" t="str">
        <f t="shared" si="551"/>
        <v/>
      </c>
      <c r="J549" s="1" t="str">
        <f t="shared" si="3"/>
        <v/>
      </c>
      <c r="L549" s="1" t="s">
        <v>2813</v>
      </c>
      <c r="M549" s="1" t="str">
        <f t="shared" si="4"/>
        <v>0.01</v>
      </c>
    </row>
    <row r="550" ht="12.75" customHeight="1">
      <c r="A550" s="3" t="s">
        <v>3015</v>
      </c>
      <c r="B550" s="3" t="str">
        <f t="shared" si="1"/>
        <v>45, 50, DRAGONITE</v>
      </c>
      <c r="C550" s="1" t="str">
        <f t="array" ref="C550">IF(B549="NEW ROUTE",TEXTSPLIT(B550,","),"")</f>
        <v/>
      </c>
      <c r="H550" s="1" t="str">
        <f t="shared" ref="H550:I550" si="552">IF(C550&lt;&gt;"",DEC2HEX(C550,2),"")</f>
        <v/>
      </c>
      <c r="I550" s="1" t="str">
        <f t="shared" si="552"/>
        <v/>
      </c>
      <c r="J550" s="1" t="str">
        <f t="shared" si="3"/>
        <v/>
      </c>
      <c r="L550" s="1" t="s">
        <v>3015</v>
      </c>
      <c r="M550" s="1" t="str">
        <f t="shared" si="4"/>
        <v>45, 50, DRAGONITE</v>
      </c>
    </row>
    <row r="551" ht="12.75" customHeight="1">
      <c r="A551" s="3" t="s">
        <v>3016</v>
      </c>
      <c r="B551" s="3" t="str">
        <f t="shared" si="1"/>
        <v>45, 50, LICKILICKY , &lt;null&gt;, &lt;null&gt;, &lt;null&gt;</v>
      </c>
      <c r="C551" s="1" t="str">
        <f t="array" ref="C551">IF(B550="NEW ROUTE",TEXTSPLIT(B551,","),"")</f>
        <v/>
      </c>
      <c r="H551" s="1" t="str">
        <f t="shared" ref="H551:I551" si="553">IF(C551&lt;&gt;"",DEC2HEX(C551,2),"")</f>
        <v/>
      </c>
      <c r="I551" s="1" t="str">
        <f t="shared" si="553"/>
        <v/>
      </c>
      <c r="J551" s="1" t="str">
        <f t="shared" si="3"/>
        <v/>
      </c>
      <c r="L551" s="1" t="s">
        <v>3016</v>
      </c>
      <c r="M551" s="1" t="str">
        <f t="shared" si="4"/>
        <v>45, 50, LICKILICKY , &lt;null&gt;, &lt;null&gt;, &lt;null&gt;</v>
      </c>
    </row>
    <row r="552" ht="12.75" customHeight="1">
      <c r="A552" s="3" t="s">
        <v>2539</v>
      </c>
      <c r="B552" s="3" t="str">
        <f t="shared" si="1"/>
        <v>NEW ROUTE</v>
      </c>
      <c r="C552" s="1" t="str">
        <f t="array" ref="C552">IF(B551="NEW ROUTE",TEXTSPLIT(B552,","),"")</f>
        <v/>
      </c>
      <c r="H552" s="1" t="str">
        <f t="shared" ref="H552:I552" si="554">IF(C552&lt;&gt;"",DEC2HEX(C552,2),"")</f>
        <v/>
      </c>
      <c r="I552" s="1" t="str">
        <f t="shared" si="554"/>
        <v/>
      </c>
      <c r="J552" s="1" t="str">
        <f t="shared" si="3"/>
        <v/>
      </c>
      <c r="L552" s="1" t="s">
        <v>2539</v>
      </c>
      <c r="M552" s="1" t="str">
        <f t="shared" si="4"/>
        <v>NEW ROUTE</v>
      </c>
    </row>
    <row r="553" ht="12.75" customHeight="1">
      <c r="A553" s="3" t="s">
        <v>3017</v>
      </c>
      <c r="B553" s="3" t="str">
        <f t="shared" si="1"/>
        <v>1, 84, 0,</v>
      </c>
      <c r="C553" s="1" t="str">
        <f t="array" ref="C553">IF(B552="NEW ROUTE",TEXTSPLIT(B553,","),"")</f>
        <v>#NAME?</v>
      </c>
      <c r="H553" s="1" t="str">
        <f t="shared" ref="H553:I553" si="555">IF(C553&lt;&gt;"",DEC2HEX(C553,2),"")</f>
        <v>#NAME?</v>
      </c>
      <c r="I553" s="1" t="str">
        <f t="shared" si="555"/>
        <v/>
      </c>
      <c r="J553" s="1" t="str">
        <f t="shared" si="3"/>
        <v>#NAME?</v>
      </c>
      <c r="L553" s="1" t="s">
        <v>3017</v>
      </c>
      <c r="M553" s="1" t="str">
        <f t="shared" si="4"/>
        <v>#NAME?</v>
      </c>
    </row>
    <row r="554" ht="12.75" customHeight="1">
      <c r="A554" s="3" t="s">
        <v>2817</v>
      </c>
      <c r="B554" s="3" t="str">
        <f t="shared" si="1"/>
        <v>20%</v>
      </c>
      <c r="C554" s="1" t="str">
        <f t="array" ref="C554">IF(B553="NEW ROUTE",TEXTSPLIT(B554,","),"")</f>
        <v/>
      </c>
      <c r="H554" s="1" t="str">
        <f t="shared" ref="H554:I554" si="556">IF(C554&lt;&gt;"",DEC2HEX(C554,2),"")</f>
        <v/>
      </c>
      <c r="I554" s="1" t="str">
        <f t="shared" si="556"/>
        <v/>
      </c>
      <c r="J554" s="1" t="str">
        <f t="shared" si="3"/>
        <v/>
      </c>
      <c r="L554" s="1" t="s">
        <v>2799</v>
      </c>
      <c r="M554" s="1" t="str">
        <f t="shared" si="4"/>
        <v>20%</v>
      </c>
    </row>
    <row r="555" ht="12.75" customHeight="1">
      <c r="A555" s="3" t="s">
        <v>581</v>
      </c>
      <c r="B555" s="3" t="str">
        <f t="shared" si="1"/>
        <v>40, 44, GOLBAT</v>
      </c>
      <c r="C555" s="1" t="str">
        <f t="array" ref="C555">IF(B554="NEW ROUTE",TEXTSPLIT(B555,","),"")</f>
        <v/>
      </c>
      <c r="H555" s="1" t="str">
        <f t="shared" ref="H555:I555" si="557">IF(C555&lt;&gt;"",DEC2HEX(C555,2),"")</f>
        <v/>
      </c>
      <c r="I555" s="1" t="str">
        <f t="shared" si="557"/>
        <v/>
      </c>
      <c r="J555" s="1" t="str">
        <f t="shared" si="3"/>
        <v/>
      </c>
      <c r="L555" s="1" t="s">
        <v>581</v>
      </c>
      <c r="M555" s="1" t="str">
        <f t="shared" si="4"/>
        <v>40, 44, GOLBAT</v>
      </c>
    </row>
    <row r="556" ht="12.75" customHeight="1">
      <c r="A556" s="3" t="s">
        <v>3006</v>
      </c>
      <c r="B556" s="3" t="str">
        <f t="shared" si="1"/>
        <v>40, 44, GOLDUCK</v>
      </c>
      <c r="C556" s="1" t="str">
        <f t="array" ref="C556">IF(B555="NEW ROUTE",TEXTSPLIT(B556,","),"")</f>
        <v/>
      </c>
      <c r="H556" s="1" t="str">
        <f t="shared" ref="H556:I556" si="558">IF(C556&lt;&gt;"",DEC2HEX(C556,2),"")</f>
        <v/>
      </c>
      <c r="I556" s="1" t="str">
        <f t="shared" si="558"/>
        <v/>
      </c>
      <c r="J556" s="1" t="str">
        <f t="shared" si="3"/>
        <v/>
      </c>
      <c r="L556" s="1" t="s">
        <v>3006</v>
      </c>
      <c r="M556" s="1" t="str">
        <f t="shared" si="4"/>
        <v>40, 44, GOLDUCK</v>
      </c>
    </row>
    <row r="557" ht="12.75" customHeight="1">
      <c r="A557" s="3" t="s">
        <v>2802</v>
      </c>
      <c r="B557" s="3" t="str">
        <f t="shared" si="1"/>
        <v>0.1</v>
      </c>
      <c r="C557" s="1" t="str">
        <f t="array" ref="C557">IF(B556="NEW ROUTE",TEXTSPLIT(B557,","),"")</f>
        <v/>
      </c>
      <c r="H557" s="1" t="str">
        <f t="shared" ref="H557:I557" si="559">IF(C557&lt;&gt;"",DEC2HEX(C557,2),"")</f>
        <v/>
      </c>
      <c r="I557" s="1" t="str">
        <f t="shared" si="559"/>
        <v/>
      </c>
      <c r="J557" s="1" t="str">
        <f t="shared" si="3"/>
        <v/>
      </c>
      <c r="L557" s="1" t="s">
        <v>2802</v>
      </c>
      <c r="M557" s="1" t="str">
        <f t="shared" si="4"/>
        <v>0.1</v>
      </c>
    </row>
    <row r="558" ht="12.75" customHeight="1">
      <c r="A558" s="3" t="s">
        <v>3007</v>
      </c>
      <c r="B558" s="3" t="str">
        <f t="shared" si="1"/>
        <v>40, 44, SLOWBRO</v>
      </c>
      <c r="C558" s="1" t="str">
        <f t="array" ref="C558">IF(B557="NEW ROUTE",TEXTSPLIT(B558,","),"")</f>
        <v/>
      </c>
      <c r="H558" s="1" t="str">
        <f t="shared" ref="H558:I558" si="560">IF(C558&lt;&gt;"",DEC2HEX(C558,2),"")</f>
        <v/>
      </c>
      <c r="I558" s="1" t="str">
        <f t="shared" si="560"/>
        <v/>
      </c>
      <c r="J558" s="1" t="str">
        <f t="shared" si="3"/>
        <v/>
      </c>
      <c r="L558" s="1" t="s">
        <v>3007</v>
      </c>
      <c r="M558" s="1" t="str">
        <f t="shared" si="4"/>
        <v>40, 44, SLOWBRO</v>
      </c>
    </row>
    <row r="559" ht="12.75" customHeight="1">
      <c r="A559" s="3" t="s">
        <v>3008</v>
      </c>
      <c r="B559" s="3" t="str">
        <f t="shared" si="1"/>
        <v>40, 44, CROBAT</v>
      </c>
      <c r="C559" s="1" t="str">
        <f t="array" ref="C559">IF(B558="NEW ROUTE",TEXTSPLIT(B559,","),"")</f>
        <v/>
      </c>
      <c r="H559" s="1" t="str">
        <f t="shared" ref="H559:I559" si="561">IF(C559&lt;&gt;"",DEC2HEX(C559,2),"")</f>
        <v/>
      </c>
      <c r="I559" s="1" t="str">
        <f t="shared" si="561"/>
        <v/>
      </c>
      <c r="J559" s="1" t="str">
        <f t="shared" si="3"/>
        <v/>
      </c>
      <c r="L559" s="1" t="s">
        <v>3008</v>
      </c>
      <c r="M559" s="1" t="str">
        <f t="shared" si="4"/>
        <v>40, 44, CROBAT</v>
      </c>
    </row>
    <row r="560" ht="12.75" customHeight="1">
      <c r="A560" s="3" t="s">
        <v>3009</v>
      </c>
      <c r="B560" s="3" t="str">
        <f t="shared" si="1"/>
        <v>40, 44, DEWGONG</v>
      </c>
      <c r="C560" s="1" t="str">
        <f t="array" ref="C560">IF(B559="NEW ROUTE",TEXTSPLIT(B560,","),"")</f>
        <v/>
      </c>
      <c r="H560" s="1" t="str">
        <f t="shared" ref="H560:I560" si="562">IF(C560&lt;&gt;"",DEC2HEX(C560,2),"")</f>
        <v/>
      </c>
      <c r="I560" s="1" t="str">
        <f t="shared" si="562"/>
        <v/>
      </c>
      <c r="J560" s="1" t="str">
        <f t="shared" si="3"/>
        <v/>
      </c>
      <c r="L560" s="1" t="s">
        <v>3009</v>
      </c>
      <c r="M560" s="1" t="str">
        <f t="shared" si="4"/>
        <v>40, 44, DEWGONG</v>
      </c>
    </row>
    <row r="561" ht="12.75" customHeight="1">
      <c r="A561" s="3" t="s">
        <v>3010</v>
      </c>
      <c r="B561" s="3" t="str">
        <f t="shared" si="1"/>
        <v>40, 44, LICKILICKY</v>
      </c>
      <c r="C561" s="1" t="str">
        <f t="array" ref="C561">IF(B560="NEW ROUTE",TEXTSPLIT(B561,","),"")</f>
        <v/>
      </c>
      <c r="H561" s="1" t="str">
        <f t="shared" ref="H561:I561" si="563">IF(C561&lt;&gt;"",DEC2HEX(C561,2),"")</f>
        <v/>
      </c>
      <c r="I561" s="1" t="str">
        <f t="shared" si="563"/>
        <v/>
      </c>
      <c r="J561" s="1" t="str">
        <f t="shared" si="3"/>
        <v/>
      </c>
      <c r="L561" s="1" t="s">
        <v>3010</v>
      </c>
      <c r="M561" s="1" t="str">
        <f t="shared" si="4"/>
        <v>40, 44, LICKILICKY</v>
      </c>
    </row>
    <row r="562" ht="12.75" customHeight="1">
      <c r="A562" s="3" t="s">
        <v>2807</v>
      </c>
      <c r="B562" s="3" t="str">
        <f t="shared" si="1"/>
        <v>0.05</v>
      </c>
      <c r="C562" s="1" t="str">
        <f t="array" ref="C562">IF(B561="NEW ROUTE",TEXTSPLIT(B562,","),"")</f>
        <v/>
      </c>
      <c r="H562" s="1" t="str">
        <f t="shared" ref="H562:I562" si="564">IF(C562&lt;&gt;"",DEC2HEX(C562,2),"")</f>
        <v/>
      </c>
      <c r="I562" s="1" t="str">
        <f t="shared" si="564"/>
        <v/>
      </c>
      <c r="J562" s="1" t="str">
        <f t="shared" si="3"/>
        <v/>
      </c>
      <c r="L562" s="1" t="s">
        <v>2807</v>
      </c>
      <c r="M562" s="1" t="str">
        <f t="shared" si="4"/>
        <v>0.05</v>
      </c>
    </row>
    <row r="563" ht="12.75" customHeight="1">
      <c r="A563" s="3" t="s">
        <v>3011</v>
      </c>
      <c r="B563" s="3" t="str">
        <f t="shared" si="1"/>
        <v>42, 46, POLABAT</v>
      </c>
      <c r="C563" s="1" t="str">
        <f t="array" ref="C563">IF(B562="NEW ROUTE",TEXTSPLIT(B563,","),"")</f>
        <v/>
      </c>
      <c r="H563" s="1" t="str">
        <f t="shared" ref="H563:I563" si="565">IF(C563&lt;&gt;"",DEC2HEX(C563,2),"")</f>
        <v/>
      </c>
      <c r="I563" s="1" t="str">
        <f t="shared" si="565"/>
        <v/>
      </c>
      <c r="J563" s="1" t="str">
        <f t="shared" si="3"/>
        <v/>
      </c>
      <c r="L563" s="1" t="s">
        <v>3011</v>
      </c>
      <c r="M563" s="1" t="str">
        <f t="shared" si="4"/>
        <v>42, 46, POLABAT</v>
      </c>
    </row>
    <row r="564" ht="12.75" customHeight="1">
      <c r="A564" s="3" t="s">
        <v>3012</v>
      </c>
      <c r="B564" s="3" t="str">
        <f t="shared" si="1"/>
        <v>42, 46, GILDUCK</v>
      </c>
      <c r="C564" s="1" t="str">
        <f t="array" ref="C564">IF(B563="NEW ROUTE",TEXTSPLIT(B564,","),"")</f>
        <v/>
      </c>
      <c r="H564" s="1" t="str">
        <f t="shared" ref="H564:I564" si="566">IF(C564&lt;&gt;"",DEC2HEX(C564,2),"")</f>
        <v/>
      </c>
      <c r="I564" s="1" t="str">
        <f t="shared" si="566"/>
        <v/>
      </c>
      <c r="J564" s="1" t="str">
        <f t="shared" si="3"/>
        <v/>
      </c>
      <c r="L564" s="1" t="s">
        <v>3012</v>
      </c>
      <c r="M564" s="1" t="str">
        <f t="shared" si="4"/>
        <v>42, 46, GILDUCK</v>
      </c>
    </row>
    <row r="565" ht="12.75" customHeight="1">
      <c r="A565" s="3" t="s">
        <v>2810</v>
      </c>
      <c r="B565" s="3" t="str">
        <f t="shared" si="1"/>
        <v>0.04</v>
      </c>
      <c r="C565" s="1" t="str">
        <f t="array" ref="C565">IF(B564="NEW ROUTE",TEXTSPLIT(B565,","),"")</f>
        <v/>
      </c>
      <c r="H565" s="1" t="str">
        <f t="shared" ref="H565:I565" si="567">IF(C565&lt;&gt;"",DEC2HEX(C565,2),"")</f>
        <v/>
      </c>
      <c r="I565" s="1" t="str">
        <f t="shared" si="567"/>
        <v/>
      </c>
      <c r="J565" s="1" t="str">
        <f t="shared" si="3"/>
        <v/>
      </c>
      <c r="L565" s="1" t="s">
        <v>2810</v>
      </c>
      <c r="M565" s="1" t="str">
        <f t="shared" si="4"/>
        <v>0.04</v>
      </c>
    </row>
    <row r="566" ht="12.75" customHeight="1">
      <c r="A566" s="3" t="s">
        <v>3013</v>
      </c>
      <c r="B566" s="3" t="str">
        <f t="shared" si="1"/>
        <v>44, 47, SLOWMATE</v>
      </c>
      <c r="C566" s="1" t="str">
        <f t="array" ref="C566">IF(B565="NEW ROUTE",TEXTSPLIT(B566,","),"")</f>
        <v/>
      </c>
      <c r="H566" s="1" t="str">
        <f t="shared" ref="H566:I566" si="568">IF(C566&lt;&gt;"",DEC2HEX(C566,2),"")</f>
        <v/>
      </c>
      <c r="I566" s="1" t="str">
        <f t="shared" si="568"/>
        <v/>
      </c>
      <c r="J566" s="1" t="str">
        <f t="shared" si="3"/>
        <v/>
      </c>
      <c r="L566" s="1" t="s">
        <v>3013</v>
      </c>
      <c r="M566" s="1" t="str">
        <f t="shared" si="4"/>
        <v>44, 47, SLOWMATE</v>
      </c>
    </row>
    <row r="567" ht="12.75" customHeight="1">
      <c r="A567" s="3" t="s">
        <v>3014</v>
      </c>
      <c r="B567" s="3" t="str">
        <f t="shared" si="1"/>
        <v>44, 47, PRECIPED</v>
      </c>
      <c r="C567" s="1" t="str">
        <f t="array" ref="C567">IF(B566="NEW ROUTE",TEXTSPLIT(B567,","),"")</f>
        <v/>
      </c>
      <c r="H567" s="1" t="str">
        <f t="shared" ref="H567:I567" si="569">IF(C567&lt;&gt;"",DEC2HEX(C567,2),"")</f>
        <v/>
      </c>
      <c r="I567" s="1" t="str">
        <f t="shared" si="569"/>
        <v/>
      </c>
      <c r="J567" s="1" t="str">
        <f t="shared" si="3"/>
        <v/>
      </c>
      <c r="L567" s="1" t="s">
        <v>3014</v>
      </c>
      <c r="M567" s="1" t="str">
        <f t="shared" si="4"/>
        <v>44, 47, PRECIPED</v>
      </c>
    </row>
    <row r="568" ht="12.75" customHeight="1">
      <c r="A568" s="3" t="s">
        <v>2813</v>
      </c>
      <c r="B568" s="3" t="str">
        <f t="shared" si="1"/>
        <v>0.01</v>
      </c>
      <c r="C568" s="1" t="str">
        <f t="array" ref="C568">IF(B567="NEW ROUTE",TEXTSPLIT(B568,","),"")</f>
        <v/>
      </c>
      <c r="H568" s="1" t="str">
        <f t="shared" ref="H568:I568" si="570">IF(C568&lt;&gt;"",DEC2HEX(C568,2),"")</f>
        <v/>
      </c>
      <c r="I568" s="1" t="str">
        <f t="shared" si="570"/>
        <v/>
      </c>
      <c r="J568" s="1" t="str">
        <f t="shared" si="3"/>
        <v/>
      </c>
      <c r="L568" s="1" t="s">
        <v>2813</v>
      </c>
      <c r="M568" s="1" t="str">
        <f t="shared" si="4"/>
        <v>0.01</v>
      </c>
    </row>
    <row r="569" ht="12.75" customHeight="1">
      <c r="A569" s="3" t="s">
        <v>3015</v>
      </c>
      <c r="B569" s="3" t="str">
        <f t="shared" si="1"/>
        <v>45, 50, DRAGONITE</v>
      </c>
      <c r="C569" s="1" t="str">
        <f t="array" ref="C569">IF(B568="NEW ROUTE",TEXTSPLIT(B569,","),"")</f>
        <v/>
      </c>
      <c r="H569" s="1" t="str">
        <f t="shared" ref="H569:I569" si="571">IF(C569&lt;&gt;"",DEC2HEX(C569,2),"")</f>
        <v/>
      </c>
      <c r="I569" s="1" t="str">
        <f t="shared" si="571"/>
        <v/>
      </c>
      <c r="J569" s="1" t="str">
        <f t="shared" si="3"/>
        <v/>
      </c>
      <c r="L569" s="1" t="s">
        <v>3015</v>
      </c>
      <c r="M569" s="1" t="str">
        <f t="shared" si="4"/>
        <v>45, 50, DRAGONITE</v>
      </c>
    </row>
    <row r="570" ht="12.75" customHeight="1">
      <c r="A570" s="3" t="s">
        <v>3018</v>
      </c>
      <c r="B570" s="3" t="str">
        <f t="shared" si="1"/>
        <v>45, 50, LICKILOLLY , &lt;null&gt;, &lt;null&gt;, &lt;null&gt;</v>
      </c>
      <c r="C570" s="1" t="str">
        <f t="array" ref="C570">IF(B569="NEW ROUTE",TEXTSPLIT(B570,","),"")</f>
        <v/>
      </c>
      <c r="H570" s="1" t="str">
        <f t="shared" ref="H570:I570" si="572">IF(C570&lt;&gt;"",DEC2HEX(C570,2),"")</f>
        <v/>
      </c>
      <c r="I570" s="1" t="str">
        <f t="shared" si="572"/>
        <v/>
      </c>
      <c r="J570" s="1" t="str">
        <f t="shared" si="3"/>
        <v/>
      </c>
      <c r="L570" s="1" t="s">
        <v>3018</v>
      </c>
      <c r="M570" s="1" t="str">
        <f t="shared" si="4"/>
        <v>45, 50, LICKILOLLY , &lt;null&gt;, &lt;null&gt;, &lt;null&gt;</v>
      </c>
    </row>
    <row r="571" ht="12.75" customHeight="1">
      <c r="A571" s="3" t="s">
        <v>2539</v>
      </c>
      <c r="B571" s="3" t="str">
        <f t="shared" si="1"/>
        <v>NEW ROUTE</v>
      </c>
      <c r="C571" s="1" t="str">
        <f t="array" ref="C571">IF(B570="NEW ROUTE",TEXTSPLIT(B571,","),"")</f>
        <v/>
      </c>
      <c r="H571" s="1" t="str">
        <f t="shared" ref="H571:I571" si="573">IF(C571&lt;&gt;"",DEC2HEX(C571,2),"")</f>
        <v/>
      </c>
      <c r="I571" s="1" t="str">
        <f t="shared" si="573"/>
        <v/>
      </c>
      <c r="J571" s="1" t="str">
        <f t="shared" si="3"/>
        <v/>
      </c>
      <c r="L571" s="1" t="s">
        <v>2539</v>
      </c>
      <c r="M571" s="1" t="str">
        <f t="shared" si="4"/>
        <v>NEW ROUTE</v>
      </c>
    </row>
    <row r="572" ht="12.75" customHeight="1">
      <c r="A572" s="3" t="s">
        <v>3019</v>
      </c>
      <c r="B572" s="3" t="str">
        <f t="shared" si="1"/>
        <v>1, 85, 0,</v>
      </c>
      <c r="C572" s="1" t="str">
        <f t="array" ref="C572">IF(B571="NEW ROUTE",TEXTSPLIT(B572,","),"")</f>
        <v>#NAME?</v>
      </c>
      <c r="H572" s="1" t="str">
        <f t="shared" ref="H572:I572" si="574">IF(C572&lt;&gt;"",DEC2HEX(C572,2),"")</f>
        <v>#NAME?</v>
      </c>
      <c r="I572" s="1" t="str">
        <f t="shared" si="574"/>
        <v/>
      </c>
      <c r="J572" s="1" t="str">
        <f t="shared" si="3"/>
        <v>#NAME?</v>
      </c>
      <c r="L572" s="1" t="s">
        <v>3019</v>
      </c>
      <c r="M572" s="1" t="str">
        <f t="shared" si="4"/>
        <v>#NAME?</v>
      </c>
    </row>
    <row r="573" ht="12.75" customHeight="1">
      <c r="A573" s="3" t="s">
        <v>2817</v>
      </c>
      <c r="B573" s="3" t="str">
        <f t="shared" si="1"/>
        <v>20%</v>
      </c>
      <c r="C573" s="1" t="str">
        <f t="array" ref="C573">IF(B572="NEW ROUTE",TEXTSPLIT(B573,","),"")</f>
        <v/>
      </c>
      <c r="H573" s="1" t="str">
        <f t="shared" ref="H573:I573" si="575">IF(C573&lt;&gt;"",DEC2HEX(C573,2),"")</f>
        <v/>
      </c>
      <c r="I573" s="1" t="str">
        <f t="shared" si="575"/>
        <v/>
      </c>
      <c r="J573" s="1" t="str">
        <f t="shared" si="3"/>
        <v/>
      </c>
      <c r="L573" s="1" t="s">
        <v>2799</v>
      </c>
      <c r="M573" s="1" t="str">
        <f t="shared" si="4"/>
        <v>20%</v>
      </c>
    </row>
    <row r="574" ht="12.75" customHeight="1">
      <c r="A574" s="3" t="s">
        <v>581</v>
      </c>
      <c r="B574" s="3" t="str">
        <f t="shared" si="1"/>
        <v>40, 44, GOLBAT</v>
      </c>
      <c r="C574" s="1" t="str">
        <f t="array" ref="C574">IF(B573="NEW ROUTE",TEXTSPLIT(B574,","),"")</f>
        <v/>
      </c>
      <c r="H574" s="1" t="str">
        <f t="shared" ref="H574:I574" si="576">IF(C574&lt;&gt;"",DEC2HEX(C574,2),"")</f>
        <v/>
      </c>
      <c r="I574" s="1" t="str">
        <f t="shared" si="576"/>
        <v/>
      </c>
      <c r="J574" s="1" t="str">
        <f t="shared" si="3"/>
        <v/>
      </c>
      <c r="L574" s="1" t="s">
        <v>581</v>
      </c>
      <c r="M574" s="1" t="str">
        <f t="shared" si="4"/>
        <v>40, 44, GOLBAT</v>
      </c>
    </row>
    <row r="575" ht="12.75" customHeight="1">
      <c r="A575" s="3" t="s">
        <v>3006</v>
      </c>
      <c r="B575" s="3" t="str">
        <f t="shared" si="1"/>
        <v>40, 44, GOLDUCK</v>
      </c>
      <c r="C575" s="1" t="str">
        <f t="array" ref="C575">IF(B574="NEW ROUTE",TEXTSPLIT(B575,","),"")</f>
        <v/>
      </c>
      <c r="H575" s="1" t="str">
        <f t="shared" ref="H575:I575" si="577">IF(C575&lt;&gt;"",DEC2HEX(C575,2),"")</f>
        <v/>
      </c>
      <c r="I575" s="1" t="str">
        <f t="shared" si="577"/>
        <v/>
      </c>
      <c r="J575" s="1" t="str">
        <f t="shared" si="3"/>
        <v/>
      </c>
      <c r="L575" s="1" t="s">
        <v>3006</v>
      </c>
      <c r="M575" s="1" t="str">
        <f t="shared" si="4"/>
        <v>40, 44, GOLDUCK</v>
      </c>
    </row>
    <row r="576" ht="12.75" customHeight="1">
      <c r="A576" s="3" t="s">
        <v>2802</v>
      </c>
      <c r="B576" s="3" t="str">
        <f t="shared" si="1"/>
        <v>0.1</v>
      </c>
      <c r="C576" s="1" t="str">
        <f t="array" ref="C576">IF(B575="NEW ROUTE",TEXTSPLIT(B576,","),"")</f>
        <v/>
      </c>
      <c r="H576" s="1" t="str">
        <f t="shared" ref="H576:I576" si="578">IF(C576&lt;&gt;"",DEC2HEX(C576,2),"")</f>
        <v/>
      </c>
      <c r="I576" s="1" t="str">
        <f t="shared" si="578"/>
        <v/>
      </c>
      <c r="J576" s="1" t="str">
        <f t="shared" si="3"/>
        <v/>
      </c>
      <c r="L576" s="1" t="s">
        <v>2802</v>
      </c>
      <c r="M576" s="1" t="str">
        <f t="shared" si="4"/>
        <v>0.1</v>
      </c>
    </row>
    <row r="577" ht="12.75" customHeight="1">
      <c r="A577" s="3" t="s">
        <v>3007</v>
      </c>
      <c r="B577" s="3" t="str">
        <f t="shared" si="1"/>
        <v>40, 44, SLOWBRO</v>
      </c>
      <c r="C577" s="1" t="str">
        <f t="array" ref="C577">IF(B576="NEW ROUTE",TEXTSPLIT(B577,","),"")</f>
        <v/>
      </c>
      <c r="H577" s="1" t="str">
        <f t="shared" ref="H577:I577" si="579">IF(C577&lt;&gt;"",DEC2HEX(C577,2),"")</f>
        <v/>
      </c>
      <c r="I577" s="1" t="str">
        <f t="shared" si="579"/>
        <v/>
      </c>
      <c r="J577" s="1" t="str">
        <f t="shared" si="3"/>
        <v/>
      </c>
      <c r="L577" s="1" t="s">
        <v>3007</v>
      </c>
      <c r="M577" s="1" t="str">
        <f t="shared" si="4"/>
        <v>40, 44, SLOWBRO</v>
      </c>
    </row>
    <row r="578" ht="12.75" customHeight="1">
      <c r="A578" s="3" t="s">
        <v>3008</v>
      </c>
      <c r="B578" s="3" t="str">
        <f t="shared" si="1"/>
        <v>40, 44, CROBAT</v>
      </c>
      <c r="C578" s="1" t="str">
        <f t="array" ref="C578">IF(B577="NEW ROUTE",TEXTSPLIT(B578,","),"")</f>
        <v/>
      </c>
      <c r="H578" s="1" t="str">
        <f t="shared" ref="H578:I578" si="580">IF(C578&lt;&gt;"",DEC2HEX(C578,2),"")</f>
        <v/>
      </c>
      <c r="I578" s="1" t="str">
        <f t="shared" si="580"/>
        <v/>
      </c>
      <c r="J578" s="1" t="str">
        <f t="shared" si="3"/>
        <v/>
      </c>
      <c r="L578" s="1" t="s">
        <v>3008</v>
      </c>
      <c r="M578" s="1" t="str">
        <f t="shared" si="4"/>
        <v>40, 44, CROBAT</v>
      </c>
    </row>
    <row r="579" ht="12.75" customHeight="1">
      <c r="A579" s="3" t="s">
        <v>3009</v>
      </c>
      <c r="B579" s="3" t="str">
        <f t="shared" si="1"/>
        <v>40, 44, DEWGONG</v>
      </c>
      <c r="C579" s="1" t="str">
        <f t="array" ref="C579">IF(B578="NEW ROUTE",TEXTSPLIT(B579,","),"")</f>
        <v/>
      </c>
      <c r="H579" s="1" t="str">
        <f t="shared" ref="H579:I579" si="581">IF(C579&lt;&gt;"",DEC2HEX(C579,2),"")</f>
        <v/>
      </c>
      <c r="I579" s="1" t="str">
        <f t="shared" si="581"/>
        <v/>
      </c>
      <c r="J579" s="1" t="str">
        <f t="shared" si="3"/>
        <v/>
      </c>
      <c r="L579" s="1" t="s">
        <v>3009</v>
      </c>
      <c r="M579" s="1" t="str">
        <f t="shared" si="4"/>
        <v>40, 44, DEWGONG</v>
      </c>
    </row>
    <row r="580" ht="12.75" customHeight="1">
      <c r="A580" s="3" t="s">
        <v>3010</v>
      </c>
      <c r="B580" s="3" t="str">
        <f t="shared" si="1"/>
        <v>40, 44, LICKILICKY</v>
      </c>
      <c r="C580" s="1" t="str">
        <f t="array" ref="C580">IF(B579="NEW ROUTE",TEXTSPLIT(B580,","),"")</f>
        <v/>
      </c>
      <c r="H580" s="1" t="str">
        <f t="shared" ref="H580:I580" si="582">IF(C580&lt;&gt;"",DEC2HEX(C580,2),"")</f>
        <v/>
      </c>
      <c r="I580" s="1" t="str">
        <f t="shared" si="582"/>
        <v/>
      </c>
      <c r="J580" s="1" t="str">
        <f t="shared" si="3"/>
        <v/>
      </c>
      <c r="L580" s="1" t="s">
        <v>3010</v>
      </c>
      <c r="M580" s="1" t="str">
        <f t="shared" si="4"/>
        <v>40, 44, LICKILICKY</v>
      </c>
    </row>
    <row r="581" ht="12.75" customHeight="1">
      <c r="A581" s="3" t="s">
        <v>2807</v>
      </c>
      <c r="B581" s="3" t="str">
        <f t="shared" si="1"/>
        <v>0.05</v>
      </c>
      <c r="C581" s="1" t="str">
        <f t="array" ref="C581">IF(B580="NEW ROUTE",TEXTSPLIT(B581,","),"")</f>
        <v/>
      </c>
      <c r="H581" s="1" t="str">
        <f t="shared" ref="H581:I581" si="583">IF(C581&lt;&gt;"",DEC2HEX(C581,2),"")</f>
        <v/>
      </c>
      <c r="I581" s="1" t="str">
        <f t="shared" si="583"/>
        <v/>
      </c>
      <c r="J581" s="1" t="str">
        <f t="shared" si="3"/>
        <v/>
      </c>
      <c r="L581" s="1" t="s">
        <v>2807</v>
      </c>
      <c r="M581" s="1" t="str">
        <f t="shared" si="4"/>
        <v>0.05</v>
      </c>
    </row>
    <row r="582" ht="12.75" customHeight="1">
      <c r="A582" s="3" t="s">
        <v>3011</v>
      </c>
      <c r="B582" s="3" t="str">
        <f t="shared" si="1"/>
        <v>42, 46, POLABAT</v>
      </c>
      <c r="C582" s="1" t="str">
        <f t="array" ref="C582">IF(B581="NEW ROUTE",TEXTSPLIT(B582,","),"")</f>
        <v/>
      </c>
      <c r="H582" s="1" t="str">
        <f t="shared" ref="H582:I582" si="584">IF(C582&lt;&gt;"",DEC2HEX(C582,2),"")</f>
        <v/>
      </c>
      <c r="I582" s="1" t="str">
        <f t="shared" si="584"/>
        <v/>
      </c>
      <c r="J582" s="1" t="str">
        <f t="shared" si="3"/>
        <v/>
      </c>
      <c r="L582" s="1" t="s">
        <v>3011</v>
      </c>
      <c r="M582" s="1" t="str">
        <f t="shared" si="4"/>
        <v>42, 46, POLABAT</v>
      </c>
    </row>
    <row r="583" ht="12.75" customHeight="1">
      <c r="A583" s="3" t="s">
        <v>3012</v>
      </c>
      <c r="B583" s="3" t="str">
        <f t="shared" si="1"/>
        <v>42, 46, GILDUCK</v>
      </c>
      <c r="C583" s="1" t="str">
        <f t="array" ref="C583">IF(B582="NEW ROUTE",TEXTSPLIT(B583,","),"")</f>
        <v/>
      </c>
      <c r="H583" s="1" t="str">
        <f t="shared" ref="H583:I583" si="585">IF(C583&lt;&gt;"",DEC2HEX(C583,2),"")</f>
        <v/>
      </c>
      <c r="I583" s="1" t="str">
        <f t="shared" si="585"/>
        <v/>
      </c>
      <c r="J583" s="1" t="str">
        <f t="shared" si="3"/>
        <v/>
      </c>
      <c r="L583" s="1" t="s">
        <v>3012</v>
      </c>
      <c r="M583" s="1" t="str">
        <f t="shared" si="4"/>
        <v>42, 46, GILDUCK</v>
      </c>
    </row>
    <row r="584" ht="12.75" customHeight="1">
      <c r="A584" s="3" t="s">
        <v>2810</v>
      </c>
      <c r="B584" s="3" t="str">
        <f t="shared" si="1"/>
        <v>0.04</v>
      </c>
      <c r="C584" s="1" t="str">
        <f t="array" ref="C584">IF(B583="NEW ROUTE",TEXTSPLIT(B584,","),"")</f>
        <v/>
      </c>
      <c r="H584" s="1" t="str">
        <f t="shared" ref="H584:I584" si="586">IF(C584&lt;&gt;"",DEC2HEX(C584,2),"")</f>
        <v/>
      </c>
      <c r="I584" s="1" t="str">
        <f t="shared" si="586"/>
        <v/>
      </c>
      <c r="J584" s="1" t="str">
        <f t="shared" si="3"/>
        <v/>
      </c>
      <c r="L584" s="1" t="s">
        <v>2810</v>
      </c>
      <c r="M584" s="1" t="str">
        <f t="shared" si="4"/>
        <v>0.04</v>
      </c>
    </row>
    <row r="585" ht="12.75" customHeight="1">
      <c r="A585" s="3" t="s">
        <v>3013</v>
      </c>
      <c r="B585" s="3" t="str">
        <f t="shared" si="1"/>
        <v>44, 47, SLOWMATE</v>
      </c>
      <c r="C585" s="1" t="str">
        <f t="array" ref="C585">IF(B584="NEW ROUTE",TEXTSPLIT(B585,","),"")</f>
        <v/>
      </c>
      <c r="H585" s="1" t="str">
        <f t="shared" ref="H585:I585" si="587">IF(C585&lt;&gt;"",DEC2HEX(C585,2),"")</f>
        <v/>
      </c>
      <c r="I585" s="1" t="str">
        <f t="shared" si="587"/>
        <v/>
      </c>
      <c r="J585" s="1" t="str">
        <f t="shared" si="3"/>
        <v/>
      </c>
      <c r="L585" s="1" t="s">
        <v>3013</v>
      </c>
      <c r="M585" s="1" t="str">
        <f t="shared" si="4"/>
        <v>44, 47, SLOWMATE</v>
      </c>
    </row>
    <row r="586" ht="12.75" customHeight="1">
      <c r="A586" s="3" t="s">
        <v>3014</v>
      </c>
      <c r="B586" s="3" t="str">
        <f t="shared" si="1"/>
        <v>44, 47, PRECIPED</v>
      </c>
      <c r="C586" s="1" t="str">
        <f t="array" ref="C586">IF(B585="NEW ROUTE",TEXTSPLIT(B586,","),"")</f>
        <v/>
      </c>
      <c r="H586" s="1" t="str">
        <f t="shared" ref="H586:I586" si="588">IF(C586&lt;&gt;"",DEC2HEX(C586,2),"")</f>
        <v/>
      </c>
      <c r="I586" s="1" t="str">
        <f t="shared" si="588"/>
        <v/>
      </c>
      <c r="J586" s="1" t="str">
        <f t="shared" si="3"/>
        <v/>
      </c>
      <c r="L586" s="1" t="s">
        <v>3014</v>
      </c>
      <c r="M586" s="1" t="str">
        <f t="shared" si="4"/>
        <v>44, 47, PRECIPED</v>
      </c>
    </row>
    <row r="587" ht="12.75" customHeight="1">
      <c r="A587" s="3" t="s">
        <v>2813</v>
      </c>
      <c r="B587" s="3" t="str">
        <f t="shared" si="1"/>
        <v>0.01</v>
      </c>
      <c r="C587" s="1" t="str">
        <f t="array" ref="C587">IF(B586="NEW ROUTE",TEXTSPLIT(B587,","),"")</f>
        <v/>
      </c>
      <c r="H587" s="1" t="str">
        <f t="shared" ref="H587:I587" si="589">IF(C587&lt;&gt;"",DEC2HEX(C587,2),"")</f>
        <v/>
      </c>
      <c r="I587" s="1" t="str">
        <f t="shared" si="589"/>
        <v/>
      </c>
      <c r="J587" s="1" t="str">
        <f t="shared" si="3"/>
        <v/>
      </c>
      <c r="L587" s="1" t="s">
        <v>2813</v>
      </c>
      <c r="M587" s="1" t="str">
        <f t="shared" si="4"/>
        <v>0.01</v>
      </c>
    </row>
    <row r="588" ht="12.75" customHeight="1">
      <c r="A588" s="3" t="s">
        <v>3015</v>
      </c>
      <c r="B588" s="3" t="str">
        <f t="shared" si="1"/>
        <v>45, 50, DRAGONITE</v>
      </c>
      <c r="C588" s="1" t="str">
        <f t="array" ref="C588">IF(B587="NEW ROUTE",TEXTSPLIT(B588,","),"")</f>
        <v/>
      </c>
      <c r="H588" s="1" t="str">
        <f t="shared" ref="H588:I588" si="590">IF(C588&lt;&gt;"",DEC2HEX(C588,2),"")</f>
        <v/>
      </c>
      <c r="I588" s="1" t="str">
        <f t="shared" si="590"/>
        <v/>
      </c>
      <c r="J588" s="1" t="str">
        <f t="shared" si="3"/>
        <v/>
      </c>
      <c r="L588" s="1" t="s">
        <v>3015</v>
      </c>
      <c r="M588" s="1" t="str">
        <f t="shared" si="4"/>
        <v>45, 50, DRAGONITE</v>
      </c>
    </row>
    <row r="589" ht="12.75" customHeight="1">
      <c r="A589" s="3" t="s">
        <v>3018</v>
      </c>
      <c r="B589" s="3" t="str">
        <f t="shared" si="1"/>
        <v>45, 50, LICKILOLLY , &lt;null&gt;, &lt;null&gt;, &lt;null&gt;</v>
      </c>
      <c r="C589" s="1" t="str">
        <f t="array" ref="C589">IF(B588="NEW ROUTE",TEXTSPLIT(B589,","),"")</f>
        <v/>
      </c>
      <c r="H589" s="1" t="str">
        <f t="shared" ref="H589:I589" si="591">IF(C589&lt;&gt;"",DEC2HEX(C589,2),"")</f>
        <v/>
      </c>
      <c r="I589" s="1" t="str">
        <f t="shared" si="591"/>
        <v/>
      </c>
      <c r="J589" s="1" t="str">
        <f t="shared" si="3"/>
        <v/>
      </c>
      <c r="L589" s="1" t="s">
        <v>3018</v>
      </c>
      <c r="M589" s="1" t="str">
        <f t="shared" si="4"/>
        <v>45, 50, LICKILOLLY , &lt;null&gt;, &lt;null&gt;, &lt;null&gt;</v>
      </c>
    </row>
    <row r="590" ht="12.75" customHeight="1">
      <c r="A590" s="3" t="s">
        <v>2539</v>
      </c>
      <c r="B590" s="3" t="str">
        <f t="shared" si="1"/>
        <v>NEW ROUTE</v>
      </c>
      <c r="C590" s="1" t="str">
        <f t="array" ref="C590">IF(B589="NEW ROUTE",TEXTSPLIT(B590,","),"")</f>
        <v/>
      </c>
      <c r="H590" s="1" t="str">
        <f t="shared" ref="H590:I590" si="592">IF(C590&lt;&gt;"",DEC2HEX(C590,2),"")</f>
        <v/>
      </c>
      <c r="I590" s="1" t="str">
        <f t="shared" si="592"/>
        <v/>
      </c>
      <c r="J590" s="1" t="str">
        <f t="shared" si="3"/>
        <v/>
      </c>
      <c r="L590" s="1" t="s">
        <v>2539</v>
      </c>
      <c r="M590" s="1" t="str">
        <f t="shared" si="4"/>
        <v>NEW ROUTE</v>
      </c>
    </row>
    <row r="591" ht="12.75" customHeight="1">
      <c r="A591" s="3" t="s">
        <v>3020</v>
      </c>
      <c r="B591" s="3" t="str">
        <f t="shared" si="1"/>
        <v>1, 86, 0,</v>
      </c>
      <c r="C591" s="1" t="str">
        <f t="array" ref="C591">IF(B590="NEW ROUTE",TEXTSPLIT(B591,","),"")</f>
        <v>#NAME?</v>
      </c>
      <c r="H591" s="1" t="str">
        <f t="shared" ref="H591:I591" si="593">IF(C591&lt;&gt;"",DEC2HEX(C591,2),"")</f>
        <v>#NAME?</v>
      </c>
      <c r="I591" s="1" t="str">
        <f t="shared" si="593"/>
        <v/>
      </c>
      <c r="J591" s="1" t="str">
        <f t="shared" si="3"/>
        <v>#NAME?</v>
      </c>
      <c r="L591" s="1" t="s">
        <v>3020</v>
      </c>
      <c r="M591" s="1" t="str">
        <f t="shared" si="4"/>
        <v>#NAME?</v>
      </c>
    </row>
    <row r="592" ht="12.75" customHeight="1">
      <c r="A592" s="3" t="s">
        <v>2817</v>
      </c>
      <c r="B592" s="3" t="str">
        <f t="shared" si="1"/>
        <v>20%</v>
      </c>
      <c r="C592" s="1" t="str">
        <f t="array" ref="C592">IF(B591="NEW ROUTE",TEXTSPLIT(B592,","),"")</f>
        <v/>
      </c>
      <c r="H592" s="1" t="str">
        <f t="shared" ref="H592:I592" si="594">IF(C592&lt;&gt;"",DEC2HEX(C592,2),"")</f>
        <v/>
      </c>
      <c r="I592" s="1" t="str">
        <f t="shared" si="594"/>
        <v/>
      </c>
      <c r="J592" s="1" t="str">
        <f t="shared" si="3"/>
        <v/>
      </c>
      <c r="L592" s="1" t="s">
        <v>2799</v>
      </c>
      <c r="M592" s="1" t="str">
        <f t="shared" si="4"/>
        <v>20%</v>
      </c>
    </row>
    <row r="593" ht="12.75" customHeight="1">
      <c r="A593" s="3" t="s">
        <v>581</v>
      </c>
      <c r="B593" s="3" t="str">
        <f t="shared" si="1"/>
        <v>40, 44, GOLBAT</v>
      </c>
      <c r="C593" s="1" t="str">
        <f t="array" ref="C593">IF(B592="NEW ROUTE",TEXTSPLIT(B593,","),"")</f>
        <v/>
      </c>
      <c r="H593" s="1" t="str">
        <f t="shared" ref="H593:I593" si="595">IF(C593&lt;&gt;"",DEC2HEX(C593,2),"")</f>
        <v/>
      </c>
      <c r="I593" s="1" t="str">
        <f t="shared" si="595"/>
        <v/>
      </c>
      <c r="J593" s="1" t="str">
        <f t="shared" si="3"/>
        <v/>
      </c>
      <c r="L593" s="1" t="s">
        <v>581</v>
      </c>
      <c r="M593" s="1" t="str">
        <f t="shared" si="4"/>
        <v>40, 44, GOLBAT</v>
      </c>
    </row>
    <row r="594" ht="12.75" customHeight="1">
      <c r="A594" s="3" t="s">
        <v>3006</v>
      </c>
      <c r="B594" s="3" t="str">
        <f t="shared" si="1"/>
        <v>40, 44, GOLDUCK</v>
      </c>
      <c r="C594" s="1" t="str">
        <f t="array" ref="C594">IF(B593="NEW ROUTE",TEXTSPLIT(B594,","),"")</f>
        <v/>
      </c>
      <c r="H594" s="1" t="str">
        <f t="shared" ref="H594:I594" si="596">IF(C594&lt;&gt;"",DEC2HEX(C594,2),"")</f>
        <v/>
      </c>
      <c r="I594" s="1" t="str">
        <f t="shared" si="596"/>
        <v/>
      </c>
      <c r="J594" s="1" t="str">
        <f t="shared" si="3"/>
        <v/>
      </c>
      <c r="L594" s="1" t="s">
        <v>3006</v>
      </c>
      <c r="M594" s="1" t="str">
        <f t="shared" si="4"/>
        <v>40, 44, GOLDUCK</v>
      </c>
    </row>
    <row r="595" ht="12.75" customHeight="1">
      <c r="A595" s="3" t="s">
        <v>2802</v>
      </c>
      <c r="B595" s="3" t="str">
        <f t="shared" si="1"/>
        <v>0.1</v>
      </c>
      <c r="C595" s="1" t="str">
        <f t="array" ref="C595">IF(B594="NEW ROUTE",TEXTSPLIT(B595,","),"")</f>
        <v/>
      </c>
      <c r="H595" s="1" t="str">
        <f t="shared" ref="H595:I595" si="597">IF(C595&lt;&gt;"",DEC2HEX(C595,2),"")</f>
        <v/>
      </c>
      <c r="I595" s="1" t="str">
        <f t="shared" si="597"/>
        <v/>
      </c>
      <c r="J595" s="1" t="str">
        <f t="shared" si="3"/>
        <v/>
      </c>
      <c r="L595" s="1" t="s">
        <v>2802</v>
      </c>
      <c r="M595" s="1" t="str">
        <f t="shared" si="4"/>
        <v>0.1</v>
      </c>
    </row>
    <row r="596" ht="12.75" customHeight="1">
      <c r="A596" s="3" t="s">
        <v>3007</v>
      </c>
      <c r="B596" s="3" t="str">
        <f t="shared" si="1"/>
        <v>40, 44, SLOWBRO</v>
      </c>
      <c r="C596" s="1" t="str">
        <f t="array" ref="C596">IF(B595="NEW ROUTE",TEXTSPLIT(B596,","),"")</f>
        <v/>
      </c>
      <c r="H596" s="1" t="str">
        <f t="shared" ref="H596:I596" si="598">IF(C596&lt;&gt;"",DEC2HEX(C596,2),"")</f>
        <v/>
      </c>
      <c r="I596" s="1" t="str">
        <f t="shared" si="598"/>
        <v/>
      </c>
      <c r="J596" s="1" t="str">
        <f t="shared" si="3"/>
        <v/>
      </c>
      <c r="L596" s="1" t="s">
        <v>3007</v>
      </c>
      <c r="M596" s="1" t="str">
        <f t="shared" si="4"/>
        <v>40, 44, SLOWBRO</v>
      </c>
    </row>
    <row r="597" ht="12.75" customHeight="1">
      <c r="A597" s="3" t="s">
        <v>3008</v>
      </c>
      <c r="B597" s="3" t="str">
        <f t="shared" si="1"/>
        <v>40, 44, CROBAT</v>
      </c>
      <c r="C597" s="1" t="str">
        <f t="array" ref="C597">IF(B596="NEW ROUTE",TEXTSPLIT(B597,","),"")</f>
        <v/>
      </c>
      <c r="H597" s="1" t="str">
        <f t="shared" ref="H597:I597" si="599">IF(C597&lt;&gt;"",DEC2HEX(C597,2),"")</f>
        <v/>
      </c>
      <c r="I597" s="1" t="str">
        <f t="shared" si="599"/>
        <v/>
      </c>
      <c r="J597" s="1" t="str">
        <f t="shared" si="3"/>
        <v/>
      </c>
      <c r="L597" s="1" t="s">
        <v>3008</v>
      </c>
      <c r="M597" s="1" t="str">
        <f t="shared" si="4"/>
        <v>40, 44, CROBAT</v>
      </c>
    </row>
    <row r="598" ht="12.75" customHeight="1">
      <c r="A598" s="3" t="s">
        <v>3009</v>
      </c>
      <c r="B598" s="3" t="str">
        <f t="shared" si="1"/>
        <v>40, 44, DEWGONG</v>
      </c>
      <c r="C598" s="1" t="str">
        <f t="array" ref="C598">IF(B597="NEW ROUTE",TEXTSPLIT(B598,","),"")</f>
        <v/>
      </c>
      <c r="H598" s="1" t="str">
        <f t="shared" ref="H598:I598" si="600">IF(C598&lt;&gt;"",DEC2HEX(C598,2),"")</f>
        <v/>
      </c>
      <c r="I598" s="1" t="str">
        <f t="shared" si="600"/>
        <v/>
      </c>
      <c r="J598" s="1" t="str">
        <f t="shared" si="3"/>
        <v/>
      </c>
      <c r="L598" s="1" t="s">
        <v>3009</v>
      </c>
      <c r="M598" s="1" t="str">
        <f t="shared" si="4"/>
        <v>40, 44, DEWGONG</v>
      </c>
    </row>
    <row r="599" ht="12.75" customHeight="1">
      <c r="A599" s="3" t="s">
        <v>3010</v>
      </c>
      <c r="B599" s="3" t="str">
        <f t="shared" si="1"/>
        <v>40, 44, LICKILICKY</v>
      </c>
      <c r="C599" s="1" t="str">
        <f t="array" ref="C599">IF(B598="NEW ROUTE",TEXTSPLIT(B599,","),"")</f>
        <v/>
      </c>
      <c r="H599" s="1" t="str">
        <f t="shared" ref="H599:I599" si="601">IF(C599&lt;&gt;"",DEC2HEX(C599,2),"")</f>
        <v/>
      </c>
      <c r="I599" s="1" t="str">
        <f t="shared" si="601"/>
        <v/>
      </c>
      <c r="J599" s="1" t="str">
        <f t="shared" si="3"/>
        <v/>
      </c>
      <c r="L599" s="1" t="s">
        <v>3010</v>
      </c>
      <c r="M599" s="1" t="str">
        <f t="shared" si="4"/>
        <v>40, 44, LICKILICKY</v>
      </c>
    </row>
    <row r="600" ht="12.75" customHeight="1">
      <c r="A600" s="3" t="s">
        <v>2807</v>
      </c>
      <c r="B600" s="3" t="str">
        <f t="shared" si="1"/>
        <v>0.05</v>
      </c>
      <c r="C600" s="1" t="str">
        <f t="array" ref="C600">IF(B599="NEW ROUTE",TEXTSPLIT(B600,","),"")</f>
        <v/>
      </c>
      <c r="H600" s="1" t="str">
        <f t="shared" ref="H600:I600" si="602">IF(C600&lt;&gt;"",DEC2HEX(C600,2),"")</f>
        <v/>
      </c>
      <c r="I600" s="1" t="str">
        <f t="shared" si="602"/>
        <v/>
      </c>
      <c r="J600" s="1" t="str">
        <f t="shared" si="3"/>
        <v/>
      </c>
      <c r="L600" s="1" t="s">
        <v>2807</v>
      </c>
      <c r="M600" s="1" t="str">
        <f t="shared" si="4"/>
        <v>0.05</v>
      </c>
    </row>
    <row r="601" ht="12.75" customHeight="1">
      <c r="A601" s="3" t="s">
        <v>3011</v>
      </c>
      <c r="B601" s="3" t="str">
        <f t="shared" si="1"/>
        <v>42, 46, POLABAT</v>
      </c>
      <c r="C601" s="1" t="str">
        <f t="array" ref="C601">IF(B600="NEW ROUTE",TEXTSPLIT(B601,","),"")</f>
        <v/>
      </c>
      <c r="H601" s="1" t="str">
        <f t="shared" ref="H601:I601" si="603">IF(C601&lt;&gt;"",DEC2HEX(C601,2),"")</f>
        <v/>
      </c>
      <c r="I601" s="1" t="str">
        <f t="shared" si="603"/>
        <v/>
      </c>
      <c r="J601" s="1" t="str">
        <f t="shared" si="3"/>
        <v/>
      </c>
      <c r="L601" s="1" t="s">
        <v>3011</v>
      </c>
      <c r="M601" s="1" t="str">
        <f t="shared" si="4"/>
        <v>42, 46, POLABAT</v>
      </c>
    </row>
    <row r="602" ht="12.75" customHeight="1">
      <c r="A602" s="3" t="s">
        <v>3012</v>
      </c>
      <c r="B602" s="3" t="str">
        <f t="shared" si="1"/>
        <v>42, 46, GILDUCK</v>
      </c>
      <c r="C602" s="1" t="str">
        <f t="array" ref="C602">IF(B601="NEW ROUTE",TEXTSPLIT(B602,","),"")</f>
        <v/>
      </c>
      <c r="H602" s="1" t="str">
        <f t="shared" ref="H602:I602" si="604">IF(C602&lt;&gt;"",DEC2HEX(C602,2),"")</f>
        <v/>
      </c>
      <c r="I602" s="1" t="str">
        <f t="shared" si="604"/>
        <v/>
      </c>
      <c r="J602" s="1" t="str">
        <f t="shared" si="3"/>
        <v/>
      </c>
      <c r="L602" s="1" t="s">
        <v>3012</v>
      </c>
      <c r="M602" s="1" t="str">
        <f t="shared" si="4"/>
        <v>42, 46, GILDUCK</v>
      </c>
    </row>
    <row r="603" ht="12.75" customHeight="1">
      <c r="A603" s="3" t="s">
        <v>2810</v>
      </c>
      <c r="B603" s="3" t="str">
        <f t="shared" si="1"/>
        <v>0.04</v>
      </c>
      <c r="C603" s="1" t="str">
        <f t="array" ref="C603">IF(B602="NEW ROUTE",TEXTSPLIT(B603,","),"")</f>
        <v/>
      </c>
      <c r="H603" s="1" t="str">
        <f t="shared" ref="H603:I603" si="605">IF(C603&lt;&gt;"",DEC2HEX(C603,2),"")</f>
        <v/>
      </c>
      <c r="I603" s="1" t="str">
        <f t="shared" si="605"/>
        <v/>
      </c>
      <c r="J603" s="1" t="str">
        <f t="shared" si="3"/>
        <v/>
      </c>
      <c r="L603" s="1" t="s">
        <v>2810</v>
      </c>
      <c r="M603" s="1" t="str">
        <f t="shared" si="4"/>
        <v>0.04</v>
      </c>
    </row>
    <row r="604" ht="12.75" customHeight="1">
      <c r="A604" s="3" t="s">
        <v>3013</v>
      </c>
      <c r="B604" s="3" t="str">
        <f t="shared" si="1"/>
        <v>44, 47, SLOWMATE</v>
      </c>
      <c r="C604" s="1" t="str">
        <f t="array" ref="C604">IF(B603="NEW ROUTE",TEXTSPLIT(B604,","),"")</f>
        <v/>
      </c>
      <c r="H604" s="1" t="str">
        <f t="shared" ref="H604:I604" si="606">IF(C604&lt;&gt;"",DEC2HEX(C604,2),"")</f>
        <v/>
      </c>
      <c r="I604" s="1" t="str">
        <f t="shared" si="606"/>
        <v/>
      </c>
      <c r="J604" s="1" t="str">
        <f t="shared" si="3"/>
        <v/>
      </c>
      <c r="L604" s="1" t="s">
        <v>3013</v>
      </c>
      <c r="M604" s="1" t="str">
        <f t="shared" si="4"/>
        <v>44, 47, SLOWMATE</v>
      </c>
    </row>
    <row r="605" ht="12.75" customHeight="1">
      <c r="A605" s="3" t="s">
        <v>3014</v>
      </c>
      <c r="B605" s="3" t="str">
        <f t="shared" si="1"/>
        <v>44, 47, PRECIPED</v>
      </c>
      <c r="C605" s="1" t="str">
        <f t="array" ref="C605">IF(B604="NEW ROUTE",TEXTSPLIT(B605,","),"")</f>
        <v/>
      </c>
      <c r="H605" s="1" t="str">
        <f t="shared" ref="H605:I605" si="607">IF(C605&lt;&gt;"",DEC2HEX(C605,2),"")</f>
        <v/>
      </c>
      <c r="I605" s="1" t="str">
        <f t="shared" si="607"/>
        <v/>
      </c>
      <c r="J605" s="1" t="str">
        <f t="shared" si="3"/>
        <v/>
      </c>
      <c r="L605" s="1" t="s">
        <v>3014</v>
      </c>
      <c r="M605" s="1" t="str">
        <f t="shared" si="4"/>
        <v>44, 47, PRECIPED</v>
      </c>
    </row>
    <row r="606" ht="12.75" customHeight="1">
      <c r="A606" s="3" t="s">
        <v>2813</v>
      </c>
      <c r="B606" s="3" t="str">
        <f t="shared" si="1"/>
        <v>0.01</v>
      </c>
      <c r="C606" s="1" t="str">
        <f t="array" ref="C606">IF(B605="NEW ROUTE",TEXTSPLIT(B606,","),"")</f>
        <v/>
      </c>
      <c r="H606" s="1" t="str">
        <f t="shared" ref="H606:I606" si="608">IF(C606&lt;&gt;"",DEC2HEX(C606,2),"")</f>
        <v/>
      </c>
      <c r="I606" s="1" t="str">
        <f t="shared" si="608"/>
        <v/>
      </c>
      <c r="J606" s="1" t="str">
        <f t="shared" si="3"/>
        <v/>
      </c>
      <c r="L606" s="1" t="s">
        <v>2813</v>
      </c>
      <c r="M606" s="1" t="str">
        <f t="shared" si="4"/>
        <v>0.01</v>
      </c>
    </row>
    <row r="607" ht="12.75" customHeight="1">
      <c r="A607" s="3" t="s">
        <v>3015</v>
      </c>
      <c r="B607" s="3" t="str">
        <f t="shared" si="1"/>
        <v>45, 50, DRAGONITE</v>
      </c>
      <c r="C607" s="1" t="str">
        <f t="array" ref="C607">IF(B606="NEW ROUTE",TEXTSPLIT(B607,","),"")</f>
        <v/>
      </c>
      <c r="H607" s="1" t="str">
        <f t="shared" ref="H607:I607" si="609">IF(C607&lt;&gt;"",DEC2HEX(C607,2),"")</f>
        <v/>
      </c>
      <c r="I607" s="1" t="str">
        <f t="shared" si="609"/>
        <v/>
      </c>
      <c r="J607" s="1" t="str">
        <f t="shared" si="3"/>
        <v/>
      </c>
      <c r="L607" s="1" t="s">
        <v>3015</v>
      </c>
      <c r="M607" s="1" t="str">
        <f t="shared" si="4"/>
        <v>45, 50, DRAGONITE</v>
      </c>
    </row>
    <row r="608" ht="12.75" customHeight="1">
      <c r="A608" s="3" t="s">
        <v>3021</v>
      </c>
      <c r="B608" s="3" t="str">
        <f t="shared" si="1"/>
        <v>45, 50, LICKILOLLY</v>
      </c>
      <c r="C608" s="1" t="str">
        <f t="array" ref="C608">IF(B607="NEW ROUTE",TEXTSPLIT(B608,","),"")</f>
        <v/>
      </c>
      <c r="H608" s="1" t="str">
        <f t="shared" ref="H608:I608" si="610">IF(C608&lt;&gt;"",DEC2HEX(C608,2),"")</f>
        <v/>
      </c>
      <c r="I608" s="1" t="str">
        <f t="shared" si="610"/>
        <v/>
      </c>
      <c r="J608" s="1" t="str">
        <f t="shared" si="3"/>
        <v/>
      </c>
      <c r="L608" s="1" t="s">
        <v>3021</v>
      </c>
      <c r="M608" s="1" t="str">
        <f t="shared" si="4"/>
        <v>45, 50, LICKILOLLY</v>
      </c>
    </row>
    <row r="609" ht="12.75" customHeight="1">
      <c r="A609" s="3" t="s">
        <v>3022</v>
      </c>
      <c r="B609" s="3" t="str">
        <f t="shared" si="1"/>
        <v>2, 38, 44, DEWGONG</v>
      </c>
      <c r="C609" s="1" t="str">
        <f t="array" ref="C609">IF(B608="NEW ROUTE",TEXTSPLIT(B609,","),"")</f>
        <v/>
      </c>
      <c r="H609" s="1" t="str">
        <f t="shared" ref="H609:I609" si="611">IF(C609&lt;&gt;"",DEC2HEX(C609,2),"")</f>
        <v/>
      </c>
      <c r="I609" s="1" t="str">
        <f t="shared" si="611"/>
        <v/>
      </c>
      <c r="J609" s="1" t="str">
        <f t="shared" si="3"/>
        <v/>
      </c>
      <c r="L609" s="1" t="s">
        <v>3022</v>
      </c>
      <c r="M609" s="1" t="str">
        <f t="shared" si="4"/>
        <v>2, 38, 44, DEWGONG</v>
      </c>
    </row>
    <row r="610" ht="12.75" customHeight="1">
      <c r="A610" s="3" t="s">
        <v>3023</v>
      </c>
      <c r="B610" s="3" t="str">
        <f t="shared" si="1"/>
        <v>40, 44, SEADRA</v>
      </c>
      <c r="C610" s="1" t="str">
        <f t="array" ref="C610">IF(B609="NEW ROUTE",TEXTSPLIT(B610,","),"")</f>
        <v/>
      </c>
      <c r="H610" s="1" t="str">
        <f t="shared" ref="H610:I610" si="612">IF(C610&lt;&gt;"",DEC2HEX(C610,2),"")</f>
        <v/>
      </c>
      <c r="I610" s="1" t="str">
        <f t="shared" si="612"/>
        <v/>
      </c>
      <c r="J610" s="1" t="str">
        <f t="shared" si="3"/>
        <v/>
      </c>
      <c r="L610" s="1" t="s">
        <v>3023</v>
      </c>
      <c r="M610" s="1" t="str">
        <f t="shared" si="4"/>
        <v>40, 44, SEADRA</v>
      </c>
    </row>
    <row r="611" ht="12.75" customHeight="1">
      <c r="A611" s="3" t="s">
        <v>3024</v>
      </c>
      <c r="B611" s="3" t="str">
        <f t="shared" si="1"/>
        <v>42, 46, KINGLER</v>
      </c>
      <c r="C611" s="1" t="str">
        <f t="array" ref="C611">IF(B610="NEW ROUTE",TEXTSPLIT(B611,","),"")</f>
        <v/>
      </c>
      <c r="H611" s="1" t="str">
        <f t="shared" ref="H611:I611" si="613">IF(C611&lt;&gt;"",DEC2HEX(C611,2),"")</f>
        <v/>
      </c>
      <c r="I611" s="1" t="str">
        <f t="shared" si="613"/>
        <v/>
      </c>
      <c r="J611" s="1" t="str">
        <f t="shared" si="3"/>
        <v/>
      </c>
      <c r="L611" s="1" t="s">
        <v>3024</v>
      </c>
      <c r="M611" s="1" t="str">
        <f t="shared" si="4"/>
        <v>42, 46, KINGLER</v>
      </c>
    </row>
    <row r="612" ht="12.75" customHeight="1">
      <c r="A612" s="3" t="s">
        <v>3025</v>
      </c>
      <c r="B612" s="3" t="str">
        <f t="shared" si="1"/>
        <v>42, 46, LAPRAS</v>
      </c>
      <c r="C612" s="1" t="str">
        <f t="array" ref="C612">IF(B611="NEW ROUTE",TEXTSPLIT(B612,","),"")</f>
        <v/>
      </c>
      <c r="H612" s="1" t="str">
        <f t="shared" ref="H612:I612" si="614">IF(C612&lt;&gt;"",DEC2HEX(C612,2),"")</f>
        <v/>
      </c>
      <c r="I612" s="1" t="str">
        <f t="shared" si="614"/>
        <v/>
      </c>
      <c r="J612" s="1" t="str">
        <f t="shared" si="3"/>
        <v/>
      </c>
      <c r="L612" s="1" t="s">
        <v>3025</v>
      </c>
      <c r="M612" s="1" t="str">
        <f t="shared" si="4"/>
        <v>42, 46, LAPRAS</v>
      </c>
    </row>
    <row r="613" ht="12.75" customHeight="1">
      <c r="A613" s="3" t="s">
        <v>2923</v>
      </c>
      <c r="B613" s="3" t="str">
        <f t="shared" si="1"/>
        <v>42, 46, SLOWBRO</v>
      </c>
      <c r="C613" s="1" t="str">
        <f t="array" ref="C613">IF(B612="NEW ROUTE",TEXTSPLIT(B613,","),"")</f>
        <v/>
      </c>
      <c r="H613" s="1" t="str">
        <f t="shared" ref="H613:I613" si="615">IF(C613&lt;&gt;"",DEC2HEX(C613,2),"")</f>
        <v/>
      </c>
      <c r="I613" s="1" t="str">
        <f t="shared" si="615"/>
        <v/>
      </c>
      <c r="J613" s="1" t="str">
        <f t="shared" si="3"/>
        <v/>
      </c>
      <c r="L613" s="1" t="s">
        <v>2923</v>
      </c>
      <c r="M613" s="1" t="str">
        <f t="shared" si="4"/>
        <v>42, 46, SLOWBRO</v>
      </c>
    </row>
    <row r="614" ht="12.75" customHeight="1">
      <c r="A614" s="3" t="s">
        <v>2926</v>
      </c>
      <c r="B614" s="3" t="str">
        <f t="shared" si="1"/>
        <v>20, old rod:</v>
      </c>
      <c r="C614" s="1" t="str">
        <f t="array" ref="C614">IF(B613="NEW ROUTE",TEXTSPLIT(B614,","),"")</f>
        <v/>
      </c>
      <c r="H614" s="1" t="str">
        <f t="shared" ref="H614:I614" si="616">IF(C614&lt;&gt;"",DEC2HEX(C614,2),"")</f>
        <v/>
      </c>
      <c r="I614" s="1" t="str">
        <f t="shared" si="616"/>
        <v/>
      </c>
      <c r="J614" s="1" t="str">
        <f t="shared" si="3"/>
        <v/>
      </c>
      <c r="L614" s="1" t="s">
        <v>2926</v>
      </c>
      <c r="M614" s="1" t="str">
        <f t="shared" si="4"/>
        <v>20, old rod:</v>
      </c>
    </row>
    <row r="615" ht="12.75" customHeight="1">
      <c r="A615" s="3" t="s">
        <v>602</v>
      </c>
      <c r="B615" s="3" t="str">
        <f t="shared" si="1"/>
        <v>19, 26, HORSEA</v>
      </c>
      <c r="C615" s="1" t="str">
        <f t="array" ref="C615">IF(B614="NEW ROUTE",TEXTSPLIT(B615,","),"")</f>
        <v/>
      </c>
      <c r="H615" s="1" t="str">
        <f t="shared" ref="H615:I615" si="617">IF(C615&lt;&gt;"",DEC2HEX(C615,2),"")</f>
        <v/>
      </c>
      <c r="I615" s="1" t="str">
        <f t="shared" si="617"/>
        <v/>
      </c>
      <c r="J615" s="1" t="str">
        <f t="shared" si="3"/>
        <v/>
      </c>
      <c r="L615" s="1" t="s">
        <v>602</v>
      </c>
      <c r="M615" s="1" t="str">
        <f t="shared" si="4"/>
        <v>19, 26, HORSEA</v>
      </c>
    </row>
    <row r="616" ht="12.75" customHeight="1">
      <c r="A616" s="3" t="s">
        <v>3026</v>
      </c>
      <c r="B616" s="3" t="str">
        <f t="shared" si="1"/>
        <v>19, 26, SHELLDER</v>
      </c>
      <c r="C616" s="1" t="str">
        <f t="array" ref="C616">IF(B615="NEW ROUTE",TEXTSPLIT(B616,","),"")</f>
        <v/>
      </c>
      <c r="H616" s="1" t="str">
        <f t="shared" ref="H616:I616" si="618">IF(C616&lt;&gt;"",DEC2HEX(C616,2),"")</f>
        <v/>
      </c>
      <c r="I616" s="1" t="str">
        <f t="shared" si="618"/>
        <v/>
      </c>
      <c r="J616" s="1" t="str">
        <f t="shared" si="3"/>
        <v/>
      </c>
      <c r="L616" s="1" t="s">
        <v>3026</v>
      </c>
      <c r="M616" s="1" t="str">
        <f t="shared" si="4"/>
        <v>19, 26, SHELLDER</v>
      </c>
    </row>
    <row r="617" ht="12.75" customHeight="1">
      <c r="A617" s="3" t="s">
        <v>2847</v>
      </c>
      <c r="B617" s="3" t="str">
        <f t="shared" si="1"/>
        <v>good rod:</v>
      </c>
      <c r="C617" s="1" t="str">
        <f t="array" ref="C617">IF(B616="NEW ROUTE",TEXTSPLIT(B617,","),"")</f>
        <v/>
      </c>
      <c r="H617" s="1" t="str">
        <f t="shared" ref="H617:I617" si="619">IF(C617&lt;&gt;"",DEC2HEX(C617,2),"")</f>
        <v/>
      </c>
      <c r="I617" s="1" t="str">
        <f t="shared" si="619"/>
        <v/>
      </c>
      <c r="J617" s="1" t="str">
        <f t="shared" si="3"/>
        <v/>
      </c>
      <c r="L617" s="1" t="s">
        <v>2847</v>
      </c>
      <c r="M617" s="1" t="str">
        <f t="shared" si="4"/>
        <v>good rod:</v>
      </c>
    </row>
    <row r="618" ht="12.75" customHeight="1">
      <c r="A618" s="3" t="s">
        <v>3027</v>
      </c>
      <c r="B618" s="3" t="str">
        <f t="shared" si="1"/>
        <v>29, 33, SEADRA</v>
      </c>
      <c r="C618" s="1" t="str">
        <f t="array" ref="C618">IF(B617="NEW ROUTE",TEXTSPLIT(B618,","),"")</f>
        <v/>
      </c>
      <c r="H618" s="1" t="str">
        <f t="shared" ref="H618:I618" si="620">IF(C618&lt;&gt;"",DEC2HEX(C618,2),"")</f>
        <v/>
      </c>
      <c r="I618" s="1" t="str">
        <f t="shared" si="620"/>
        <v/>
      </c>
      <c r="J618" s="1" t="str">
        <f t="shared" si="3"/>
        <v/>
      </c>
      <c r="L618" s="1" t="s">
        <v>3027</v>
      </c>
      <c r="M618" s="1" t="str">
        <f t="shared" si="4"/>
        <v>29, 33, SEADRA</v>
      </c>
    </row>
    <row r="619" ht="12.75" customHeight="1">
      <c r="A619" s="3" t="s">
        <v>3028</v>
      </c>
      <c r="B619" s="3" t="str">
        <f t="shared" si="1"/>
        <v>30, 35, KRABBY</v>
      </c>
      <c r="C619" s="1" t="str">
        <f t="array" ref="C619">IF(B618="NEW ROUTE",TEXTSPLIT(B619,","),"")</f>
        <v/>
      </c>
      <c r="H619" s="1" t="str">
        <f t="shared" ref="H619:I619" si="621">IF(C619&lt;&gt;"",DEC2HEX(C619,2),"")</f>
        <v/>
      </c>
      <c r="I619" s="1" t="str">
        <f t="shared" si="621"/>
        <v/>
      </c>
      <c r="J619" s="1" t="str">
        <f t="shared" si="3"/>
        <v/>
      </c>
      <c r="L619" s="1" t="s">
        <v>3028</v>
      </c>
      <c r="M619" s="1" t="str">
        <f t="shared" si="4"/>
        <v>30, 35, KRABBY</v>
      </c>
    </row>
    <row r="620" ht="12.75" customHeight="1">
      <c r="A620" s="3" t="s">
        <v>3029</v>
      </c>
      <c r="B620" s="3" t="str">
        <f t="shared" si="1"/>
        <v>30, 35, GOLDUCK</v>
      </c>
      <c r="C620" s="1" t="str">
        <f t="array" ref="C620">IF(B619="NEW ROUTE",TEXTSPLIT(B620,","),"")</f>
        <v/>
      </c>
      <c r="H620" s="1" t="str">
        <f t="shared" ref="H620:I620" si="622">IF(C620&lt;&gt;"",DEC2HEX(C620,2),"")</f>
        <v/>
      </c>
      <c r="I620" s="1" t="str">
        <f t="shared" si="622"/>
        <v/>
      </c>
      <c r="J620" s="1" t="str">
        <f t="shared" si="3"/>
        <v/>
      </c>
      <c r="L620" s="1" t="s">
        <v>3029</v>
      </c>
      <c r="M620" s="1" t="str">
        <f t="shared" si="4"/>
        <v>30, 35, GOLDUCK</v>
      </c>
    </row>
    <row r="621" ht="12.75" customHeight="1">
      <c r="A621" s="3" t="s">
        <v>2851</v>
      </c>
      <c r="B621" s="3" t="str">
        <f t="shared" si="1"/>
        <v>super rod:</v>
      </c>
      <c r="C621" s="1" t="str">
        <f t="array" ref="C621">IF(B620="NEW ROUTE",TEXTSPLIT(B621,","),"")</f>
        <v/>
      </c>
      <c r="H621" s="1" t="str">
        <f t="shared" ref="H621:I621" si="623">IF(C621&lt;&gt;"",DEC2HEX(C621,2),"")</f>
        <v/>
      </c>
      <c r="I621" s="1" t="str">
        <f t="shared" si="623"/>
        <v/>
      </c>
      <c r="J621" s="1" t="str">
        <f t="shared" si="3"/>
        <v/>
      </c>
      <c r="L621" s="1" t="s">
        <v>2851</v>
      </c>
      <c r="M621" s="1" t="str">
        <f t="shared" si="4"/>
        <v>super rod:</v>
      </c>
    </row>
    <row r="622" ht="12.75" customHeight="1">
      <c r="A622" s="3" t="s">
        <v>3030</v>
      </c>
      <c r="B622" s="3" t="str">
        <f t="shared" si="1"/>
        <v>36, 40, KINGDRA</v>
      </c>
      <c r="C622" s="1" t="str">
        <f t="array" ref="C622">IF(B621="NEW ROUTE",TEXTSPLIT(B622,","),"")</f>
        <v/>
      </c>
      <c r="H622" s="1" t="str">
        <f t="shared" ref="H622:I622" si="624">IF(C622&lt;&gt;"",DEC2HEX(C622,2),"")</f>
        <v/>
      </c>
      <c r="I622" s="1" t="str">
        <f t="shared" si="624"/>
        <v/>
      </c>
      <c r="J622" s="1" t="str">
        <f t="shared" si="3"/>
        <v/>
      </c>
      <c r="L622" s="1" t="s">
        <v>3030</v>
      </c>
      <c r="M622" s="1" t="str">
        <f t="shared" si="4"/>
        <v>36, 40, KINGDRA</v>
      </c>
    </row>
    <row r="623" ht="12.75" customHeight="1">
      <c r="A623" s="3" t="s">
        <v>3031</v>
      </c>
      <c r="B623" s="3" t="str">
        <f t="shared" si="1"/>
        <v>36, 40, CLOYSTER</v>
      </c>
      <c r="C623" s="1" t="str">
        <f t="array" ref="C623">IF(B622="NEW ROUTE",TEXTSPLIT(B623,","),"")</f>
        <v/>
      </c>
      <c r="H623" s="1" t="str">
        <f t="shared" ref="H623:I623" si="625">IF(C623&lt;&gt;"",DEC2HEX(C623,2),"")</f>
        <v/>
      </c>
      <c r="I623" s="1" t="str">
        <f t="shared" si="625"/>
        <v/>
      </c>
      <c r="J623" s="1" t="str">
        <f t="shared" si="3"/>
        <v/>
      </c>
      <c r="L623" s="1" t="s">
        <v>3031</v>
      </c>
      <c r="M623" s="1" t="str">
        <f t="shared" si="4"/>
        <v>36, 40, CLOYSTER</v>
      </c>
    </row>
    <row r="624" ht="12.75" customHeight="1">
      <c r="A624" s="3" t="s">
        <v>3032</v>
      </c>
      <c r="B624" s="3" t="str">
        <f t="shared" si="1"/>
        <v>38, 42, GILDUCK</v>
      </c>
      <c r="C624" s="1" t="str">
        <f t="array" ref="C624">IF(B623="NEW ROUTE",TEXTSPLIT(B624,","),"")</f>
        <v/>
      </c>
      <c r="H624" s="1" t="str">
        <f t="shared" ref="H624:I624" si="626">IF(C624&lt;&gt;"",DEC2HEX(C624,2),"")</f>
        <v/>
      </c>
      <c r="I624" s="1" t="str">
        <f t="shared" si="626"/>
        <v/>
      </c>
      <c r="J624" s="1" t="str">
        <f t="shared" si="3"/>
        <v/>
      </c>
      <c r="L624" s="1" t="s">
        <v>3032</v>
      </c>
      <c r="M624" s="1" t="str">
        <f t="shared" si="4"/>
        <v>38, 42, GILDUCK</v>
      </c>
    </row>
    <row r="625" ht="12.75" customHeight="1">
      <c r="A625" s="3" t="s">
        <v>3033</v>
      </c>
      <c r="B625" s="3" t="str">
        <f t="shared" si="1"/>
        <v>38, 42, KRAKLAW</v>
      </c>
      <c r="C625" s="1" t="str">
        <f t="array" ref="C625">IF(B624="NEW ROUTE",TEXTSPLIT(B625,","),"")</f>
        <v/>
      </c>
      <c r="H625" s="1" t="str">
        <f t="shared" ref="H625:I625" si="627">IF(C625&lt;&gt;"",DEC2HEX(C625,2),"")</f>
        <v/>
      </c>
      <c r="I625" s="1" t="str">
        <f t="shared" si="627"/>
        <v/>
      </c>
      <c r="J625" s="1" t="str">
        <f t="shared" si="3"/>
        <v/>
      </c>
      <c r="L625" s="1" t="s">
        <v>3033</v>
      </c>
      <c r="M625" s="1" t="str">
        <f t="shared" si="4"/>
        <v>38, 42, KRAKLAW</v>
      </c>
    </row>
    <row r="626" ht="12.75" customHeight="1">
      <c r="A626" s="3" t="s">
        <v>3034</v>
      </c>
      <c r="B626" s="3" t="str">
        <f t="shared" si="1"/>
        <v>40, 44, LORDRA</v>
      </c>
      <c r="C626" s="1" t="str">
        <f t="array" ref="C626">IF(B625="NEW ROUTE",TEXTSPLIT(B626,","),"")</f>
        <v/>
      </c>
      <c r="H626" s="1" t="str">
        <f t="shared" ref="H626:I626" si="628">IF(C626&lt;&gt;"",DEC2HEX(C626,2),"")</f>
        <v/>
      </c>
      <c r="I626" s="1" t="str">
        <f t="shared" si="628"/>
        <v/>
      </c>
      <c r="J626" s="1" t="str">
        <f t="shared" si="3"/>
        <v/>
      </c>
      <c r="L626" s="1" t="s">
        <v>3034</v>
      </c>
      <c r="M626" s="1" t="str">
        <f t="shared" si="4"/>
        <v>40, 44, LORDRA</v>
      </c>
    </row>
    <row r="627" ht="12.75" customHeight="1">
      <c r="A627" s="3" t="s">
        <v>2539</v>
      </c>
      <c r="B627" s="3" t="str">
        <f t="shared" si="1"/>
        <v>NEW ROUTE</v>
      </c>
      <c r="C627" s="1" t="str">
        <f t="array" ref="C627">IF(B626="NEW ROUTE",TEXTSPLIT(B627,","),"")</f>
        <v/>
      </c>
      <c r="H627" s="1" t="str">
        <f t="shared" ref="H627:I627" si="629">IF(C627&lt;&gt;"",DEC2HEX(C627,2),"")</f>
        <v/>
      </c>
      <c r="I627" s="1" t="str">
        <f t="shared" si="629"/>
        <v/>
      </c>
      <c r="J627" s="1" t="str">
        <f t="shared" si="3"/>
        <v/>
      </c>
      <c r="L627" s="1" t="s">
        <v>2539</v>
      </c>
      <c r="M627" s="1" t="str">
        <f t="shared" si="4"/>
        <v>NEW ROUTE</v>
      </c>
    </row>
    <row r="628" ht="12.75" customHeight="1">
      <c r="A628" s="3" t="s">
        <v>3035</v>
      </c>
      <c r="B628" s="3" t="str">
        <f t="shared" si="1"/>
        <v>1, 87, 0,</v>
      </c>
      <c r="C628" s="1" t="str">
        <f t="array" ref="C628">IF(B627="NEW ROUTE",TEXTSPLIT(B628,","),"")</f>
        <v>#NAME?</v>
      </c>
      <c r="H628" s="1" t="str">
        <f t="shared" ref="H628:I628" si="630">IF(C628&lt;&gt;"",DEC2HEX(C628,2),"")</f>
        <v>#NAME?</v>
      </c>
      <c r="I628" s="1" t="str">
        <f t="shared" si="630"/>
        <v/>
      </c>
      <c r="J628" s="1" t="str">
        <f t="shared" si="3"/>
        <v>#NAME?</v>
      </c>
      <c r="L628" s="1" t="s">
        <v>3035</v>
      </c>
      <c r="M628" s="1" t="str">
        <f t="shared" si="4"/>
        <v>#NAME?</v>
      </c>
    </row>
    <row r="629" ht="12.75" customHeight="1">
      <c r="A629" s="3" t="s">
        <v>2817</v>
      </c>
      <c r="B629" s="3" t="str">
        <f t="shared" si="1"/>
        <v>20%</v>
      </c>
      <c r="C629" s="1" t="str">
        <f t="array" ref="C629">IF(B628="NEW ROUTE",TEXTSPLIT(B629,","),"")</f>
        <v/>
      </c>
      <c r="H629" s="1" t="str">
        <f t="shared" ref="H629:I629" si="631">IF(C629&lt;&gt;"",DEC2HEX(C629,2),"")</f>
        <v/>
      </c>
      <c r="I629" s="1" t="str">
        <f t="shared" si="631"/>
        <v/>
      </c>
      <c r="J629" s="1" t="str">
        <f t="shared" si="3"/>
        <v/>
      </c>
      <c r="L629" s="1" t="s">
        <v>2799</v>
      </c>
      <c r="M629" s="1" t="str">
        <f t="shared" si="4"/>
        <v>20%</v>
      </c>
    </row>
    <row r="630" ht="12.75" customHeight="1">
      <c r="A630" s="3" t="s">
        <v>581</v>
      </c>
      <c r="B630" s="3" t="str">
        <f t="shared" si="1"/>
        <v>40, 44, GOLBAT</v>
      </c>
      <c r="C630" s="1" t="str">
        <f t="array" ref="C630">IF(B629="NEW ROUTE",TEXTSPLIT(B630,","),"")</f>
        <v/>
      </c>
      <c r="H630" s="1" t="str">
        <f t="shared" ref="H630:I630" si="632">IF(C630&lt;&gt;"",DEC2HEX(C630,2),"")</f>
        <v/>
      </c>
      <c r="I630" s="1" t="str">
        <f t="shared" si="632"/>
        <v/>
      </c>
      <c r="J630" s="1" t="str">
        <f t="shared" si="3"/>
        <v/>
      </c>
      <c r="L630" s="1" t="s">
        <v>581</v>
      </c>
      <c r="M630" s="1" t="str">
        <f t="shared" si="4"/>
        <v>40, 44, GOLBAT</v>
      </c>
    </row>
    <row r="631" ht="12.75" customHeight="1">
      <c r="A631" s="3" t="s">
        <v>3006</v>
      </c>
      <c r="B631" s="3" t="str">
        <f t="shared" si="1"/>
        <v>40, 44, GOLDUCK</v>
      </c>
      <c r="C631" s="1" t="str">
        <f t="array" ref="C631">IF(B630="NEW ROUTE",TEXTSPLIT(B631,","),"")</f>
        <v/>
      </c>
      <c r="H631" s="1" t="str">
        <f t="shared" ref="H631:I631" si="633">IF(C631&lt;&gt;"",DEC2HEX(C631,2),"")</f>
        <v/>
      </c>
      <c r="I631" s="1" t="str">
        <f t="shared" si="633"/>
        <v/>
      </c>
      <c r="J631" s="1" t="str">
        <f t="shared" si="3"/>
        <v/>
      </c>
      <c r="L631" s="1" t="s">
        <v>3006</v>
      </c>
      <c r="M631" s="1" t="str">
        <f t="shared" si="4"/>
        <v>40, 44, GOLDUCK</v>
      </c>
    </row>
    <row r="632" ht="12.75" customHeight="1">
      <c r="A632" s="3" t="s">
        <v>2802</v>
      </c>
      <c r="B632" s="3" t="str">
        <f t="shared" si="1"/>
        <v>0.1</v>
      </c>
      <c r="C632" s="1" t="str">
        <f t="array" ref="C632">IF(B631="NEW ROUTE",TEXTSPLIT(B632,","),"")</f>
        <v/>
      </c>
      <c r="H632" s="1" t="str">
        <f t="shared" ref="H632:I632" si="634">IF(C632&lt;&gt;"",DEC2HEX(C632,2),"")</f>
        <v/>
      </c>
      <c r="I632" s="1" t="str">
        <f t="shared" si="634"/>
        <v/>
      </c>
      <c r="J632" s="1" t="str">
        <f t="shared" si="3"/>
        <v/>
      </c>
      <c r="L632" s="1" t="s">
        <v>2802</v>
      </c>
      <c r="M632" s="1" t="str">
        <f t="shared" si="4"/>
        <v>0.1</v>
      </c>
    </row>
    <row r="633" ht="12.75" customHeight="1">
      <c r="A633" s="3" t="s">
        <v>3007</v>
      </c>
      <c r="B633" s="3" t="str">
        <f t="shared" si="1"/>
        <v>40, 44, SLOWBRO</v>
      </c>
      <c r="C633" s="1" t="str">
        <f t="array" ref="C633">IF(B632="NEW ROUTE",TEXTSPLIT(B633,","),"")</f>
        <v/>
      </c>
      <c r="H633" s="1" t="str">
        <f t="shared" ref="H633:I633" si="635">IF(C633&lt;&gt;"",DEC2HEX(C633,2),"")</f>
        <v/>
      </c>
      <c r="I633" s="1" t="str">
        <f t="shared" si="635"/>
        <v/>
      </c>
      <c r="J633" s="1" t="str">
        <f t="shared" si="3"/>
        <v/>
      </c>
      <c r="L633" s="1" t="s">
        <v>3007</v>
      </c>
      <c r="M633" s="1" t="str">
        <f t="shared" si="4"/>
        <v>40, 44, SLOWBRO</v>
      </c>
    </row>
    <row r="634" ht="12.75" customHeight="1">
      <c r="A634" s="3" t="s">
        <v>3008</v>
      </c>
      <c r="B634" s="3" t="str">
        <f t="shared" si="1"/>
        <v>40, 44, CROBAT</v>
      </c>
      <c r="C634" s="1" t="str">
        <f t="array" ref="C634">IF(B633="NEW ROUTE",TEXTSPLIT(B634,","),"")</f>
        <v/>
      </c>
      <c r="H634" s="1" t="str">
        <f t="shared" ref="H634:I634" si="636">IF(C634&lt;&gt;"",DEC2HEX(C634,2),"")</f>
        <v/>
      </c>
      <c r="I634" s="1" t="str">
        <f t="shared" si="636"/>
        <v/>
      </c>
      <c r="J634" s="1" t="str">
        <f t="shared" si="3"/>
        <v/>
      </c>
      <c r="L634" s="1" t="s">
        <v>3008</v>
      </c>
      <c r="M634" s="1" t="str">
        <f t="shared" si="4"/>
        <v>40, 44, CROBAT</v>
      </c>
    </row>
    <row r="635" ht="12.75" customHeight="1">
      <c r="A635" s="3" t="s">
        <v>3009</v>
      </c>
      <c r="B635" s="3" t="str">
        <f t="shared" si="1"/>
        <v>40, 44, DEWGONG</v>
      </c>
      <c r="C635" s="1" t="str">
        <f t="array" ref="C635">IF(B634="NEW ROUTE",TEXTSPLIT(B635,","),"")</f>
        <v/>
      </c>
      <c r="H635" s="1" t="str">
        <f t="shared" ref="H635:I635" si="637">IF(C635&lt;&gt;"",DEC2HEX(C635,2),"")</f>
        <v/>
      </c>
      <c r="I635" s="1" t="str">
        <f t="shared" si="637"/>
        <v/>
      </c>
      <c r="J635" s="1" t="str">
        <f t="shared" si="3"/>
        <v/>
      </c>
      <c r="L635" s="1" t="s">
        <v>3009</v>
      </c>
      <c r="M635" s="1" t="str">
        <f t="shared" si="4"/>
        <v>40, 44, DEWGONG</v>
      </c>
    </row>
    <row r="636" ht="12.75" customHeight="1">
      <c r="A636" s="3" t="s">
        <v>3010</v>
      </c>
      <c r="B636" s="3" t="str">
        <f t="shared" si="1"/>
        <v>40, 44, LICKILICKY</v>
      </c>
      <c r="C636" s="1" t="str">
        <f t="array" ref="C636">IF(B635="NEW ROUTE",TEXTSPLIT(B636,","),"")</f>
        <v/>
      </c>
      <c r="H636" s="1" t="str">
        <f t="shared" ref="H636:I636" si="638">IF(C636&lt;&gt;"",DEC2HEX(C636,2),"")</f>
        <v/>
      </c>
      <c r="I636" s="1" t="str">
        <f t="shared" si="638"/>
        <v/>
      </c>
      <c r="J636" s="1" t="str">
        <f t="shared" si="3"/>
        <v/>
      </c>
      <c r="L636" s="1" t="s">
        <v>3010</v>
      </c>
      <c r="M636" s="1" t="str">
        <f t="shared" si="4"/>
        <v>40, 44, LICKILICKY</v>
      </c>
    </row>
    <row r="637" ht="12.75" customHeight="1">
      <c r="A637" s="3" t="s">
        <v>2807</v>
      </c>
      <c r="B637" s="3" t="str">
        <f t="shared" si="1"/>
        <v>0.05</v>
      </c>
      <c r="C637" s="1" t="str">
        <f t="array" ref="C637">IF(B636="NEW ROUTE",TEXTSPLIT(B637,","),"")</f>
        <v/>
      </c>
      <c r="H637" s="1" t="str">
        <f t="shared" ref="H637:I637" si="639">IF(C637&lt;&gt;"",DEC2HEX(C637,2),"")</f>
        <v/>
      </c>
      <c r="I637" s="1" t="str">
        <f t="shared" si="639"/>
        <v/>
      </c>
      <c r="J637" s="1" t="str">
        <f t="shared" si="3"/>
        <v/>
      </c>
      <c r="L637" s="1" t="s">
        <v>2807</v>
      </c>
      <c r="M637" s="1" t="str">
        <f t="shared" si="4"/>
        <v>0.05</v>
      </c>
    </row>
    <row r="638" ht="12.75" customHeight="1">
      <c r="A638" s="3" t="s">
        <v>3011</v>
      </c>
      <c r="B638" s="3" t="str">
        <f t="shared" si="1"/>
        <v>42, 46, POLABAT</v>
      </c>
      <c r="C638" s="1" t="str">
        <f t="array" ref="C638">IF(B637="NEW ROUTE",TEXTSPLIT(B638,","),"")</f>
        <v/>
      </c>
      <c r="H638" s="1" t="str">
        <f t="shared" ref="H638:I638" si="640">IF(C638&lt;&gt;"",DEC2HEX(C638,2),"")</f>
        <v/>
      </c>
      <c r="I638" s="1" t="str">
        <f t="shared" si="640"/>
        <v/>
      </c>
      <c r="J638" s="1" t="str">
        <f t="shared" si="3"/>
        <v/>
      </c>
      <c r="L638" s="1" t="s">
        <v>3011</v>
      </c>
      <c r="M638" s="1" t="str">
        <f t="shared" si="4"/>
        <v>42, 46, POLABAT</v>
      </c>
    </row>
    <row r="639" ht="12.75" customHeight="1">
      <c r="A639" s="3" t="s">
        <v>3012</v>
      </c>
      <c r="B639" s="3" t="str">
        <f t="shared" si="1"/>
        <v>42, 46, GILDUCK</v>
      </c>
      <c r="C639" s="1" t="str">
        <f t="array" ref="C639">IF(B638="NEW ROUTE",TEXTSPLIT(B639,","),"")</f>
        <v/>
      </c>
      <c r="H639" s="1" t="str">
        <f t="shared" ref="H639:I639" si="641">IF(C639&lt;&gt;"",DEC2HEX(C639,2),"")</f>
        <v/>
      </c>
      <c r="I639" s="1" t="str">
        <f t="shared" si="641"/>
        <v/>
      </c>
      <c r="J639" s="1" t="str">
        <f t="shared" si="3"/>
        <v/>
      </c>
      <c r="L639" s="1" t="s">
        <v>3012</v>
      </c>
      <c r="M639" s="1" t="str">
        <f t="shared" si="4"/>
        <v>42, 46, GILDUCK</v>
      </c>
    </row>
    <row r="640" ht="12.75" customHeight="1">
      <c r="A640" s="3" t="s">
        <v>2810</v>
      </c>
      <c r="B640" s="3" t="str">
        <f t="shared" si="1"/>
        <v>0.04</v>
      </c>
      <c r="C640" s="1" t="str">
        <f t="array" ref="C640">IF(B639="NEW ROUTE",TEXTSPLIT(B640,","),"")</f>
        <v/>
      </c>
      <c r="H640" s="1" t="str">
        <f t="shared" ref="H640:I640" si="642">IF(C640&lt;&gt;"",DEC2HEX(C640,2),"")</f>
        <v/>
      </c>
      <c r="I640" s="1" t="str">
        <f t="shared" si="642"/>
        <v/>
      </c>
      <c r="J640" s="1" t="str">
        <f t="shared" si="3"/>
        <v/>
      </c>
      <c r="L640" s="1" t="s">
        <v>2810</v>
      </c>
      <c r="M640" s="1" t="str">
        <f t="shared" si="4"/>
        <v>0.04</v>
      </c>
    </row>
    <row r="641" ht="12.75" customHeight="1">
      <c r="A641" s="3" t="s">
        <v>3013</v>
      </c>
      <c r="B641" s="3" t="str">
        <f t="shared" si="1"/>
        <v>44, 47, SLOWMATE</v>
      </c>
      <c r="C641" s="1" t="str">
        <f t="array" ref="C641">IF(B640="NEW ROUTE",TEXTSPLIT(B641,","),"")</f>
        <v/>
      </c>
      <c r="H641" s="1" t="str">
        <f t="shared" ref="H641:I641" si="643">IF(C641&lt;&gt;"",DEC2HEX(C641,2),"")</f>
        <v/>
      </c>
      <c r="I641" s="1" t="str">
        <f t="shared" si="643"/>
        <v/>
      </c>
      <c r="J641" s="1" t="str">
        <f t="shared" si="3"/>
        <v/>
      </c>
      <c r="L641" s="1" t="s">
        <v>3013</v>
      </c>
      <c r="M641" s="1" t="str">
        <f t="shared" si="4"/>
        <v>44, 47, SLOWMATE</v>
      </c>
    </row>
    <row r="642" ht="12.75" customHeight="1">
      <c r="A642" s="3" t="s">
        <v>3014</v>
      </c>
      <c r="B642" s="3" t="str">
        <f t="shared" si="1"/>
        <v>44, 47, PRECIPED</v>
      </c>
      <c r="C642" s="1" t="str">
        <f t="array" ref="C642">IF(B641="NEW ROUTE",TEXTSPLIT(B642,","),"")</f>
        <v/>
      </c>
      <c r="H642" s="1" t="str">
        <f t="shared" ref="H642:I642" si="644">IF(C642&lt;&gt;"",DEC2HEX(C642,2),"")</f>
        <v/>
      </c>
      <c r="I642" s="1" t="str">
        <f t="shared" si="644"/>
        <v/>
      </c>
      <c r="J642" s="1" t="str">
        <f t="shared" si="3"/>
        <v/>
      </c>
      <c r="L642" s="1" t="s">
        <v>3014</v>
      </c>
      <c r="M642" s="1" t="str">
        <f t="shared" si="4"/>
        <v>44, 47, PRECIPED</v>
      </c>
    </row>
    <row r="643" ht="12.75" customHeight="1">
      <c r="A643" s="3" t="s">
        <v>2813</v>
      </c>
      <c r="B643" s="3" t="str">
        <f t="shared" si="1"/>
        <v>0.01</v>
      </c>
      <c r="C643" s="1" t="str">
        <f t="array" ref="C643">IF(B642="NEW ROUTE",TEXTSPLIT(B643,","),"")</f>
        <v/>
      </c>
      <c r="H643" s="1" t="str">
        <f t="shared" ref="H643:I643" si="645">IF(C643&lt;&gt;"",DEC2HEX(C643,2),"")</f>
        <v/>
      </c>
      <c r="I643" s="1" t="str">
        <f t="shared" si="645"/>
        <v/>
      </c>
      <c r="J643" s="1" t="str">
        <f t="shared" si="3"/>
        <v/>
      </c>
      <c r="L643" s="1" t="s">
        <v>2813</v>
      </c>
      <c r="M643" s="1" t="str">
        <f t="shared" si="4"/>
        <v>0.01</v>
      </c>
    </row>
    <row r="644" ht="12.75" customHeight="1">
      <c r="A644" s="3" t="s">
        <v>3015</v>
      </c>
      <c r="B644" s="3" t="str">
        <f t="shared" si="1"/>
        <v>45, 50, DRAGONITE</v>
      </c>
      <c r="C644" s="1" t="str">
        <f t="array" ref="C644">IF(B643="NEW ROUTE",TEXTSPLIT(B644,","),"")</f>
        <v/>
      </c>
      <c r="H644" s="1" t="str">
        <f t="shared" ref="H644:I644" si="646">IF(C644&lt;&gt;"",DEC2HEX(C644,2),"")</f>
        <v/>
      </c>
      <c r="I644" s="1" t="str">
        <f t="shared" si="646"/>
        <v/>
      </c>
      <c r="J644" s="1" t="str">
        <f t="shared" si="3"/>
        <v/>
      </c>
      <c r="L644" s="1" t="s">
        <v>3015</v>
      </c>
      <c r="M644" s="1" t="str">
        <f t="shared" si="4"/>
        <v>45, 50, DRAGONITE</v>
      </c>
    </row>
    <row r="645" ht="12.75" customHeight="1">
      <c r="A645" s="3" t="s">
        <v>3021</v>
      </c>
      <c r="B645" s="3" t="str">
        <f t="shared" si="1"/>
        <v>45, 50, LICKILOLLY</v>
      </c>
      <c r="C645" s="1" t="str">
        <f t="array" ref="C645">IF(B644="NEW ROUTE",TEXTSPLIT(B645,","),"")</f>
        <v/>
      </c>
      <c r="H645" s="1" t="str">
        <f t="shared" ref="H645:I645" si="647">IF(C645&lt;&gt;"",DEC2HEX(C645,2),"")</f>
        <v/>
      </c>
      <c r="I645" s="1" t="str">
        <f t="shared" si="647"/>
        <v/>
      </c>
      <c r="J645" s="1" t="str">
        <f t="shared" si="3"/>
        <v/>
      </c>
      <c r="L645" s="1" t="s">
        <v>3021</v>
      </c>
      <c r="M645" s="1" t="str">
        <f t="shared" si="4"/>
        <v>45, 50, LICKILOLLY</v>
      </c>
    </row>
    <row r="646" ht="12.75" customHeight="1">
      <c r="A646" s="3" t="s">
        <v>3022</v>
      </c>
      <c r="B646" s="3" t="str">
        <f t="shared" si="1"/>
        <v>2, 38, 44, DEWGONG</v>
      </c>
      <c r="C646" s="1" t="str">
        <f t="array" ref="C646">IF(B645="NEW ROUTE",TEXTSPLIT(B646,","),"")</f>
        <v/>
      </c>
      <c r="H646" s="1" t="str">
        <f t="shared" ref="H646:I646" si="648">IF(C646&lt;&gt;"",DEC2HEX(C646,2),"")</f>
        <v/>
      </c>
      <c r="I646" s="1" t="str">
        <f t="shared" si="648"/>
        <v/>
      </c>
      <c r="J646" s="1" t="str">
        <f t="shared" si="3"/>
        <v/>
      </c>
      <c r="L646" s="1" t="s">
        <v>3022</v>
      </c>
      <c r="M646" s="1" t="str">
        <f t="shared" si="4"/>
        <v>2, 38, 44, DEWGONG</v>
      </c>
    </row>
    <row r="647" ht="12.75" customHeight="1">
      <c r="A647" s="3" t="s">
        <v>3023</v>
      </c>
      <c r="B647" s="3" t="str">
        <f t="shared" si="1"/>
        <v>40, 44, SEADRA</v>
      </c>
      <c r="C647" s="1" t="str">
        <f t="array" ref="C647">IF(B646="NEW ROUTE",TEXTSPLIT(B647,","),"")</f>
        <v/>
      </c>
      <c r="H647" s="1" t="str">
        <f t="shared" ref="H647:I647" si="649">IF(C647&lt;&gt;"",DEC2HEX(C647,2),"")</f>
        <v/>
      </c>
      <c r="I647" s="1" t="str">
        <f t="shared" si="649"/>
        <v/>
      </c>
      <c r="J647" s="1" t="str">
        <f t="shared" si="3"/>
        <v/>
      </c>
      <c r="L647" s="1" t="s">
        <v>3023</v>
      </c>
      <c r="M647" s="1" t="str">
        <f t="shared" si="4"/>
        <v>40, 44, SEADRA</v>
      </c>
    </row>
    <row r="648" ht="12.75" customHeight="1">
      <c r="A648" s="3" t="s">
        <v>3024</v>
      </c>
      <c r="B648" s="3" t="str">
        <f t="shared" si="1"/>
        <v>42, 46, KINGLER</v>
      </c>
      <c r="C648" s="1" t="str">
        <f t="array" ref="C648">IF(B647="NEW ROUTE",TEXTSPLIT(B648,","),"")</f>
        <v/>
      </c>
      <c r="H648" s="1" t="str">
        <f t="shared" ref="H648:I648" si="650">IF(C648&lt;&gt;"",DEC2HEX(C648,2),"")</f>
        <v/>
      </c>
      <c r="I648" s="1" t="str">
        <f t="shared" si="650"/>
        <v/>
      </c>
      <c r="J648" s="1" t="str">
        <f t="shared" si="3"/>
        <v/>
      </c>
      <c r="L648" s="1" t="s">
        <v>3024</v>
      </c>
      <c r="M648" s="1" t="str">
        <f t="shared" si="4"/>
        <v>42, 46, KINGLER</v>
      </c>
    </row>
    <row r="649" ht="12.75" customHeight="1">
      <c r="A649" s="3" t="s">
        <v>3025</v>
      </c>
      <c r="B649" s="3" t="str">
        <f t="shared" si="1"/>
        <v>42, 46, LAPRAS</v>
      </c>
      <c r="C649" s="1" t="str">
        <f t="array" ref="C649">IF(B648="NEW ROUTE",TEXTSPLIT(B649,","),"")</f>
        <v/>
      </c>
      <c r="H649" s="1" t="str">
        <f t="shared" ref="H649:I649" si="651">IF(C649&lt;&gt;"",DEC2HEX(C649,2),"")</f>
        <v/>
      </c>
      <c r="I649" s="1" t="str">
        <f t="shared" si="651"/>
        <v/>
      </c>
      <c r="J649" s="1" t="str">
        <f t="shared" si="3"/>
        <v/>
      </c>
      <c r="L649" s="1" t="s">
        <v>3025</v>
      </c>
      <c r="M649" s="1" t="str">
        <f t="shared" si="4"/>
        <v>42, 46, LAPRAS</v>
      </c>
    </row>
    <row r="650" ht="12.75" customHeight="1">
      <c r="A650" s="3" t="s">
        <v>2923</v>
      </c>
      <c r="B650" s="3" t="str">
        <f t="shared" si="1"/>
        <v>42, 46, SLOWBRO</v>
      </c>
      <c r="C650" s="1" t="str">
        <f t="array" ref="C650">IF(B649="NEW ROUTE",TEXTSPLIT(B650,","),"")</f>
        <v/>
      </c>
      <c r="H650" s="1" t="str">
        <f t="shared" ref="H650:I650" si="652">IF(C650&lt;&gt;"",DEC2HEX(C650,2),"")</f>
        <v/>
      </c>
      <c r="I650" s="1" t="str">
        <f t="shared" si="652"/>
        <v/>
      </c>
      <c r="J650" s="1" t="str">
        <f t="shared" si="3"/>
        <v/>
      </c>
      <c r="L650" s="1" t="s">
        <v>2923</v>
      </c>
      <c r="M650" s="1" t="str">
        <f t="shared" si="4"/>
        <v>42, 46, SLOWBRO</v>
      </c>
    </row>
    <row r="651" ht="12.75" customHeight="1">
      <c r="A651" s="3" t="s">
        <v>2926</v>
      </c>
      <c r="B651" s="3" t="str">
        <f t="shared" si="1"/>
        <v>20, old rod:</v>
      </c>
      <c r="C651" s="1" t="str">
        <f t="array" ref="C651">IF(B650="NEW ROUTE",TEXTSPLIT(B651,","),"")</f>
        <v/>
      </c>
      <c r="H651" s="1" t="str">
        <f t="shared" ref="H651:I651" si="653">IF(C651&lt;&gt;"",DEC2HEX(C651,2),"")</f>
        <v/>
      </c>
      <c r="I651" s="1" t="str">
        <f t="shared" si="653"/>
        <v/>
      </c>
      <c r="J651" s="1" t="str">
        <f t="shared" si="3"/>
        <v/>
      </c>
      <c r="L651" s="1" t="s">
        <v>2926</v>
      </c>
      <c r="M651" s="1" t="str">
        <f t="shared" si="4"/>
        <v>20, old rod:</v>
      </c>
    </row>
    <row r="652" ht="12.75" customHeight="1">
      <c r="A652" s="3" t="s">
        <v>602</v>
      </c>
      <c r="B652" s="3" t="str">
        <f t="shared" si="1"/>
        <v>19, 26, HORSEA</v>
      </c>
      <c r="C652" s="1" t="str">
        <f t="array" ref="C652">IF(B651="NEW ROUTE",TEXTSPLIT(B652,","),"")</f>
        <v/>
      </c>
      <c r="H652" s="1" t="str">
        <f t="shared" ref="H652:I652" si="654">IF(C652&lt;&gt;"",DEC2HEX(C652,2),"")</f>
        <v/>
      </c>
      <c r="I652" s="1" t="str">
        <f t="shared" si="654"/>
        <v/>
      </c>
      <c r="J652" s="1" t="str">
        <f t="shared" si="3"/>
        <v/>
      </c>
      <c r="L652" s="1" t="s">
        <v>602</v>
      </c>
      <c r="M652" s="1" t="str">
        <f t="shared" si="4"/>
        <v>19, 26, HORSEA</v>
      </c>
    </row>
    <row r="653" ht="12.75" customHeight="1">
      <c r="A653" s="3" t="s">
        <v>3026</v>
      </c>
      <c r="B653" s="3" t="str">
        <f t="shared" si="1"/>
        <v>19, 26, SHELLDER</v>
      </c>
      <c r="C653" s="1" t="str">
        <f t="array" ref="C653">IF(B652="NEW ROUTE",TEXTSPLIT(B653,","),"")</f>
        <v/>
      </c>
      <c r="H653" s="1" t="str">
        <f t="shared" ref="H653:I653" si="655">IF(C653&lt;&gt;"",DEC2HEX(C653,2),"")</f>
        <v/>
      </c>
      <c r="I653" s="1" t="str">
        <f t="shared" si="655"/>
        <v/>
      </c>
      <c r="J653" s="1" t="str">
        <f t="shared" si="3"/>
        <v/>
      </c>
      <c r="L653" s="1" t="s">
        <v>3026</v>
      </c>
      <c r="M653" s="1" t="str">
        <f t="shared" si="4"/>
        <v>19, 26, SHELLDER</v>
      </c>
    </row>
    <row r="654" ht="12.75" customHeight="1">
      <c r="A654" s="3" t="s">
        <v>2847</v>
      </c>
      <c r="B654" s="3" t="str">
        <f t="shared" si="1"/>
        <v>good rod:</v>
      </c>
      <c r="C654" s="1" t="str">
        <f t="array" ref="C654">IF(B653="NEW ROUTE",TEXTSPLIT(B654,","),"")</f>
        <v/>
      </c>
      <c r="H654" s="1" t="str">
        <f t="shared" ref="H654:I654" si="656">IF(C654&lt;&gt;"",DEC2HEX(C654,2),"")</f>
        <v/>
      </c>
      <c r="I654" s="1" t="str">
        <f t="shared" si="656"/>
        <v/>
      </c>
      <c r="J654" s="1" t="str">
        <f t="shared" si="3"/>
        <v/>
      </c>
      <c r="L654" s="1" t="s">
        <v>2847</v>
      </c>
      <c r="M654" s="1" t="str">
        <f t="shared" si="4"/>
        <v>good rod:</v>
      </c>
    </row>
    <row r="655" ht="12.75" customHeight="1">
      <c r="A655" s="3" t="s">
        <v>3027</v>
      </c>
      <c r="B655" s="3" t="str">
        <f t="shared" si="1"/>
        <v>29, 33, SEADRA</v>
      </c>
      <c r="C655" s="1" t="str">
        <f t="array" ref="C655">IF(B654="NEW ROUTE",TEXTSPLIT(B655,","),"")</f>
        <v/>
      </c>
      <c r="H655" s="1" t="str">
        <f t="shared" ref="H655:I655" si="657">IF(C655&lt;&gt;"",DEC2HEX(C655,2),"")</f>
        <v/>
      </c>
      <c r="I655" s="1" t="str">
        <f t="shared" si="657"/>
        <v/>
      </c>
      <c r="J655" s="1" t="str">
        <f t="shared" si="3"/>
        <v/>
      </c>
      <c r="L655" s="1" t="s">
        <v>3027</v>
      </c>
      <c r="M655" s="1" t="str">
        <f t="shared" si="4"/>
        <v>29, 33, SEADRA</v>
      </c>
    </row>
    <row r="656" ht="12.75" customHeight="1">
      <c r="A656" s="3" t="s">
        <v>3028</v>
      </c>
      <c r="B656" s="3" t="str">
        <f t="shared" si="1"/>
        <v>30, 35, KRABBY</v>
      </c>
      <c r="C656" s="1" t="str">
        <f t="array" ref="C656">IF(B655="NEW ROUTE",TEXTSPLIT(B656,","),"")</f>
        <v/>
      </c>
      <c r="H656" s="1" t="str">
        <f t="shared" ref="H656:I656" si="658">IF(C656&lt;&gt;"",DEC2HEX(C656,2),"")</f>
        <v/>
      </c>
      <c r="I656" s="1" t="str">
        <f t="shared" si="658"/>
        <v/>
      </c>
      <c r="J656" s="1" t="str">
        <f t="shared" si="3"/>
        <v/>
      </c>
      <c r="L656" s="1" t="s">
        <v>3028</v>
      </c>
      <c r="M656" s="1" t="str">
        <f t="shared" si="4"/>
        <v>30, 35, KRABBY</v>
      </c>
    </row>
    <row r="657" ht="12.75" customHeight="1">
      <c r="A657" s="3" t="s">
        <v>3029</v>
      </c>
      <c r="B657" s="3" t="str">
        <f t="shared" si="1"/>
        <v>30, 35, GOLDUCK</v>
      </c>
      <c r="C657" s="1" t="str">
        <f t="array" ref="C657">IF(B656="NEW ROUTE",TEXTSPLIT(B657,","),"")</f>
        <v/>
      </c>
      <c r="H657" s="1" t="str">
        <f t="shared" ref="H657:I657" si="659">IF(C657&lt;&gt;"",DEC2HEX(C657,2),"")</f>
        <v/>
      </c>
      <c r="I657" s="1" t="str">
        <f t="shared" si="659"/>
        <v/>
      </c>
      <c r="J657" s="1" t="str">
        <f t="shared" si="3"/>
        <v/>
      </c>
      <c r="L657" s="1" t="s">
        <v>3029</v>
      </c>
      <c r="M657" s="1" t="str">
        <f t="shared" si="4"/>
        <v>30, 35, GOLDUCK</v>
      </c>
    </row>
    <row r="658" ht="12.75" customHeight="1">
      <c r="A658" s="3" t="s">
        <v>2851</v>
      </c>
      <c r="B658" s="3" t="str">
        <f t="shared" si="1"/>
        <v>super rod:</v>
      </c>
      <c r="C658" s="1" t="str">
        <f t="array" ref="C658">IF(B657="NEW ROUTE",TEXTSPLIT(B658,","),"")</f>
        <v/>
      </c>
      <c r="H658" s="1" t="str">
        <f t="shared" ref="H658:I658" si="660">IF(C658&lt;&gt;"",DEC2HEX(C658,2),"")</f>
        <v/>
      </c>
      <c r="I658" s="1" t="str">
        <f t="shared" si="660"/>
        <v/>
      </c>
      <c r="J658" s="1" t="str">
        <f t="shared" si="3"/>
        <v/>
      </c>
      <c r="L658" s="1" t="s">
        <v>2851</v>
      </c>
      <c r="M658" s="1" t="str">
        <f t="shared" si="4"/>
        <v>super rod:</v>
      </c>
    </row>
    <row r="659" ht="12.75" customHeight="1">
      <c r="A659" s="3" t="s">
        <v>3030</v>
      </c>
      <c r="B659" s="3" t="str">
        <f t="shared" si="1"/>
        <v>36, 40, KINGDRA</v>
      </c>
      <c r="C659" s="1" t="str">
        <f t="array" ref="C659">IF(B658="NEW ROUTE",TEXTSPLIT(B659,","),"")</f>
        <v/>
      </c>
      <c r="H659" s="1" t="str">
        <f t="shared" ref="H659:I659" si="661">IF(C659&lt;&gt;"",DEC2HEX(C659,2),"")</f>
        <v/>
      </c>
      <c r="I659" s="1" t="str">
        <f t="shared" si="661"/>
        <v/>
      </c>
      <c r="J659" s="1" t="str">
        <f t="shared" si="3"/>
        <v/>
      </c>
      <c r="L659" s="1" t="s">
        <v>3030</v>
      </c>
      <c r="M659" s="1" t="str">
        <f t="shared" si="4"/>
        <v>36, 40, KINGDRA</v>
      </c>
    </row>
    <row r="660" ht="12.75" customHeight="1">
      <c r="A660" s="3" t="s">
        <v>3031</v>
      </c>
      <c r="B660" s="3" t="str">
        <f t="shared" si="1"/>
        <v>36, 40, CLOYSTER</v>
      </c>
      <c r="C660" s="1" t="str">
        <f t="array" ref="C660">IF(B659="NEW ROUTE",TEXTSPLIT(B660,","),"")</f>
        <v/>
      </c>
      <c r="H660" s="1" t="str">
        <f t="shared" ref="H660:I660" si="662">IF(C660&lt;&gt;"",DEC2HEX(C660,2),"")</f>
        <v/>
      </c>
      <c r="I660" s="1" t="str">
        <f t="shared" si="662"/>
        <v/>
      </c>
      <c r="J660" s="1" t="str">
        <f t="shared" si="3"/>
        <v/>
      </c>
      <c r="L660" s="1" t="s">
        <v>3031</v>
      </c>
      <c r="M660" s="1" t="str">
        <f t="shared" si="4"/>
        <v>36, 40, CLOYSTER</v>
      </c>
    </row>
    <row r="661" ht="12.75" customHeight="1">
      <c r="A661" s="3" t="s">
        <v>3032</v>
      </c>
      <c r="B661" s="3" t="str">
        <f t="shared" si="1"/>
        <v>38, 42, GILDUCK</v>
      </c>
      <c r="C661" s="1" t="str">
        <f t="array" ref="C661">IF(B660="NEW ROUTE",TEXTSPLIT(B661,","),"")</f>
        <v/>
      </c>
      <c r="H661" s="1" t="str">
        <f t="shared" ref="H661:I661" si="663">IF(C661&lt;&gt;"",DEC2HEX(C661,2),"")</f>
        <v/>
      </c>
      <c r="I661" s="1" t="str">
        <f t="shared" si="663"/>
        <v/>
      </c>
      <c r="J661" s="1" t="str">
        <f t="shared" si="3"/>
        <v/>
      </c>
      <c r="L661" s="1" t="s">
        <v>3032</v>
      </c>
      <c r="M661" s="1" t="str">
        <f t="shared" si="4"/>
        <v>38, 42, GILDUCK</v>
      </c>
    </row>
    <row r="662" ht="12.75" customHeight="1">
      <c r="A662" s="3" t="s">
        <v>3033</v>
      </c>
      <c r="B662" s="3" t="str">
        <f t="shared" si="1"/>
        <v>38, 42, KRAKLAW</v>
      </c>
      <c r="C662" s="1" t="str">
        <f t="array" ref="C662">IF(B661="NEW ROUTE",TEXTSPLIT(B662,","),"")</f>
        <v/>
      </c>
      <c r="H662" s="1" t="str">
        <f t="shared" ref="H662:I662" si="664">IF(C662&lt;&gt;"",DEC2HEX(C662,2),"")</f>
        <v/>
      </c>
      <c r="I662" s="1" t="str">
        <f t="shared" si="664"/>
        <v/>
      </c>
      <c r="J662" s="1" t="str">
        <f t="shared" si="3"/>
        <v/>
      </c>
      <c r="L662" s="1" t="s">
        <v>3033</v>
      </c>
      <c r="M662" s="1" t="str">
        <f t="shared" si="4"/>
        <v>38, 42, KRAKLAW</v>
      </c>
    </row>
    <row r="663" ht="12.75" customHeight="1">
      <c r="A663" s="3" t="s">
        <v>3034</v>
      </c>
      <c r="B663" s="3" t="str">
        <f t="shared" si="1"/>
        <v>40, 44, LORDRA</v>
      </c>
      <c r="C663" s="1" t="str">
        <f t="array" ref="C663">IF(B662="NEW ROUTE",TEXTSPLIT(B663,","),"")</f>
        <v/>
      </c>
      <c r="H663" s="1" t="str">
        <f t="shared" ref="H663:I663" si="665">IF(C663&lt;&gt;"",DEC2HEX(C663,2),"")</f>
        <v/>
      </c>
      <c r="I663" s="1" t="str">
        <f t="shared" si="665"/>
        <v/>
      </c>
      <c r="J663" s="1" t="str">
        <f t="shared" si="3"/>
        <v/>
      </c>
      <c r="L663" s="1" t="s">
        <v>3034</v>
      </c>
      <c r="M663" s="1" t="str">
        <f t="shared" si="4"/>
        <v>40, 44, LORDRA</v>
      </c>
    </row>
    <row r="664" ht="12.75" customHeight="1">
      <c r="A664" s="3" t="s">
        <v>2539</v>
      </c>
      <c r="B664" s="3" t="str">
        <f t="shared" si="1"/>
        <v>NEW ROUTE</v>
      </c>
      <c r="C664" s="1" t="str">
        <f t="array" ref="C664">IF(B663="NEW ROUTE",TEXTSPLIT(B664,","),"")</f>
        <v/>
      </c>
      <c r="H664" s="1" t="str">
        <f t="shared" ref="H664:I664" si="666">IF(C664&lt;&gt;"",DEC2HEX(C664,2),"")</f>
        <v/>
      </c>
      <c r="I664" s="1" t="str">
        <f t="shared" si="666"/>
        <v/>
      </c>
      <c r="J664" s="1" t="str">
        <f t="shared" si="3"/>
        <v/>
      </c>
      <c r="L664" s="1" t="s">
        <v>2539</v>
      </c>
      <c r="M664" s="1" t="str">
        <f t="shared" si="4"/>
        <v>NEW ROUTE</v>
      </c>
    </row>
    <row r="665" ht="12.75" customHeight="1">
      <c r="A665" s="3" t="s">
        <v>3036</v>
      </c>
      <c r="B665" s="3" t="str">
        <f t="shared" si="1"/>
        <v>1, 90, 0,</v>
      </c>
      <c r="C665" s="1" t="str">
        <f t="array" ref="C665">IF(B664="NEW ROUTE",TEXTSPLIT(B665,","),"")</f>
        <v>#NAME?</v>
      </c>
      <c r="H665" s="1" t="str">
        <f t="shared" ref="H665:I665" si="667">IF(C665&lt;&gt;"",DEC2HEX(C665,2),"")</f>
        <v>#NAME?</v>
      </c>
      <c r="I665" s="1" t="str">
        <f t="shared" si="667"/>
        <v/>
      </c>
      <c r="J665" s="1" t="str">
        <f t="shared" si="3"/>
        <v>#NAME?</v>
      </c>
      <c r="L665" s="1" t="s">
        <v>3036</v>
      </c>
      <c r="M665" s="1" t="str">
        <f t="shared" si="4"/>
        <v>#NAME?</v>
      </c>
    </row>
    <row r="666" ht="12.75" customHeight="1">
      <c r="A666" s="3" t="s">
        <v>3037</v>
      </c>
      <c r="B666" s="3" t="str">
        <f t="shared" si="1"/>
        <v>20%</v>
      </c>
      <c r="C666" s="1" t="str">
        <f t="array" ref="C666">IF(B665="NEW ROUTE",TEXTSPLIT(B666,","),"")</f>
        <v/>
      </c>
      <c r="H666" s="1" t="str">
        <f t="shared" ref="H666:I666" si="668">IF(C666&lt;&gt;"",DEC2HEX(C666,2),"")</f>
        <v/>
      </c>
      <c r="I666" s="1" t="str">
        <f t="shared" si="668"/>
        <v/>
      </c>
      <c r="J666" s="1" t="str">
        <f t="shared" si="3"/>
        <v/>
      </c>
      <c r="L666" s="1" t="s">
        <v>2799</v>
      </c>
      <c r="M666" s="1" t="str">
        <f t="shared" si="4"/>
        <v>20%</v>
      </c>
    </row>
    <row r="667" ht="12.75" customHeight="1">
      <c r="A667" s="3" t="s">
        <v>614</v>
      </c>
      <c r="B667" s="3" t="str">
        <f t="shared" si="1"/>
        <v>28, 31, GASTLY</v>
      </c>
      <c r="C667" s="1" t="str">
        <f t="array" ref="C667">IF(B666="NEW ROUTE",TEXTSPLIT(B667,","),"")</f>
        <v/>
      </c>
      <c r="H667" s="1" t="str">
        <f t="shared" ref="H667:I667" si="669">IF(C667&lt;&gt;"",DEC2HEX(C667,2),"")</f>
        <v/>
      </c>
      <c r="I667" s="1" t="str">
        <f t="shared" si="669"/>
        <v/>
      </c>
      <c r="J667" s="1" t="str">
        <f t="shared" si="3"/>
        <v/>
      </c>
      <c r="L667" s="1" t="s">
        <v>614</v>
      </c>
      <c r="M667" s="1" t="str">
        <f t="shared" si="4"/>
        <v>28, 31, GASTLY</v>
      </c>
    </row>
    <row r="668" ht="12.75" customHeight="1">
      <c r="A668" s="3" t="s">
        <v>3038</v>
      </c>
      <c r="B668" s="3" t="str">
        <f t="shared" si="1"/>
        <v>29, 32, RATTATA</v>
      </c>
      <c r="C668" s="1" t="str">
        <f t="array" ref="C668">IF(B667="NEW ROUTE",TEXTSPLIT(B668,","),"")</f>
        <v/>
      </c>
      <c r="H668" s="1" t="str">
        <f t="shared" ref="H668:I668" si="670">IF(C668&lt;&gt;"",DEC2HEX(C668,2),"")</f>
        <v/>
      </c>
      <c r="I668" s="1" t="str">
        <f t="shared" si="670"/>
        <v/>
      </c>
      <c r="J668" s="1" t="str">
        <f t="shared" si="3"/>
        <v/>
      </c>
      <c r="L668" s="1" t="s">
        <v>3038</v>
      </c>
      <c r="M668" s="1" t="str">
        <f t="shared" si="4"/>
        <v>29, 32, RATTATA</v>
      </c>
    </row>
    <row r="669" ht="12.75" customHeight="1">
      <c r="A669" s="3" t="s">
        <v>2802</v>
      </c>
      <c r="B669" s="3" t="str">
        <f t="shared" si="1"/>
        <v>0.1</v>
      </c>
      <c r="C669" s="1" t="str">
        <f t="array" ref="C669">IF(B668="NEW ROUTE",TEXTSPLIT(B669,","),"")</f>
        <v/>
      </c>
      <c r="H669" s="1" t="str">
        <f t="shared" ref="H669:I669" si="671">IF(C669&lt;&gt;"",DEC2HEX(C669,2),"")</f>
        <v/>
      </c>
      <c r="I669" s="1" t="str">
        <f t="shared" si="671"/>
        <v/>
      </c>
      <c r="J669" s="1" t="str">
        <f t="shared" si="3"/>
        <v/>
      </c>
      <c r="L669" s="1" t="s">
        <v>2802</v>
      </c>
      <c r="M669" s="1" t="str">
        <f t="shared" si="4"/>
        <v>0.1</v>
      </c>
    </row>
    <row r="670" ht="12.75" customHeight="1">
      <c r="A670" s="3" t="s">
        <v>3039</v>
      </c>
      <c r="B670" s="3" t="str">
        <f t="shared" si="1"/>
        <v>27, 31, CUBONE</v>
      </c>
      <c r="C670" s="1" t="str">
        <f t="array" ref="C670">IF(B669="NEW ROUTE",TEXTSPLIT(B670,","),"")</f>
        <v/>
      </c>
      <c r="H670" s="1" t="str">
        <f t="shared" ref="H670:I670" si="672">IF(C670&lt;&gt;"",DEC2HEX(C670,2),"")</f>
        <v/>
      </c>
      <c r="I670" s="1" t="str">
        <f t="shared" si="672"/>
        <v/>
      </c>
      <c r="J670" s="1" t="str">
        <f t="shared" si="3"/>
        <v/>
      </c>
      <c r="L670" s="1" t="s">
        <v>3039</v>
      </c>
      <c r="M670" s="1" t="str">
        <f t="shared" si="4"/>
        <v>27, 31, CUBONE</v>
      </c>
    </row>
    <row r="671" ht="12.75" customHeight="1">
      <c r="A671" s="3" t="s">
        <v>3040</v>
      </c>
      <c r="B671" s="3" t="str">
        <f t="shared" si="1"/>
        <v>29, 32, HAUNTER</v>
      </c>
      <c r="C671" s="1" t="str">
        <f t="array" ref="C671">IF(B670="NEW ROUTE",TEXTSPLIT(B671,","),"")</f>
        <v/>
      </c>
      <c r="H671" s="1" t="str">
        <f t="shared" ref="H671:I671" si="673">IF(C671&lt;&gt;"",DEC2HEX(C671,2),"")</f>
        <v/>
      </c>
      <c r="I671" s="1" t="str">
        <f t="shared" si="673"/>
        <v/>
      </c>
      <c r="J671" s="1" t="str">
        <f t="shared" si="3"/>
        <v/>
      </c>
      <c r="L671" s="1" t="s">
        <v>3040</v>
      </c>
      <c r="M671" s="1" t="str">
        <f t="shared" si="4"/>
        <v>29, 32, HAUNTER</v>
      </c>
    </row>
    <row r="672" ht="12.75" customHeight="1">
      <c r="A672" s="3" t="s">
        <v>3041</v>
      </c>
      <c r="B672" s="3" t="str">
        <f t="shared" si="1"/>
        <v>28, 31, DROWZEE</v>
      </c>
      <c r="C672" s="1" t="str">
        <f t="array" ref="C672">IF(B671="NEW ROUTE",TEXTSPLIT(B672,","),"")</f>
        <v/>
      </c>
      <c r="H672" s="1" t="str">
        <f t="shared" ref="H672:I672" si="674">IF(C672&lt;&gt;"",DEC2HEX(C672,2),"")</f>
        <v/>
      </c>
      <c r="I672" s="1" t="str">
        <f t="shared" si="674"/>
        <v/>
      </c>
      <c r="J672" s="1" t="str">
        <f t="shared" si="3"/>
        <v/>
      </c>
      <c r="L672" s="1" t="s">
        <v>3041</v>
      </c>
      <c r="M672" s="1" t="str">
        <f t="shared" si="4"/>
        <v>28, 31, DROWZEE</v>
      </c>
    </row>
    <row r="673" ht="12.75" customHeight="1">
      <c r="A673" s="3" t="s">
        <v>3042</v>
      </c>
      <c r="B673" s="3" t="str">
        <f t="shared" si="1"/>
        <v>28, 31, VULPIX</v>
      </c>
      <c r="C673" s="1" t="str">
        <f t="array" ref="C673">IF(B672="NEW ROUTE",TEXTSPLIT(B673,","),"")</f>
        <v/>
      </c>
      <c r="H673" s="1" t="str">
        <f t="shared" ref="H673:I673" si="675">IF(C673&lt;&gt;"",DEC2HEX(C673,2),"")</f>
        <v/>
      </c>
      <c r="I673" s="1" t="str">
        <f t="shared" si="675"/>
        <v/>
      </c>
      <c r="J673" s="1" t="str">
        <f t="shared" si="3"/>
        <v/>
      </c>
      <c r="L673" s="1" t="s">
        <v>3042</v>
      </c>
      <c r="M673" s="1" t="str">
        <f t="shared" si="4"/>
        <v>28, 31, VULPIX</v>
      </c>
    </row>
    <row r="674" ht="12.75" customHeight="1">
      <c r="A674" s="3" t="s">
        <v>2807</v>
      </c>
      <c r="B674" s="3" t="str">
        <f t="shared" si="1"/>
        <v>0.05</v>
      </c>
      <c r="C674" s="1" t="str">
        <f t="array" ref="C674">IF(B673="NEW ROUTE",TEXTSPLIT(B674,","),"")</f>
        <v/>
      </c>
      <c r="H674" s="1" t="str">
        <f t="shared" ref="H674:I674" si="676">IF(C674&lt;&gt;"",DEC2HEX(C674,2),"")</f>
        <v/>
      </c>
      <c r="I674" s="1" t="str">
        <f t="shared" si="676"/>
        <v/>
      </c>
      <c r="J674" s="1" t="str">
        <f t="shared" si="3"/>
        <v/>
      </c>
      <c r="L674" s="1" t="s">
        <v>2807</v>
      </c>
      <c r="M674" s="1" t="str">
        <f t="shared" si="4"/>
        <v>0.05</v>
      </c>
    </row>
    <row r="675" ht="12.75" customHeight="1">
      <c r="A675" s="3" t="s">
        <v>3043</v>
      </c>
      <c r="B675" s="3" t="str">
        <f t="shared" si="1"/>
        <v>29, 32, HYPNO</v>
      </c>
      <c r="C675" s="1" t="str">
        <f t="array" ref="C675">IF(B674="NEW ROUTE",TEXTSPLIT(B675,","),"")</f>
        <v/>
      </c>
      <c r="H675" s="1" t="str">
        <f t="shared" ref="H675:I675" si="677">IF(C675&lt;&gt;"",DEC2HEX(C675,2),"")</f>
        <v/>
      </c>
      <c r="I675" s="1" t="str">
        <f t="shared" si="677"/>
        <v/>
      </c>
      <c r="J675" s="1" t="str">
        <f t="shared" si="3"/>
        <v/>
      </c>
      <c r="L675" s="1" t="s">
        <v>3043</v>
      </c>
      <c r="M675" s="1" t="str">
        <f t="shared" si="4"/>
        <v>29, 32, HYPNO</v>
      </c>
    </row>
    <row r="676" ht="12.75" customHeight="1">
      <c r="A676" s="3" t="s">
        <v>3044</v>
      </c>
      <c r="B676" s="3" t="str">
        <f t="shared" si="1"/>
        <v>28, 31, RATICATE</v>
      </c>
      <c r="C676" s="1" t="str">
        <f t="array" ref="C676">IF(B675="NEW ROUTE",TEXTSPLIT(B676,","),"")</f>
        <v/>
      </c>
      <c r="H676" s="1" t="str">
        <f t="shared" ref="H676:I676" si="678">IF(C676&lt;&gt;"",DEC2HEX(C676,2),"")</f>
        <v/>
      </c>
      <c r="I676" s="1" t="str">
        <f t="shared" si="678"/>
        <v/>
      </c>
      <c r="J676" s="1" t="str">
        <f t="shared" si="3"/>
        <v/>
      </c>
      <c r="L676" s="1" t="s">
        <v>3044</v>
      </c>
      <c r="M676" s="1" t="str">
        <f t="shared" si="4"/>
        <v>28, 31, RATICATE</v>
      </c>
    </row>
    <row r="677" ht="12.75" customHeight="1">
      <c r="A677" s="3" t="s">
        <v>2810</v>
      </c>
      <c r="B677" s="3" t="str">
        <f t="shared" si="1"/>
        <v>0.04</v>
      </c>
      <c r="C677" s="1" t="str">
        <f t="array" ref="C677">IF(B676="NEW ROUTE",TEXTSPLIT(B677,","),"")</f>
        <v/>
      </c>
      <c r="H677" s="1" t="str">
        <f t="shared" ref="H677:I677" si="679">IF(C677&lt;&gt;"",DEC2HEX(C677,2),"")</f>
        <v/>
      </c>
      <c r="I677" s="1" t="str">
        <f t="shared" si="679"/>
        <v/>
      </c>
      <c r="J677" s="1" t="str">
        <f t="shared" si="3"/>
        <v/>
      </c>
      <c r="L677" s="1" t="s">
        <v>2810</v>
      </c>
      <c r="M677" s="1" t="str">
        <f t="shared" si="4"/>
        <v>0.04</v>
      </c>
    </row>
    <row r="678" ht="12.75" customHeight="1">
      <c r="A678" s="3" t="s">
        <v>3045</v>
      </c>
      <c r="B678" s="3" t="str">
        <f t="shared" si="1"/>
        <v>29, 32, MAROWAK</v>
      </c>
      <c r="C678" s="1" t="str">
        <f t="array" ref="C678">IF(B677="NEW ROUTE",TEXTSPLIT(B678,","),"")</f>
        <v/>
      </c>
      <c r="H678" s="1" t="str">
        <f t="shared" ref="H678:I678" si="680">IF(C678&lt;&gt;"",DEC2HEX(C678,2),"")</f>
        <v/>
      </c>
      <c r="I678" s="1" t="str">
        <f t="shared" si="680"/>
        <v/>
      </c>
      <c r="J678" s="1" t="str">
        <f t="shared" si="3"/>
        <v/>
      </c>
      <c r="L678" s="1" t="s">
        <v>3045</v>
      </c>
      <c r="M678" s="1" t="str">
        <f t="shared" si="4"/>
        <v>29, 32, MAROWAK</v>
      </c>
    </row>
    <row r="679" ht="12.75" customHeight="1">
      <c r="A679" s="3" t="s">
        <v>3046</v>
      </c>
      <c r="B679" s="3" t="str">
        <f t="shared" si="1"/>
        <v>28, 31, RATTCHET</v>
      </c>
      <c r="C679" s="1" t="str">
        <f t="array" ref="C679">IF(B678="NEW ROUTE",TEXTSPLIT(B679,","),"")</f>
        <v/>
      </c>
      <c r="H679" s="1" t="str">
        <f t="shared" ref="H679:I679" si="681">IF(C679&lt;&gt;"",DEC2HEX(C679,2),"")</f>
        <v/>
      </c>
      <c r="I679" s="1" t="str">
        <f t="shared" si="681"/>
        <v/>
      </c>
      <c r="J679" s="1" t="str">
        <f t="shared" si="3"/>
        <v/>
      </c>
      <c r="L679" s="1" t="s">
        <v>3046</v>
      </c>
      <c r="M679" s="1" t="str">
        <f t="shared" si="4"/>
        <v>28, 31, RATTCHET</v>
      </c>
    </row>
    <row r="680" ht="12.75" customHeight="1">
      <c r="A680" s="3" t="s">
        <v>2813</v>
      </c>
      <c r="B680" s="3" t="str">
        <f t="shared" si="1"/>
        <v>0.01</v>
      </c>
      <c r="C680" s="1" t="str">
        <f t="array" ref="C680">IF(B679="NEW ROUTE",TEXTSPLIT(B680,","),"")</f>
        <v/>
      </c>
      <c r="H680" s="1" t="str">
        <f t="shared" ref="H680:I680" si="682">IF(C680&lt;&gt;"",DEC2HEX(C680,2),"")</f>
        <v/>
      </c>
      <c r="I680" s="1" t="str">
        <f t="shared" si="682"/>
        <v/>
      </c>
      <c r="J680" s="1" t="str">
        <f t="shared" si="3"/>
        <v/>
      </c>
      <c r="L680" s="1" t="s">
        <v>2813</v>
      </c>
      <c r="M680" s="1" t="str">
        <f t="shared" si="4"/>
        <v>0.01</v>
      </c>
    </row>
    <row r="681" ht="12.75" customHeight="1">
      <c r="A681" s="3" t="s">
        <v>3047</v>
      </c>
      <c r="B681" s="3" t="str">
        <f t="shared" si="1"/>
        <v>33, 33, HAUNTER</v>
      </c>
      <c r="C681" s="1" t="str">
        <f t="array" ref="C681">IF(B680="NEW ROUTE",TEXTSPLIT(B681,","),"")</f>
        <v/>
      </c>
      <c r="H681" s="1" t="str">
        <f t="shared" ref="H681:I681" si="683">IF(C681&lt;&gt;"",DEC2HEX(C681,2),"")</f>
        <v/>
      </c>
      <c r="I681" s="1" t="str">
        <f t="shared" si="683"/>
        <v/>
      </c>
      <c r="J681" s="1" t="str">
        <f t="shared" si="3"/>
        <v/>
      </c>
      <c r="L681" s="1" t="s">
        <v>3047</v>
      </c>
      <c r="M681" s="1" t="str">
        <f t="shared" si="4"/>
        <v>33, 33, HAUNTER</v>
      </c>
    </row>
    <row r="682" ht="12.75" customHeight="1">
      <c r="A682" s="3" t="s">
        <v>3048</v>
      </c>
      <c r="B682" s="3" t="str">
        <f t="shared" si="1"/>
        <v>32, 33, NINETALES , &lt;null&gt;, &lt;null&gt;, &lt;null&gt;</v>
      </c>
      <c r="C682" s="1" t="str">
        <f t="array" ref="C682">IF(B681="NEW ROUTE",TEXTSPLIT(B682,","),"")</f>
        <v/>
      </c>
      <c r="H682" s="1" t="str">
        <f t="shared" ref="H682:I682" si="684">IF(C682&lt;&gt;"",DEC2HEX(C682,2),"")</f>
        <v/>
      </c>
      <c r="I682" s="1" t="str">
        <f t="shared" si="684"/>
        <v/>
      </c>
      <c r="J682" s="1" t="str">
        <f t="shared" si="3"/>
        <v/>
      </c>
      <c r="L682" s="1" t="s">
        <v>3048</v>
      </c>
      <c r="M682" s="1" t="str">
        <f t="shared" si="4"/>
        <v>32, 33, NINETALES , &lt;null&gt;, &lt;null&gt;, &lt;null&gt;</v>
      </c>
    </row>
    <row r="683" ht="12.75" customHeight="1">
      <c r="A683" s="3" t="s">
        <v>2539</v>
      </c>
      <c r="B683" s="3" t="str">
        <f t="shared" si="1"/>
        <v>NEW ROUTE</v>
      </c>
      <c r="C683" s="1" t="str">
        <f t="array" ref="C683">IF(B682="NEW ROUTE",TEXTSPLIT(B683,","),"")</f>
        <v/>
      </c>
      <c r="H683" s="1" t="str">
        <f t="shared" ref="H683:I683" si="685">IF(C683&lt;&gt;"",DEC2HEX(C683,2),"")</f>
        <v/>
      </c>
      <c r="I683" s="1" t="str">
        <f t="shared" si="685"/>
        <v/>
      </c>
      <c r="J683" s="1" t="str">
        <f t="shared" si="3"/>
        <v/>
      </c>
      <c r="L683" s="1" t="s">
        <v>2539</v>
      </c>
      <c r="M683" s="1" t="str">
        <f t="shared" si="4"/>
        <v>NEW ROUTE</v>
      </c>
    </row>
    <row r="684" ht="12.75" customHeight="1">
      <c r="A684" s="3" t="s">
        <v>3049</v>
      </c>
      <c r="B684" s="3" t="str">
        <f t="shared" si="1"/>
        <v>1, 91, 0,</v>
      </c>
      <c r="C684" s="1" t="str">
        <f t="array" ref="C684">IF(B683="NEW ROUTE",TEXTSPLIT(B684,","),"")</f>
        <v>#NAME?</v>
      </c>
      <c r="H684" s="1" t="str">
        <f t="shared" ref="H684:I684" si="686">IF(C684&lt;&gt;"",DEC2HEX(C684,2),"")</f>
        <v>#NAME?</v>
      </c>
      <c r="I684" s="1" t="str">
        <f t="shared" si="686"/>
        <v/>
      </c>
      <c r="J684" s="1" t="str">
        <f t="shared" si="3"/>
        <v>#NAME?</v>
      </c>
      <c r="L684" s="1" t="s">
        <v>3049</v>
      </c>
      <c r="M684" s="1" t="str">
        <f t="shared" si="4"/>
        <v>#NAME?</v>
      </c>
    </row>
    <row r="685" ht="12.75" customHeight="1">
      <c r="A685" s="3" t="s">
        <v>3050</v>
      </c>
      <c r="B685" s="3" t="str">
        <f t="shared" si="1"/>
        <v>20%</v>
      </c>
      <c r="C685" s="1" t="str">
        <f t="array" ref="C685">IF(B684="NEW ROUTE",TEXTSPLIT(B685,","),"")</f>
        <v/>
      </c>
      <c r="H685" s="1" t="str">
        <f t="shared" ref="H685:I685" si="687">IF(C685&lt;&gt;"",DEC2HEX(C685,2),"")</f>
        <v/>
      </c>
      <c r="I685" s="1" t="str">
        <f t="shared" si="687"/>
        <v/>
      </c>
      <c r="J685" s="1" t="str">
        <f t="shared" si="3"/>
        <v/>
      </c>
      <c r="L685" s="1" t="s">
        <v>2799</v>
      </c>
      <c r="M685" s="1" t="str">
        <f t="shared" si="4"/>
        <v>20%</v>
      </c>
    </row>
    <row r="686" ht="12.75" customHeight="1">
      <c r="A686" s="3" t="s">
        <v>614</v>
      </c>
      <c r="B686" s="3" t="str">
        <f t="shared" si="1"/>
        <v>28, 31, GASTLY</v>
      </c>
      <c r="C686" s="1" t="str">
        <f t="array" ref="C686">IF(B685="NEW ROUTE",TEXTSPLIT(B686,","),"")</f>
        <v/>
      </c>
      <c r="H686" s="1" t="str">
        <f t="shared" ref="H686:I686" si="688">IF(C686&lt;&gt;"",DEC2HEX(C686,2),"")</f>
        <v/>
      </c>
      <c r="I686" s="1" t="str">
        <f t="shared" si="688"/>
        <v/>
      </c>
      <c r="J686" s="1" t="str">
        <f t="shared" si="3"/>
        <v/>
      </c>
      <c r="L686" s="1" t="s">
        <v>614</v>
      </c>
      <c r="M686" s="1" t="str">
        <f t="shared" si="4"/>
        <v>28, 31, GASTLY</v>
      </c>
    </row>
    <row r="687" ht="12.75" customHeight="1">
      <c r="A687" s="3" t="s">
        <v>3038</v>
      </c>
      <c r="B687" s="3" t="str">
        <f t="shared" si="1"/>
        <v>29, 32, RATTATA</v>
      </c>
      <c r="C687" s="1" t="str">
        <f t="array" ref="C687">IF(B686="NEW ROUTE",TEXTSPLIT(B687,","),"")</f>
        <v/>
      </c>
      <c r="H687" s="1" t="str">
        <f t="shared" ref="H687:I687" si="689">IF(C687&lt;&gt;"",DEC2HEX(C687,2),"")</f>
        <v/>
      </c>
      <c r="I687" s="1" t="str">
        <f t="shared" si="689"/>
        <v/>
      </c>
      <c r="J687" s="1" t="str">
        <f t="shared" si="3"/>
        <v/>
      </c>
      <c r="L687" s="1" t="s">
        <v>3038</v>
      </c>
      <c r="M687" s="1" t="str">
        <f t="shared" si="4"/>
        <v>29, 32, RATTATA</v>
      </c>
    </row>
    <row r="688" ht="12.75" customHeight="1">
      <c r="A688" s="3" t="s">
        <v>2802</v>
      </c>
      <c r="B688" s="3" t="str">
        <f t="shared" si="1"/>
        <v>0.1</v>
      </c>
      <c r="C688" s="1" t="str">
        <f t="array" ref="C688">IF(B687="NEW ROUTE",TEXTSPLIT(B688,","),"")</f>
        <v/>
      </c>
      <c r="H688" s="1" t="str">
        <f t="shared" ref="H688:I688" si="690">IF(C688&lt;&gt;"",DEC2HEX(C688,2),"")</f>
        <v/>
      </c>
      <c r="I688" s="1" t="str">
        <f t="shared" si="690"/>
        <v/>
      </c>
      <c r="J688" s="1" t="str">
        <f t="shared" si="3"/>
        <v/>
      </c>
      <c r="L688" s="1" t="s">
        <v>2802</v>
      </c>
      <c r="M688" s="1" t="str">
        <f t="shared" si="4"/>
        <v>0.1</v>
      </c>
    </row>
    <row r="689" ht="12.75" customHeight="1">
      <c r="A689" s="3" t="s">
        <v>3039</v>
      </c>
      <c r="B689" s="3" t="str">
        <f t="shared" si="1"/>
        <v>27, 31, CUBONE</v>
      </c>
      <c r="C689" s="1" t="str">
        <f t="array" ref="C689">IF(B688="NEW ROUTE",TEXTSPLIT(B689,","),"")</f>
        <v/>
      </c>
      <c r="H689" s="1" t="str">
        <f t="shared" ref="H689:I689" si="691">IF(C689&lt;&gt;"",DEC2HEX(C689,2),"")</f>
        <v/>
      </c>
      <c r="I689" s="1" t="str">
        <f t="shared" si="691"/>
        <v/>
      </c>
      <c r="J689" s="1" t="str">
        <f t="shared" si="3"/>
        <v/>
      </c>
      <c r="L689" s="1" t="s">
        <v>3039</v>
      </c>
      <c r="M689" s="1" t="str">
        <f t="shared" si="4"/>
        <v>27, 31, CUBONE</v>
      </c>
    </row>
    <row r="690" ht="12.75" customHeight="1">
      <c r="A690" s="3" t="s">
        <v>3040</v>
      </c>
      <c r="B690" s="3" t="str">
        <f t="shared" si="1"/>
        <v>29, 32, HAUNTER</v>
      </c>
      <c r="C690" s="1" t="str">
        <f t="array" ref="C690">IF(B689="NEW ROUTE",TEXTSPLIT(B690,","),"")</f>
        <v/>
      </c>
      <c r="H690" s="1" t="str">
        <f t="shared" ref="H690:I690" si="692">IF(C690&lt;&gt;"",DEC2HEX(C690,2),"")</f>
        <v/>
      </c>
      <c r="I690" s="1" t="str">
        <f t="shared" si="692"/>
        <v/>
      </c>
      <c r="J690" s="1" t="str">
        <f t="shared" si="3"/>
        <v/>
      </c>
      <c r="L690" s="1" t="s">
        <v>3040</v>
      </c>
      <c r="M690" s="1" t="str">
        <f t="shared" si="4"/>
        <v>29, 32, HAUNTER</v>
      </c>
    </row>
    <row r="691" ht="12.75" customHeight="1">
      <c r="A691" s="3" t="s">
        <v>3041</v>
      </c>
      <c r="B691" s="3" t="str">
        <f t="shared" si="1"/>
        <v>28, 31, DROWZEE</v>
      </c>
      <c r="C691" s="1" t="str">
        <f t="array" ref="C691">IF(B690="NEW ROUTE",TEXTSPLIT(B691,","),"")</f>
        <v/>
      </c>
      <c r="H691" s="1" t="str">
        <f t="shared" ref="H691:I691" si="693">IF(C691&lt;&gt;"",DEC2HEX(C691,2),"")</f>
        <v/>
      </c>
      <c r="I691" s="1" t="str">
        <f t="shared" si="693"/>
        <v/>
      </c>
      <c r="J691" s="1" t="str">
        <f t="shared" si="3"/>
        <v/>
      </c>
      <c r="L691" s="1" t="s">
        <v>3041</v>
      </c>
      <c r="M691" s="1" t="str">
        <f t="shared" si="4"/>
        <v>28, 31, DROWZEE</v>
      </c>
    </row>
    <row r="692" ht="12.75" customHeight="1">
      <c r="A692" s="3" t="s">
        <v>3042</v>
      </c>
      <c r="B692" s="3" t="str">
        <f t="shared" si="1"/>
        <v>28, 31, VULPIX</v>
      </c>
      <c r="C692" s="1" t="str">
        <f t="array" ref="C692">IF(B691="NEW ROUTE",TEXTSPLIT(B692,","),"")</f>
        <v/>
      </c>
      <c r="H692" s="1" t="str">
        <f t="shared" ref="H692:I692" si="694">IF(C692&lt;&gt;"",DEC2HEX(C692,2),"")</f>
        <v/>
      </c>
      <c r="I692" s="1" t="str">
        <f t="shared" si="694"/>
        <v/>
      </c>
      <c r="J692" s="1" t="str">
        <f t="shared" si="3"/>
        <v/>
      </c>
      <c r="L692" s="1" t="s">
        <v>3042</v>
      </c>
      <c r="M692" s="1" t="str">
        <f t="shared" si="4"/>
        <v>28, 31, VULPIX</v>
      </c>
    </row>
    <row r="693" ht="12.75" customHeight="1">
      <c r="A693" s="3" t="s">
        <v>2807</v>
      </c>
      <c r="B693" s="3" t="str">
        <f t="shared" si="1"/>
        <v>0.05</v>
      </c>
      <c r="C693" s="1" t="str">
        <f t="array" ref="C693">IF(B692="NEW ROUTE",TEXTSPLIT(B693,","),"")</f>
        <v/>
      </c>
      <c r="H693" s="1" t="str">
        <f t="shared" ref="H693:I693" si="695">IF(C693&lt;&gt;"",DEC2HEX(C693,2),"")</f>
        <v/>
      </c>
      <c r="I693" s="1" t="str">
        <f t="shared" si="695"/>
        <v/>
      </c>
      <c r="J693" s="1" t="str">
        <f t="shared" si="3"/>
        <v/>
      </c>
      <c r="L693" s="1" t="s">
        <v>2807</v>
      </c>
      <c r="M693" s="1" t="str">
        <f t="shared" si="4"/>
        <v>0.05</v>
      </c>
    </row>
    <row r="694" ht="12.75" customHeight="1">
      <c r="A694" s="3" t="s">
        <v>3043</v>
      </c>
      <c r="B694" s="3" t="str">
        <f t="shared" si="1"/>
        <v>29, 32, HYPNO</v>
      </c>
      <c r="C694" s="1" t="str">
        <f t="array" ref="C694">IF(B693="NEW ROUTE",TEXTSPLIT(B694,","),"")</f>
        <v/>
      </c>
      <c r="H694" s="1" t="str">
        <f t="shared" ref="H694:I694" si="696">IF(C694&lt;&gt;"",DEC2HEX(C694,2),"")</f>
        <v/>
      </c>
      <c r="I694" s="1" t="str">
        <f t="shared" si="696"/>
        <v/>
      </c>
      <c r="J694" s="1" t="str">
        <f t="shared" si="3"/>
        <v/>
      </c>
      <c r="L694" s="1" t="s">
        <v>3043</v>
      </c>
      <c r="M694" s="1" t="str">
        <f t="shared" si="4"/>
        <v>29, 32, HYPNO</v>
      </c>
    </row>
    <row r="695" ht="12.75" customHeight="1">
      <c r="A695" s="3" t="s">
        <v>3044</v>
      </c>
      <c r="B695" s="3" t="str">
        <f t="shared" si="1"/>
        <v>28, 31, RATICATE</v>
      </c>
      <c r="C695" s="1" t="str">
        <f t="array" ref="C695">IF(B694="NEW ROUTE",TEXTSPLIT(B695,","),"")</f>
        <v/>
      </c>
      <c r="H695" s="1" t="str">
        <f t="shared" ref="H695:I695" si="697">IF(C695&lt;&gt;"",DEC2HEX(C695,2),"")</f>
        <v/>
      </c>
      <c r="I695" s="1" t="str">
        <f t="shared" si="697"/>
        <v/>
      </c>
      <c r="J695" s="1" t="str">
        <f t="shared" si="3"/>
        <v/>
      </c>
      <c r="L695" s="1" t="s">
        <v>3044</v>
      </c>
      <c r="M695" s="1" t="str">
        <f t="shared" si="4"/>
        <v>28, 31, RATICATE</v>
      </c>
    </row>
    <row r="696" ht="12.75" customHeight="1">
      <c r="A696" s="3" t="s">
        <v>2810</v>
      </c>
      <c r="B696" s="3" t="str">
        <f t="shared" si="1"/>
        <v>0.04</v>
      </c>
      <c r="C696" s="1" t="str">
        <f t="array" ref="C696">IF(B695="NEW ROUTE",TEXTSPLIT(B696,","),"")</f>
        <v/>
      </c>
      <c r="H696" s="1" t="str">
        <f t="shared" ref="H696:I696" si="698">IF(C696&lt;&gt;"",DEC2HEX(C696,2),"")</f>
        <v/>
      </c>
      <c r="I696" s="1" t="str">
        <f t="shared" si="698"/>
        <v/>
      </c>
      <c r="J696" s="1" t="str">
        <f t="shared" si="3"/>
        <v/>
      </c>
      <c r="L696" s="1" t="s">
        <v>2810</v>
      </c>
      <c r="M696" s="1" t="str">
        <f t="shared" si="4"/>
        <v>0.04</v>
      </c>
    </row>
    <row r="697" ht="12.75" customHeight="1">
      <c r="A697" s="3" t="s">
        <v>3045</v>
      </c>
      <c r="B697" s="3" t="str">
        <f t="shared" si="1"/>
        <v>29, 32, MAROWAK</v>
      </c>
      <c r="C697" s="1" t="str">
        <f t="array" ref="C697">IF(B696="NEW ROUTE",TEXTSPLIT(B697,","),"")</f>
        <v/>
      </c>
      <c r="H697" s="1" t="str">
        <f t="shared" ref="H697:I697" si="699">IF(C697&lt;&gt;"",DEC2HEX(C697,2),"")</f>
        <v/>
      </c>
      <c r="I697" s="1" t="str">
        <f t="shared" si="699"/>
        <v/>
      </c>
      <c r="J697" s="1" t="str">
        <f t="shared" si="3"/>
        <v/>
      </c>
      <c r="L697" s="1" t="s">
        <v>3045</v>
      </c>
      <c r="M697" s="1" t="str">
        <f t="shared" si="4"/>
        <v>29, 32, MAROWAK</v>
      </c>
    </row>
    <row r="698" ht="12.75" customHeight="1">
      <c r="A698" s="3" t="s">
        <v>3046</v>
      </c>
      <c r="B698" s="3" t="str">
        <f t="shared" si="1"/>
        <v>28, 31, RATTCHET</v>
      </c>
      <c r="C698" s="1" t="str">
        <f t="array" ref="C698">IF(B697="NEW ROUTE",TEXTSPLIT(B698,","),"")</f>
        <v/>
      </c>
      <c r="H698" s="1" t="str">
        <f t="shared" ref="H698:I698" si="700">IF(C698&lt;&gt;"",DEC2HEX(C698,2),"")</f>
        <v/>
      </c>
      <c r="I698" s="1" t="str">
        <f t="shared" si="700"/>
        <v/>
      </c>
      <c r="J698" s="1" t="str">
        <f t="shared" si="3"/>
        <v/>
      </c>
      <c r="L698" s="1" t="s">
        <v>3046</v>
      </c>
      <c r="M698" s="1" t="str">
        <f t="shared" si="4"/>
        <v>28, 31, RATTCHET</v>
      </c>
    </row>
    <row r="699" ht="12.75" customHeight="1">
      <c r="A699" s="3" t="s">
        <v>2813</v>
      </c>
      <c r="B699" s="3" t="str">
        <f t="shared" si="1"/>
        <v>0.01</v>
      </c>
      <c r="C699" s="1" t="str">
        <f t="array" ref="C699">IF(B698="NEW ROUTE",TEXTSPLIT(B699,","),"")</f>
        <v/>
      </c>
      <c r="H699" s="1" t="str">
        <f t="shared" ref="H699:I699" si="701">IF(C699&lt;&gt;"",DEC2HEX(C699,2),"")</f>
        <v/>
      </c>
      <c r="I699" s="1" t="str">
        <f t="shared" si="701"/>
        <v/>
      </c>
      <c r="J699" s="1" t="str">
        <f t="shared" si="3"/>
        <v/>
      </c>
      <c r="L699" s="1" t="s">
        <v>2813</v>
      </c>
      <c r="M699" s="1" t="str">
        <f t="shared" si="4"/>
        <v>0.01</v>
      </c>
    </row>
    <row r="700" ht="12.75" customHeight="1">
      <c r="A700" s="3" t="s">
        <v>3047</v>
      </c>
      <c r="B700" s="3" t="str">
        <f t="shared" si="1"/>
        <v>33, 33, HAUNTER</v>
      </c>
      <c r="C700" s="1" t="str">
        <f t="array" ref="C700">IF(B699="NEW ROUTE",TEXTSPLIT(B700,","),"")</f>
        <v/>
      </c>
      <c r="H700" s="1" t="str">
        <f t="shared" ref="H700:I700" si="702">IF(C700&lt;&gt;"",DEC2HEX(C700,2),"")</f>
        <v/>
      </c>
      <c r="I700" s="1" t="str">
        <f t="shared" si="702"/>
        <v/>
      </c>
      <c r="J700" s="1" t="str">
        <f t="shared" si="3"/>
        <v/>
      </c>
      <c r="L700" s="1" t="s">
        <v>3047</v>
      </c>
      <c r="M700" s="1" t="str">
        <f t="shared" si="4"/>
        <v>33, 33, HAUNTER</v>
      </c>
    </row>
    <row r="701" ht="12.75" customHeight="1">
      <c r="A701" s="3" t="s">
        <v>3048</v>
      </c>
      <c r="B701" s="3" t="str">
        <f t="shared" si="1"/>
        <v>32, 33, NINETALES , &lt;null&gt;, &lt;null&gt;, &lt;null&gt;</v>
      </c>
      <c r="C701" s="1" t="str">
        <f t="array" ref="C701">IF(B700="NEW ROUTE",TEXTSPLIT(B701,","),"")</f>
        <v/>
      </c>
      <c r="H701" s="1" t="str">
        <f t="shared" ref="H701:I701" si="703">IF(C701&lt;&gt;"",DEC2HEX(C701,2),"")</f>
        <v/>
      </c>
      <c r="I701" s="1" t="str">
        <f t="shared" si="703"/>
        <v/>
      </c>
      <c r="J701" s="1" t="str">
        <f t="shared" si="3"/>
        <v/>
      </c>
      <c r="L701" s="1" t="s">
        <v>3048</v>
      </c>
      <c r="M701" s="1" t="str">
        <f t="shared" si="4"/>
        <v>32, 33, NINETALES , &lt;null&gt;, &lt;null&gt;, &lt;null&gt;</v>
      </c>
    </row>
    <row r="702" ht="12.75" customHeight="1">
      <c r="A702" s="3" t="s">
        <v>2539</v>
      </c>
      <c r="B702" s="3" t="str">
        <f t="shared" si="1"/>
        <v>NEW ROUTE</v>
      </c>
      <c r="C702" s="1" t="str">
        <f t="array" ref="C702">IF(B701="NEW ROUTE",TEXTSPLIT(B702,","),"")</f>
        <v/>
      </c>
      <c r="H702" s="1" t="str">
        <f t="shared" ref="H702:I702" si="704">IF(C702&lt;&gt;"",DEC2HEX(C702,2),"")</f>
        <v/>
      </c>
      <c r="I702" s="1" t="str">
        <f t="shared" si="704"/>
        <v/>
      </c>
      <c r="J702" s="1" t="str">
        <f t="shared" si="3"/>
        <v/>
      </c>
      <c r="L702" s="1" t="s">
        <v>2539</v>
      </c>
      <c r="M702" s="1" t="str">
        <f t="shared" si="4"/>
        <v>NEW ROUTE</v>
      </c>
    </row>
    <row r="703" ht="12.75" customHeight="1">
      <c r="A703" s="3" t="s">
        <v>3051</v>
      </c>
      <c r="B703" s="3" t="str">
        <f t="shared" si="1"/>
        <v>1, 92, 0,</v>
      </c>
      <c r="C703" s="1" t="str">
        <f t="array" ref="C703">IF(B702="NEW ROUTE",TEXTSPLIT(B703,","),"")</f>
        <v>#NAME?</v>
      </c>
      <c r="H703" s="1" t="str">
        <f t="shared" ref="H703:I703" si="705">IF(C703&lt;&gt;"",DEC2HEX(C703,2),"")</f>
        <v>#NAME?</v>
      </c>
      <c r="I703" s="1" t="str">
        <f t="shared" si="705"/>
        <v/>
      </c>
      <c r="J703" s="1" t="str">
        <f t="shared" si="3"/>
        <v>#NAME?</v>
      </c>
      <c r="L703" s="1" t="s">
        <v>3051</v>
      </c>
      <c r="M703" s="1" t="str">
        <f t="shared" si="4"/>
        <v>#NAME?</v>
      </c>
    </row>
    <row r="704" ht="12.75" customHeight="1">
      <c r="A704" s="3" t="s">
        <v>3052</v>
      </c>
      <c r="B704" s="3" t="str">
        <f t="shared" si="1"/>
        <v>20%</v>
      </c>
      <c r="C704" s="1" t="str">
        <f t="array" ref="C704">IF(B703="NEW ROUTE",TEXTSPLIT(B704,","),"")</f>
        <v/>
      </c>
      <c r="H704" s="1" t="str">
        <f t="shared" ref="H704:I704" si="706">IF(C704&lt;&gt;"",DEC2HEX(C704,2),"")</f>
        <v/>
      </c>
      <c r="I704" s="1" t="str">
        <f t="shared" si="706"/>
        <v/>
      </c>
      <c r="J704" s="1" t="str">
        <f t="shared" si="3"/>
        <v/>
      </c>
      <c r="L704" s="1" t="s">
        <v>2799</v>
      </c>
      <c r="M704" s="1" t="str">
        <f t="shared" si="4"/>
        <v>20%</v>
      </c>
    </row>
    <row r="705" ht="12.75" customHeight="1">
      <c r="A705" s="3" t="s">
        <v>614</v>
      </c>
      <c r="B705" s="3" t="str">
        <f t="shared" si="1"/>
        <v>28, 31, GASTLY</v>
      </c>
      <c r="C705" s="1" t="str">
        <f t="array" ref="C705">IF(B704="NEW ROUTE",TEXTSPLIT(B705,","),"")</f>
        <v/>
      </c>
      <c r="H705" s="1" t="str">
        <f t="shared" ref="H705:I705" si="707">IF(C705&lt;&gt;"",DEC2HEX(C705,2),"")</f>
        <v/>
      </c>
      <c r="I705" s="1" t="str">
        <f t="shared" si="707"/>
        <v/>
      </c>
      <c r="J705" s="1" t="str">
        <f t="shared" si="3"/>
        <v/>
      </c>
      <c r="L705" s="1" t="s">
        <v>614</v>
      </c>
      <c r="M705" s="1" t="str">
        <f t="shared" si="4"/>
        <v>28, 31, GASTLY</v>
      </c>
    </row>
    <row r="706" ht="12.75" customHeight="1">
      <c r="A706" s="3" t="s">
        <v>3038</v>
      </c>
      <c r="B706" s="3" t="str">
        <f t="shared" si="1"/>
        <v>29, 32, RATTATA</v>
      </c>
      <c r="C706" s="1" t="str">
        <f t="array" ref="C706">IF(B705="NEW ROUTE",TEXTSPLIT(B706,","),"")</f>
        <v/>
      </c>
      <c r="H706" s="1" t="str">
        <f t="shared" ref="H706:I706" si="708">IF(C706&lt;&gt;"",DEC2HEX(C706,2),"")</f>
        <v/>
      </c>
      <c r="I706" s="1" t="str">
        <f t="shared" si="708"/>
        <v/>
      </c>
      <c r="J706" s="1" t="str">
        <f t="shared" si="3"/>
        <v/>
      </c>
      <c r="L706" s="1" t="s">
        <v>3038</v>
      </c>
      <c r="M706" s="1" t="str">
        <f t="shared" si="4"/>
        <v>29, 32, RATTATA</v>
      </c>
    </row>
    <row r="707" ht="12.75" customHeight="1">
      <c r="A707" s="3" t="s">
        <v>2802</v>
      </c>
      <c r="B707" s="3" t="str">
        <f t="shared" si="1"/>
        <v>0.1</v>
      </c>
      <c r="C707" s="1" t="str">
        <f t="array" ref="C707">IF(B706="NEW ROUTE",TEXTSPLIT(B707,","),"")</f>
        <v/>
      </c>
      <c r="H707" s="1" t="str">
        <f t="shared" ref="H707:I707" si="709">IF(C707&lt;&gt;"",DEC2HEX(C707,2),"")</f>
        <v/>
      </c>
      <c r="I707" s="1" t="str">
        <f t="shared" si="709"/>
        <v/>
      </c>
      <c r="J707" s="1" t="str">
        <f t="shared" si="3"/>
        <v/>
      </c>
      <c r="L707" s="1" t="s">
        <v>2802</v>
      </c>
      <c r="M707" s="1" t="str">
        <f t="shared" si="4"/>
        <v>0.1</v>
      </c>
    </row>
    <row r="708" ht="12.75" customHeight="1">
      <c r="A708" s="3" t="s">
        <v>3039</v>
      </c>
      <c r="B708" s="3" t="str">
        <f t="shared" si="1"/>
        <v>27, 31, CUBONE</v>
      </c>
      <c r="C708" s="1" t="str">
        <f t="array" ref="C708">IF(B707="NEW ROUTE",TEXTSPLIT(B708,","),"")</f>
        <v/>
      </c>
      <c r="H708" s="1" t="str">
        <f t="shared" ref="H708:I708" si="710">IF(C708&lt;&gt;"",DEC2HEX(C708,2),"")</f>
        <v/>
      </c>
      <c r="I708" s="1" t="str">
        <f t="shared" si="710"/>
        <v/>
      </c>
      <c r="J708" s="1" t="str">
        <f t="shared" si="3"/>
        <v/>
      </c>
      <c r="L708" s="1" t="s">
        <v>3039</v>
      </c>
      <c r="M708" s="1" t="str">
        <f t="shared" si="4"/>
        <v>27, 31, CUBONE</v>
      </c>
    </row>
    <row r="709" ht="12.75" customHeight="1">
      <c r="A709" s="3" t="s">
        <v>3040</v>
      </c>
      <c r="B709" s="3" t="str">
        <f t="shared" si="1"/>
        <v>29, 32, HAUNTER</v>
      </c>
      <c r="C709" s="1" t="str">
        <f t="array" ref="C709">IF(B708="NEW ROUTE",TEXTSPLIT(B709,","),"")</f>
        <v/>
      </c>
      <c r="H709" s="1" t="str">
        <f t="shared" ref="H709:I709" si="711">IF(C709&lt;&gt;"",DEC2HEX(C709,2),"")</f>
        <v/>
      </c>
      <c r="I709" s="1" t="str">
        <f t="shared" si="711"/>
        <v/>
      </c>
      <c r="J709" s="1" t="str">
        <f t="shared" si="3"/>
        <v/>
      </c>
      <c r="L709" s="1" t="s">
        <v>3040</v>
      </c>
      <c r="M709" s="1" t="str">
        <f t="shared" si="4"/>
        <v>29, 32, HAUNTER</v>
      </c>
    </row>
    <row r="710" ht="12.75" customHeight="1">
      <c r="A710" s="3" t="s">
        <v>3041</v>
      </c>
      <c r="B710" s="3" t="str">
        <f t="shared" si="1"/>
        <v>28, 31, DROWZEE</v>
      </c>
      <c r="C710" s="1" t="str">
        <f t="array" ref="C710">IF(B709="NEW ROUTE",TEXTSPLIT(B710,","),"")</f>
        <v/>
      </c>
      <c r="H710" s="1" t="str">
        <f t="shared" ref="H710:I710" si="712">IF(C710&lt;&gt;"",DEC2HEX(C710,2),"")</f>
        <v/>
      </c>
      <c r="I710" s="1" t="str">
        <f t="shared" si="712"/>
        <v/>
      </c>
      <c r="J710" s="1" t="str">
        <f t="shared" si="3"/>
        <v/>
      </c>
      <c r="L710" s="1" t="s">
        <v>3041</v>
      </c>
      <c r="M710" s="1" t="str">
        <f t="shared" si="4"/>
        <v>28, 31, DROWZEE</v>
      </c>
    </row>
    <row r="711" ht="12.75" customHeight="1">
      <c r="A711" s="3" t="s">
        <v>3042</v>
      </c>
      <c r="B711" s="3" t="str">
        <f t="shared" si="1"/>
        <v>28, 31, VULPIX</v>
      </c>
      <c r="C711" s="1" t="str">
        <f t="array" ref="C711">IF(B710="NEW ROUTE",TEXTSPLIT(B711,","),"")</f>
        <v/>
      </c>
      <c r="H711" s="1" t="str">
        <f t="shared" ref="H711:I711" si="713">IF(C711&lt;&gt;"",DEC2HEX(C711,2),"")</f>
        <v/>
      </c>
      <c r="I711" s="1" t="str">
        <f t="shared" si="713"/>
        <v/>
      </c>
      <c r="J711" s="1" t="str">
        <f t="shared" si="3"/>
        <v/>
      </c>
      <c r="L711" s="1" t="s">
        <v>3042</v>
      </c>
      <c r="M711" s="1" t="str">
        <f t="shared" si="4"/>
        <v>28, 31, VULPIX</v>
      </c>
    </row>
    <row r="712" ht="12.75" customHeight="1">
      <c r="A712" s="3" t="s">
        <v>2807</v>
      </c>
      <c r="B712" s="3" t="str">
        <f t="shared" si="1"/>
        <v>0.05</v>
      </c>
      <c r="C712" s="1" t="str">
        <f t="array" ref="C712">IF(B711="NEW ROUTE",TEXTSPLIT(B712,","),"")</f>
        <v/>
      </c>
      <c r="H712" s="1" t="str">
        <f t="shared" ref="H712:I712" si="714">IF(C712&lt;&gt;"",DEC2HEX(C712,2),"")</f>
        <v/>
      </c>
      <c r="I712" s="1" t="str">
        <f t="shared" si="714"/>
        <v/>
      </c>
      <c r="J712" s="1" t="str">
        <f t="shared" si="3"/>
        <v/>
      </c>
      <c r="L712" s="1" t="s">
        <v>2807</v>
      </c>
      <c r="M712" s="1" t="str">
        <f t="shared" si="4"/>
        <v>0.05</v>
      </c>
    </row>
    <row r="713" ht="12.75" customHeight="1">
      <c r="A713" s="3" t="s">
        <v>3043</v>
      </c>
      <c r="B713" s="3" t="str">
        <f t="shared" si="1"/>
        <v>29, 32, HYPNO</v>
      </c>
      <c r="C713" s="1" t="str">
        <f t="array" ref="C713">IF(B712="NEW ROUTE",TEXTSPLIT(B713,","),"")</f>
        <v/>
      </c>
      <c r="H713" s="1" t="str">
        <f t="shared" ref="H713:I713" si="715">IF(C713&lt;&gt;"",DEC2HEX(C713,2),"")</f>
        <v/>
      </c>
      <c r="I713" s="1" t="str">
        <f t="shared" si="715"/>
        <v/>
      </c>
      <c r="J713" s="1" t="str">
        <f t="shared" si="3"/>
        <v/>
      </c>
      <c r="L713" s="1" t="s">
        <v>3043</v>
      </c>
      <c r="M713" s="1" t="str">
        <f t="shared" si="4"/>
        <v>29, 32, HYPNO</v>
      </c>
    </row>
    <row r="714" ht="12.75" customHeight="1">
      <c r="A714" s="3" t="s">
        <v>3044</v>
      </c>
      <c r="B714" s="3" t="str">
        <f t="shared" si="1"/>
        <v>28, 31, RATICATE</v>
      </c>
      <c r="C714" s="1" t="str">
        <f t="array" ref="C714">IF(B713="NEW ROUTE",TEXTSPLIT(B714,","),"")</f>
        <v/>
      </c>
      <c r="H714" s="1" t="str">
        <f t="shared" ref="H714:I714" si="716">IF(C714&lt;&gt;"",DEC2HEX(C714,2),"")</f>
        <v/>
      </c>
      <c r="I714" s="1" t="str">
        <f t="shared" si="716"/>
        <v/>
      </c>
      <c r="J714" s="1" t="str">
        <f t="shared" si="3"/>
        <v/>
      </c>
      <c r="L714" s="1" t="s">
        <v>3044</v>
      </c>
      <c r="M714" s="1" t="str">
        <f t="shared" si="4"/>
        <v>28, 31, RATICATE</v>
      </c>
    </row>
    <row r="715" ht="12.75" customHeight="1">
      <c r="A715" s="3" t="s">
        <v>2810</v>
      </c>
      <c r="B715" s="3" t="str">
        <f t="shared" si="1"/>
        <v>0.04</v>
      </c>
      <c r="C715" s="1" t="str">
        <f t="array" ref="C715">IF(B714="NEW ROUTE",TEXTSPLIT(B715,","),"")</f>
        <v/>
      </c>
      <c r="H715" s="1" t="str">
        <f t="shared" ref="H715:I715" si="717">IF(C715&lt;&gt;"",DEC2HEX(C715,2),"")</f>
        <v/>
      </c>
      <c r="I715" s="1" t="str">
        <f t="shared" si="717"/>
        <v/>
      </c>
      <c r="J715" s="1" t="str">
        <f t="shared" si="3"/>
        <v/>
      </c>
      <c r="L715" s="1" t="s">
        <v>2810</v>
      </c>
      <c r="M715" s="1" t="str">
        <f t="shared" si="4"/>
        <v>0.04</v>
      </c>
    </row>
    <row r="716" ht="12.75" customHeight="1">
      <c r="A716" s="3" t="s">
        <v>3045</v>
      </c>
      <c r="B716" s="3" t="str">
        <f t="shared" si="1"/>
        <v>29, 32, MAROWAK</v>
      </c>
      <c r="C716" s="1" t="str">
        <f t="array" ref="C716">IF(B715="NEW ROUTE",TEXTSPLIT(B716,","),"")</f>
        <v/>
      </c>
      <c r="H716" s="1" t="str">
        <f t="shared" ref="H716:I716" si="718">IF(C716&lt;&gt;"",DEC2HEX(C716,2),"")</f>
        <v/>
      </c>
      <c r="I716" s="1" t="str">
        <f t="shared" si="718"/>
        <v/>
      </c>
      <c r="J716" s="1" t="str">
        <f t="shared" si="3"/>
        <v/>
      </c>
      <c r="L716" s="1" t="s">
        <v>3045</v>
      </c>
      <c r="M716" s="1" t="str">
        <f t="shared" si="4"/>
        <v>29, 32, MAROWAK</v>
      </c>
    </row>
    <row r="717" ht="12.75" customHeight="1">
      <c r="A717" s="3" t="s">
        <v>3046</v>
      </c>
      <c r="B717" s="3" t="str">
        <f t="shared" si="1"/>
        <v>28, 31, RATTCHET</v>
      </c>
      <c r="C717" s="1" t="str">
        <f t="array" ref="C717">IF(B716="NEW ROUTE",TEXTSPLIT(B717,","),"")</f>
        <v/>
      </c>
      <c r="H717" s="1" t="str">
        <f t="shared" ref="H717:I717" si="719">IF(C717&lt;&gt;"",DEC2HEX(C717,2),"")</f>
        <v/>
      </c>
      <c r="I717" s="1" t="str">
        <f t="shared" si="719"/>
        <v/>
      </c>
      <c r="J717" s="1" t="str">
        <f t="shared" si="3"/>
        <v/>
      </c>
      <c r="L717" s="1" t="s">
        <v>3046</v>
      </c>
      <c r="M717" s="1" t="str">
        <f t="shared" si="4"/>
        <v>28, 31, RATTCHET</v>
      </c>
    </row>
    <row r="718" ht="12.75" customHeight="1">
      <c r="A718" s="3" t="s">
        <v>2813</v>
      </c>
      <c r="B718" s="3" t="str">
        <f t="shared" si="1"/>
        <v>0.01</v>
      </c>
      <c r="C718" s="1" t="str">
        <f t="array" ref="C718">IF(B717="NEW ROUTE",TEXTSPLIT(B718,","),"")</f>
        <v/>
      </c>
      <c r="H718" s="1" t="str">
        <f t="shared" ref="H718:I718" si="720">IF(C718&lt;&gt;"",DEC2HEX(C718,2),"")</f>
        <v/>
      </c>
      <c r="I718" s="1" t="str">
        <f t="shared" si="720"/>
        <v/>
      </c>
      <c r="J718" s="1" t="str">
        <f t="shared" si="3"/>
        <v/>
      </c>
      <c r="L718" s="1" t="s">
        <v>2813</v>
      </c>
      <c r="M718" s="1" t="str">
        <f t="shared" si="4"/>
        <v>0.01</v>
      </c>
    </row>
    <row r="719" ht="12.75" customHeight="1">
      <c r="A719" s="3" t="s">
        <v>3047</v>
      </c>
      <c r="B719" s="3" t="str">
        <f t="shared" si="1"/>
        <v>33, 33, HAUNTER</v>
      </c>
      <c r="C719" s="1" t="str">
        <f t="array" ref="C719">IF(B718="NEW ROUTE",TEXTSPLIT(B719,","),"")</f>
        <v/>
      </c>
      <c r="H719" s="1" t="str">
        <f t="shared" ref="H719:I719" si="721">IF(C719&lt;&gt;"",DEC2HEX(C719,2),"")</f>
        <v/>
      </c>
      <c r="I719" s="1" t="str">
        <f t="shared" si="721"/>
        <v/>
      </c>
      <c r="J719" s="1" t="str">
        <f t="shared" si="3"/>
        <v/>
      </c>
      <c r="L719" s="1" t="s">
        <v>3047</v>
      </c>
      <c r="M719" s="1" t="str">
        <f t="shared" si="4"/>
        <v>33, 33, HAUNTER</v>
      </c>
    </row>
    <row r="720" ht="12.75" customHeight="1">
      <c r="A720" s="3" t="s">
        <v>3048</v>
      </c>
      <c r="B720" s="3" t="str">
        <f t="shared" si="1"/>
        <v>32, 33, NINETALES , &lt;null&gt;, &lt;null&gt;, &lt;null&gt;</v>
      </c>
      <c r="C720" s="1" t="str">
        <f t="array" ref="C720">IF(B719="NEW ROUTE",TEXTSPLIT(B720,","),"")</f>
        <v/>
      </c>
      <c r="H720" s="1" t="str">
        <f t="shared" ref="H720:I720" si="722">IF(C720&lt;&gt;"",DEC2HEX(C720,2),"")</f>
        <v/>
      </c>
      <c r="I720" s="1" t="str">
        <f t="shared" si="722"/>
        <v/>
      </c>
      <c r="J720" s="1" t="str">
        <f t="shared" si="3"/>
        <v/>
      </c>
      <c r="L720" s="1" t="s">
        <v>3048</v>
      </c>
      <c r="M720" s="1" t="str">
        <f t="shared" si="4"/>
        <v>32, 33, NINETALES , &lt;null&gt;, &lt;null&gt;, &lt;null&gt;</v>
      </c>
    </row>
    <row r="721" ht="12.75" customHeight="1">
      <c r="A721" s="3" t="s">
        <v>2539</v>
      </c>
      <c r="B721" s="3" t="str">
        <f t="shared" si="1"/>
        <v>NEW ROUTE</v>
      </c>
      <c r="C721" s="1" t="str">
        <f t="array" ref="C721">IF(B720="NEW ROUTE",TEXTSPLIT(B721,","),"")</f>
        <v/>
      </c>
      <c r="H721" s="1" t="str">
        <f t="shared" ref="H721:I721" si="723">IF(C721&lt;&gt;"",DEC2HEX(C721,2),"")</f>
        <v/>
      </c>
      <c r="I721" s="1" t="str">
        <f t="shared" si="723"/>
        <v/>
      </c>
      <c r="J721" s="1" t="str">
        <f t="shared" si="3"/>
        <v/>
      </c>
      <c r="L721" s="1" t="s">
        <v>2539</v>
      </c>
      <c r="M721" s="1" t="str">
        <f t="shared" si="4"/>
        <v>NEW ROUTE</v>
      </c>
    </row>
    <row r="722" ht="12.75" customHeight="1">
      <c r="A722" s="3" t="s">
        <v>3053</v>
      </c>
      <c r="B722" s="3" t="str">
        <f t="shared" si="1"/>
        <v>1, 93, 0,</v>
      </c>
      <c r="C722" s="1" t="str">
        <f t="array" ref="C722">IF(B721="NEW ROUTE",TEXTSPLIT(B722,","),"")</f>
        <v>#NAME?</v>
      </c>
      <c r="H722" s="1" t="str">
        <f t="shared" ref="H722:I722" si="724">IF(C722&lt;&gt;"",DEC2HEX(C722,2),"")</f>
        <v>#NAME?</v>
      </c>
      <c r="I722" s="1" t="str">
        <f t="shared" si="724"/>
        <v/>
      </c>
      <c r="J722" s="1" t="str">
        <f t="shared" si="3"/>
        <v>#NAME?</v>
      </c>
      <c r="L722" s="1" t="s">
        <v>3053</v>
      </c>
      <c r="M722" s="1" t="str">
        <f t="shared" si="4"/>
        <v>#NAME?</v>
      </c>
    </row>
    <row r="723" ht="12.75" customHeight="1">
      <c r="A723" s="3" t="s">
        <v>3054</v>
      </c>
      <c r="B723" s="3" t="str">
        <f t="shared" si="1"/>
        <v>20%</v>
      </c>
      <c r="C723" s="1" t="str">
        <f t="array" ref="C723">IF(B722="NEW ROUTE",TEXTSPLIT(B723,","),"")</f>
        <v/>
      </c>
      <c r="H723" s="1" t="str">
        <f t="shared" ref="H723:I723" si="725">IF(C723&lt;&gt;"",DEC2HEX(C723,2),"")</f>
        <v/>
      </c>
      <c r="I723" s="1" t="str">
        <f t="shared" si="725"/>
        <v/>
      </c>
      <c r="J723" s="1" t="str">
        <f t="shared" si="3"/>
        <v/>
      </c>
      <c r="L723" s="1" t="s">
        <v>2799</v>
      </c>
      <c r="M723" s="1" t="str">
        <f t="shared" si="4"/>
        <v>20%</v>
      </c>
    </row>
    <row r="724" ht="12.75" customHeight="1">
      <c r="A724" s="3" t="s">
        <v>614</v>
      </c>
      <c r="B724" s="3" t="str">
        <f t="shared" si="1"/>
        <v>28, 31, GASTLY</v>
      </c>
      <c r="C724" s="1" t="str">
        <f t="array" ref="C724">IF(B723="NEW ROUTE",TEXTSPLIT(B724,","),"")</f>
        <v/>
      </c>
      <c r="H724" s="1" t="str">
        <f t="shared" ref="H724:I724" si="726">IF(C724&lt;&gt;"",DEC2HEX(C724,2),"")</f>
        <v/>
      </c>
      <c r="I724" s="1" t="str">
        <f t="shared" si="726"/>
        <v/>
      </c>
      <c r="J724" s="1" t="str">
        <f t="shared" si="3"/>
        <v/>
      </c>
      <c r="L724" s="1" t="s">
        <v>614</v>
      </c>
      <c r="M724" s="1" t="str">
        <f t="shared" si="4"/>
        <v>28, 31, GASTLY</v>
      </c>
    </row>
    <row r="725" ht="12.75" customHeight="1">
      <c r="A725" s="3" t="s">
        <v>3038</v>
      </c>
      <c r="B725" s="3" t="str">
        <f t="shared" si="1"/>
        <v>29, 32, RATTATA</v>
      </c>
      <c r="C725" s="1" t="str">
        <f t="array" ref="C725">IF(B724="NEW ROUTE",TEXTSPLIT(B725,","),"")</f>
        <v/>
      </c>
      <c r="H725" s="1" t="str">
        <f t="shared" ref="H725:I725" si="727">IF(C725&lt;&gt;"",DEC2HEX(C725,2),"")</f>
        <v/>
      </c>
      <c r="I725" s="1" t="str">
        <f t="shared" si="727"/>
        <v/>
      </c>
      <c r="J725" s="1" t="str">
        <f t="shared" si="3"/>
        <v/>
      </c>
      <c r="L725" s="1" t="s">
        <v>3038</v>
      </c>
      <c r="M725" s="1" t="str">
        <f t="shared" si="4"/>
        <v>29, 32, RATTATA</v>
      </c>
    </row>
    <row r="726" ht="12.75" customHeight="1">
      <c r="A726" s="3" t="s">
        <v>2802</v>
      </c>
      <c r="B726" s="3" t="str">
        <f t="shared" si="1"/>
        <v>0.1</v>
      </c>
      <c r="C726" s="1" t="str">
        <f t="array" ref="C726">IF(B725="NEW ROUTE",TEXTSPLIT(B726,","),"")</f>
        <v/>
      </c>
      <c r="H726" s="1" t="str">
        <f t="shared" ref="H726:I726" si="728">IF(C726&lt;&gt;"",DEC2HEX(C726,2),"")</f>
        <v/>
      </c>
      <c r="I726" s="1" t="str">
        <f t="shared" si="728"/>
        <v/>
      </c>
      <c r="J726" s="1" t="str">
        <f t="shared" si="3"/>
        <v/>
      </c>
      <c r="L726" s="1" t="s">
        <v>2802</v>
      </c>
      <c r="M726" s="1" t="str">
        <f t="shared" si="4"/>
        <v>0.1</v>
      </c>
    </row>
    <row r="727" ht="12.75" customHeight="1">
      <c r="A727" s="3" t="s">
        <v>3039</v>
      </c>
      <c r="B727" s="3" t="str">
        <f t="shared" si="1"/>
        <v>27, 31, CUBONE</v>
      </c>
      <c r="C727" s="1" t="str">
        <f t="array" ref="C727">IF(B726="NEW ROUTE",TEXTSPLIT(B727,","),"")</f>
        <v/>
      </c>
      <c r="H727" s="1" t="str">
        <f t="shared" ref="H727:I727" si="729">IF(C727&lt;&gt;"",DEC2HEX(C727,2),"")</f>
        <v/>
      </c>
      <c r="I727" s="1" t="str">
        <f t="shared" si="729"/>
        <v/>
      </c>
      <c r="J727" s="1" t="str">
        <f t="shared" si="3"/>
        <v/>
      </c>
      <c r="L727" s="1" t="s">
        <v>3039</v>
      </c>
      <c r="M727" s="1" t="str">
        <f t="shared" si="4"/>
        <v>27, 31, CUBONE</v>
      </c>
    </row>
    <row r="728" ht="12.75" customHeight="1">
      <c r="A728" s="3" t="s">
        <v>3040</v>
      </c>
      <c r="B728" s="3" t="str">
        <f t="shared" si="1"/>
        <v>29, 32, HAUNTER</v>
      </c>
      <c r="C728" s="1" t="str">
        <f t="array" ref="C728">IF(B727="NEW ROUTE",TEXTSPLIT(B728,","),"")</f>
        <v/>
      </c>
      <c r="H728" s="1" t="str">
        <f t="shared" ref="H728:I728" si="730">IF(C728&lt;&gt;"",DEC2HEX(C728,2),"")</f>
        <v/>
      </c>
      <c r="I728" s="1" t="str">
        <f t="shared" si="730"/>
        <v/>
      </c>
      <c r="J728" s="1" t="str">
        <f t="shared" si="3"/>
        <v/>
      </c>
      <c r="L728" s="1" t="s">
        <v>3040</v>
      </c>
      <c r="M728" s="1" t="str">
        <f t="shared" si="4"/>
        <v>29, 32, HAUNTER</v>
      </c>
    </row>
    <row r="729" ht="12.75" customHeight="1">
      <c r="A729" s="3" t="s">
        <v>3041</v>
      </c>
      <c r="B729" s="3" t="str">
        <f t="shared" si="1"/>
        <v>28, 31, DROWZEE</v>
      </c>
      <c r="C729" s="1" t="str">
        <f t="array" ref="C729">IF(B728="NEW ROUTE",TEXTSPLIT(B729,","),"")</f>
        <v/>
      </c>
      <c r="H729" s="1" t="str">
        <f t="shared" ref="H729:I729" si="731">IF(C729&lt;&gt;"",DEC2HEX(C729,2),"")</f>
        <v/>
      </c>
      <c r="I729" s="1" t="str">
        <f t="shared" si="731"/>
        <v/>
      </c>
      <c r="J729" s="1" t="str">
        <f t="shared" si="3"/>
        <v/>
      </c>
      <c r="L729" s="1" t="s">
        <v>3041</v>
      </c>
      <c r="M729" s="1" t="str">
        <f t="shared" si="4"/>
        <v>28, 31, DROWZEE</v>
      </c>
    </row>
    <row r="730" ht="12.75" customHeight="1">
      <c r="A730" s="3" t="s">
        <v>3042</v>
      </c>
      <c r="B730" s="3" t="str">
        <f t="shared" si="1"/>
        <v>28, 31, VULPIX</v>
      </c>
      <c r="C730" s="1" t="str">
        <f t="array" ref="C730">IF(B729="NEW ROUTE",TEXTSPLIT(B730,","),"")</f>
        <v/>
      </c>
      <c r="H730" s="1" t="str">
        <f t="shared" ref="H730:I730" si="732">IF(C730&lt;&gt;"",DEC2HEX(C730,2),"")</f>
        <v/>
      </c>
      <c r="I730" s="1" t="str">
        <f t="shared" si="732"/>
        <v/>
      </c>
      <c r="J730" s="1" t="str">
        <f t="shared" si="3"/>
        <v/>
      </c>
      <c r="L730" s="1" t="s">
        <v>3042</v>
      </c>
      <c r="M730" s="1" t="str">
        <f t="shared" si="4"/>
        <v>28, 31, VULPIX</v>
      </c>
    </row>
    <row r="731" ht="12.75" customHeight="1">
      <c r="A731" s="3" t="s">
        <v>2807</v>
      </c>
      <c r="B731" s="3" t="str">
        <f t="shared" si="1"/>
        <v>0.05</v>
      </c>
      <c r="C731" s="1" t="str">
        <f t="array" ref="C731">IF(B730="NEW ROUTE",TEXTSPLIT(B731,","),"")</f>
        <v/>
      </c>
      <c r="H731" s="1" t="str">
        <f t="shared" ref="H731:I731" si="733">IF(C731&lt;&gt;"",DEC2HEX(C731,2),"")</f>
        <v/>
      </c>
      <c r="I731" s="1" t="str">
        <f t="shared" si="733"/>
        <v/>
      </c>
      <c r="J731" s="1" t="str">
        <f t="shared" si="3"/>
        <v/>
      </c>
      <c r="L731" s="1" t="s">
        <v>2807</v>
      </c>
      <c r="M731" s="1" t="str">
        <f t="shared" si="4"/>
        <v>0.05</v>
      </c>
    </row>
    <row r="732" ht="12.75" customHeight="1">
      <c r="A732" s="3" t="s">
        <v>3043</v>
      </c>
      <c r="B732" s="3" t="str">
        <f t="shared" si="1"/>
        <v>29, 32, HYPNO</v>
      </c>
      <c r="C732" s="1" t="str">
        <f t="array" ref="C732">IF(B731="NEW ROUTE",TEXTSPLIT(B732,","),"")</f>
        <v/>
      </c>
      <c r="H732" s="1" t="str">
        <f t="shared" ref="H732:I732" si="734">IF(C732&lt;&gt;"",DEC2HEX(C732,2),"")</f>
        <v/>
      </c>
      <c r="I732" s="1" t="str">
        <f t="shared" si="734"/>
        <v/>
      </c>
      <c r="J732" s="1" t="str">
        <f t="shared" si="3"/>
        <v/>
      </c>
      <c r="L732" s="1" t="s">
        <v>3043</v>
      </c>
      <c r="M732" s="1" t="str">
        <f t="shared" si="4"/>
        <v>29, 32, HYPNO</v>
      </c>
    </row>
    <row r="733" ht="12.75" customHeight="1">
      <c r="A733" s="3" t="s">
        <v>3044</v>
      </c>
      <c r="B733" s="3" t="str">
        <f t="shared" si="1"/>
        <v>28, 31, RATICATE</v>
      </c>
      <c r="C733" s="1" t="str">
        <f t="array" ref="C733">IF(B732="NEW ROUTE",TEXTSPLIT(B733,","),"")</f>
        <v/>
      </c>
      <c r="H733" s="1" t="str">
        <f t="shared" ref="H733:I733" si="735">IF(C733&lt;&gt;"",DEC2HEX(C733,2),"")</f>
        <v/>
      </c>
      <c r="I733" s="1" t="str">
        <f t="shared" si="735"/>
        <v/>
      </c>
      <c r="J733" s="1" t="str">
        <f t="shared" si="3"/>
        <v/>
      </c>
      <c r="L733" s="1" t="s">
        <v>3044</v>
      </c>
      <c r="M733" s="1" t="str">
        <f t="shared" si="4"/>
        <v>28, 31, RATICATE</v>
      </c>
    </row>
    <row r="734" ht="12.75" customHeight="1">
      <c r="A734" s="3" t="s">
        <v>2810</v>
      </c>
      <c r="B734" s="3" t="str">
        <f t="shared" si="1"/>
        <v>0.04</v>
      </c>
      <c r="C734" s="1" t="str">
        <f t="array" ref="C734">IF(B733="NEW ROUTE",TEXTSPLIT(B734,","),"")</f>
        <v/>
      </c>
      <c r="H734" s="1" t="str">
        <f t="shared" ref="H734:I734" si="736">IF(C734&lt;&gt;"",DEC2HEX(C734,2),"")</f>
        <v/>
      </c>
      <c r="I734" s="1" t="str">
        <f t="shared" si="736"/>
        <v/>
      </c>
      <c r="J734" s="1" t="str">
        <f t="shared" si="3"/>
        <v/>
      </c>
      <c r="L734" s="1" t="s">
        <v>2810</v>
      </c>
      <c r="M734" s="1" t="str">
        <f t="shared" si="4"/>
        <v>0.04</v>
      </c>
    </row>
    <row r="735" ht="12.75" customHeight="1">
      <c r="A735" s="3" t="s">
        <v>3045</v>
      </c>
      <c r="B735" s="3" t="str">
        <f t="shared" si="1"/>
        <v>29, 32, MAROWAK</v>
      </c>
      <c r="C735" s="1" t="str">
        <f t="array" ref="C735">IF(B734="NEW ROUTE",TEXTSPLIT(B735,","),"")</f>
        <v/>
      </c>
      <c r="H735" s="1" t="str">
        <f t="shared" ref="H735:I735" si="737">IF(C735&lt;&gt;"",DEC2HEX(C735,2),"")</f>
        <v/>
      </c>
      <c r="I735" s="1" t="str">
        <f t="shared" si="737"/>
        <v/>
      </c>
      <c r="J735" s="1" t="str">
        <f t="shared" si="3"/>
        <v/>
      </c>
      <c r="L735" s="1" t="s">
        <v>3045</v>
      </c>
      <c r="M735" s="1" t="str">
        <f t="shared" si="4"/>
        <v>29, 32, MAROWAK</v>
      </c>
    </row>
    <row r="736" ht="12.75" customHeight="1">
      <c r="A736" s="3" t="s">
        <v>3046</v>
      </c>
      <c r="B736" s="3" t="str">
        <f t="shared" si="1"/>
        <v>28, 31, RATTCHET</v>
      </c>
      <c r="C736" s="1" t="str">
        <f t="array" ref="C736">IF(B735="NEW ROUTE",TEXTSPLIT(B736,","),"")</f>
        <v/>
      </c>
      <c r="H736" s="1" t="str">
        <f t="shared" ref="H736:I736" si="738">IF(C736&lt;&gt;"",DEC2HEX(C736,2),"")</f>
        <v/>
      </c>
      <c r="I736" s="1" t="str">
        <f t="shared" si="738"/>
        <v/>
      </c>
      <c r="J736" s="1" t="str">
        <f t="shared" si="3"/>
        <v/>
      </c>
      <c r="L736" s="1" t="s">
        <v>3046</v>
      </c>
      <c r="M736" s="1" t="str">
        <f t="shared" si="4"/>
        <v>28, 31, RATTCHET</v>
      </c>
    </row>
    <row r="737" ht="12.75" customHeight="1">
      <c r="A737" s="3" t="s">
        <v>2813</v>
      </c>
      <c r="B737" s="3" t="str">
        <f t="shared" si="1"/>
        <v>0.01</v>
      </c>
      <c r="C737" s="1" t="str">
        <f t="array" ref="C737">IF(B736="NEW ROUTE",TEXTSPLIT(B737,","),"")</f>
        <v/>
      </c>
      <c r="H737" s="1" t="str">
        <f t="shared" ref="H737:I737" si="739">IF(C737&lt;&gt;"",DEC2HEX(C737,2),"")</f>
        <v/>
      </c>
      <c r="I737" s="1" t="str">
        <f t="shared" si="739"/>
        <v/>
      </c>
      <c r="J737" s="1" t="str">
        <f t="shared" si="3"/>
        <v/>
      </c>
      <c r="L737" s="1" t="s">
        <v>2813</v>
      </c>
      <c r="M737" s="1" t="str">
        <f t="shared" si="4"/>
        <v>0.01</v>
      </c>
    </row>
    <row r="738" ht="12.75" customHeight="1">
      <c r="A738" s="3" t="s">
        <v>3047</v>
      </c>
      <c r="B738" s="3" t="str">
        <f t="shared" si="1"/>
        <v>33, 33, HAUNTER</v>
      </c>
      <c r="C738" s="1" t="str">
        <f t="array" ref="C738">IF(B737="NEW ROUTE",TEXTSPLIT(B738,","),"")</f>
        <v/>
      </c>
      <c r="H738" s="1" t="str">
        <f t="shared" ref="H738:I738" si="740">IF(C738&lt;&gt;"",DEC2HEX(C738,2),"")</f>
        <v/>
      </c>
      <c r="I738" s="1" t="str">
        <f t="shared" si="740"/>
        <v/>
      </c>
      <c r="J738" s="1" t="str">
        <f t="shared" si="3"/>
        <v/>
      </c>
      <c r="L738" s="1" t="s">
        <v>3047</v>
      </c>
      <c r="M738" s="1" t="str">
        <f t="shared" si="4"/>
        <v>33, 33, HAUNTER</v>
      </c>
    </row>
    <row r="739" ht="12.75" customHeight="1">
      <c r="A739" s="3" t="s">
        <v>3048</v>
      </c>
      <c r="B739" s="3" t="str">
        <f t="shared" si="1"/>
        <v>32, 33, NINETALES , &lt;null&gt;, &lt;null&gt;, &lt;null&gt;</v>
      </c>
      <c r="C739" s="1" t="str">
        <f t="array" ref="C739">IF(B738="NEW ROUTE",TEXTSPLIT(B739,","),"")</f>
        <v/>
      </c>
      <c r="H739" s="1" t="str">
        <f t="shared" ref="H739:I739" si="741">IF(C739&lt;&gt;"",DEC2HEX(C739,2),"")</f>
        <v/>
      </c>
      <c r="I739" s="1" t="str">
        <f t="shared" si="741"/>
        <v/>
      </c>
      <c r="J739" s="1" t="str">
        <f t="shared" si="3"/>
        <v/>
      </c>
      <c r="L739" s="1" t="s">
        <v>3048</v>
      </c>
      <c r="M739" s="1" t="str">
        <f t="shared" si="4"/>
        <v>32, 33, NINETALES , &lt;null&gt;, &lt;null&gt;, &lt;null&gt;</v>
      </c>
    </row>
    <row r="740" ht="12.75" customHeight="1">
      <c r="A740" s="3" t="s">
        <v>2539</v>
      </c>
      <c r="B740" s="3" t="str">
        <f t="shared" si="1"/>
        <v>NEW ROUTE</v>
      </c>
      <c r="C740" s="1" t="str">
        <f t="array" ref="C740">IF(B739="NEW ROUTE",TEXTSPLIT(B740,","),"")</f>
        <v/>
      </c>
      <c r="H740" s="1" t="str">
        <f t="shared" ref="H740:I740" si="742">IF(C740&lt;&gt;"",DEC2HEX(C740,2),"")</f>
        <v/>
      </c>
      <c r="I740" s="1" t="str">
        <f t="shared" si="742"/>
        <v/>
      </c>
      <c r="J740" s="1" t="str">
        <f t="shared" si="3"/>
        <v/>
      </c>
      <c r="L740" s="1" t="s">
        <v>2539</v>
      </c>
      <c r="M740" s="1" t="str">
        <f t="shared" si="4"/>
        <v>NEW ROUTE</v>
      </c>
    </row>
    <row r="741" ht="12.75" customHeight="1">
      <c r="A741" s="3" t="s">
        <v>3055</v>
      </c>
      <c r="B741" s="3" t="str">
        <f t="shared" si="1"/>
        <v>1, 94, 0,</v>
      </c>
      <c r="C741" s="1" t="str">
        <f t="array" ref="C741">IF(B740="NEW ROUTE",TEXTSPLIT(B741,","),"")</f>
        <v>#NAME?</v>
      </c>
      <c r="H741" s="1" t="str">
        <f t="shared" ref="H741:I741" si="743">IF(C741&lt;&gt;"",DEC2HEX(C741,2),"")</f>
        <v>#NAME?</v>
      </c>
      <c r="I741" s="1" t="str">
        <f t="shared" si="743"/>
        <v/>
      </c>
      <c r="J741" s="1" t="str">
        <f t="shared" si="3"/>
        <v>#NAME?</v>
      </c>
      <c r="L741" s="1" t="s">
        <v>3055</v>
      </c>
      <c r="M741" s="1" t="str">
        <f t="shared" si="4"/>
        <v>#NAME?</v>
      </c>
    </row>
    <row r="742" ht="12.75" customHeight="1">
      <c r="A742" s="3" t="s">
        <v>3056</v>
      </c>
      <c r="B742" s="3" t="str">
        <f t="shared" si="1"/>
        <v>20%</v>
      </c>
      <c r="C742" s="1" t="str">
        <f t="array" ref="C742">IF(B741="NEW ROUTE",TEXTSPLIT(B742,","),"")</f>
        <v/>
      </c>
      <c r="H742" s="1" t="str">
        <f t="shared" ref="H742:I742" si="744">IF(C742&lt;&gt;"",DEC2HEX(C742,2),"")</f>
        <v/>
      </c>
      <c r="I742" s="1" t="str">
        <f t="shared" si="744"/>
        <v/>
      </c>
      <c r="J742" s="1" t="str">
        <f t="shared" si="3"/>
        <v/>
      </c>
      <c r="L742" s="1" t="s">
        <v>2799</v>
      </c>
      <c r="M742" s="1" t="str">
        <f t="shared" si="4"/>
        <v>20%</v>
      </c>
    </row>
    <row r="743" ht="12.75" customHeight="1">
      <c r="A743" s="3" t="s">
        <v>614</v>
      </c>
      <c r="B743" s="3" t="str">
        <f t="shared" si="1"/>
        <v>28, 31, GASTLY</v>
      </c>
      <c r="C743" s="1" t="str">
        <f t="array" ref="C743">IF(B742="NEW ROUTE",TEXTSPLIT(B743,","),"")</f>
        <v/>
      </c>
      <c r="H743" s="1" t="str">
        <f t="shared" ref="H743:I743" si="745">IF(C743&lt;&gt;"",DEC2HEX(C743,2),"")</f>
        <v/>
      </c>
      <c r="I743" s="1" t="str">
        <f t="shared" si="745"/>
        <v/>
      </c>
      <c r="J743" s="1" t="str">
        <f t="shared" si="3"/>
        <v/>
      </c>
      <c r="L743" s="1" t="s">
        <v>614</v>
      </c>
      <c r="M743" s="1" t="str">
        <f t="shared" si="4"/>
        <v>28, 31, GASTLY</v>
      </c>
    </row>
    <row r="744" ht="12.75" customHeight="1">
      <c r="A744" s="3" t="s">
        <v>3038</v>
      </c>
      <c r="B744" s="3" t="str">
        <f t="shared" si="1"/>
        <v>29, 32, RATTATA</v>
      </c>
      <c r="C744" s="1" t="str">
        <f t="array" ref="C744">IF(B743="NEW ROUTE",TEXTSPLIT(B744,","),"")</f>
        <v/>
      </c>
      <c r="H744" s="1" t="str">
        <f t="shared" ref="H744:I744" si="746">IF(C744&lt;&gt;"",DEC2HEX(C744,2),"")</f>
        <v/>
      </c>
      <c r="I744" s="1" t="str">
        <f t="shared" si="746"/>
        <v/>
      </c>
      <c r="J744" s="1" t="str">
        <f t="shared" si="3"/>
        <v/>
      </c>
      <c r="L744" s="1" t="s">
        <v>3038</v>
      </c>
      <c r="M744" s="1" t="str">
        <f t="shared" si="4"/>
        <v>29, 32, RATTATA</v>
      </c>
    </row>
    <row r="745" ht="12.75" customHeight="1">
      <c r="A745" s="3" t="s">
        <v>2802</v>
      </c>
      <c r="B745" s="3" t="str">
        <f t="shared" si="1"/>
        <v>0.1</v>
      </c>
      <c r="C745" s="1" t="str">
        <f t="array" ref="C745">IF(B744="NEW ROUTE",TEXTSPLIT(B745,","),"")</f>
        <v/>
      </c>
      <c r="H745" s="1" t="str">
        <f t="shared" ref="H745:I745" si="747">IF(C745&lt;&gt;"",DEC2HEX(C745,2),"")</f>
        <v/>
      </c>
      <c r="I745" s="1" t="str">
        <f t="shared" si="747"/>
        <v/>
      </c>
      <c r="J745" s="1" t="str">
        <f t="shared" si="3"/>
        <v/>
      </c>
      <c r="L745" s="1" t="s">
        <v>2802</v>
      </c>
      <c r="M745" s="1" t="str">
        <f t="shared" si="4"/>
        <v>0.1</v>
      </c>
    </row>
    <row r="746" ht="12.75" customHeight="1">
      <c r="A746" s="3" t="s">
        <v>3039</v>
      </c>
      <c r="B746" s="3" t="str">
        <f t="shared" si="1"/>
        <v>27, 31, CUBONE</v>
      </c>
      <c r="C746" s="1" t="str">
        <f t="array" ref="C746">IF(B745="NEW ROUTE",TEXTSPLIT(B746,","),"")</f>
        <v/>
      </c>
      <c r="H746" s="1" t="str">
        <f t="shared" ref="H746:I746" si="748">IF(C746&lt;&gt;"",DEC2HEX(C746,2),"")</f>
        <v/>
      </c>
      <c r="I746" s="1" t="str">
        <f t="shared" si="748"/>
        <v/>
      </c>
      <c r="J746" s="1" t="str">
        <f t="shared" si="3"/>
        <v/>
      </c>
      <c r="L746" s="1" t="s">
        <v>3039</v>
      </c>
      <c r="M746" s="1" t="str">
        <f t="shared" si="4"/>
        <v>27, 31, CUBONE</v>
      </c>
    </row>
    <row r="747" ht="12.75" customHeight="1">
      <c r="A747" s="3" t="s">
        <v>3040</v>
      </c>
      <c r="B747" s="3" t="str">
        <f t="shared" si="1"/>
        <v>29, 32, HAUNTER</v>
      </c>
      <c r="C747" s="1" t="str">
        <f t="array" ref="C747">IF(B746="NEW ROUTE",TEXTSPLIT(B747,","),"")</f>
        <v/>
      </c>
      <c r="H747" s="1" t="str">
        <f t="shared" ref="H747:I747" si="749">IF(C747&lt;&gt;"",DEC2HEX(C747,2),"")</f>
        <v/>
      </c>
      <c r="I747" s="1" t="str">
        <f t="shared" si="749"/>
        <v/>
      </c>
      <c r="J747" s="1" t="str">
        <f t="shared" si="3"/>
        <v/>
      </c>
      <c r="L747" s="1" t="s">
        <v>3040</v>
      </c>
      <c r="M747" s="1" t="str">
        <f t="shared" si="4"/>
        <v>29, 32, HAUNTER</v>
      </c>
    </row>
    <row r="748" ht="12.75" customHeight="1">
      <c r="A748" s="3" t="s">
        <v>3041</v>
      </c>
      <c r="B748" s="3" t="str">
        <f t="shared" si="1"/>
        <v>28, 31, DROWZEE</v>
      </c>
      <c r="C748" s="1" t="str">
        <f t="array" ref="C748">IF(B747="NEW ROUTE",TEXTSPLIT(B748,","),"")</f>
        <v/>
      </c>
      <c r="H748" s="1" t="str">
        <f t="shared" ref="H748:I748" si="750">IF(C748&lt;&gt;"",DEC2HEX(C748,2),"")</f>
        <v/>
      </c>
      <c r="I748" s="1" t="str">
        <f t="shared" si="750"/>
        <v/>
      </c>
      <c r="J748" s="1" t="str">
        <f t="shared" si="3"/>
        <v/>
      </c>
      <c r="L748" s="1" t="s">
        <v>3041</v>
      </c>
      <c r="M748" s="1" t="str">
        <f t="shared" si="4"/>
        <v>28, 31, DROWZEE</v>
      </c>
    </row>
    <row r="749" ht="12.75" customHeight="1">
      <c r="A749" s="3" t="s">
        <v>3042</v>
      </c>
      <c r="B749" s="3" t="str">
        <f t="shared" si="1"/>
        <v>28, 31, VULPIX</v>
      </c>
      <c r="C749" s="1" t="str">
        <f t="array" ref="C749">IF(B748="NEW ROUTE",TEXTSPLIT(B749,","),"")</f>
        <v/>
      </c>
      <c r="H749" s="1" t="str">
        <f t="shared" ref="H749:I749" si="751">IF(C749&lt;&gt;"",DEC2HEX(C749,2),"")</f>
        <v/>
      </c>
      <c r="I749" s="1" t="str">
        <f t="shared" si="751"/>
        <v/>
      </c>
      <c r="J749" s="1" t="str">
        <f t="shared" si="3"/>
        <v/>
      </c>
      <c r="L749" s="1" t="s">
        <v>3042</v>
      </c>
      <c r="M749" s="1" t="str">
        <f t="shared" si="4"/>
        <v>28, 31, VULPIX</v>
      </c>
    </row>
    <row r="750" ht="12.75" customHeight="1">
      <c r="A750" s="3" t="s">
        <v>2807</v>
      </c>
      <c r="B750" s="3" t="str">
        <f t="shared" si="1"/>
        <v>0.05</v>
      </c>
      <c r="C750" s="1" t="str">
        <f t="array" ref="C750">IF(B749="NEW ROUTE",TEXTSPLIT(B750,","),"")</f>
        <v/>
      </c>
      <c r="H750" s="1" t="str">
        <f t="shared" ref="H750:I750" si="752">IF(C750&lt;&gt;"",DEC2HEX(C750,2),"")</f>
        <v/>
      </c>
      <c r="I750" s="1" t="str">
        <f t="shared" si="752"/>
        <v/>
      </c>
      <c r="J750" s="1" t="str">
        <f t="shared" si="3"/>
        <v/>
      </c>
      <c r="L750" s="1" t="s">
        <v>2807</v>
      </c>
      <c r="M750" s="1" t="str">
        <f t="shared" si="4"/>
        <v>0.05</v>
      </c>
    </row>
    <row r="751" ht="12.75" customHeight="1">
      <c r="A751" s="3" t="s">
        <v>3043</v>
      </c>
      <c r="B751" s="3" t="str">
        <f t="shared" si="1"/>
        <v>29, 32, HYPNO</v>
      </c>
      <c r="C751" s="1" t="str">
        <f t="array" ref="C751">IF(B750="NEW ROUTE",TEXTSPLIT(B751,","),"")</f>
        <v/>
      </c>
      <c r="H751" s="1" t="str">
        <f t="shared" ref="H751:I751" si="753">IF(C751&lt;&gt;"",DEC2HEX(C751,2),"")</f>
        <v/>
      </c>
      <c r="I751" s="1" t="str">
        <f t="shared" si="753"/>
        <v/>
      </c>
      <c r="J751" s="1" t="str">
        <f t="shared" si="3"/>
        <v/>
      </c>
      <c r="L751" s="1" t="s">
        <v>3043</v>
      </c>
      <c r="M751" s="1" t="str">
        <f t="shared" si="4"/>
        <v>29, 32, HYPNO</v>
      </c>
    </row>
    <row r="752" ht="12.75" customHeight="1">
      <c r="A752" s="3" t="s">
        <v>3044</v>
      </c>
      <c r="B752" s="3" t="str">
        <f t="shared" si="1"/>
        <v>28, 31, RATICATE</v>
      </c>
      <c r="C752" s="1" t="str">
        <f t="array" ref="C752">IF(B751="NEW ROUTE",TEXTSPLIT(B752,","),"")</f>
        <v/>
      </c>
      <c r="H752" s="1" t="str">
        <f t="shared" ref="H752:I752" si="754">IF(C752&lt;&gt;"",DEC2HEX(C752,2),"")</f>
        <v/>
      </c>
      <c r="I752" s="1" t="str">
        <f t="shared" si="754"/>
        <v/>
      </c>
      <c r="J752" s="1" t="str">
        <f t="shared" si="3"/>
        <v/>
      </c>
      <c r="L752" s="1" t="s">
        <v>3044</v>
      </c>
      <c r="M752" s="1" t="str">
        <f t="shared" si="4"/>
        <v>28, 31, RATICATE</v>
      </c>
    </row>
    <row r="753" ht="12.75" customHeight="1">
      <c r="A753" s="3" t="s">
        <v>2810</v>
      </c>
      <c r="B753" s="3" t="str">
        <f t="shared" si="1"/>
        <v>0.04</v>
      </c>
      <c r="C753" s="1" t="str">
        <f t="array" ref="C753">IF(B752="NEW ROUTE",TEXTSPLIT(B753,","),"")</f>
        <v/>
      </c>
      <c r="H753" s="1" t="str">
        <f t="shared" ref="H753:I753" si="755">IF(C753&lt;&gt;"",DEC2HEX(C753,2),"")</f>
        <v/>
      </c>
      <c r="I753" s="1" t="str">
        <f t="shared" si="755"/>
        <v/>
      </c>
      <c r="J753" s="1" t="str">
        <f t="shared" si="3"/>
        <v/>
      </c>
      <c r="L753" s="1" t="s">
        <v>2810</v>
      </c>
      <c r="M753" s="1" t="str">
        <f t="shared" si="4"/>
        <v>0.04</v>
      </c>
    </row>
    <row r="754" ht="12.75" customHeight="1">
      <c r="A754" s="3" t="s">
        <v>3045</v>
      </c>
      <c r="B754" s="3" t="str">
        <f t="shared" si="1"/>
        <v>29, 32, MAROWAK</v>
      </c>
      <c r="C754" s="1" t="str">
        <f t="array" ref="C754">IF(B753="NEW ROUTE",TEXTSPLIT(B754,","),"")</f>
        <v/>
      </c>
      <c r="H754" s="1" t="str">
        <f t="shared" ref="H754:I754" si="756">IF(C754&lt;&gt;"",DEC2HEX(C754,2),"")</f>
        <v/>
      </c>
      <c r="I754" s="1" t="str">
        <f t="shared" si="756"/>
        <v/>
      </c>
      <c r="J754" s="1" t="str">
        <f t="shared" si="3"/>
        <v/>
      </c>
      <c r="L754" s="1" t="s">
        <v>3045</v>
      </c>
      <c r="M754" s="1" t="str">
        <f t="shared" si="4"/>
        <v>29, 32, MAROWAK</v>
      </c>
    </row>
    <row r="755" ht="12.75" customHeight="1">
      <c r="A755" s="3" t="s">
        <v>3046</v>
      </c>
      <c r="B755" s="3" t="str">
        <f t="shared" si="1"/>
        <v>28, 31, RATTCHET</v>
      </c>
      <c r="C755" s="1" t="str">
        <f t="array" ref="C755">IF(B754="NEW ROUTE",TEXTSPLIT(B755,","),"")</f>
        <v/>
      </c>
      <c r="H755" s="1" t="str">
        <f t="shared" ref="H755:I755" si="757">IF(C755&lt;&gt;"",DEC2HEX(C755,2),"")</f>
        <v/>
      </c>
      <c r="I755" s="1" t="str">
        <f t="shared" si="757"/>
        <v/>
      </c>
      <c r="J755" s="1" t="str">
        <f t="shared" si="3"/>
        <v/>
      </c>
      <c r="L755" s="1" t="s">
        <v>3046</v>
      </c>
      <c r="M755" s="1" t="str">
        <f t="shared" si="4"/>
        <v>28, 31, RATTCHET</v>
      </c>
    </row>
    <row r="756" ht="12.75" customHeight="1">
      <c r="A756" s="3" t="s">
        <v>2813</v>
      </c>
      <c r="B756" s="3" t="str">
        <f t="shared" si="1"/>
        <v>0.01</v>
      </c>
      <c r="C756" s="1" t="str">
        <f t="array" ref="C756">IF(B755="NEW ROUTE",TEXTSPLIT(B756,","),"")</f>
        <v/>
      </c>
      <c r="H756" s="1" t="str">
        <f t="shared" ref="H756:I756" si="758">IF(C756&lt;&gt;"",DEC2HEX(C756,2),"")</f>
        <v/>
      </c>
      <c r="I756" s="1" t="str">
        <f t="shared" si="758"/>
        <v/>
      </c>
      <c r="J756" s="1" t="str">
        <f t="shared" si="3"/>
        <v/>
      </c>
      <c r="L756" s="1" t="s">
        <v>2813</v>
      </c>
      <c r="M756" s="1" t="str">
        <f t="shared" si="4"/>
        <v>0.01</v>
      </c>
    </row>
    <row r="757" ht="12.75" customHeight="1">
      <c r="A757" s="3" t="s">
        <v>3057</v>
      </c>
      <c r="B757" s="3" t="str">
        <f t="shared" si="1"/>
        <v>32, 33, GENGAR</v>
      </c>
      <c r="C757" s="1" t="str">
        <f t="array" ref="C757">IF(B756="NEW ROUTE",TEXTSPLIT(B757,","),"")</f>
        <v/>
      </c>
      <c r="H757" s="1" t="str">
        <f t="shared" ref="H757:I757" si="759">IF(C757&lt;&gt;"",DEC2HEX(C757,2),"")</f>
        <v/>
      </c>
      <c r="I757" s="1" t="str">
        <f t="shared" si="759"/>
        <v/>
      </c>
      <c r="J757" s="1" t="str">
        <f t="shared" si="3"/>
        <v/>
      </c>
      <c r="L757" s="1" t="s">
        <v>3057</v>
      </c>
      <c r="M757" s="1" t="str">
        <f t="shared" si="4"/>
        <v>32, 33, GENGAR</v>
      </c>
    </row>
    <row r="758" ht="12.75" customHeight="1">
      <c r="A758" s="3" t="s">
        <v>3048</v>
      </c>
      <c r="B758" s="3" t="str">
        <f t="shared" si="1"/>
        <v>32, 33, NINETALES , &lt;null&gt;, &lt;null&gt;, &lt;null&gt;</v>
      </c>
      <c r="C758" s="1" t="str">
        <f t="array" ref="C758">IF(B757="NEW ROUTE",TEXTSPLIT(B758,","),"")</f>
        <v/>
      </c>
      <c r="H758" s="1" t="str">
        <f t="shared" ref="H758:I758" si="760">IF(C758&lt;&gt;"",DEC2HEX(C758,2),"")</f>
        <v/>
      </c>
      <c r="I758" s="1" t="str">
        <f t="shared" si="760"/>
        <v/>
      </c>
      <c r="J758" s="1" t="str">
        <f t="shared" si="3"/>
        <v/>
      </c>
      <c r="L758" s="1" t="s">
        <v>3048</v>
      </c>
      <c r="M758" s="1" t="str">
        <f t="shared" si="4"/>
        <v>32, 33, NINETALES , &lt;null&gt;, &lt;null&gt;, &lt;null&gt;</v>
      </c>
    </row>
    <row r="759" ht="12.75" customHeight="1">
      <c r="A759" s="3" t="s">
        <v>2539</v>
      </c>
      <c r="B759" s="3" t="str">
        <f t="shared" si="1"/>
        <v>NEW ROUTE</v>
      </c>
      <c r="C759" s="1" t="str">
        <f t="array" ref="C759">IF(B758="NEW ROUTE",TEXTSPLIT(B759,","),"")</f>
        <v/>
      </c>
      <c r="H759" s="1" t="str">
        <f t="shared" ref="H759:I759" si="761">IF(C759&lt;&gt;"",DEC2HEX(C759,2),"")</f>
        <v/>
      </c>
      <c r="I759" s="1" t="str">
        <f t="shared" si="761"/>
        <v/>
      </c>
      <c r="J759" s="1" t="str">
        <f t="shared" si="3"/>
        <v/>
      </c>
      <c r="L759" s="1" t="s">
        <v>2539</v>
      </c>
      <c r="M759" s="1" t="str">
        <f t="shared" si="4"/>
        <v>NEW ROUTE</v>
      </c>
    </row>
    <row r="760" ht="12.75" customHeight="1">
      <c r="A760" s="3" t="s">
        <v>3058</v>
      </c>
      <c r="B760" s="3" t="str">
        <f t="shared" si="1"/>
        <v>1, 95, 0,</v>
      </c>
      <c r="C760" s="1" t="str">
        <f t="array" ref="C760">IF(B759="NEW ROUTE",TEXTSPLIT(B760,","),"")</f>
        <v>#NAME?</v>
      </c>
      <c r="H760" s="1" t="str">
        <f t="shared" ref="H760:I760" si="762">IF(C760&lt;&gt;"",DEC2HEX(C760,2),"")</f>
        <v>#NAME?</v>
      </c>
      <c r="I760" s="1" t="str">
        <f t="shared" si="762"/>
        <v/>
      </c>
      <c r="J760" s="1" t="str">
        <f t="shared" si="3"/>
        <v>#NAME?</v>
      </c>
      <c r="L760" s="1" t="s">
        <v>3058</v>
      </c>
      <c r="M760" s="1" t="str">
        <f t="shared" si="4"/>
        <v>#NAME?</v>
      </c>
    </row>
    <row r="761" ht="12.75" customHeight="1">
      <c r="A761" s="3" t="s">
        <v>2817</v>
      </c>
      <c r="B761" s="3" t="str">
        <f t="shared" si="1"/>
        <v>20%</v>
      </c>
      <c r="C761" s="1" t="str">
        <f t="array" ref="C761">IF(B760="NEW ROUTE",TEXTSPLIT(B761,","),"")</f>
        <v/>
      </c>
      <c r="H761" s="1" t="str">
        <f t="shared" ref="H761:I761" si="763">IF(C761&lt;&gt;"",DEC2HEX(C761,2),"")</f>
        <v/>
      </c>
      <c r="I761" s="1" t="str">
        <f t="shared" si="763"/>
        <v/>
      </c>
      <c r="J761" s="1" t="str">
        <f t="shared" si="3"/>
        <v/>
      </c>
      <c r="L761" s="1" t="s">
        <v>2799</v>
      </c>
      <c r="M761" s="1" t="str">
        <f t="shared" si="4"/>
        <v>20%</v>
      </c>
    </row>
    <row r="762" ht="12.75" customHeight="1">
      <c r="A762" s="3" t="s">
        <v>632</v>
      </c>
      <c r="B762" s="3" t="str">
        <f t="shared" si="1"/>
        <v>39, 46, MAGNEMITE</v>
      </c>
      <c r="C762" s="1" t="str">
        <f t="array" ref="C762">IF(B761="NEW ROUTE",TEXTSPLIT(B762,","),"")</f>
        <v/>
      </c>
      <c r="H762" s="1" t="str">
        <f t="shared" ref="H762:I762" si="764">IF(C762&lt;&gt;"",DEC2HEX(C762,2),"")</f>
        <v/>
      </c>
      <c r="I762" s="1" t="str">
        <f t="shared" si="764"/>
        <v/>
      </c>
      <c r="J762" s="1" t="str">
        <f t="shared" si="3"/>
        <v/>
      </c>
      <c r="L762" s="1" t="s">
        <v>632</v>
      </c>
      <c r="M762" s="1" t="str">
        <f t="shared" si="4"/>
        <v>39, 46, MAGNEMITE</v>
      </c>
    </row>
    <row r="763" ht="12.75" customHeight="1">
      <c r="A763" s="3" t="s">
        <v>3059</v>
      </c>
      <c r="B763" s="3" t="str">
        <f t="shared" si="1"/>
        <v>39, 46, PIKACHU</v>
      </c>
      <c r="C763" s="1" t="str">
        <f t="array" ref="C763">IF(B762="NEW ROUTE",TEXTSPLIT(B763,","),"")</f>
        <v/>
      </c>
      <c r="H763" s="1" t="str">
        <f t="shared" ref="H763:I763" si="765">IF(C763&lt;&gt;"",DEC2HEX(C763,2),"")</f>
        <v/>
      </c>
      <c r="I763" s="1" t="str">
        <f t="shared" si="765"/>
        <v/>
      </c>
      <c r="J763" s="1" t="str">
        <f t="shared" si="3"/>
        <v/>
      </c>
      <c r="L763" s="1" t="s">
        <v>3059</v>
      </c>
      <c r="M763" s="1" t="str">
        <f t="shared" si="4"/>
        <v>39, 46, PIKACHU</v>
      </c>
    </row>
    <row r="764" ht="12.75" customHeight="1">
      <c r="A764" s="3" t="s">
        <v>2802</v>
      </c>
      <c r="B764" s="3" t="str">
        <f t="shared" si="1"/>
        <v>0.1</v>
      </c>
      <c r="C764" s="1" t="str">
        <f t="array" ref="C764">IF(B763="NEW ROUTE",TEXTSPLIT(B764,","),"")</f>
        <v/>
      </c>
      <c r="H764" s="1" t="str">
        <f t="shared" ref="H764:I764" si="766">IF(C764&lt;&gt;"",DEC2HEX(C764,2),"")</f>
        <v/>
      </c>
      <c r="I764" s="1" t="str">
        <f t="shared" si="766"/>
        <v/>
      </c>
      <c r="J764" s="1" t="str">
        <f t="shared" si="3"/>
        <v/>
      </c>
      <c r="L764" s="1" t="s">
        <v>2802</v>
      </c>
      <c r="M764" s="1" t="str">
        <f t="shared" si="4"/>
        <v>0.1</v>
      </c>
    </row>
    <row r="765" ht="12.75" customHeight="1">
      <c r="A765" s="3" t="s">
        <v>3060</v>
      </c>
      <c r="B765" s="3" t="str">
        <f t="shared" si="1"/>
        <v>41, 48, VOLTORB</v>
      </c>
      <c r="C765" s="1" t="str">
        <f t="array" ref="C765">IF(B764="NEW ROUTE",TEXTSPLIT(B765,","),"")</f>
        <v/>
      </c>
      <c r="H765" s="1" t="str">
        <f t="shared" ref="H765:I765" si="767">IF(C765&lt;&gt;"",DEC2HEX(C765,2),"")</f>
        <v/>
      </c>
      <c r="I765" s="1" t="str">
        <f t="shared" si="767"/>
        <v/>
      </c>
      <c r="J765" s="1" t="str">
        <f t="shared" si="3"/>
        <v/>
      </c>
      <c r="L765" s="1" t="s">
        <v>3060</v>
      </c>
      <c r="M765" s="1" t="str">
        <f t="shared" si="4"/>
        <v>41, 48, VOLTORB</v>
      </c>
    </row>
    <row r="766" ht="12.75" customHeight="1">
      <c r="A766" s="3" t="s">
        <v>3061</v>
      </c>
      <c r="B766" s="3" t="str">
        <f t="shared" si="1"/>
        <v>41, 46, ELECTABUZZ</v>
      </c>
      <c r="C766" s="1" t="str">
        <f t="array" ref="C766">IF(B765="NEW ROUTE",TEXTSPLIT(B766,","),"")</f>
        <v/>
      </c>
      <c r="H766" s="1" t="str">
        <f t="shared" ref="H766:I766" si="768">IF(C766&lt;&gt;"",DEC2HEX(C766,2),"")</f>
        <v/>
      </c>
      <c r="I766" s="1" t="str">
        <f t="shared" si="768"/>
        <v/>
      </c>
      <c r="J766" s="1" t="str">
        <f t="shared" si="3"/>
        <v/>
      </c>
      <c r="L766" s="1" t="s">
        <v>3061</v>
      </c>
      <c r="M766" s="1" t="str">
        <f t="shared" si="4"/>
        <v>41, 46, ELECTABUZZ</v>
      </c>
    </row>
    <row r="767" ht="12.75" customHeight="1">
      <c r="A767" s="3" t="s">
        <v>3062</v>
      </c>
      <c r="B767" s="3" t="str">
        <f t="shared" si="1"/>
        <v>41, 48, PORYGON</v>
      </c>
      <c r="C767" s="1" t="str">
        <f t="array" ref="C767">IF(B766="NEW ROUTE",TEXTSPLIT(B767,","),"")</f>
        <v/>
      </c>
      <c r="H767" s="1" t="str">
        <f t="shared" ref="H767:I767" si="769">IF(C767&lt;&gt;"",DEC2HEX(C767,2),"")</f>
        <v/>
      </c>
      <c r="I767" s="1" t="str">
        <f t="shared" si="769"/>
        <v/>
      </c>
      <c r="J767" s="1" t="str">
        <f t="shared" si="3"/>
        <v/>
      </c>
      <c r="L767" s="1" t="s">
        <v>3062</v>
      </c>
      <c r="M767" s="1" t="str">
        <f t="shared" si="4"/>
        <v>41, 48, PORYGON</v>
      </c>
    </row>
    <row r="768" ht="12.75" customHeight="1">
      <c r="A768" s="3" t="s">
        <v>3063</v>
      </c>
      <c r="B768" s="3" t="str">
        <f t="shared" si="1"/>
        <v>41, 48, MAGNETON</v>
      </c>
      <c r="C768" s="1" t="str">
        <f t="array" ref="C768">IF(B767="NEW ROUTE",TEXTSPLIT(B768,","),"")</f>
        <v/>
      </c>
      <c r="H768" s="1" t="str">
        <f t="shared" ref="H768:I768" si="770">IF(C768&lt;&gt;"",DEC2HEX(C768,2),"")</f>
        <v/>
      </c>
      <c r="I768" s="1" t="str">
        <f t="shared" si="770"/>
        <v/>
      </c>
      <c r="J768" s="1" t="str">
        <f t="shared" si="3"/>
        <v/>
      </c>
      <c r="L768" s="1" t="s">
        <v>3063</v>
      </c>
      <c r="M768" s="1" t="str">
        <f t="shared" si="4"/>
        <v>41, 48, MAGNETON</v>
      </c>
    </row>
    <row r="769" ht="12.75" customHeight="1">
      <c r="A769" s="3" t="s">
        <v>2807</v>
      </c>
      <c r="B769" s="3" t="str">
        <f t="shared" si="1"/>
        <v>0.05</v>
      </c>
      <c r="C769" s="1" t="str">
        <f t="array" ref="C769">IF(B768="NEW ROUTE",TEXTSPLIT(B769,","),"")</f>
        <v/>
      </c>
      <c r="H769" s="1" t="str">
        <f t="shared" ref="H769:I769" si="771">IF(C769&lt;&gt;"",DEC2HEX(C769,2),"")</f>
        <v/>
      </c>
      <c r="I769" s="1" t="str">
        <f t="shared" si="771"/>
        <v/>
      </c>
      <c r="J769" s="1" t="str">
        <f t="shared" si="3"/>
        <v/>
      </c>
      <c r="L769" s="1" t="s">
        <v>2807</v>
      </c>
      <c r="M769" s="1" t="str">
        <f t="shared" si="4"/>
        <v>0.05</v>
      </c>
    </row>
    <row r="770" ht="12.75" customHeight="1">
      <c r="A770" s="3" t="s">
        <v>3064</v>
      </c>
      <c r="B770" s="3" t="str">
        <f t="shared" si="1"/>
        <v>43, 50, PORYGON2</v>
      </c>
      <c r="C770" s="1" t="str">
        <f t="array" ref="C770">IF(B769="NEW ROUTE",TEXTSPLIT(B770,","),"")</f>
        <v/>
      </c>
      <c r="H770" s="1" t="str">
        <f t="shared" ref="H770:I770" si="772">IF(C770&lt;&gt;"",DEC2HEX(C770,2),"")</f>
        <v/>
      </c>
      <c r="I770" s="1" t="str">
        <f t="shared" si="772"/>
        <v/>
      </c>
      <c r="J770" s="1" t="str">
        <f t="shared" si="3"/>
        <v/>
      </c>
      <c r="L770" s="1" t="s">
        <v>3064</v>
      </c>
      <c r="M770" s="1" t="str">
        <f t="shared" si="4"/>
        <v>43, 50, PORYGON2</v>
      </c>
    </row>
    <row r="771" ht="12.75" customHeight="1">
      <c r="A771" s="3" t="s">
        <v>3065</v>
      </c>
      <c r="B771" s="3" t="str">
        <f t="shared" si="1"/>
        <v>43, 50, ELECTRODE</v>
      </c>
      <c r="C771" s="1" t="str">
        <f t="array" ref="C771">IF(B770="NEW ROUTE",TEXTSPLIT(B771,","),"")</f>
        <v/>
      </c>
      <c r="H771" s="1" t="str">
        <f t="shared" ref="H771:I771" si="773">IF(C771&lt;&gt;"",DEC2HEX(C771,2),"")</f>
        <v/>
      </c>
      <c r="I771" s="1" t="str">
        <f t="shared" si="773"/>
        <v/>
      </c>
      <c r="J771" s="1" t="str">
        <f t="shared" si="3"/>
        <v/>
      </c>
      <c r="L771" s="1" t="s">
        <v>3065</v>
      </c>
      <c r="M771" s="1" t="str">
        <f t="shared" si="4"/>
        <v>43, 50, ELECTRODE</v>
      </c>
    </row>
    <row r="772" ht="12.75" customHeight="1">
      <c r="A772" s="3" t="s">
        <v>2810</v>
      </c>
      <c r="B772" s="3" t="str">
        <f t="shared" si="1"/>
        <v>0.04</v>
      </c>
      <c r="C772" s="1" t="str">
        <f t="array" ref="C772">IF(B771="NEW ROUTE",TEXTSPLIT(B772,","),"")</f>
        <v/>
      </c>
      <c r="H772" s="1" t="str">
        <f t="shared" ref="H772:I772" si="774">IF(C772&lt;&gt;"",DEC2HEX(C772,2),"")</f>
        <v/>
      </c>
      <c r="I772" s="1" t="str">
        <f t="shared" si="774"/>
        <v/>
      </c>
      <c r="J772" s="1" t="str">
        <f t="shared" si="3"/>
        <v/>
      </c>
      <c r="L772" s="1" t="s">
        <v>2810</v>
      </c>
      <c r="M772" s="1" t="str">
        <f t="shared" si="4"/>
        <v>0.04</v>
      </c>
    </row>
    <row r="773" ht="12.75" customHeight="1">
      <c r="A773" s="3" t="s">
        <v>3066</v>
      </c>
      <c r="B773" s="3" t="str">
        <f t="shared" si="1"/>
        <v>43, 50, JOLTEON</v>
      </c>
      <c r="C773" s="1" t="str">
        <f t="array" ref="C773">IF(B772="NEW ROUTE",TEXTSPLIT(B773,","),"")</f>
        <v/>
      </c>
      <c r="H773" s="1" t="str">
        <f t="shared" ref="H773:I773" si="775">IF(C773&lt;&gt;"",DEC2HEX(C773,2),"")</f>
        <v/>
      </c>
      <c r="I773" s="1" t="str">
        <f t="shared" si="775"/>
        <v/>
      </c>
      <c r="J773" s="1" t="str">
        <f t="shared" si="3"/>
        <v/>
      </c>
      <c r="L773" s="1" t="s">
        <v>3066</v>
      </c>
      <c r="M773" s="1" t="str">
        <f t="shared" si="4"/>
        <v>43, 50, JOLTEON</v>
      </c>
    </row>
    <row r="774" ht="12.75" customHeight="1">
      <c r="A774" s="3" t="s">
        <v>3067</v>
      </c>
      <c r="B774" s="3" t="str">
        <f t="shared" si="1"/>
        <v>43, 50, RAICHU</v>
      </c>
      <c r="C774" s="1" t="str">
        <f t="array" ref="C774">IF(B773="NEW ROUTE",TEXTSPLIT(B774,","),"")</f>
        <v/>
      </c>
      <c r="H774" s="1" t="str">
        <f t="shared" ref="H774:I774" si="776">IF(C774&lt;&gt;"",DEC2HEX(C774,2),"")</f>
        <v/>
      </c>
      <c r="I774" s="1" t="str">
        <f t="shared" si="776"/>
        <v/>
      </c>
      <c r="J774" s="1" t="str">
        <f t="shared" si="3"/>
        <v/>
      </c>
      <c r="L774" s="1" t="s">
        <v>3067</v>
      </c>
      <c r="M774" s="1" t="str">
        <f t="shared" si="4"/>
        <v>43, 50, RAICHU</v>
      </c>
    </row>
    <row r="775" ht="12.75" customHeight="1">
      <c r="A775" s="3" t="s">
        <v>2813</v>
      </c>
      <c r="B775" s="3" t="str">
        <f t="shared" si="1"/>
        <v>0.01</v>
      </c>
      <c r="C775" s="1" t="str">
        <f t="array" ref="C775">IF(B774="NEW ROUTE",TEXTSPLIT(B775,","),"")</f>
        <v/>
      </c>
      <c r="H775" s="1" t="str">
        <f t="shared" ref="H775:I775" si="777">IF(C775&lt;&gt;"",DEC2HEX(C775,2),"")</f>
        <v/>
      </c>
      <c r="I775" s="1" t="str">
        <f t="shared" si="777"/>
        <v/>
      </c>
      <c r="J775" s="1" t="str">
        <f t="shared" si="3"/>
        <v/>
      </c>
      <c r="L775" s="1" t="s">
        <v>2813</v>
      </c>
      <c r="M775" s="1" t="str">
        <f t="shared" si="4"/>
        <v>0.01</v>
      </c>
    </row>
    <row r="776" ht="12.75" customHeight="1">
      <c r="A776" s="3" t="s">
        <v>3068</v>
      </c>
      <c r="B776" s="3" t="str">
        <f t="shared" si="1"/>
        <v>45, 52, ELECTIVIRE</v>
      </c>
      <c r="C776" s="1" t="str">
        <f t="array" ref="C776">IF(B775="NEW ROUTE",TEXTSPLIT(B776,","),"")</f>
        <v/>
      </c>
      <c r="H776" s="1" t="str">
        <f t="shared" ref="H776:I776" si="778">IF(C776&lt;&gt;"",DEC2HEX(C776,2),"")</f>
        <v/>
      </c>
      <c r="I776" s="1" t="str">
        <f t="shared" si="778"/>
        <v/>
      </c>
      <c r="J776" s="1" t="str">
        <f t="shared" si="3"/>
        <v/>
      </c>
      <c r="L776" s="1" t="s">
        <v>3068</v>
      </c>
      <c r="M776" s="1" t="str">
        <f t="shared" si="4"/>
        <v>45, 52, ELECTIVIRE</v>
      </c>
    </row>
    <row r="777" ht="12.75" customHeight="1">
      <c r="A777" s="3" t="s">
        <v>3069</v>
      </c>
      <c r="B777" s="3" t="str">
        <f t="shared" si="1"/>
        <v>45, 50, MAGNEZONE , &lt;null&gt;, &lt;null&gt;, &lt;null&gt;</v>
      </c>
      <c r="C777" s="1" t="str">
        <f t="array" ref="C777">IF(B776="NEW ROUTE",TEXTSPLIT(B777,","),"")</f>
        <v/>
      </c>
      <c r="H777" s="1" t="str">
        <f t="shared" ref="H777:I777" si="779">IF(C777&lt;&gt;"",DEC2HEX(C777,2),"")</f>
        <v/>
      </c>
      <c r="I777" s="1" t="str">
        <f t="shared" si="779"/>
        <v/>
      </c>
      <c r="J777" s="1" t="str">
        <f t="shared" si="3"/>
        <v/>
      </c>
      <c r="L777" s="1" t="s">
        <v>3069</v>
      </c>
      <c r="M777" s="1" t="str">
        <f t="shared" si="4"/>
        <v>45, 50, MAGNEZONE , &lt;null&gt;, &lt;null&gt;, &lt;null&gt;</v>
      </c>
    </row>
    <row r="778" ht="12.75" customHeight="1">
      <c r="A778" s="3" t="s">
        <v>2539</v>
      </c>
      <c r="B778" s="3" t="str">
        <f t="shared" si="1"/>
        <v>NEW ROUTE</v>
      </c>
      <c r="C778" s="1" t="str">
        <f t="array" ref="C778">IF(B777="NEW ROUTE",TEXTSPLIT(B778,","),"")</f>
        <v/>
      </c>
      <c r="H778" s="1" t="str">
        <f t="shared" ref="H778:I778" si="780">IF(C778&lt;&gt;"",DEC2HEX(C778,2),"")</f>
        <v/>
      </c>
      <c r="I778" s="1" t="str">
        <f t="shared" si="780"/>
        <v/>
      </c>
      <c r="J778" s="1" t="str">
        <f t="shared" si="3"/>
        <v/>
      </c>
      <c r="L778" s="1" t="s">
        <v>2539</v>
      </c>
      <c r="M778" s="1" t="str">
        <f t="shared" si="4"/>
        <v>NEW ROUTE</v>
      </c>
    </row>
    <row r="779" ht="12.75" customHeight="1">
      <c r="A779" s="3" t="s">
        <v>3070</v>
      </c>
      <c r="B779" s="3" t="str">
        <f t="shared" si="1"/>
        <v>1, 97, 0,</v>
      </c>
      <c r="C779" s="1" t="str">
        <f t="array" ref="C779">IF(B778="NEW ROUTE",TEXTSPLIT(B779,","),"")</f>
        <v>#NAME?</v>
      </c>
      <c r="H779" s="1" t="str">
        <f t="shared" ref="H779:I779" si="781">IF(C779&lt;&gt;"",DEC2HEX(C779,2),"")</f>
        <v>#NAME?</v>
      </c>
      <c r="I779" s="1" t="str">
        <f t="shared" si="781"/>
        <v/>
      </c>
      <c r="J779" s="1" t="str">
        <f t="shared" si="3"/>
        <v>#NAME?</v>
      </c>
      <c r="L779" s="1" t="s">
        <v>3070</v>
      </c>
      <c r="M779" s="1" t="str">
        <f t="shared" si="4"/>
        <v>#NAME?</v>
      </c>
    </row>
    <row r="780" ht="12.75" customHeight="1">
      <c r="A780" s="3" t="s">
        <v>2909</v>
      </c>
      <c r="B780" s="3" t="str">
        <f t="shared" si="1"/>
        <v>20%</v>
      </c>
      <c r="C780" s="1" t="str">
        <f t="array" ref="C780">IF(B779="NEW ROUTE",TEXTSPLIT(B780,","),"")</f>
        <v/>
      </c>
      <c r="H780" s="1" t="str">
        <f t="shared" ref="H780:I780" si="782">IF(C780&lt;&gt;"",DEC2HEX(C780,2),"")</f>
        <v/>
      </c>
      <c r="I780" s="1" t="str">
        <f t="shared" si="782"/>
        <v/>
      </c>
      <c r="J780" s="1" t="str">
        <f t="shared" si="3"/>
        <v/>
      </c>
      <c r="L780" s="1" t="s">
        <v>2799</v>
      </c>
      <c r="M780" s="1" t="str">
        <f t="shared" si="4"/>
        <v>20%</v>
      </c>
    </row>
    <row r="781" ht="12.75" customHeight="1">
      <c r="A781" s="3" t="s">
        <v>645</v>
      </c>
      <c r="B781" s="3" t="str">
        <f t="shared" si="1"/>
        <v>30, 30, PONYTA</v>
      </c>
      <c r="C781" s="1" t="str">
        <f t="array" ref="C781">IF(B780="NEW ROUTE",TEXTSPLIT(B781,","),"")</f>
        <v/>
      </c>
      <c r="H781" s="1" t="str">
        <f t="shared" ref="H781:I781" si="783">IF(C781&lt;&gt;"",DEC2HEX(C781,2),"")</f>
        <v/>
      </c>
      <c r="I781" s="1" t="str">
        <f t="shared" si="783"/>
        <v/>
      </c>
      <c r="J781" s="1" t="str">
        <f t="shared" si="3"/>
        <v/>
      </c>
      <c r="L781" s="1" t="s">
        <v>645</v>
      </c>
      <c r="M781" s="1" t="str">
        <f t="shared" si="4"/>
        <v>30, 30, PONYTA</v>
      </c>
    </row>
    <row r="782" ht="12.75" customHeight="1">
      <c r="A782" s="3" t="s">
        <v>3071</v>
      </c>
      <c r="B782" s="3" t="str">
        <f t="shared" si="1"/>
        <v>38, 38, FEAROW</v>
      </c>
      <c r="C782" s="1" t="str">
        <f t="array" ref="C782">IF(B781="NEW ROUTE",TEXTSPLIT(B782,","),"")</f>
        <v/>
      </c>
      <c r="H782" s="1" t="str">
        <f t="shared" ref="H782:I782" si="784">IF(C782&lt;&gt;"",DEC2HEX(C782,2),"")</f>
        <v/>
      </c>
      <c r="I782" s="1" t="str">
        <f t="shared" si="784"/>
        <v/>
      </c>
      <c r="J782" s="1" t="str">
        <f t="shared" si="3"/>
        <v/>
      </c>
      <c r="L782" s="1" t="s">
        <v>3071</v>
      </c>
      <c r="M782" s="1" t="str">
        <f t="shared" si="4"/>
        <v>38, 38, FEAROW</v>
      </c>
    </row>
    <row r="783" ht="12.75" customHeight="1">
      <c r="A783" s="3" t="s">
        <v>2802</v>
      </c>
      <c r="B783" s="3" t="str">
        <f t="shared" si="1"/>
        <v>0.1</v>
      </c>
      <c r="C783" s="1" t="str">
        <f t="array" ref="C783">IF(B782="NEW ROUTE",TEXTSPLIT(B783,","),"")</f>
        <v/>
      </c>
      <c r="H783" s="1" t="str">
        <f t="shared" ref="H783:I783" si="785">IF(C783&lt;&gt;"",DEC2HEX(C783,2),"")</f>
        <v/>
      </c>
      <c r="I783" s="1" t="str">
        <f t="shared" si="785"/>
        <v/>
      </c>
      <c r="J783" s="1" t="str">
        <f t="shared" si="3"/>
        <v/>
      </c>
      <c r="L783" s="1" t="s">
        <v>2802</v>
      </c>
      <c r="M783" s="1" t="str">
        <f t="shared" si="4"/>
        <v>0.1</v>
      </c>
    </row>
    <row r="784" ht="12.75" customHeight="1">
      <c r="A784" s="3" t="s">
        <v>3072</v>
      </c>
      <c r="B784" s="3" t="str">
        <f t="shared" si="1"/>
        <v>33, 33, PONYTA</v>
      </c>
      <c r="C784" s="1" t="str">
        <f t="array" ref="C784">IF(B783="NEW ROUTE",TEXTSPLIT(B784,","),"")</f>
        <v/>
      </c>
      <c r="H784" s="1" t="str">
        <f t="shared" ref="H784:I784" si="786">IF(C784&lt;&gt;"",DEC2HEX(C784,2),"")</f>
        <v/>
      </c>
      <c r="I784" s="1" t="str">
        <f t="shared" si="786"/>
        <v/>
      </c>
      <c r="J784" s="1" t="str">
        <f t="shared" si="3"/>
        <v/>
      </c>
      <c r="L784" s="1" t="s">
        <v>3072</v>
      </c>
      <c r="M784" s="1" t="str">
        <f t="shared" si="4"/>
        <v>33, 33, PONYTA</v>
      </c>
    </row>
    <row r="785" ht="12.75" customHeight="1">
      <c r="A785" s="3" t="s">
        <v>817</v>
      </c>
      <c r="B785" s="3" t="str">
        <f t="shared" si="1"/>
        <v>32, 32, SPEAROW</v>
      </c>
      <c r="C785" s="1" t="str">
        <f t="array" ref="C785">IF(B784="NEW ROUTE",TEXTSPLIT(B785,","),"")</f>
        <v/>
      </c>
      <c r="H785" s="1" t="str">
        <f t="shared" ref="H785:I785" si="787">IF(C785&lt;&gt;"",DEC2HEX(C785,2),"")</f>
        <v/>
      </c>
      <c r="I785" s="1" t="str">
        <f t="shared" si="787"/>
        <v/>
      </c>
      <c r="J785" s="1" t="str">
        <f t="shared" si="3"/>
        <v/>
      </c>
      <c r="L785" s="1" t="s">
        <v>817</v>
      </c>
      <c r="M785" s="1" t="str">
        <f t="shared" si="4"/>
        <v>32, 32, SPEAROW</v>
      </c>
    </row>
    <row r="786" ht="12.75" customHeight="1">
      <c r="A786" s="3" t="s">
        <v>3073</v>
      </c>
      <c r="B786" s="3" t="str">
        <f t="shared" si="1"/>
        <v>35, 35, MACHOP</v>
      </c>
      <c r="C786" s="1" t="str">
        <f t="array" ref="C786">IF(B785="NEW ROUTE",TEXTSPLIT(B786,","),"")</f>
        <v/>
      </c>
      <c r="H786" s="1" t="str">
        <f t="shared" ref="H786:I786" si="788">IF(C786&lt;&gt;"",DEC2HEX(C786,2),"")</f>
        <v/>
      </c>
      <c r="I786" s="1" t="str">
        <f t="shared" si="788"/>
        <v/>
      </c>
      <c r="J786" s="1" t="str">
        <f t="shared" si="3"/>
        <v/>
      </c>
      <c r="L786" s="1" t="s">
        <v>3073</v>
      </c>
      <c r="M786" s="1" t="str">
        <f t="shared" si="4"/>
        <v>35, 35, MACHOP</v>
      </c>
    </row>
    <row r="787" ht="12.75" customHeight="1">
      <c r="A787" s="3" t="s">
        <v>658</v>
      </c>
      <c r="B787" s="3" t="str">
        <f t="shared" si="1"/>
        <v>33, 33, GEODUDE</v>
      </c>
      <c r="C787" s="1" t="str">
        <f t="array" ref="C787">IF(B786="NEW ROUTE",TEXTSPLIT(B787,","),"")</f>
        <v/>
      </c>
      <c r="H787" s="1" t="str">
        <f t="shared" ref="H787:I787" si="789">IF(C787&lt;&gt;"",DEC2HEX(C787,2),"")</f>
        <v/>
      </c>
      <c r="I787" s="1" t="str">
        <f t="shared" si="789"/>
        <v/>
      </c>
      <c r="J787" s="1" t="str">
        <f t="shared" si="3"/>
        <v/>
      </c>
      <c r="L787" s="1" t="s">
        <v>658</v>
      </c>
      <c r="M787" s="1" t="str">
        <f t="shared" si="4"/>
        <v>33, 33, GEODUDE</v>
      </c>
    </row>
    <row r="788" ht="12.75" customHeight="1">
      <c r="A788" s="3" t="s">
        <v>2807</v>
      </c>
      <c r="B788" s="3" t="str">
        <f t="shared" si="1"/>
        <v>0.05</v>
      </c>
      <c r="C788" s="1" t="str">
        <f t="array" ref="C788">IF(B787="NEW ROUTE",TEXTSPLIT(B788,","),"")</f>
        <v/>
      </c>
      <c r="H788" s="1" t="str">
        <f t="shared" ref="H788:I788" si="790">IF(C788&lt;&gt;"",DEC2HEX(C788,2),"")</f>
        <v/>
      </c>
      <c r="I788" s="1" t="str">
        <f t="shared" si="790"/>
        <v/>
      </c>
      <c r="J788" s="1" t="str">
        <f t="shared" si="3"/>
        <v/>
      </c>
      <c r="L788" s="1" t="s">
        <v>2807</v>
      </c>
      <c r="M788" s="1" t="str">
        <f t="shared" si="4"/>
        <v>0.05</v>
      </c>
    </row>
    <row r="789" ht="12.75" customHeight="1">
      <c r="A789" s="3" t="s">
        <v>3074</v>
      </c>
      <c r="B789" s="3" t="str">
        <f t="shared" si="1"/>
        <v>36, 36, PONYTA</v>
      </c>
      <c r="C789" s="1" t="str">
        <f t="array" ref="C789">IF(B788="NEW ROUTE",TEXTSPLIT(B789,","),"")</f>
        <v/>
      </c>
      <c r="H789" s="1" t="str">
        <f t="shared" ref="H789:I789" si="791">IF(C789&lt;&gt;"",DEC2HEX(C789,2),"")</f>
        <v/>
      </c>
      <c r="I789" s="1" t="str">
        <f t="shared" si="791"/>
        <v/>
      </c>
      <c r="J789" s="1" t="str">
        <f t="shared" si="3"/>
        <v/>
      </c>
      <c r="L789" s="1" t="s">
        <v>3074</v>
      </c>
      <c r="M789" s="1" t="str">
        <f t="shared" si="4"/>
        <v>36, 36, PONYTA</v>
      </c>
    </row>
    <row r="790" ht="12.75" customHeight="1">
      <c r="A790" s="3" t="s">
        <v>3075</v>
      </c>
      <c r="B790" s="3" t="str">
        <f t="shared" si="1"/>
        <v>40, 40, FEAROW</v>
      </c>
      <c r="C790" s="1" t="str">
        <f t="array" ref="C790">IF(B789="NEW ROUTE",TEXTSPLIT(B790,","),"")</f>
        <v/>
      </c>
      <c r="H790" s="1" t="str">
        <f t="shared" ref="H790:I790" si="792">IF(C790&lt;&gt;"",DEC2HEX(C790,2),"")</f>
        <v/>
      </c>
      <c r="I790" s="1" t="str">
        <f t="shared" si="792"/>
        <v/>
      </c>
      <c r="J790" s="1" t="str">
        <f t="shared" si="3"/>
        <v/>
      </c>
      <c r="L790" s="1" t="s">
        <v>3075</v>
      </c>
      <c r="M790" s="1" t="str">
        <f t="shared" si="4"/>
        <v>40, 40, FEAROW</v>
      </c>
    </row>
    <row r="791" ht="12.75" customHeight="1">
      <c r="A791" s="3" t="s">
        <v>2810</v>
      </c>
      <c r="B791" s="3" t="str">
        <f t="shared" si="1"/>
        <v>0.04</v>
      </c>
      <c r="C791" s="1" t="str">
        <f t="array" ref="C791">IF(B790="NEW ROUTE",TEXTSPLIT(B791,","),"")</f>
        <v/>
      </c>
      <c r="H791" s="1" t="str">
        <f t="shared" ref="H791:I791" si="793">IF(C791&lt;&gt;"",DEC2HEX(C791,2),"")</f>
        <v/>
      </c>
      <c r="I791" s="1" t="str">
        <f t="shared" si="793"/>
        <v/>
      </c>
      <c r="J791" s="1" t="str">
        <f t="shared" si="3"/>
        <v/>
      </c>
      <c r="L791" s="1" t="s">
        <v>2810</v>
      </c>
      <c r="M791" s="1" t="str">
        <f t="shared" si="4"/>
        <v>0.04</v>
      </c>
    </row>
    <row r="792" ht="12.75" customHeight="1">
      <c r="A792" s="3" t="s">
        <v>3076</v>
      </c>
      <c r="B792" s="3" t="str">
        <f t="shared" si="1"/>
        <v>38, 38, MAGMAR</v>
      </c>
      <c r="C792" s="1" t="str">
        <f t="array" ref="C792">IF(B791="NEW ROUTE",TEXTSPLIT(B792,","),"")</f>
        <v/>
      </c>
      <c r="H792" s="1" t="str">
        <f t="shared" ref="H792:I792" si="794">IF(C792&lt;&gt;"",DEC2HEX(C792,2),"")</f>
        <v/>
      </c>
      <c r="I792" s="1" t="str">
        <f t="shared" si="794"/>
        <v/>
      </c>
      <c r="J792" s="1" t="str">
        <f t="shared" si="3"/>
        <v/>
      </c>
      <c r="L792" s="1" t="s">
        <v>3076</v>
      </c>
      <c r="M792" s="1" t="str">
        <f t="shared" si="4"/>
        <v>38, 38, MAGMAR</v>
      </c>
    </row>
    <row r="793" ht="12.75" customHeight="1">
      <c r="A793" s="3" t="s">
        <v>3077</v>
      </c>
      <c r="B793" s="3" t="str">
        <f t="shared" si="1"/>
        <v>39, 39, RAPIDASH</v>
      </c>
      <c r="C793" s="1" t="str">
        <f t="array" ref="C793">IF(B792="NEW ROUTE",TEXTSPLIT(B793,","),"")</f>
        <v/>
      </c>
      <c r="H793" s="1" t="str">
        <f t="shared" ref="H793:I793" si="795">IF(C793&lt;&gt;"",DEC2HEX(C793,2),"")</f>
        <v/>
      </c>
      <c r="I793" s="1" t="str">
        <f t="shared" si="795"/>
        <v/>
      </c>
      <c r="J793" s="1" t="str">
        <f t="shared" si="3"/>
        <v/>
      </c>
      <c r="L793" s="1" t="s">
        <v>3077</v>
      </c>
      <c r="M793" s="1" t="str">
        <f t="shared" si="4"/>
        <v>39, 39, RAPIDASH</v>
      </c>
    </row>
    <row r="794" ht="12.75" customHeight="1">
      <c r="A794" s="3" t="s">
        <v>2813</v>
      </c>
      <c r="B794" s="3" t="str">
        <f t="shared" si="1"/>
        <v>0.01</v>
      </c>
      <c r="C794" s="1" t="str">
        <f t="array" ref="C794">IF(B793="NEW ROUTE",TEXTSPLIT(B794,","),"")</f>
        <v/>
      </c>
      <c r="H794" s="1" t="str">
        <f t="shared" ref="H794:I794" si="796">IF(C794&lt;&gt;"",DEC2HEX(C794,2),"")</f>
        <v/>
      </c>
      <c r="I794" s="1" t="str">
        <f t="shared" si="796"/>
        <v/>
      </c>
      <c r="J794" s="1" t="str">
        <f t="shared" si="3"/>
        <v/>
      </c>
      <c r="L794" s="1" t="s">
        <v>2813</v>
      </c>
      <c r="M794" s="1" t="str">
        <f t="shared" si="4"/>
        <v>0.01</v>
      </c>
    </row>
    <row r="795" ht="12.75" customHeight="1">
      <c r="A795" s="3" t="s">
        <v>3078</v>
      </c>
      <c r="B795" s="3" t="str">
        <f t="shared" si="1"/>
        <v>40, 40, MAGMAR</v>
      </c>
      <c r="C795" s="1" t="str">
        <f t="array" ref="C795">IF(B794="NEW ROUTE",TEXTSPLIT(B795,","),"")</f>
        <v/>
      </c>
      <c r="H795" s="1" t="str">
        <f t="shared" ref="H795:I795" si="797">IF(C795&lt;&gt;"",DEC2HEX(C795,2),"")</f>
        <v/>
      </c>
      <c r="I795" s="1" t="str">
        <f t="shared" si="797"/>
        <v/>
      </c>
      <c r="J795" s="1" t="str">
        <f t="shared" si="3"/>
        <v/>
      </c>
      <c r="L795" s="1" t="s">
        <v>3078</v>
      </c>
      <c r="M795" s="1" t="str">
        <f t="shared" si="4"/>
        <v>40, 40, MAGMAR</v>
      </c>
    </row>
    <row r="796" ht="12.75" customHeight="1">
      <c r="A796" s="3" t="s">
        <v>3079</v>
      </c>
      <c r="B796" s="3" t="str">
        <f t="shared" si="1"/>
        <v>42, 42, RAPIDASH</v>
      </c>
      <c r="C796" s="1" t="str">
        <f t="array" ref="C796">IF(B795="NEW ROUTE",TEXTSPLIT(B796,","),"")</f>
        <v/>
      </c>
      <c r="H796" s="1" t="str">
        <f t="shared" ref="H796:I796" si="798">IF(C796&lt;&gt;"",DEC2HEX(C796,2),"")</f>
        <v/>
      </c>
      <c r="I796" s="1" t="str">
        <f t="shared" si="798"/>
        <v/>
      </c>
      <c r="J796" s="1" t="str">
        <f t="shared" si="3"/>
        <v/>
      </c>
      <c r="L796" s="1" t="s">
        <v>3079</v>
      </c>
      <c r="M796" s="1" t="str">
        <f t="shared" si="4"/>
        <v>42, 42, RAPIDASH</v>
      </c>
    </row>
    <row r="797" ht="12.75" customHeight="1">
      <c r="A797" s="3" t="s">
        <v>3000</v>
      </c>
      <c r="B797" s="3" t="str">
        <f t="shared" si="1"/>
        <v>50, 5, 20, GEODUDE</v>
      </c>
      <c r="C797" s="1" t="str">
        <f t="array" ref="C797">IF(B796="NEW ROUTE",TEXTSPLIT(B797,","),"")</f>
        <v/>
      </c>
      <c r="H797" s="1" t="str">
        <f t="shared" ref="H797:I797" si="799">IF(C797&lt;&gt;"",DEC2HEX(C797,2),"")</f>
        <v/>
      </c>
      <c r="I797" s="1" t="str">
        <f t="shared" si="799"/>
        <v/>
      </c>
      <c r="J797" s="1" t="str">
        <f t="shared" si="3"/>
        <v/>
      </c>
      <c r="L797" s="1" t="s">
        <v>3000</v>
      </c>
      <c r="M797" s="1" t="str">
        <f t="shared" si="4"/>
        <v>50, 5, 20, GEODUDE</v>
      </c>
    </row>
    <row r="798" ht="12.75" customHeight="1">
      <c r="A798" s="3" t="s">
        <v>3001</v>
      </c>
      <c r="B798" s="3" t="str">
        <f t="shared" si="1"/>
        <v>10, 20, GEODUDE</v>
      </c>
      <c r="C798" s="1" t="str">
        <f t="array" ref="C798">IF(B797="NEW ROUTE",TEXTSPLIT(B798,","),"")</f>
        <v/>
      </c>
      <c r="H798" s="1" t="str">
        <f t="shared" ref="H798:I798" si="800">IF(C798&lt;&gt;"",DEC2HEX(C798,2),"")</f>
        <v/>
      </c>
      <c r="I798" s="1" t="str">
        <f t="shared" si="800"/>
        <v/>
      </c>
      <c r="J798" s="1" t="str">
        <f t="shared" si="3"/>
        <v/>
      </c>
      <c r="L798" s="1" t="s">
        <v>3001</v>
      </c>
      <c r="M798" s="1" t="str">
        <f t="shared" si="4"/>
        <v>10, 20, GEODUDE</v>
      </c>
    </row>
    <row r="799" ht="12.75" customHeight="1">
      <c r="A799" s="3" t="s">
        <v>3002</v>
      </c>
      <c r="B799" s="3" t="str">
        <f t="shared" si="1"/>
        <v>15, 30, GEODUDE</v>
      </c>
      <c r="C799" s="1" t="str">
        <f t="array" ref="C799">IF(B798="NEW ROUTE",TEXTSPLIT(B799,","),"")</f>
        <v/>
      </c>
      <c r="H799" s="1" t="str">
        <f t="shared" ref="H799:I799" si="801">IF(C799&lt;&gt;"",DEC2HEX(C799,2),"")</f>
        <v/>
      </c>
      <c r="I799" s="1" t="str">
        <f t="shared" si="801"/>
        <v/>
      </c>
      <c r="J799" s="1" t="str">
        <f t="shared" si="3"/>
        <v/>
      </c>
      <c r="L799" s="1" t="s">
        <v>3002</v>
      </c>
      <c r="M799" s="1" t="str">
        <f t="shared" si="4"/>
        <v>15, 30, GEODUDE</v>
      </c>
    </row>
    <row r="800" ht="12.75" customHeight="1">
      <c r="A800" s="3" t="s">
        <v>3003</v>
      </c>
      <c r="B800" s="3" t="str">
        <f t="shared" si="1"/>
        <v>25, 40, GRAVELER</v>
      </c>
      <c r="C800" s="1" t="str">
        <f t="array" ref="C800">IF(B799="NEW ROUTE",TEXTSPLIT(B800,","),"")</f>
        <v/>
      </c>
      <c r="H800" s="1" t="str">
        <f t="shared" ref="H800:I800" si="802">IF(C800&lt;&gt;"",DEC2HEX(C800,2),"")</f>
        <v/>
      </c>
      <c r="I800" s="1" t="str">
        <f t="shared" si="802"/>
        <v/>
      </c>
      <c r="J800" s="1" t="str">
        <f t="shared" si="3"/>
        <v/>
      </c>
      <c r="L800" s="1" t="s">
        <v>3003</v>
      </c>
      <c r="M800" s="1" t="str">
        <f t="shared" si="4"/>
        <v>25, 40, GRAVELER</v>
      </c>
    </row>
    <row r="801" ht="12.75" customHeight="1">
      <c r="A801" s="3" t="s">
        <v>3004</v>
      </c>
      <c r="B801" s="3" t="str">
        <f t="shared" si="1"/>
        <v>30, 40, GRAVELER , &lt;null&gt;</v>
      </c>
      <c r="C801" s="1" t="str">
        <f t="array" ref="C801">IF(B800="NEW ROUTE",TEXTSPLIT(B801,","),"")</f>
        <v/>
      </c>
      <c r="H801" s="1" t="str">
        <f t="shared" ref="H801:I801" si="803">IF(C801&lt;&gt;"",DEC2HEX(C801,2),"")</f>
        <v/>
      </c>
      <c r="I801" s="1" t="str">
        <f t="shared" si="803"/>
        <v/>
      </c>
      <c r="J801" s="1" t="str">
        <f t="shared" si="3"/>
        <v/>
      </c>
      <c r="L801" s="1" t="s">
        <v>3004</v>
      </c>
      <c r="M801" s="1" t="str">
        <f t="shared" si="4"/>
        <v>30, 40, GRAVELER , &lt;null&gt;</v>
      </c>
    </row>
    <row r="802" ht="12.75" customHeight="1">
      <c r="A802" s="3" t="s">
        <v>2539</v>
      </c>
      <c r="B802" s="3" t="str">
        <f t="shared" si="1"/>
        <v>NEW ROUTE</v>
      </c>
      <c r="C802" s="1" t="str">
        <f t="array" ref="C802">IF(B801="NEW ROUTE",TEXTSPLIT(B802,","),"")</f>
        <v/>
      </c>
      <c r="H802" s="1" t="str">
        <f t="shared" ref="H802:I802" si="804">IF(C802&lt;&gt;"",DEC2HEX(C802,2),"")</f>
        <v/>
      </c>
      <c r="I802" s="1" t="str">
        <f t="shared" si="804"/>
        <v/>
      </c>
      <c r="J802" s="1" t="str">
        <f t="shared" si="3"/>
        <v/>
      </c>
      <c r="L802" s="1" t="s">
        <v>2539</v>
      </c>
      <c r="M802" s="1" t="str">
        <f t="shared" si="4"/>
        <v>NEW ROUTE</v>
      </c>
    </row>
    <row r="803" ht="12.75" customHeight="1">
      <c r="A803" s="3" t="s">
        <v>3080</v>
      </c>
      <c r="B803" s="3" t="str">
        <f t="shared" si="1"/>
        <v>1, 98, 0,</v>
      </c>
      <c r="C803" s="1" t="str">
        <f t="array" ref="C803">IF(B802="NEW ROUTE",TEXTSPLIT(B803,","),"")</f>
        <v>#NAME?</v>
      </c>
      <c r="H803" s="1" t="str">
        <f t="shared" ref="H803:I803" si="805">IF(C803&lt;&gt;"",DEC2HEX(C803,2),"")</f>
        <v>#NAME?</v>
      </c>
      <c r="I803" s="1" t="str">
        <f t="shared" si="805"/>
        <v/>
      </c>
      <c r="J803" s="1" t="str">
        <f t="shared" si="3"/>
        <v>#NAME?</v>
      </c>
      <c r="L803" s="1" t="s">
        <v>3080</v>
      </c>
      <c r="M803" s="1" t="str">
        <f t="shared" si="4"/>
        <v>#NAME?</v>
      </c>
    </row>
    <row r="804" ht="12.75" customHeight="1">
      <c r="A804" s="3" t="s">
        <v>2817</v>
      </c>
      <c r="B804" s="3" t="str">
        <f t="shared" si="1"/>
        <v>20%</v>
      </c>
      <c r="C804" s="1" t="str">
        <f t="array" ref="C804">IF(B803="NEW ROUTE",TEXTSPLIT(B804,","),"")</f>
        <v/>
      </c>
      <c r="H804" s="1" t="str">
        <f t="shared" ref="H804:I804" si="806">IF(C804&lt;&gt;"",DEC2HEX(C804,2),"")</f>
        <v/>
      </c>
      <c r="I804" s="1" t="str">
        <f t="shared" si="806"/>
        <v/>
      </c>
      <c r="J804" s="1" t="str">
        <f t="shared" si="3"/>
        <v/>
      </c>
      <c r="L804" s="1" t="s">
        <v>2799</v>
      </c>
      <c r="M804" s="1" t="str">
        <f t="shared" si="4"/>
        <v>20%</v>
      </c>
    </row>
    <row r="805" ht="12.75" customHeight="1">
      <c r="A805" s="3" t="s">
        <v>658</v>
      </c>
      <c r="B805" s="3" t="str">
        <f t="shared" si="1"/>
        <v>33, 33, GEODUDE</v>
      </c>
      <c r="C805" s="1" t="str">
        <f t="array" ref="C805">IF(B804="NEW ROUTE",TEXTSPLIT(B805,","),"")</f>
        <v/>
      </c>
      <c r="H805" s="1" t="str">
        <f t="shared" ref="H805:I805" si="807">IF(C805&lt;&gt;"",DEC2HEX(C805,2),"")</f>
        <v/>
      </c>
      <c r="I805" s="1" t="str">
        <f t="shared" si="807"/>
        <v/>
      </c>
      <c r="J805" s="1" t="str">
        <f t="shared" si="3"/>
        <v/>
      </c>
      <c r="L805" s="1" t="s">
        <v>658</v>
      </c>
      <c r="M805" s="1" t="str">
        <f t="shared" si="4"/>
        <v>33, 33, GEODUDE</v>
      </c>
    </row>
    <row r="806" ht="12.75" customHeight="1">
      <c r="A806" s="3" t="s">
        <v>3073</v>
      </c>
      <c r="B806" s="3" t="str">
        <f t="shared" si="1"/>
        <v>35, 35, MACHOP</v>
      </c>
      <c r="C806" s="1" t="str">
        <f t="array" ref="C806">IF(B805="NEW ROUTE",TEXTSPLIT(B806,","),"")</f>
        <v/>
      </c>
      <c r="H806" s="1" t="str">
        <f t="shared" ref="H806:I806" si="808">IF(C806&lt;&gt;"",DEC2HEX(C806,2),"")</f>
        <v/>
      </c>
      <c r="I806" s="1" t="str">
        <f t="shared" si="808"/>
        <v/>
      </c>
      <c r="J806" s="1" t="str">
        <f t="shared" si="3"/>
        <v/>
      </c>
      <c r="L806" s="1" t="s">
        <v>3073</v>
      </c>
      <c r="M806" s="1" t="str">
        <f t="shared" si="4"/>
        <v>35, 35, MACHOP</v>
      </c>
    </row>
    <row r="807" ht="12.75" customHeight="1">
      <c r="A807" s="3" t="s">
        <v>2802</v>
      </c>
      <c r="B807" s="3" t="str">
        <f t="shared" si="1"/>
        <v>0.1</v>
      </c>
      <c r="C807" s="1" t="str">
        <f t="array" ref="C807">IF(B806="NEW ROUTE",TEXTSPLIT(B807,","),"")</f>
        <v/>
      </c>
      <c r="H807" s="1" t="str">
        <f t="shared" ref="H807:I807" si="809">IF(C807&lt;&gt;"",DEC2HEX(C807,2),"")</f>
        <v/>
      </c>
      <c r="I807" s="1" t="str">
        <f t="shared" si="809"/>
        <v/>
      </c>
      <c r="J807" s="1" t="str">
        <f t="shared" si="3"/>
        <v/>
      </c>
      <c r="L807" s="1" t="s">
        <v>2802</v>
      </c>
      <c r="M807" s="1" t="str">
        <f t="shared" si="4"/>
        <v>0.1</v>
      </c>
    </row>
    <row r="808" ht="12.75" customHeight="1">
      <c r="A808" s="3" t="s">
        <v>3081</v>
      </c>
      <c r="B808" s="3" t="str">
        <f t="shared" si="1"/>
        <v>29, 29, GEODUDE</v>
      </c>
      <c r="C808" s="1" t="str">
        <f t="array" ref="C808">IF(B807="NEW ROUTE",TEXTSPLIT(B808,","),"")</f>
        <v/>
      </c>
      <c r="H808" s="1" t="str">
        <f t="shared" ref="H808:I808" si="810">IF(C808&lt;&gt;"",DEC2HEX(C808,2),"")</f>
        <v/>
      </c>
      <c r="I808" s="1" t="str">
        <f t="shared" si="810"/>
        <v/>
      </c>
      <c r="J808" s="1" t="str">
        <f t="shared" si="3"/>
        <v/>
      </c>
      <c r="L808" s="1" t="s">
        <v>3081</v>
      </c>
      <c r="M808" s="1" t="str">
        <f t="shared" si="4"/>
        <v>29, 29, GEODUDE</v>
      </c>
    </row>
    <row r="809" ht="12.75" customHeight="1">
      <c r="A809" s="3" t="s">
        <v>3082</v>
      </c>
      <c r="B809" s="3" t="str">
        <f t="shared" si="1"/>
        <v>31, 31, GEODUDE</v>
      </c>
      <c r="C809" s="1" t="str">
        <f t="array" ref="C809">IF(B808="NEW ROUTE",TEXTSPLIT(B809,","),"")</f>
        <v/>
      </c>
      <c r="H809" s="1" t="str">
        <f t="shared" ref="H809:I809" si="811">IF(C809&lt;&gt;"",DEC2HEX(C809,2),"")</f>
        <v/>
      </c>
      <c r="I809" s="1" t="str">
        <f t="shared" si="811"/>
        <v/>
      </c>
      <c r="J809" s="1" t="str">
        <f t="shared" si="3"/>
        <v/>
      </c>
      <c r="L809" s="1" t="s">
        <v>3082</v>
      </c>
      <c r="M809" s="1" t="str">
        <f t="shared" si="4"/>
        <v>31, 31, GEODUDE</v>
      </c>
    </row>
    <row r="810" ht="12.75" customHeight="1">
      <c r="A810" s="3" t="s">
        <v>3083</v>
      </c>
      <c r="B810" s="3" t="str">
        <f t="shared" si="1"/>
        <v>31, 31, MACHOP</v>
      </c>
      <c r="C810" s="1" t="str">
        <f t="array" ref="C810">IF(B809="NEW ROUTE",TEXTSPLIT(B810,","),"")</f>
        <v/>
      </c>
      <c r="H810" s="1" t="str">
        <f t="shared" ref="H810:I810" si="812">IF(C810&lt;&gt;"",DEC2HEX(C810,2),"")</f>
        <v/>
      </c>
      <c r="I810" s="1" t="str">
        <f t="shared" si="812"/>
        <v/>
      </c>
      <c r="J810" s="1" t="str">
        <f t="shared" si="3"/>
        <v/>
      </c>
      <c r="L810" s="1" t="s">
        <v>3083</v>
      </c>
      <c r="M810" s="1" t="str">
        <f t="shared" si="4"/>
        <v>31, 31, MACHOP</v>
      </c>
    </row>
    <row r="811" ht="12.75" customHeight="1">
      <c r="A811" s="3" t="s">
        <v>3084</v>
      </c>
      <c r="B811" s="3" t="str">
        <f t="shared" si="1"/>
        <v>33, 33, MACHOP</v>
      </c>
      <c r="C811" s="1" t="str">
        <f t="array" ref="C811">IF(B810="NEW ROUTE",TEXTSPLIT(B811,","),"")</f>
        <v/>
      </c>
      <c r="H811" s="1" t="str">
        <f t="shared" ref="H811:I811" si="813">IF(C811&lt;&gt;"",DEC2HEX(C811,2),"")</f>
        <v/>
      </c>
      <c r="I811" s="1" t="str">
        <f t="shared" si="813"/>
        <v/>
      </c>
      <c r="J811" s="1" t="str">
        <f t="shared" si="3"/>
        <v/>
      </c>
      <c r="L811" s="1" t="s">
        <v>3084</v>
      </c>
      <c r="M811" s="1" t="str">
        <f t="shared" si="4"/>
        <v>33, 33, MACHOP</v>
      </c>
    </row>
    <row r="812" ht="12.75" customHeight="1">
      <c r="A812" s="3" t="s">
        <v>2807</v>
      </c>
      <c r="B812" s="3" t="str">
        <f t="shared" si="1"/>
        <v>0.05</v>
      </c>
      <c r="C812" s="1" t="str">
        <f t="array" ref="C812">IF(B811="NEW ROUTE",TEXTSPLIT(B812,","),"")</f>
        <v/>
      </c>
      <c r="H812" s="1" t="str">
        <f t="shared" ref="H812:I812" si="814">IF(C812&lt;&gt;"",DEC2HEX(C812,2),"")</f>
        <v/>
      </c>
      <c r="I812" s="1" t="str">
        <f t="shared" si="814"/>
        <v/>
      </c>
      <c r="J812" s="1" t="str">
        <f t="shared" si="3"/>
        <v/>
      </c>
      <c r="L812" s="1" t="s">
        <v>2807</v>
      </c>
      <c r="M812" s="1" t="str">
        <f t="shared" si="4"/>
        <v>0.05</v>
      </c>
    </row>
    <row r="813" ht="12.75" customHeight="1">
      <c r="A813" s="3" t="s">
        <v>3085</v>
      </c>
      <c r="B813" s="3" t="str">
        <f t="shared" si="1"/>
        <v>35, 35, GEODUDE</v>
      </c>
      <c r="C813" s="1" t="str">
        <f t="array" ref="C813">IF(B812="NEW ROUTE",TEXTSPLIT(B813,","),"")</f>
        <v/>
      </c>
      <c r="H813" s="1" t="str">
        <f t="shared" ref="H813:I813" si="815">IF(C813&lt;&gt;"",DEC2HEX(C813,2),"")</f>
        <v/>
      </c>
      <c r="I813" s="1" t="str">
        <f t="shared" si="815"/>
        <v/>
      </c>
      <c r="J813" s="1" t="str">
        <f t="shared" si="3"/>
        <v/>
      </c>
      <c r="L813" s="1" t="s">
        <v>3085</v>
      </c>
      <c r="M813" s="1" t="str">
        <f t="shared" si="4"/>
        <v>35, 35, GEODUDE</v>
      </c>
    </row>
    <row r="814" ht="12.75" customHeight="1">
      <c r="A814" s="3" t="s">
        <v>3086</v>
      </c>
      <c r="B814" s="3" t="str">
        <f t="shared" si="1"/>
        <v>37, 37, MACHOP</v>
      </c>
      <c r="C814" s="1" t="str">
        <f t="array" ref="C814">IF(B813="NEW ROUTE",TEXTSPLIT(B814,","),"")</f>
        <v/>
      </c>
      <c r="H814" s="1" t="str">
        <f t="shared" ref="H814:I814" si="816">IF(C814&lt;&gt;"",DEC2HEX(C814,2),"")</f>
        <v/>
      </c>
      <c r="I814" s="1" t="str">
        <f t="shared" si="816"/>
        <v/>
      </c>
      <c r="J814" s="1" t="str">
        <f t="shared" si="3"/>
        <v/>
      </c>
      <c r="L814" s="1" t="s">
        <v>3086</v>
      </c>
      <c r="M814" s="1" t="str">
        <f t="shared" si="4"/>
        <v>37, 37, MACHOP</v>
      </c>
    </row>
    <row r="815" ht="12.75" customHeight="1">
      <c r="A815" s="3" t="s">
        <v>2810</v>
      </c>
      <c r="B815" s="3" t="str">
        <f t="shared" si="1"/>
        <v>0.04</v>
      </c>
      <c r="C815" s="1" t="str">
        <f t="array" ref="C815">IF(B814="NEW ROUTE",TEXTSPLIT(B815,","),"")</f>
        <v/>
      </c>
      <c r="H815" s="1" t="str">
        <f t="shared" ref="H815:I815" si="817">IF(C815&lt;&gt;"",DEC2HEX(C815,2),"")</f>
        <v/>
      </c>
      <c r="I815" s="1" t="str">
        <f t="shared" si="817"/>
        <v/>
      </c>
      <c r="J815" s="1" t="str">
        <f t="shared" si="3"/>
        <v/>
      </c>
      <c r="L815" s="1" t="s">
        <v>2810</v>
      </c>
      <c r="M815" s="1" t="str">
        <f t="shared" si="4"/>
        <v>0.04</v>
      </c>
    </row>
    <row r="816" ht="12.75" customHeight="1">
      <c r="A816" s="3" t="s">
        <v>3087</v>
      </c>
      <c r="B816" s="3" t="str">
        <f t="shared" si="1"/>
        <v>37, 37, GEODUDE</v>
      </c>
      <c r="C816" s="1" t="str">
        <f t="array" ref="C816">IF(B815="NEW ROUTE",TEXTSPLIT(B816,","),"")</f>
        <v/>
      </c>
      <c r="H816" s="1" t="str">
        <f t="shared" ref="H816:I816" si="818">IF(C816&lt;&gt;"",DEC2HEX(C816,2),"")</f>
        <v/>
      </c>
      <c r="I816" s="1" t="str">
        <f t="shared" si="818"/>
        <v/>
      </c>
      <c r="J816" s="1" t="str">
        <f t="shared" si="3"/>
        <v/>
      </c>
      <c r="L816" s="1" t="s">
        <v>3087</v>
      </c>
      <c r="M816" s="1" t="str">
        <f t="shared" si="4"/>
        <v>37, 37, GEODUDE</v>
      </c>
    </row>
    <row r="817" ht="12.75" customHeight="1">
      <c r="A817" s="3" t="s">
        <v>3088</v>
      </c>
      <c r="B817" s="3" t="str">
        <f t="shared" si="1"/>
        <v>39, 39, MACHOP</v>
      </c>
      <c r="C817" s="1" t="str">
        <f t="array" ref="C817">IF(B816="NEW ROUTE",TEXTSPLIT(B817,","),"")</f>
        <v/>
      </c>
      <c r="H817" s="1" t="str">
        <f t="shared" ref="H817:I817" si="819">IF(C817&lt;&gt;"",DEC2HEX(C817,2),"")</f>
        <v/>
      </c>
      <c r="I817" s="1" t="str">
        <f t="shared" si="819"/>
        <v/>
      </c>
      <c r="J817" s="1" t="str">
        <f t="shared" si="3"/>
        <v/>
      </c>
      <c r="L817" s="1" t="s">
        <v>3088</v>
      </c>
      <c r="M817" s="1" t="str">
        <f t="shared" si="4"/>
        <v>39, 39, MACHOP</v>
      </c>
    </row>
    <row r="818" ht="12.75" customHeight="1">
      <c r="A818" s="3" t="s">
        <v>2813</v>
      </c>
      <c r="B818" s="3" t="str">
        <f t="shared" si="1"/>
        <v>0.01</v>
      </c>
      <c r="C818" s="1" t="str">
        <f t="array" ref="C818">IF(B817="NEW ROUTE",TEXTSPLIT(B818,","),"")</f>
        <v/>
      </c>
      <c r="H818" s="1" t="str">
        <f t="shared" ref="H818:I818" si="820">IF(C818&lt;&gt;"",DEC2HEX(C818,2),"")</f>
        <v/>
      </c>
      <c r="I818" s="1" t="str">
        <f t="shared" si="820"/>
        <v/>
      </c>
      <c r="J818" s="1" t="str">
        <f t="shared" si="3"/>
        <v/>
      </c>
      <c r="L818" s="1" t="s">
        <v>2813</v>
      </c>
      <c r="M818" s="1" t="str">
        <f t="shared" si="4"/>
        <v>0.01</v>
      </c>
    </row>
    <row r="819" ht="12.75" customHeight="1">
      <c r="A819" s="3" t="s">
        <v>3087</v>
      </c>
      <c r="B819" s="3" t="str">
        <f t="shared" si="1"/>
        <v>37, 37, GEODUDE</v>
      </c>
      <c r="C819" s="1" t="str">
        <f t="array" ref="C819">IF(B818="NEW ROUTE",TEXTSPLIT(B819,","),"")</f>
        <v/>
      </c>
      <c r="H819" s="1" t="str">
        <f t="shared" ref="H819:I819" si="821">IF(C819&lt;&gt;"",DEC2HEX(C819,2),"")</f>
        <v/>
      </c>
      <c r="I819" s="1" t="str">
        <f t="shared" si="821"/>
        <v/>
      </c>
      <c r="J819" s="1" t="str">
        <f t="shared" si="3"/>
        <v/>
      </c>
      <c r="L819" s="1" t="s">
        <v>3087</v>
      </c>
      <c r="M819" s="1" t="str">
        <f t="shared" si="4"/>
        <v>37, 37, GEODUDE</v>
      </c>
    </row>
    <row r="820" ht="12.75" customHeight="1">
      <c r="A820" s="3" t="s">
        <v>3089</v>
      </c>
      <c r="B820" s="3" t="str">
        <f t="shared" si="1"/>
        <v>39, 39, MACHOP , &lt;null&gt;, &lt;null&gt;, &lt;null&gt;</v>
      </c>
      <c r="C820" s="1" t="str">
        <f t="array" ref="C820">IF(B819="NEW ROUTE",TEXTSPLIT(B820,","),"")</f>
        <v/>
      </c>
      <c r="H820" s="1" t="str">
        <f t="shared" ref="H820:I820" si="822">IF(C820&lt;&gt;"",DEC2HEX(C820,2),"")</f>
        <v/>
      </c>
      <c r="I820" s="1" t="str">
        <f t="shared" si="822"/>
        <v/>
      </c>
      <c r="J820" s="1" t="str">
        <f t="shared" si="3"/>
        <v/>
      </c>
      <c r="L820" s="1" t="s">
        <v>3089</v>
      </c>
      <c r="M820" s="1" t="str">
        <f t="shared" si="4"/>
        <v>39, 39, MACHOP , &lt;null&gt;, &lt;null&gt;, &lt;null&gt;</v>
      </c>
    </row>
    <row r="821" ht="12.75" customHeight="1">
      <c r="A821" s="3" t="s">
        <v>2539</v>
      </c>
      <c r="B821" s="3" t="str">
        <f t="shared" si="1"/>
        <v>NEW ROUTE</v>
      </c>
      <c r="C821" s="1" t="str">
        <f t="array" ref="C821">IF(B820="NEW ROUTE",TEXTSPLIT(B821,","),"")</f>
        <v/>
      </c>
      <c r="H821" s="1" t="str">
        <f t="shared" ref="H821:I821" si="823">IF(C821&lt;&gt;"",DEC2HEX(C821,2),"")</f>
        <v/>
      </c>
      <c r="I821" s="1" t="str">
        <f t="shared" si="823"/>
        <v/>
      </c>
      <c r="J821" s="1" t="str">
        <f t="shared" si="3"/>
        <v/>
      </c>
      <c r="L821" s="1" t="s">
        <v>2539</v>
      </c>
      <c r="M821" s="1" t="str">
        <f t="shared" si="4"/>
        <v>NEW ROUTE</v>
      </c>
    </row>
    <row r="822" ht="12.75" customHeight="1">
      <c r="A822" s="3" t="s">
        <v>3090</v>
      </c>
      <c r="B822" s="3" t="str">
        <f t="shared" si="1"/>
        <v>1, 99, 0,</v>
      </c>
      <c r="C822" s="1" t="str">
        <f t="array" ref="C822">IF(B821="NEW ROUTE",TEXTSPLIT(B822,","),"")</f>
        <v>#NAME?</v>
      </c>
      <c r="H822" s="1" t="str">
        <f t="shared" ref="H822:I822" si="824">IF(C822&lt;&gt;"",DEC2HEX(C822,2),"")</f>
        <v>#NAME?</v>
      </c>
      <c r="I822" s="1" t="str">
        <f t="shared" si="824"/>
        <v/>
      </c>
      <c r="J822" s="1" t="str">
        <f t="shared" si="3"/>
        <v>#NAME?</v>
      </c>
      <c r="L822" s="1" t="s">
        <v>3090</v>
      </c>
      <c r="M822" s="1" t="str">
        <f t="shared" si="4"/>
        <v>#NAME?</v>
      </c>
    </row>
    <row r="823" ht="12.75" customHeight="1">
      <c r="A823" s="3" t="s">
        <v>2817</v>
      </c>
      <c r="B823" s="3" t="str">
        <f t="shared" si="1"/>
        <v>20%</v>
      </c>
      <c r="C823" s="1" t="str">
        <f t="array" ref="C823">IF(B822="NEW ROUTE",TEXTSPLIT(B823,","),"")</f>
        <v/>
      </c>
      <c r="H823" s="1" t="str">
        <f t="shared" ref="H823:I823" si="825">IF(C823&lt;&gt;"",DEC2HEX(C823,2),"")</f>
        <v/>
      </c>
      <c r="I823" s="1" t="str">
        <f t="shared" si="825"/>
        <v/>
      </c>
      <c r="J823" s="1" t="str">
        <f t="shared" si="3"/>
        <v/>
      </c>
      <c r="L823" s="1" t="s">
        <v>2799</v>
      </c>
      <c r="M823" s="1" t="str">
        <f t="shared" si="4"/>
        <v>20%</v>
      </c>
    </row>
    <row r="824" ht="12.75" customHeight="1">
      <c r="A824" s="3" t="s">
        <v>669</v>
      </c>
      <c r="B824" s="3" t="str">
        <f t="shared" si="1"/>
        <v>34, 34, GEODUDE</v>
      </c>
      <c r="C824" s="1" t="str">
        <f t="array" ref="C824">IF(B823="NEW ROUTE",TEXTSPLIT(B824,","),"")</f>
        <v/>
      </c>
      <c r="H824" s="1" t="str">
        <f t="shared" ref="H824:I824" si="826">IF(C824&lt;&gt;"",DEC2HEX(C824,2),"")</f>
        <v/>
      </c>
      <c r="I824" s="1" t="str">
        <f t="shared" si="826"/>
        <v/>
      </c>
      <c r="J824" s="1" t="str">
        <f t="shared" si="3"/>
        <v/>
      </c>
      <c r="L824" s="1" t="s">
        <v>669</v>
      </c>
      <c r="M824" s="1" t="str">
        <f t="shared" si="4"/>
        <v>34, 34, GEODUDE</v>
      </c>
    </row>
    <row r="825" ht="12.75" customHeight="1">
      <c r="A825" s="3" t="s">
        <v>3091</v>
      </c>
      <c r="B825" s="3" t="str">
        <f t="shared" si="1"/>
        <v>36, 36, MACHOP</v>
      </c>
      <c r="C825" s="1" t="str">
        <f t="array" ref="C825">IF(B824="NEW ROUTE",TEXTSPLIT(B825,","),"")</f>
        <v/>
      </c>
      <c r="H825" s="1" t="str">
        <f t="shared" ref="H825:I825" si="827">IF(C825&lt;&gt;"",DEC2HEX(C825,2),"")</f>
        <v/>
      </c>
      <c r="I825" s="1" t="str">
        <f t="shared" si="827"/>
        <v/>
      </c>
      <c r="J825" s="1" t="str">
        <f t="shared" si="3"/>
        <v/>
      </c>
      <c r="L825" s="1" t="s">
        <v>3091</v>
      </c>
      <c r="M825" s="1" t="str">
        <f t="shared" si="4"/>
        <v>36, 36, MACHOP</v>
      </c>
    </row>
    <row r="826" ht="12.75" customHeight="1">
      <c r="A826" s="3" t="s">
        <v>2802</v>
      </c>
      <c r="B826" s="3" t="str">
        <f t="shared" si="1"/>
        <v>0.1</v>
      </c>
      <c r="C826" s="1" t="str">
        <f t="array" ref="C826">IF(B825="NEW ROUTE",TEXTSPLIT(B826,","),"")</f>
        <v/>
      </c>
      <c r="H826" s="1" t="str">
        <f t="shared" ref="H826:I826" si="828">IF(C826&lt;&gt;"",DEC2HEX(C826,2),"")</f>
        <v/>
      </c>
      <c r="I826" s="1" t="str">
        <f t="shared" si="828"/>
        <v/>
      </c>
      <c r="J826" s="1" t="str">
        <f t="shared" si="3"/>
        <v/>
      </c>
      <c r="L826" s="1" t="s">
        <v>2802</v>
      </c>
      <c r="M826" s="1" t="str">
        <f t="shared" si="4"/>
        <v>0.1</v>
      </c>
    </row>
    <row r="827" ht="12.75" customHeight="1">
      <c r="A827" s="3" t="s">
        <v>3092</v>
      </c>
      <c r="B827" s="3" t="str">
        <f t="shared" si="1"/>
        <v>30, 30, GEODUDE</v>
      </c>
      <c r="C827" s="1" t="str">
        <f t="array" ref="C827">IF(B826="NEW ROUTE",TEXTSPLIT(B827,","),"")</f>
        <v/>
      </c>
      <c r="H827" s="1" t="str">
        <f t="shared" ref="H827:I827" si="829">IF(C827&lt;&gt;"",DEC2HEX(C827,2),"")</f>
        <v/>
      </c>
      <c r="I827" s="1" t="str">
        <f t="shared" si="829"/>
        <v/>
      </c>
      <c r="J827" s="1" t="str">
        <f t="shared" si="3"/>
        <v/>
      </c>
      <c r="L827" s="1" t="s">
        <v>3092</v>
      </c>
      <c r="M827" s="1" t="str">
        <f t="shared" si="4"/>
        <v>30, 30, GEODUDE</v>
      </c>
    </row>
    <row r="828" ht="12.75" customHeight="1">
      <c r="A828" s="3" t="s">
        <v>3093</v>
      </c>
      <c r="B828" s="3" t="str">
        <f t="shared" si="1"/>
        <v>32, 32, GEODUDE</v>
      </c>
      <c r="C828" s="1" t="str">
        <f t="array" ref="C828">IF(B827="NEW ROUTE",TEXTSPLIT(B828,","),"")</f>
        <v/>
      </c>
      <c r="H828" s="1" t="str">
        <f t="shared" ref="H828:I828" si="830">IF(C828&lt;&gt;"",DEC2HEX(C828,2),"")</f>
        <v/>
      </c>
      <c r="I828" s="1" t="str">
        <f t="shared" si="830"/>
        <v/>
      </c>
      <c r="J828" s="1" t="str">
        <f t="shared" si="3"/>
        <v/>
      </c>
      <c r="L828" s="1" t="s">
        <v>3093</v>
      </c>
      <c r="M828" s="1" t="str">
        <f t="shared" si="4"/>
        <v>32, 32, GEODUDE</v>
      </c>
    </row>
    <row r="829" ht="12.75" customHeight="1">
      <c r="A829" s="3" t="s">
        <v>3094</v>
      </c>
      <c r="B829" s="3" t="str">
        <f t="shared" si="1"/>
        <v>32, 32, MACHOP</v>
      </c>
      <c r="C829" s="1" t="str">
        <f t="array" ref="C829">IF(B828="NEW ROUTE",TEXTSPLIT(B829,","),"")</f>
        <v/>
      </c>
      <c r="H829" s="1" t="str">
        <f t="shared" ref="H829:I829" si="831">IF(C829&lt;&gt;"",DEC2HEX(C829,2),"")</f>
        <v/>
      </c>
      <c r="I829" s="1" t="str">
        <f t="shared" si="831"/>
        <v/>
      </c>
      <c r="J829" s="1" t="str">
        <f t="shared" si="3"/>
        <v/>
      </c>
      <c r="L829" s="1" t="s">
        <v>3094</v>
      </c>
      <c r="M829" s="1" t="str">
        <f t="shared" si="4"/>
        <v>32, 32, MACHOP</v>
      </c>
    </row>
    <row r="830" ht="12.75" customHeight="1">
      <c r="A830" s="3" t="s">
        <v>3095</v>
      </c>
      <c r="B830" s="3" t="str">
        <f t="shared" si="1"/>
        <v>34, 34, MACHOP</v>
      </c>
      <c r="C830" s="1" t="str">
        <f t="array" ref="C830">IF(B829="NEW ROUTE",TEXTSPLIT(B830,","),"")</f>
        <v/>
      </c>
      <c r="H830" s="1" t="str">
        <f t="shared" ref="H830:I830" si="832">IF(C830&lt;&gt;"",DEC2HEX(C830,2),"")</f>
        <v/>
      </c>
      <c r="I830" s="1" t="str">
        <f t="shared" si="832"/>
        <v/>
      </c>
      <c r="J830" s="1" t="str">
        <f t="shared" si="3"/>
        <v/>
      </c>
      <c r="L830" s="1" t="s">
        <v>3095</v>
      </c>
      <c r="M830" s="1" t="str">
        <f t="shared" si="4"/>
        <v>34, 34, MACHOP</v>
      </c>
    </row>
    <row r="831" ht="12.75" customHeight="1">
      <c r="A831" s="3" t="s">
        <v>2807</v>
      </c>
      <c r="B831" s="3" t="str">
        <f t="shared" si="1"/>
        <v>0.05</v>
      </c>
      <c r="C831" s="1" t="str">
        <f t="array" ref="C831">IF(B830="NEW ROUTE",TEXTSPLIT(B831,","),"")</f>
        <v/>
      </c>
      <c r="H831" s="1" t="str">
        <f t="shared" ref="H831:I831" si="833">IF(C831&lt;&gt;"",DEC2HEX(C831,2),"")</f>
        <v/>
      </c>
      <c r="I831" s="1" t="str">
        <f t="shared" si="833"/>
        <v/>
      </c>
      <c r="J831" s="1" t="str">
        <f t="shared" si="3"/>
        <v/>
      </c>
      <c r="L831" s="1" t="s">
        <v>2807</v>
      </c>
      <c r="M831" s="1" t="str">
        <f t="shared" si="4"/>
        <v>0.05</v>
      </c>
    </row>
    <row r="832" ht="12.75" customHeight="1">
      <c r="A832" s="3" t="s">
        <v>3096</v>
      </c>
      <c r="B832" s="3" t="str">
        <f t="shared" si="1"/>
        <v>38, 38, MACHOKE</v>
      </c>
      <c r="C832" s="1" t="str">
        <f t="array" ref="C832">IF(B831="NEW ROUTE",TEXTSPLIT(B832,","),"")</f>
        <v/>
      </c>
      <c r="H832" s="1" t="str">
        <f t="shared" ref="H832:I832" si="834">IF(C832&lt;&gt;"",DEC2HEX(C832,2),"")</f>
        <v/>
      </c>
      <c r="I832" s="1" t="str">
        <f t="shared" si="834"/>
        <v/>
      </c>
      <c r="J832" s="1" t="str">
        <f t="shared" si="3"/>
        <v/>
      </c>
      <c r="L832" s="1" t="s">
        <v>3096</v>
      </c>
      <c r="M832" s="1" t="str">
        <f t="shared" si="4"/>
        <v>38, 38, MACHOKE</v>
      </c>
    </row>
    <row r="833" ht="12.75" customHeight="1">
      <c r="A833" s="3" t="s">
        <v>3096</v>
      </c>
      <c r="B833" s="3" t="str">
        <f t="shared" si="1"/>
        <v>38, 38, MACHOKE</v>
      </c>
      <c r="C833" s="1" t="str">
        <f t="array" ref="C833">IF(B832="NEW ROUTE",TEXTSPLIT(B833,","),"")</f>
        <v/>
      </c>
      <c r="H833" s="1" t="str">
        <f t="shared" ref="H833:I833" si="835">IF(C833&lt;&gt;"",DEC2HEX(C833,2),"")</f>
        <v/>
      </c>
      <c r="I833" s="1" t="str">
        <f t="shared" si="835"/>
        <v/>
      </c>
      <c r="J833" s="1" t="str">
        <f t="shared" si="3"/>
        <v/>
      </c>
      <c r="L833" s="1" t="s">
        <v>3096</v>
      </c>
      <c r="M833" s="1" t="str">
        <f t="shared" si="4"/>
        <v>38, 38, MACHOKE</v>
      </c>
    </row>
    <row r="834" ht="12.75" customHeight="1">
      <c r="A834" s="3" t="s">
        <v>2810</v>
      </c>
      <c r="B834" s="3" t="str">
        <f t="shared" si="1"/>
        <v>0.04</v>
      </c>
      <c r="C834" s="1" t="str">
        <f t="array" ref="C834">IF(B833="NEW ROUTE",TEXTSPLIT(B834,","),"")</f>
        <v/>
      </c>
      <c r="H834" s="1" t="str">
        <f t="shared" ref="H834:I834" si="836">IF(C834&lt;&gt;"",DEC2HEX(C834,2),"")</f>
        <v/>
      </c>
      <c r="I834" s="1" t="str">
        <f t="shared" si="836"/>
        <v/>
      </c>
      <c r="J834" s="1" t="str">
        <f t="shared" si="3"/>
        <v/>
      </c>
      <c r="L834" s="1" t="s">
        <v>2810</v>
      </c>
      <c r="M834" s="1" t="str">
        <f t="shared" si="4"/>
        <v>0.04</v>
      </c>
    </row>
    <row r="835" ht="12.75" customHeight="1">
      <c r="A835" s="3" t="s">
        <v>3097</v>
      </c>
      <c r="B835" s="3" t="str">
        <f t="shared" si="1"/>
        <v>40, 40, MACHOKE</v>
      </c>
      <c r="C835" s="1" t="str">
        <f t="array" ref="C835">IF(B834="NEW ROUTE",TEXTSPLIT(B835,","),"")</f>
        <v/>
      </c>
      <c r="H835" s="1" t="str">
        <f t="shared" ref="H835:I835" si="837">IF(C835&lt;&gt;"",DEC2HEX(C835,2),"")</f>
        <v/>
      </c>
      <c r="I835" s="1" t="str">
        <f t="shared" si="837"/>
        <v/>
      </c>
      <c r="J835" s="1" t="str">
        <f t="shared" si="3"/>
        <v/>
      </c>
      <c r="L835" s="1" t="s">
        <v>3097</v>
      </c>
      <c r="M835" s="1" t="str">
        <f t="shared" si="4"/>
        <v>40, 40, MACHOKE</v>
      </c>
    </row>
    <row r="836" ht="12.75" customHeight="1">
      <c r="A836" s="3" t="s">
        <v>3097</v>
      </c>
      <c r="B836" s="3" t="str">
        <f t="shared" si="1"/>
        <v>40, 40, MACHOKE</v>
      </c>
      <c r="C836" s="1" t="str">
        <f t="array" ref="C836">IF(B835="NEW ROUTE",TEXTSPLIT(B836,","),"")</f>
        <v/>
      </c>
      <c r="H836" s="1" t="str">
        <f t="shared" ref="H836:I836" si="838">IF(C836&lt;&gt;"",DEC2HEX(C836,2),"")</f>
        <v/>
      </c>
      <c r="I836" s="1" t="str">
        <f t="shared" si="838"/>
        <v/>
      </c>
      <c r="J836" s="1" t="str">
        <f t="shared" si="3"/>
        <v/>
      </c>
      <c r="L836" s="1" t="s">
        <v>3097</v>
      </c>
      <c r="M836" s="1" t="str">
        <f t="shared" si="4"/>
        <v>40, 40, MACHOKE</v>
      </c>
    </row>
    <row r="837" ht="12.75" customHeight="1">
      <c r="A837" s="3" t="s">
        <v>2813</v>
      </c>
      <c r="B837" s="3" t="str">
        <f t="shared" si="1"/>
        <v>0.01</v>
      </c>
      <c r="C837" s="1" t="str">
        <f t="array" ref="C837">IF(B836="NEW ROUTE",TEXTSPLIT(B837,","),"")</f>
        <v/>
      </c>
      <c r="H837" s="1" t="str">
        <f t="shared" ref="H837:I837" si="839">IF(C837&lt;&gt;"",DEC2HEX(C837,2),"")</f>
        <v/>
      </c>
      <c r="I837" s="1" t="str">
        <f t="shared" si="839"/>
        <v/>
      </c>
      <c r="J837" s="1" t="str">
        <f t="shared" si="3"/>
        <v/>
      </c>
      <c r="L837" s="1" t="s">
        <v>2813</v>
      </c>
      <c r="M837" s="1" t="str">
        <f t="shared" si="4"/>
        <v>0.01</v>
      </c>
    </row>
    <row r="838" ht="12.75" customHeight="1">
      <c r="A838" s="3" t="s">
        <v>3097</v>
      </c>
      <c r="B838" s="3" t="str">
        <f t="shared" si="1"/>
        <v>40, 40, MACHOKE</v>
      </c>
      <c r="C838" s="1" t="str">
        <f t="array" ref="C838">IF(B837="NEW ROUTE",TEXTSPLIT(B838,","),"")</f>
        <v/>
      </c>
      <c r="H838" s="1" t="str">
        <f t="shared" ref="H838:I838" si="840">IF(C838&lt;&gt;"",DEC2HEX(C838,2),"")</f>
        <v/>
      </c>
      <c r="I838" s="1" t="str">
        <f t="shared" si="840"/>
        <v/>
      </c>
      <c r="J838" s="1" t="str">
        <f t="shared" si="3"/>
        <v/>
      </c>
      <c r="L838" s="1" t="s">
        <v>3097</v>
      </c>
      <c r="M838" s="1" t="str">
        <f t="shared" si="4"/>
        <v>40, 40, MACHOKE</v>
      </c>
    </row>
    <row r="839" ht="12.75" customHeight="1">
      <c r="A839" s="3" t="s">
        <v>3097</v>
      </c>
      <c r="B839" s="3" t="str">
        <f t="shared" si="1"/>
        <v>40, 40, MACHOKE</v>
      </c>
      <c r="C839" s="1" t="str">
        <f t="array" ref="C839">IF(B838="NEW ROUTE",TEXTSPLIT(B839,","),"")</f>
        <v/>
      </c>
      <c r="H839" s="1" t="str">
        <f t="shared" ref="H839:I839" si="841">IF(C839&lt;&gt;"",DEC2HEX(C839,2),"")</f>
        <v/>
      </c>
      <c r="I839" s="1" t="str">
        <f t="shared" si="841"/>
        <v/>
      </c>
      <c r="J839" s="1" t="str">
        <f t="shared" si="3"/>
        <v/>
      </c>
      <c r="L839" s="1" t="s">
        <v>3097</v>
      </c>
      <c r="M839" s="1" t="str">
        <f t="shared" si="4"/>
        <v>40, 40, MACHOKE</v>
      </c>
    </row>
    <row r="840" ht="12.75" customHeight="1">
      <c r="A840" s="3" t="s">
        <v>3000</v>
      </c>
      <c r="B840" s="3" t="str">
        <f t="shared" si="1"/>
        <v>50, 5, 20, GEODUDE</v>
      </c>
      <c r="C840" s="1" t="str">
        <f t="array" ref="C840">IF(B839="NEW ROUTE",TEXTSPLIT(B840,","),"")</f>
        <v/>
      </c>
      <c r="H840" s="1" t="str">
        <f t="shared" ref="H840:I840" si="842">IF(C840&lt;&gt;"",DEC2HEX(C840,2),"")</f>
        <v/>
      </c>
      <c r="I840" s="1" t="str">
        <f t="shared" si="842"/>
        <v/>
      </c>
      <c r="J840" s="1" t="str">
        <f t="shared" si="3"/>
        <v/>
      </c>
      <c r="L840" s="1" t="s">
        <v>3000</v>
      </c>
      <c r="M840" s="1" t="str">
        <f t="shared" si="4"/>
        <v>50, 5, 20, GEODUDE</v>
      </c>
    </row>
    <row r="841" ht="12.75" customHeight="1">
      <c r="A841" s="3" t="s">
        <v>3001</v>
      </c>
      <c r="B841" s="3" t="str">
        <f t="shared" si="1"/>
        <v>10, 20, GEODUDE</v>
      </c>
      <c r="C841" s="1" t="str">
        <f t="array" ref="C841">IF(B840="NEW ROUTE",TEXTSPLIT(B841,","),"")</f>
        <v/>
      </c>
      <c r="H841" s="1" t="str">
        <f t="shared" ref="H841:I841" si="843">IF(C841&lt;&gt;"",DEC2HEX(C841,2),"")</f>
        <v/>
      </c>
      <c r="I841" s="1" t="str">
        <f t="shared" si="843"/>
        <v/>
      </c>
      <c r="J841" s="1" t="str">
        <f t="shared" si="3"/>
        <v/>
      </c>
      <c r="L841" s="1" t="s">
        <v>3001</v>
      </c>
      <c r="M841" s="1" t="str">
        <f t="shared" si="4"/>
        <v>10, 20, GEODUDE</v>
      </c>
    </row>
    <row r="842" ht="12.75" customHeight="1">
      <c r="A842" s="3" t="s">
        <v>3002</v>
      </c>
      <c r="B842" s="3" t="str">
        <f t="shared" si="1"/>
        <v>15, 30, GEODUDE</v>
      </c>
      <c r="C842" s="1" t="str">
        <f t="array" ref="C842">IF(B841="NEW ROUTE",TEXTSPLIT(B842,","),"")</f>
        <v/>
      </c>
      <c r="H842" s="1" t="str">
        <f t="shared" ref="H842:I842" si="844">IF(C842&lt;&gt;"",DEC2HEX(C842,2),"")</f>
        <v/>
      </c>
      <c r="I842" s="1" t="str">
        <f t="shared" si="844"/>
        <v/>
      </c>
      <c r="J842" s="1" t="str">
        <f t="shared" si="3"/>
        <v/>
      </c>
      <c r="L842" s="1" t="s">
        <v>3002</v>
      </c>
      <c r="M842" s="1" t="str">
        <f t="shared" si="4"/>
        <v>15, 30, GEODUDE</v>
      </c>
    </row>
    <row r="843" ht="12.75" customHeight="1">
      <c r="A843" s="3" t="s">
        <v>3003</v>
      </c>
      <c r="B843" s="3" t="str">
        <f t="shared" si="1"/>
        <v>25, 40, GRAVELER</v>
      </c>
      <c r="C843" s="1" t="str">
        <f t="array" ref="C843">IF(B842="NEW ROUTE",TEXTSPLIT(B843,","),"")</f>
        <v/>
      </c>
      <c r="H843" s="1" t="str">
        <f t="shared" ref="H843:I843" si="845">IF(C843&lt;&gt;"",DEC2HEX(C843,2),"")</f>
        <v/>
      </c>
      <c r="I843" s="1" t="str">
        <f t="shared" si="845"/>
        <v/>
      </c>
      <c r="J843" s="1" t="str">
        <f t="shared" si="3"/>
        <v/>
      </c>
      <c r="L843" s="1" t="s">
        <v>3003</v>
      </c>
      <c r="M843" s="1" t="str">
        <f t="shared" si="4"/>
        <v>25, 40, GRAVELER</v>
      </c>
    </row>
    <row r="844" ht="12.75" customHeight="1">
      <c r="A844" s="3" t="s">
        <v>3004</v>
      </c>
      <c r="B844" s="3" t="str">
        <f t="shared" si="1"/>
        <v>30, 40, GRAVELER , &lt;null&gt;</v>
      </c>
      <c r="C844" s="1" t="str">
        <f t="array" ref="C844">IF(B843="NEW ROUTE",TEXTSPLIT(B844,","),"")</f>
        <v/>
      </c>
      <c r="H844" s="1" t="str">
        <f t="shared" ref="H844:I844" si="846">IF(C844&lt;&gt;"",DEC2HEX(C844,2),"")</f>
        <v/>
      </c>
      <c r="I844" s="1" t="str">
        <f t="shared" si="846"/>
        <v/>
      </c>
      <c r="J844" s="1" t="str">
        <f t="shared" si="3"/>
        <v/>
      </c>
      <c r="L844" s="1" t="s">
        <v>3004</v>
      </c>
      <c r="M844" s="1" t="str">
        <f t="shared" si="4"/>
        <v>30, 40, GRAVELER , &lt;null&gt;</v>
      </c>
    </row>
    <row r="845" ht="12.75" customHeight="1">
      <c r="A845" s="3" t="s">
        <v>2539</v>
      </c>
      <c r="B845" s="3" t="str">
        <f t="shared" si="1"/>
        <v>NEW ROUTE</v>
      </c>
      <c r="C845" s="1" t="str">
        <f t="array" ref="C845">IF(B844="NEW ROUTE",TEXTSPLIT(B845,","),"")</f>
        <v/>
      </c>
      <c r="H845" s="1" t="str">
        <f t="shared" ref="H845:I845" si="847">IF(C845&lt;&gt;"",DEC2HEX(C845,2),"")</f>
        <v/>
      </c>
      <c r="I845" s="1" t="str">
        <f t="shared" si="847"/>
        <v/>
      </c>
      <c r="J845" s="1" t="str">
        <f t="shared" si="3"/>
        <v/>
      </c>
      <c r="L845" s="1" t="s">
        <v>2539</v>
      </c>
      <c r="M845" s="1" t="str">
        <f t="shared" si="4"/>
        <v>NEW ROUTE</v>
      </c>
    </row>
    <row r="846" ht="12.75" customHeight="1">
      <c r="A846" s="3" t="s">
        <v>3098</v>
      </c>
      <c r="B846" s="3" t="str">
        <f t="shared" si="1"/>
        <v>1, 100, 0,</v>
      </c>
      <c r="C846" s="1" t="str">
        <f t="array" ref="C846">IF(B845="NEW ROUTE",TEXTSPLIT(B846,","),"")</f>
        <v>#NAME?</v>
      </c>
      <c r="H846" s="1" t="str">
        <f t="shared" ref="H846:I846" si="848">IF(C846&lt;&gt;"",DEC2HEX(C846,2),"")</f>
        <v>#NAME?</v>
      </c>
      <c r="I846" s="1" t="str">
        <f t="shared" si="848"/>
        <v/>
      </c>
      <c r="J846" s="1" t="str">
        <f t="shared" si="3"/>
        <v>#NAME?</v>
      </c>
      <c r="L846" s="1" t="s">
        <v>3098</v>
      </c>
      <c r="M846" s="1" t="str">
        <f t="shared" si="4"/>
        <v>#NAME?</v>
      </c>
    </row>
    <row r="847" ht="12.75" customHeight="1">
      <c r="A847" s="3" t="s">
        <v>2817</v>
      </c>
      <c r="B847" s="3" t="str">
        <f t="shared" si="1"/>
        <v>20%</v>
      </c>
      <c r="C847" s="1" t="str">
        <f t="array" ref="C847">IF(B846="NEW ROUTE",TEXTSPLIT(B847,","),"")</f>
        <v/>
      </c>
      <c r="H847" s="1" t="str">
        <f t="shared" ref="H847:I847" si="849">IF(C847&lt;&gt;"",DEC2HEX(C847,2),"")</f>
        <v/>
      </c>
      <c r="I847" s="1" t="str">
        <f t="shared" si="849"/>
        <v/>
      </c>
      <c r="J847" s="1" t="str">
        <f t="shared" si="3"/>
        <v/>
      </c>
      <c r="L847" s="1" t="s">
        <v>2799</v>
      </c>
      <c r="M847" s="1" t="str">
        <f t="shared" si="4"/>
        <v>20%</v>
      </c>
    </row>
    <row r="848" ht="12.75" customHeight="1">
      <c r="A848" s="3" t="s">
        <v>658</v>
      </c>
      <c r="B848" s="3" t="str">
        <f t="shared" si="1"/>
        <v>33, 33, GEODUDE</v>
      </c>
      <c r="C848" s="1" t="str">
        <f t="array" ref="C848">IF(B847="NEW ROUTE",TEXTSPLIT(B848,","),"")</f>
        <v/>
      </c>
      <c r="H848" s="1" t="str">
        <f t="shared" ref="H848:I848" si="850">IF(C848&lt;&gt;"",DEC2HEX(C848,2),"")</f>
        <v/>
      </c>
      <c r="I848" s="1" t="str">
        <f t="shared" si="850"/>
        <v/>
      </c>
      <c r="J848" s="1" t="str">
        <f t="shared" si="3"/>
        <v/>
      </c>
      <c r="L848" s="1" t="s">
        <v>658</v>
      </c>
      <c r="M848" s="1" t="str">
        <f t="shared" si="4"/>
        <v>33, 33, GEODUDE</v>
      </c>
    </row>
    <row r="849" ht="12.75" customHeight="1">
      <c r="A849" s="3" t="s">
        <v>3073</v>
      </c>
      <c r="B849" s="3" t="str">
        <f t="shared" si="1"/>
        <v>35, 35, MACHOP</v>
      </c>
      <c r="C849" s="1" t="str">
        <f t="array" ref="C849">IF(B848="NEW ROUTE",TEXTSPLIT(B849,","),"")</f>
        <v/>
      </c>
      <c r="H849" s="1" t="str">
        <f t="shared" ref="H849:I849" si="851">IF(C849&lt;&gt;"",DEC2HEX(C849,2),"")</f>
        <v/>
      </c>
      <c r="I849" s="1" t="str">
        <f t="shared" si="851"/>
        <v/>
      </c>
      <c r="J849" s="1" t="str">
        <f t="shared" si="3"/>
        <v/>
      </c>
      <c r="L849" s="1" t="s">
        <v>3073</v>
      </c>
      <c r="M849" s="1" t="str">
        <f t="shared" si="4"/>
        <v>35, 35, MACHOP</v>
      </c>
    </row>
    <row r="850" ht="12.75" customHeight="1">
      <c r="A850" s="3" t="s">
        <v>2802</v>
      </c>
      <c r="B850" s="3" t="str">
        <f t="shared" si="1"/>
        <v>0.1</v>
      </c>
      <c r="C850" s="1" t="str">
        <f t="array" ref="C850">IF(B849="NEW ROUTE",TEXTSPLIT(B850,","),"")</f>
        <v/>
      </c>
      <c r="H850" s="1" t="str">
        <f t="shared" ref="H850:I850" si="852">IF(C850&lt;&gt;"",DEC2HEX(C850,2),"")</f>
        <v/>
      </c>
      <c r="I850" s="1" t="str">
        <f t="shared" si="852"/>
        <v/>
      </c>
      <c r="J850" s="1" t="str">
        <f t="shared" si="3"/>
        <v/>
      </c>
      <c r="L850" s="1" t="s">
        <v>2802</v>
      </c>
      <c r="M850" s="1" t="str">
        <f t="shared" si="4"/>
        <v>0.1</v>
      </c>
    </row>
    <row r="851" ht="12.75" customHeight="1">
      <c r="A851" s="3" t="s">
        <v>3081</v>
      </c>
      <c r="B851" s="3" t="str">
        <f t="shared" si="1"/>
        <v>29, 29, GEODUDE</v>
      </c>
      <c r="C851" s="1" t="str">
        <f t="array" ref="C851">IF(B850="NEW ROUTE",TEXTSPLIT(B851,","),"")</f>
        <v/>
      </c>
      <c r="H851" s="1" t="str">
        <f t="shared" ref="H851:I851" si="853">IF(C851&lt;&gt;"",DEC2HEX(C851,2),"")</f>
        <v/>
      </c>
      <c r="I851" s="1" t="str">
        <f t="shared" si="853"/>
        <v/>
      </c>
      <c r="J851" s="1" t="str">
        <f t="shared" si="3"/>
        <v/>
      </c>
      <c r="L851" s="1" t="s">
        <v>3081</v>
      </c>
      <c r="M851" s="1" t="str">
        <f t="shared" si="4"/>
        <v>29, 29, GEODUDE</v>
      </c>
    </row>
    <row r="852" ht="12.75" customHeight="1">
      <c r="A852" s="3" t="s">
        <v>3082</v>
      </c>
      <c r="B852" s="3" t="str">
        <f t="shared" si="1"/>
        <v>31, 31, GEODUDE</v>
      </c>
      <c r="C852" s="1" t="str">
        <f t="array" ref="C852">IF(B851="NEW ROUTE",TEXTSPLIT(B852,","),"")</f>
        <v/>
      </c>
      <c r="H852" s="1" t="str">
        <f t="shared" ref="H852:I852" si="854">IF(C852&lt;&gt;"",DEC2HEX(C852,2),"")</f>
        <v/>
      </c>
      <c r="I852" s="1" t="str">
        <f t="shared" si="854"/>
        <v/>
      </c>
      <c r="J852" s="1" t="str">
        <f t="shared" si="3"/>
        <v/>
      </c>
      <c r="L852" s="1" t="s">
        <v>3082</v>
      </c>
      <c r="M852" s="1" t="str">
        <f t="shared" si="4"/>
        <v>31, 31, GEODUDE</v>
      </c>
    </row>
    <row r="853" ht="12.75" customHeight="1">
      <c r="A853" s="3" t="s">
        <v>3083</v>
      </c>
      <c r="B853" s="3" t="str">
        <f t="shared" si="1"/>
        <v>31, 31, MACHOP</v>
      </c>
      <c r="C853" s="1" t="str">
        <f t="array" ref="C853">IF(B852="NEW ROUTE",TEXTSPLIT(B853,","),"")</f>
        <v/>
      </c>
      <c r="H853" s="1" t="str">
        <f t="shared" ref="H853:I853" si="855">IF(C853&lt;&gt;"",DEC2HEX(C853,2),"")</f>
        <v/>
      </c>
      <c r="I853" s="1" t="str">
        <f t="shared" si="855"/>
        <v/>
      </c>
      <c r="J853" s="1" t="str">
        <f t="shared" si="3"/>
        <v/>
      </c>
      <c r="L853" s="1" t="s">
        <v>3083</v>
      </c>
      <c r="M853" s="1" t="str">
        <f t="shared" si="4"/>
        <v>31, 31, MACHOP</v>
      </c>
    </row>
    <row r="854" ht="12.75" customHeight="1">
      <c r="A854" s="3" t="s">
        <v>3084</v>
      </c>
      <c r="B854" s="3" t="str">
        <f t="shared" si="1"/>
        <v>33, 33, MACHOP</v>
      </c>
      <c r="C854" s="1" t="str">
        <f t="array" ref="C854">IF(B853="NEW ROUTE",TEXTSPLIT(B854,","),"")</f>
        <v/>
      </c>
      <c r="H854" s="1" t="str">
        <f t="shared" ref="H854:I854" si="856">IF(C854&lt;&gt;"",DEC2HEX(C854,2),"")</f>
        <v/>
      </c>
      <c r="I854" s="1" t="str">
        <f t="shared" si="856"/>
        <v/>
      </c>
      <c r="J854" s="1" t="str">
        <f t="shared" si="3"/>
        <v/>
      </c>
      <c r="L854" s="1" t="s">
        <v>3084</v>
      </c>
      <c r="M854" s="1" t="str">
        <f t="shared" si="4"/>
        <v>33, 33, MACHOP</v>
      </c>
    </row>
    <row r="855" ht="12.75" customHeight="1">
      <c r="A855" s="3" t="s">
        <v>2807</v>
      </c>
      <c r="B855" s="3" t="str">
        <f t="shared" si="1"/>
        <v>0.05</v>
      </c>
      <c r="C855" s="1" t="str">
        <f t="array" ref="C855">IF(B854="NEW ROUTE",TEXTSPLIT(B855,","),"")</f>
        <v/>
      </c>
      <c r="H855" s="1" t="str">
        <f t="shared" ref="H855:I855" si="857">IF(C855&lt;&gt;"",DEC2HEX(C855,2),"")</f>
        <v/>
      </c>
      <c r="I855" s="1" t="str">
        <f t="shared" si="857"/>
        <v/>
      </c>
      <c r="J855" s="1" t="str">
        <f t="shared" si="3"/>
        <v/>
      </c>
      <c r="L855" s="1" t="s">
        <v>2807</v>
      </c>
      <c r="M855" s="1" t="str">
        <f t="shared" si="4"/>
        <v>0.05</v>
      </c>
    </row>
    <row r="856" ht="12.75" customHeight="1">
      <c r="A856" s="3" t="s">
        <v>3085</v>
      </c>
      <c r="B856" s="3" t="str">
        <f t="shared" si="1"/>
        <v>35, 35, GEODUDE</v>
      </c>
      <c r="C856" s="1" t="str">
        <f t="array" ref="C856">IF(B855="NEW ROUTE",TEXTSPLIT(B856,","),"")</f>
        <v/>
      </c>
      <c r="H856" s="1" t="str">
        <f t="shared" ref="H856:I856" si="858">IF(C856&lt;&gt;"",DEC2HEX(C856,2),"")</f>
        <v/>
      </c>
      <c r="I856" s="1" t="str">
        <f t="shared" si="858"/>
        <v/>
      </c>
      <c r="J856" s="1" t="str">
        <f t="shared" si="3"/>
        <v/>
      </c>
      <c r="L856" s="1" t="s">
        <v>3085</v>
      </c>
      <c r="M856" s="1" t="str">
        <f t="shared" si="4"/>
        <v>35, 35, GEODUDE</v>
      </c>
    </row>
    <row r="857" ht="12.75" customHeight="1">
      <c r="A857" s="3" t="s">
        <v>3086</v>
      </c>
      <c r="B857" s="3" t="str">
        <f t="shared" si="1"/>
        <v>37, 37, MACHOP</v>
      </c>
      <c r="C857" s="1" t="str">
        <f t="array" ref="C857">IF(B856="NEW ROUTE",TEXTSPLIT(B857,","),"")</f>
        <v/>
      </c>
      <c r="H857" s="1" t="str">
        <f t="shared" ref="H857:I857" si="859">IF(C857&lt;&gt;"",DEC2HEX(C857,2),"")</f>
        <v/>
      </c>
      <c r="I857" s="1" t="str">
        <f t="shared" si="859"/>
        <v/>
      </c>
      <c r="J857" s="1" t="str">
        <f t="shared" si="3"/>
        <v/>
      </c>
      <c r="L857" s="1" t="s">
        <v>3086</v>
      </c>
      <c r="M857" s="1" t="str">
        <f t="shared" si="4"/>
        <v>37, 37, MACHOP</v>
      </c>
    </row>
    <row r="858" ht="12.75" customHeight="1">
      <c r="A858" s="3" t="s">
        <v>2810</v>
      </c>
      <c r="B858" s="3" t="str">
        <f t="shared" si="1"/>
        <v>0.04</v>
      </c>
      <c r="C858" s="1" t="str">
        <f t="array" ref="C858">IF(B857="NEW ROUTE",TEXTSPLIT(B858,","),"")</f>
        <v/>
      </c>
      <c r="H858" s="1" t="str">
        <f t="shared" ref="H858:I858" si="860">IF(C858&lt;&gt;"",DEC2HEX(C858,2),"")</f>
        <v/>
      </c>
      <c r="I858" s="1" t="str">
        <f t="shared" si="860"/>
        <v/>
      </c>
      <c r="J858" s="1" t="str">
        <f t="shared" si="3"/>
        <v/>
      </c>
      <c r="L858" s="1" t="s">
        <v>2810</v>
      </c>
      <c r="M858" s="1" t="str">
        <f t="shared" si="4"/>
        <v>0.04</v>
      </c>
    </row>
    <row r="859" ht="12.75" customHeight="1">
      <c r="A859" s="3" t="s">
        <v>3087</v>
      </c>
      <c r="B859" s="3" t="str">
        <f t="shared" si="1"/>
        <v>37, 37, GEODUDE</v>
      </c>
      <c r="C859" s="1" t="str">
        <f t="array" ref="C859">IF(B858="NEW ROUTE",TEXTSPLIT(B859,","),"")</f>
        <v/>
      </c>
      <c r="H859" s="1" t="str">
        <f t="shared" ref="H859:I859" si="861">IF(C859&lt;&gt;"",DEC2HEX(C859,2),"")</f>
        <v/>
      </c>
      <c r="I859" s="1" t="str">
        <f t="shared" si="861"/>
        <v/>
      </c>
      <c r="J859" s="1" t="str">
        <f t="shared" si="3"/>
        <v/>
      </c>
      <c r="L859" s="1" t="s">
        <v>3087</v>
      </c>
      <c r="M859" s="1" t="str">
        <f t="shared" si="4"/>
        <v>37, 37, GEODUDE</v>
      </c>
    </row>
    <row r="860" ht="12.75" customHeight="1">
      <c r="A860" s="3" t="s">
        <v>3088</v>
      </c>
      <c r="B860" s="3" t="str">
        <f t="shared" si="1"/>
        <v>39, 39, MACHOP</v>
      </c>
      <c r="C860" s="1" t="str">
        <f t="array" ref="C860">IF(B859="NEW ROUTE",TEXTSPLIT(B860,","),"")</f>
        <v/>
      </c>
      <c r="H860" s="1" t="str">
        <f t="shared" ref="H860:I860" si="862">IF(C860&lt;&gt;"",DEC2HEX(C860,2),"")</f>
        <v/>
      </c>
      <c r="I860" s="1" t="str">
        <f t="shared" si="862"/>
        <v/>
      </c>
      <c r="J860" s="1" t="str">
        <f t="shared" si="3"/>
        <v/>
      </c>
      <c r="L860" s="1" t="s">
        <v>3088</v>
      </c>
      <c r="M860" s="1" t="str">
        <f t="shared" si="4"/>
        <v>39, 39, MACHOP</v>
      </c>
    </row>
    <row r="861" ht="12.75" customHeight="1">
      <c r="A861" s="3" t="s">
        <v>2813</v>
      </c>
      <c r="B861" s="3" t="str">
        <f t="shared" si="1"/>
        <v>0.01</v>
      </c>
      <c r="C861" s="1" t="str">
        <f t="array" ref="C861">IF(B860="NEW ROUTE",TEXTSPLIT(B861,","),"")</f>
        <v/>
      </c>
      <c r="H861" s="1" t="str">
        <f t="shared" ref="H861:I861" si="863">IF(C861&lt;&gt;"",DEC2HEX(C861,2),"")</f>
        <v/>
      </c>
      <c r="I861" s="1" t="str">
        <f t="shared" si="863"/>
        <v/>
      </c>
      <c r="J861" s="1" t="str">
        <f t="shared" si="3"/>
        <v/>
      </c>
      <c r="L861" s="1" t="s">
        <v>2813</v>
      </c>
      <c r="M861" s="1" t="str">
        <f t="shared" si="4"/>
        <v>0.01</v>
      </c>
    </row>
    <row r="862" ht="12.75" customHeight="1">
      <c r="A862" s="3" t="s">
        <v>3087</v>
      </c>
      <c r="B862" s="3" t="str">
        <f t="shared" si="1"/>
        <v>37, 37, GEODUDE</v>
      </c>
      <c r="C862" s="1" t="str">
        <f t="array" ref="C862">IF(B861="NEW ROUTE",TEXTSPLIT(B862,","),"")</f>
        <v/>
      </c>
      <c r="H862" s="1" t="str">
        <f t="shared" ref="H862:I862" si="864">IF(C862&lt;&gt;"",DEC2HEX(C862,2),"")</f>
        <v/>
      </c>
      <c r="I862" s="1" t="str">
        <f t="shared" si="864"/>
        <v/>
      </c>
      <c r="J862" s="1" t="str">
        <f t="shared" si="3"/>
        <v/>
      </c>
      <c r="L862" s="1" t="s">
        <v>3087</v>
      </c>
      <c r="M862" s="1" t="str">
        <f t="shared" si="4"/>
        <v>37, 37, GEODUDE</v>
      </c>
    </row>
    <row r="863" ht="12.75" customHeight="1">
      <c r="A863" s="3" t="s">
        <v>3089</v>
      </c>
      <c r="B863" s="3" t="str">
        <f t="shared" si="1"/>
        <v>39, 39, MACHOP , &lt;null&gt;, &lt;null&gt;, &lt;null&gt;</v>
      </c>
      <c r="C863" s="1" t="str">
        <f t="array" ref="C863">IF(B862="NEW ROUTE",TEXTSPLIT(B863,","),"")</f>
        <v/>
      </c>
      <c r="H863" s="1" t="str">
        <f t="shared" ref="H863:I863" si="865">IF(C863&lt;&gt;"",DEC2HEX(C863,2),"")</f>
        <v/>
      </c>
      <c r="I863" s="1" t="str">
        <f t="shared" si="865"/>
        <v/>
      </c>
      <c r="J863" s="1" t="str">
        <f t="shared" si="3"/>
        <v/>
      </c>
      <c r="L863" s="1" t="s">
        <v>3089</v>
      </c>
      <c r="M863" s="1" t="str">
        <f t="shared" si="4"/>
        <v>39, 39, MACHOP , &lt;null&gt;, &lt;null&gt;, &lt;null&gt;</v>
      </c>
    </row>
    <row r="864" ht="12.75" customHeight="1">
      <c r="A864" s="3" t="s">
        <v>2539</v>
      </c>
      <c r="B864" s="3" t="str">
        <f t="shared" si="1"/>
        <v>NEW ROUTE</v>
      </c>
      <c r="C864" s="1" t="str">
        <f t="array" ref="C864">IF(B863="NEW ROUTE",TEXTSPLIT(B864,","),"")</f>
        <v/>
      </c>
      <c r="H864" s="1" t="str">
        <f t="shared" ref="H864:I864" si="866">IF(C864&lt;&gt;"",DEC2HEX(C864,2),"")</f>
        <v/>
      </c>
      <c r="I864" s="1" t="str">
        <f t="shared" si="866"/>
        <v/>
      </c>
      <c r="J864" s="1" t="str">
        <f t="shared" si="3"/>
        <v/>
      </c>
      <c r="L864" s="1" t="s">
        <v>2539</v>
      </c>
      <c r="M864" s="1" t="str">
        <f t="shared" si="4"/>
        <v>NEW ROUTE</v>
      </c>
    </row>
    <row r="865" ht="12.75" customHeight="1">
      <c r="A865" s="3" t="s">
        <v>3099</v>
      </c>
      <c r="B865" s="3" t="str">
        <f t="shared" si="1"/>
        <v>1, 103, 0,</v>
      </c>
      <c r="C865" s="1" t="str">
        <f t="array" ref="C865">IF(B864="NEW ROUTE",TEXTSPLIT(B865,","),"")</f>
        <v>#NAME?</v>
      </c>
      <c r="H865" s="1" t="str">
        <f t="shared" ref="H865:I865" si="867">IF(C865&lt;&gt;"",DEC2HEX(C865,2),"")</f>
        <v>#NAME?</v>
      </c>
      <c r="I865" s="1" t="str">
        <f t="shared" si="867"/>
        <v/>
      </c>
      <c r="J865" s="1" t="str">
        <f t="shared" si="3"/>
        <v>#NAME?</v>
      </c>
      <c r="L865" s="1" t="s">
        <v>3099</v>
      </c>
      <c r="M865" s="1" t="str">
        <f t="shared" si="4"/>
        <v>#NAME?</v>
      </c>
    </row>
    <row r="866" ht="12.75" customHeight="1">
      <c r="A866" s="3" t="s">
        <v>2817</v>
      </c>
      <c r="B866" s="3" t="str">
        <f t="shared" si="1"/>
        <v>20%</v>
      </c>
      <c r="C866" s="1" t="str">
        <f t="array" ref="C866">IF(B865="NEW ROUTE",TEXTSPLIT(B866,","),"")</f>
        <v/>
      </c>
      <c r="H866" s="1" t="str">
        <f t="shared" ref="H866:I866" si="868">IF(C866&lt;&gt;"",DEC2HEX(C866,2),"")</f>
        <v/>
      </c>
      <c r="I866" s="1" t="str">
        <f t="shared" si="868"/>
        <v/>
      </c>
      <c r="J866" s="1" t="str">
        <f t="shared" si="3"/>
        <v/>
      </c>
      <c r="L866" s="1" t="s">
        <v>2799</v>
      </c>
      <c r="M866" s="1" t="str">
        <f t="shared" si="4"/>
        <v>20%</v>
      </c>
    </row>
    <row r="867" ht="12.75" customHeight="1">
      <c r="A867" s="3" t="s">
        <v>680</v>
      </c>
      <c r="B867" s="3" t="str">
        <f t="shared" si="1"/>
        <v>36, 36, GEODUDE</v>
      </c>
      <c r="C867" s="1" t="str">
        <f t="array" ref="C867">IF(B866="NEW ROUTE",TEXTSPLIT(B867,","),"")</f>
        <v/>
      </c>
      <c r="H867" s="1" t="str">
        <f t="shared" ref="H867:I867" si="869">IF(C867&lt;&gt;"",DEC2HEX(C867,2),"")</f>
        <v/>
      </c>
      <c r="I867" s="1" t="str">
        <f t="shared" si="869"/>
        <v/>
      </c>
      <c r="J867" s="1" t="str">
        <f t="shared" si="3"/>
        <v/>
      </c>
      <c r="L867" s="1" t="s">
        <v>680</v>
      </c>
      <c r="M867" s="1" t="str">
        <f t="shared" si="4"/>
        <v>36, 36, GEODUDE</v>
      </c>
    </row>
    <row r="868" ht="12.75" customHeight="1">
      <c r="A868" s="3" t="s">
        <v>3100</v>
      </c>
      <c r="B868" s="3" t="str">
        <f t="shared" si="1"/>
        <v>38, 38, MACHOP</v>
      </c>
      <c r="C868" s="1" t="str">
        <f t="array" ref="C868">IF(B867="NEW ROUTE",TEXTSPLIT(B868,","),"")</f>
        <v/>
      </c>
      <c r="H868" s="1" t="str">
        <f t="shared" ref="H868:I868" si="870">IF(C868&lt;&gt;"",DEC2HEX(C868,2),"")</f>
        <v/>
      </c>
      <c r="I868" s="1" t="str">
        <f t="shared" si="870"/>
        <v/>
      </c>
      <c r="J868" s="1" t="str">
        <f t="shared" si="3"/>
        <v/>
      </c>
      <c r="L868" s="1" t="s">
        <v>3100</v>
      </c>
      <c r="M868" s="1" t="str">
        <f t="shared" si="4"/>
        <v>38, 38, MACHOP</v>
      </c>
    </row>
    <row r="869" ht="12.75" customHeight="1">
      <c r="A869" s="3" t="s">
        <v>2802</v>
      </c>
      <c r="B869" s="3" t="str">
        <f t="shared" si="1"/>
        <v>0.1</v>
      </c>
      <c r="C869" s="1" t="str">
        <f t="array" ref="C869">IF(B868="NEW ROUTE",TEXTSPLIT(B869,","),"")</f>
        <v/>
      </c>
      <c r="H869" s="1" t="str">
        <f t="shared" ref="H869:I869" si="871">IF(C869&lt;&gt;"",DEC2HEX(C869,2),"")</f>
        <v/>
      </c>
      <c r="I869" s="1" t="str">
        <f t="shared" si="871"/>
        <v/>
      </c>
      <c r="J869" s="1" t="str">
        <f t="shared" si="3"/>
        <v/>
      </c>
      <c r="L869" s="1" t="s">
        <v>2802</v>
      </c>
      <c r="M869" s="1" t="str">
        <f t="shared" si="4"/>
        <v>0.1</v>
      </c>
    </row>
    <row r="870" ht="12.75" customHeight="1">
      <c r="A870" s="3" t="s">
        <v>3093</v>
      </c>
      <c r="B870" s="3" t="str">
        <f t="shared" si="1"/>
        <v>32, 32, GEODUDE</v>
      </c>
      <c r="C870" s="1" t="str">
        <f t="array" ref="C870">IF(B869="NEW ROUTE",TEXTSPLIT(B870,","),"")</f>
        <v/>
      </c>
      <c r="H870" s="1" t="str">
        <f t="shared" ref="H870:I870" si="872">IF(C870&lt;&gt;"",DEC2HEX(C870,2),"")</f>
        <v/>
      </c>
      <c r="I870" s="1" t="str">
        <f t="shared" si="872"/>
        <v/>
      </c>
      <c r="J870" s="1" t="str">
        <f t="shared" si="3"/>
        <v/>
      </c>
      <c r="L870" s="1" t="s">
        <v>3093</v>
      </c>
      <c r="M870" s="1" t="str">
        <f t="shared" si="4"/>
        <v>32, 32, GEODUDE</v>
      </c>
    </row>
    <row r="871" ht="12.75" customHeight="1">
      <c r="A871" s="3" t="s">
        <v>669</v>
      </c>
      <c r="B871" s="3" t="str">
        <f t="shared" si="1"/>
        <v>34, 34, GEODUDE</v>
      </c>
      <c r="C871" s="1" t="str">
        <f t="array" ref="C871">IF(B870="NEW ROUTE",TEXTSPLIT(B871,","),"")</f>
        <v/>
      </c>
      <c r="H871" s="1" t="str">
        <f t="shared" ref="H871:I871" si="873">IF(C871&lt;&gt;"",DEC2HEX(C871,2),"")</f>
        <v/>
      </c>
      <c r="I871" s="1" t="str">
        <f t="shared" si="873"/>
        <v/>
      </c>
      <c r="J871" s="1" t="str">
        <f t="shared" si="3"/>
        <v/>
      </c>
      <c r="L871" s="1" t="s">
        <v>669</v>
      </c>
      <c r="M871" s="1" t="str">
        <f t="shared" si="4"/>
        <v>34, 34, GEODUDE</v>
      </c>
    </row>
    <row r="872" ht="12.75" customHeight="1">
      <c r="A872" s="3" t="s">
        <v>3095</v>
      </c>
      <c r="B872" s="3" t="str">
        <f t="shared" si="1"/>
        <v>34, 34, MACHOP</v>
      </c>
      <c r="C872" s="1" t="str">
        <f t="array" ref="C872">IF(B871="NEW ROUTE",TEXTSPLIT(B872,","),"")</f>
        <v/>
      </c>
      <c r="H872" s="1" t="str">
        <f t="shared" ref="H872:I872" si="874">IF(C872&lt;&gt;"",DEC2HEX(C872,2),"")</f>
        <v/>
      </c>
      <c r="I872" s="1" t="str">
        <f t="shared" si="874"/>
        <v/>
      </c>
      <c r="J872" s="1" t="str">
        <f t="shared" si="3"/>
        <v/>
      </c>
      <c r="L872" s="1" t="s">
        <v>3095</v>
      </c>
      <c r="M872" s="1" t="str">
        <f t="shared" si="4"/>
        <v>34, 34, MACHOP</v>
      </c>
    </row>
    <row r="873" ht="12.75" customHeight="1">
      <c r="A873" s="3" t="s">
        <v>3091</v>
      </c>
      <c r="B873" s="3" t="str">
        <f t="shared" si="1"/>
        <v>36, 36, MACHOP</v>
      </c>
      <c r="C873" s="1" t="str">
        <f t="array" ref="C873">IF(B872="NEW ROUTE",TEXTSPLIT(B873,","),"")</f>
        <v/>
      </c>
      <c r="H873" s="1" t="str">
        <f t="shared" ref="H873:I873" si="875">IF(C873&lt;&gt;"",DEC2HEX(C873,2),"")</f>
        <v/>
      </c>
      <c r="I873" s="1" t="str">
        <f t="shared" si="875"/>
        <v/>
      </c>
      <c r="J873" s="1" t="str">
        <f t="shared" si="3"/>
        <v/>
      </c>
      <c r="L873" s="1" t="s">
        <v>3091</v>
      </c>
      <c r="M873" s="1" t="str">
        <f t="shared" si="4"/>
        <v>36, 36, MACHOP</v>
      </c>
    </row>
    <row r="874" ht="12.75" customHeight="1">
      <c r="A874" s="3" t="s">
        <v>2807</v>
      </c>
      <c r="B874" s="3" t="str">
        <f t="shared" si="1"/>
        <v>0.05</v>
      </c>
      <c r="C874" s="1" t="str">
        <f t="array" ref="C874">IF(B873="NEW ROUTE",TEXTSPLIT(B874,","),"")</f>
        <v/>
      </c>
      <c r="H874" s="1" t="str">
        <f t="shared" ref="H874:I874" si="876">IF(C874&lt;&gt;"",DEC2HEX(C874,2),"")</f>
        <v/>
      </c>
      <c r="I874" s="1" t="str">
        <f t="shared" si="876"/>
        <v/>
      </c>
      <c r="J874" s="1" t="str">
        <f t="shared" si="3"/>
        <v/>
      </c>
      <c r="L874" s="1" t="s">
        <v>2807</v>
      </c>
      <c r="M874" s="1" t="str">
        <f t="shared" si="4"/>
        <v>0.05</v>
      </c>
    </row>
    <row r="875" ht="12.75" customHeight="1">
      <c r="A875" s="3" t="s">
        <v>692</v>
      </c>
      <c r="B875" s="3" t="str">
        <f t="shared" si="1"/>
        <v>38, 38, GEODUDE</v>
      </c>
      <c r="C875" s="1" t="str">
        <f t="array" ref="C875">IF(B874="NEW ROUTE",TEXTSPLIT(B875,","),"")</f>
        <v/>
      </c>
      <c r="H875" s="1" t="str">
        <f t="shared" ref="H875:I875" si="877">IF(C875&lt;&gt;"",DEC2HEX(C875,2),"")</f>
        <v/>
      </c>
      <c r="I875" s="1" t="str">
        <f t="shared" si="877"/>
        <v/>
      </c>
      <c r="J875" s="1" t="str">
        <f t="shared" si="3"/>
        <v/>
      </c>
      <c r="L875" s="1" t="s">
        <v>692</v>
      </c>
      <c r="M875" s="1" t="str">
        <f t="shared" si="4"/>
        <v>38, 38, GEODUDE</v>
      </c>
    </row>
    <row r="876" ht="12.75" customHeight="1">
      <c r="A876" s="3" t="s">
        <v>3097</v>
      </c>
      <c r="B876" s="3" t="str">
        <f t="shared" si="1"/>
        <v>40, 40, MACHOKE</v>
      </c>
      <c r="C876" s="1" t="str">
        <f t="array" ref="C876">IF(B875="NEW ROUTE",TEXTSPLIT(B876,","),"")</f>
        <v/>
      </c>
      <c r="H876" s="1" t="str">
        <f t="shared" ref="H876:I876" si="878">IF(C876&lt;&gt;"",DEC2HEX(C876,2),"")</f>
        <v/>
      </c>
      <c r="I876" s="1" t="str">
        <f t="shared" si="878"/>
        <v/>
      </c>
      <c r="J876" s="1" t="str">
        <f t="shared" si="3"/>
        <v/>
      </c>
      <c r="L876" s="1" t="s">
        <v>3097</v>
      </c>
      <c r="M876" s="1" t="str">
        <f t="shared" si="4"/>
        <v>40, 40, MACHOKE</v>
      </c>
    </row>
    <row r="877" ht="12.75" customHeight="1">
      <c r="A877" s="3" t="s">
        <v>2810</v>
      </c>
      <c r="B877" s="3" t="str">
        <f t="shared" si="1"/>
        <v>0.04</v>
      </c>
      <c r="C877" s="1" t="str">
        <f t="array" ref="C877">IF(B876="NEW ROUTE",TEXTSPLIT(B877,","),"")</f>
        <v/>
      </c>
      <c r="H877" s="1" t="str">
        <f t="shared" ref="H877:I877" si="879">IF(C877&lt;&gt;"",DEC2HEX(C877,2),"")</f>
        <v/>
      </c>
      <c r="I877" s="1" t="str">
        <f t="shared" si="879"/>
        <v/>
      </c>
      <c r="J877" s="1" t="str">
        <f t="shared" si="3"/>
        <v/>
      </c>
      <c r="L877" s="1" t="s">
        <v>2810</v>
      </c>
      <c r="M877" s="1" t="str">
        <f t="shared" si="4"/>
        <v>0.04</v>
      </c>
    </row>
    <row r="878" ht="12.75" customHeight="1">
      <c r="A878" s="3" t="s">
        <v>701</v>
      </c>
      <c r="B878" s="3" t="str">
        <f t="shared" si="1"/>
        <v>40, 40, GEODUDE</v>
      </c>
      <c r="C878" s="1" t="str">
        <f t="array" ref="C878">IF(B877="NEW ROUTE",TEXTSPLIT(B878,","),"")</f>
        <v/>
      </c>
      <c r="H878" s="1" t="str">
        <f t="shared" ref="H878:I878" si="880">IF(C878&lt;&gt;"",DEC2HEX(C878,2),"")</f>
        <v/>
      </c>
      <c r="I878" s="1" t="str">
        <f t="shared" si="880"/>
        <v/>
      </c>
      <c r="J878" s="1" t="str">
        <f t="shared" si="3"/>
        <v/>
      </c>
      <c r="L878" s="1" t="s">
        <v>701</v>
      </c>
      <c r="M878" s="1" t="str">
        <f t="shared" si="4"/>
        <v>40, 40, GEODUDE</v>
      </c>
    </row>
    <row r="879" ht="12.75" customHeight="1">
      <c r="A879" s="3" t="s">
        <v>3101</v>
      </c>
      <c r="B879" s="3" t="str">
        <f t="shared" si="1"/>
        <v>42, 42, MACHOKE</v>
      </c>
      <c r="C879" s="1" t="str">
        <f t="array" ref="C879">IF(B878="NEW ROUTE",TEXTSPLIT(B879,","),"")</f>
        <v/>
      </c>
      <c r="H879" s="1" t="str">
        <f t="shared" ref="H879:I879" si="881">IF(C879&lt;&gt;"",DEC2HEX(C879,2),"")</f>
        <v/>
      </c>
      <c r="I879" s="1" t="str">
        <f t="shared" si="881"/>
        <v/>
      </c>
      <c r="J879" s="1" t="str">
        <f t="shared" si="3"/>
        <v/>
      </c>
      <c r="L879" s="1" t="s">
        <v>3101</v>
      </c>
      <c r="M879" s="1" t="str">
        <f t="shared" si="4"/>
        <v>42, 42, MACHOKE</v>
      </c>
    </row>
    <row r="880" ht="12.75" customHeight="1">
      <c r="A880" s="3" t="s">
        <v>2813</v>
      </c>
      <c r="B880" s="3" t="str">
        <f t="shared" si="1"/>
        <v>0.01</v>
      </c>
      <c r="C880" s="1" t="str">
        <f t="array" ref="C880">IF(B879="NEW ROUTE",TEXTSPLIT(B880,","),"")</f>
        <v/>
      </c>
      <c r="H880" s="1" t="str">
        <f t="shared" ref="H880:I880" si="882">IF(C880&lt;&gt;"",DEC2HEX(C880,2),"")</f>
        <v/>
      </c>
      <c r="I880" s="1" t="str">
        <f t="shared" si="882"/>
        <v/>
      </c>
      <c r="J880" s="1" t="str">
        <f t="shared" si="3"/>
        <v/>
      </c>
      <c r="L880" s="1" t="s">
        <v>2813</v>
      </c>
      <c r="M880" s="1" t="str">
        <f t="shared" si="4"/>
        <v>0.01</v>
      </c>
    </row>
    <row r="881" ht="12.75" customHeight="1">
      <c r="A881" s="3" t="s">
        <v>701</v>
      </c>
      <c r="B881" s="3" t="str">
        <f t="shared" si="1"/>
        <v>40, 40, GEODUDE</v>
      </c>
      <c r="C881" s="1" t="str">
        <f t="array" ref="C881">IF(B880="NEW ROUTE",TEXTSPLIT(B881,","),"")</f>
        <v/>
      </c>
      <c r="H881" s="1" t="str">
        <f t="shared" ref="H881:I881" si="883">IF(C881&lt;&gt;"",DEC2HEX(C881,2),"")</f>
        <v/>
      </c>
      <c r="I881" s="1" t="str">
        <f t="shared" si="883"/>
        <v/>
      </c>
      <c r="J881" s="1" t="str">
        <f t="shared" si="3"/>
        <v/>
      </c>
      <c r="L881" s="1" t="s">
        <v>701</v>
      </c>
      <c r="M881" s="1" t="str">
        <f t="shared" si="4"/>
        <v>40, 40, GEODUDE</v>
      </c>
    </row>
    <row r="882" ht="12.75" customHeight="1">
      <c r="A882" s="3" t="s">
        <v>3101</v>
      </c>
      <c r="B882" s="3" t="str">
        <f t="shared" si="1"/>
        <v>42, 42, MACHOKE</v>
      </c>
      <c r="C882" s="1" t="str">
        <f t="array" ref="C882">IF(B881="NEW ROUTE",TEXTSPLIT(B882,","),"")</f>
        <v/>
      </c>
      <c r="H882" s="1" t="str">
        <f t="shared" ref="H882:I882" si="884">IF(C882&lt;&gt;"",DEC2HEX(C882,2),"")</f>
        <v/>
      </c>
      <c r="I882" s="1" t="str">
        <f t="shared" si="884"/>
        <v/>
      </c>
      <c r="J882" s="1" t="str">
        <f t="shared" si="3"/>
        <v/>
      </c>
      <c r="L882" s="1" t="s">
        <v>3101</v>
      </c>
      <c r="M882" s="1" t="str">
        <f t="shared" si="4"/>
        <v>42, 42, MACHOKE</v>
      </c>
    </row>
    <row r="883" ht="12.75" customHeight="1">
      <c r="A883" s="3" t="s">
        <v>3102</v>
      </c>
      <c r="B883" s="3" t="str">
        <f t="shared" si="1"/>
        <v>50, 25, 35, GEODUDE</v>
      </c>
      <c r="C883" s="1" t="str">
        <f t="array" ref="C883">IF(B882="NEW ROUTE",TEXTSPLIT(B883,","),"")</f>
        <v/>
      </c>
      <c r="H883" s="1" t="str">
        <f t="shared" ref="H883:I883" si="885">IF(C883&lt;&gt;"",DEC2HEX(C883,2),"")</f>
        <v/>
      </c>
      <c r="I883" s="1" t="str">
        <f t="shared" si="885"/>
        <v/>
      </c>
      <c r="J883" s="1" t="str">
        <f t="shared" si="3"/>
        <v/>
      </c>
      <c r="L883" s="1" t="s">
        <v>3102</v>
      </c>
      <c r="M883" s="1" t="str">
        <f t="shared" si="4"/>
        <v>50, 25, 35, GEODUDE</v>
      </c>
    </row>
    <row r="884" ht="12.75" customHeight="1">
      <c r="A884" s="3" t="s">
        <v>3103</v>
      </c>
      <c r="B884" s="3" t="str">
        <f t="shared" si="1"/>
        <v>30, 45, GRAVELER</v>
      </c>
      <c r="C884" s="1" t="str">
        <f t="array" ref="C884">IF(B883="NEW ROUTE",TEXTSPLIT(B884,","),"")</f>
        <v/>
      </c>
      <c r="H884" s="1" t="str">
        <f t="shared" ref="H884:I884" si="886">IF(C884&lt;&gt;"",DEC2HEX(C884,2),"")</f>
        <v/>
      </c>
      <c r="I884" s="1" t="str">
        <f t="shared" si="886"/>
        <v/>
      </c>
      <c r="J884" s="1" t="str">
        <f t="shared" si="3"/>
        <v/>
      </c>
      <c r="L884" s="1" t="s">
        <v>3103</v>
      </c>
      <c r="M884" s="1" t="str">
        <f t="shared" si="4"/>
        <v>30, 45, GRAVELER</v>
      </c>
    </row>
    <row r="885" ht="12.75" customHeight="1">
      <c r="A885" s="3" t="s">
        <v>3104</v>
      </c>
      <c r="B885" s="3" t="str">
        <f t="shared" si="1"/>
        <v>35, 50, GRAVELER</v>
      </c>
      <c r="C885" s="1" t="str">
        <f t="array" ref="C885">IF(B884="NEW ROUTE",TEXTSPLIT(B885,","),"")</f>
        <v/>
      </c>
      <c r="H885" s="1" t="str">
        <f t="shared" ref="H885:I885" si="887">IF(C885&lt;&gt;"",DEC2HEX(C885,2),"")</f>
        <v/>
      </c>
      <c r="I885" s="1" t="str">
        <f t="shared" si="887"/>
        <v/>
      </c>
      <c r="J885" s="1" t="str">
        <f t="shared" si="3"/>
        <v/>
      </c>
      <c r="L885" s="1" t="s">
        <v>3104</v>
      </c>
      <c r="M885" s="1" t="str">
        <f t="shared" si="4"/>
        <v>35, 50, GRAVELER</v>
      </c>
    </row>
    <row r="886" ht="12.75" customHeight="1">
      <c r="A886" s="3" t="s">
        <v>3105</v>
      </c>
      <c r="B886" s="3" t="str">
        <f t="shared" si="1"/>
        <v>30, 40, GEODUDE</v>
      </c>
      <c r="C886" s="1" t="str">
        <f t="array" ref="C886">IF(B885="NEW ROUTE",TEXTSPLIT(B886,","),"")</f>
        <v/>
      </c>
      <c r="H886" s="1" t="str">
        <f t="shared" ref="H886:I886" si="888">IF(C886&lt;&gt;"",DEC2HEX(C886,2),"")</f>
        <v/>
      </c>
      <c r="I886" s="1" t="str">
        <f t="shared" si="888"/>
        <v/>
      </c>
      <c r="J886" s="1" t="str">
        <f t="shared" si="3"/>
        <v/>
      </c>
      <c r="L886" s="1" t="s">
        <v>3105</v>
      </c>
      <c r="M886" s="1" t="str">
        <f t="shared" si="4"/>
        <v>30, 40, GEODUDE</v>
      </c>
    </row>
    <row r="887" ht="12.75" customHeight="1">
      <c r="A887" s="3" t="s">
        <v>3106</v>
      </c>
      <c r="B887" s="3" t="str">
        <f t="shared" si="1"/>
        <v>30, 40, GEODUDE , &lt;null&gt;</v>
      </c>
      <c r="C887" s="1" t="str">
        <f t="array" ref="C887">IF(B886="NEW ROUTE",TEXTSPLIT(B887,","),"")</f>
        <v/>
      </c>
      <c r="H887" s="1" t="str">
        <f t="shared" ref="H887:I887" si="889">IF(C887&lt;&gt;"",DEC2HEX(C887,2),"")</f>
        <v/>
      </c>
      <c r="I887" s="1" t="str">
        <f t="shared" si="889"/>
        <v/>
      </c>
      <c r="J887" s="1" t="str">
        <f t="shared" si="3"/>
        <v/>
      </c>
      <c r="L887" s="1" t="s">
        <v>3106</v>
      </c>
      <c r="M887" s="1" t="str">
        <f t="shared" si="4"/>
        <v>30, 40, GEODUDE , &lt;null&gt;</v>
      </c>
    </row>
    <row r="888" ht="12.75" customHeight="1">
      <c r="A888" s="3" t="s">
        <v>2539</v>
      </c>
      <c r="B888" s="3" t="str">
        <f t="shared" si="1"/>
        <v>NEW ROUTE</v>
      </c>
      <c r="C888" s="1" t="str">
        <f t="array" ref="C888">IF(B887="NEW ROUTE",TEXTSPLIT(B888,","),"")</f>
        <v/>
      </c>
      <c r="H888" s="1" t="str">
        <f t="shared" ref="H888:I888" si="890">IF(C888&lt;&gt;"",DEC2HEX(C888,2),"")</f>
        <v/>
      </c>
      <c r="I888" s="1" t="str">
        <f t="shared" si="890"/>
        <v/>
      </c>
      <c r="J888" s="1" t="str">
        <f t="shared" si="3"/>
        <v/>
      </c>
      <c r="L888" s="1" t="s">
        <v>2539</v>
      </c>
      <c r="M888" s="1" t="str">
        <f t="shared" si="4"/>
        <v>NEW ROUTE</v>
      </c>
    </row>
    <row r="889" ht="12.75" customHeight="1">
      <c r="A889" s="3" t="s">
        <v>3107</v>
      </c>
      <c r="B889" s="3" t="str">
        <f t="shared" si="1"/>
        <v>1, 104, 0,</v>
      </c>
      <c r="C889" s="1" t="str">
        <f t="array" ref="C889">IF(B888="NEW ROUTE",TEXTSPLIT(B889,","),"")</f>
        <v>#NAME?</v>
      </c>
      <c r="H889" s="1" t="str">
        <f t="shared" ref="H889:I889" si="891">IF(C889&lt;&gt;"",DEC2HEX(C889,2),"")</f>
        <v>#NAME?</v>
      </c>
      <c r="I889" s="1" t="str">
        <f t="shared" si="891"/>
        <v/>
      </c>
      <c r="J889" s="1" t="str">
        <f t="shared" si="3"/>
        <v>#NAME?</v>
      </c>
      <c r="L889" s="1" t="s">
        <v>3107</v>
      </c>
      <c r="M889" s="1" t="str">
        <f t="shared" si="4"/>
        <v>#NAME?</v>
      </c>
    </row>
    <row r="890" ht="12.75" customHeight="1">
      <c r="A890" s="3" t="s">
        <v>2817</v>
      </c>
      <c r="B890" s="3" t="str">
        <f t="shared" si="1"/>
        <v>20%</v>
      </c>
      <c r="C890" s="1" t="str">
        <f t="array" ref="C890">IF(B889="NEW ROUTE",TEXTSPLIT(B890,","),"")</f>
        <v/>
      </c>
      <c r="H890" s="1" t="str">
        <f t="shared" ref="H890:I890" si="892">IF(C890&lt;&gt;"",DEC2HEX(C890,2),"")</f>
        <v/>
      </c>
      <c r="I890" s="1" t="str">
        <f t="shared" si="892"/>
        <v/>
      </c>
      <c r="J890" s="1" t="str">
        <f t="shared" si="3"/>
        <v/>
      </c>
      <c r="L890" s="1" t="s">
        <v>2799</v>
      </c>
      <c r="M890" s="1" t="str">
        <f t="shared" si="4"/>
        <v>20%</v>
      </c>
    </row>
    <row r="891" ht="12.75" customHeight="1">
      <c r="A891" s="3" t="s">
        <v>692</v>
      </c>
      <c r="B891" s="3" t="str">
        <f t="shared" si="1"/>
        <v>38, 38, GEODUDE</v>
      </c>
      <c r="C891" s="1" t="str">
        <f t="array" ref="C891">IF(B890="NEW ROUTE",TEXTSPLIT(B891,","),"")</f>
        <v/>
      </c>
      <c r="H891" s="1" t="str">
        <f t="shared" ref="H891:I891" si="893">IF(C891&lt;&gt;"",DEC2HEX(C891,2),"")</f>
        <v/>
      </c>
      <c r="I891" s="1" t="str">
        <f t="shared" si="893"/>
        <v/>
      </c>
      <c r="J891" s="1" t="str">
        <f t="shared" si="3"/>
        <v/>
      </c>
      <c r="L891" s="1" t="s">
        <v>692</v>
      </c>
      <c r="M891" s="1" t="str">
        <f t="shared" si="4"/>
        <v>38, 38, GEODUDE</v>
      </c>
    </row>
    <row r="892" ht="12.75" customHeight="1">
      <c r="A892" s="3" t="s">
        <v>680</v>
      </c>
      <c r="B892" s="3" t="str">
        <f t="shared" si="1"/>
        <v>36, 36, GEODUDE</v>
      </c>
      <c r="C892" s="1" t="str">
        <f t="array" ref="C892">IF(B891="NEW ROUTE",TEXTSPLIT(B892,","),"")</f>
        <v/>
      </c>
      <c r="H892" s="1" t="str">
        <f t="shared" ref="H892:I892" si="894">IF(C892&lt;&gt;"",DEC2HEX(C892,2),"")</f>
        <v/>
      </c>
      <c r="I892" s="1" t="str">
        <f t="shared" si="894"/>
        <v/>
      </c>
      <c r="J892" s="1" t="str">
        <f t="shared" si="3"/>
        <v/>
      </c>
      <c r="L892" s="1" t="s">
        <v>680</v>
      </c>
      <c r="M892" s="1" t="str">
        <f t="shared" si="4"/>
        <v>36, 36, GEODUDE</v>
      </c>
    </row>
    <row r="893" ht="12.75" customHeight="1">
      <c r="A893" s="3" t="s">
        <v>2802</v>
      </c>
      <c r="B893" s="3" t="str">
        <f t="shared" si="1"/>
        <v>0.1</v>
      </c>
      <c r="C893" s="1" t="str">
        <f t="array" ref="C893">IF(B892="NEW ROUTE",TEXTSPLIT(B893,","),"")</f>
        <v/>
      </c>
      <c r="H893" s="1" t="str">
        <f t="shared" ref="H893:I893" si="895">IF(C893&lt;&gt;"",DEC2HEX(C893,2),"")</f>
        <v/>
      </c>
      <c r="I893" s="1" t="str">
        <f t="shared" si="895"/>
        <v/>
      </c>
      <c r="J893" s="1" t="str">
        <f t="shared" si="3"/>
        <v/>
      </c>
      <c r="L893" s="1" t="s">
        <v>2802</v>
      </c>
      <c r="M893" s="1" t="str">
        <f t="shared" si="4"/>
        <v>0.1</v>
      </c>
    </row>
    <row r="894" ht="12.75" customHeight="1">
      <c r="A894" s="3" t="s">
        <v>669</v>
      </c>
      <c r="B894" s="3" t="str">
        <f t="shared" si="1"/>
        <v>34, 34, GEODUDE</v>
      </c>
      <c r="C894" s="1" t="str">
        <f t="array" ref="C894">IF(B893="NEW ROUTE",TEXTSPLIT(B894,","),"")</f>
        <v/>
      </c>
      <c r="H894" s="1" t="str">
        <f t="shared" ref="H894:I894" si="896">IF(C894&lt;&gt;"",DEC2HEX(C894,2),"")</f>
        <v/>
      </c>
      <c r="I894" s="1" t="str">
        <f t="shared" si="896"/>
        <v/>
      </c>
      <c r="J894" s="1" t="str">
        <f t="shared" si="3"/>
        <v/>
      </c>
      <c r="L894" s="1" t="s">
        <v>669</v>
      </c>
      <c r="M894" s="1" t="str">
        <f t="shared" si="4"/>
        <v>34, 34, GEODUDE</v>
      </c>
    </row>
    <row r="895" ht="12.75" customHeight="1">
      <c r="A895" s="3" t="s">
        <v>701</v>
      </c>
      <c r="B895" s="3" t="str">
        <f t="shared" si="1"/>
        <v>40, 40, GEODUDE</v>
      </c>
      <c r="C895" s="1" t="str">
        <f t="array" ref="C895">IF(B894="NEW ROUTE",TEXTSPLIT(B895,","),"")</f>
        <v/>
      </c>
      <c r="H895" s="1" t="str">
        <f t="shared" ref="H895:I895" si="897">IF(C895&lt;&gt;"",DEC2HEX(C895,2),"")</f>
        <v/>
      </c>
      <c r="I895" s="1" t="str">
        <f t="shared" si="897"/>
        <v/>
      </c>
      <c r="J895" s="1" t="str">
        <f t="shared" si="3"/>
        <v/>
      </c>
      <c r="L895" s="1" t="s">
        <v>701</v>
      </c>
      <c r="M895" s="1" t="str">
        <f t="shared" si="4"/>
        <v>40, 40, GEODUDE</v>
      </c>
    </row>
    <row r="896" ht="12.75" customHeight="1">
      <c r="A896" s="3" t="s">
        <v>3108</v>
      </c>
      <c r="B896" s="3" t="str">
        <f t="shared" si="1"/>
        <v>24, 24, SLUGMA</v>
      </c>
      <c r="C896" s="1" t="str">
        <f t="array" ref="C896">IF(B895="NEW ROUTE",TEXTSPLIT(B896,","),"")</f>
        <v/>
      </c>
      <c r="H896" s="1" t="str">
        <f t="shared" ref="H896:I896" si="898">IF(C896&lt;&gt;"",DEC2HEX(C896,2),"")</f>
        <v/>
      </c>
      <c r="I896" s="1" t="str">
        <f t="shared" si="898"/>
        <v/>
      </c>
      <c r="J896" s="1" t="str">
        <f t="shared" si="3"/>
        <v/>
      </c>
      <c r="L896" s="1" t="s">
        <v>3108</v>
      </c>
      <c r="M896" s="1" t="str">
        <f t="shared" si="4"/>
        <v>24, 24, SLUGMA</v>
      </c>
    </row>
    <row r="897" ht="12.75" customHeight="1">
      <c r="A897" s="3" t="s">
        <v>707</v>
      </c>
      <c r="B897" s="3" t="str">
        <f t="shared" si="1"/>
        <v>26, 26, SLUGMA</v>
      </c>
      <c r="C897" s="1" t="str">
        <f t="array" ref="C897">IF(B896="NEW ROUTE",TEXTSPLIT(B897,","),"")</f>
        <v/>
      </c>
      <c r="H897" s="1" t="str">
        <f t="shared" ref="H897:I897" si="899">IF(C897&lt;&gt;"",DEC2HEX(C897,2),"")</f>
        <v/>
      </c>
      <c r="I897" s="1" t="str">
        <f t="shared" si="899"/>
        <v/>
      </c>
      <c r="J897" s="1" t="str">
        <f t="shared" si="3"/>
        <v/>
      </c>
      <c r="L897" s="1" t="s">
        <v>707</v>
      </c>
      <c r="M897" s="1" t="str">
        <f t="shared" si="4"/>
        <v>26, 26, SLUGMA</v>
      </c>
    </row>
    <row r="898" ht="12.75" customHeight="1">
      <c r="A898" s="3" t="s">
        <v>2807</v>
      </c>
      <c r="B898" s="3" t="str">
        <f t="shared" si="1"/>
        <v>0.05</v>
      </c>
      <c r="C898" s="1" t="str">
        <f t="array" ref="C898">IF(B897="NEW ROUTE",TEXTSPLIT(B898,","),"")</f>
        <v/>
      </c>
      <c r="H898" s="1" t="str">
        <f t="shared" ref="H898:I898" si="900">IF(C898&lt;&gt;"",DEC2HEX(C898,2),"")</f>
        <v/>
      </c>
      <c r="I898" s="1" t="str">
        <f t="shared" si="900"/>
        <v/>
      </c>
      <c r="J898" s="1" t="str">
        <f t="shared" si="3"/>
        <v/>
      </c>
      <c r="L898" s="1" t="s">
        <v>2807</v>
      </c>
      <c r="M898" s="1" t="str">
        <f t="shared" si="4"/>
        <v>0.05</v>
      </c>
    </row>
    <row r="899" ht="12.75" customHeight="1">
      <c r="A899" s="3" t="s">
        <v>3109</v>
      </c>
      <c r="B899" s="3" t="str">
        <f t="shared" si="1"/>
        <v>42, 42, GEODUDE</v>
      </c>
      <c r="C899" s="1" t="str">
        <f t="array" ref="C899">IF(B898="NEW ROUTE",TEXTSPLIT(B899,","),"")</f>
        <v/>
      </c>
      <c r="H899" s="1" t="str">
        <f t="shared" ref="H899:I899" si="901">IF(C899&lt;&gt;"",DEC2HEX(C899,2),"")</f>
        <v/>
      </c>
      <c r="I899" s="1" t="str">
        <f t="shared" si="901"/>
        <v/>
      </c>
      <c r="J899" s="1" t="str">
        <f t="shared" si="3"/>
        <v/>
      </c>
      <c r="L899" s="1" t="s">
        <v>3109</v>
      </c>
      <c r="M899" s="1" t="str">
        <f t="shared" si="4"/>
        <v>42, 42, GEODUDE</v>
      </c>
    </row>
    <row r="900" ht="12.75" customHeight="1">
      <c r="A900" s="3" t="s">
        <v>3110</v>
      </c>
      <c r="B900" s="3" t="str">
        <f t="shared" si="1"/>
        <v>28, 28, SLUGMA</v>
      </c>
      <c r="C900" s="1" t="str">
        <f t="array" ref="C900">IF(B899="NEW ROUTE",TEXTSPLIT(B900,","),"")</f>
        <v/>
      </c>
      <c r="H900" s="1" t="str">
        <f t="shared" ref="H900:I900" si="902">IF(C900&lt;&gt;"",DEC2HEX(C900,2),"")</f>
        <v/>
      </c>
      <c r="I900" s="1" t="str">
        <f t="shared" si="902"/>
        <v/>
      </c>
      <c r="J900" s="1" t="str">
        <f t="shared" si="3"/>
        <v/>
      </c>
      <c r="L900" s="1" t="s">
        <v>3110</v>
      </c>
      <c r="M900" s="1" t="str">
        <f t="shared" si="4"/>
        <v>28, 28, SLUGMA</v>
      </c>
    </row>
    <row r="901" ht="12.75" customHeight="1">
      <c r="A901" s="3" t="s">
        <v>2810</v>
      </c>
      <c r="B901" s="3" t="str">
        <f t="shared" si="1"/>
        <v>0.04</v>
      </c>
      <c r="C901" s="1" t="str">
        <f t="array" ref="C901">IF(B900="NEW ROUTE",TEXTSPLIT(B901,","),"")</f>
        <v/>
      </c>
      <c r="H901" s="1" t="str">
        <f t="shared" ref="H901:I901" si="903">IF(C901&lt;&gt;"",DEC2HEX(C901,2),"")</f>
        <v/>
      </c>
      <c r="I901" s="1" t="str">
        <f t="shared" si="903"/>
        <v/>
      </c>
      <c r="J901" s="1" t="str">
        <f t="shared" si="3"/>
        <v/>
      </c>
      <c r="L901" s="1" t="s">
        <v>2810</v>
      </c>
      <c r="M901" s="1" t="str">
        <f t="shared" si="4"/>
        <v>0.04</v>
      </c>
    </row>
    <row r="902" ht="12.75" customHeight="1">
      <c r="A902" s="3" t="s">
        <v>3109</v>
      </c>
      <c r="B902" s="3" t="str">
        <f t="shared" si="1"/>
        <v>42, 42, GEODUDE</v>
      </c>
      <c r="C902" s="1" t="str">
        <f t="array" ref="C902">IF(B901="NEW ROUTE",TEXTSPLIT(B902,","),"")</f>
        <v/>
      </c>
      <c r="H902" s="1" t="str">
        <f t="shared" ref="H902:I902" si="904">IF(C902&lt;&gt;"",DEC2HEX(C902,2),"")</f>
        <v/>
      </c>
      <c r="I902" s="1" t="str">
        <f t="shared" si="904"/>
        <v/>
      </c>
      <c r="J902" s="1" t="str">
        <f t="shared" si="3"/>
        <v/>
      </c>
      <c r="L902" s="1" t="s">
        <v>3109</v>
      </c>
      <c r="M902" s="1" t="str">
        <f t="shared" si="4"/>
        <v>42, 42, GEODUDE</v>
      </c>
    </row>
    <row r="903" ht="12.75" customHeight="1">
      <c r="A903" s="3" t="s">
        <v>3111</v>
      </c>
      <c r="B903" s="3" t="str">
        <f t="shared" si="1"/>
        <v>30, 30, SLUGMA</v>
      </c>
      <c r="C903" s="1" t="str">
        <f t="array" ref="C903">IF(B902="NEW ROUTE",TEXTSPLIT(B903,","),"")</f>
        <v/>
      </c>
      <c r="H903" s="1" t="str">
        <f t="shared" ref="H903:I903" si="905">IF(C903&lt;&gt;"",DEC2HEX(C903,2),"")</f>
        <v/>
      </c>
      <c r="I903" s="1" t="str">
        <f t="shared" si="905"/>
        <v/>
      </c>
      <c r="J903" s="1" t="str">
        <f t="shared" si="3"/>
        <v/>
      </c>
      <c r="L903" s="1" t="s">
        <v>3111</v>
      </c>
      <c r="M903" s="1" t="str">
        <f t="shared" si="4"/>
        <v>30, 30, SLUGMA</v>
      </c>
    </row>
    <row r="904" ht="12.75" customHeight="1">
      <c r="A904" s="3" t="s">
        <v>2813</v>
      </c>
      <c r="B904" s="3" t="str">
        <f t="shared" si="1"/>
        <v>0.01</v>
      </c>
      <c r="C904" s="1" t="str">
        <f t="array" ref="C904">IF(B903="NEW ROUTE",TEXTSPLIT(B904,","),"")</f>
        <v/>
      </c>
      <c r="H904" s="1" t="str">
        <f t="shared" ref="H904:I904" si="906">IF(C904&lt;&gt;"",DEC2HEX(C904,2),"")</f>
        <v/>
      </c>
      <c r="I904" s="1" t="str">
        <f t="shared" si="906"/>
        <v/>
      </c>
      <c r="J904" s="1" t="str">
        <f t="shared" si="3"/>
        <v/>
      </c>
      <c r="L904" s="1" t="s">
        <v>2813</v>
      </c>
      <c r="M904" s="1" t="str">
        <f t="shared" si="4"/>
        <v>0.01</v>
      </c>
    </row>
    <row r="905" ht="12.75" customHeight="1">
      <c r="A905" s="3" t="s">
        <v>3109</v>
      </c>
      <c r="B905" s="3" t="str">
        <f t="shared" si="1"/>
        <v>42, 42, GEODUDE</v>
      </c>
      <c r="C905" s="1" t="str">
        <f t="array" ref="C905">IF(B904="NEW ROUTE",TEXTSPLIT(B905,","),"")</f>
        <v/>
      </c>
      <c r="H905" s="1" t="str">
        <f t="shared" ref="H905:I905" si="907">IF(C905&lt;&gt;"",DEC2HEX(C905,2),"")</f>
        <v/>
      </c>
      <c r="I905" s="1" t="str">
        <f t="shared" si="907"/>
        <v/>
      </c>
      <c r="J905" s="1" t="str">
        <f t="shared" si="3"/>
        <v/>
      </c>
      <c r="L905" s="1" t="s">
        <v>3109</v>
      </c>
      <c r="M905" s="1" t="str">
        <f t="shared" si="4"/>
        <v>42, 42, GEODUDE</v>
      </c>
    </row>
    <row r="906" ht="12.75" customHeight="1">
      <c r="A906" s="3" t="s">
        <v>3111</v>
      </c>
      <c r="B906" s="3" t="str">
        <f t="shared" si="1"/>
        <v>30, 30, SLUGMA</v>
      </c>
      <c r="C906" s="1" t="str">
        <f t="array" ref="C906">IF(B905="NEW ROUTE",TEXTSPLIT(B906,","),"")</f>
        <v/>
      </c>
      <c r="H906" s="1" t="str">
        <f t="shared" ref="H906:I906" si="908">IF(C906&lt;&gt;"",DEC2HEX(C906,2),"")</f>
        <v/>
      </c>
      <c r="I906" s="1" t="str">
        <f t="shared" si="908"/>
        <v/>
      </c>
      <c r="J906" s="1" t="str">
        <f t="shared" si="3"/>
        <v/>
      </c>
      <c r="L906" s="1" t="s">
        <v>3111</v>
      </c>
      <c r="M906" s="1" t="str">
        <f t="shared" si="4"/>
        <v>30, 30, SLUGMA</v>
      </c>
    </row>
    <row r="907" ht="12.75" customHeight="1">
      <c r="A907" s="3" t="s">
        <v>3102</v>
      </c>
      <c r="B907" s="3" t="str">
        <f t="shared" si="1"/>
        <v>50, 25, 35, GEODUDE</v>
      </c>
      <c r="C907" s="1" t="str">
        <f t="array" ref="C907">IF(B906="NEW ROUTE",TEXTSPLIT(B907,","),"")</f>
        <v/>
      </c>
      <c r="H907" s="1" t="str">
        <f t="shared" ref="H907:I907" si="909">IF(C907&lt;&gt;"",DEC2HEX(C907,2),"")</f>
        <v/>
      </c>
      <c r="I907" s="1" t="str">
        <f t="shared" si="909"/>
        <v/>
      </c>
      <c r="J907" s="1" t="str">
        <f t="shared" si="3"/>
        <v/>
      </c>
      <c r="L907" s="1" t="s">
        <v>3102</v>
      </c>
      <c r="M907" s="1" t="str">
        <f t="shared" si="4"/>
        <v>50, 25, 35, GEODUDE</v>
      </c>
    </row>
    <row r="908" ht="12.75" customHeight="1">
      <c r="A908" s="3" t="s">
        <v>3103</v>
      </c>
      <c r="B908" s="3" t="str">
        <f t="shared" si="1"/>
        <v>30, 45, GRAVELER</v>
      </c>
      <c r="C908" s="1" t="str">
        <f t="array" ref="C908">IF(B907="NEW ROUTE",TEXTSPLIT(B908,","),"")</f>
        <v/>
      </c>
      <c r="H908" s="1" t="str">
        <f t="shared" ref="H908:I908" si="910">IF(C908&lt;&gt;"",DEC2HEX(C908,2),"")</f>
        <v/>
      </c>
      <c r="I908" s="1" t="str">
        <f t="shared" si="910"/>
        <v/>
      </c>
      <c r="J908" s="1" t="str">
        <f t="shared" si="3"/>
        <v/>
      </c>
      <c r="L908" s="1" t="s">
        <v>3103</v>
      </c>
      <c r="M908" s="1" t="str">
        <f t="shared" si="4"/>
        <v>30, 45, GRAVELER</v>
      </c>
    </row>
    <row r="909" ht="12.75" customHeight="1">
      <c r="A909" s="3" t="s">
        <v>3104</v>
      </c>
      <c r="B909" s="3" t="str">
        <f t="shared" si="1"/>
        <v>35, 50, GRAVELER</v>
      </c>
      <c r="C909" s="1" t="str">
        <f t="array" ref="C909">IF(B908="NEW ROUTE",TEXTSPLIT(B909,","),"")</f>
        <v/>
      </c>
      <c r="H909" s="1" t="str">
        <f t="shared" ref="H909:I909" si="911">IF(C909&lt;&gt;"",DEC2HEX(C909,2),"")</f>
        <v/>
      </c>
      <c r="I909" s="1" t="str">
        <f t="shared" si="911"/>
        <v/>
      </c>
      <c r="J909" s="1" t="str">
        <f t="shared" si="3"/>
        <v/>
      </c>
      <c r="L909" s="1" t="s">
        <v>3104</v>
      </c>
      <c r="M909" s="1" t="str">
        <f t="shared" si="4"/>
        <v>35, 50, GRAVELER</v>
      </c>
    </row>
    <row r="910" ht="12.75" customHeight="1">
      <c r="A910" s="3" t="s">
        <v>3105</v>
      </c>
      <c r="B910" s="3" t="str">
        <f t="shared" si="1"/>
        <v>30, 40, GEODUDE</v>
      </c>
      <c r="C910" s="1" t="str">
        <f t="array" ref="C910">IF(B909="NEW ROUTE",TEXTSPLIT(B910,","),"")</f>
        <v/>
      </c>
      <c r="H910" s="1" t="str">
        <f t="shared" ref="H910:I910" si="912">IF(C910&lt;&gt;"",DEC2HEX(C910,2),"")</f>
        <v/>
      </c>
      <c r="I910" s="1" t="str">
        <f t="shared" si="912"/>
        <v/>
      </c>
      <c r="J910" s="1" t="str">
        <f t="shared" si="3"/>
        <v/>
      </c>
      <c r="L910" s="1" t="s">
        <v>3105</v>
      </c>
      <c r="M910" s="1" t="str">
        <f t="shared" si="4"/>
        <v>30, 40, GEODUDE</v>
      </c>
    </row>
    <row r="911" ht="12.75" customHeight="1">
      <c r="A911" s="3" t="s">
        <v>3106</v>
      </c>
      <c r="B911" s="3" t="str">
        <f t="shared" si="1"/>
        <v>30, 40, GEODUDE , &lt;null&gt;</v>
      </c>
      <c r="C911" s="1" t="str">
        <f t="array" ref="C911">IF(B910="NEW ROUTE",TEXTSPLIT(B911,","),"")</f>
        <v/>
      </c>
      <c r="H911" s="1" t="str">
        <f t="shared" ref="H911:I911" si="913">IF(C911&lt;&gt;"",DEC2HEX(C911,2),"")</f>
        <v/>
      </c>
      <c r="I911" s="1" t="str">
        <f t="shared" si="913"/>
        <v/>
      </c>
      <c r="J911" s="1" t="str">
        <f t="shared" si="3"/>
        <v/>
      </c>
      <c r="L911" s="1" t="s">
        <v>3106</v>
      </c>
      <c r="M911" s="1" t="str">
        <f t="shared" si="4"/>
        <v>30, 40, GEODUDE , &lt;null&gt;</v>
      </c>
    </row>
    <row r="912" ht="12.75" customHeight="1">
      <c r="A912" s="3" t="s">
        <v>2539</v>
      </c>
      <c r="B912" s="3" t="str">
        <f t="shared" si="1"/>
        <v>NEW ROUTE</v>
      </c>
      <c r="C912" s="1" t="str">
        <f t="array" ref="C912">IF(B911="NEW ROUTE",TEXTSPLIT(B912,","),"")</f>
        <v/>
      </c>
      <c r="H912" s="1" t="str">
        <f t="shared" ref="H912:I912" si="914">IF(C912&lt;&gt;"",DEC2HEX(C912,2),"")</f>
        <v/>
      </c>
      <c r="I912" s="1" t="str">
        <f t="shared" si="914"/>
        <v/>
      </c>
      <c r="J912" s="1" t="str">
        <f t="shared" si="3"/>
        <v/>
      </c>
      <c r="L912" s="1" t="s">
        <v>2539</v>
      </c>
      <c r="M912" s="1" t="str">
        <f t="shared" si="4"/>
        <v>NEW ROUTE</v>
      </c>
    </row>
    <row r="913" ht="12.75" customHeight="1">
      <c r="A913" s="3" t="s">
        <v>3112</v>
      </c>
      <c r="B913" s="3" t="str">
        <f t="shared" si="1"/>
        <v>1, 105, 0,</v>
      </c>
      <c r="C913" s="1" t="str">
        <f t="array" ref="C913">IF(B912="NEW ROUTE",TEXTSPLIT(B913,","),"")</f>
        <v>#NAME?</v>
      </c>
      <c r="H913" s="1" t="str">
        <f t="shared" ref="H913:I913" si="915">IF(C913&lt;&gt;"",DEC2HEX(C913,2),"")</f>
        <v>#NAME?</v>
      </c>
      <c r="I913" s="1" t="str">
        <f t="shared" si="915"/>
        <v/>
      </c>
      <c r="J913" s="1" t="str">
        <f t="shared" si="3"/>
        <v>#NAME?</v>
      </c>
      <c r="L913" s="1" t="s">
        <v>3112</v>
      </c>
      <c r="M913" s="1" t="str">
        <f t="shared" si="4"/>
        <v>#NAME?</v>
      </c>
    </row>
    <row r="914" ht="12.75" customHeight="1">
      <c r="A914" s="3" t="s">
        <v>2817</v>
      </c>
      <c r="B914" s="3" t="str">
        <f t="shared" si="1"/>
        <v>20%</v>
      </c>
      <c r="C914" s="1" t="str">
        <f t="array" ref="C914">IF(B913="NEW ROUTE",TEXTSPLIT(B914,","),"")</f>
        <v/>
      </c>
      <c r="H914" s="1" t="str">
        <f t="shared" ref="H914:I914" si="916">IF(C914&lt;&gt;"",DEC2HEX(C914,2),"")</f>
        <v/>
      </c>
      <c r="I914" s="1" t="str">
        <f t="shared" si="916"/>
        <v/>
      </c>
      <c r="J914" s="1" t="str">
        <f t="shared" si="3"/>
        <v/>
      </c>
      <c r="L914" s="1" t="s">
        <v>2799</v>
      </c>
      <c r="M914" s="1" t="str">
        <f t="shared" si="4"/>
        <v>20%</v>
      </c>
    </row>
    <row r="915" ht="12.75" customHeight="1">
      <c r="A915" s="3" t="s">
        <v>701</v>
      </c>
      <c r="B915" s="3" t="str">
        <f t="shared" si="1"/>
        <v>40, 40, GEODUDE</v>
      </c>
      <c r="C915" s="1" t="str">
        <f t="array" ref="C915">IF(B914="NEW ROUTE",TEXTSPLIT(B915,","),"")</f>
        <v/>
      </c>
      <c r="H915" s="1" t="str">
        <f t="shared" ref="H915:I915" si="917">IF(C915&lt;&gt;"",DEC2HEX(C915,2),"")</f>
        <v/>
      </c>
      <c r="I915" s="1" t="str">
        <f t="shared" si="917"/>
        <v/>
      </c>
      <c r="J915" s="1" t="str">
        <f t="shared" si="3"/>
        <v/>
      </c>
      <c r="L915" s="1" t="s">
        <v>701</v>
      </c>
      <c r="M915" s="1" t="str">
        <f t="shared" si="4"/>
        <v>40, 40, GEODUDE</v>
      </c>
    </row>
    <row r="916" ht="12.75" customHeight="1">
      <c r="A916" s="3" t="s">
        <v>707</v>
      </c>
      <c r="B916" s="3" t="str">
        <f t="shared" si="1"/>
        <v>26, 26, SLUGMA</v>
      </c>
      <c r="C916" s="1" t="str">
        <f t="array" ref="C916">IF(B915="NEW ROUTE",TEXTSPLIT(B916,","),"")</f>
        <v/>
      </c>
      <c r="H916" s="1" t="str">
        <f t="shared" ref="H916:I916" si="918">IF(C916&lt;&gt;"",DEC2HEX(C916,2),"")</f>
        <v/>
      </c>
      <c r="I916" s="1" t="str">
        <f t="shared" si="918"/>
        <v/>
      </c>
      <c r="J916" s="1" t="str">
        <f t="shared" si="3"/>
        <v/>
      </c>
      <c r="L916" s="1" t="s">
        <v>707</v>
      </c>
      <c r="M916" s="1" t="str">
        <f t="shared" si="4"/>
        <v>26, 26, SLUGMA</v>
      </c>
    </row>
    <row r="917" ht="12.75" customHeight="1">
      <c r="A917" s="3" t="s">
        <v>2802</v>
      </c>
      <c r="B917" s="3" t="str">
        <f t="shared" si="1"/>
        <v>0.1</v>
      </c>
      <c r="C917" s="1" t="str">
        <f t="array" ref="C917">IF(B916="NEW ROUTE",TEXTSPLIT(B917,","),"")</f>
        <v/>
      </c>
      <c r="H917" s="1" t="str">
        <f t="shared" ref="H917:I917" si="919">IF(C917&lt;&gt;"",DEC2HEX(C917,2),"")</f>
        <v/>
      </c>
      <c r="I917" s="1" t="str">
        <f t="shared" si="919"/>
        <v/>
      </c>
      <c r="J917" s="1" t="str">
        <f t="shared" si="3"/>
        <v/>
      </c>
      <c r="L917" s="1" t="s">
        <v>2802</v>
      </c>
      <c r="M917" s="1" t="str">
        <f t="shared" si="4"/>
        <v>0.1</v>
      </c>
    </row>
    <row r="918" ht="12.75" customHeight="1">
      <c r="A918" s="3" t="s">
        <v>3109</v>
      </c>
      <c r="B918" s="3" t="str">
        <f t="shared" si="1"/>
        <v>42, 42, GEODUDE</v>
      </c>
      <c r="C918" s="1" t="str">
        <f t="array" ref="C918">IF(B917="NEW ROUTE",TEXTSPLIT(B918,","),"")</f>
        <v/>
      </c>
      <c r="H918" s="1" t="str">
        <f t="shared" ref="H918:I918" si="920">IF(C918&lt;&gt;"",DEC2HEX(C918,2),"")</f>
        <v/>
      </c>
      <c r="I918" s="1" t="str">
        <f t="shared" si="920"/>
        <v/>
      </c>
      <c r="J918" s="1" t="str">
        <f t="shared" si="3"/>
        <v/>
      </c>
      <c r="L918" s="1" t="s">
        <v>3109</v>
      </c>
      <c r="M918" s="1" t="str">
        <f t="shared" si="4"/>
        <v>42, 42, GEODUDE</v>
      </c>
    </row>
    <row r="919" ht="12.75" customHeight="1">
      <c r="A919" s="3" t="s">
        <v>3108</v>
      </c>
      <c r="B919" s="3" t="str">
        <f t="shared" si="1"/>
        <v>24, 24, SLUGMA</v>
      </c>
      <c r="C919" s="1" t="str">
        <f t="array" ref="C919">IF(B918="NEW ROUTE",TEXTSPLIT(B919,","),"")</f>
        <v/>
      </c>
      <c r="H919" s="1" t="str">
        <f t="shared" ref="H919:I919" si="921">IF(C919&lt;&gt;"",DEC2HEX(C919,2),"")</f>
        <v/>
      </c>
      <c r="I919" s="1" t="str">
        <f t="shared" si="921"/>
        <v/>
      </c>
      <c r="J919" s="1" t="str">
        <f t="shared" si="3"/>
        <v/>
      </c>
      <c r="L919" s="1" t="s">
        <v>3108</v>
      </c>
      <c r="M919" s="1" t="str">
        <f t="shared" si="4"/>
        <v>24, 24, SLUGMA</v>
      </c>
    </row>
    <row r="920" ht="12.75" customHeight="1">
      <c r="A920" s="3" t="s">
        <v>3110</v>
      </c>
      <c r="B920" s="3" t="str">
        <f t="shared" si="1"/>
        <v>28, 28, SLUGMA</v>
      </c>
      <c r="C920" s="1" t="str">
        <f t="array" ref="C920">IF(B919="NEW ROUTE",TEXTSPLIT(B920,","),"")</f>
        <v/>
      </c>
      <c r="H920" s="1" t="str">
        <f t="shared" ref="H920:I920" si="922">IF(C920&lt;&gt;"",DEC2HEX(C920,2),"")</f>
        <v/>
      </c>
      <c r="I920" s="1" t="str">
        <f t="shared" si="922"/>
        <v/>
      </c>
      <c r="J920" s="1" t="str">
        <f t="shared" si="3"/>
        <v/>
      </c>
      <c r="L920" s="1" t="s">
        <v>3110</v>
      </c>
      <c r="M920" s="1" t="str">
        <f t="shared" si="4"/>
        <v>28, 28, SLUGMA</v>
      </c>
    </row>
    <row r="921" ht="12.75" customHeight="1">
      <c r="A921" s="3" t="s">
        <v>3111</v>
      </c>
      <c r="B921" s="3" t="str">
        <f t="shared" si="1"/>
        <v>30, 30, SLUGMA</v>
      </c>
      <c r="C921" s="1" t="str">
        <f t="array" ref="C921">IF(B920="NEW ROUTE",TEXTSPLIT(B921,","),"")</f>
        <v/>
      </c>
      <c r="H921" s="1" t="str">
        <f t="shared" ref="H921:I921" si="923">IF(C921&lt;&gt;"",DEC2HEX(C921,2),"")</f>
        <v/>
      </c>
      <c r="I921" s="1" t="str">
        <f t="shared" si="923"/>
        <v/>
      </c>
      <c r="J921" s="1" t="str">
        <f t="shared" si="3"/>
        <v/>
      </c>
      <c r="L921" s="1" t="s">
        <v>3111</v>
      </c>
      <c r="M921" s="1" t="str">
        <f t="shared" si="4"/>
        <v>30, 30, SLUGMA</v>
      </c>
    </row>
    <row r="922" ht="12.75" customHeight="1">
      <c r="A922" s="3" t="s">
        <v>2807</v>
      </c>
      <c r="B922" s="3" t="str">
        <f t="shared" si="1"/>
        <v>0.05</v>
      </c>
      <c r="C922" s="1" t="str">
        <f t="array" ref="C922">IF(B921="NEW ROUTE",TEXTSPLIT(B922,","),"")</f>
        <v/>
      </c>
      <c r="H922" s="1" t="str">
        <f t="shared" ref="H922:I922" si="924">IF(C922&lt;&gt;"",DEC2HEX(C922,2),"")</f>
        <v/>
      </c>
      <c r="I922" s="1" t="str">
        <f t="shared" si="924"/>
        <v/>
      </c>
      <c r="J922" s="1" t="str">
        <f t="shared" si="3"/>
        <v/>
      </c>
      <c r="L922" s="1" t="s">
        <v>2807</v>
      </c>
      <c r="M922" s="1" t="str">
        <f t="shared" si="4"/>
        <v>0.05</v>
      </c>
    </row>
    <row r="923" ht="12.75" customHeight="1">
      <c r="A923" s="3" t="s">
        <v>3113</v>
      </c>
      <c r="B923" s="3" t="str">
        <f t="shared" si="1"/>
        <v>44, 44, GEODUDE</v>
      </c>
      <c r="C923" s="1" t="str">
        <f t="array" ref="C923">IF(B922="NEW ROUTE",TEXTSPLIT(B923,","),"")</f>
        <v/>
      </c>
      <c r="H923" s="1" t="str">
        <f t="shared" ref="H923:I923" si="925">IF(C923&lt;&gt;"",DEC2HEX(C923,2),"")</f>
        <v/>
      </c>
      <c r="I923" s="1" t="str">
        <f t="shared" si="925"/>
        <v/>
      </c>
      <c r="J923" s="1" t="str">
        <f t="shared" si="3"/>
        <v/>
      </c>
      <c r="L923" s="1" t="s">
        <v>3113</v>
      </c>
      <c r="M923" s="1" t="str">
        <f t="shared" si="4"/>
        <v>44, 44, GEODUDE</v>
      </c>
    </row>
    <row r="924" ht="12.75" customHeight="1">
      <c r="A924" s="3" t="s">
        <v>3114</v>
      </c>
      <c r="B924" s="3" t="str">
        <f t="shared" si="1"/>
        <v>32, 32, SLUGMA</v>
      </c>
      <c r="C924" s="1" t="str">
        <f t="array" ref="C924">IF(B923="NEW ROUTE",TEXTSPLIT(B924,","),"")</f>
        <v/>
      </c>
      <c r="H924" s="1" t="str">
        <f t="shared" ref="H924:I924" si="926">IF(C924&lt;&gt;"",DEC2HEX(C924,2),"")</f>
        <v/>
      </c>
      <c r="I924" s="1" t="str">
        <f t="shared" si="926"/>
        <v/>
      </c>
      <c r="J924" s="1" t="str">
        <f t="shared" si="3"/>
        <v/>
      </c>
      <c r="L924" s="1" t="s">
        <v>3114</v>
      </c>
      <c r="M924" s="1" t="str">
        <f t="shared" si="4"/>
        <v>32, 32, SLUGMA</v>
      </c>
    </row>
    <row r="925" ht="12.75" customHeight="1">
      <c r="A925" s="3" t="s">
        <v>2810</v>
      </c>
      <c r="B925" s="3" t="str">
        <f t="shared" si="1"/>
        <v>0.04</v>
      </c>
      <c r="C925" s="1" t="str">
        <f t="array" ref="C925">IF(B924="NEW ROUTE",TEXTSPLIT(B925,","),"")</f>
        <v/>
      </c>
      <c r="H925" s="1" t="str">
        <f t="shared" ref="H925:I925" si="927">IF(C925&lt;&gt;"",DEC2HEX(C925,2),"")</f>
        <v/>
      </c>
      <c r="I925" s="1" t="str">
        <f t="shared" si="927"/>
        <v/>
      </c>
      <c r="J925" s="1" t="str">
        <f t="shared" si="3"/>
        <v/>
      </c>
      <c r="L925" s="1" t="s">
        <v>2810</v>
      </c>
      <c r="M925" s="1" t="str">
        <f t="shared" si="4"/>
        <v>0.04</v>
      </c>
    </row>
    <row r="926" ht="12.75" customHeight="1">
      <c r="A926" s="3" t="s">
        <v>3113</v>
      </c>
      <c r="B926" s="3" t="str">
        <f t="shared" si="1"/>
        <v>44, 44, GEODUDE</v>
      </c>
      <c r="C926" s="1" t="str">
        <f t="array" ref="C926">IF(B925="NEW ROUTE",TEXTSPLIT(B926,","),"")</f>
        <v/>
      </c>
      <c r="H926" s="1" t="str">
        <f t="shared" ref="H926:I926" si="928">IF(C926&lt;&gt;"",DEC2HEX(C926,2),"")</f>
        <v/>
      </c>
      <c r="I926" s="1" t="str">
        <f t="shared" si="928"/>
        <v/>
      </c>
      <c r="J926" s="1" t="str">
        <f t="shared" si="3"/>
        <v/>
      </c>
      <c r="L926" s="1" t="s">
        <v>3113</v>
      </c>
      <c r="M926" s="1" t="str">
        <f t="shared" si="4"/>
        <v>44, 44, GEODUDE</v>
      </c>
    </row>
    <row r="927" ht="12.75" customHeight="1">
      <c r="A927" s="3" t="s">
        <v>3115</v>
      </c>
      <c r="B927" s="3" t="str">
        <f t="shared" si="1"/>
        <v>22, 22, SLUGMA</v>
      </c>
      <c r="C927" s="1" t="str">
        <f t="array" ref="C927">IF(B926="NEW ROUTE",TEXTSPLIT(B927,","),"")</f>
        <v/>
      </c>
      <c r="H927" s="1" t="str">
        <f t="shared" ref="H927:I927" si="929">IF(C927&lt;&gt;"",DEC2HEX(C927,2),"")</f>
        <v/>
      </c>
      <c r="I927" s="1" t="str">
        <f t="shared" si="929"/>
        <v/>
      </c>
      <c r="J927" s="1" t="str">
        <f t="shared" si="3"/>
        <v/>
      </c>
      <c r="L927" s="1" t="s">
        <v>3115</v>
      </c>
      <c r="M927" s="1" t="str">
        <f t="shared" si="4"/>
        <v>22, 22, SLUGMA</v>
      </c>
    </row>
    <row r="928" ht="12.75" customHeight="1">
      <c r="A928" s="3" t="s">
        <v>2813</v>
      </c>
      <c r="B928" s="3" t="str">
        <f t="shared" si="1"/>
        <v>0.01</v>
      </c>
      <c r="C928" s="1" t="str">
        <f t="array" ref="C928">IF(B927="NEW ROUTE",TEXTSPLIT(B928,","),"")</f>
        <v/>
      </c>
      <c r="H928" s="1" t="str">
        <f t="shared" ref="H928:I928" si="930">IF(C928&lt;&gt;"",DEC2HEX(C928,2),"")</f>
        <v/>
      </c>
      <c r="I928" s="1" t="str">
        <f t="shared" si="930"/>
        <v/>
      </c>
      <c r="J928" s="1" t="str">
        <f t="shared" si="3"/>
        <v/>
      </c>
      <c r="L928" s="1" t="s">
        <v>2813</v>
      </c>
      <c r="M928" s="1" t="str">
        <f t="shared" si="4"/>
        <v>0.01</v>
      </c>
    </row>
    <row r="929" ht="12.75" customHeight="1">
      <c r="A929" s="3" t="s">
        <v>3113</v>
      </c>
      <c r="B929" s="3" t="str">
        <f t="shared" si="1"/>
        <v>44, 44, GEODUDE</v>
      </c>
      <c r="C929" s="1" t="str">
        <f t="array" ref="C929">IF(B928="NEW ROUTE",TEXTSPLIT(B929,","),"")</f>
        <v/>
      </c>
      <c r="H929" s="1" t="str">
        <f t="shared" ref="H929:I929" si="931">IF(C929&lt;&gt;"",DEC2HEX(C929,2),"")</f>
        <v/>
      </c>
      <c r="I929" s="1" t="str">
        <f t="shared" si="931"/>
        <v/>
      </c>
      <c r="J929" s="1" t="str">
        <f t="shared" si="3"/>
        <v/>
      </c>
      <c r="L929" s="1" t="s">
        <v>3113</v>
      </c>
      <c r="M929" s="1" t="str">
        <f t="shared" si="4"/>
        <v>44, 44, GEODUDE</v>
      </c>
    </row>
    <row r="930" ht="12.75" customHeight="1">
      <c r="A930" s="3" t="s">
        <v>3115</v>
      </c>
      <c r="B930" s="3" t="str">
        <f t="shared" si="1"/>
        <v>22, 22, SLUGMA</v>
      </c>
      <c r="C930" s="1" t="str">
        <f t="array" ref="C930">IF(B929="NEW ROUTE",TEXTSPLIT(B930,","),"")</f>
        <v/>
      </c>
      <c r="H930" s="1" t="str">
        <f t="shared" ref="H930:I930" si="932">IF(C930&lt;&gt;"",DEC2HEX(C930,2),"")</f>
        <v/>
      </c>
      <c r="I930" s="1" t="str">
        <f t="shared" si="932"/>
        <v/>
      </c>
      <c r="J930" s="1" t="str">
        <f t="shared" si="3"/>
        <v/>
      </c>
      <c r="L930" s="1" t="s">
        <v>3115</v>
      </c>
      <c r="M930" s="1" t="str">
        <f t="shared" si="4"/>
        <v>22, 22, SLUGMA</v>
      </c>
    </row>
    <row r="931" ht="12.75" customHeight="1">
      <c r="A931" s="3" t="s">
        <v>3102</v>
      </c>
      <c r="B931" s="3" t="str">
        <f t="shared" si="1"/>
        <v>50, 25, 35, GEODUDE</v>
      </c>
      <c r="C931" s="1" t="str">
        <f t="array" ref="C931">IF(B930="NEW ROUTE",TEXTSPLIT(B931,","),"")</f>
        <v/>
      </c>
      <c r="H931" s="1" t="str">
        <f t="shared" ref="H931:I931" si="933">IF(C931&lt;&gt;"",DEC2HEX(C931,2),"")</f>
        <v/>
      </c>
      <c r="I931" s="1" t="str">
        <f t="shared" si="933"/>
        <v/>
      </c>
      <c r="J931" s="1" t="str">
        <f t="shared" si="3"/>
        <v/>
      </c>
      <c r="L931" s="1" t="s">
        <v>3102</v>
      </c>
      <c r="M931" s="1" t="str">
        <f t="shared" si="4"/>
        <v>50, 25, 35, GEODUDE</v>
      </c>
    </row>
    <row r="932" ht="12.75" customHeight="1">
      <c r="A932" s="3" t="s">
        <v>3103</v>
      </c>
      <c r="B932" s="3" t="str">
        <f t="shared" si="1"/>
        <v>30, 45, GRAVELER</v>
      </c>
      <c r="C932" s="1" t="str">
        <f t="array" ref="C932">IF(B931="NEW ROUTE",TEXTSPLIT(B932,","),"")</f>
        <v/>
      </c>
      <c r="H932" s="1" t="str">
        <f t="shared" ref="H932:I932" si="934">IF(C932&lt;&gt;"",DEC2HEX(C932,2),"")</f>
        <v/>
      </c>
      <c r="I932" s="1" t="str">
        <f t="shared" si="934"/>
        <v/>
      </c>
      <c r="J932" s="1" t="str">
        <f t="shared" si="3"/>
        <v/>
      </c>
      <c r="L932" s="1" t="s">
        <v>3103</v>
      </c>
      <c r="M932" s="1" t="str">
        <f t="shared" si="4"/>
        <v>30, 45, GRAVELER</v>
      </c>
    </row>
    <row r="933" ht="12.75" customHeight="1">
      <c r="A933" s="3" t="s">
        <v>3104</v>
      </c>
      <c r="B933" s="3" t="str">
        <f t="shared" si="1"/>
        <v>35, 50, GRAVELER</v>
      </c>
      <c r="C933" s="1" t="str">
        <f t="array" ref="C933">IF(B932="NEW ROUTE",TEXTSPLIT(B933,","),"")</f>
        <v/>
      </c>
      <c r="H933" s="1" t="str">
        <f t="shared" ref="H933:I933" si="935">IF(C933&lt;&gt;"",DEC2HEX(C933,2),"")</f>
        <v/>
      </c>
      <c r="I933" s="1" t="str">
        <f t="shared" si="935"/>
        <v/>
      </c>
      <c r="J933" s="1" t="str">
        <f t="shared" si="3"/>
        <v/>
      </c>
      <c r="L933" s="1" t="s">
        <v>3104</v>
      </c>
      <c r="M933" s="1" t="str">
        <f t="shared" si="4"/>
        <v>35, 50, GRAVELER</v>
      </c>
    </row>
    <row r="934" ht="12.75" customHeight="1">
      <c r="A934" s="3" t="s">
        <v>3105</v>
      </c>
      <c r="B934" s="3" t="str">
        <f t="shared" si="1"/>
        <v>30, 40, GEODUDE</v>
      </c>
      <c r="C934" s="1" t="str">
        <f t="array" ref="C934">IF(B933="NEW ROUTE",TEXTSPLIT(B934,","),"")</f>
        <v/>
      </c>
      <c r="H934" s="1" t="str">
        <f t="shared" ref="H934:I934" si="936">IF(C934&lt;&gt;"",DEC2HEX(C934,2),"")</f>
        <v/>
      </c>
      <c r="I934" s="1" t="str">
        <f t="shared" si="936"/>
        <v/>
      </c>
      <c r="J934" s="1" t="str">
        <f t="shared" si="3"/>
        <v/>
      </c>
      <c r="L934" s="1" t="s">
        <v>3105</v>
      </c>
      <c r="M934" s="1" t="str">
        <f t="shared" si="4"/>
        <v>30, 40, GEODUDE</v>
      </c>
    </row>
    <row r="935" ht="12.75" customHeight="1">
      <c r="A935" s="3" t="s">
        <v>3106</v>
      </c>
      <c r="B935" s="3" t="str">
        <f t="shared" si="1"/>
        <v>30, 40, GEODUDE , &lt;null&gt;</v>
      </c>
      <c r="C935" s="1" t="str">
        <f t="array" ref="C935">IF(B934="NEW ROUTE",TEXTSPLIT(B935,","),"")</f>
        <v/>
      </c>
      <c r="H935" s="1" t="str">
        <f t="shared" ref="H935:I935" si="937">IF(C935&lt;&gt;"",DEC2HEX(C935,2),"")</f>
        <v/>
      </c>
      <c r="I935" s="1" t="str">
        <f t="shared" si="937"/>
        <v/>
      </c>
      <c r="J935" s="1" t="str">
        <f t="shared" si="3"/>
        <v/>
      </c>
      <c r="L935" s="1" t="s">
        <v>3106</v>
      </c>
      <c r="M935" s="1" t="str">
        <f t="shared" si="4"/>
        <v>30, 40, GEODUDE , &lt;null&gt;</v>
      </c>
    </row>
    <row r="936" ht="12.75" customHeight="1">
      <c r="A936" s="3" t="s">
        <v>2539</v>
      </c>
      <c r="B936" s="3" t="str">
        <f t="shared" si="1"/>
        <v>NEW ROUTE</v>
      </c>
      <c r="C936" s="1" t="str">
        <f t="array" ref="C936">IF(B935="NEW ROUTE",TEXTSPLIT(B936,","),"")</f>
        <v/>
      </c>
      <c r="H936" s="1" t="str">
        <f t="shared" ref="H936:I936" si="938">IF(C936&lt;&gt;"",DEC2HEX(C936,2),"")</f>
        <v/>
      </c>
      <c r="I936" s="1" t="str">
        <f t="shared" si="938"/>
        <v/>
      </c>
      <c r="J936" s="1" t="str">
        <f t="shared" si="3"/>
        <v/>
      </c>
      <c r="L936" s="1" t="s">
        <v>2539</v>
      </c>
      <c r="M936" s="1" t="str">
        <f t="shared" si="4"/>
        <v>NEW ROUTE</v>
      </c>
    </row>
    <row r="937" ht="12.75" customHeight="1">
      <c r="A937" s="3" t="s">
        <v>3116</v>
      </c>
      <c r="B937" s="3" t="str">
        <f t="shared" si="1"/>
        <v>1, 106, 0,</v>
      </c>
      <c r="C937" s="1" t="str">
        <f t="array" ref="C937">IF(B936="NEW ROUTE",TEXTSPLIT(B937,","),"")</f>
        <v>#NAME?</v>
      </c>
      <c r="H937" s="1" t="str">
        <f t="shared" ref="H937:I937" si="939">IF(C937&lt;&gt;"",DEC2HEX(C937,2),"")</f>
        <v>#NAME?</v>
      </c>
      <c r="I937" s="1" t="str">
        <f t="shared" si="939"/>
        <v/>
      </c>
      <c r="J937" s="1" t="str">
        <f t="shared" si="3"/>
        <v>#NAME?</v>
      </c>
      <c r="L937" s="1" t="s">
        <v>3116</v>
      </c>
      <c r="M937" s="1" t="str">
        <f t="shared" si="4"/>
        <v>#NAME?</v>
      </c>
    </row>
    <row r="938" ht="12.75" customHeight="1">
      <c r="A938" s="3" t="s">
        <v>2817</v>
      </c>
      <c r="B938" s="3" t="str">
        <f t="shared" si="1"/>
        <v>20%</v>
      </c>
      <c r="C938" s="1" t="str">
        <f t="array" ref="C938">IF(B937="NEW ROUTE",TEXTSPLIT(B938,","),"")</f>
        <v/>
      </c>
      <c r="H938" s="1" t="str">
        <f t="shared" ref="H938:I938" si="940">IF(C938&lt;&gt;"",DEC2HEX(C938,2),"")</f>
        <v/>
      </c>
      <c r="I938" s="1" t="str">
        <f t="shared" si="940"/>
        <v/>
      </c>
      <c r="J938" s="1" t="str">
        <f t="shared" si="3"/>
        <v/>
      </c>
      <c r="L938" s="1" t="s">
        <v>2799</v>
      </c>
      <c r="M938" s="1" t="str">
        <f t="shared" si="4"/>
        <v>20%</v>
      </c>
    </row>
    <row r="939" ht="12.75" customHeight="1">
      <c r="A939" s="3" t="s">
        <v>707</v>
      </c>
      <c r="B939" s="3" t="str">
        <f t="shared" si="1"/>
        <v>26, 26, SLUGMA</v>
      </c>
      <c r="C939" s="1" t="str">
        <f t="array" ref="C939">IF(B938="NEW ROUTE",TEXTSPLIT(B939,","),"")</f>
        <v/>
      </c>
      <c r="H939" s="1" t="str">
        <f t="shared" ref="H939:I939" si="941">IF(C939&lt;&gt;"",DEC2HEX(C939,2),"")</f>
        <v/>
      </c>
      <c r="I939" s="1" t="str">
        <f t="shared" si="941"/>
        <v/>
      </c>
      <c r="J939" s="1" t="str">
        <f t="shared" si="3"/>
        <v/>
      </c>
      <c r="L939" s="1" t="s">
        <v>707</v>
      </c>
      <c r="M939" s="1" t="str">
        <f t="shared" si="4"/>
        <v>26, 26, SLUGMA</v>
      </c>
    </row>
    <row r="940" ht="12.75" customHeight="1">
      <c r="A940" s="3" t="s">
        <v>3110</v>
      </c>
      <c r="B940" s="3" t="str">
        <f t="shared" si="1"/>
        <v>28, 28, SLUGMA</v>
      </c>
      <c r="C940" s="1" t="str">
        <f t="array" ref="C940">IF(B939="NEW ROUTE",TEXTSPLIT(B940,","),"")</f>
        <v/>
      </c>
      <c r="H940" s="1" t="str">
        <f t="shared" ref="H940:I940" si="942">IF(C940&lt;&gt;"",DEC2HEX(C940,2),"")</f>
        <v/>
      </c>
      <c r="I940" s="1" t="str">
        <f t="shared" si="942"/>
        <v/>
      </c>
      <c r="J940" s="1" t="str">
        <f t="shared" si="3"/>
        <v/>
      </c>
      <c r="L940" s="1" t="s">
        <v>3110</v>
      </c>
      <c r="M940" s="1" t="str">
        <f t="shared" si="4"/>
        <v>28, 28, SLUGMA</v>
      </c>
    </row>
    <row r="941" ht="12.75" customHeight="1">
      <c r="A941" s="3" t="s">
        <v>2802</v>
      </c>
      <c r="B941" s="3" t="str">
        <f t="shared" si="1"/>
        <v>0.1</v>
      </c>
      <c r="C941" s="1" t="str">
        <f t="array" ref="C941">IF(B940="NEW ROUTE",TEXTSPLIT(B941,","),"")</f>
        <v/>
      </c>
      <c r="H941" s="1" t="str">
        <f t="shared" ref="H941:I941" si="943">IF(C941&lt;&gt;"",DEC2HEX(C941,2),"")</f>
        <v/>
      </c>
      <c r="I941" s="1" t="str">
        <f t="shared" si="943"/>
        <v/>
      </c>
      <c r="J941" s="1" t="str">
        <f t="shared" si="3"/>
        <v/>
      </c>
      <c r="L941" s="1" t="s">
        <v>2802</v>
      </c>
      <c r="M941" s="1" t="str">
        <f t="shared" si="4"/>
        <v>0.1</v>
      </c>
    </row>
    <row r="942" ht="12.75" customHeight="1">
      <c r="A942" s="3" t="s">
        <v>3111</v>
      </c>
      <c r="B942" s="3" t="str">
        <f t="shared" si="1"/>
        <v>30, 30, SLUGMA</v>
      </c>
      <c r="C942" s="1" t="str">
        <f t="array" ref="C942">IF(B941="NEW ROUTE",TEXTSPLIT(B942,","),"")</f>
        <v/>
      </c>
      <c r="H942" s="1" t="str">
        <f t="shared" ref="H942:I942" si="944">IF(C942&lt;&gt;"",DEC2HEX(C942,2),"")</f>
        <v/>
      </c>
      <c r="I942" s="1" t="str">
        <f t="shared" si="944"/>
        <v/>
      </c>
      <c r="J942" s="1" t="str">
        <f t="shared" si="3"/>
        <v/>
      </c>
      <c r="L942" s="1" t="s">
        <v>3111</v>
      </c>
      <c r="M942" s="1" t="str">
        <f t="shared" si="4"/>
        <v>30, 30, SLUGMA</v>
      </c>
    </row>
    <row r="943" ht="12.75" customHeight="1">
      <c r="A943" s="3" t="s">
        <v>3114</v>
      </c>
      <c r="B943" s="3" t="str">
        <f t="shared" si="1"/>
        <v>32, 32, SLUGMA</v>
      </c>
      <c r="C943" s="1" t="str">
        <f t="array" ref="C943">IF(B942="NEW ROUTE",TEXTSPLIT(B943,","),"")</f>
        <v/>
      </c>
      <c r="H943" s="1" t="str">
        <f t="shared" ref="H943:I943" si="945">IF(C943&lt;&gt;"",DEC2HEX(C943,2),"")</f>
        <v/>
      </c>
      <c r="I943" s="1" t="str">
        <f t="shared" si="945"/>
        <v/>
      </c>
      <c r="J943" s="1" t="str">
        <f t="shared" si="3"/>
        <v/>
      </c>
      <c r="L943" s="1" t="s">
        <v>3114</v>
      </c>
      <c r="M943" s="1" t="str">
        <f t="shared" si="4"/>
        <v>32, 32, SLUGMA</v>
      </c>
    </row>
    <row r="944" ht="12.75" customHeight="1">
      <c r="A944" s="3" t="s">
        <v>3108</v>
      </c>
      <c r="B944" s="3" t="str">
        <f t="shared" si="1"/>
        <v>24, 24, SLUGMA</v>
      </c>
      <c r="C944" s="1" t="str">
        <f t="array" ref="C944">IF(B943="NEW ROUTE",TEXTSPLIT(B944,","),"")</f>
        <v/>
      </c>
      <c r="H944" s="1" t="str">
        <f t="shared" ref="H944:I944" si="946">IF(C944&lt;&gt;"",DEC2HEX(C944,2),"")</f>
        <v/>
      </c>
      <c r="I944" s="1" t="str">
        <f t="shared" si="946"/>
        <v/>
      </c>
      <c r="J944" s="1" t="str">
        <f t="shared" si="3"/>
        <v/>
      </c>
      <c r="L944" s="1" t="s">
        <v>3108</v>
      </c>
      <c r="M944" s="1" t="str">
        <f t="shared" si="4"/>
        <v>24, 24, SLUGMA</v>
      </c>
    </row>
    <row r="945" ht="12.75" customHeight="1">
      <c r="A945" s="3" t="s">
        <v>3115</v>
      </c>
      <c r="B945" s="3" t="str">
        <f t="shared" si="1"/>
        <v>22, 22, SLUGMA</v>
      </c>
      <c r="C945" s="1" t="str">
        <f t="array" ref="C945">IF(B944="NEW ROUTE",TEXTSPLIT(B945,","),"")</f>
        <v/>
      </c>
      <c r="H945" s="1" t="str">
        <f t="shared" ref="H945:I945" si="947">IF(C945&lt;&gt;"",DEC2HEX(C945,2),"")</f>
        <v/>
      </c>
      <c r="I945" s="1" t="str">
        <f t="shared" si="947"/>
        <v/>
      </c>
      <c r="J945" s="1" t="str">
        <f t="shared" si="3"/>
        <v/>
      </c>
      <c r="L945" s="1" t="s">
        <v>3115</v>
      </c>
      <c r="M945" s="1" t="str">
        <f t="shared" si="4"/>
        <v>22, 22, SLUGMA</v>
      </c>
    </row>
    <row r="946" ht="12.75" customHeight="1">
      <c r="A946" s="3" t="s">
        <v>2807</v>
      </c>
      <c r="B946" s="3" t="str">
        <f t="shared" si="1"/>
        <v>0.05</v>
      </c>
      <c r="C946" s="1" t="str">
        <f t="array" ref="C946">IF(B945="NEW ROUTE",TEXTSPLIT(B946,","),"")</f>
        <v/>
      </c>
      <c r="H946" s="1" t="str">
        <f t="shared" ref="H946:I946" si="948">IF(C946&lt;&gt;"",DEC2HEX(C946,2),"")</f>
        <v/>
      </c>
      <c r="I946" s="1" t="str">
        <f t="shared" si="948"/>
        <v/>
      </c>
      <c r="J946" s="1" t="str">
        <f t="shared" si="3"/>
        <v/>
      </c>
      <c r="L946" s="1" t="s">
        <v>2807</v>
      </c>
      <c r="M946" s="1" t="str">
        <f t="shared" si="4"/>
        <v>0.05</v>
      </c>
    </row>
    <row r="947" ht="12.75" customHeight="1">
      <c r="A947" s="3" t="s">
        <v>3117</v>
      </c>
      <c r="B947" s="3" t="str">
        <f t="shared" si="1"/>
        <v>20, 20, SLUGMA</v>
      </c>
      <c r="C947" s="1" t="str">
        <f t="array" ref="C947">IF(B946="NEW ROUTE",TEXTSPLIT(B947,","),"")</f>
        <v/>
      </c>
      <c r="H947" s="1" t="str">
        <f t="shared" ref="H947:I947" si="949">IF(C947&lt;&gt;"",DEC2HEX(C947,2),"")</f>
        <v/>
      </c>
      <c r="I947" s="1" t="str">
        <f t="shared" si="949"/>
        <v/>
      </c>
      <c r="J947" s="1" t="str">
        <f t="shared" si="3"/>
        <v/>
      </c>
      <c r="L947" s="1" t="s">
        <v>3117</v>
      </c>
      <c r="M947" s="1" t="str">
        <f t="shared" si="4"/>
        <v>20, 20, SLUGMA</v>
      </c>
    </row>
    <row r="948" ht="12.75" customHeight="1">
      <c r="A948" s="3" t="s">
        <v>3118</v>
      </c>
      <c r="B948" s="3" t="str">
        <f t="shared" si="1"/>
        <v>34, 34, SLUGMA</v>
      </c>
      <c r="C948" s="1" t="str">
        <f t="array" ref="C948">IF(B947="NEW ROUTE",TEXTSPLIT(B948,","),"")</f>
        <v/>
      </c>
      <c r="H948" s="1" t="str">
        <f t="shared" ref="H948:I948" si="950">IF(C948&lt;&gt;"",DEC2HEX(C948,2),"")</f>
        <v/>
      </c>
      <c r="I948" s="1" t="str">
        <f t="shared" si="950"/>
        <v/>
      </c>
      <c r="J948" s="1" t="str">
        <f t="shared" si="3"/>
        <v/>
      </c>
      <c r="L948" s="1" t="s">
        <v>3118</v>
      </c>
      <c r="M948" s="1" t="str">
        <f t="shared" si="4"/>
        <v>34, 34, SLUGMA</v>
      </c>
    </row>
    <row r="949" ht="12.75" customHeight="1">
      <c r="A949" s="3" t="s">
        <v>2810</v>
      </c>
      <c r="B949" s="3" t="str">
        <f t="shared" si="1"/>
        <v>0.04</v>
      </c>
      <c r="C949" s="1" t="str">
        <f t="array" ref="C949">IF(B948="NEW ROUTE",TEXTSPLIT(B949,","),"")</f>
        <v/>
      </c>
      <c r="H949" s="1" t="str">
        <f t="shared" ref="H949:I949" si="951">IF(C949&lt;&gt;"",DEC2HEX(C949,2),"")</f>
        <v/>
      </c>
      <c r="I949" s="1" t="str">
        <f t="shared" si="951"/>
        <v/>
      </c>
      <c r="J949" s="1" t="str">
        <f t="shared" si="3"/>
        <v/>
      </c>
      <c r="L949" s="1" t="s">
        <v>2810</v>
      </c>
      <c r="M949" s="1" t="str">
        <f t="shared" si="4"/>
        <v>0.04</v>
      </c>
    </row>
    <row r="950" ht="12.75" customHeight="1">
      <c r="A950" s="3" t="s">
        <v>3119</v>
      </c>
      <c r="B950" s="3" t="str">
        <f t="shared" si="1"/>
        <v>36, 36, SLUGMA</v>
      </c>
      <c r="C950" s="1" t="str">
        <f t="array" ref="C950">IF(B949="NEW ROUTE",TEXTSPLIT(B950,","),"")</f>
        <v/>
      </c>
      <c r="H950" s="1" t="str">
        <f t="shared" ref="H950:I950" si="952">IF(C950&lt;&gt;"",DEC2HEX(C950,2),"")</f>
        <v/>
      </c>
      <c r="I950" s="1" t="str">
        <f t="shared" si="952"/>
        <v/>
      </c>
      <c r="J950" s="1" t="str">
        <f t="shared" si="3"/>
        <v/>
      </c>
      <c r="L950" s="1" t="s">
        <v>3119</v>
      </c>
      <c r="M950" s="1" t="str">
        <f t="shared" si="4"/>
        <v>36, 36, SLUGMA</v>
      </c>
    </row>
    <row r="951" ht="12.75" customHeight="1">
      <c r="A951" s="3" t="s">
        <v>3120</v>
      </c>
      <c r="B951" s="3" t="str">
        <f t="shared" si="1"/>
        <v>18, 18, SLUGMA</v>
      </c>
      <c r="C951" s="1" t="str">
        <f t="array" ref="C951">IF(B950="NEW ROUTE",TEXTSPLIT(B951,","),"")</f>
        <v/>
      </c>
      <c r="H951" s="1" t="str">
        <f t="shared" ref="H951:I951" si="953">IF(C951&lt;&gt;"",DEC2HEX(C951,2),"")</f>
        <v/>
      </c>
      <c r="I951" s="1" t="str">
        <f t="shared" si="953"/>
        <v/>
      </c>
      <c r="J951" s="1" t="str">
        <f t="shared" si="3"/>
        <v/>
      </c>
      <c r="L951" s="1" t="s">
        <v>3120</v>
      </c>
      <c r="M951" s="1" t="str">
        <f t="shared" si="4"/>
        <v>18, 18, SLUGMA</v>
      </c>
    </row>
    <row r="952" ht="12.75" customHeight="1">
      <c r="A952" s="3" t="s">
        <v>2813</v>
      </c>
      <c r="B952" s="3" t="str">
        <f t="shared" si="1"/>
        <v>0.01</v>
      </c>
      <c r="C952" s="1" t="str">
        <f t="array" ref="C952">IF(B951="NEW ROUTE",TEXTSPLIT(B952,","),"")</f>
        <v/>
      </c>
      <c r="H952" s="1" t="str">
        <f t="shared" ref="H952:I952" si="954">IF(C952&lt;&gt;"",DEC2HEX(C952,2),"")</f>
        <v/>
      </c>
      <c r="I952" s="1" t="str">
        <f t="shared" si="954"/>
        <v/>
      </c>
      <c r="J952" s="1" t="str">
        <f t="shared" si="3"/>
        <v/>
      </c>
      <c r="L952" s="1" t="s">
        <v>2813</v>
      </c>
      <c r="M952" s="1" t="str">
        <f t="shared" si="4"/>
        <v>0.01</v>
      </c>
    </row>
    <row r="953" ht="12.75" customHeight="1">
      <c r="A953" s="3" t="s">
        <v>3119</v>
      </c>
      <c r="B953" s="3" t="str">
        <f t="shared" si="1"/>
        <v>36, 36, SLUGMA</v>
      </c>
      <c r="C953" s="1" t="str">
        <f t="array" ref="C953">IF(B952="NEW ROUTE",TEXTSPLIT(B953,","),"")</f>
        <v/>
      </c>
      <c r="H953" s="1" t="str">
        <f t="shared" ref="H953:I953" si="955">IF(C953&lt;&gt;"",DEC2HEX(C953,2),"")</f>
        <v/>
      </c>
      <c r="I953" s="1" t="str">
        <f t="shared" si="955"/>
        <v/>
      </c>
      <c r="J953" s="1" t="str">
        <f t="shared" si="3"/>
        <v/>
      </c>
      <c r="L953" s="1" t="s">
        <v>3119</v>
      </c>
      <c r="M953" s="1" t="str">
        <f t="shared" si="4"/>
        <v>36, 36, SLUGMA</v>
      </c>
    </row>
    <row r="954" ht="12.75" customHeight="1">
      <c r="A954" s="3" t="s">
        <v>3120</v>
      </c>
      <c r="B954" s="3" t="str">
        <f t="shared" si="1"/>
        <v>18, 18, SLUGMA</v>
      </c>
      <c r="C954" s="1" t="str">
        <f t="array" ref="C954">IF(B953="NEW ROUTE",TEXTSPLIT(B954,","),"")</f>
        <v/>
      </c>
      <c r="H954" s="1" t="str">
        <f t="shared" ref="H954:I954" si="956">IF(C954&lt;&gt;"",DEC2HEX(C954,2),"")</f>
        <v/>
      </c>
      <c r="I954" s="1" t="str">
        <f t="shared" si="956"/>
        <v/>
      </c>
      <c r="J954" s="1" t="str">
        <f t="shared" si="3"/>
        <v/>
      </c>
      <c r="L954" s="1" t="s">
        <v>3120</v>
      </c>
      <c r="M954" s="1" t="str">
        <f t="shared" si="4"/>
        <v>18, 18, SLUGMA</v>
      </c>
    </row>
    <row r="955" ht="12.75" customHeight="1">
      <c r="A955" s="3" t="s">
        <v>3121</v>
      </c>
      <c r="B955" s="3" t="str">
        <f t="shared" si="1"/>
        <v>50, 15, 25, SLUGMA</v>
      </c>
      <c r="C955" s="1" t="str">
        <f t="array" ref="C955">IF(B954="NEW ROUTE",TEXTSPLIT(B955,","),"")</f>
        <v/>
      </c>
      <c r="H955" s="1" t="str">
        <f t="shared" ref="H955:I955" si="957">IF(C955&lt;&gt;"",DEC2HEX(C955,2),"")</f>
        <v/>
      </c>
      <c r="I955" s="1" t="str">
        <f t="shared" si="957"/>
        <v/>
      </c>
      <c r="J955" s="1" t="str">
        <f t="shared" si="3"/>
        <v/>
      </c>
      <c r="L955" s="1" t="s">
        <v>3121</v>
      </c>
      <c r="M955" s="1" t="str">
        <f t="shared" si="4"/>
        <v>50, 15, 25, SLUGMA</v>
      </c>
    </row>
    <row r="956" ht="12.75" customHeight="1">
      <c r="A956" s="3" t="s">
        <v>3122</v>
      </c>
      <c r="B956" s="3" t="str">
        <f t="shared" si="1"/>
        <v>25, 35, SLUGMA</v>
      </c>
      <c r="C956" s="1" t="str">
        <f t="array" ref="C956">IF(B955="NEW ROUTE",TEXTSPLIT(B956,","),"")</f>
        <v/>
      </c>
      <c r="H956" s="1" t="str">
        <f t="shared" ref="H956:I956" si="958">IF(C956&lt;&gt;"",DEC2HEX(C956,2),"")</f>
        <v/>
      </c>
      <c r="I956" s="1" t="str">
        <f t="shared" si="958"/>
        <v/>
      </c>
      <c r="J956" s="1" t="str">
        <f t="shared" si="3"/>
        <v/>
      </c>
      <c r="L956" s="1" t="s">
        <v>3122</v>
      </c>
      <c r="M956" s="1" t="str">
        <f t="shared" si="4"/>
        <v>25, 35, SLUGMA</v>
      </c>
    </row>
    <row r="957" ht="12.75" customHeight="1">
      <c r="A957" s="3" t="s">
        <v>3123</v>
      </c>
      <c r="B957" s="3" t="str">
        <f t="shared" si="1"/>
        <v>40, 45, MAGCARGO</v>
      </c>
      <c r="C957" s="1" t="str">
        <f t="array" ref="C957">IF(B956="NEW ROUTE",TEXTSPLIT(B957,","),"")</f>
        <v/>
      </c>
      <c r="H957" s="1" t="str">
        <f t="shared" ref="H957:I957" si="959">IF(C957&lt;&gt;"",DEC2HEX(C957,2),"")</f>
        <v/>
      </c>
      <c r="I957" s="1" t="str">
        <f t="shared" si="959"/>
        <v/>
      </c>
      <c r="J957" s="1" t="str">
        <f t="shared" si="3"/>
        <v/>
      </c>
      <c r="L957" s="1" t="s">
        <v>3123</v>
      </c>
      <c r="M957" s="1" t="str">
        <f t="shared" si="4"/>
        <v>40, 45, MAGCARGO</v>
      </c>
    </row>
    <row r="958" ht="12.75" customHeight="1">
      <c r="A958" s="3" t="s">
        <v>3124</v>
      </c>
      <c r="B958" s="3" t="str">
        <f t="shared" si="1"/>
        <v>35, 45, MAGCARGO</v>
      </c>
      <c r="C958" s="1" t="str">
        <f t="array" ref="C958">IF(B957="NEW ROUTE",TEXTSPLIT(B958,","),"")</f>
        <v/>
      </c>
      <c r="H958" s="1" t="str">
        <f t="shared" ref="H958:I958" si="960">IF(C958&lt;&gt;"",DEC2HEX(C958,2),"")</f>
        <v/>
      </c>
      <c r="I958" s="1" t="str">
        <f t="shared" si="960"/>
        <v/>
      </c>
      <c r="J958" s="1" t="str">
        <f t="shared" si="3"/>
        <v/>
      </c>
      <c r="L958" s="1" t="s">
        <v>3124</v>
      </c>
      <c r="M958" s="1" t="str">
        <f t="shared" si="4"/>
        <v>35, 45, MAGCARGO</v>
      </c>
    </row>
    <row r="959" ht="12.75" customHeight="1">
      <c r="A959" s="3" t="s">
        <v>3125</v>
      </c>
      <c r="B959" s="3" t="str">
        <f t="shared" si="1"/>
        <v>25, 35, MAGCARGO , &lt;null&gt;</v>
      </c>
      <c r="C959" s="1" t="str">
        <f t="array" ref="C959">IF(B958="NEW ROUTE",TEXTSPLIT(B959,","),"")</f>
        <v/>
      </c>
      <c r="H959" s="1" t="str">
        <f t="shared" ref="H959:I959" si="961">IF(C959&lt;&gt;"",DEC2HEX(C959,2),"")</f>
        <v/>
      </c>
      <c r="I959" s="1" t="str">
        <f t="shared" si="961"/>
        <v/>
      </c>
      <c r="J959" s="1" t="str">
        <f t="shared" si="3"/>
        <v/>
      </c>
      <c r="L959" s="1" t="s">
        <v>3125</v>
      </c>
      <c r="M959" s="1" t="str">
        <f t="shared" si="4"/>
        <v>25, 35, MAGCARGO , &lt;null&gt;</v>
      </c>
    </row>
    <row r="960" ht="12.75" customHeight="1">
      <c r="A960" s="3" t="s">
        <v>2539</v>
      </c>
      <c r="B960" s="3" t="str">
        <f t="shared" si="1"/>
        <v>NEW ROUTE</v>
      </c>
      <c r="C960" s="1" t="str">
        <f t="array" ref="C960">IF(B959="NEW ROUTE",TEXTSPLIT(B960,","),"")</f>
        <v/>
      </c>
      <c r="H960" s="1" t="str">
        <f t="shared" ref="H960:I960" si="962">IF(C960&lt;&gt;"",DEC2HEX(C960,2),"")</f>
        <v/>
      </c>
      <c r="I960" s="1" t="str">
        <f t="shared" si="962"/>
        <v/>
      </c>
      <c r="J960" s="1" t="str">
        <f t="shared" si="3"/>
        <v/>
      </c>
      <c r="L960" s="1" t="s">
        <v>2539</v>
      </c>
      <c r="M960" s="1" t="str">
        <f t="shared" si="4"/>
        <v>NEW ROUTE</v>
      </c>
    </row>
    <row r="961" ht="12.75" customHeight="1">
      <c r="A961" s="3" t="s">
        <v>3126</v>
      </c>
      <c r="B961" s="3" t="str">
        <f t="shared" si="1"/>
        <v>1, 107, 0,</v>
      </c>
      <c r="C961" s="1" t="str">
        <f t="array" ref="C961">IF(B960="NEW ROUTE",TEXTSPLIT(B961,","),"")</f>
        <v>#NAME?</v>
      </c>
      <c r="H961" s="1" t="str">
        <f t="shared" ref="H961:I961" si="963">IF(C961&lt;&gt;"",DEC2HEX(C961,2),"")</f>
        <v>#NAME?</v>
      </c>
      <c r="I961" s="1" t="str">
        <f t="shared" si="963"/>
        <v/>
      </c>
      <c r="J961" s="1" t="str">
        <f t="shared" si="3"/>
        <v>#NAME?</v>
      </c>
      <c r="L961" s="1" t="s">
        <v>3126</v>
      </c>
      <c r="M961" s="1" t="str">
        <f t="shared" si="4"/>
        <v>#NAME?</v>
      </c>
    </row>
    <row r="962" ht="12.75" customHeight="1">
      <c r="A962" s="3" t="s">
        <v>2817</v>
      </c>
      <c r="B962" s="3" t="str">
        <f t="shared" si="1"/>
        <v>20%</v>
      </c>
      <c r="C962" s="1" t="str">
        <f t="array" ref="C962">IF(B961="NEW ROUTE",TEXTSPLIT(B962,","),"")</f>
        <v/>
      </c>
      <c r="H962" s="1" t="str">
        <f t="shared" ref="H962:I962" si="964">IF(C962&lt;&gt;"",DEC2HEX(C962,2),"")</f>
        <v/>
      </c>
      <c r="I962" s="1" t="str">
        <f t="shared" si="964"/>
        <v/>
      </c>
      <c r="J962" s="1" t="str">
        <f t="shared" si="3"/>
        <v/>
      </c>
      <c r="L962" s="1" t="s">
        <v>2799</v>
      </c>
      <c r="M962" s="1" t="str">
        <f t="shared" si="4"/>
        <v>20%</v>
      </c>
    </row>
    <row r="963" ht="12.75" customHeight="1">
      <c r="A963" s="3" t="s">
        <v>701</v>
      </c>
      <c r="B963" s="3" t="str">
        <f t="shared" si="1"/>
        <v>40, 40, GEODUDE</v>
      </c>
      <c r="C963" s="1" t="str">
        <f t="array" ref="C963">IF(B962="NEW ROUTE",TEXTSPLIT(B963,","),"")</f>
        <v/>
      </c>
      <c r="H963" s="1" t="str">
        <f t="shared" ref="H963:I963" si="965">IF(C963&lt;&gt;"",DEC2HEX(C963,2),"")</f>
        <v/>
      </c>
      <c r="I963" s="1" t="str">
        <f t="shared" si="965"/>
        <v/>
      </c>
      <c r="J963" s="1" t="str">
        <f t="shared" si="3"/>
        <v/>
      </c>
      <c r="L963" s="1" t="s">
        <v>701</v>
      </c>
      <c r="M963" s="1" t="str">
        <f t="shared" si="4"/>
        <v>40, 40, GEODUDE</v>
      </c>
    </row>
    <row r="964" ht="12.75" customHeight="1">
      <c r="A964" s="3" t="s">
        <v>707</v>
      </c>
      <c r="B964" s="3" t="str">
        <f t="shared" si="1"/>
        <v>26, 26, SLUGMA</v>
      </c>
      <c r="C964" s="1" t="str">
        <f t="array" ref="C964">IF(B963="NEW ROUTE",TEXTSPLIT(B964,","),"")</f>
        <v/>
      </c>
      <c r="H964" s="1" t="str">
        <f t="shared" ref="H964:I964" si="966">IF(C964&lt;&gt;"",DEC2HEX(C964,2),"")</f>
        <v/>
      </c>
      <c r="I964" s="1" t="str">
        <f t="shared" si="966"/>
        <v/>
      </c>
      <c r="J964" s="1" t="str">
        <f t="shared" si="3"/>
        <v/>
      </c>
      <c r="L964" s="1" t="s">
        <v>707</v>
      </c>
      <c r="M964" s="1" t="str">
        <f t="shared" si="4"/>
        <v>26, 26, SLUGMA</v>
      </c>
    </row>
    <row r="965" ht="12.75" customHeight="1">
      <c r="A965" s="3" t="s">
        <v>2802</v>
      </c>
      <c r="B965" s="3" t="str">
        <f t="shared" si="1"/>
        <v>0.1</v>
      </c>
      <c r="C965" s="1" t="str">
        <f t="array" ref="C965">IF(B964="NEW ROUTE",TEXTSPLIT(B965,","),"")</f>
        <v/>
      </c>
      <c r="H965" s="1" t="str">
        <f t="shared" ref="H965:I965" si="967">IF(C965&lt;&gt;"",DEC2HEX(C965,2),"")</f>
        <v/>
      </c>
      <c r="I965" s="1" t="str">
        <f t="shared" si="967"/>
        <v/>
      </c>
      <c r="J965" s="1" t="str">
        <f t="shared" si="3"/>
        <v/>
      </c>
      <c r="L965" s="1" t="s">
        <v>2802</v>
      </c>
      <c r="M965" s="1" t="str">
        <f t="shared" si="4"/>
        <v>0.1</v>
      </c>
    </row>
    <row r="966" ht="12.75" customHeight="1">
      <c r="A966" s="3" t="s">
        <v>3109</v>
      </c>
      <c r="B966" s="3" t="str">
        <f t="shared" si="1"/>
        <v>42, 42, GEODUDE</v>
      </c>
      <c r="C966" s="1" t="str">
        <f t="array" ref="C966">IF(B965="NEW ROUTE",TEXTSPLIT(B966,","),"")</f>
        <v/>
      </c>
      <c r="H966" s="1" t="str">
        <f t="shared" ref="H966:I966" si="968">IF(C966&lt;&gt;"",DEC2HEX(C966,2),"")</f>
        <v/>
      </c>
      <c r="I966" s="1" t="str">
        <f t="shared" si="968"/>
        <v/>
      </c>
      <c r="J966" s="1" t="str">
        <f t="shared" si="3"/>
        <v/>
      </c>
      <c r="L966" s="1" t="s">
        <v>3109</v>
      </c>
      <c r="M966" s="1" t="str">
        <f t="shared" si="4"/>
        <v>42, 42, GEODUDE</v>
      </c>
    </row>
    <row r="967" ht="12.75" customHeight="1">
      <c r="A967" s="3" t="s">
        <v>3108</v>
      </c>
      <c r="B967" s="3" t="str">
        <f t="shared" si="1"/>
        <v>24, 24, SLUGMA</v>
      </c>
      <c r="C967" s="1" t="str">
        <f t="array" ref="C967">IF(B966="NEW ROUTE",TEXTSPLIT(B967,","),"")</f>
        <v/>
      </c>
      <c r="H967" s="1" t="str">
        <f t="shared" ref="H967:I967" si="969">IF(C967&lt;&gt;"",DEC2HEX(C967,2),"")</f>
        <v/>
      </c>
      <c r="I967" s="1" t="str">
        <f t="shared" si="969"/>
        <v/>
      </c>
      <c r="J967" s="1" t="str">
        <f t="shared" si="3"/>
        <v/>
      </c>
      <c r="L967" s="1" t="s">
        <v>3108</v>
      </c>
      <c r="M967" s="1" t="str">
        <f t="shared" si="4"/>
        <v>24, 24, SLUGMA</v>
      </c>
    </row>
    <row r="968" ht="12.75" customHeight="1">
      <c r="A968" s="3" t="s">
        <v>3110</v>
      </c>
      <c r="B968" s="3" t="str">
        <f t="shared" si="1"/>
        <v>28, 28, SLUGMA</v>
      </c>
      <c r="C968" s="1" t="str">
        <f t="array" ref="C968">IF(B967="NEW ROUTE",TEXTSPLIT(B968,","),"")</f>
        <v/>
      </c>
      <c r="H968" s="1" t="str">
        <f t="shared" ref="H968:I968" si="970">IF(C968&lt;&gt;"",DEC2HEX(C968,2),"")</f>
        <v/>
      </c>
      <c r="I968" s="1" t="str">
        <f t="shared" si="970"/>
        <v/>
      </c>
      <c r="J968" s="1" t="str">
        <f t="shared" si="3"/>
        <v/>
      </c>
      <c r="L968" s="1" t="s">
        <v>3110</v>
      </c>
      <c r="M968" s="1" t="str">
        <f t="shared" si="4"/>
        <v>28, 28, SLUGMA</v>
      </c>
    </row>
    <row r="969" ht="12.75" customHeight="1">
      <c r="A969" s="3" t="s">
        <v>3111</v>
      </c>
      <c r="B969" s="3" t="str">
        <f t="shared" si="1"/>
        <v>30, 30, SLUGMA</v>
      </c>
      <c r="C969" s="1" t="str">
        <f t="array" ref="C969">IF(B968="NEW ROUTE",TEXTSPLIT(B969,","),"")</f>
        <v/>
      </c>
      <c r="H969" s="1" t="str">
        <f t="shared" ref="H969:I969" si="971">IF(C969&lt;&gt;"",DEC2HEX(C969,2),"")</f>
        <v/>
      </c>
      <c r="I969" s="1" t="str">
        <f t="shared" si="971"/>
        <v/>
      </c>
      <c r="J969" s="1" t="str">
        <f t="shared" si="3"/>
        <v/>
      </c>
      <c r="L969" s="1" t="s">
        <v>3111</v>
      </c>
      <c r="M969" s="1" t="str">
        <f t="shared" si="4"/>
        <v>30, 30, SLUGMA</v>
      </c>
    </row>
    <row r="970" ht="12.75" customHeight="1">
      <c r="A970" s="3" t="s">
        <v>2807</v>
      </c>
      <c r="B970" s="3" t="str">
        <f t="shared" si="1"/>
        <v>0.05</v>
      </c>
      <c r="C970" s="1" t="str">
        <f t="array" ref="C970">IF(B969="NEW ROUTE",TEXTSPLIT(B970,","),"")</f>
        <v/>
      </c>
      <c r="H970" s="1" t="str">
        <f t="shared" ref="H970:I970" si="972">IF(C970&lt;&gt;"",DEC2HEX(C970,2),"")</f>
        <v/>
      </c>
      <c r="I970" s="1" t="str">
        <f t="shared" si="972"/>
        <v/>
      </c>
      <c r="J970" s="1" t="str">
        <f t="shared" si="3"/>
        <v/>
      </c>
      <c r="L970" s="1" t="s">
        <v>2807</v>
      </c>
      <c r="M970" s="1" t="str">
        <f t="shared" si="4"/>
        <v>0.05</v>
      </c>
    </row>
    <row r="971" ht="12.75" customHeight="1">
      <c r="A971" s="3" t="s">
        <v>3113</v>
      </c>
      <c r="B971" s="3" t="str">
        <f t="shared" si="1"/>
        <v>44, 44, GEODUDE</v>
      </c>
      <c r="C971" s="1" t="str">
        <f t="array" ref="C971">IF(B970="NEW ROUTE",TEXTSPLIT(B971,","),"")</f>
        <v/>
      </c>
      <c r="H971" s="1" t="str">
        <f t="shared" ref="H971:I971" si="973">IF(C971&lt;&gt;"",DEC2HEX(C971,2),"")</f>
        <v/>
      </c>
      <c r="I971" s="1" t="str">
        <f t="shared" si="973"/>
        <v/>
      </c>
      <c r="J971" s="1" t="str">
        <f t="shared" si="3"/>
        <v/>
      </c>
      <c r="L971" s="1" t="s">
        <v>3113</v>
      </c>
      <c r="M971" s="1" t="str">
        <f t="shared" si="4"/>
        <v>44, 44, GEODUDE</v>
      </c>
    </row>
    <row r="972" ht="12.75" customHeight="1">
      <c r="A972" s="3" t="s">
        <v>3114</v>
      </c>
      <c r="B972" s="3" t="str">
        <f t="shared" si="1"/>
        <v>32, 32, SLUGMA</v>
      </c>
      <c r="C972" s="1" t="str">
        <f t="array" ref="C972">IF(B971="NEW ROUTE",TEXTSPLIT(B972,","),"")</f>
        <v/>
      </c>
      <c r="H972" s="1" t="str">
        <f t="shared" ref="H972:I972" si="974">IF(C972&lt;&gt;"",DEC2HEX(C972,2),"")</f>
        <v/>
      </c>
      <c r="I972" s="1" t="str">
        <f t="shared" si="974"/>
        <v/>
      </c>
      <c r="J972" s="1" t="str">
        <f t="shared" si="3"/>
        <v/>
      </c>
      <c r="L972" s="1" t="s">
        <v>3114</v>
      </c>
      <c r="M972" s="1" t="str">
        <f t="shared" si="4"/>
        <v>32, 32, SLUGMA</v>
      </c>
    </row>
    <row r="973" ht="12.75" customHeight="1">
      <c r="A973" s="3" t="s">
        <v>2810</v>
      </c>
      <c r="B973" s="3" t="str">
        <f t="shared" si="1"/>
        <v>0.04</v>
      </c>
      <c r="C973" s="1" t="str">
        <f t="array" ref="C973">IF(B972="NEW ROUTE",TEXTSPLIT(B973,","),"")</f>
        <v/>
      </c>
      <c r="H973" s="1" t="str">
        <f t="shared" ref="H973:I973" si="975">IF(C973&lt;&gt;"",DEC2HEX(C973,2),"")</f>
        <v/>
      </c>
      <c r="I973" s="1" t="str">
        <f t="shared" si="975"/>
        <v/>
      </c>
      <c r="J973" s="1" t="str">
        <f t="shared" si="3"/>
        <v/>
      </c>
      <c r="L973" s="1" t="s">
        <v>2810</v>
      </c>
      <c r="M973" s="1" t="str">
        <f t="shared" si="4"/>
        <v>0.04</v>
      </c>
    </row>
    <row r="974" ht="12.75" customHeight="1">
      <c r="A974" s="3" t="s">
        <v>3113</v>
      </c>
      <c r="B974" s="3" t="str">
        <f t="shared" si="1"/>
        <v>44, 44, GEODUDE</v>
      </c>
      <c r="C974" s="1" t="str">
        <f t="array" ref="C974">IF(B973="NEW ROUTE",TEXTSPLIT(B974,","),"")</f>
        <v/>
      </c>
      <c r="H974" s="1" t="str">
        <f t="shared" ref="H974:I974" si="976">IF(C974&lt;&gt;"",DEC2HEX(C974,2),"")</f>
        <v/>
      </c>
      <c r="I974" s="1" t="str">
        <f t="shared" si="976"/>
        <v/>
      </c>
      <c r="J974" s="1" t="str">
        <f t="shared" si="3"/>
        <v/>
      </c>
      <c r="L974" s="1" t="s">
        <v>3113</v>
      </c>
      <c r="M974" s="1" t="str">
        <f t="shared" si="4"/>
        <v>44, 44, GEODUDE</v>
      </c>
    </row>
    <row r="975" ht="12.75" customHeight="1">
      <c r="A975" s="3" t="s">
        <v>3115</v>
      </c>
      <c r="B975" s="3" t="str">
        <f t="shared" si="1"/>
        <v>22, 22, SLUGMA</v>
      </c>
      <c r="C975" s="1" t="str">
        <f t="array" ref="C975">IF(B974="NEW ROUTE",TEXTSPLIT(B975,","),"")</f>
        <v/>
      </c>
      <c r="H975" s="1" t="str">
        <f t="shared" ref="H975:I975" si="977">IF(C975&lt;&gt;"",DEC2HEX(C975,2),"")</f>
        <v/>
      </c>
      <c r="I975" s="1" t="str">
        <f t="shared" si="977"/>
        <v/>
      </c>
      <c r="J975" s="1" t="str">
        <f t="shared" si="3"/>
        <v/>
      </c>
      <c r="L975" s="1" t="s">
        <v>3115</v>
      </c>
      <c r="M975" s="1" t="str">
        <f t="shared" si="4"/>
        <v>22, 22, SLUGMA</v>
      </c>
    </row>
    <row r="976" ht="12.75" customHeight="1">
      <c r="A976" s="3" t="s">
        <v>2813</v>
      </c>
      <c r="B976" s="3" t="str">
        <f t="shared" si="1"/>
        <v>0.01</v>
      </c>
      <c r="C976" s="1" t="str">
        <f t="array" ref="C976">IF(B975="NEW ROUTE",TEXTSPLIT(B976,","),"")</f>
        <v/>
      </c>
      <c r="H976" s="1" t="str">
        <f t="shared" ref="H976:I976" si="978">IF(C976&lt;&gt;"",DEC2HEX(C976,2),"")</f>
        <v/>
      </c>
      <c r="I976" s="1" t="str">
        <f t="shared" si="978"/>
        <v/>
      </c>
      <c r="J976" s="1" t="str">
        <f t="shared" si="3"/>
        <v/>
      </c>
      <c r="L976" s="1" t="s">
        <v>2813</v>
      </c>
      <c r="M976" s="1" t="str">
        <f t="shared" si="4"/>
        <v>0.01</v>
      </c>
    </row>
    <row r="977" ht="12.75" customHeight="1">
      <c r="A977" s="3" t="s">
        <v>3113</v>
      </c>
      <c r="B977" s="3" t="str">
        <f t="shared" si="1"/>
        <v>44, 44, GEODUDE</v>
      </c>
      <c r="C977" s="1" t="str">
        <f t="array" ref="C977">IF(B976="NEW ROUTE",TEXTSPLIT(B977,","),"")</f>
        <v/>
      </c>
      <c r="H977" s="1" t="str">
        <f t="shared" ref="H977:I977" si="979">IF(C977&lt;&gt;"",DEC2HEX(C977,2),"")</f>
        <v/>
      </c>
      <c r="I977" s="1" t="str">
        <f t="shared" si="979"/>
        <v/>
      </c>
      <c r="J977" s="1" t="str">
        <f t="shared" si="3"/>
        <v/>
      </c>
      <c r="L977" s="1" t="s">
        <v>3113</v>
      </c>
      <c r="M977" s="1" t="str">
        <f t="shared" si="4"/>
        <v>44, 44, GEODUDE</v>
      </c>
    </row>
    <row r="978" ht="12.75" customHeight="1">
      <c r="A978" s="3" t="s">
        <v>3115</v>
      </c>
      <c r="B978" s="3" t="str">
        <f t="shared" si="1"/>
        <v>22, 22, SLUGMA</v>
      </c>
      <c r="C978" s="1" t="str">
        <f t="array" ref="C978">IF(B977="NEW ROUTE",TEXTSPLIT(B978,","),"")</f>
        <v/>
      </c>
      <c r="H978" s="1" t="str">
        <f t="shared" ref="H978:I978" si="980">IF(C978&lt;&gt;"",DEC2HEX(C978,2),"")</f>
        <v/>
      </c>
      <c r="I978" s="1" t="str">
        <f t="shared" si="980"/>
        <v/>
      </c>
      <c r="J978" s="1" t="str">
        <f t="shared" si="3"/>
        <v/>
      </c>
      <c r="L978" s="1" t="s">
        <v>3115</v>
      </c>
      <c r="M978" s="1" t="str">
        <f t="shared" si="4"/>
        <v>22, 22, SLUGMA</v>
      </c>
    </row>
    <row r="979" ht="12.75" customHeight="1">
      <c r="A979" s="3" t="s">
        <v>3102</v>
      </c>
      <c r="B979" s="3" t="str">
        <f t="shared" si="1"/>
        <v>50, 25, 35, GEODUDE</v>
      </c>
      <c r="C979" s="1" t="str">
        <f t="array" ref="C979">IF(B978="NEW ROUTE",TEXTSPLIT(B979,","),"")</f>
        <v/>
      </c>
      <c r="H979" s="1" t="str">
        <f t="shared" ref="H979:I979" si="981">IF(C979&lt;&gt;"",DEC2HEX(C979,2),"")</f>
        <v/>
      </c>
      <c r="I979" s="1" t="str">
        <f t="shared" si="981"/>
        <v/>
      </c>
      <c r="J979" s="1" t="str">
        <f t="shared" si="3"/>
        <v/>
      </c>
      <c r="L979" s="1" t="s">
        <v>3102</v>
      </c>
      <c r="M979" s="1" t="str">
        <f t="shared" si="4"/>
        <v>50, 25, 35, GEODUDE</v>
      </c>
    </row>
    <row r="980" ht="12.75" customHeight="1">
      <c r="A980" s="3" t="s">
        <v>3103</v>
      </c>
      <c r="B980" s="3" t="str">
        <f t="shared" si="1"/>
        <v>30, 45, GRAVELER</v>
      </c>
      <c r="C980" s="1" t="str">
        <f t="array" ref="C980">IF(B979="NEW ROUTE",TEXTSPLIT(B980,","),"")</f>
        <v/>
      </c>
      <c r="H980" s="1" t="str">
        <f t="shared" ref="H980:I980" si="982">IF(C980&lt;&gt;"",DEC2HEX(C980,2),"")</f>
        <v/>
      </c>
      <c r="I980" s="1" t="str">
        <f t="shared" si="982"/>
        <v/>
      </c>
      <c r="J980" s="1" t="str">
        <f t="shared" si="3"/>
        <v/>
      </c>
      <c r="L980" s="1" t="s">
        <v>3103</v>
      </c>
      <c r="M980" s="1" t="str">
        <f t="shared" si="4"/>
        <v>30, 45, GRAVELER</v>
      </c>
    </row>
    <row r="981" ht="12.75" customHeight="1">
      <c r="A981" s="3" t="s">
        <v>3104</v>
      </c>
      <c r="B981" s="3" t="str">
        <f t="shared" si="1"/>
        <v>35, 50, GRAVELER</v>
      </c>
      <c r="C981" s="1" t="str">
        <f t="array" ref="C981">IF(B980="NEW ROUTE",TEXTSPLIT(B981,","),"")</f>
        <v/>
      </c>
      <c r="H981" s="1" t="str">
        <f t="shared" ref="H981:I981" si="983">IF(C981&lt;&gt;"",DEC2HEX(C981,2),"")</f>
        <v/>
      </c>
      <c r="I981" s="1" t="str">
        <f t="shared" si="983"/>
        <v/>
      </c>
      <c r="J981" s="1" t="str">
        <f t="shared" si="3"/>
        <v/>
      </c>
      <c r="L981" s="1" t="s">
        <v>3104</v>
      </c>
      <c r="M981" s="1" t="str">
        <f t="shared" si="4"/>
        <v>35, 50, GRAVELER</v>
      </c>
    </row>
    <row r="982" ht="12.75" customHeight="1">
      <c r="A982" s="3" t="s">
        <v>3105</v>
      </c>
      <c r="B982" s="3" t="str">
        <f t="shared" si="1"/>
        <v>30, 40, GEODUDE</v>
      </c>
      <c r="C982" s="1" t="str">
        <f t="array" ref="C982">IF(B981="NEW ROUTE",TEXTSPLIT(B982,","),"")</f>
        <v/>
      </c>
      <c r="H982" s="1" t="str">
        <f t="shared" ref="H982:I982" si="984">IF(C982&lt;&gt;"",DEC2HEX(C982,2),"")</f>
        <v/>
      </c>
      <c r="I982" s="1" t="str">
        <f t="shared" si="984"/>
        <v/>
      </c>
      <c r="J982" s="1" t="str">
        <f t="shared" si="3"/>
        <v/>
      </c>
      <c r="L982" s="1" t="s">
        <v>3105</v>
      </c>
      <c r="M982" s="1" t="str">
        <f t="shared" si="4"/>
        <v>30, 40, GEODUDE</v>
      </c>
    </row>
    <row r="983" ht="12.75" customHeight="1">
      <c r="A983" s="3" t="s">
        <v>3106</v>
      </c>
      <c r="B983" s="3" t="str">
        <f t="shared" si="1"/>
        <v>30, 40, GEODUDE , &lt;null&gt;</v>
      </c>
      <c r="C983" s="1" t="str">
        <f t="array" ref="C983">IF(B982="NEW ROUTE",TEXTSPLIT(B983,","),"")</f>
        <v/>
      </c>
      <c r="H983" s="1" t="str">
        <f t="shared" ref="H983:I983" si="985">IF(C983&lt;&gt;"",DEC2HEX(C983,2),"")</f>
        <v/>
      </c>
      <c r="I983" s="1" t="str">
        <f t="shared" si="985"/>
        <v/>
      </c>
      <c r="J983" s="1" t="str">
        <f t="shared" si="3"/>
        <v/>
      </c>
      <c r="L983" s="1" t="s">
        <v>3106</v>
      </c>
      <c r="M983" s="1" t="str">
        <f t="shared" si="4"/>
        <v>30, 40, GEODUDE , &lt;null&gt;</v>
      </c>
    </row>
    <row r="984" ht="12.75" customHeight="1">
      <c r="A984" s="3" t="s">
        <v>2539</v>
      </c>
      <c r="B984" s="3" t="str">
        <f t="shared" si="1"/>
        <v>NEW ROUTE</v>
      </c>
      <c r="C984" s="1" t="str">
        <f t="array" ref="C984">IF(B983="NEW ROUTE",TEXTSPLIT(B984,","),"")</f>
        <v/>
      </c>
      <c r="H984" s="1" t="str">
        <f t="shared" ref="H984:I984" si="986">IF(C984&lt;&gt;"",DEC2HEX(C984,2),"")</f>
        <v/>
      </c>
      <c r="I984" s="1" t="str">
        <f t="shared" si="986"/>
        <v/>
      </c>
      <c r="J984" s="1" t="str">
        <f t="shared" si="3"/>
        <v/>
      </c>
      <c r="L984" s="1" t="s">
        <v>2539</v>
      </c>
      <c r="M984" s="1" t="str">
        <f t="shared" si="4"/>
        <v>NEW ROUTE</v>
      </c>
    </row>
    <row r="985" ht="12.75" customHeight="1">
      <c r="A985" s="3" t="s">
        <v>3127</v>
      </c>
      <c r="B985" s="3" t="str">
        <f t="shared" si="1"/>
        <v>1, 108, 0,</v>
      </c>
      <c r="C985" s="1" t="str">
        <f t="array" ref="C985">IF(B984="NEW ROUTE",TEXTSPLIT(B985,","),"")</f>
        <v>#NAME?</v>
      </c>
      <c r="H985" s="1" t="str">
        <f t="shared" ref="H985:I985" si="987">IF(C985&lt;&gt;"",DEC2HEX(C985,2),"")</f>
        <v>#NAME?</v>
      </c>
      <c r="I985" s="1" t="str">
        <f t="shared" si="987"/>
        <v/>
      </c>
      <c r="J985" s="1" t="str">
        <f t="shared" si="3"/>
        <v>#NAME?</v>
      </c>
      <c r="L985" s="1" t="s">
        <v>3127</v>
      </c>
      <c r="M985" s="1" t="str">
        <f t="shared" si="4"/>
        <v>#NAME?</v>
      </c>
    </row>
    <row r="986" ht="12.75" customHeight="1">
      <c r="A986" s="3" t="s">
        <v>2817</v>
      </c>
      <c r="B986" s="3" t="str">
        <f t="shared" si="1"/>
        <v>20%</v>
      </c>
      <c r="C986" s="1" t="str">
        <f t="array" ref="C986">IF(B985="NEW ROUTE",TEXTSPLIT(B986,","),"")</f>
        <v/>
      </c>
      <c r="H986" s="1" t="str">
        <f t="shared" ref="H986:I986" si="988">IF(C986&lt;&gt;"",DEC2HEX(C986,2),"")</f>
        <v/>
      </c>
      <c r="I986" s="1" t="str">
        <f t="shared" si="988"/>
        <v/>
      </c>
      <c r="J986" s="1" t="str">
        <f t="shared" si="3"/>
        <v/>
      </c>
      <c r="L986" s="1" t="s">
        <v>2799</v>
      </c>
      <c r="M986" s="1" t="str">
        <f t="shared" si="4"/>
        <v>20%</v>
      </c>
    </row>
    <row r="987" ht="12.75" customHeight="1">
      <c r="A987" s="3" t="s">
        <v>692</v>
      </c>
      <c r="B987" s="3" t="str">
        <f t="shared" si="1"/>
        <v>38, 38, GEODUDE</v>
      </c>
      <c r="C987" s="1" t="str">
        <f t="array" ref="C987">IF(B986="NEW ROUTE",TEXTSPLIT(B987,","),"")</f>
        <v/>
      </c>
      <c r="H987" s="1" t="str">
        <f t="shared" ref="H987:I987" si="989">IF(C987&lt;&gt;"",DEC2HEX(C987,2),"")</f>
        <v/>
      </c>
      <c r="I987" s="1" t="str">
        <f t="shared" si="989"/>
        <v/>
      </c>
      <c r="J987" s="1" t="str">
        <f t="shared" si="3"/>
        <v/>
      </c>
      <c r="L987" s="1" t="s">
        <v>692</v>
      </c>
      <c r="M987" s="1" t="str">
        <f t="shared" si="4"/>
        <v>38, 38, GEODUDE</v>
      </c>
    </row>
    <row r="988" ht="12.75" customHeight="1">
      <c r="A988" s="3" t="s">
        <v>680</v>
      </c>
      <c r="B988" s="3" t="str">
        <f t="shared" si="1"/>
        <v>36, 36, GEODUDE</v>
      </c>
      <c r="C988" s="1" t="str">
        <f t="array" ref="C988">IF(B987="NEW ROUTE",TEXTSPLIT(B988,","),"")</f>
        <v/>
      </c>
      <c r="H988" s="1" t="str">
        <f t="shared" ref="H988:I988" si="990">IF(C988&lt;&gt;"",DEC2HEX(C988,2),"")</f>
        <v/>
      </c>
      <c r="I988" s="1" t="str">
        <f t="shared" si="990"/>
        <v/>
      </c>
      <c r="J988" s="1" t="str">
        <f t="shared" si="3"/>
        <v/>
      </c>
      <c r="L988" s="1" t="s">
        <v>680</v>
      </c>
      <c r="M988" s="1" t="str">
        <f t="shared" si="4"/>
        <v>36, 36, GEODUDE</v>
      </c>
    </row>
    <row r="989" ht="12.75" customHeight="1">
      <c r="A989" s="3" t="s">
        <v>2802</v>
      </c>
      <c r="B989" s="3" t="str">
        <f t="shared" si="1"/>
        <v>0.1</v>
      </c>
      <c r="C989" s="1" t="str">
        <f t="array" ref="C989">IF(B988="NEW ROUTE",TEXTSPLIT(B989,","),"")</f>
        <v/>
      </c>
      <c r="H989" s="1" t="str">
        <f t="shared" ref="H989:I989" si="991">IF(C989&lt;&gt;"",DEC2HEX(C989,2),"")</f>
        <v/>
      </c>
      <c r="I989" s="1" t="str">
        <f t="shared" si="991"/>
        <v/>
      </c>
      <c r="J989" s="1" t="str">
        <f t="shared" si="3"/>
        <v/>
      </c>
      <c r="L989" s="1" t="s">
        <v>2802</v>
      </c>
      <c r="M989" s="1" t="str">
        <f t="shared" si="4"/>
        <v>0.1</v>
      </c>
    </row>
    <row r="990" ht="12.75" customHeight="1">
      <c r="A990" s="3" t="s">
        <v>669</v>
      </c>
      <c r="B990" s="3" t="str">
        <f t="shared" si="1"/>
        <v>34, 34, GEODUDE</v>
      </c>
      <c r="C990" s="1" t="str">
        <f t="array" ref="C990">IF(B989="NEW ROUTE",TEXTSPLIT(B990,","),"")</f>
        <v/>
      </c>
      <c r="H990" s="1" t="str">
        <f t="shared" ref="H990:I990" si="992">IF(C990&lt;&gt;"",DEC2HEX(C990,2),"")</f>
        <v/>
      </c>
      <c r="I990" s="1" t="str">
        <f t="shared" si="992"/>
        <v/>
      </c>
      <c r="J990" s="1" t="str">
        <f t="shared" si="3"/>
        <v/>
      </c>
      <c r="L990" s="1" t="s">
        <v>669</v>
      </c>
      <c r="M990" s="1" t="str">
        <f t="shared" si="4"/>
        <v>34, 34, GEODUDE</v>
      </c>
    </row>
    <row r="991" ht="12.75" customHeight="1">
      <c r="A991" s="3" t="s">
        <v>701</v>
      </c>
      <c r="B991" s="3" t="str">
        <f t="shared" si="1"/>
        <v>40, 40, GEODUDE</v>
      </c>
      <c r="C991" s="1" t="str">
        <f t="array" ref="C991">IF(B990="NEW ROUTE",TEXTSPLIT(B991,","),"")</f>
        <v/>
      </c>
      <c r="H991" s="1" t="str">
        <f t="shared" ref="H991:I991" si="993">IF(C991&lt;&gt;"",DEC2HEX(C991,2),"")</f>
        <v/>
      </c>
      <c r="I991" s="1" t="str">
        <f t="shared" si="993"/>
        <v/>
      </c>
      <c r="J991" s="1" t="str">
        <f t="shared" si="3"/>
        <v/>
      </c>
      <c r="L991" s="1" t="s">
        <v>701</v>
      </c>
      <c r="M991" s="1" t="str">
        <f t="shared" si="4"/>
        <v>40, 40, GEODUDE</v>
      </c>
    </row>
    <row r="992" ht="12.75" customHeight="1">
      <c r="A992" s="3" t="s">
        <v>3108</v>
      </c>
      <c r="B992" s="3" t="str">
        <f t="shared" si="1"/>
        <v>24, 24, SLUGMA</v>
      </c>
      <c r="C992" s="1" t="str">
        <f t="array" ref="C992">IF(B991="NEW ROUTE",TEXTSPLIT(B992,","),"")</f>
        <v/>
      </c>
      <c r="H992" s="1" t="str">
        <f t="shared" ref="H992:I992" si="994">IF(C992&lt;&gt;"",DEC2HEX(C992,2),"")</f>
        <v/>
      </c>
      <c r="I992" s="1" t="str">
        <f t="shared" si="994"/>
        <v/>
      </c>
      <c r="J992" s="1" t="str">
        <f t="shared" si="3"/>
        <v/>
      </c>
      <c r="L992" s="1" t="s">
        <v>3108</v>
      </c>
      <c r="M992" s="1" t="str">
        <f t="shared" si="4"/>
        <v>24, 24, SLUGMA</v>
      </c>
    </row>
    <row r="993" ht="12.75" customHeight="1">
      <c r="A993" s="3" t="s">
        <v>707</v>
      </c>
      <c r="B993" s="3" t="str">
        <f t="shared" si="1"/>
        <v>26, 26, SLUGMA</v>
      </c>
      <c r="C993" s="1" t="str">
        <f t="array" ref="C993">IF(B992="NEW ROUTE",TEXTSPLIT(B993,","),"")</f>
        <v/>
      </c>
      <c r="H993" s="1" t="str">
        <f t="shared" ref="H993:I993" si="995">IF(C993&lt;&gt;"",DEC2HEX(C993,2),"")</f>
        <v/>
      </c>
      <c r="I993" s="1" t="str">
        <f t="shared" si="995"/>
        <v/>
      </c>
      <c r="J993" s="1" t="str">
        <f t="shared" si="3"/>
        <v/>
      </c>
      <c r="L993" s="1" t="s">
        <v>707</v>
      </c>
      <c r="M993" s="1" t="str">
        <f t="shared" si="4"/>
        <v>26, 26, SLUGMA</v>
      </c>
    </row>
    <row r="994" ht="12.75" customHeight="1">
      <c r="A994" s="3" t="s">
        <v>2807</v>
      </c>
      <c r="B994" s="3" t="str">
        <f t="shared" si="1"/>
        <v>0.05</v>
      </c>
      <c r="C994" s="1" t="str">
        <f t="array" ref="C994">IF(B993="NEW ROUTE",TEXTSPLIT(B994,","),"")</f>
        <v/>
      </c>
      <c r="H994" s="1" t="str">
        <f t="shared" ref="H994:I994" si="996">IF(C994&lt;&gt;"",DEC2HEX(C994,2),"")</f>
        <v/>
      </c>
      <c r="I994" s="1" t="str">
        <f t="shared" si="996"/>
        <v/>
      </c>
      <c r="J994" s="1" t="str">
        <f t="shared" si="3"/>
        <v/>
      </c>
      <c r="L994" s="1" t="s">
        <v>2807</v>
      </c>
      <c r="M994" s="1" t="str">
        <f t="shared" si="4"/>
        <v>0.05</v>
      </c>
    </row>
    <row r="995" ht="12.75" customHeight="1">
      <c r="A995" s="3" t="s">
        <v>3109</v>
      </c>
      <c r="B995" s="3" t="str">
        <f t="shared" si="1"/>
        <v>42, 42, GEODUDE</v>
      </c>
      <c r="C995" s="1" t="str">
        <f t="array" ref="C995">IF(B994="NEW ROUTE",TEXTSPLIT(B995,","),"")</f>
        <v/>
      </c>
      <c r="H995" s="1" t="str">
        <f t="shared" ref="H995:I995" si="997">IF(C995&lt;&gt;"",DEC2HEX(C995,2),"")</f>
        <v/>
      </c>
      <c r="I995" s="1" t="str">
        <f t="shared" si="997"/>
        <v/>
      </c>
      <c r="J995" s="1" t="str">
        <f t="shared" si="3"/>
        <v/>
      </c>
      <c r="L995" s="1" t="s">
        <v>3109</v>
      </c>
      <c r="M995" s="1" t="str">
        <f t="shared" si="4"/>
        <v>42, 42, GEODUDE</v>
      </c>
    </row>
    <row r="996" ht="12.75" customHeight="1">
      <c r="A996" s="3" t="s">
        <v>3110</v>
      </c>
      <c r="B996" s="3" t="str">
        <f t="shared" si="1"/>
        <v>28, 28, SLUGMA</v>
      </c>
      <c r="C996" s="1" t="str">
        <f t="array" ref="C996">IF(B995="NEW ROUTE",TEXTSPLIT(B996,","),"")</f>
        <v/>
      </c>
      <c r="H996" s="1" t="str">
        <f t="shared" ref="H996:I996" si="998">IF(C996&lt;&gt;"",DEC2HEX(C996,2),"")</f>
        <v/>
      </c>
      <c r="I996" s="1" t="str">
        <f t="shared" si="998"/>
        <v/>
      </c>
      <c r="J996" s="1" t="str">
        <f t="shared" si="3"/>
        <v/>
      </c>
      <c r="L996" s="1" t="s">
        <v>3110</v>
      </c>
      <c r="M996" s="1" t="str">
        <f t="shared" si="4"/>
        <v>28, 28, SLUGMA</v>
      </c>
    </row>
    <row r="997" ht="12.75" customHeight="1">
      <c r="A997" s="3" t="s">
        <v>2810</v>
      </c>
      <c r="B997" s="3" t="str">
        <f t="shared" si="1"/>
        <v>0.04</v>
      </c>
      <c r="C997" s="1" t="str">
        <f t="array" ref="C997">IF(B996="NEW ROUTE",TEXTSPLIT(B997,","),"")</f>
        <v/>
      </c>
      <c r="H997" s="1" t="str">
        <f t="shared" ref="H997:I997" si="999">IF(C997&lt;&gt;"",DEC2HEX(C997,2),"")</f>
        <v/>
      </c>
      <c r="I997" s="1" t="str">
        <f t="shared" si="999"/>
        <v/>
      </c>
      <c r="J997" s="1" t="str">
        <f t="shared" si="3"/>
        <v/>
      </c>
      <c r="L997" s="1" t="s">
        <v>2810</v>
      </c>
      <c r="M997" s="1" t="str">
        <f t="shared" si="4"/>
        <v>0.04</v>
      </c>
    </row>
    <row r="998" ht="12.75" customHeight="1">
      <c r="A998" s="3" t="s">
        <v>3109</v>
      </c>
      <c r="B998" s="3" t="str">
        <f t="shared" si="1"/>
        <v>42, 42, GEODUDE</v>
      </c>
      <c r="C998" s="1" t="str">
        <f t="array" ref="C998">IF(B997="NEW ROUTE",TEXTSPLIT(B998,","),"")</f>
        <v/>
      </c>
      <c r="H998" s="1" t="str">
        <f t="shared" ref="H998:I998" si="1000">IF(C998&lt;&gt;"",DEC2HEX(C998,2),"")</f>
        <v/>
      </c>
      <c r="I998" s="1" t="str">
        <f t="shared" si="1000"/>
        <v/>
      </c>
      <c r="J998" s="1" t="str">
        <f t="shared" si="3"/>
        <v/>
      </c>
      <c r="L998" s="1" t="s">
        <v>3109</v>
      </c>
      <c r="M998" s="1" t="str">
        <f t="shared" si="4"/>
        <v>42, 42, GEODUDE</v>
      </c>
    </row>
    <row r="999" ht="12.75" customHeight="1">
      <c r="A999" s="3" t="s">
        <v>3111</v>
      </c>
      <c r="B999" s="3" t="str">
        <f t="shared" si="1"/>
        <v>30, 30, SLUGMA</v>
      </c>
      <c r="C999" s="1" t="str">
        <f t="array" ref="C999">IF(B998="NEW ROUTE",TEXTSPLIT(B999,","),"")</f>
        <v/>
      </c>
      <c r="H999" s="1" t="str">
        <f t="shared" ref="H999:I999" si="1001">IF(C999&lt;&gt;"",DEC2HEX(C999,2),"")</f>
        <v/>
      </c>
      <c r="I999" s="1" t="str">
        <f t="shared" si="1001"/>
        <v/>
      </c>
      <c r="J999" s="1" t="str">
        <f t="shared" si="3"/>
        <v/>
      </c>
      <c r="L999" s="1" t="s">
        <v>3111</v>
      </c>
      <c r="M999" s="1" t="str">
        <f t="shared" si="4"/>
        <v>30, 30, SLUGMA</v>
      </c>
    </row>
    <row r="1000" ht="12.75" customHeight="1">
      <c r="A1000" s="3" t="s">
        <v>2813</v>
      </c>
      <c r="B1000" s="3" t="str">
        <f t="shared" si="1"/>
        <v>0.01</v>
      </c>
      <c r="C1000" s="1" t="str">
        <f t="array" ref="C1000">IF(B999="NEW ROUTE",TEXTSPLIT(B1000,","),"")</f>
        <v/>
      </c>
      <c r="H1000" s="1" t="str">
        <f t="shared" ref="H1000:I1000" si="1002">IF(C1000&lt;&gt;"",DEC2HEX(C1000,2),"")</f>
        <v/>
      </c>
      <c r="I1000" s="1" t="str">
        <f t="shared" si="1002"/>
        <v/>
      </c>
      <c r="J1000" s="1" t="str">
        <f t="shared" si="3"/>
        <v/>
      </c>
      <c r="L1000" s="1" t="s">
        <v>2813</v>
      </c>
      <c r="M1000" s="1" t="str">
        <f t="shared" si="4"/>
        <v>0.01</v>
      </c>
    </row>
    <row r="1001" ht="12.75" customHeight="1">
      <c r="A1001" s="3" t="s">
        <v>3109</v>
      </c>
      <c r="B1001" s="3" t="str">
        <f t="shared" si="1"/>
        <v>42, 42, GEODUDE</v>
      </c>
      <c r="C1001" s="1" t="str">
        <f t="array" ref="C1001">IF(B1000="NEW ROUTE",TEXTSPLIT(B1001,","),"")</f>
        <v/>
      </c>
      <c r="H1001" s="1" t="str">
        <f t="shared" ref="H1001:I1001" si="1003">IF(C1001&lt;&gt;"",DEC2HEX(C1001,2),"")</f>
        <v/>
      </c>
      <c r="I1001" s="1" t="str">
        <f t="shared" si="1003"/>
        <v/>
      </c>
      <c r="J1001" s="1" t="str">
        <f t="shared" si="3"/>
        <v/>
      </c>
      <c r="L1001" s="1" t="s">
        <v>3109</v>
      </c>
      <c r="M1001" s="1" t="str">
        <f t="shared" si="4"/>
        <v>42, 42, GEODUDE</v>
      </c>
    </row>
    <row r="1002" ht="12.75" customHeight="1">
      <c r="A1002" s="3" t="s">
        <v>3111</v>
      </c>
      <c r="B1002" s="3" t="str">
        <f t="shared" si="1"/>
        <v>30, 30, SLUGMA</v>
      </c>
      <c r="C1002" s="1" t="str">
        <f t="array" ref="C1002">IF(B1001="NEW ROUTE",TEXTSPLIT(B1002,","),"")</f>
        <v/>
      </c>
      <c r="H1002" s="1" t="str">
        <f t="shared" ref="H1002:I1002" si="1004">IF(C1002&lt;&gt;"",DEC2HEX(C1002,2),"")</f>
        <v/>
      </c>
      <c r="I1002" s="1" t="str">
        <f t="shared" si="1004"/>
        <v/>
      </c>
      <c r="J1002" s="1" t="str">
        <f t="shared" si="3"/>
        <v/>
      </c>
      <c r="L1002" s="1" t="s">
        <v>3111</v>
      </c>
      <c r="M1002" s="1" t="str">
        <f t="shared" si="4"/>
        <v>30, 30, SLUGMA</v>
      </c>
    </row>
    <row r="1003" ht="12.75" customHeight="1">
      <c r="A1003" s="3" t="s">
        <v>3102</v>
      </c>
      <c r="B1003" s="3" t="str">
        <f t="shared" si="1"/>
        <v>50, 25, 35, GEODUDE</v>
      </c>
      <c r="C1003" s="1" t="str">
        <f t="array" ref="C1003">IF(B1002="NEW ROUTE",TEXTSPLIT(B1003,","),"")</f>
        <v/>
      </c>
      <c r="H1003" s="1" t="str">
        <f t="shared" ref="H1003:I1003" si="1005">IF(C1003&lt;&gt;"",DEC2HEX(C1003,2),"")</f>
        <v/>
      </c>
      <c r="I1003" s="1" t="str">
        <f t="shared" si="1005"/>
        <v/>
      </c>
      <c r="J1003" s="1" t="str">
        <f t="shared" si="3"/>
        <v/>
      </c>
      <c r="L1003" s="1" t="s">
        <v>3102</v>
      </c>
      <c r="M1003" s="1" t="str">
        <f t="shared" si="4"/>
        <v>50, 25, 35, GEODUDE</v>
      </c>
    </row>
    <row r="1004" ht="12.75" customHeight="1">
      <c r="A1004" s="3" t="s">
        <v>3103</v>
      </c>
      <c r="B1004" s="3" t="str">
        <f t="shared" si="1"/>
        <v>30, 45, GRAVELER</v>
      </c>
      <c r="C1004" s="1" t="str">
        <f t="array" ref="C1004">IF(B1003="NEW ROUTE",TEXTSPLIT(B1004,","),"")</f>
        <v/>
      </c>
      <c r="H1004" s="1" t="str">
        <f t="shared" ref="H1004:I1004" si="1006">IF(C1004&lt;&gt;"",DEC2HEX(C1004,2),"")</f>
        <v/>
      </c>
      <c r="I1004" s="1" t="str">
        <f t="shared" si="1006"/>
        <v/>
      </c>
      <c r="J1004" s="1" t="str">
        <f t="shared" si="3"/>
        <v/>
      </c>
      <c r="L1004" s="1" t="s">
        <v>3103</v>
      </c>
      <c r="M1004" s="1" t="str">
        <f t="shared" si="4"/>
        <v>30, 45, GRAVELER</v>
      </c>
    </row>
    <row r="1005" ht="12.75" customHeight="1">
      <c r="A1005" s="3" t="s">
        <v>3104</v>
      </c>
      <c r="B1005" s="3" t="str">
        <f t="shared" si="1"/>
        <v>35, 50, GRAVELER</v>
      </c>
      <c r="C1005" s="1" t="str">
        <f t="array" ref="C1005">IF(B1004="NEW ROUTE",TEXTSPLIT(B1005,","),"")</f>
        <v/>
      </c>
      <c r="H1005" s="1" t="str">
        <f t="shared" ref="H1005:I1005" si="1007">IF(C1005&lt;&gt;"",DEC2HEX(C1005,2),"")</f>
        <v/>
      </c>
      <c r="I1005" s="1" t="str">
        <f t="shared" si="1007"/>
        <v/>
      </c>
      <c r="J1005" s="1" t="str">
        <f t="shared" si="3"/>
        <v/>
      </c>
      <c r="L1005" s="1" t="s">
        <v>3104</v>
      </c>
      <c r="M1005" s="1" t="str">
        <f t="shared" si="4"/>
        <v>35, 50, GRAVELER</v>
      </c>
    </row>
    <row r="1006" ht="12.75" customHeight="1">
      <c r="A1006" s="3" t="s">
        <v>3105</v>
      </c>
      <c r="B1006" s="3" t="str">
        <f t="shared" si="1"/>
        <v>30, 40, GEODUDE</v>
      </c>
      <c r="C1006" s="1" t="str">
        <f t="array" ref="C1006">IF(B1005="NEW ROUTE",TEXTSPLIT(B1006,","),"")</f>
        <v/>
      </c>
      <c r="H1006" s="1" t="str">
        <f t="shared" ref="H1006:I1006" si="1008">IF(C1006&lt;&gt;"",DEC2HEX(C1006,2),"")</f>
        <v/>
      </c>
      <c r="I1006" s="1" t="str">
        <f t="shared" si="1008"/>
        <v/>
      </c>
      <c r="J1006" s="1" t="str">
        <f t="shared" si="3"/>
        <v/>
      </c>
      <c r="L1006" s="1" t="s">
        <v>3105</v>
      </c>
      <c r="M1006" s="1" t="str">
        <f t="shared" si="4"/>
        <v>30, 40, GEODUDE</v>
      </c>
    </row>
    <row r="1007" ht="12.75" customHeight="1">
      <c r="A1007" s="3" t="s">
        <v>3106</v>
      </c>
      <c r="B1007" s="3" t="str">
        <f t="shared" si="1"/>
        <v>30, 40, GEODUDE , &lt;null&gt;</v>
      </c>
      <c r="C1007" s="1" t="str">
        <f t="array" ref="C1007">IF(B1006="NEW ROUTE",TEXTSPLIT(B1007,","),"")</f>
        <v/>
      </c>
      <c r="H1007" s="1" t="str">
        <f t="shared" ref="H1007:I1007" si="1009">IF(C1007&lt;&gt;"",DEC2HEX(C1007,2),"")</f>
        <v/>
      </c>
      <c r="I1007" s="1" t="str">
        <f t="shared" si="1009"/>
        <v/>
      </c>
      <c r="J1007" s="1" t="str">
        <f t="shared" si="3"/>
        <v/>
      </c>
      <c r="L1007" s="1" t="s">
        <v>3106</v>
      </c>
      <c r="M1007" s="1" t="str">
        <f t="shared" si="4"/>
        <v>30, 40, GEODUDE , &lt;null&gt;</v>
      </c>
    </row>
    <row r="1008" ht="12.75" customHeight="1">
      <c r="A1008" s="3" t="s">
        <v>2539</v>
      </c>
      <c r="B1008" s="3" t="str">
        <f t="shared" si="1"/>
        <v>NEW ROUTE</v>
      </c>
      <c r="C1008" s="1" t="str">
        <f t="array" ref="C1008">IF(B1007="NEW ROUTE",TEXTSPLIT(B1008,","),"")</f>
        <v/>
      </c>
      <c r="H1008" s="1" t="str">
        <f t="shared" ref="H1008:I1008" si="1010">IF(C1008&lt;&gt;"",DEC2HEX(C1008,2),"")</f>
        <v/>
      </c>
      <c r="I1008" s="1" t="str">
        <f t="shared" si="1010"/>
        <v/>
      </c>
      <c r="J1008" s="1" t="str">
        <f t="shared" si="3"/>
        <v/>
      </c>
      <c r="L1008" s="1" t="s">
        <v>2539</v>
      </c>
      <c r="M1008" s="1" t="str">
        <f t="shared" si="4"/>
        <v>NEW ROUTE</v>
      </c>
    </row>
    <row r="1009" ht="12.75" customHeight="1">
      <c r="A1009" s="3" t="s">
        <v>3128</v>
      </c>
      <c r="B1009" s="3" t="str">
        <f t="shared" si="1"/>
        <v>1, 109, 0,</v>
      </c>
      <c r="C1009" s="1" t="str">
        <f t="array" ref="C1009">IF(B1008="NEW ROUTE",TEXTSPLIT(B1009,","),"")</f>
        <v>#NAME?</v>
      </c>
      <c r="H1009" s="1" t="str">
        <f t="shared" ref="H1009:I1009" si="1011">IF(C1009&lt;&gt;"",DEC2HEX(C1009,2),"")</f>
        <v>#NAME?</v>
      </c>
      <c r="I1009" s="1" t="str">
        <f t="shared" si="1011"/>
        <v/>
      </c>
      <c r="J1009" s="1" t="str">
        <f t="shared" si="3"/>
        <v>#NAME?</v>
      </c>
      <c r="L1009" s="1" t="s">
        <v>3128</v>
      </c>
      <c r="M1009" s="1" t="str">
        <f t="shared" si="4"/>
        <v>#NAME?</v>
      </c>
    </row>
    <row r="1010" ht="12.75" customHeight="1">
      <c r="A1010" s="3" t="s">
        <v>2909</v>
      </c>
      <c r="B1010" s="3" t="str">
        <f t="shared" si="1"/>
        <v>20%</v>
      </c>
      <c r="C1010" s="1" t="str">
        <f t="array" ref="C1010">IF(B1009="NEW ROUTE",TEXTSPLIT(B1010,","),"")</f>
        <v/>
      </c>
      <c r="H1010" s="1" t="str">
        <f t="shared" ref="H1010:I1010" si="1012">IF(C1010&lt;&gt;"",DEC2HEX(C1010,2),"")</f>
        <v/>
      </c>
      <c r="I1010" s="1" t="str">
        <f t="shared" si="1012"/>
        <v/>
      </c>
      <c r="J1010" s="1" t="str">
        <f t="shared" si="3"/>
        <v/>
      </c>
      <c r="L1010" s="1" t="s">
        <v>2799</v>
      </c>
      <c r="M1010" s="1" t="str">
        <f t="shared" si="4"/>
        <v>20%</v>
      </c>
    </row>
    <row r="1011" ht="12.75" customHeight="1">
      <c r="A1011" s="3" t="s">
        <v>720</v>
      </c>
      <c r="B1011" s="3" t="str">
        <f t="shared" si="1"/>
        <v>37, 37, PIDGEOTTO</v>
      </c>
      <c r="C1011" s="1" t="str">
        <f t="array" ref="C1011">IF(B1010="NEW ROUTE",TEXTSPLIT(B1011,","),"")</f>
        <v/>
      </c>
      <c r="H1011" s="1" t="str">
        <f t="shared" ref="H1011:I1011" si="1013">IF(C1011&lt;&gt;"",DEC2HEX(C1011,2),"")</f>
        <v/>
      </c>
      <c r="I1011" s="1" t="str">
        <f t="shared" si="1013"/>
        <v/>
      </c>
      <c r="J1011" s="1" t="str">
        <f t="shared" si="3"/>
        <v/>
      </c>
      <c r="L1011" s="1" t="s">
        <v>720</v>
      </c>
      <c r="M1011" s="1" t="str">
        <f t="shared" si="4"/>
        <v>37, 37, PIDGEOTTO</v>
      </c>
    </row>
    <row r="1012" ht="12.75" customHeight="1">
      <c r="A1012" s="3" t="s">
        <v>3129</v>
      </c>
      <c r="B1012" s="3" t="str">
        <f t="shared" si="1"/>
        <v>35, 35, WEEPINBELL</v>
      </c>
      <c r="C1012" s="1" t="str">
        <f t="array" ref="C1012">IF(B1011="NEW ROUTE",TEXTSPLIT(B1012,","),"")</f>
        <v/>
      </c>
      <c r="H1012" s="1" t="str">
        <f t="shared" ref="H1012:I1012" si="1014">IF(C1012&lt;&gt;"",DEC2HEX(C1012,2),"")</f>
        <v/>
      </c>
      <c r="I1012" s="1" t="str">
        <f t="shared" si="1014"/>
        <v/>
      </c>
      <c r="J1012" s="1" t="str">
        <f t="shared" si="3"/>
        <v/>
      </c>
      <c r="L1012" s="1" t="s">
        <v>3129</v>
      </c>
      <c r="M1012" s="1" t="str">
        <f t="shared" si="4"/>
        <v>35, 35, WEEPINBELL</v>
      </c>
    </row>
    <row r="1013" ht="12.75" customHeight="1">
      <c r="A1013" s="3" t="s">
        <v>2802</v>
      </c>
      <c r="B1013" s="3" t="str">
        <f t="shared" si="1"/>
        <v>0.1</v>
      </c>
      <c r="C1013" s="1" t="str">
        <f t="array" ref="C1013">IF(B1012="NEW ROUTE",TEXTSPLIT(B1013,","),"")</f>
        <v/>
      </c>
      <c r="H1013" s="1" t="str">
        <f t="shared" ref="H1013:I1013" si="1015">IF(C1013&lt;&gt;"",DEC2HEX(C1013,2),"")</f>
        <v/>
      </c>
      <c r="I1013" s="1" t="str">
        <f t="shared" si="1015"/>
        <v/>
      </c>
      <c r="J1013" s="1" t="str">
        <f t="shared" si="3"/>
        <v/>
      </c>
      <c r="L1013" s="1" t="s">
        <v>2802</v>
      </c>
      <c r="M1013" s="1" t="str">
        <f t="shared" si="4"/>
        <v>0.1</v>
      </c>
    </row>
    <row r="1014" ht="12.75" customHeight="1">
      <c r="A1014" s="3" t="s">
        <v>846</v>
      </c>
      <c r="B1014" s="3" t="str">
        <f t="shared" si="1"/>
        <v>32, 32, PIDGEY</v>
      </c>
      <c r="C1014" s="1" t="str">
        <f t="array" ref="C1014">IF(B1013="NEW ROUTE",TEXTSPLIT(B1014,","),"")</f>
        <v/>
      </c>
      <c r="H1014" s="1" t="str">
        <f t="shared" ref="H1014:I1014" si="1016">IF(C1014&lt;&gt;"",DEC2HEX(C1014,2),"")</f>
        <v/>
      </c>
      <c r="I1014" s="1" t="str">
        <f t="shared" si="1016"/>
        <v/>
      </c>
      <c r="J1014" s="1" t="str">
        <f t="shared" si="3"/>
        <v/>
      </c>
      <c r="L1014" s="1" t="s">
        <v>846</v>
      </c>
      <c r="M1014" s="1" t="str">
        <f t="shared" si="4"/>
        <v>32, 32, PIDGEY</v>
      </c>
    </row>
    <row r="1015" ht="12.75" customHeight="1">
      <c r="A1015" s="3" t="s">
        <v>3130</v>
      </c>
      <c r="B1015" s="3" t="str">
        <f t="shared" si="1"/>
        <v>30, 30, BELLSPROUT</v>
      </c>
      <c r="C1015" s="1" t="str">
        <f t="array" ref="C1015">IF(B1014="NEW ROUTE",TEXTSPLIT(B1015,","),"")</f>
        <v/>
      </c>
      <c r="H1015" s="1" t="str">
        <f t="shared" ref="H1015:I1015" si="1017">IF(C1015&lt;&gt;"",DEC2HEX(C1015,2),"")</f>
        <v/>
      </c>
      <c r="I1015" s="1" t="str">
        <f t="shared" si="1017"/>
        <v/>
      </c>
      <c r="J1015" s="1" t="str">
        <f t="shared" si="3"/>
        <v/>
      </c>
      <c r="L1015" s="1" t="s">
        <v>3130</v>
      </c>
      <c r="M1015" s="1" t="str">
        <f t="shared" si="4"/>
        <v>30, 30, BELLSPROUT</v>
      </c>
    </row>
    <row r="1016" ht="12.75" customHeight="1">
      <c r="A1016" s="3" t="s">
        <v>3131</v>
      </c>
      <c r="B1016" s="3" t="str">
        <f t="shared" si="1"/>
        <v>34, 34, VENONAT</v>
      </c>
      <c r="C1016" s="1" t="str">
        <f t="array" ref="C1016">IF(B1015="NEW ROUTE",TEXTSPLIT(B1016,","),"")</f>
        <v/>
      </c>
      <c r="H1016" s="1" t="str">
        <f t="shared" ref="H1016:I1016" si="1018">IF(C1016&lt;&gt;"",DEC2HEX(C1016,2),"")</f>
        <v/>
      </c>
      <c r="I1016" s="1" t="str">
        <f t="shared" si="1018"/>
        <v/>
      </c>
      <c r="J1016" s="1" t="str">
        <f t="shared" si="3"/>
        <v/>
      </c>
      <c r="L1016" s="1" t="s">
        <v>3131</v>
      </c>
      <c r="M1016" s="1" t="str">
        <f t="shared" si="4"/>
        <v>34, 34, VENONAT</v>
      </c>
    </row>
    <row r="1017" ht="12.75" customHeight="1">
      <c r="A1017" s="3" t="s">
        <v>3132</v>
      </c>
      <c r="B1017" s="3" t="str">
        <f t="shared" si="1"/>
        <v>34, 34, DROWZEE</v>
      </c>
      <c r="C1017" s="1" t="str">
        <f t="array" ref="C1017">IF(B1016="NEW ROUTE",TEXTSPLIT(B1017,","),"")</f>
        <v/>
      </c>
      <c r="H1017" s="1" t="str">
        <f t="shared" ref="H1017:I1017" si="1019">IF(C1017&lt;&gt;"",DEC2HEX(C1017,2),"")</f>
        <v/>
      </c>
      <c r="I1017" s="1" t="str">
        <f t="shared" si="1019"/>
        <v/>
      </c>
      <c r="J1017" s="1" t="str">
        <f t="shared" si="3"/>
        <v/>
      </c>
      <c r="L1017" s="1" t="s">
        <v>3132</v>
      </c>
      <c r="M1017" s="1" t="str">
        <f t="shared" si="4"/>
        <v>34, 34, DROWZEE</v>
      </c>
    </row>
    <row r="1018" ht="12.75" customHeight="1">
      <c r="A1018" s="3" t="s">
        <v>2807</v>
      </c>
      <c r="B1018" s="3" t="str">
        <f t="shared" si="1"/>
        <v>0.05</v>
      </c>
      <c r="C1018" s="1" t="str">
        <f t="array" ref="C1018">IF(B1017="NEW ROUTE",TEXTSPLIT(B1018,","),"")</f>
        <v/>
      </c>
      <c r="H1018" s="1" t="str">
        <f t="shared" ref="H1018:I1018" si="1020">IF(C1018&lt;&gt;"",DEC2HEX(C1018,2),"")</f>
        <v/>
      </c>
      <c r="I1018" s="1" t="str">
        <f t="shared" si="1020"/>
        <v/>
      </c>
      <c r="J1018" s="1" t="str">
        <f t="shared" si="3"/>
        <v/>
      </c>
      <c r="L1018" s="1" t="s">
        <v>2807</v>
      </c>
      <c r="M1018" s="1" t="str">
        <f t="shared" si="4"/>
        <v>0.05</v>
      </c>
    </row>
    <row r="1019" ht="12.75" customHeight="1">
      <c r="A1019" s="3" t="s">
        <v>3133</v>
      </c>
      <c r="B1019" s="3" t="str">
        <f t="shared" si="1"/>
        <v>35, 35, EXEGGCUTE</v>
      </c>
      <c r="C1019" s="1" t="str">
        <f t="array" ref="C1019">IF(B1018="NEW ROUTE",TEXTSPLIT(B1019,","),"")</f>
        <v/>
      </c>
      <c r="H1019" s="1" t="str">
        <f t="shared" ref="H1019:I1019" si="1021">IF(C1019&lt;&gt;"",DEC2HEX(C1019,2),"")</f>
        <v/>
      </c>
      <c r="I1019" s="1" t="str">
        <f t="shared" si="1021"/>
        <v/>
      </c>
      <c r="J1019" s="1" t="str">
        <f t="shared" si="3"/>
        <v/>
      </c>
      <c r="L1019" s="1" t="s">
        <v>3133</v>
      </c>
      <c r="M1019" s="1" t="str">
        <f t="shared" si="4"/>
        <v>35, 35, EXEGGCUTE</v>
      </c>
    </row>
    <row r="1020" ht="12.75" customHeight="1">
      <c r="A1020" s="3" t="s">
        <v>3134</v>
      </c>
      <c r="B1020" s="3" t="str">
        <f t="shared" si="1"/>
        <v>31, 31, SLOWPOKE</v>
      </c>
      <c r="C1020" s="1" t="str">
        <f t="array" ref="C1020">IF(B1019="NEW ROUTE",TEXTSPLIT(B1020,","),"")</f>
        <v/>
      </c>
      <c r="H1020" s="1" t="str">
        <f t="shared" ref="H1020:I1020" si="1022">IF(C1020&lt;&gt;"",DEC2HEX(C1020,2),"")</f>
        <v/>
      </c>
      <c r="I1020" s="1" t="str">
        <f t="shared" si="1022"/>
        <v/>
      </c>
      <c r="J1020" s="1" t="str">
        <f t="shared" si="3"/>
        <v/>
      </c>
      <c r="L1020" s="1" t="s">
        <v>3134</v>
      </c>
      <c r="M1020" s="1" t="str">
        <f t="shared" si="4"/>
        <v>31, 31, SLOWPOKE</v>
      </c>
    </row>
    <row r="1021" ht="12.75" customHeight="1">
      <c r="A1021" s="3" t="s">
        <v>2810</v>
      </c>
      <c r="B1021" s="3" t="str">
        <f t="shared" si="1"/>
        <v>0.04</v>
      </c>
      <c r="C1021" s="1" t="str">
        <f t="array" ref="C1021">IF(B1020="NEW ROUTE",TEXTSPLIT(B1021,","),"")</f>
        <v/>
      </c>
      <c r="H1021" s="1" t="str">
        <f t="shared" ref="H1021:I1021" si="1023">IF(C1021&lt;&gt;"",DEC2HEX(C1021,2),"")</f>
        <v/>
      </c>
      <c r="I1021" s="1" t="str">
        <f t="shared" si="1023"/>
        <v/>
      </c>
      <c r="J1021" s="1" t="str">
        <f t="shared" si="3"/>
        <v/>
      </c>
      <c r="L1021" s="1" t="s">
        <v>2810</v>
      </c>
      <c r="M1021" s="1" t="str">
        <f t="shared" si="4"/>
        <v>0.04</v>
      </c>
    </row>
    <row r="1022" ht="12.75" customHeight="1">
      <c r="A1022" s="3" t="s">
        <v>3135</v>
      </c>
      <c r="B1022" s="3" t="str">
        <f t="shared" si="1"/>
        <v>37, 37, VENOMOTH</v>
      </c>
      <c r="C1022" s="1" t="str">
        <f t="array" ref="C1022">IF(B1021="NEW ROUTE",TEXTSPLIT(B1022,","),"")</f>
        <v/>
      </c>
      <c r="H1022" s="1" t="str">
        <f t="shared" ref="H1022:I1022" si="1024">IF(C1022&lt;&gt;"",DEC2HEX(C1022,2),"")</f>
        <v/>
      </c>
      <c r="I1022" s="1" t="str">
        <f t="shared" si="1024"/>
        <v/>
      </c>
      <c r="J1022" s="1" t="str">
        <f t="shared" si="3"/>
        <v/>
      </c>
      <c r="L1022" s="1" t="s">
        <v>3135</v>
      </c>
      <c r="M1022" s="1" t="str">
        <f t="shared" si="4"/>
        <v>37, 37, VENOMOTH</v>
      </c>
    </row>
    <row r="1023" ht="12.75" customHeight="1">
      <c r="A1023" s="3" t="s">
        <v>3136</v>
      </c>
      <c r="B1023" s="3" t="str">
        <f t="shared" si="1"/>
        <v>37, 37, HYPNO</v>
      </c>
      <c r="C1023" s="1" t="str">
        <f t="array" ref="C1023">IF(B1022="NEW ROUTE",TEXTSPLIT(B1023,","),"")</f>
        <v/>
      </c>
      <c r="H1023" s="1" t="str">
        <f t="shared" ref="H1023:I1023" si="1025">IF(C1023&lt;&gt;"",DEC2HEX(C1023,2),"")</f>
        <v/>
      </c>
      <c r="I1023" s="1" t="str">
        <f t="shared" si="1025"/>
        <v/>
      </c>
      <c r="J1023" s="1" t="str">
        <f t="shared" si="3"/>
        <v/>
      </c>
      <c r="L1023" s="1" t="s">
        <v>3136</v>
      </c>
      <c r="M1023" s="1" t="str">
        <f t="shared" si="4"/>
        <v>37, 37, HYPNO</v>
      </c>
    </row>
    <row r="1024" ht="12.75" customHeight="1">
      <c r="A1024" s="3" t="s">
        <v>2813</v>
      </c>
      <c r="B1024" s="3" t="str">
        <f t="shared" si="1"/>
        <v>0.01</v>
      </c>
      <c r="C1024" s="1" t="str">
        <f t="array" ref="C1024">IF(B1023="NEW ROUTE",TEXTSPLIT(B1024,","),"")</f>
        <v/>
      </c>
      <c r="H1024" s="1" t="str">
        <f t="shared" ref="H1024:I1024" si="1026">IF(C1024&lt;&gt;"",DEC2HEX(C1024,2),"")</f>
        <v/>
      </c>
      <c r="I1024" s="1" t="str">
        <f t="shared" si="1026"/>
        <v/>
      </c>
      <c r="J1024" s="1" t="str">
        <f t="shared" si="3"/>
        <v/>
      </c>
      <c r="L1024" s="1" t="s">
        <v>2813</v>
      </c>
      <c r="M1024" s="1" t="str">
        <f t="shared" si="4"/>
        <v>0.01</v>
      </c>
    </row>
    <row r="1025" ht="12.75" customHeight="1">
      <c r="A1025" s="3" t="s">
        <v>3137</v>
      </c>
      <c r="B1025" s="3" t="str">
        <f t="shared" si="1"/>
        <v>40, 40, VENOMOTH</v>
      </c>
      <c r="C1025" s="1" t="str">
        <f t="array" ref="C1025">IF(B1024="NEW ROUTE",TEXTSPLIT(B1025,","),"")</f>
        <v/>
      </c>
      <c r="H1025" s="1" t="str">
        <f t="shared" ref="H1025:I1025" si="1027">IF(C1025&lt;&gt;"",DEC2HEX(C1025,2),"")</f>
        <v/>
      </c>
      <c r="I1025" s="1" t="str">
        <f t="shared" si="1027"/>
        <v/>
      </c>
      <c r="J1025" s="1" t="str">
        <f t="shared" si="3"/>
        <v/>
      </c>
      <c r="L1025" s="1" t="s">
        <v>3137</v>
      </c>
      <c r="M1025" s="1" t="str">
        <f t="shared" si="4"/>
        <v>40, 40, VENOMOTH</v>
      </c>
    </row>
    <row r="1026" ht="12.75" customHeight="1">
      <c r="A1026" s="3" t="s">
        <v>3138</v>
      </c>
      <c r="B1026" s="3" t="str">
        <f t="shared" si="1"/>
        <v>40, 40, HYPNO</v>
      </c>
      <c r="C1026" s="1" t="str">
        <f t="array" ref="C1026">IF(B1025="NEW ROUTE",TEXTSPLIT(B1026,","),"")</f>
        <v/>
      </c>
      <c r="H1026" s="1" t="str">
        <f t="shared" ref="H1026:I1026" si="1028">IF(C1026&lt;&gt;"",DEC2HEX(C1026,2),"")</f>
        <v/>
      </c>
      <c r="I1026" s="1" t="str">
        <f t="shared" si="1028"/>
        <v/>
      </c>
      <c r="J1026" s="1" t="str">
        <f t="shared" si="3"/>
        <v/>
      </c>
      <c r="L1026" s="1" t="s">
        <v>3138</v>
      </c>
      <c r="M1026" s="1" t="str">
        <f t="shared" si="4"/>
        <v>40, 40, HYPNO</v>
      </c>
    </row>
    <row r="1027" ht="12.75" customHeight="1">
      <c r="A1027" s="3" t="s">
        <v>3139</v>
      </c>
      <c r="B1027" s="3" t="str">
        <f t="shared" si="1"/>
        <v>2, 5, 20, SLOWPOKE</v>
      </c>
      <c r="C1027" s="1" t="str">
        <f t="array" ref="C1027">IF(B1026="NEW ROUTE",TEXTSPLIT(B1027,","),"")</f>
        <v/>
      </c>
      <c r="H1027" s="1" t="str">
        <f t="shared" ref="H1027:I1027" si="1029">IF(C1027&lt;&gt;"",DEC2HEX(C1027,2),"")</f>
        <v/>
      </c>
      <c r="I1027" s="1" t="str">
        <f t="shared" si="1029"/>
        <v/>
      </c>
      <c r="J1027" s="1" t="str">
        <f t="shared" si="3"/>
        <v/>
      </c>
      <c r="L1027" s="1" t="s">
        <v>3139</v>
      </c>
      <c r="M1027" s="1" t="str">
        <f t="shared" si="4"/>
        <v>2, 5, 20, SLOWPOKE</v>
      </c>
    </row>
    <row r="1028" ht="12.75" customHeight="1">
      <c r="A1028" s="3" t="s">
        <v>3140</v>
      </c>
      <c r="B1028" s="3" t="str">
        <f t="shared" si="1"/>
        <v>20, 35, SLOWPOKE</v>
      </c>
      <c r="C1028" s="1" t="str">
        <f t="array" ref="C1028">IF(B1027="NEW ROUTE",TEXTSPLIT(B1028,","),"")</f>
        <v/>
      </c>
      <c r="H1028" s="1" t="str">
        <f t="shared" ref="H1028:I1028" si="1030">IF(C1028&lt;&gt;"",DEC2HEX(C1028,2),"")</f>
        <v/>
      </c>
      <c r="I1028" s="1" t="str">
        <f t="shared" si="1030"/>
        <v/>
      </c>
      <c r="J1028" s="1" t="str">
        <f t="shared" si="3"/>
        <v/>
      </c>
      <c r="L1028" s="1" t="s">
        <v>3140</v>
      </c>
      <c r="M1028" s="1" t="str">
        <f t="shared" si="4"/>
        <v>20, 35, SLOWPOKE</v>
      </c>
    </row>
    <row r="1029" ht="12.75" customHeight="1">
      <c r="A1029" s="3" t="s">
        <v>3141</v>
      </c>
      <c r="B1029" s="3" t="str">
        <f t="shared" si="1"/>
        <v>35, 40, SLOWPOKE</v>
      </c>
      <c r="C1029" s="1" t="str">
        <f t="array" ref="C1029">IF(B1028="NEW ROUTE",TEXTSPLIT(B1029,","),"")</f>
        <v/>
      </c>
      <c r="H1029" s="1" t="str">
        <f t="shared" ref="H1029:I1029" si="1031">IF(C1029&lt;&gt;"",DEC2HEX(C1029,2),"")</f>
        <v/>
      </c>
      <c r="I1029" s="1" t="str">
        <f t="shared" si="1031"/>
        <v/>
      </c>
      <c r="J1029" s="1" t="str">
        <f t="shared" si="3"/>
        <v/>
      </c>
      <c r="L1029" s="1" t="s">
        <v>3141</v>
      </c>
      <c r="M1029" s="1" t="str">
        <f t="shared" si="4"/>
        <v>35, 40, SLOWPOKE</v>
      </c>
    </row>
    <row r="1030" ht="12.75" customHeight="1">
      <c r="A1030" s="3" t="s">
        <v>3142</v>
      </c>
      <c r="B1030" s="3" t="str">
        <f t="shared" si="1"/>
        <v>35, 40, SLOWBRO</v>
      </c>
      <c r="C1030" s="1" t="str">
        <f t="array" ref="C1030">IF(B1029="NEW ROUTE",TEXTSPLIT(B1030,","),"")</f>
        <v/>
      </c>
      <c r="H1030" s="1" t="str">
        <f t="shared" ref="H1030:I1030" si="1032">IF(C1030&lt;&gt;"",DEC2HEX(C1030,2),"")</f>
        <v/>
      </c>
      <c r="I1030" s="1" t="str">
        <f t="shared" si="1032"/>
        <v/>
      </c>
      <c r="J1030" s="1" t="str">
        <f t="shared" si="3"/>
        <v/>
      </c>
      <c r="L1030" s="1" t="s">
        <v>3142</v>
      </c>
      <c r="M1030" s="1" t="str">
        <f t="shared" si="4"/>
        <v>35, 40, SLOWBRO</v>
      </c>
    </row>
    <row r="1031" ht="12.75" customHeight="1">
      <c r="A1031" s="3" t="s">
        <v>3142</v>
      </c>
      <c r="B1031" s="3" t="str">
        <f t="shared" si="1"/>
        <v>35, 40, SLOWBRO</v>
      </c>
      <c r="C1031" s="1" t="str">
        <f t="array" ref="C1031">IF(B1030="NEW ROUTE",TEXTSPLIT(B1031,","),"")</f>
        <v/>
      </c>
      <c r="H1031" s="1" t="str">
        <f t="shared" ref="H1031:I1031" si="1033">IF(C1031&lt;&gt;"",DEC2HEX(C1031,2),"")</f>
        <v/>
      </c>
      <c r="I1031" s="1" t="str">
        <f t="shared" si="1033"/>
        <v/>
      </c>
      <c r="J1031" s="1" t="str">
        <f t="shared" si="3"/>
        <v/>
      </c>
      <c r="L1031" s="1" t="s">
        <v>3142</v>
      </c>
      <c r="M1031" s="1" t="str">
        <f t="shared" si="4"/>
        <v>35, 40, SLOWBRO</v>
      </c>
    </row>
    <row r="1032" ht="12.75" customHeight="1">
      <c r="A1032" s="3" t="s">
        <v>2926</v>
      </c>
      <c r="B1032" s="3" t="str">
        <f t="shared" si="1"/>
        <v>20, old rod:</v>
      </c>
      <c r="C1032" s="1" t="str">
        <f t="array" ref="C1032">IF(B1031="NEW ROUTE",TEXTSPLIT(B1032,","),"")</f>
        <v/>
      </c>
      <c r="H1032" s="1" t="str">
        <f t="shared" ref="H1032:I1032" si="1034">IF(C1032&lt;&gt;"",DEC2HEX(C1032,2),"")</f>
        <v/>
      </c>
      <c r="I1032" s="1" t="str">
        <f t="shared" si="1034"/>
        <v/>
      </c>
      <c r="J1032" s="1" t="str">
        <f t="shared" si="3"/>
        <v/>
      </c>
      <c r="L1032" s="1" t="s">
        <v>2926</v>
      </c>
      <c r="M1032" s="1" t="str">
        <f t="shared" si="4"/>
        <v>20, old rod:</v>
      </c>
    </row>
    <row r="1033" ht="12.75" customHeight="1">
      <c r="A1033" s="3" t="s">
        <v>417</v>
      </c>
      <c r="B1033" s="3" t="str">
        <f t="shared" si="1"/>
        <v>5, 5, MAGIKARP</v>
      </c>
      <c r="C1033" s="1" t="str">
        <f t="array" ref="C1033">IF(B1032="NEW ROUTE",TEXTSPLIT(B1033,","),"")</f>
        <v/>
      </c>
      <c r="H1033" s="1" t="str">
        <f t="shared" ref="H1033:I1033" si="1035">IF(C1033&lt;&gt;"",DEC2HEX(C1033,2),"")</f>
        <v/>
      </c>
      <c r="I1033" s="1" t="str">
        <f t="shared" si="1035"/>
        <v/>
      </c>
      <c r="J1033" s="1" t="str">
        <f t="shared" si="3"/>
        <v/>
      </c>
      <c r="L1033" s="1" t="s">
        <v>417</v>
      </c>
      <c r="M1033" s="1" t="str">
        <f t="shared" si="4"/>
        <v>5, 5, MAGIKARP</v>
      </c>
    </row>
    <row r="1034" ht="12.75" customHeight="1">
      <c r="A1034" s="3" t="s">
        <v>417</v>
      </c>
      <c r="B1034" s="3" t="str">
        <f t="shared" si="1"/>
        <v>5, 5, MAGIKARP</v>
      </c>
      <c r="C1034" s="1" t="str">
        <f t="array" ref="C1034">IF(B1033="NEW ROUTE",TEXTSPLIT(B1034,","),"")</f>
        <v/>
      </c>
      <c r="H1034" s="1" t="str">
        <f t="shared" ref="H1034:I1034" si="1036">IF(C1034&lt;&gt;"",DEC2HEX(C1034,2),"")</f>
        <v/>
      </c>
      <c r="I1034" s="1" t="str">
        <f t="shared" si="1036"/>
        <v/>
      </c>
      <c r="J1034" s="1" t="str">
        <f t="shared" si="3"/>
        <v/>
      </c>
      <c r="L1034" s="1" t="s">
        <v>417</v>
      </c>
      <c r="M1034" s="1" t="str">
        <f t="shared" si="4"/>
        <v>5, 5, MAGIKARP</v>
      </c>
    </row>
    <row r="1035" ht="12.75" customHeight="1">
      <c r="A1035" s="3" t="s">
        <v>2847</v>
      </c>
      <c r="B1035" s="3" t="str">
        <f t="shared" si="1"/>
        <v>good rod:</v>
      </c>
      <c r="C1035" s="1" t="str">
        <f t="array" ref="C1035">IF(B1034="NEW ROUTE",TEXTSPLIT(B1035,","),"")</f>
        <v/>
      </c>
      <c r="H1035" s="1" t="str">
        <f t="shared" ref="H1035:I1035" si="1037">IF(C1035&lt;&gt;"",DEC2HEX(C1035,2),"")</f>
        <v/>
      </c>
      <c r="I1035" s="1" t="str">
        <f t="shared" si="1037"/>
        <v/>
      </c>
      <c r="J1035" s="1" t="str">
        <f t="shared" si="3"/>
        <v/>
      </c>
      <c r="L1035" s="1" t="s">
        <v>2847</v>
      </c>
      <c r="M1035" s="1" t="str">
        <f t="shared" si="4"/>
        <v>good rod:</v>
      </c>
    </row>
    <row r="1036" ht="12.75" customHeight="1">
      <c r="A1036" s="3" t="s">
        <v>3143</v>
      </c>
      <c r="B1036" s="3" t="str">
        <f t="shared" si="1"/>
        <v>5, 15, GOLDEEN</v>
      </c>
      <c r="C1036" s="1" t="str">
        <f t="array" ref="C1036">IF(B1035="NEW ROUTE",TEXTSPLIT(B1036,","),"")</f>
        <v/>
      </c>
      <c r="H1036" s="1" t="str">
        <f t="shared" ref="H1036:I1036" si="1038">IF(C1036&lt;&gt;"",DEC2HEX(C1036,2),"")</f>
        <v/>
      </c>
      <c r="I1036" s="1" t="str">
        <f t="shared" si="1038"/>
        <v/>
      </c>
      <c r="J1036" s="1" t="str">
        <f t="shared" si="3"/>
        <v/>
      </c>
      <c r="L1036" s="1" t="s">
        <v>3143</v>
      </c>
      <c r="M1036" s="1" t="str">
        <f t="shared" si="4"/>
        <v>5, 15, GOLDEEN</v>
      </c>
    </row>
    <row r="1037" ht="12.75" customHeight="1">
      <c r="A1037" s="3" t="s">
        <v>2849</v>
      </c>
      <c r="B1037" s="3" t="str">
        <f t="shared" si="1"/>
        <v>5, 15, MAGIKARP</v>
      </c>
      <c r="C1037" s="1" t="str">
        <f t="array" ref="C1037">IF(B1036="NEW ROUTE",TEXTSPLIT(B1037,","),"")</f>
        <v/>
      </c>
      <c r="H1037" s="1" t="str">
        <f t="shared" ref="H1037:I1037" si="1039">IF(C1037&lt;&gt;"",DEC2HEX(C1037,2),"")</f>
        <v/>
      </c>
      <c r="I1037" s="1" t="str">
        <f t="shared" si="1039"/>
        <v/>
      </c>
      <c r="J1037" s="1" t="str">
        <f t="shared" si="3"/>
        <v/>
      </c>
      <c r="L1037" s="1" t="s">
        <v>2849</v>
      </c>
      <c r="M1037" s="1" t="str">
        <f t="shared" si="4"/>
        <v>5, 15, MAGIKARP</v>
      </c>
    </row>
    <row r="1038" ht="12.75" customHeight="1">
      <c r="A1038" s="3" t="s">
        <v>3144</v>
      </c>
      <c r="B1038" s="3" t="str">
        <f t="shared" si="1"/>
        <v>5, 15, POLIWAG</v>
      </c>
      <c r="C1038" s="1" t="str">
        <f t="array" ref="C1038">IF(B1037="NEW ROUTE",TEXTSPLIT(B1038,","),"")</f>
        <v/>
      </c>
      <c r="H1038" s="1" t="str">
        <f t="shared" ref="H1038:I1038" si="1040">IF(C1038&lt;&gt;"",DEC2HEX(C1038,2),"")</f>
        <v/>
      </c>
      <c r="I1038" s="1" t="str">
        <f t="shared" si="1040"/>
        <v/>
      </c>
      <c r="J1038" s="1" t="str">
        <f t="shared" si="3"/>
        <v/>
      </c>
      <c r="L1038" s="1" t="s">
        <v>3144</v>
      </c>
      <c r="M1038" s="1" t="str">
        <f t="shared" si="4"/>
        <v>5, 15, POLIWAG</v>
      </c>
    </row>
    <row r="1039" ht="12.75" customHeight="1">
      <c r="A1039" s="3" t="s">
        <v>2851</v>
      </c>
      <c r="B1039" s="3" t="str">
        <f t="shared" si="1"/>
        <v>super rod:</v>
      </c>
      <c r="C1039" s="1" t="str">
        <f t="array" ref="C1039">IF(B1038="NEW ROUTE",TEXTSPLIT(B1039,","),"")</f>
        <v/>
      </c>
      <c r="H1039" s="1" t="str">
        <f t="shared" ref="H1039:I1039" si="1041">IF(C1039&lt;&gt;"",DEC2HEX(C1039,2),"")</f>
        <v/>
      </c>
      <c r="I1039" s="1" t="str">
        <f t="shared" si="1041"/>
        <v/>
      </c>
      <c r="J1039" s="1" t="str">
        <f t="shared" si="3"/>
        <v/>
      </c>
      <c r="L1039" s="1" t="s">
        <v>2851</v>
      </c>
      <c r="M1039" s="1" t="str">
        <f t="shared" si="4"/>
        <v>super rod:</v>
      </c>
    </row>
    <row r="1040" ht="12.75" customHeight="1">
      <c r="A1040" s="3" t="s">
        <v>3145</v>
      </c>
      <c r="B1040" s="3" t="str">
        <f t="shared" si="1"/>
        <v>15, 25, GOLDEEN</v>
      </c>
      <c r="C1040" s="1" t="str">
        <f t="array" ref="C1040">IF(B1039="NEW ROUTE",TEXTSPLIT(B1040,","),"")</f>
        <v/>
      </c>
      <c r="H1040" s="1" t="str">
        <f t="shared" ref="H1040:I1040" si="1042">IF(C1040&lt;&gt;"",DEC2HEX(C1040,2),"")</f>
        <v/>
      </c>
      <c r="I1040" s="1" t="str">
        <f t="shared" si="1042"/>
        <v/>
      </c>
      <c r="J1040" s="1" t="str">
        <f t="shared" si="3"/>
        <v/>
      </c>
      <c r="L1040" s="1" t="s">
        <v>3145</v>
      </c>
      <c r="M1040" s="1" t="str">
        <f t="shared" si="4"/>
        <v>15, 25, GOLDEEN</v>
      </c>
    </row>
    <row r="1041" ht="12.75" customHeight="1">
      <c r="A1041" s="3" t="s">
        <v>3146</v>
      </c>
      <c r="B1041" s="3" t="str">
        <f t="shared" si="1"/>
        <v>20, 30, SEAKING</v>
      </c>
      <c r="C1041" s="1" t="str">
        <f t="array" ref="C1041">IF(B1040="NEW ROUTE",TEXTSPLIT(B1041,","),"")</f>
        <v/>
      </c>
      <c r="H1041" s="1" t="str">
        <f t="shared" ref="H1041:I1041" si="1043">IF(C1041&lt;&gt;"",DEC2HEX(C1041,2),"")</f>
        <v/>
      </c>
      <c r="I1041" s="1" t="str">
        <f t="shared" si="1043"/>
        <v/>
      </c>
      <c r="J1041" s="1" t="str">
        <f t="shared" si="3"/>
        <v/>
      </c>
      <c r="L1041" s="1" t="s">
        <v>3146</v>
      </c>
      <c r="M1041" s="1" t="str">
        <f t="shared" si="4"/>
        <v>20, 30, SEAKING</v>
      </c>
    </row>
    <row r="1042" ht="12.75" customHeight="1">
      <c r="A1042" s="3" t="s">
        <v>2854</v>
      </c>
      <c r="B1042" s="3" t="str">
        <f t="shared" si="1"/>
        <v>15, 25, GYARADOS</v>
      </c>
      <c r="C1042" s="1" t="str">
        <f t="array" ref="C1042">IF(B1041="NEW ROUTE",TEXTSPLIT(B1042,","),"")</f>
        <v/>
      </c>
      <c r="H1042" s="1" t="str">
        <f t="shared" ref="H1042:I1042" si="1044">IF(C1042&lt;&gt;"",DEC2HEX(C1042,2),"")</f>
        <v/>
      </c>
      <c r="I1042" s="1" t="str">
        <f t="shared" si="1044"/>
        <v/>
      </c>
      <c r="J1042" s="1" t="str">
        <f t="shared" si="3"/>
        <v/>
      </c>
      <c r="L1042" s="1" t="s">
        <v>2854</v>
      </c>
      <c r="M1042" s="1" t="str">
        <f t="shared" si="4"/>
        <v>15, 25, GYARADOS</v>
      </c>
    </row>
    <row r="1043" ht="12.75" customHeight="1">
      <c r="A1043" s="3" t="s">
        <v>3147</v>
      </c>
      <c r="B1043" s="3" t="str">
        <f t="shared" si="1"/>
        <v>15, 25, SLOWPOKE</v>
      </c>
      <c r="C1043" s="1" t="str">
        <f t="array" ref="C1043">IF(B1042="NEW ROUTE",TEXTSPLIT(B1043,","),"")</f>
        <v/>
      </c>
      <c r="H1043" s="1" t="str">
        <f t="shared" ref="H1043:I1043" si="1045">IF(C1043&lt;&gt;"",DEC2HEX(C1043,2),"")</f>
        <v/>
      </c>
      <c r="I1043" s="1" t="str">
        <f t="shared" si="1045"/>
        <v/>
      </c>
      <c r="J1043" s="1" t="str">
        <f t="shared" si="3"/>
        <v/>
      </c>
      <c r="L1043" s="1" t="s">
        <v>3147</v>
      </c>
      <c r="M1043" s="1" t="str">
        <f t="shared" si="4"/>
        <v>15, 25, SLOWPOKE</v>
      </c>
    </row>
    <row r="1044" ht="12.75" customHeight="1">
      <c r="A1044" s="3" t="s">
        <v>2856</v>
      </c>
      <c r="B1044" s="3" t="str">
        <f t="shared" si="1"/>
        <v>25, 35, SLOWPOKE</v>
      </c>
      <c r="C1044" s="1" t="str">
        <f t="array" ref="C1044">IF(B1043="NEW ROUTE",TEXTSPLIT(B1044,","),"")</f>
        <v/>
      </c>
      <c r="H1044" s="1" t="str">
        <f t="shared" ref="H1044:I1044" si="1046">IF(C1044&lt;&gt;"",DEC2HEX(C1044,2),"")</f>
        <v/>
      </c>
      <c r="I1044" s="1" t="str">
        <f t="shared" si="1046"/>
        <v/>
      </c>
      <c r="J1044" s="1" t="str">
        <f t="shared" si="3"/>
        <v/>
      </c>
      <c r="L1044" s="1" t="s">
        <v>2856</v>
      </c>
      <c r="M1044" s="1" t="str">
        <f t="shared" si="4"/>
        <v>25, 35, SLOWPOKE</v>
      </c>
    </row>
    <row r="1045" ht="12.75" customHeight="1">
      <c r="A1045" s="3" t="s">
        <v>2539</v>
      </c>
      <c r="B1045" s="3" t="str">
        <f t="shared" si="1"/>
        <v>NEW ROUTE</v>
      </c>
      <c r="C1045" s="1" t="str">
        <f t="array" ref="C1045">IF(B1044="NEW ROUTE",TEXTSPLIT(B1045,","),"")</f>
        <v/>
      </c>
      <c r="H1045" s="1" t="str">
        <f t="shared" ref="H1045:I1045" si="1047">IF(C1045&lt;&gt;"",DEC2HEX(C1045,2),"")</f>
        <v/>
      </c>
      <c r="I1045" s="1" t="str">
        <f t="shared" si="1047"/>
        <v/>
      </c>
      <c r="J1045" s="1" t="str">
        <f t="shared" si="3"/>
        <v/>
      </c>
      <c r="L1045" s="1" t="s">
        <v>2539</v>
      </c>
      <c r="M1045" s="1" t="str">
        <f t="shared" si="4"/>
        <v>NEW ROUTE</v>
      </c>
    </row>
    <row r="1046" ht="12.75" customHeight="1">
      <c r="A1046" s="3" t="s">
        <v>3148</v>
      </c>
      <c r="B1046" s="3" t="str">
        <f t="shared" si="1"/>
        <v>1, 110, 0,</v>
      </c>
      <c r="C1046" s="1" t="str">
        <f t="array" ref="C1046">IF(B1045="NEW ROUTE",TEXTSPLIT(B1046,","),"")</f>
        <v>#NAME?</v>
      </c>
      <c r="H1046" s="1" t="str">
        <f t="shared" ref="H1046:I1046" si="1048">IF(C1046&lt;&gt;"",DEC2HEX(C1046,2),"")</f>
        <v>#NAME?</v>
      </c>
      <c r="I1046" s="1" t="str">
        <f t="shared" si="1048"/>
        <v/>
      </c>
      <c r="J1046" s="1" t="str">
        <f t="shared" si="3"/>
        <v>#NAME?</v>
      </c>
      <c r="L1046" s="1" t="s">
        <v>3148</v>
      </c>
      <c r="M1046" s="1" t="str">
        <f t="shared" si="4"/>
        <v>#NAME?</v>
      </c>
    </row>
    <row r="1047" ht="12.75" customHeight="1">
      <c r="A1047" s="3" t="s">
        <v>2817</v>
      </c>
      <c r="B1047" s="3" t="str">
        <f t="shared" si="1"/>
        <v>20%</v>
      </c>
      <c r="C1047" s="1" t="str">
        <f t="array" ref="C1047">IF(B1046="NEW ROUTE",TEXTSPLIT(B1047,","),"")</f>
        <v/>
      </c>
      <c r="H1047" s="1" t="str">
        <f t="shared" ref="H1047:I1047" si="1049">IF(C1047&lt;&gt;"",DEC2HEX(C1047,2),"")</f>
        <v/>
      </c>
      <c r="I1047" s="1" t="str">
        <f t="shared" si="1049"/>
        <v/>
      </c>
      <c r="J1047" s="1" t="str">
        <f t="shared" si="3"/>
        <v/>
      </c>
      <c r="L1047" s="1" t="s">
        <v>2799</v>
      </c>
      <c r="M1047" s="1" t="str">
        <f t="shared" si="4"/>
        <v>20%</v>
      </c>
    </row>
    <row r="1048" ht="12.75" customHeight="1">
      <c r="A1048" s="3" t="s">
        <v>742</v>
      </c>
      <c r="B1048" s="3" t="str">
        <f t="shared" si="1"/>
        <v>43, 43, SEEL</v>
      </c>
      <c r="C1048" s="1" t="str">
        <f t="array" ref="C1048">IF(B1047="NEW ROUTE",TEXTSPLIT(B1048,","),"")</f>
        <v/>
      </c>
      <c r="H1048" s="1" t="str">
        <f t="shared" ref="H1048:I1048" si="1050">IF(C1048&lt;&gt;"",DEC2HEX(C1048,2),"")</f>
        <v/>
      </c>
      <c r="I1048" s="1" t="str">
        <f t="shared" si="1050"/>
        <v/>
      </c>
      <c r="J1048" s="1" t="str">
        <f t="shared" si="3"/>
        <v/>
      </c>
      <c r="L1048" s="1" t="s">
        <v>742</v>
      </c>
      <c r="M1048" s="1" t="str">
        <f t="shared" si="4"/>
        <v>43, 43, SEEL</v>
      </c>
    </row>
    <row r="1049" ht="12.75" customHeight="1">
      <c r="A1049" s="3" t="s">
        <v>3149</v>
      </c>
      <c r="B1049" s="3" t="str">
        <f t="shared" si="1"/>
        <v>45, 45, GOLBAT</v>
      </c>
      <c r="C1049" s="1" t="str">
        <f t="array" ref="C1049">IF(B1048="NEW ROUTE",TEXTSPLIT(B1049,","),"")</f>
        <v/>
      </c>
      <c r="H1049" s="1" t="str">
        <f t="shared" ref="H1049:I1049" si="1051">IF(C1049&lt;&gt;"",DEC2HEX(C1049,2),"")</f>
        <v/>
      </c>
      <c r="I1049" s="1" t="str">
        <f t="shared" si="1051"/>
        <v/>
      </c>
      <c r="J1049" s="1" t="str">
        <f t="shared" si="3"/>
        <v/>
      </c>
      <c r="L1049" s="1" t="s">
        <v>3149</v>
      </c>
      <c r="M1049" s="1" t="str">
        <f t="shared" si="4"/>
        <v>45, 45, GOLBAT</v>
      </c>
    </row>
    <row r="1050" ht="12.75" customHeight="1">
      <c r="A1050" s="3" t="s">
        <v>2802</v>
      </c>
      <c r="B1050" s="3" t="str">
        <f t="shared" si="1"/>
        <v>0.1</v>
      </c>
      <c r="C1050" s="1" t="str">
        <f t="array" ref="C1050">IF(B1049="NEW ROUTE",TEXTSPLIT(B1050,","),"")</f>
        <v/>
      </c>
      <c r="H1050" s="1" t="str">
        <f t="shared" ref="H1050:I1050" si="1052">IF(C1050&lt;&gt;"",DEC2HEX(C1050,2),"")</f>
        <v/>
      </c>
      <c r="I1050" s="1" t="str">
        <f t="shared" si="1052"/>
        <v/>
      </c>
      <c r="J1050" s="1" t="str">
        <f t="shared" si="3"/>
        <v/>
      </c>
      <c r="L1050" s="1" t="s">
        <v>2802</v>
      </c>
      <c r="M1050" s="1" t="str">
        <f t="shared" si="4"/>
        <v>0.1</v>
      </c>
    </row>
    <row r="1051" ht="12.75" customHeight="1">
      <c r="A1051" s="3" t="s">
        <v>3150</v>
      </c>
      <c r="B1051" s="3" t="str">
        <f t="shared" si="1"/>
        <v>45, 45, SEEL</v>
      </c>
      <c r="C1051" s="1" t="str">
        <f t="array" ref="C1051">IF(B1050="NEW ROUTE",TEXTSPLIT(B1051,","),"")</f>
        <v/>
      </c>
      <c r="H1051" s="1" t="str">
        <f t="shared" ref="H1051:I1051" si="1053">IF(C1051&lt;&gt;"",DEC2HEX(C1051,2),"")</f>
        <v/>
      </c>
      <c r="I1051" s="1" t="str">
        <f t="shared" si="1053"/>
        <v/>
      </c>
      <c r="J1051" s="1" t="str">
        <f t="shared" si="3"/>
        <v/>
      </c>
      <c r="L1051" s="1" t="s">
        <v>3150</v>
      </c>
      <c r="M1051" s="1" t="str">
        <f t="shared" si="4"/>
        <v>45, 45, SEEL</v>
      </c>
    </row>
    <row r="1052" ht="12.75" customHeight="1">
      <c r="A1052" s="3" t="s">
        <v>3151</v>
      </c>
      <c r="B1052" s="3" t="str">
        <f t="shared" si="1"/>
        <v>47, 47, SEEL</v>
      </c>
      <c r="C1052" s="1" t="str">
        <f t="array" ref="C1052">IF(B1051="NEW ROUTE",TEXTSPLIT(B1052,","),"")</f>
        <v/>
      </c>
      <c r="H1052" s="1" t="str">
        <f t="shared" ref="H1052:I1052" si="1054">IF(C1052&lt;&gt;"",DEC2HEX(C1052,2),"")</f>
        <v/>
      </c>
      <c r="I1052" s="1" t="str">
        <f t="shared" si="1054"/>
        <v/>
      </c>
      <c r="J1052" s="1" t="str">
        <f t="shared" si="3"/>
        <v/>
      </c>
      <c r="L1052" s="1" t="s">
        <v>3151</v>
      </c>
      <c r="M1052" s="1" t="str">
        <f t="shared" si="4"/>
        <v>47, 47, SEEL</v>
      </c>
    </row>
    <row r="1053" ht="12.75" customHeight="1">
      <c r="A1053" s="3" t="s">
        <v>3152</v>
      </c>
      <c r="B1053" s="3" t="str">
        <f t="shared" si="1"/>
        <v>40, 40, ZUBAT</v>
      </c>
      <c r="C1053" s="1" t="str">
        <f t="array" ref="C1053">IF(B1052="NEW ROUTE",TEXTSPLIT(B1053,","),"")</f>
        <v/>
      </c>
      <c r="H1053" s="1" t="str">
        <f t="shared" ref="H1053:I1053" si="1055">IF(C1053&lt;&gt;"",DEC2HEX(C1053,2),"")</f>
        <v/>
      </c>
      <c r="I1053" s="1" t="str">
        <f t="shared" si="1055"/>
        <v/>
      </c>
      <c r="J1053" s="1" t="str">
        <f t="shared" si="3"/>
        <v/>
      </c>
      <c r="L1053" s="1" t="s">
        <v>3152</v>
      </c>
      <c r="M1053" s="1" t="str">
        <f t="shared" si="4"/>
        <v>40, 40, ZUBAT</v>
      </c>
    </row>
    <row r="1054" ht="12.75" customHeight="1">
      <c r="A1054" s="3" t="s">
        <v>3153</v>
      </c>
      <c r="B1054" s="3" t="str">
        <f t="shared" si="1"/>
        <v>49, 49, DEWGONG</v>
      </c>
      <c r="C1054" s="1" t="str">
        <f t="array" ref="C1054">IF(B1053="NEW ROUTE",TEXTSPLIT(B1054,","),"")</f>
        <v/>
      </c>
      <c r="H1054" s="1" t="str">
        <f t="shared" ref="H1054:I1054" si="1056">IF(C1054&lt;&gt;"",DEC2HEX(C1054,2),"")</f>
        <v/>
      </c>
      <c r="I1054" s="1" t="str">
        <f t="shared" si="1056"/>
        <v/>
      </c>
      <c r="J1054" s="1" t="str">
        <f t="shared" si="3"/>
        <v/>
      </c>
      <c r="L1054" s="1" t="s">
        <v>3153</v>
      </c>
      <c r="M1054" s="1" t="str">
        <f t="shared" si="4"/>
        <v>49, 49, DEWGONG</v>
      </c>
    </row>
    <row r="1055" ht="12.75" customHeight="1">
      <c r="A1055" s="3" t="s">
        <v>2807</v>
      </c>
      <c r="B1055" s="3" t="str">
        <f t="shared" si="1"/>
        <v>0.05</v>
      </c>
      <c r="C1055" s="1" t="str">
        <f t="array" ref="C1055">IF(B1054="NEW ROUTE",TEXTSPLIT(B1055,","),"")</f>
        <v/>
      </c>
      <c r="H1055" s="1" t="str">
        <f t="shared" ref="H1055:I1055" si="1057">IF(C1055&lt;&gt;"",DEC2HEX(C1055,2),"")</f>
        <v/>
      </c>
      <c r="I1055" s="1" t="str">
        <f t="shared" si="1057"/>
        <v/>
      </c>
      <c r="J1055" s="1" t="str">
        <f t="shared" si="3"/>
        <v/>
      </c>
      <c r="L1055" s="1" t="s">
        <v>2807</v>
      </c>
      <c r="M1055" s="1" t="str">
        <f t="shared" si="4"/>
        <v>0.05</v>
      </c>
    </row>
    <row r="1056" ht="12.75" customHeight="1">
      <c r="A1056" s="3" t="s">
        <v>3154</v>
      </c>
      <c r="B1056" s="3" t="str">
        <f t="shared" si="1"/>
        <v>51, 51, DEWGONG</v>
      </c>
      <c r="C1056" s="1" t="str">
        <f t="array" ref="C1056">IF(B1055="NEW ROUTE",TEXTSPLIT(B1056,","),"")</f>
        <v/>
      </c>
      <c r="H1056" s="1" t="str">
        <f t="shared" ref="H1056:I1056" si="1058">IF(C1056&lt;&gt;"",DEC2HEX(C1056,2),"")</f>
        <v/>
      </c>
      <c r="I1056" s="1" t="str">
        <f t="shared" si="1058"/>
        <v/>
      </c>
      <c r="J1056" s="1" t="str">
        <f t="shared" si="3"/>
        <v/>
      </c>
      <c r="L1056" s="1" t="s">
        <v>3154</v>
      </c>
      <c r="M1056" s="1" t="str">
        <f t="shared" si="4"/>
        <v>51, 51, DEWGONG</v>
      </c>
    </row>
    <row r="1057" ht="12.75" customHeight="1">
      <c r="A1057" s="3" t="s">
        <v>3155</v>
      </c>
      <c r="B1057" s="3" t="str">
        <f t="shared" si="1"/>
        <v>41, 41, SLOWPOKE</v>
      </c>
      <c r="C1057" s="1" t="str">
        <f t="array" ref="C1057">IF(B1056="NEW ROUTE",TEXTSPLIT(B1057,","),"")</f>
        <v/>
      </c>
      <c r="H1057" s="1" t="str">
        <f t="shared" ref="H1057:I1057" si="1059">IF(C1057&lt;&gt;"",DEC2HEX(C1057,2),"")</f>
        <v/>
      </c>
      <c r="I1057" s="1" t="str">
        <f t="shared" si="1059"/>
        <v/>
      </c>
      <c r="J1057" s="1" t="str">
        <f t="shared" si="3"/>
        <v/>
      </c>
      <c r="L1057" s="1" t="s">
        <v>3155</v>
      </c>
      <c r="M1057" s="1" t="str">
        <f t="shared" si="4"/>
        <v>41, 41, SLOWPOKE</v>
      </c>
    </row>
    <row r="1058" ht="12.75" customHeight="1">
      <c r="A1058" s="3" t="s">
        <v>2810</v>
      </c>
      <c r="B1058" s="3" t="str">
        <f t="shared" si="1"/>
        <v>0.04</v>
      </c>
      <c r="C1058" s="1" t="str">
        <f t="array" ref="C1058">IF(B1057="NEW ROUTE",TEXTSPLIT(B1058,","),"")</f>
        <v/>
      </c>
      <c r="H1058" s="1" t="str">
        <f t="shared" ref="H1058:I1058" si="1060">IF(C1058&lt;&gt;"",DEC2HEX(C1058,2),"")</f>
        <v/>
      </c>
      <c r="I1058" s="1" t="str">
        <f t="shared" si="1060"/>
        <v/>
      </c>
      <c r="J1058" s="1" t="str">
        <f t="shared" si="3"/>
        <v/>
      </c>
      <c r="L1058" s="1" t="s">
        <v>2810</v>
      </c>
      <c r="M1058" s="1" t="str">
        <f t="shared" si="4"/>
        <v>0.04</v>
      </c>
    </row>
    <row r="1059" ht="12.75" customHeight="1">
      <c r="A1059" s="3" t="s">
        <v>3156</v>
      </c>
      <c r="B1059" s="3" t="str">
        <f t="shared" si="1"/>
        <v>48, 48, GOLBAT</v>
      </c>
      <c r="C1059" s="1" t="str">
        <f t="array" ref="C1059">IF(B1058="NEW ROUTE",TEXTSPLIT(B1059,","),"")</f>
        <v/>
      </c>
      <c r="H1059" s="1" t="str">
        <f t="shared" ref="H1059:I1059" si="1061">IF(C1059&lt;&gt;"",DEC2HEX(C1059,2),"")</f>
        <v/>
      </c>
      <c r="I1059" s="1" t="str">
        <f t="shared" si="1061"/>
        <v/>
      </c>
      <c r="J1059" s="1" t="str">
        <f t="shared" si="3"/>
        <v/>
      </c>
      <c r="L1059" s="1" t="s">
        <v>3156</v>
      </c>
      <c r="M1059" s="1" t="str">
        <f t="shared" si="4"/>
        <v>48, 48, GOLBAT</v>
      </c>
    </row>
    <row r="1060" ht="12.75" customHeight="1">
      <c r="A1060" s="3" t="s">
        <v>3157</v>
      </c>
      <c r="B1060" s="3" t="str">
        <f t="shared" si="1"/>
        <v>53, 53, DEWGONG</v>
      </c>
      <c r="C1060" s="1" t="str">
        <f t="array" ref="C1060">IF(B1059="NEW ROUTE",TEXTSPLIT(B1060,","),"")</f>
        <v/>
      </c>
      <c r="H1060" s="1" t="str">
        <f t="shared" ref="H1060:I1060" si="1062">IF(C1060&lt;&gt;"",DEC2HEX(C1060,2),"")</f>
        <v/>
      </c>
      <c r="I1060" s="1" t="str">
        <f t="shared" si="1062"/>
        <v/>
      </c>
      <c r="J1060" s="1" t="str">
        <f t="shared" si="3"/>
        <v/>
      </c>
      <c r="L1060" s="1" t="s">
        <v>3157</v>
      </c>
      <c r="M1060" s="1" t="str">
        <f t="shared" si="4"/>
        <v>53, 53, DEWGONG</v>
      </c>
    </row>
    <row r="1061" ht="12.75" customHeight="1">
      <c r="A1061" s="3" t="s">
        <v>2813</v>
      </c>
      <c r="B1061" s="3" t="str">
        <f t="shared" si="1"/>
        <v>0.01</v>
      </c>
      <c r="C1061" s="1" t="str">
        <f t="array" ref="C1061">IF(B1060="NEW ROUTE",TEXTSPLIT(B1061,","),"")</f>
        <v/>
      </c>
      <c r="H1061" s="1" t="str">
        <f t="shared" ref="H1061:I1061" si="1063">IF(C1061&lt;&gt;"",DEC2HEX(C1061,2),"")</f>
        <v/>
      </c>
      <c r="I1061" s="1" t="str">
        <f t="shared" si="1063"/>
        <v/>
      </c>
      <c r="J1061" s="1" t="str">
        <f t="shared" si="3"/>
        <v/>
      </c>
      <c r="L1061" s="1" t="s">
        <v>2813</v>
      </c>
      <c r="M1061" s="1" t="str">
        <f t="shared" si="4"/>
        <v>0.01</v>
      </c>
    </row>
    <row r="1062" ht="12.75" customHeight="1">
      <c r="A1062" s="3" t="s">
        <v>3156</v>
      </c>
      <c r="B1062" s="3" t="str">
        <f t="shared" si="1"/>
        <v>48, 48, GOLBAT</v>
      </c>
      <c r="C1062" s="1" t="str">
        <f t="array" ref="C1062">IF(B1061="NEW ROUTE",TEXTSPLIT(B1062,","),"")</f>
        <v/>
      </c>
      <c r="H1062" s="1" t="str">
        <f t="shared" ref="H1062:I1062" si="1064">IF(C1062&lt;&gt;"",DEC2HEX(C1062,2),"")</f>
        <v/>
      </c>
      <c r="I1062" s="1" t="str">
        <f t="shared" si="1064"/>
        <v/>
      </c>
      <c r="J1062" s="1" t="str">
        <f t="shared" si="3"/>
        <v/>
      </c>
      <c r="L1062" s="1" t="s">
        <v>3156</v>
      </c>
      <c r="M1062" s="1" t="str">
        <f t="shared" si="4"/>
        <v>48, 48, GOLBAT</v>
      </c>
    </row>
    <row r="1063" ht="12.75" customHeight="1">
      <c r="A1063" s="3" t="s">
        <v>3157</v>
      </c>
      <c r="B1063" s="3" t="str">
        <f t="shared" si="1"/>
        <v>53, 53, DEWGONG</v>
      </c>
      <c r="C1063" s="1" t="str">
        <f t="array" ref="C1063">IF(B1062="NEW ROUTE",TEXTSPLIT(B1063,","),"")</f>
        <v/>
      </c>
      <c r="H1063" s="1" t="str">
        <f t="shared" ref="H1063:I1063" si="1065">IF(C1063&lt;&gt;"",DEC2HEX(C1063,2),"")</f>
        <v/>
      </c>
      <c r="I1063" s="1" t="str">
        <f t="shared" si="1065"/>
        <v/>
      </c>
      <c r="J1063" s="1" t="str">
        <f t="shared" si="3"/>
        <v/>
      </c>
      <c r="L1063" s="1" t="s">
        <v>3157</v>
      </c>
      <c r="M1063" s="1" t="str">
        <f t="shared" si="4"/>
        <v>53, 53, DEWGONG</v>
      </c>
    </row>
    <row r="1064" ht="12.75" customHeight="1">
      <c r="A1064" s="3" t="s">
        <v>3158</v>
      </c>
      <c r="B1064" s="3" t="str">
        <f t="shared" si="1"/>
        <v>2, 5, 35, SEEL</v>
      </c>
      <c r="C1064" s="1" t="str">
        <f t="array" ref="C1064">IF(B1063="NEW ROUTE",TEXTSPLIT(B1064,","),"")</f>
        <v/>
      </c>
      <c r="H1064" s="1" t="str">
        <f t="shared" ref="H1064:I1064" si="1066">IF(C1064&lt;&gt;"",DEC2HEX(C1064,2),"")</f>
        <v/>
      </c>
      <c r="I1064" s="1" t="str">
        <f t="shared" si="1066"/>
        <v/>
      </c>
      <c r="J1064" s="1" t="str">
        <f t="shared" si="3"/>
        <v/>
      </c>
      <c r="L1064" s="1" t="s">
        <v>3158</v>
      </c>
      <c r="M1064" s="1" t="str">
        <f t="shared" si="4"/>
        <v>2, 5, 35, SEEL</v>
      </c>
    </row>
    <row r="1065" ht="12.75" customHeight="1">
      <c r="A1065" s="3" t="s">
        <v>3159</v>
      </c>
      <c r="B1065" s="3" t="str">
        <f t="shared" si="1"/>
        <v>5, 35, SLOWPOKE</v>
      </c>
      <c r="C1065" s="1" t="str">
        <f t="array" ref="C1065">IF(B1064="NEW ROUTE",TEXTSPLIT(B1065,","),"")</f>
        <v/>
      </c>
      <c r="H1065" s="1" t="str">
        <f t="shared" ref="H1065:I1065" si="1067">IF(C1065&lt;&gt;"",DEC2HEX(C1065,2),"")</f>
        <v/>
      </c>
      <c r="I1065" s="1" t="str">
        <f t="shared" si="1067"/>
        <v/>
      </c>
      <c r="J1065" s="1" t="str">
        <f t="shared" si="3"/>
        <v/>
      </c>
      <c r="L1065" s="1" t="s">
        <v>3159</v>
      </c>
      <c r="M1065" s="1" t="str">
        <f t="shared" si="4"/>
        <v>5, 35, SLOWPOKE</v>
      </c>
    </row>
    <row r="1066" ht="12.75" customHeight="1">
      <c r="A1066" s="3" t="s">
        <v>3160</v>
      </c>
      <c r="B1066" s="3" t="str">
        <f t="shared" si="1"/>
        <v>35, 40, DEWGONG</v>
      </c>
      <c r="C1066" s="1" t="str">
        <f t="array" ref="C1066">IF(B1065="NEW ROUTE",TEXTSPLIT(B1066,","),"")</f>
        <v/>
      </c>
      <c r="H1066" s="1" t="str">
        <f t="shared" ref="H1066:I1066" si="1068">IF(C1066&lt;&gt;"",DEC2HEX(C1066,2),"")</f>
        <v/>
      </c>
      <c r="I1066" s="1" t="str">
        <f t="shared" si="1068"/>
        <v/>
      </c>
      <c r="J1066" s="1" t="str">
        <f t="shared" si="3"/>
        <v/>
      </c>
      <c r="L1066" s="1" t="s">
        <v>3160</v>
      </c>
      <c r="M1066" s="1" t="str">
        <f t="shared" si="4"/>
        <v>35, 40, DEWGONG</v>
      </c>
    </row>
    <row r="1067" ht="12.75" customHeight="1">
      <c r="A1067" s="3" t="s">
        <v>3161</v>
      </c>
      <c r="B1067" s="3" t="str">
        <f t="shared" si="1"/>
        <v>5, 15, MARILL</v>
      </c>
      <c r="C1067" s="1" t="str">
        <f t="array" ref="C1067">IF(B1066="NEW ROUTE",TEXTSPLIT(B1067,","),"")</f>
        <v/>
      </c>
      <c r="H1067" s="1" t="str">
        <f t="shared" ref="H1067:I1067" si="1069">IF(C1067&lt;&gt;"",DEC2HEX(C1067,2),"")</f>
        <v/>
      </c>
      <c r="I1067" s="1" t="str">
        <f t="shared" si="1069"/>
        <v/>
      </c>
      <c r="J1067" s="1" t="str">
        <f t="shared" si="3"/>
        <v/>
      </c>
      <c r="L1067" s="1" t="s">
        <v>3161</v>
      </c>
      <c r="M1067" s="1" t="str">
        <f t="shared" si="4"/>
        <v>5, 15, MARILL</v>
      </c>
    </row>
    <row r="1068" ht="12.75" customHeight="1">
      <c r="A1068" s="3" t="s">
        <v>3161</v>
      </c>
      <c r="B1068" s="3" t="str">
        <f t="shared" si="1"/>
        <v>5, 15, MARILL</v>
      </c>
      <c r="C1068" s="1" t="str">
        <f t="array" ref="C1068">IF(B1067="NEW ROUTE",TEXTSPLIT(B1068,","),"")</f>
        <v/>
      </c>
      <c r="H1068" s="1" t="str">
        <f t="shared" ref="H1068:I1068" si="1070">IF(C1068&lt;&gt;"",DEC2HEX(C1068,2),"")</f>
        <v/>
      </c>
      <c r="I1068" s="1" t="str">
        <f t="shared" si="1070"/>
        <v/>
      </c>
      <c r="J1068" s="1" t="str">
        <f t="shared" si="3"/>
        <v/>
      </c>
      <c r="L1068" s="1" t="s">
        <v>3161</v>
      </c>
      <c r="M1068" s="1" t="str">
        <f t="shared" si="4"/>
        <v>5, 15, MARILL</v>
      </c>
    </row>
    <row r="1069" ht="12.75" customHeight="1">
      <c r="A1069" s="3" t="s">
        <v>2926</v>
      </c>
      <c r="B1069" s="3" t="str">
        <f t="shared" si="1"/>
        <v>20, old rod:</v>
      </c>
      <c r="C1069" s="1" t="str">
        <f t="array" ref="C1069">IF(B1068="NEW ROUTE",TEXTSPLIT(B1069,","),"")</f>
        <v/>
      </c>
      <c r="H1069" s="1" t="str">
        <f t="shared" ref="H1069:I1069" si="1071">IF(C1069&lt;&gt;"",DEC2HEX(C1069,2),"")</f>
        <v/>
      </c>
      <c r="I1069" s="1" t="str">
        <f t="shared" si="1071"/>
        <v/>
      </c>
      <c r="J1069" s="1" t="str">
        <f t="shared" si="3"/>
        <v/>
      </c>
      <c r="L1069" s="1" t="s">
        <v>2926</v>
      </c>
      <c r="M1069" s="1" t="str">
        <f t="shared" si="4"/>
        <v>20, old rod:</v>
      </c>
    </row>
    <row r="1070" ht="12.75" customHeight="1">
      <c r="A1070" s="3" t="s">
        <v>417</v>
      </c>
      <c r="B1070" s="3" t="str">
        <f t="shared" si="1"/>
        <v>5, 5, MAGIKARP</v>
      </c>
      <c r="C1070" s="1" t="str">
        <f t="array" ref="C1070">IF(B1069="NEW ROUTE",TEXTSPLIT(B1070,","),"")</f>
        <v/>
      </c>
      <c r="H1070" s="1" t="str">
        <f t="shared" ref="H1070:I1070" si="1072">IF(C1070&lt;&gt;"",DEC2HEX(C1070,2),"")</f>
        <v/>
      </c>
      <c r="I1070" s="1" t="str">
        <f t="shared" si="1072"/>
        <v/>
      </c>
      <c r="J1070" s="1" t="str">
        <f t="shared" si="3"/>
        <v/>
      </c>
      <c r="L1070" s="1" t="s">
        <v>417</v>
      </c>
      <c r="M1070" s="1" t="str">
        <f t="shared" si="4"/>
        <v>5, 5, MAGIKARP</v>
      </c>
    </row>
    <row r="1071" ht="12.75" customHeight="1">
      <c r="A1071" s="3" t="s">
        <v>417</v>
      </c>
      <c r="B1071" s="3" t="str">
        <f t="shared" si="1"/>
        <v>5, 5, MAGIKARP</v>
      </c>
      <c r="C1071" s="1" t="str">
        <f t="array" ref="C1071">IF(B1070="NEW ROUTE",TEXTSPLIT(B1071,","),"")</f>
        <v/>
      </c>
      <c r="H1071" s="1" t="str">
        <f t="shared" ref="H1071:I1071" si="1073">IF(C1071&lt;&gt;"",DEC2HEX(C1071,2),"")</f>
        <v/>
      </c>
      <c r="I1071" s="1" t="str">
        <f t="shared" si="1073"/>
        <v/>
      </c>
      <c r="J1071" s="1" t="str">
        <f t="shared" si="3"/>
        <v/>
      </c>
      <c r="L1071" s="1" t="s">
        <v>417</v>
      </c>
      <c r="M1071" s="1" t="str">
        <f t="shared" si="4"/>
        <v>5, 5, MAGIKARP</v>
      </c>
    </row>
    <row r="1072" ht="12.75" customHeight="1">
      <c r="A1072" s="3" t="s">
        <v>2847</v>
      </c>
      <c r="B1072" s="3" t="str">
        <f t="shared" si="1"/>
        <v>good rod:</v>
      </c>
      <c r="C1072" s="1" t="str">
        <f t="array" ref="C1072">IF(B1071="NEW ROUTE",TEXTSPLIT(B1072,","),"")</f>
        <v/>
      </c>
      <c r="H1072" s="1" t="str">
        <f t="shared" ref="H1072:I1072" si="1074">IF(C1072&lt;&gt;"",DEC2HEX(C1072,2),"")</f>
        <v/>
      </c>
      <c r="I1072" s="1" t="str">
        <f t="shared" si="1074"/>
        <v/>
      </c>
      <c r="J1072" s="1" t="str">
        <f t="shared" si="3"/>
        <v/>
      </c>
      <c r="L1072" s="1" t="s">
        <v>2847</v>
      </c>
      <c r="M1072" s="1" t="str">
        <f t="shared" si="4"/>
        <v>good rod:</v>
      </c>
    </row>
    <row r="1073" ht="12.75" customHeight="1">
      <c r="A1073" s="3" t="s">
        <v>3144</v>
      </c>
      <c r="B1073" s="3" t="str">
        <f t="shared" si="1"/>
        <v>5, 15, POLIWAG</v>
      </c>
      <c r="C1073" s="1" t="str">
        <f t="array" ref="C1073">IF(B1072="NEW ROUTE",TEXTSPLIT(B1073,","),"")</f>
        <v/>
      </c>
      <c r="H1073" s="1" t="str">
        <f t="shared" ref="H1073:I1073" si="1075">IF(C1073&lt;&gt;"",DEC2HEX(C1073,2),"")</f>
        <v/>
      </c>
      <c r="I1073" s="1" t="str">
        <f t="shared" si="1075"/>
        <v/>
      </c>
      <c r="J1073" s="1" t="str">
        <f t="shared" si="3"/>
        <v/>
      </c>
      <c r="L1073" s="1" t="s">
        <v>3144</v>
      </c>
      <c r="M1073" s="1" t="str">
        <f t="shared" si="4"/>
        <v>5, 15, POLIWAG</v>
      </c>
    </row>
    <row r="1074" ht="12.75" customHeight="1">
      <c r="A1074" s="3" t="s">
        <v>2849</v>
      </c>
      <c r="B1074" s="3" t="str">
        <f t="shared" si="1"/>
        <v>5, 15, MAGIKARP</v>
      </c>
      <c r="C1074" s="1" t="str">
        <f t="array" ref="C1074">IF(B1073="NEW ROUTE",TEXTSPLIT(B1074,","),"")</f>
        <v/>
      </c>
      <c r="H1074" s="1" t="str">
        <f t="shared" ref="H1074:I1074" si="1076">IF(C1074&lt;&gt;"",DEC2HEX(C1074,2),"")</f>
        <v/>
      </c>
      <c r="I1074" s="1" t="str">
        <f t="shared" si="1076"/>
        <v/>
      </c>
      <c r="J1074" s="1" t="str">
        <f t="shared" si="3"/>
        <v/>
      </c>
      <c r="L1074" s="1" t="s">
        <v>2849</v>
      </c>
      <c r="M1074" s="1" t="str">
        <f t="shared" si="4"/>
        <v>5, 15, MAGIKARP</v>
      </c>
    </row>
    <row r="1075" ht="12.75" customHeight="1">
      <c r="A1075" s="3" t="s">
        <v>3143</v>
      </c>
      <c r="B1075" s="3" t="str">
        <f t="shared" si="1"/>
        <v>5, 15, GOLDEEN</v>
      </c>
      <c r="C1075" s="1" t="str">
        <f t="array" ref="C1075">IF(B1074="NEW ROUTE",TEXTSPLIT(B1075,","),"")</f>
        <v/>
      </c>
      <c r="H1075" s="1" t="str">
        <f t="shared" ref="H1075:I1075" si="1077">IF(C1075&lt;&gt;"",DEC2HEX(C1075,2),"")</f>
        <v/>
      </c>
      <c r="I1075" s="1" t="str">
        <f t="shared" si="1077"/>
        <v/>
      </c>
      <c r="J1075" s="1" t="str">
        <f t="shared" si="3"/>
        <v/>
      </c>
      <c r="L1075" s="1" t="s">
        <v>3143</v>
      </c>
      <c r="M1075" s="1" t="str">
        <f t="shared" si="4"/>
        <v>5, 15, GOLDEEN</v>
      </c>
    </row>
    <row r="1076" ht="12.75" customHeight="1">
      <c r="A1076" s="3" t="s">
        <v>2851</v>
      </c>
      <c r="B1076" s="3" t="str">
        <f t="shared" si="1"/>
        <v>super rod:</v>
      </c>
      <c r="C1076" s="1" t="str">
        <f t="array" ref="C1076">IF(B1075="NEW ROUTE",TEXTSPLIT(B1076,","),"")</f>
        <v/>
      </c>
      <c r="H1076" s="1" t="str">
        <f t="shared" ref="H1076:I1076" si="1078">IF(C1076&lt;&gt;"",DEC2HEX(C1076,2),"")</f>
        <v/>
      </c>
      <c r="I1076" s="1" t="str">
        <f t="shared" si="1078"/>
        <v/>
      </c>
      <c r="J1076" s="1" t="str">
        <f t="shared" si="3"/>
        <v/>
      </c>
      <c r="L1076" s="1" t="s">
        <v>2851</v>
      </c>
      <c r="M1076" s="1" t="str">
        <f t="shared" si="4"/>
        <v>super rod:</v>
      </c>
    </row>
    <row r="1077" ht="12.75" customHeight="1">
      <c r="A1077" s="3" t="s">
        <v>3162</v>
      </c>
      <c r="B1077" s="3" t="str">
        <f t="shared" si="1"/>
        <v>15, 25, POLIWAG</v>
      </c>
      <c r="C1077" s="1" t="str">
        <f t="array" ref="C1077">IF(B1076="NEW ROUTE",TEXTSPLIT(B1077,","),"")</f>
        <v/>
      </c>
      <c r="H1077" s="1" t="str">
        <f t="shared" ref="H1077:I1077" si="1079">IF(C1077&lt;&gt;"",DEC2HEX(C1077,2),"")</f>
        <v/>
      </c>
      <c r="I1077" s="1" t="str">
        <f t="shared" si="1079"/>
        <v/>
      </c>
      <c r="J1077" s="1" t="str">
        <f t="shared" si="3"/>
        <v/>
      </c>
      <c r="L1077" s="1" t="s">
        <v>3162</v>
      </c>
      <c r="M1077" s="1" t="str">
        <f t="shared" si="4"/>
        <v>15, 25, POLIWAG</v>
      </c>
    </row>
    <row r="1078" ht="12.75" customHeight="1">
      <c r="A1078" s="3" t="s">
        <v>3163</v>
      </c>
      <c r="B1078" s="3" t="str">
        <f t="shared" si="1"/>
        <v>20, 30, POLIWHIRL</v>
      </c>
      <c r="C1078" s="1" t="str">
        <f t="array" ref="C1078">IF(B1077="NEW ROUTE",TEXTSPLIT(B1078,","),"")</f>
        <v/>
      </c>
      <c r="H1078" s="1" t="str">
        <f t="shared" ref="H1078:I1078" si="1080">IF(C1078&lt;&gt;"",DEC2HEX(C1078,2),"")</f>
        <v/>
      </c>
      <c r="I1078" s="1" t="str">
        <f t="shared" si="1080"/>
        <v/>
      </c>
      <c r="J1078" s="1" t="str">
        <f t="shared" si="3"/>
        <v/>
      </c>
      <c r="L1078" s="1" t="s">
        <v>3163</v>
      </c>
      <c r="M1078" s="1" t="str">
        <f t="shared" si="4"/>
        <v>20, 30, POLIWHIRL</v>
      </c>
    </row>
    <row r="1079" ht="12.75" customHeight="1">
      <c r="A1079" s="3" t="s">
        <v>2854</v>
      </c>
      <c r="B1079" s="3" t="str">
        <f t="shared" si="1"/>
        <v>15, 25, GYARADOS</v>
      </c>
      <c r="C1079" s="1" t="str">
        <f t="array" ref="C1079">IF(B1078="NEW ROUTE",TEXTSPLIT(B1079,","),"")</f>
        <v/>
      </c>
      <c r="H1079" s="1" t="str">
        <f t="shared" ref="H1079:I1079" si="1081">IF(C1079&lt;&gt;"",DEC2HEX(C1079,2),"")</f>
        <v/>
      </c>
      <c r="I1079" s="1" t="str">
        <f t="shared" si="1081"/>
        <v/>
      </c>
      <c r="J1079" s="1" t="str">
        <f t="shared" si="3"/>
        <v/>
      </c>
      <c r="L1079" s="1" t="s">
        <v>2854</v>
      </c>
      <c r="M1079" s="1" t="str">
        <f t="shared" si="4"/>
        <v>15, 25, GYARADOS</v>
      </c>
    </row>
    <row r="1080" ht="12.75" customHeight="1">
      <c r="A1080" s="3" t="s">
        <v>3147</v>
      </c>
      <c r="B1080" s="3" t="str">
        <f t="shared" si="1"/>
        <v>15, 25, SLOWPOKE</v>
      </c>
      <c r="C1080" s="1" t="str">
        <f t="array" ref="C1080">IF(B1079="NEW ROUTE",TEXTSPLIT(B1080,","),"")</f>
        <v/>
      </c>
      <c r="H1080" s="1" t="str">
        <f t="shared" ref="H1080:I1080" si="1082">IF(C1080&lt;&gt;"",DEC2HEX(C1080,2),"")</f>
        <v/>
      </c>
      <c r="I1080" s="1" t="str">
        <f t="shared" si="1082"/>
        <v/>
      </c>
      <c r="J1080" s="1" t="str">
        <f t="shared" si="3"/>
        <v/>
      </c>
      <c r="L1080" s="1" t="s">
        <v>3147</v>
      </c>
      <c r="M1080" s="1" t="str">
        <f t="shared" si="4"/>
        <v>15, 25, SLOWPOKE</v>
      </c>
    </row>
    <row r="1081" ht="12.75" customHeight="1">
      <c r="A1081" s="3" t="s">
        <v>2856</v>
      </c>
      <c r="B1081" s="3" t="str">
        <f t="shared" si="1"/>
        <v>25, 35, SLOWPOKE</v>
      </c>
      <c r="C1081" s="1" t="str">
        <f t="array" ref="C1081">IF(B1080="NEW ROUTE",TEXTSPLIT(B1081,","),"")</f>
        <v/>
      </c>
      <c r="H1081" s="1" t="str">
        <f t="shared" ref="H1081:I1081" si="1083">IF(C1081&lt;&gt;"",DEC2HEX(C1081,2),"")</f>
        <v/>
      </c>
      <c r="I1081" s="1" t="str">
        <f t="shared" si="1083"/>
        <v/>
      </c>
      <c r="J1081" s="1" t="str">
        <f t="shared" si="3"/>
        <v/>
      </c>
      <c r="L1081" s="1" t="s">
        <v>2856</v>
      </c>
      <c r="M1081" s="1" t="str">
        <f t="shared" si="4"/>
        <v>25, 35, SLOWPOKE</v>
      </c>
    </row>
    <row r="1082" ht="12.75" customHeight="1">
      <c r="A1082" s="3" t="s">
        <v>2539</v>
      </c>
      <c r="B1082" s="3" t="str">
        <f t="shared" si="1"/>
        <v>NEW ROUTE</v>
      </c>
      <c r="C1082" s="1" t="str">
        <f t="array" ref="C1082">IF(B1081="NEW ROUTE",TEXTSPLIT(B1082,","),"")</f>
        <v/>
      </c>
      <c r="H1082" s="1" t="str">
        <f t="shared" ref="H1082:I1082" si="1084">IF(C1082&lt;&gt;"",DEC2HEX(C1082,2),"")</f>
        <v/>
      </c>
      <c r="I1082" s="1" t="str">
        <f t="shared" si="1084"/>
        <v/>
      </c>
      <c r="J1082" s="1" t="str">
        <f t="shared" si="3"/>
        <v/>
      </c>
      <c r="L1082" s="1" t="s">
        <v>2539</v>
      </c>
      <c r="M1082" s="1" t="str">
        <f t="shared" si="4"/>
        <v>NEW ROUTE</v>
      </c>
    </row>
    <row r="1083" ht="12.75" customHeight="1">
      <c r="A1083" s="3" t="s">
        <v>3164</v>
      </c>
      <c r="B1083" s="3" t="str">
        <f t="shared" si="1"/>
        <v>1, 111, 0,</v>
      </c>
      <c r="C1083" s="1" t="str">
        <f t="array" ref="C1083">IF(B1082="NEW ROUTE",TEXTSPLIT(B1083,","),"")</f>
        <v>#NAME?</v>
      </c>
      <c r="H1083" s="1" t="str">
        <f t="shared" ref="H1083:I1083" si="1085">IF(C1083&lt;&gt;"",DEC2HEX(C1083,2),"")</f>
        <v>#NAME?</v>
      </c>
      <c r="I1083" s="1" t="str">
        <f t="shared" si="1085"/>
        <v/>
      </c>
      <c r="J1083" s="1" t="str">
        <f t="shared" si="3"/>
        <v>#NAME?</v>
      </c>
      <c r="L1083" s="1" t="s">
        <v>3164</v>
      </c>
      <c r="M1083" s="1" t="str">
        <f t="shared" si="4"/>
        <v>#NAME?</v>
      </c>
    </row>
    <row r="1084" ht="12.75" customHeight="1">
      <c r="A1084" s="3" t="s">
        <v>2817</v>
      </c>
      <c r="B1084" s="3" t="str">
        <f t="shared" si="1"/>
        <v>20%</v>
      </c>
      <c r="C1084" s="1" t="str">
        <f t="array" ref="C1084">IF(B1083="NEW ROUTE",TEXTSPLIT(B1084,","),"")</f>
        <v/>
      </c>
      <c r="H1084" s="1" t="str">
        <f t="shared" ref="H1084:I1084" si="1086">IF(C1084&lt;&gt;"",DEC2HEX(C1084,2),"")</f>
        <v/>
      </c>
      <c r="I1084" s="1" t="str">
        <f t="shared" si="1086"/>
        <v/>
      </c>
      <c r="J1084" s="1" t="str">
        <f t="shared" si="3"/>
        <v/>
      </c>
      <c r="L1084" s="1" t="s">
        <v>2799</v>
      </c>
      <c r="M1084" s="1" t="str">
        <f t="shared" si="4"/>
        <v>20%</v>
      </c>
    </row>
    <row r="1085" ht="12.75" customHeight="1">
      <c r="A1085" s="3" t="s">
        <v>760</v>
      </c>
      <c r="B1085" s="3" t="str">
        <f t="shared" si="1"/>
        <v>25, 25, SWINUB</v>
      </c>
      <c r="C1085" s="1" t="str">
        <f t="array" ref="C1085">IF(B1084="NEW ROUTE",TEXTSPLIT(B1085,","),"")</f>
        <v/>
      </c>
      <c r="H1085" s="1" t="str">
        <f t="shared" ref="H1085:I1085" si="1087">IF(C1085&lt;&gt;"",DEC2HEX(C1085,2),"")</f>
        <v/>
      </c>
      <c r="I1085" s="1" t="str">
        <f t="shared" si="1087"/>
        <v/>
      </c>
      <c r="J1085" s="1" t="str">
        <f t="shared" si="3"/>
        <v/>
      </c>
      <c r="L1085" s="1" t="s">
        <v>760</v>
      </c>
      <c r="M1085" s="1" t="str">
        <f t="shared" si="4"/>
        <v>25, 25, SWINUB</v>
      </c>
    </row>
    <row r="1086" ht="12.75" customHeight="1">
      <c r="A1086" s="3" t="s">
        <v>3149</v>
      </c>
      <c r="B1086" s="3" t="str">
        <f t="shared" si="1"/>
        <v>45, 45, GOLBAT</v>
      </c>
      <c r="C1086" s="1" t="str">
        <f t="array" ref="C1086">IF(B1085="NEW ROUTE",TEXTSPLIT(B1086,","),"")</f>
        <v/>
      </c>
      <c r="H1086" s="1" t="str">
        <f t="shared" ref="H1086:I1086" si="1088">IF(C1086&lt;&gt;"",DEC2HEX(C1086,2),"")</f>
        <v/>
      </c>
      <c r="I1086" s="1" t="str">
        <f t="shared" si="1088"/>
        <v/>
      </c>
      <c r="J1086" s="1" t="str">
        <f t="shared" si="3"/>
        <v/>
      </c>
      <c r="L1086" s="1" t="s">
        <v>3149</v>
      </c>
      <c r="M1086" s="1" t="str">
        <f t="shared" si="4"/>
        <v>45, 45, GOLBAT</v>
      </c>
    </row>
    <row r="1087" ht="12.75" customHeight="1">
      <c r="A1087" s="3" t="s">
        <v>2802</v>
      </c>
      <c r="B1087" s="3" t="str">
        <f t="shared" si="1"/>
        <v>0.1</v>
      </c>
      <c r="C1087" s="1" t="str">
        <f t="array" ref="C1087">IF(B1086="NEW ROUTE",TEXTSPLIT(B1087,","),"")</f>
        <v/>
      </c>
      <c r="H1087" s="1" t="str">
        <f t="shared" ref="H1087:I1087" si="1089">IF(C1087&lt;&gt;"",DEC2HEX(C1087,2),"")</f>
        <v/>
      </c>
      <c r="I1087" s="1" t="str">
        <f t="shared" si="1089"/>
        <v/>
      </c>
      <c r="J1087" s="1" t="str">
        <f t="shared" si="3"/>
        <v/>
      </c>
      <c r="L1087" s="1" t="s">
        <v>2802</v>
      </c>
      <c r="M1087" s="1" t="str">
        <f t="shared" si="4"/>
        <v>0.1</v>
      </c>
    </row>
    <row r="1088" ht="12.75" customHeight="1">
      <c r="A1088" s="3" t="s">
        <v>3150</v>
      </c>
      <c r="B1088" s="3" t="str">
        <f t="shared" si="1"/>
        <v>45, 45, SEEL</v>
      </c>
      <c r="C1088" s="1" t="str">
        <f t="array" ref="C1088">IF(B1087="NEW ROUTE",TEXTSPLIT(B1088,","),"")</f>
        <v/>
      </c>
      <c r="H1088" s="1" t="str">
        <f t="shared" ref="H1088:I1088" si="1090">IF(C1088&lt;&gt;"",DEC2HEX(C1088,2),"")</f>
        <v/>
      </c>
      <c r="I1088" s="1" t="str">
        <f t="shared" si="1090"/>
        <v/>
      </c>
      <c r="J1088" s="1" t="str">
        <f t="shared" si="3"/>
        <v/>
      </c>
      <c r="L1088" s="1" t="s">
        <v>3150</v>
      </c>
      <c r="M1088" s="1" t="str">
        <f t="shared" si="4"/>
        <v>45, 45, SEEL</v>
      </c>
    </row>
    <row r="1089" ht="12.75" customHeight="1">
      <c r="A1089" s="3" t="s">
        <v>3165</v>
      </c>
      <c r="B1089" s="3" t="str">
        <f t="shared" si="1"/>
        <v>27, 27, SWINUB</v>
      </c>
      <c r="C1089" s="1" t="str">
        <f t="array" ref="C1089">IF(B1088="NEW ROUTE",TEXTSPLIT(B1089,","),"")</f>
        <v/>
      </c>
      <c r="H1089" s="1" t="str">
        <f t="shared" ref="H1089:I1089" si="1091">IF(C1089&lt;&gt;"",DEC2HEX(C1089,2),"")</f>
        <v/>
      </c>
      <c r="I1089" s="1" t="str">
        <f t="shared" si="1091"/>
        <v/>
      </c>
      <c r="J1089" s="1" t="str">
        <f t="shared" si="3"/>
        <v/>
      </c>
      <c r="L1089" s="1" t="s">
        <v>3165</v>
      </c>
      <c r="M1089" s="1" t="str">
        <f t="shared" si="4"/>
        <v>27, 27, SWINUB</v>
      </c>
    </row>
    <row r="1090" ht="12.75" customHeight="1">
      <c r="A1090" s="3" t="s">
        <v>3152</v>
      </c>
      <c r="B1090" s="3" t="str">
        <f t="shared" si="1"/>
        <v>40, 40, ZUBAT</v>
      </c>
      <c r="C1090" s="1" t="str">
        <f t="array" ref="C1090">IF(B1089="NEW ROUTE",TEXTSPLIT(B1090,","),"")</f>
        <v/>
      </c>
      <c r="H1090" s="1" t="str">
        <f t="shared" ref="H1090:I1090" si="1092">IF(C1090&lt;&gt;"",DEC2HEX(C1090,2),"")</f>
        <v/>
      </c>
      <c r="I1090" s="1" t="str">
        <f t="shared" si="1092"/>
        <v/>
      </c>
      <c r="J1090" s="1" t="str">
        <f t="shared" si="3"/>
        <v/>
      </c>
      <c r="L1090" s="1" t="s">
        <v>3152</v>
      </c>
      <c r="M1090" s="1" t="str">
        <f t="shared" si="4"/>
        <v>40, 40, ZUBAT</v>
      </c>
    </row>
    <row r="1091" ht="12.75" customHeight="1">
      <c r="A1091" s="3" t="s">
        <v>3166</v>
      </c>
      <c r="B1091" s="3" t="str">
        <f t="shared" si="1"/>
        <v>29, 29, SWINUB</v>
      </c>
      <c r="C1091" s="1" t="str">
        <f t="array" ref="C1091">IF(B1090="NEW ROUTE",TEXTSPLIT(B1091,","),"")</f>
        <v/>
      </c>
      <c r="H1091" s="1" t="str">
        <f t="shared" ref="H1091:I1091" si="1093">IF(C1091&lt;&gt;"",DEC2HEX(C1091,2),"")</f>
        <v/>
      </c>
      <c r="I1091" s="1" t="str">
        <f t="shared" si="1093"/>
        <v/>
      </c>
      <c r="J1091" s="1" t="str">
        <f t="shared" si="3"/>
        <v/>
      </c>
      <c r="L1091" s="1" t="s">
        <v>3166</v>
      </c>
      <c r="M1091" s="1" t="str">
        <f t="shared" si="4"/>
        <v>29, 29, SWINUB</v>
      </c>
    </row>
    <row r="1092" ht="12.75" customHeight="1">
      <c r="A1092" s="3" t="s">
        <v>2807</v>
      </c>
      <c r="B1092" s="3" t="str">
        <f t="shared" si="1"/>
        <v>0.05</v>
      </c>
      <c r="C1092" s="1" t="str">
        <f t="array" ref="C1092">IF(B1091="NEW ROUTE",TEXTSPLIT(B1092,","),"")</f>
        <v/>
      </c>
      <c r="H1092" s="1" t="str">
        <f t="shared" ref="H1092:I1092" si="1094">IF(C1092&lt;&gt;"",DEC2HEX(C1092,2),"")</f>
        <v/>
      </c>
      <c r="I1092" s="1" t="str">
        <f t="shared" si="1094"/>
        <v/>
      </c>
      <c r="J1092" s="1" t="str">
        <f t="shared" si="3"/>
        <v/>
      </c>
      <c r="L1092" s="1" t="s">
        <v>2807</v>
      </c>
      <c r="M1092" s="1" t="str">
        <f t="shared" si="4"/>
        <v>0.05</v>
      </c>
    </row>
    <row r="1093" ht="12.75" customHeight="1">
      <c r="A1093" s="3" t="s">
        <v>3167</v>
      </c>
      <c r="B1093" s="3" t="str">
        <f t="shared" si="1"/>
        <v>30, 30, SNEASEL</v>
      </c>
      <c r="C1093" s="1" t="str">
        <f t="array" ref="C1093">IF(B1092="NEW ROUTE",TEXTSPLIT(B1093,","),"")</f>
        <v/>
      </c>
      <c r="H1093" s="1" t="str">
        <f t="shared" ref="H1093:I1093" si="1095">IF(C1093&lt;&gt;"",DEC2HEX(C1093,2),"")</f>
        <v/>
      </c>
      <c r="I1093" s="1" t="str">
        <f t="shared" si="1095"/>
        <v/>
      </c>
      <c r="J1093" s="1" t="str">
        <f t="shared" si="3"/>
        <v/>
      </c>
      <c r="L1093" s="1" t="s">
        <v>3167</v>
      </c>
      <c r="M1093" s="1" t="str">
        <f t="shared" si="4"/>
        <v>30, 30, SNEASEL</v>
      </c>
    </row>
    <row r="1094" ht="12.75" customHeight="1">
      <c r="A1094" s="3" t="s">
        <v>3168</v>
      </c>
      <c r="B1094" s="3" t="str">
        <f t="shared" si="1"/>
        <v>31, 31, SWINUB</v>
      </c>
      <c r="C1094" s="1" t="str">
        <f t="array" ref="C1094">IF(B1093="NEW ROUTE",TEXTSPLIT(B1094,","),"")</f>
        <v/>
      </c>
      <c r="H1094" s="1" t="str">
        <f t="shared" ref="H1094:I1094" si="1096">IF(C1094&lt;&gt;"",DEC2HEX(C1094,2),"")</f>
        <v/>
      </c>
      <c r="I1094" s="1" t="str">
        <f t="shared" si="1096"/>
        <v/>
      </c>
      <c r="J1094" s="1" t="str">
        <f t="shared" si="3"/>
        <v/>
      </c>
      <c r="L1094" s="1" t="s">
        <v>3168</v>
      </c>
      <c r="M1094" s="1" t="str">
        <f t="shared" si="4"/>
        <v>31, 31, SWINUB</v>
      </c>
    </row>
    <row r="1095" ht="12.75" customHeight="1">
      <c r="A1095" s="3" t="s">
        <v>2810</v>
      </c>
      <c r="B1095" s="3" t="str">
        <f t="shared" si="1"/>
        <v>0.04</v>
      </c>
      <c r="C1095" s="1" t="str">
        <f t="array" ref="C1095">IF(B1094="NEW ROUTE",TEXTSPLIT(B1095,","),"")</f>
        <v/>
      </c>
      <c r="H1095" s="1" t="str">
        <f t="shared" ref="H1095:I1095" si="1097">IF(C1095&lt;&gt;"",DEC2HEX(C1095,2),"")</f>
        <v/>
      </c>
      <c r="I1095" s="1" t="str">
        <f t="shared" si="1097"/>
        <v/>
      </c>
      <c r="J1095" s="1" t="str">
        <f t="shared" si="3"/>
        <v/>
      </c>
      <c r="L1095" s="1" t="s">
        <v>2810</v>
      </c>
      <c r="M1095" s="1" t="str">
        <f t="shared" si="4"/>
        <v>0.04</v>
      </c>
    </row>
    <row r="1096" ht="12.75" customHeight="1">
      <c r="A1096" s="3" t="s">
        <v>3156</v>
      </c>
      <c r="B1096" s="3" t="str">
        <f t="shared" si="1"/>
        <v>48, 48, GOLBAT</v>
      </c>
      <c r="C1096" s="1" t="str">
        <f t="array" ref="C1096">IF(B1095="NEW ROUTE",TEXTSPLIT(B1096,","),"")</f>
        <v/>
      </c>
      <c r="H1096" s="1" t="str">
        <f t="shared" ref="H1096:I1096" si="1098">IF(C1096&lt;&gt;"",DEC2HEX(C1096,2),"")</f>
        <v/>
      </c>
      <c r="I1096" s="1" t="str">
        <f t="shared" si="1098"/>
        <v/>
      </c>
      <c r="J1096" s="1" t="str">
        <f t="shared" si="3"/>
        <v/>
      </c>
      <c r="L1096" s="1" t="s">
        <v>3156</v>
      </c>
      <c r="M1096" s="1" t="str">
        <f t="shared" si="4"/>
        <v>48, 48, GOLBAT</v>
      </c>
    </row>
    <row r="1097" ht="12.75" customHeight="1">
      <c r="A1097" s="3" t="s">
        <v>3169</v>
      </c>
      <c r="B1097" s="3" t="str">
        <f t="shared" si="1"/>
        <v>23, 23, SWINUB</v>
      </c>
      <c r="C1097" s="1" t="str">
        <f t="array" ref="C1097">IF(B1096="NEW ROUTE",TEXTSPLIT(B1097,","),"")</f>
        <v/>
      </c>
      <c r="H1097" s="1" t="str">
        <f t="shared" ref="H1097:I1097" si="1099">IF(C1097&lt;&gt;"",DEC2HEX(C1097,2),"")</f>
        <v/>
      </c>
      <c r="I1097" s="1" t="str">
        <f t="shared" si="1099"/>
        <v/>
      </c>
      <c r="J1097" s="1" t="str">
        <f t="shared" si="3"/>
        <v/>
      </c>
      <c r="L1097" s="1" t="s">
        <v>3169</v>
      </c>
      <c r="M1097" s="1" t="str">
        <f t="shared" si="4"/>
        <v>23, 23, SWINUB</v>
      </c>
    </row>
    <row r="1098" ht="12.75" customHeight="1">
      <c r="A1098" s="3" t="s">
        <v>2813</v>
      </c>
      <c r="B1098" s="3" t="str">
        <f t="shared" si="1"/>
        <v>0.01</v>
      </c>
      <c r="C1098" s="1" t="str">
        <f t="array" ref="C1098">IF(B1097="NEW ROUTE",TEXTSPLIT(B1098,","),"")</f>
        <v/>
      </c>
      <c r="H1098" s="1" t="str">
        <f t="shared" ref="H1098:I1098" si="1100">IF(C1098&lt;&gt;"",DEC2HEX(C1098,2),"")</f>
        <v/>
      </c>
      <c r="I1098" s="1" t="str">
        <f t="shared" si="1100"/>
        <v/>
      </c>
      <c r="J1098" s="1" t="str">
        <f t="shared" si="3"/>
        <v/>
      </c>
      <c r="L1098" s="1" t="s">
        <v>2813</v>
      </c>
      <c r="M1098" s="1" t="str">
        <f t="shared" si="4"/>
        <v>0.01</v>
      </c>
    </row>
    <row r="1099" ht="12.75" customHeight="1">
      <c r="A1099" s="3" t="s">
        <v>3156</v>
      </c>
      <c r="B1099" s="3" t="str">
        <f t="shared" si="1"/>
        <v>48, 48, GOLBAT</v>
      </c>
      <c r="C1099" s="1" t="str">
        <f t="array" ref="C1099">IF(B1098="NEW ROUTE",TEXTSPLIT(B1099,","),"")</f>
        <v/>
      </c>
      <c r="H1099" s="1" t="str">
        <f t="shared" ref="H1099:I1099" si="1101">IF(C1099&lt;&gt;"",DEC2HEX(C1099,2),"")</f>
        <v/>
      </c>
      <c r="I1099" s="1" t="str">
        <f t="shared" si="1101"/>
        <v/>
      </c>
      <c r="J1099" s="1" t="str">
        <f t="shared" si="3"/>
        <v/>
      </c>
      <c r="L1099" s="1" t="s">
        <v>3156</v>
      </c>
      <c r="M1099" s="1" t="str">
        <f t="shared" si="4"/>
        <v>48, 48, GOLBAT</v>
      </c>
    </row>
    <row r="1100" ht="12.75" customHeight="1">
      <c r="A1100" s="3" t="s">
        <v>3170</v>
      </c>
      <c r="B1100" s="3" t="str">
        <f t="shared" si="1"/>
        <v>23, 23, SWINUB , &lt;null&gt;, &lt;null&gt;, &lt;null&gt;</v>
      </c>
      <c r="C1100" s="1" t="str">
        <f t="array" ref="C1100">IF(B1099="NEW ROUTE",TEXTSPLIT(B1100,","),"")</f>
        <v/>
      </c>
      <c r="H1100" s="1" t="str">
        <f t="shared" ref="H1100:I1100" si="1102">IF(C1100&lt;&gt;"",DEC2HEX(C1100,2),"")</f>
        <v/>
      </c>
      <c r="I1100" s="1" t="str">
        <f t="shared" si="1102"/>
        <v/>
      </c>
      <c r="J1100" s="1" t="str">
        <f t="shared" si="3"/>
        <v/>
      </c>
      <c r="L1100" s="1" t="s">
        <v>3170</v>
      </c>
      <c r="M1100" s="1" t="str">
        <f t="shared" si="4"/>
        <v>23, 23, SWINUB , &lt;null&gt;, &lt;null&gt;, &lt;null&gt;</v>
      </c>
    </row>
    <row r="1101" ht="12.75" customHeight="1">
      <c r="A1101" s="3" t="s">
        <v>2539</v>
      </c>
      <c r="B1101" s="3" t="str">
        <f t="shared" si="1"/>
        <v>NEW ROUTE</v>
      </c>
      <c r="C1101" s="1" t="str">
        <f t="array" ref="C1101">IF(B1100="NEW ROUTE",TEXTSPLIT(B1101,","),"")</f>
        <v/>
      </c>
      <c r="H1101" s="1" t="str">
        <f t="shared" ref="H1101:I1101" si="1103">IF(C1101&lt;&gt;"",DEC2HEX(C1101,2),"")</f>
        <v/>
      </c>
      <c r="I1101" s="1" t="str">
        <f t="shared" si="1103"/>
        <v/>
      </c>
      <c r="J1101" s="1" t="str">
        <f t="shared" si="3"/>
        <v/>
      </c>
      <c r="L1101" s="1" t="s">
        <v>2539</v>
      </c>
      <c r="M1101" s="1" t="str">
        <f t="shared" si="4"/>
        <v>NEW ROUTE</v>
      </c>
    </row>
    <row r="1102" ht="12.75" customHeight="1">
      <c r="A1102" s="3" t="s">
        <v>3171</v>
      </c>
      <c r="B1102" s="3" t="str">
        <f t="shared" si="1"/>
        <v>1, 112, 0,</v>
      </c>
      <c r="C1102" s="1" t="str">
        <f t="array" ref="C1102">IF(B1101="NEW ROUTE",TEXTSPLIT(B1102,","),"")</f>
        <v>#NAME?</v>
      </c>
      <c r="H1102" s="1" t="str">
        <f t="shared" ref="H1102:I1102" si="1104">IF(C1102&lt;&gt;"",DEC2HEX(C1102,2),"")</f>
        <v>#NAME?</v>
      </c>
      <c r="I1102" s="1" t="str">
        <f t="shared" si="1104"/>
        <v/>
      </c>
      <c r="J1102" s="1" t="str">
        <f t="shared" si="3"/>
        <v>#NAME?</v>
      </c>
      <c r="L1102" s="1" t="s">
        <v>3171</v>
      </c>
      <c r="M1102" s="1" t="str">
        <f t="shared" si="4"/>
        <v>#NAME?</v>
      </c>
    </row>
    <row r="1103" ht="12.75" customHeight="1">
      <c r="A1103" s="3" t="s">
        <v>2817</v>
      </c>
      <c r="B1103" s="3" t="str">
        <f t="shared" si="1"/>
        <v>20%</v>
      </c>
      <c r="C1103" s="1" t="str">
        <f t="array" ref="C1103">IF(B1102="NEW ROUTE",TEXTSPLIT(B1103,","),"")</f>
        <v/>
      </c>
      <c r="H1103" s="1" t="str">
        <f t="shared" ref="H1103:I1103" si="1105">IF(C1103&lt;&gt;"",DEC2HEX(C1103,2),"")</f>
        <v/>
      </c>
      <c r="I1103" s="1" t="str">
        <f t="shared" si="1105"/>
        <v/>
      </c>
      <c r="J1103" s="1" t="str">
        <f t="shared" si="3"/>
        <v/>
      </c>
      <c r="L1103" s="1" t="s">
        <v>2799</v>
      </c>
      <c r="M1103" s="1" t="str">
        <f t="shared" si="4"/>
        <v>20%</v>
      </c>
    </row>
    <row r="1104" ht="12.75" customHeight="1">
      <c r="A1104" s="3" t="s">
        <v>760</v>
      </c>
      <c r="B1104" s="3" t="str">
        <f t="shared" si="1"/>
        <v>25, 25, SWINUB</v>
      </c>
      <c r="C1104" s="1" t="str">
        <f t="array" ref="C1104">IF(B1103="NEW ROUTE",TEXTSPLIT(B1104,","),"")</f>
        <v/>
      </c>
      <c r="H1104" s="1" t="str">
        <f t="shared" ref="H1104:I1104" si="1106">IF(C1104&lt;&gt;"",DEC2HEX(C1104,2),"")</f>
        <v/>
      </c>
      <c r="I1104" s="1" t="str">
        <f t="shared" si="1106"/>
        <v/>
      </c>
      <c r="J1104" s="1" t="str">
        <f t="shared" si="3"/>
        <v/>
      </c>
      <c r="L1104" s="1" t="s">
        <v>760</v>
      </c>
      <c r="M1104" s="1" t="str">
        <f t="shared" si="4"/>
        <v>25, 25, SWINUB</v>
      </c>
    </row>
    <row r="1105" ht="12.75" customHeight="1">
      <c r="A1105" s="3" t="s">
        <v>3149</v>
      </c>
      <c r="B1105" s="3" t="str">
        <f t="shared" si="1"/>
        <v>45, 45, GOLBAT</v>
      </c>
      <c r="C1105" s="1" t="str">
        <f t="array" ref="C1105">IF(B1104="NEW ROUTE",TEXTSPLIT(B1105,","),"")</f>
        <v/>
      </c>
      <c r="H1105" s="1" t="str">
        <f t="shared" ref="H1105:I1105" si="1107">IF(C1105&lt;&gt;"",DEC2HEX(C1105,2),"")</f>
        <v/>
      </c>
      <c r="I1105" s="1" t="str">
        <f t="shared" si="1107"/>
        <v/>
      </c>
      <c r="J1105" s="1" t="str">
        <f t="shared" si="3"/>
        <v/>
      </c>
      <c r="L1105" s="1" t="s">
        <v>3149</v>
      </c>
      <c r="M1105" s="1" t="str">
        <f t="shared" si="4"/>
        <v>45, 45, GOLBAT</v>
      </c>
    </row>
    <row r="1106" ht="12.75" customHeight="1">
      <c r="A1106" s="3" t="s">
        <v>2802</v>
      </c>
      <c r="B1106" s="3" t="str">
        <f t="shared" si="1"/>
        <v>0.1</v>
      </c>
      <c r="C1106" s="1" t="str">
        <f t="array" ref="C1106">IF(B1105="NEW ROUTE",TEXTSPLIT(B1106,","),"")</f>
        <v/>
      </c>
      <c r="H1106" s="1" t="str">
        <f t="shared" ref="H1106:I1106" si="1108">IF(C1106&lt;&gt;"",DEC2HEX(C1106,2),"")</f>
        <v/>
      </c>
      <c r="I1106" s="1" t="str">
        <f t="shared" si="1108"/>
        <v/>
      </c>
      <c r="J1106" s="1" t="str">
        <f t="shared" si="3"/>
        <v/>
      </c>
      <c r="L1106" s="1" t="s">
        <v>2802</v>
      </c>
      <c r="M1106" s="1" t="str">
        <f t="shared" si="4"/>
        <v>0.1</v>
      </c>
    </row>
    <row r="1107" ht="12.75" customHeight="1">
      <c r="A1107" s="3" t="s">
        <v>3150</v>
      </c>
      <c r="B1107" s="3" t="str">
        <f t="shared" si="1"/>
        <v>45, 45, SEEL</v>
      </c>
      <c r="C1107" s="1" t="str">
        <f t="array" ref="C1107">IF(B1106="NEW ROUTE",TEXTSPLIT(B1107,","),"")</f>
        <v/>
      </c>
      <c r="H1107" s="1" t="str">
        <f t="shared" ref="H1107:I1107" si="1109">IF(C1107&lt;&gt;"",DEC2HEX(C1107,2),"")</f>
        <v/>
      </c>
      <c r="I1107" s="1" t="str">
        <f t="shared" si="1109"/>
        <v/>
      </c>
      <c r="J1107" s="1" t="str">
        <f t="shared" si="3"/>
        <v/>
      </c>
      <c r="L1107" s="1" t="s">
        <v>3150</v>
      </c>
      <c r="M1107" s="1" t="str">
        <f t="shared" si="4"/>
        <v>45, 45, SEEL</v>
      </c>
    </row>
    <row r="1108" ht="12.75" customHeight="1">
      <c r="A1108" s="3" t="s">
        <v>3165</v>
      </c>
      <c r="B1108" s="3" t="str">
        <f t="shared" si="1"/>
        <v>27, 27, SWINUB</v>
      </c>
      <c r="C1108" s="1" t="str">
        <f t="array" ref="C1108">IF(B1107="NEW ROUTE",TEXTSPLIT(B1108,","),"")</f>
        <v/>
      </c>
      <c r="H1108" s="1" t="str">
        <f t="shared" ref="H1108:I1108" si="1110">IF(C1108&lt;&gt;"",DEC2HEX(C1108,2),"")</f>
        <v/>
      </c>
      <c r="I1108" s="1" t="str">
        <f t="shared" si="1110"/>
        <v/>
      </c>
      <c r="J1108" s="1" t="str">
        <f t="shared" si="3"/>
        <v/>
      </c>
      <c r="L1108" s="1" t="s">
        <v>3165</v>
      </c>
      <c r="M1108" s="1" t="str">
        <f t="shared" si="4"/>
        <v>27, 27, SWINUB</v>
      </c>
    </row>
    <row r="1109" ht="12.75" customHeight="1">
      <c r="A1109" s="3" t="s">
        <v>3152</v>
      </c>
      <c r="B1109" s="3" t="str">
        <f t="shared" si="1"/>
        <v>40, 40, ZUBAT</v>
      </c>
      <c r="C1109" s="1" t="str">
        <f t="array" ref="C1109">IF(B1108="NEW ROUTE",TEXTSPLIT(B1109,","),"")</f>
        <v/>
      </c>
      <c r="H1109" s="1" t="str">
        <f t="shared" ref="H1109:I1109" si="1111">IF(C1109&lt;&gt;"",DEC2HEX(C1109,2),"")</f>
        <v/>
      </c>
      <c r="I1109" s="1" t="str">
        <f t="shared" si="1111"/>
        <v/>
      </c>
      <c r="J1109" s="1" t="str">
        <f t="shared" si="3"/>
        <v/>
      </c>
      <c r="L1109" s="1" t="s">
        <v>3152</v>
      </c>
      <c r="M1109" s="1" t="str">
        <f t="shared" si="4"/>
        <v>40, 40, ZUBAT</v>
      </c>
    </row>
    <row r="1110" ht="12.75" customHeight="1">
      <c r="A1110" s="3" t="s">
        <v>3166</v>
      </c>
      <c r="B1110" s="3" t="str">
        <f t="shared" si="1"/>
        <v>29, 29, SWINUB</v>
      </c>
      <c r="C1110" s="1" t="str">
        <f t="array" ref="C1110">IF(B1109="NEW ROUTE",TEXTSPLIT(B1110,","),"")</f>
        <v/>
      </c>
      <c r="H1110" s="1" t="str">
        <f t="shared" ref="H1110:I1110" si="1112">IF(C1110&lt;&gt;"",DEC2HEX(C1110,2),"")</f>
        <v/>
      </c>
      <c r="I1110" s="1" t="str">
        <f t="shared" si="1112"/>
        <v/>
      </c>
      <c r="J1110" s="1" t="str">
        <f t="shared" si="3"/>
        <v/>
      </c>
      <c r="L1110" s="1" t="s">
        <v>3166</v>
      </c>
      <c r="M1110" s="1" t="str">
        <f t="shared" si="4"/>
        <v>29, 29, SWINUB</v>
      </c>
    </row>
    <row r="1111" ht="12.75" customHeight="1">
      <c r="A1111" s="3" t="s">
        <v>2807</v>
      </c>
      <c r="B1111" s="3" t="str">
        <f t="shared" si="1"/>
        <v>0.05</v>
      </c>
      <c r="C1111" s="1" t="str">
        <f t="array" ref="C1111">IF(B1110="NEW ROUTE",TEXTSPLIT(B1111,","),"")</f>
        <v/>
      </c>
      <c r="H1111" s="1" t="str">
        <f t="shared" ref="H1111:I1111" si="1113">IF(C1111&lt;&gt;"",DEC2HEX(C1111,2),"")</f>
        <v/>
      </c>
      <c r="I1111" s="1" t="str">
        <f t="shared" si="1113"/>
        <v/>
      </c>
      <c r="J1111" s="1" t="str">
        <f t="shared" si="3"/>
        <v/>
      </c>
      <c r="L1111" s="1" t="s">
        <v>2807</v>
      </c>
      <c r="M1111" s="1" t="str">
        <f t="shared" si="4"/>
        <v>0.05</v>
      </c>
    </row>
    <row r="1112" ht="12.75" customHeight="1">
      <c r="A1112" s="3" t="s">
        <v>3167</v>
      </c>
      <c r="B1112" s="3" t="str">
        <f t="shared" si="1"/>
        <v>30, 30, SNEASEL</v>
      </c>
      <c r="C1112" s="1" t="str">
        <f t="array" ref="C1112">IF(B1111="NEW ROUTE",TEXTSPLIT(B1112,","),"")</f>
        <v/>
      </c>
      <c r="H1112" s="1" t="str">
        <f t="shared" ref="H1112:I1112" si="1114">IF(C1112&lt;&gt;"",DEC2HEX(C1112,2),"")</f>
        <v/>
      </c>
      <c r="I1112" s="1" t="str">
        <f t="shared" si="1114"/>
        <v/>
      </c>
      <c r="J1112" s="1" t="str">
        <f t="shared" si="3"/>
        <v/>
      </c>
      <c r="L1112" s="1" t="s">
        <v>3167</v>
      </c>
      <c r="M1112" s="1" t="str">
        <f t="shared" si="4"/>
        <v>30, 30, SNEASEL</v>
      </c>
    </row>
    <row r="1113" ht="12.75" customHeight="1">
      <c r="A1113" s="3" t="s">
        <v>3168</v>
      </c>
      <c r="B1113" s="3" t="str">
        <f t="shared" si="1"/>
        <v>31, 31, SWINUB</v>
      </c>
      <c r="C1113" s="1" t="str">
        <f t="array" ref="C1113">IF(B1112="NEW ROUTE",TEXTSPLIT(B1113,","),"")</f>
        <v/>
      </c>
      <c r="H1113" s="1" t="str">
        <f t="shared" ref="H1113:I1113" si="1115">IF(C1113&lt;&gt;"",DEC2HEX(C1113,2),"")</f>
        <v/>
      </c>
      <c r="I1113" s="1" t="str">
        <f t="shared" si="1115"/>
        <v/>
      </c>
      <c r="J1113" s="1" t="str">
        <f t="shared" si="3"/>
        <v/>
      </c>
      <c r="L1113" s="1" t="s">
        <v>3168</v>
      </c>
      <c r="M1113" s="1" t="str">
        <f t="shared" si="4"/>
        <v>31, 31, SWINUB</v>
      </c>
    </row>
    <row r="1114" ht="12.75" customHeight="1">
      <c r="A1114" s="3" t="s">
        <v>2810</v>
      </c>
      <c r="B1114" s="3" t="str">
        <f t="shared" si="1"/>
        <v>0.04</v>
      </c>
      <c r="C1114" s="1" t="str">
        <f t="array" ref="C1114">IF(B1113="NEW ROUTE",TEXTSPLIT(B1114,","),"")</f>
        <v/>
      </c>
      <c r="H1114" s="1" t="str">
        <f t="shared" ref="H1114:I1114" si="1116">IF(C1114&lt;&gt;"",DEC2HEX(C1114,2),"")</f>
        <v/>
      </c>
      <c r="I1114" s="1" t="str">
        <f t="shared" si="1116"/>
        <v/>
      </c>
      <c r="J1114" s="1" t="str">
        <f t="shared" si="3"/>
        <v/>
      </c>
      <c r="L1114" s="1" t="s">
        <v>2810</v>
      </c>
      <c r="M1114" s="1" t="str">
        <f t="shared" si="4"/>
        <v>0.04</v>
      </c>
    </row>
    <row r="1115" ht="12.75" customHeight="1">
      <c r="A1115" s="3" t="s">
        <v>3156</v>
      </c>
      <c r="B1115" s="3" t="str">
        <f t="shared" si="1"/>
        <v>48, 48, GOLBAT</v>
      </c>
      <c r="C1115" s="1" t="str">
        <f t="array" ref="C1115">IF(B1114="NEW ROUTE",TEXTSPLIT(B1115,","),"")</f>
        <v/>
      </c>
      <c r="H1115" s="1" t="str">
        <f t="shared" ref="H1115:I1115" si="1117">IF(C1115&lt;&gt;"",DEC2HEX(C1115,2),"")</f>
        <v/>
      </c>
      <c r="I1115" s="1" t="str">
        <f t="shared" si="1117"/>
        <v/>
      </c>
      <c r="J1115" s="1" t="str">
        <f t="shared" si="3"/>
        <v/>
      </c>
      <c r="L1115" s="1" t="s">
        <v>3156</v>
      </c>
      <c r="M1115" s="1" t="str">
        <f t="shared" si="4"/>
        <v>48, 48, GOLBAT</v>
      </c>
    </row>
    <row r="1116" ht="12.75" customHeight="1">
      <c r="A1116" s="3" t="s">
        <v>3169</v>
      </c>
      <c r="B1116" s="3" t="str">
        <f t="shared" si="1"/>
        <v>23, 23, SWINUB</v>
      </c>
      <c r="C1116" s="1" t="str">
        <f t="array" ref="C1116">IF(B1115="NEW ROUTE",TEXTSPLIT(B1116,","),"")</f>
        <v/>
      </c>
      <c r="H1116" s="1" t="str">
        <f t="shared" ref="H1116:I1116" si="1118">IF(C1116&lt;&gt;"",DEC2HEX(C1116,2),"")</f>
        <v/>
      </c>
      <c r="I1116" s="1" t="str">
        <f t="shared" si="1118"/>
        <v/>
      </c>
      <c r="J1116" s="1" t="str">
        <f t="shared" si="3"/>
        <v/>
      </c>
      <c r="L1116" s="1" t="s">
        <v>3169</v>
      </c>
      <c r="M1116" s="1" t="str">
        <f t="shared" si="4"/>
        <v>23, 23, SWINUB</v>
      </c>
    </row>
    <row r="1117" ht="12.75" customHeight="1">
      <c r="A1117" s="3" t="s">
        <v>2813</v>
      </c>
      <c r="B1117" s="3" t="str">
        <f t="shared" si="1"/>
        <v>0.01</v>
      </c>
      <c r="C1117" s="1" t="str">
        <f t="array" ref="C1117">IF(B1116="NEW ROUTE",TEXTSPLIT(B1117,","),"")</f>
        <v/>
      </c>
      <c r="H1117" s="1" t="str">
        <f t="shared" ref="H1117:I1117" si="1119">IF(C1117&lt;&gt;"",DEC2HEX(C1117,2),"")</f>
        <v/>
      </c>
      <c r="I1117" s="1" t="str">
        <f t="shared" si="1119"/>
        <v/>
      </c>
      <c r="J1117" s="1" t="str">
        <f t="shared" si="3"/>
        <v/>
      </c>
      <c r="L1117" s="1" t="s">
        <v>2813</v>
      </c>
      <c r="M1117" s="1" t="str">
        <f t="shared" si="4"/>
        <v>0.01</v>
      </c>
    </row>
    <row r="1118" ht="12.75" customHeight="1">
      <c r="A1118" s="3" t="s">
        <v>3156</v>
      </c>
      <c r="B1118" s="3" t="str">
        <f t="shared" si="1"/>
        <v>48, 48, GOLBAT</v>
      </c>
      <c r="C1118" s="1" t="str">
        <f t="array" ref="C1118">IF(B1117="NEW ROUTE",TEXTSPLIT(B1118,","),"")</f>
        <v/>
      </c>
      <c r="H1118" s="1" t="str">
        <f t="shared" ref="H1118:I1118" si="1120">IF(C1118&lt;&gt;"",DEC2HEX(C1118,2),"")</f>
        <v/>
      </c>
      <c r="I1118" s="1" t="str">
        <f t="shared" si="1120"/>
        <v/>
      </c>
      <c r="J1118" s="1" t="str">
        <f t="shared" si="3"/>
        <v/>
      </c>
      <c r="L1118" s="1" t="s">
        <v>3156</v>
      </c>
      <c r="M1118" s="1" t="str">
        <f t="shared" si="4"/>
        <v>48, 48, GOLBAT</v>
      </c>
    </row>
    <row r="1119" ht="12.75" customHeight="1">
      <c r="A1119" s="3" t="s">
        <v>3170</v>
      </c>
      <c r="B1119" s="3" t="str">
        <f t="shared" si="1"/>
        <v>23, 23, SWINUB , &lt;null&gt;, &lt;null&gt;, &lt;null&gt;</v>
      </c>
      <c r="C1119" s="1" t="str">
        <f t="array" ref="C1119">IF(B1118="NEW ROUTE",TEXTSPLIT(B1119,","),"")</f>
        <v/>
      </c>
      <c r="H1119" s="1" t="str">
        <f t="shared" ref="H1119:I1119" si="1121">IF(C1119&lt;&gt;"",DEC2HEX(C1119,2),"")</f>
        <v/>
      </c>
      <c r="I1119" s="1" t="str">
        <f t="shared" si="1121"/>
        <v/>
      </c>
      <c r="J1119" s="1" t="str">
        <f t="shared" si="3"/>
        <v/>
      </c>
      <c r="L1119" s="1" t="s">
        <v>3170</v>
      </c>
      <c r="M1119" s="1" t="str">
        <f t="shared" si="4"/>
        <v>23, 23, SWINUB , &lt;null&gt;, &lt;null&gt;, &lt;null&gt;</v>
      </c>
    </row>
    <row r="1120" ht="12.75" customHeight="1">
      <c r="A1120" s="3" t="s">
        <v>2539</v>
      </c>
      <c r="B1120" s="3" t="str">
        <f t="shared" si="1"/>
        <v>NEW ROUTE</v>
      </c>
      <c r="C1120" s="1" t="str">
        <f t="array" ref="C1120">IF(B1119="NEW ROUTE",TEXTSPLIT(B1120,","),"")</f>
        <v/>
      </c>
      <c r="H1120" s="1" t="str">
        <f t="shared" ref="H1120:I1120" si="1122">IF(C1120&lt;&gt;"",DEC2HEX(C1120,2),"")</f>
        <v/>
      </c>
      <c r="I1120" s="1" t="str">
        <f t="shared" si="1122"/>
        <v/>
      </c>
      <c r="J1120" s="1" t="str">
        <f t="shared" si="3"/>
        <v/>
      </c>
      <c r="L1120" s="1" t="s">
        <v>2539</v>
      </c>
      <c r="M1120" s="1" t="str">
        <f t="shared" si="4"/>
        <v>NEW ROUTE</v>
      </c>
    </row>
    <row r="1121" ht="12.75" customHeight="1">
      <c r="A1121" s="3" t="s">
        <v>3172</v>
      </c>
      <c r="B1121" s="3" t="str">
        <f t="shared" si="1"/>
        <v>1, 113, 0,</v>
      </c>
      <c r="C1121" s="1" t="str">
        <f t="array" ref="C1121">IF(B1120="NEW ROUTE",TEXTSPLIT(B1121,","),"")</f>
        <v>#NAME?</v>
      </c>
      <c r="H1121" s="1" t="str">
        <f t="shared" ref="H1121:I1121" si="1123">IF(C1121&lt;&gt;"",DEC2HEX(C1121,2),"")</f>
        <v>#NAME?</v>
      </c>
      <c r="I1121" s="1" t="str">
        <f t="shared" si="1123"/>
        <v/>
      </c>
      <c r="J1121" s="1" t="str">
        <f t="shared" si="3"/>
        <v>#NAME?</v>
      </c>
      <c r="L1121" s="1" t="s">
        <v>3172</v>
      </c>
      <c r="M1121" s="1" t="str">
        <f t="shared" si="4"/>
        <v>#NAME?</v>
      </c>
    </row>
    <row r="1122" ht="12.75" customHeight="1">
      <c r="A1122" s="3" t="s">
        <v>2817</v>
      </c>
      <c r="B1122" s="3" t="str">
        <f t="shared" si="1"/>
        <v>20%</v>
      </c>
      <c r="C1122" s="1" t="str">
        <f t="array" ref="C1122">IF(B1121="NEW ROUTE",TEXTSPLIT(B1122,","),"")</f>
        <v/>
      </c>
      <c r="H1122" s="1" t="str">
        <f t="shared" ref="H1122:I1122" si="1124">IF(C1122&lt;&gt;"",DEC2HEX(C1122,2),"")</f>
        <v/>
      </c>
      <c r="I1122" s="1" t="str">
        <f t="shared" si="1124"/>
        <v/>
      </c>
      <c r="J1122" s="1" t="str">
        <f t="shared" si="3"/>
        <v/>
      </c>
      <c r="L1122" s="1" t="s">
        <v>2799</v>
      </c>
      <c r="M1122" s="1" t="str">
        <f t="shared" si="4"/>
        <v>20%</v>
      </c>
    </row>
    <row r="1123" ht="12.75" customHeight="1">
      <c r="A1123" s="3" t="s">
        <v>742</v>
      </c>
      <c r="B1123" s="3" t="str">
        <f t="shared" si="1"/>
        <v>43, 43, SEEL</v>
      </c>
      <c r="C1123" s="1" t="str">
        <f t="array" ref="C1123">IF(B1122="NEW ROUTE",TEXTSPLIT(B1123,","),"")</f>
        <v/>
      </c>
      <c r="H1123" s="1" t="str">
        <f t="shared" ref="H1123:I1123" si="1125">IF(C1123&lt;&gt;"",DEC2HEX(C1123,2),"")</f>
        <v/>
      </c>
      <c r="I1123" s="1" t="str">
        <f t="shared" si="1125"/>
        <v/>
      </c>
      <c r="J1123" s="1" t="str">
        <f t="shared" si="3"/>
        <v/>
      </c>
      <c r="L1123" s="1" t="s">
        <v>742</v>
      </c>
      <c r="M1123" s="1" t="str">
        <f t="shared" si="4"/>
        <v>43, 43, SEEL</v>
      </c>
    </row>
    <row r="1124" ht="12.75" customHeight="1">
      <c r="A1124" s="3" t="s">
        <v>3149</v>
      </c>
      <c r="B1124" s="3" t="str">
        <f t="shared" si="1"/>
        <v>45, 45, GOLBAT</v>
      </c>
      <c r="C1124" s="1" t="str">
        <f t="array" ref="C1124">IF(B1123="NEW ROUTE",TEXTSPLIT(B1124,","),"")</f>
        <v/>
      </c>
      <c r="H1124" s="1" t="str">
        <f t="shared" ref="H1124:I1124" si="1126">IF(C1124&lt;&gt;"",DEC2HEX(C1124,2),"")</f>
        <v/>
      </c>
      <c r="I1124" s="1" t="str">
        <f t="shared" si="1126"/>
        <v/>
      </c>
      <c r="J1124" s="1" t="str">
        <f t="shared" si="3"/>
        <v/>
      </c>
      <c r="L1124" s="1" t="s">
        <v>3149</v>
      </c>
      <c r="M1124" s="1" t="str">
        <f t="shared" si="4"/>
        <v>45, 45, GOLBAT</v>
      </c>
    </row>
    <row r="1125" ht="12.75" customHeight="1">
      <c r="A1125" s="3" t="s">
        <v>2802</v>
      </c>
      <c r="B1125" s="3" t="str">
        <f t="shared" si="1"/>
        <v>0.1</v>
      </c>
      <c r="C1125" s="1" t="str">
        <f t="array" ref="C1125">IF(B1124="NEW ROUTE",TEXTSPLIT(B1125,","),"")</f>
        <v/>
      </c>
      <c r="H1125" s="1" t="str">
        <f t="shared" ref="H1125:I1125" si="1127">IF(C1125&lt;&gt;"",DEC2HEX(C1125,2),"")</f>
        <v/>
      </c>
      <c r="I1125" s="1" t="str">
        <f t="shared" si="1127"/>
        <v/>
      </c>
      <c r="J1125" s="1" t="str">
        <f t="shared" si="3"/>
        <v/>
      </c>
      <c r="L1125" s="1" t="s">
        <v>2802</v>
      </c>
      <c r="M1125" s="1" t="str">
        <f t="shared" si="4"/>
        <v>0.1</v>
      </c>
    </row>
    <row r="1126" ht="12.75" customHeight="1">
      <c r="A1126" s="3" t="s">
        <v>3150</v>
      </c>
      <c r="B1126" s="3" t="str">
        <f t="shared" si="1"/>
        <v>45, 45, SEEL</v>
      </c>
      <c r="C1126" s="1" t="str">
        <f t="array" ref="C1126">IF(B1125="NEW ROUTE",TEXTSPLIT(B1126,","),"")</f>
        <v/>
      </c>
      <c r="H1126" s="1" t="str">
        <f t="shared" ref="H1126:I1126" si="1128">IF(C1126&lt;&gt;"",DEC2HEX(C1126,2),"")</f>
        <v/>
      </c>
      <c r="I1126" s="1" t="str">
        <f t="shared" si="1128"/>
        <v/>
      </c>
      <c r="J1126" s="1" t="str">
        <f t="shared" si="3"/>
        <v/>
      </c>
      <c r="L1126" s="1" t="s">
        <v>3150</v>
      </c>
      <c r="M1126" s="1" t="str">
        <f t="shared" si="4"/>
        <v>45, 45, SEEL</v>
      </c>
    </row>
    <row r="1127" ht="12.75" customHeight="1">
      <c r="A1127" s="3" t="s">
        <v>3151</v>
      </c>
      <c r="B1127" s="3" t="str">
        <f t="shared" si="1"/>
        <v>47, 47, SEEL</v>
      </c>
      <c r="C1127" s="1" t="str">
        <f t="array" ref="C1127">IF(B1126="NEW ROUTE",TEXTSPLIT(B1127,","),"")</f>
        <v/>
      </c>
      <c r="H1127" s="1" t="str">
        <f t="shared" ref="H1127:I1127" si="1129">IF(C1127&lt;&gt;"",DEC2HEX(C1127,2),"")</f>
        <v/>
      </c>
      <c r="I1127" s="1" t="str">
        <f t="shared" si="1129"/>
        <v/>
      </c>
      <c r="J1127" s="1" t="str">
        <f t="shared" si="3"/>
        <v/>
      </c>
      <c r="L1127" s="1" t="s">
        <v>3151</v>
      </c>
      <c r="M1127" s="1" t="str">
        <f t="shared" si="4"/>
        <v>47, 47, SEEL</v>
      </c>
    </row>
    <row r="1128" ht="12.75" customHeight="1">
      <c r="A1128" s="3" t="s">
        <v>3152</v>
      </c>
      <c r="B1128" s="3" t="str">
        <f t="shared" si="1"/>
        <v>40, 40, ZUBAT</v>
      </c>
      <c r="C1128" s="1" t="str">
        <f t="array" ref="C1128">IF(B1127="NEW ROUTE",TEXTSPLIT(B1128,","),"")</f>
        <v/>
      </c>
      <c r="H1128" s="1" t="str">
        <f t="shared" ref="H1128:I1128" si="1130">IF(C1128&lt;&gt;"",DEC2HEX(C1128,2),"")</f>
        <v/>
      </c>
      <c r="I1128" s="1" t="str">
        <f t="shared" si="1130"/>
        <v/>
      </c>
      <c r="J1128" s="1" t="str">
        <f t="shared" si="3"/>
        <v/>
      </c>
      <c r="L1128" s="1" t="s">
        <v>3152</v>
      </c>
      <c r="M1128" s="1" t="str">
        <f t="shared" si="4"/>
        <v>40, 40, ZUBAT</v>
      </c>
    </row>
    <row r="1129" ht="12.75" customHeight="1">
      <c r="A1129" s="3" t="s">
        <v>3153</v>
      </c>
      <c r="B1129" s="3" t="str">
        <f t="shared" si="1"/>
        <v>49, 49, DEWGONG</v>
      </c>
      <c r="C1129" s="1" t="str">
        <f t="array" ref="C1129">IF(B1128="NEW ROUTE",TEXTSPLIT(B1129,","),"")</f>
        <v/>
      </c>
      <c r="H1129" s="1" t="str">
        <f t="shared" ref="H1129:I1129" si="1131">IF(C1129&lt;&gt;"",DEC2HEX(C1129,2),"")</f>
        <v/>
      </c>
      <c r="I1129" s="1" t="str">
        <f t="shared" si="1131"/>
        <v/>
      </c>
      <c r="J1129" s="1" t="str">
        <f t="shared" si="3"/>
        <v/>
      </c>
      <c r="L1129" s="1" t="s">
        <v>3153</v>
      </c>
      <c r="M1129" s="1" t="str">
        <f t="shared" si="4"/>
        <v>49, 49, DEWGONG</v>
      </c>
    </row>
    <row r="1130" ht="12.75" customHeight="1">
      <c r="A1130" s="3" t="s">
        <v>2807</v>
      </c>
      <c r="B1130" s="3" t="str">
        <f t="shared" si="1"/>
        <v>0.05</v>
      </c>
      <c r="C1130" s="1" t="str">
        <f t="array" ref="C1130">IF(B1129="NEW ROUTE",TEXTSPLIT(B1130,","),"")</f>
        <v/>
      </c>
      <c r="H1130" s="1" t="str">
        <f t="shared" ref="H1130:I1130" si="1132">IF(C1130&lt;&gt;"",DEC2HEX(C1130,2),"")</f>
        <v/>
      </c>
      <c r="I1130" s="1" t="str">
        <f t="shared" si="1132"/>
        <v/>
      </c>
      <c r="J1130" s="1" t="str">
        <f t="shared" si="3"/>
        <v/>
      </c>
      <c r="L1130" s="1" t="s">
        <v>2807</v>
      </c>
      <c r="M1130" s="1" t="str">
        <f t="shared" si="4"/>
        <v>0.05</v>
      </c>
    </row>
    <row r="1131" ht="12.75" customHeight="1">
      <c r="A1131" s="3" t="s">
        <v>3154</v>
      </c>
      <c r="B1131" s="3" t="str">
        <f t="shared" si="1"/>
        <v>51, 51, DEWGONG</v>
      </c>
      <c r="C1131" s="1" t="str">
        <f t="array" ref="C1131">IF(B1130="NEW ROUTE",TEXTSPLIT(B1131,","),"")</f>
        <v/>
      </c>
      <c r="H1131" s="1" t="str">
        <f t="shared" ref="H1131:I1131" si="1133">IF(C1131&lt;&gt;"",DEC2HEX(C1131,2),"")</f>
        <v/>
      </c>
      <c r="I1131" s="1" t="str">
        <f t="shared" si="1133"/>
        <v/>
      </c>
      <c r="J1131" s="1" t="str">
        <f t="shared" si="3"/>
        <v/>
      </c>
      <c r="L1131" s="1" t="s">
        <v>3154</v>
      </c>
      <c r="M1131" s="1" t="str">
        <f t="shared" si="4"/>
        <v>51, 51, DEWGONG</v>
      </c>
    </row>
    <row r="1132" ht="12.75" customHeight="1">
      <c r="A1132" s="3" t="s">
        <v>3155</v>
      </c>
      <c r="B1132" s="3" t="str">
        <f t="shared" si="1"/>
        <v>41, 41, SLOWPOKE</v>
      </c>
      <c r="C1132" s="1" t="str">
        <f t="array" ref="C1132">IF(B1131="NEW ROUTE",TEXTSPLIT(B1132,","),"")</f>
        <v/>
      </c>
      <c r="H1132" s="1" t="str">
        <f t="shared" ref="H1132:I1132" si="1134">IF(C1132&lt;&gt;"",DEC2HEX(C1132,2),"")</f>
        <v/>
      </c>
      <c r="I1132" s="1" t="str">
        <f t="shared" si="1134"/>
        <v/>
      </c>
      <c r="J1132" s="1" t="str">
        <f t="shared" si="3"/>
        <v/>
      </c>
      <c r="L1132" s="1" t="s">
        <v>3155</v>
      </c>
      <c r="M1132" s="1" t="str">
        <f t="shared" si="4"/>
        <v>41, 41, SLOWPOKE</v>
      </c>
    </row>
    <row r="1133" ht="12.75" customHeight="1">
      <c r="A1133" s="3" t="s">
        <v>2810</v>
      </c>
      <c r="B1133" s="3" t="str">
        <f t="shared" si="1"/>
        <v>0.04</v>
      </c>
      <c r="C1133" s="1" t="str">
        <f t="array" ref="C1133">IF(B1132="NEW ROUTE",TEXTSPLIT(B1133,","),"")</f>
        <v/>
      </c>
      <c r="H1133" s="1" t="str">
        <f t="shared" ref="H1133:I1133" si="1135">IF(C1133&lt;&gt;"",DEC2HEX(C1133,2),"")</f>
        <v/>
      </c>
      <c r="I1133" s="1" t="str">
        <f t="shared" si="1135"/>
        <v/>
      </c>
      <c r="J1133" s="1" t="str">
        <f t="shared" si="3"/>
        <v/>
      </c>
      <c r="L1133" s="1" t="s">
        <v>2810</v>
      </c>
      <c r="M1133" s="1" t="str">
        <f t="shared" si="4"/>
        <v>0.04</v>
      </c>
    </row>
    <row r="1134" ht="12.75" customHeight="1">
      <c r="A1134" s="3" t="s">
        <v>3156</v>
      </c>
      <c r="B1134" s="3" t="str">
        <f t="shared" si="1"/>
        <v>48, 48, GOLBAT</v>
      </c>
      <c r="C1134" s="1" t="str">
        <f t="array" ref="C1134">IF(B1133="NEW ROUTE",TEXTSPLIT(B1134,","),"")</f>
        <v/>
      </c>
      <c r="H1134" s="1" t="str">
        <f t="shared" ref="H1134:I1134" si="1136">IF(C1134&lt;&gt;"",DEC2HEX(C1134,2),"")</f>
        <v/>
      </c>
      <c r="I1134" s="1" t="str">
        <f t="shared" si="1136"/>
        <v/>
      </c>
      <c r="J1134" s="1" t="str">
        <f t="shared" si="3"/>
        <v/>
      </c>
      <c r="L1134" s="1" t="s">
        <v>3156</v>
      </c>
      <c r="M1134" s="1" t="str">
        <f t="shared" si="4"/>
        <v>48, 48, GOLBAT</v>
      </c>
    </row>
    <row r="1135" ht="12.75" customHeight="1">
      <c r="A1135" s="3" t="s">
        <v>3157</v>
      </c>
      <c r="B1135" s="3" t="str">
        <f t="shared" si="1"/>
        <v>53, 53, DEWGONG</v>
      </c>
      <c r="C1135" s="1" t="str">
        <f t="array" ref="C1135">IF(B1134="NEW ROUTE",TEXTSPLIT(B1135,","),"")</f>
        <v/>
      </c>
      <c r="H1135" s="1" t="str">
        <f t="shared" ref="H1135:I1135" si="1137">IF(C1135&lt;&gt;"",DEC2HEX(C1135,2),"")</f>
        <v/>
      </c>
      <c r="I1135" s="1" t="str">
        <f t="shared" si="1137"/>
        <v/>
      </c>
      <c r="J1135" s="1" t="str">
        <f t="shared" si="3"/>
        <v/>
      </c>
      <c r="L1135" s="1" t="s">
        <v>3157</v>
      </c>
      <c r="M1135" s="1" t="str">
        <f t="shared" si="4"/>
        <v>53, 53, DEWGONG</v>
      </c>
    </row>
    <row r="1136" ht="12.75" customHeight="1">
      <c r="A1136" s="3" t="s">
        <v>2813</v>
      </c>
      <c r="B1136" s="3" t="str">
        <f t="shared" si="1"/>
        <v>0.01</v>
      </c>
      <c r="C1136" s="1" t="str">
        <f t="array" ref="C1136">IF(B1135="NEW ROUTE",TEXTSPLIT(B1136,","),"")</f>
        <v/>
      </c>
      <c r="H1136" s="1" t="str">
        <f t="shared" ref="H1136:I1136" si="1138">IF(C1136&lt;&gt;"",DEC2HEX(C1136,2),"")</f>
        <v/>
      </c>
      <c r="I1136" s="1" t="str">
        <f t="shared" si="1138"/>
        <v/>
      </c>
      <c r="J1136" s="1" t="str">
        <f t="shared" si="3"/>
        <v/>
      </c>
      <c r="L1136" s="1" t="s">
        <v>2813</v>
      </c>
      <c r="M1136" s="1" t="str">
        <f t="shared" si="4"/>
        <v>0.01</v>
      </c>
    </row>
    <row r="1137" ht="12.75" customHeight="1">
      <c r="A1137" s="3" t="s">
        <v>3156</v>
      </c>
      <c r="B1137" s="3" t="str">
        <f t="shared" si="1"/>
        <v>48, 48, GOLBAT</v>
      </c>
      <c r="C1137" s="1" t="str">
        <f t="array" ref="C1137">IF(B1136="NEW ROUTE",TEXTSPLIT(B1137,","),"")</f>
        <v/>
      </c>
      <c r="H1137" s="1" t="str">
        <f t="shared" ref="H1137:I1137" si="1139">IF(C1137&lt;&gt;"",DEC2HEX(C1137,2),"")</f>
        <v/>
      </c>
      <c r="I1137" s="1" t="str">
        <f t="shared" si="1139"/>
        <v/>
      </c>
      <c r="J1137" s="1" t="str">
        <f t="shared" si="3"/>
        <v/>
      </c>
      <c r="L1137" s="1" t="s">
        <v>3156</v>
      </c>
      <c r="M1137" s="1" t="str">
        <f t="shared" si="4"/>
        <v>48, 48, GOLBAT</v>
      </c>
    </row>
    <row r="1138" ht="12.75" customHeight="1">
      <c r="A1138" s="3" t="s">
        <v>3157</v>
      </c>
      <c r="B1138" s="3" t="str">
        <f t="shared" si="1"/>
        <v>53, 53, DEWGONG</v>
      </c>
      <c r="C1138" s="1" t="str">
        <f t="array" ref="C1138">IF(B1137="NEW ROUTE",TEXTSPLIT(B1138,","),"")</f>
        <v/>
      </c>
      <c r="H1138" s="1" t="str">
        <f t="shared" ref="H1138:I1138" si="1140">IF(C1138&lt;&gt;"",DEC2HEX(C1138,2),"")</f>
        <v/>
      </c>
      <c r="I1138" s="1" t="str">
        <f t="shared" si="1140"/>
        <v/>
      </c>
      <c r="J1138" s="1" t="str">
        <f t="shared" si="3"/>
        <v/>
      </c>
      <c r="L1138" s="1" t="s">
        <v>3157</v>
      </c>
      <c r="M1138" s="1" t="str">
        <f t="shared" si="4"/>
        <v>53, 53, DEWGONG</v>
      </c>
    </row>
    <row r="1139" ht="12.75" customHeight="1">
      <c r="A1139" s="3" t="s">
        <v>3173</v>
      </c>
      <c r="B1139" s="3" t="str">
        <f t="shared" si="1"/>
        <v>2, 5, 20, TENTACOOL</v>
      </c>
      <c r="C1139" s="1" t="str">
        <f t="array" ref="C1139">IF(B1138="NEW ROUTE",TEXTSPLIT(B1139,","),"")</f>
        <v/>
      </c>
      <c r="H1139" s="1" t="str">
        <f t="shared" ref="H1139:I1139" si="1141">IF(C1139&lt;&gt;"",DEC2HEX(C1139,2),"")</f>
        <v/>
      </c>
      <c r="I1139" s="1" t="str">
        <f t="shared" si="1141"/>
        <v/>
      </c>
      <c r="J1139" s="1" t="str">
        <f t="shared" si="3"/>
        <v/>
      </c>
      <c r="L1139" s="1" t="s">
        <v>3173</v>
      </c>
      <c r="M1139" s="1" t="str">
        <f t="shared" si="4"/>
        <v>2, 5, 20, TENTACOOL</v>
      </c>
    </row>
    <row r="1140" ht="12.75" customHeight="1">
      <c r="A1140" s="3" t="s">
        <v>3174</v>
      </c>
      <c r="B1140" s="3" t="str">
        <f t="shared" si="1"/>
        <v>20, 35, TENTACOOL</v>
      </c>
      <c r="C1140" s="1" t="str">
        <f t="array" ref="C1140">IF(B1139="NEW ROUTE",TEXTSPLIT(B1140,","),"")</f>
        <v/>
      </c>
      <c r="H1140" s="1" t="str">
        <f t="shared" ref="H1140:I1140" si="1142">IF(C1140&lt;&gt;"",DEC2HEX(C1140,2),"")</f>
        <v/>
      </c>
      <c r="I1140" s="1" t="str">
        <f t="shared" si="1142"/>
        <v/>
      </c>
      <c r="J1140" s="1" t="str">
        <f t="shared" si="3"/>
        <v/>
      </c>
      <c r="L1140" s="1" t="s">
        <v>3174</v>
      </c>
      <c r="M1140" s="1" t="str">
        <f t="shared" si="4"/>
        <v>20, 35, TENTACOOL</v>
      </c>
    </row>
    <row r="1141" ht="12.75" customHeight="1">
      <c r="A1141" s="3" t="s">
        <v>3175</v>
      </c>
      <c r="B1141" s="3" t="str">
        <f t="shared" si="1"/>
        <v>35, 45, TENTACOOL</v>
      </c>
      <c r="C1141" s="1" t="str">
        <f t="array" ref="C1141">IF(B1140="NEW ROUTE",TEXTSPLIT(B1141,","),"")</f>
        <v/>
      </c>
      <c r="H1141" s="1" t="str">
        <f t="shared" ref="H1141:I1141" si="1143">IF(C1141&lt;&gt;"",DEC2HEX(C1141,2),"")</f>
        <v/>
      </c>
      <c r="I1141" s="1" t="str">
        <f t="shared" si="1143"/>
        <v/>
      </c>
      <c r="J1141" s="1" t="str">
        <f t="shared" si="3"/>
        <v/>
      </c>
      <c r="L1141" s="1" t="s">
        <v>3175</v>
      </c>
      <c r="M1141" s="1" t="str">
        <f t="shared" si="4"/>
        <v>35, 45, TENTACOOL</v>
      </c>
    </row>
    <row r="1142" ht="12.75" customHeight="1">
      <c r="A1142" s="3" t="s">
        <v>3176</v>
      </c>
      <c r="B1142" s="3" t="str">
        <f t="shared" si="1"/>
        <v>35, 45, TENTACRUEL</v>
      </c>
      <c r="C1142" s="1" t="str">
        <f t="array" ref="C1142">IF(B1141="NEW ROUTE",TEXTSPLIT(B1142,","),"")</f>
        <v/>
      </c>
      <c r="H1142" s="1" t="str">
        <f t="shared" ref="H1142:I1142" si="1144">IF(C1142&lt;&gt;"",DEC2HEX(C1142,2),"")</f>
        <v/>
      </c>
      <c r="I1142" s="1" t="str">
        <f t="shared" si="1144"/>
        <v/>
      </c>
      <c r="J1142" s="1" t="str">
        <f t="shared" si="3"/>
        <v/>
      </c>
      <c r="L1142" s="1" t="s">
        <v>3176</v>
      </c>
      <c r="M1142" s="1" t="str">
        <f t="shared" si="4"/>
        <v>35, 45, TENTACRUEL</v>
      </c>
    </row>
    <row r="1143" ht="12.75" customHeight="1">
      <c r="A1143" s="3" t="s">
        <v>3177</v>
      </c>
      <c r="B1143" s="3" t="str">
        <f t="shared" si="1"/>
        <v>30, 45, LAPRAS</v>
      </c>
      <c r="C1143" s="1" t="str">
        <f t="array" ref="C1143">IF(B1142="NEW ROUTE",TEXTSPLIT(B1143,","),"")</f>
        <v/>
      </c>
      <c r="H1143" s="1" t="str">
        <f t="shared" ref="H1143:I1143" si="1145">IF(C1143&lt;&gt;"",DEC2HEX(C1143,2),"")</f>
        <v/>
      </c>
      <c r="I1143" s="1" t="str">
        <f t="shared" si="1145"/>
        <v/>
      </c>
      <c r="J1143" s="1" t="str">
        <f t="shared" si="3"/>
        <v/>
      </c>
      <c r="L1143" s="1" t="s">
        <v>3177</v>
      </c>
      <c r="M1143" s="1" t="str">
        <f t="shared" si="4"/>
        <v>30, 45, LAPRAS</v>
      </c>
    </row>
    <row r="1144" ht="12.75" customHeight="1">
      <c r="A1144" s="3" t="s">
        <v>2926</v>
      </c>
      <c r="B1144" s="3" t="str">
        <f t="shared" si="1"/>
        <v>20, old rod:</v>
      </c>
      <c r="C1144" s="1" t="str">
        <f t="array" ref="C1144">IF(B1143="NEW ROUTE",TEXTSPLIT(B1144,","),"")</f>
        <v/>
      </c>
      <c r="H1144" s="1" t="str">
        <f t="shared" ref="H1144:I1144" si="1146">IF(C1144&lt;&gt;"",DEC2HEX(C1144,2),"")</f>
        <v/>
      </c>
      <c r="I1144" s="1" t="str">
        <f t="shared" si="1146"/>
        <v/>
      </c>
      <c r="J1144" s="1" t="str">
        <f t="shared" si="3"/>
        <v/>
      </c>
      <c r="L1144" s="1" t="s">
        <v>2926</v>
      </c>
      <c r="M1144" s="1" t="str">
        <f t="shared" si="4"/>
        <v>20, old rod:</v>
      </c>
    </row>
    <row r="1145" ht="12.75" customHeight="1">
      <c r="A1145" s="3" t="s">
        <v>417</v>
      </c>
      <c r="B1145" s="3" t="str">
        <f t="shared" si="1"/>
        <v>5, 5, MAGIKARP</v>
      </c>
      <c r="C1145" s="1" t="str">
        <f t="array" ref="C1145">IF(B1144="NEW ROUTE",TEXTSPLIT(B1145,","),"")</f>
        <v/>
      </c>
      <c r="H1145" s="1" t="str">
        <f t="shared" ref="H1145:I1145" si="1147">IF(C1145&lt;&gt;"",DEC2HEX(C1145,2),"")</f>
        <v/>
      </c>
      <c r="I1145" s="1" t="str">
        <f t="shared" si="1147"/>
        <v/>
      </c>
      <c r="J1145" s="1" t="str">
        <f t="shared" si="3"/>
        <v/>
      </c>
      <c r="L1145" s="1" t="s">
        <v>417</v>
      </c>
      <c r="M1145" s="1" t="str">
        <f t="shared" si="4"/>
        <v>5, 5, MAGIKARP</v>
      </c>
    </row>
    <row r="1146" ht="12.75" customHeight="1">
      <c r="A1146" s="3" t="s">
        <v>417</v>
      </c>
      <c r="B1146" s="3" t="str">
        <f t="shared" si="1"/>
        <v>5, 5, MAGIKARP</v>
      </c>
      <c r="C1146" s="1" t="str">
        <f t="array" ref="C1146">IF(B1145="NEW ROUTE",TEXTSPLIT(B1146,","),"")</f>
        <v/>
      </c>
      <c r="H1146" s="1" t="str">
        <f t="shared" ref="H1146:I1146" si="1148">IF(C1146&lt;&gt;"",DEC2HEX(C1146,2),"")</f>
        <v/>
      </c>
      <c r="I1146" s="1" t="str">
        <f t="shared" si="1148"/>
        <v/>
      </c>
      <c r="J1146" s="1" t="str">
        <f t="shared" si="3"/>
        <v/>
      </c>
      <c r="L1146" s="1" t="s">
        <v>417</v>
      </c>
      <c r="M1146" s="1" t="str">
        <f t="shared" si="4"/>
        <v>5, 5, MAGIKARP</v>
      </c>
    </row>
    <row r="1147" ht="12.75" customHeight="1">
      <c r="A1147" s="3" t="s">
        <v>2847</v>
      </c>
      <c r="B1147" s="3" t="str">
        <f t="shared" si="1"/>
        <v>good rod:</v>
      </c>
      <c r="C1147" s="1" t="str">
        <f t="array" ref="C1147">IF(B1146="NEW ROUTE",TEXTSPLIT(B1147,","),"")</f>
        <v/>
      </c>
      <c r="H1147" s="1" t="str">
        <f t="shared" ref="H1147:I1147" si="1149">IF(C1147&lt;&gt;"",DEC2HEX(C1147,2),"")</f>
        <v/>
      </c>
      <c r="I1147" s="1" t="str">
        <f t="shared" si="1149"/>
        <v/>
      </c>
      <c r="J1147" s="1" t="str">
        <f t="shared" si="3"/>
        <v/>
      </c>
      <c r="L1147" s="1" t="s">
        <v>2847</v>
      </c>
      <c r="M1147" s="1" t="str">
        <f t="shared" si="4"/>
        <v>good rod:</v>
      </c>
    </row>
    <row r="1148" ht="12.75" customHeight="1">
      <c r="A1148" s="3" t="s">
        <v>2848</v>
      </c>
      <c r="B1148" s="3" t="str">
        <f t="shared" si="1"/>
        <v>5, 15, KRABBY</v>
      </c>
      <c r="C1148" s="1" t="str">
        <f t="array" ref="C1148">IF(B1147="NEW ROUTE",TEXTSPLIT(B1148,","),"")</f>
        <v/>
      </c>
      <c r="H1148" s="1" t="str">
        <f t="shared" ref="H1148:I1148" si="1150">IF(C1148&lt;&gt;"",DEC2HEX(C1148,2),"")</f>
        <v/>
      </c>
      <c r="I1148" s="1" t="str">
        <f t="shared" si="1150"/>
        <v/>
      </c>
      <c r="J1148" s="1" t="str">
        <f t="shared" si="3"/>
        <v/>
      </c>
      <c r="L1148" s="1" t="s">
        <v>2848</v>
      </c>
      <c r="M1148" s="1" t="str">
        <f t="shared" si="4"/>
        <v>5, 15, KRABBY</v>
      </c>
    </row>
    <row r="1149" ht="12.75" customHeight="1">
      <c r="A1149" s="3" t="s">
        <v>2849</v>
      </c>
      <c r="B1149" s="3" t="str">
        <f t="shared" si="1"/>
        <v>5, 15, MAGIKARP</v>
      </c>
      <c r="C1149" s="1" t="str">
        <f t="array" ref="C1149">IF(B1148="NEW ROUTE",TEXTSPLIT(B1149,","),"")</f>
        <v/>
      </c>
      <c r="H1149" s="1" t="str">
        <f t="shared" ref="H1149:I1149" si="1151">IF(C1149&lt;&gt;"",DEC2HEX(C1149,2),"")</f>
        <v/>
      </c>
      <c r="I1149" s="1" t="str">
        <f t="shared" si="1151"/>
        <v/>
      </c>
      <c r="J1149" s="1" t="str">
        <f t="shared" si="3"/>
        <v/>
      </c>
      <c r="L1149" s="1" t="s">
        <v>2849</v>
      </c>
      <c r="M1149" s="1" t="str">
        <f t="shared" si="4"/>
        <v>5, 15, MAGIKARP</v>
      </c>
    </row>
    <row r="1150" ht="12.75" customHeight="1">
      <c r="A1150" s="3" t="s">
        <v>2848</v>
      </c>
      <c r="B1150" s="3" t="str">
        <f t="shared" si="1"/>
        <v>5, 15, KRABBY</v>
      </c>
      <c r="C1150" s="1" t="str">
        <f t="array" ref="C1150">IF(B1149="NEW ROUTE",TEXTSPLIT(B1150,","),"")</f>
        <v/>
      </c>
      <c r="H1150" s="1" t="str">
        <f t="shared" ref="H1150:I1150" si="1152">IF(C1150&lt;&gt;"",DEC2HEX(C1150,2),"")</f>
        <v/>
      </c>
      <c r="I1150" s="1" t="str">
        <f t="shared" si="1152"/>
        <v/>
      </c>
      <c r="J1150" s="1" t="str">
        <f t="shared" si="3"/>
        <v/>
      </c>
      <c r="L1150" s="1" t="s">
        <v>2848</v>
      </c>
      <c r="M1150" s="1" t="str">
        <f t="shared" si="4"/>
        <v>5, 15, KRABBY</v>
      </c>
    </row>
    <row r="1151" ht="12.75" customHeight="1">
      <c r="A1151" s="3" t="s">
        <v>2851</v>
      </c>
      <c r="B1151" s="3" t="str">
        <f t="shared" si="1"/>
        <v>super rod:</v>
      </c>
      <c r="C1151" s="1" t="str">
        <f t="array" ref="C1151">IF(B1150="NEW ROUTE",TEXTSPLIT(B1151,","),"")</f>
        <v/>
      </c>
      <c r="H1151" s="1" t="str">
        <f t="shared" ref="H1151:I1151" si="1153">IF(C1151&lt;&gt;"",DEC2HEX(C1151,2),"")</f>
        <v/>
      </c>
      <c r="I1151" s="1" t="str">
        <f t="shared" si="1153"/>
        <v/>
      </c>
      <c r="J1151" s="1" t="str">
        <f t="shared" si="3"/>
        <v/>
      </c>
      <c r="L1151" s="1" t="s">
        <v>2851</v>
      </c>
      <c r="M1151" s="1" t="str">
        <f t="shared" si="4"/>
        <v>super rod:</v>
      </c>
    </row>
    <row r="1152" ht="12.75" customHeight="1">
      <c r="A1152" s="3" t="s">
        <v>2852</v>
      </c>
      <c r="B1152" s="3" t="str">
        <f t="shared" si="1"/>
        <v>15, 25, KRABBY</v>
      </c>
      <c r="C1152" s="1" t="str">
        <f t="array" ref="C1152">IF(B1151="NEW ROUTE",TEXTSPLIT(B1152,","),"")</f>
        <v/>
      </c>
      <c r="H1152" s="1" t="str">
        <f t="shared" ref="H1152:I1152" si="1154">IF(C1152&lt;&gt;"",DEC2HEX(C1152,2),"")</f>
        <v/>
      </c>
      <c r="I1152" s="1" t="str">
        <f t="shared" si="1154"/>
        <v/>
      </c>
      <c r="J1152" s="1" t="str">
        <f t="shared" si="3"/>
        <v/>
      </c>
      <c r="L1152" s="1" t="s">
        <v>2852</v>
      </c>
      <c r="M1152" s="1" t="str">
        <f t="shared" si="4"/>
        <v>15, 25, KRABBY</v>
      </c>
    </row>
    <row r="1153" ht="12.75" customHeight="1">
      <c r="A1153" s="3" t="s">
        <v>2853</v>
      </c>
      <c r="B1153" s="3" t="str">
        <f t="shared" si="1"/>
        <v>15, 25, STARYU</v>
      </c>
      <c r="C1153" s="1" t="str">
        <f t="array" ref="C1153">IF(B1152="NEW ROUTE",TEXTSPLIT(B1153,","),"")</f>
        <v/>
      </c>
      <c r="H1153" s="1" t="str">
        <f t="shared" ref="H1153:I1153" si="1155">IF(C1153&lt;&gt;"",DEC2HEX(C1153,2),"")</f>
        <v/>
      </c>
      <c r="I1153" s="1" t="str">
        <f t="shared" si="1155"/>
        <v/>
      </c>
      <c r="J1153" s="1" t="str">
        <f t="shared" si="3"/>
        <v/>
      </c>
      <c r="L1153" s="1" t="s">
        <v>2853</v>
      </c>
      <c r="M1153" s="1" t="str">
        <f t="shared" si="4"/>
        <v>15, 25, STARYU</v>
      </c>
    </row>
    <row r="1154" ht="12.75" customHeight="1">
      <c r="A1154" s="3" t="s">
        <v>2854</v>
      </c>
      <c r="B1154" s="3" t="str">
        <f t="shared" si="1"/>
        <v>15, 25, GYARADOS</v>
      </c>
      <c r="C1154" s="1" t="str">
        <f t="array" ref="C1154">IF(B1153="NEW ROUTE",TEXTSPLIT(B1154,","),"")</f>
        <v/>
      </c>
      <c r="H1154" s="1" t="str">
        <f t="shared" ref="H1154:I1154" si="1156">IF(C1154&lt;&gt;"",DEC2HEX(C1154,2),"")</f>
        <v/>
      </c>
      <c r="I1154" s="1" t="str">
        <f t="shared" si="1156"/>
        <v/>
      </c>
      <c r="J1154" s="1" t="str">
        <f t="shared" si="3"/>
        <v/>
      </c>
      <c r="L1154" s="1" t="s">
        <v>2854</v>
      </c>
      <c r="M1154" s="1" t="str">
        <f t="shared" si="4"/>
        <v>15, 25, GYARADOS</v>
      </c>
    </row>
    <row r="1155" ht="12.75" customHeight="1">
      <c r="A1155" s="3" t="s">
        <v>3178</v>
      </c>
      <c r="B1155" s="3" t="str">
        <f t="shared" si="1"/>
        <v>25, 35, KINGLER</v>
      </c>
      <c r="C1155" s="1" t="str">
        <f t="array" ref="C1155">IF(B1154="NEW ROUTE",TEXTSPLIT(B1155,","),"")</f>
        <v/>
      </c>
      <c r="H1155" s="1" t="str">
        <f t="shared" ref="H1155:I1155" si="1157">IF(C1155&lt;&gt;"",DEC2HEX(C1155,2),"")</f>
        <v/>
      </c>
      <c r="I1155" s="1" t="str">
        <f t="shared" si="1157"/>
        <v/>
      </c>
      <c r="J1155" s="1" t="str">
        <f t="shared" si="3"/>
        <v/>
      </c>
      <c r="L1155" s="1" t="s">
        <v>3178</v>
      </c>
      <c r="M1155" s="1" t="str">
        <f t="shared" si="4"/>
        <v>25, 35, KINGLER</v>
      </c>
    </row>
    <row r="1156" ht="12.75" customHeight="1">
      <c r="A1156" s="3" t="s">
        <v>2856</v>
      </c>
      <c r="B1156" s="3" t="str">
        <f t="shared" si="1"/>
        <v>25, 35, SLOWPOKE</v>
      </c>
      <c r="C1156" s="1" t="str">
        <f t="array" ref="C1156">IF(B1155="NEW ROUTE",TEXTSPLIT(B1156,","),"")</f>
        <v/>
      </c>
      <c r="H1156" s="1" t="str">
        <f t="shared" ref="H1156:I1156" si="1158">IF(C1156&lt;&gt;"",DEC2HEX(C1156,2),"")</f>
        <v/>
      </c>
      <c r="I1156" s="1" t="str">
        <f t="shared" si="1158"/>
        <v/>
      </c>
      <c r="J1156" s="1" t="str">
        <f t="shared" si="3"/>
        <v/>
      </c>
      <c r="L1156" s="1" t="s">
        <v>2856</v>
      </c>
      <c r="M1156" s="1" t="str">
        <f t="shared" si="4"/>
        <v>25, 35, SLOWPOKE</v>
      </c>
    </row>
    <row r="1157" ht="12.75" customHeight="1">
      <c r="A1157" s="3" t="s">
        <v>2539</v>
      </c>
      <c r="B1157" s="3" t="str">
        <f t="shared" si="1"/>
        <v>NEW ROUTE</v>
      </c>
      <c r="C1157" s="1" t="str">
        <f t="array" ref="C1157">IF(B1156="NEW ROUTE",TEXTSPLIT(B1157,","),"")</f>
        <v/>
      </c>
      <c r="H1157" s="1" t="str">
        <f t="shared" ref="H1157:I1157" si="1159">IF(C1157&lt;&gt;"",DEC2HEX(C1157,2),"")</f>
        <v/>
      </c>
      <c r="I1157" s="1" t="str">
        <f t="shared" si="1159"/>
        <v/>
      </c>
      <c r="J1157" s="1" t="str">
        <f t="shared" si="3"/>
        <v/>
      </c>
      <c r="L1157" s="1" t="s">
        <v>2539</v>
      </c>
      <c r="M1157" s="1" t="str">
        <f t="shared" si="4"/>
        <v>NEW ROUTE</v>
      </c>
    </row>
    <row r="1158" ht="12.75" customHeight="1">
      <c r="A1158" s="3" t="s">
        <v>3179</v>
      </c>
      <c r="B1158" s="3" t="str">
        <f t="shared" si="1"/>
        <v>1, 121, 0,</v>
      </c>
      <c r="C1158" s="1" t="str">
        <f t="array" ref="C1158">IF(B1157="NEW ROUTE",TEXTSPLIT(B1158,","),"")</f>
        <v>#NAME?</v>
      </c>
      <c r="H1158" s="1" t="str">
        <f t="shared" ref="H1158:I1158" si="1160">IF(C1158&lt;&gt;"",DEC2HEX(C1158,2),"")</f>
        <v>#NAME?</v>
      </c>
      <c r="I1158" s="1" t="str">
        <f t="shared" si="1160"/>
        <v/>
      </c>
      <c r="J1158" s="1" t="str">
        <f t="shared" si="3"/>
        <v>#NAME?</v>
      </c>
      <c r="L1158" s="1" t="s">
        <v>3179</v>
      </c>
      <c r="M1158" s="1" t="str">
        <f t="shared" si="4"/>
        <v>#NAME?</v>
      </c>
    </row>
    <row r="1159" ht="12.75" customHeight="1">
      <c r="A1159" s="3" t="s">
        <v>2909</v>
      </c>
      <c r="B1159" s="3" t="str">
        <f t="shared" si="1"/>
        <v>20%</v>
      </c>
      <c r="C1159" s="1" t="str">
        <f t="array" ref="C1159">IF(B1158="NEW ROUTE",TEXTSPLIT(B1159,","),"")</f>
        <v/>
      </c>
      <c r="H1159" s="1" t="str">
        <f t="shared" ref="H1159:I1159" si="1161">IF(C1159&lt;&gt;"",DEC2HEX(C1159,2),"")</f>
        <v/>
      </c>
      <c r="I1159" s="1" t="str">
        <f t="shared" si="1161"/>
        <v/>
      </c>
      <c r="J1159" s="1" t="str">
        <f t="shared" si="3"/>
        <v/>
      </c>
      <c r="L1159" s="1" t="s">
        <v>2799</v>
      </c>
      <c r="M1159" s="1" t="str">
        <f t="shared" si="4"/>
        <v>20%</v>
      </c>
    </row>
    <row r="1160" ht="12.75" customHeight="1">
      <c r="A1160" s="3" t="s">
        <v>776</v>
      </c>
      <c r="B1160" s="3" t="str">
        <f t="shared" si="1"/>
        <v>9, 9, LEDYBA</v>
      </c>
      <c r="C1160" s="1" t="str">
        <f t="array" ref="C1160">IF(B1159="NEW ROUTE",TEXTSPLIT(B1160,","),"")</f>
        <v/>
      </c>
      <c r="H1160" s="1" t="str">
        <f t="shared" ref="H1160:I1160" si="1162">IF(C1160&lt;&gt;"",DEC2HEX(C1160,2),"")</f>
        <v/>
      </c>
      <c r="I1160" s="1" t="str">
        <f t="shared" si="1162"/>
        <v/>
      </c>
      <c r="J1160" s="1" t="str">
        <f t="shared" si="3"/>
        <v/>
      </c>
      <c r="L1160" s="1" t="s">
        <v>776</v>
      </c>
      <c r="M1160" s="1" t="str">
        <f t="shared" si="4"/>
        <v>9, 9, LEDYBA</v>
      </c>
    </row>
    <row r="1161" ht="12.75" customHeight="1">
      <c r="A1161" s="3" t="s">
        <v>3180</v>
      </c>
      <c r="B1161" s="3" t="str">
        <f t="shared" si="1"/>
        <v>9, 9, KAKUNA</v>
      </c>
      <c r="C1161" s="1" t="str">
        <f t="array" ref="C1161">IF(B1160="NEW ROUTE",TEXTSPLIT(B1161,","),"")</f>
        <v/>
      </c>
      <c r="H1161" s="1" t="str">
        <f t="shared" ref="H1161:I1161" si="1163">IF(C1161&lt;&gt;"",DEC2HEX(C1161,2),"")</f>
        <v/>
      </c>
      <c r="I1161" s="1" t="str">
        <f t="shared" si="1163"/>
        <v/>
      </c>
      <c r="J1161" s="1" t="str">
        <f t="shared" si="3"/>
        <v/>
      </c>
      <c r="L1161" s="1" t="s">
        <v>3180</v>
      </c>
      <c r="M1161" s="1" t="str">
        <f t="shared" si="4"/>
        <v>9, 9, KAKUNA</v>
      </c>
    </row>
    <row r="1162" ht="12.75" customHeight="1">
      <c r="A1162" s="3" t="s">
        <v>2802</v>
      </c>
      <c r="B1162" s="3" t="str">
        <f t="shared" si="1"/>
        <v>0.1</v>
      </c>
      <c r="C1162" s="1" t="str">
        <f t="array" ref="C1162">IF(B1161="NEW ROUTE",TEXTSPLIT(B1162,","),"")</f>
        <v/>
      </c>
      <c r="H1162" s="1" t="str">
        <f t="shared" ref="H1162:I1162" si="1164">IF(C1162&lt;&gt;"",DEC2HEX(C1162,2),"")</f>
        <v/>
      </c>
      <c r="I1162" s="1" t="str">
        <f t="shared" si="1164"/>
        <v/>
      </c>
      <c r="J1162" s="1" t="str">
        <f t="shared" si="3"/>
        <v/>
      </c>
      <c r="L1162" s="1" t="s">
        <v>2802</v>
      </c>
      <c r="M1162" s="1" t="str">
        <f t="shared" si="4"/>
        <v>0.1</v>
      </c>
    </row>
    <row r="1163" ht="12.75" customHeight="1">
      <c r="A1163" s="3" t="s">
        <v>3181</v>
      </c>
      <c r="B1163" s="3" t="str">
        <f t="shared" si="1"/>
        <v>14, 14, LEDYBA</v>
      </c>
      <c r="C1163" s="1" t="str">
        <f t="array" ref="C1163">IF(B1162="NEW ROUTE",TEXTSPLIT(B1163,","),"")</f>
        <v/>
      </c>
      <c r="H1163" s="1" t="str">
        <f t="shared" ref="H1163:I1163" si="1165">IF(C1163&lt;&gt;"",DEC2HEX(C1163,2),"")</f>
        <v/>
      </c>
      <c r="I1163" s="1" t="str">
        <f t="shared" si="1165"/>
        <v/>
      </c>
      <c r="J1163" s="1" t="str">
        <f t="shared" si="3"/>
        <v/>
      </c>
      <c r="L1163" s="1" t="s">
        <v>3181</v>
      </c>
      <c r="M1163" s="1" t="str">
        <f t="shared" si="4"/>
        <v>14, 14, LEDYBA</v>
      </c>
    </row>
    <row r="1164" ht="12.75" customHeight="1">
      <c r="A1164" s="3" t="s">
        <v>3182</v>
      </c>
      <c r="B1164" s="3" t="str">
        <f t="shared" si="1"/>
        <v>6, 6, CATERPIE</v>
      </c>
      <c r="C1164" s="1" t="str">
        <f t="array" ref="C1164">IF(B1163="NEW ROUTE",TEXTSPLIT(B1164,","),"")</f>
        <v/>
      </c>
      <c r="H1164" s="1" t="str">
        <f t="shared" ref="H1164:I1164" si="1166">IF(C1164&lt;&gt;"",DEC2HEX(C1164,2),"")</f>
        <v/>
      </c>
      <c r="I1164" s="1" t="str">
        <f t="shared" si="1166"/>
        <v/>
      </c>
      <c r="J1164" s="1" t="str">
        <f t="shared" si="3"/>
        <v/>
      </c>
      <c r="L1164" s="1" t="s">
        <v>3182</v>
      </c>
      <c r="M1164" s="1" t="str">
        <f t="shared" si="4"/>
        <v>6, 6, CATERPIE</v>
      </c>
    </row>
    <row r="1165" ht="12.75" customHeight="1">
      <c r="A1165" s="3" t="s">
        <v>3183</v>
      </c>
      <c r="B1165" s="3" t="str">
        <f t="shared" si="1"/>
        <v>6, 6, WEEDLE</v>
      </c>
      <c r="C1165" s="1" t="str">
        <f t="array" ref="C1165">IF(B1164="NEW ROUTE",TEXTSPLIT(B1165,","),"")</f>
        <v/>
      </c>
      <c r="H1165" s="1" t="str">
        <f t="shared" ref="H1165:I1165" si="1167">IF(C1165&lt;&gt;"",DEC2HEX(C1165,2),"")</f>
        <v/>
      </c>
      <c r="I1165" s="1" t="str">
        <f t="shared" si="1167"/>
        <v/>
      </c>
      <c r="J1165" s="1" t="str">
        <f t="shared" si="3"/>
        <v/>
      </c>
      <c r="L1165" s="1" t="s">
        <v>3183</v>
      </c>
      <c r="M1165" s="1" t="str">
        <f t="shared" si="4"/>
        <v>6, 6, WEEDLE</v>
      </c>
    </row>
    <row r="1166" ht="12.75" customHeight="1">
      <c r="A1166" s="3" t="s">
        <v>3184</v>
      </c>
      <c r="B1166" s="3" t="str">
        <f t="shared" si="1"/>
        <v>15, 15, HERACROSS</v>
      </c>
      <c r="C1166" s="1" t="str">
        <f t="array" ref="C1166">IF(B1165="NEW ROUTE",TEXTSPLIT(B1166,","),"")</f>
        <v/>
      </c>
      <c r="H1166" s="1" t="str">
        <f t="shared" ref="H1166:I1166" si="1168">IF(C1166&lt;&gt;"",DEC2HEX(C1166,2),"")</f>
        <v/>
      </c>
      <c r="I1166" s="1" t="str">
        <f t="shared" si="1168"/>
        <v/>
      </c>
      <c r="J1166" s="1" t="str">
        <f t="shared" si="3"/>
        <v/>
      </c>
      <c r="L1166" s="1" t="s">
        <v>3184</v>
      </c>
      <c r="M1166" s="1" t="str">
        <f t="shared" si="4"/>
        <v>15, 15, HERACROSS</v>
      </c>
    </row>
    <row r="1167" ht="12.75" customHeight="1">
      <c r="A1167" s="3" t="s">
        <v>2807</v>
      </c>
      <c r="B1167" s="3" t="str">
        <f t="shared" si="1"/>
        <v>0.05</v>
      </c>
      <c r="C1167" s="1" t="str">
        <f t="array" ref="C1167">IF(B1166="NEW ROUTE",TEXTSPLIT(B1167,","),"")</f>
        <v/>
      </c>
      <c r="H1167" s="1" t="str">
        <f t="shared" ref="H1167:I1167" si="1169">IF(C1167&lt;&gt;"",DEC2HEX(C1167,2),"")</f>
        <v/>
      </c>
      <c r="I1167" s="1" t="str">
        <f t="shared" si="1169"/>
        <v/>
      </c>
      <c r="J1167" s="1" t="str">
        <f t="shared" si="3"/>
        <v/>
      </c>
      <c r="L1167" s="1" t="s">
        <v>2807</v>
      </c>
      <c r="M1167" s="1" t="str">
        <f t="shared" si="4"/>
        <v>0.05</v>
      </c>
    </row>
    <row r="1168" ht="12.75" customHeight="1">
      <c r="A1168" s="3" t="s">
        <v>3185</v>
      </c>
      <c r="B1168" s="3" t="str">
        <f t="shared" si="1"/>
        <v>9, 9, METAPOD</v>
      </c>
      <c r="C1168" s="1" t="str">
        <f t="array" ref="C1168">IF(B1167="NEW ROUTE",TEXTSPLIT(B1168,","),"")</f>
        <v/>
      </c>
      <c r="H1168" s="1" t="str">
        <f t="shared" ref="H1168:I1168" si="1170">IF(C1168&lt;&gt;"",DEC2HEX(C1168,2),"")</f>
        <v/>
      </c>
      <c r="I1168" s="1" t="str">
        <f t="shared" si="1170"/>
        <v/>
      </c>
      <c r="J1168" s="1" t="str">
        <f t="shared" si="3"/>
        <v/>
      </c>
      <c r="L1168" s="1" t="s">
        <v>3185</v>
      </c>
      <c r="M1168" s="1" t="str">
        <f t="shared" si="4"/>
        <v>9, 9, METAPOD</v>
      </c>
    </row>
    <row r="1169" ht="12.75" customHeight="1">
      <c r="A1169" s="3" t="s">
        <v>3186</v>
      </c>
      <c r="B1169" s="3" t="str">
        <f t="shared" si="1"/>
        <v>20, 20, HERACROSS</v>
      </c>
      <c r="C1169" s="1" t="str">
        <f t="array" ref="C1169">IF(B1168="NEW ROUTE",TEXTSPLIT(B1169,","),"")</f>
        <v/>
      </c>
      <c r="H1169" s="1" t="str">
        <f t="shared" ref="H1169:I1169" si="1171">IF(C1169&lt;&gt;"",DEC2HEX(C1169,2),"")</f>
        <v/>
      </c>
      <c r="I1169" s="1" t="str">
        <f t="shared" si="1171"/>
        <v/>
      </c>
      <c r="J1169" s="1" t="str">
        <f t="shared" si="3"/>
        <v/>
      </c>
      <c r="L1169" s="1" t="s">
        <v>3186</v>
      </c>
      <c r="M1169" s="1" t="str">
        <f t="shared" si="4"/>
        <v>20, 20, HERACROSS</v>
      </c>
    </row>
    <row r="1170" ht="12.75" customHeight="1">
      <c r="A1170" s="3" t="s">
        <v>2810</v>
      </c>
      <c r="B1170" s="3" t="str">
        <f t="shared" si="1"/>
        <v>0.04</v>
      </c>
      <c r="C1170" s="1" t="str">
        <f t="array" ref="C1170">IF(B1169="NEW ROUTE",TEXTSPLIT(B1170,","),"")</f>
        <v/>
      </c>
      <c r="H1170" s="1" t="str">
        <f t="shared" ref="H1170:I1170" si="1172">IF(C1170&lt;&gt;"",DEC2HEX(C1170,2),"")</f>
        <v/>
      </c>
      <c r="I1170" s="1" t="str">
        <f t="shared" si="1172"/>
        <v/>
      </c>
      <c r="J1170" s="1" t="str">
        <f t="shared" si="3"/>
        <v/>
      </c>
      <c r="L1170" s="1" t="s">
        <v>2810</v>
      </c>
      <c r="M1170" s="1" t="str">
        <f t="shared" si="4"/>
        <v>0.04</v>
      </c>
    </row>
    <row r="1171" ht="12.75" customHeight="1">
      <c r="A1171" s="3" t="s">
        <v>3187</v>
      </c>
      <c r="B1171" s="3" t="str">
        <f t="shared" si="1"/>
        <v>9, 9, SPINARAK</v>
      </c>
      <c r="C1171" s="1" t="str">
        <f t="array" ref="C1171">IF(B1170="NEW ROUTE",TEXTSPLIT(B1171,","),"")</f>
        <v/>
      </c>
      <c r="H1171" s="1" t="str">
        <f t="shared" ref="H1171:I1171" si="1173">IF(C1171&lt;&gt;"",DEC2HEX(C1171,2),"")</f>
        <v/>
      </c>
      <c r="I1171" s="1" t="str">
        <f t="shared" si="1173"/>
        <v/>
      </c>
      <c r="J1171" s="1" t="str">
        <f t="shared" si="3"/>
        <v/>
      </c>
      <c r="L1171" s="1" t="s">
        <v>3187</v>
      </c>
      <c r="M1171" s="1" t="str">
        <f t="shared" si="4"/>
        <v>9, 9, SPINARAK</v>
      </c>
    </row>
    <row r="1172" ht="12.75" customHeight="1">
      <c r="A1172" s="3" t="s">
        <v>3188</v>
      </c>
      <c r="B1172" s="3" t="str">
        <f t="shared" si="1"/>
        <v>25, 25, HERACROSS</v>
      </c>
      <c r="C1172" s="1" t="str">
        <f t="array" ref="C1172">IF(B1171="NEW ROUTE",TEXTSPLIT(B1172,","),"")</f>
        <v/>
      </c>
      <c r="H1172" s="1" t="str">
        <f t="shared" ref="H1172:I1172" si="1174">IF(C1172&lt;&gt;"",DEC2HEX(C1172,2),"")</f>
        <v/>
      </c>
      <c r="I1172" s="1" t="str">
        <f t="shared" si="1174"/>
        <v/>
      </c>
      <c r="J1172" s="1" t="str">
        <f t="shared" si="3"/>
        <v/>
      </c>
      <c r="L1172" s="1" t="s">
        <v>3188</v>
      </c>
      <c r="M1172" s="1" t="str">
        <f t="shared" si="4"/>
        <v>25, 25, HERACROSS</v>
      </c>
    </row>
    <row r="1173" ht="12.75" customHeight="1">
      <c r="A1173" s="3" t="s">
        <v>2813</v>
      </c>
      <c r="B1173" s="3" t="str">
        <f t="shared" si="1"/>
        <v>0.01</v>
      </c>
      <c r="C1173" s="1" t="str">
        <f t="array" ref="C1173">IF(B1172="NEW ROUTE",TEXTSPLIT(B1173,","),"")</f>
        <v/>
      </c>
      <c r="H1173" s="1" t="str">
        <f t="shared" ref="H1173:I1173" si="1175">IF(C1173&lt;&gt;"",DEC2HEX(C1173,2),"")</f>
        <v/>
      </c>
      <c r="I1173" s="1" t="str">
        <f t="shared" si="1175"/>
        <v/>
      </c>
      <c r="J1173" s="1" t="str">
        <f t="shared" si="3"/>
        <v/>
      </c>
      <c r="L1173" s="1" t="s">
        <v>2813</v>
      </c>
      <c r="M1173" s="1" t="str">
        <f t="shared" si="4"/>
        <v>0.01</v>
      </c>
    </row>
    <row r="1174" ht="12.75" customHeight="1">
      <c r="A1174" s="3" t="s">
        <v>3189</v>
      </c>
      <c r="B1174" s="3" t="str">
        <f t="shared" si="1"/>
        <v>14, 14, SPINARAK</v>
      </c>
      <c r="C1174" s="1" t="str">
        <f t="array" ref="C1174">IF(B1173="NEW ROUTE",TEXTSPLIT(B1174,","),"")</f>
        <v/>
      </c>
      <c r="H1174" s="1" t="str">
        <f t="shared" ref="H1174:I1174" si="1176">IF(C1174&lt;&gt;"",DEC2HEX(C1174,2),"")</f>
        <v/>
      </c>
      <c r="I1174" s="1" t="str">
        <f t="shared" si="1176"/>
        <v/>
      </c>
      <c r="J1174" s="1" t="str">
        <f t="shared" si="3"/>
        <v/>
      </c>
      <c r="L1174" s="1" t="s">
        <v>3189</v>
      </c>
      <c r="M1174" s="1" t="str">
        <f t="shared" si="4"/>
        <v>14, 14, SPINARAK</v>
      </c>
    </row>
    <row r="1175" ht="12.75" customHeight="1">
      <c r="A1175" s="3" t="s">
        <v>3190</v>
      </c>
      <c r="B1175" s="3" t="str">
        <f t="shared" si="1"/>
        <v>30, 30, HERACROSS , &lt;null&gt;, &lt;null&gt;, &lt;null&gt;</v>
      </c>
      <c r="C1175" s="1" t="str">
        <f t="array" ref="C1175">IF(B1174="NEW ROUTE",TEXTSPLIT(B1175,","),"")</f>
        <v/>
      </c>
      <c r="H1175" s="1" t="str">
        <f t="shared" ref="H1175:I1175" si="1177">IF(C1175&lt;&gt;"",DEC2HEX(C1175,2),"")</f>
        <v/>
      </c>
      <c r="I1175" s="1" t="str">
        <f t="shared" si="1177"/>
        <v/>
      </c>
      <c r="J1175" s="1" t="str">
        <f t="shared" si="3"/>
        <v/>
      </c>
      <c r="L1175" s="1" t="s">
        <v>3190</v>
      </c>
      <c r="M1175" s="1" t="str">
        <f t="shared" si="4"/>
        <v>30, 30, HERACROSS , &lt;null&gt;, &lt;null&gt;, &lt;null&gt;</v>
      </c>
    </row>
    <row r="1176" ht="12.75" customHeight="1">
      <c r="A1176" s="3" t="s">
        <v>2539</v>
      </c>
      <c r="B1176" s="3" t="str">
        <f t="shared" si="1"/>
        <v>NEW ROUTE</v>
      </c>
      <c r="C1176" s="1" t="str">
        <f t="array" ref="C1176">IF(B1175="NEW ROUTE",TEXTSPLIT(B1176,","),"")</f>
        <v/>
      </c>
      <c r="H1176" s="1" t="str">
        <f t="shared" ref="H1176:I1176" si="1178">IF(C1176&lt;&gt;"",DEC2HEX(C1176,2),"")</f>
        <v/>
      </c>
      <c r="I1176" s="1" t="str">
        <f t="shared" si="1178"/>
        <v/>
      </c>
      <c r="J1176" s="1" t="str">
        <f t="shared" si="3"/>
        <v/>
      </c>
      <c r="L1176" s="1" t="s">
        <v>2539</v>
      </c>
      <c r="M1176" s="1" t="str">
        <f t="shared" si="4"/>
        <v>NEW ROUTE</v>
      </c>
    </row>
    <row r="1177" ht="12.75" customHeight="1">
      <c r="A1177" s="3" t="s">
        <v>3191</v>
      </c>
      <c r="B1177" s="3" t="str">
        <f t="shared" si="1"/>
        <v>2, 13, 0,</v>
      </c>
      <c r="C1177" s="1" t="str">
        <f t="array" ref="C1177">IF(B1176="NEW ROUTE",TEXTSPLIT(B1177,","),"")</f>
        <v>#NAME?</v>
      </c>
      <c r="H1177" s="1" t="str">
        <f t="shared" ref="H1177:I1177" si="1179">IF(C1177&lt;&gt;"",DEC2HEX(C1177,2),"")</f>
        <v>#NAME?</v>
      </c>
      <c r="I1177" s="1" t="str">
        <f t="shared" si="1179"/>
        <v/>
      </c>
      <c r="J1177" s="1" t="str">
        <f t="shared" si="3"/>
        <v>#NAME?</v>
      </c>
      <c r="L1177" s="1" t="s">
        <v>3191</v>
      </c>
      <c r="M1177" s="1" t="str">
        <f t="shared" si="4"/>
        <v>#NAME?</v>
      </c>
    </row>
    <row r="1178" ht="12.75" customHeight="1">
      <c r="A1178" s="3" t="s">
        <v>3192</v>
      </c>
      <c r="B1178" s="3" t="str">
        <f t="shared" si="1"/>
        <v>20%</v>
      </c>
      <c r="C1178" s="1" t="str">
        <f t="array" ref="C1178">IF(B1177="NEW ROUTE",TEXTSPLIT(B1178,","),"")</f>
        <v/>
      </c>
      <c r="H1178" s="1" t="str">
        <f t="shared" ref="H1178:I1178" si="1180">IF(C1178&lt;&gt;"",DEC2HEX(C1178,2),"")</f>
        <v/>
      </c>
      <c r="I1178" s="1" t="str">
        <f t="shared" si="1180"/>
        <v/>
      </c>
      <c r="J1178" s="1" t="str">
        <f t="shared" si="3"/>
        <v/>
      </c>
      <c r="L1178" s="1" t="s">
        <v>2799</v>
      </c>
      <c r="M1178" s="1" t="str">
        <f t="shared" si="4"/>
        <v>20%</v>
      </c>
    </row>
    <row r="1179" ht="12.75" customHeight="1">
      <c r="A1179" s="3" t="s">
        <v>789</v>
      </c>
      <c r="B1179" s="3" t="str">
        <f t="shared" si="1"/>
        <v>40, 40, GASTLY</v>
      </c>
      <c r="C1179" s="1" t="str">
        <f t="array" ref="C1179">IF(B1178="NEW ROUTE",TEXTSPLIT(B1179,","),"")</f>
        <v/>
      </c>
      <c r="H1179" s="1" t="str">
        <f t="shared" ref="H1179:I1179" si="1181">IF(C1179&lt;&gt;"",DEC2HEX(C1179,2),"")</f>
        <v/>
      </c>
      <c r="I1179" s="1" t="str">
        <f t="shared" si="1181"/>
        <v/>
      </c>
      <c r="J1179" s="1" t="str">
        <f t="shared" si="3"/>
        <v/>
      </c>
      <c r="L1179" s="1" t="s">
        <v>789</v>
      </c>
      <c r="M1179" s="1" t="str">
        <f t="shared" si="4"/>
        <v>40, 40, GASTLY</v>
      </c>
    </row>
    <row r="1180" ht="12.75" customHeight="1">
      <c r="A1180" s="3" t="s">
        <v>3193</v>
      </c>
      <c r="B1180" s="3" t="str">
        <f t="shared" si="1"/>
        <v>37, 37, ZUBAT</v>
      </c>
      <c r="C1180" s="1" t="str">
        <f t="array" ref="C1180">IF(B1179="NEW ROUTE",TEXTSPLIT(B1180,","),"")</f>
        <v/>
      </c>
      <c r="H1180" s="1" t="str">
        <f t="shared" ref="H1180:I1180" si="1182">IF(C1180&lt;&gt;"",DEC2HEX(C1180,2),"")</f>
        <v/>
      </c>
      <c r="I1180" s="1" t="str">
        <f t="shared" si="1182"/>
        <v/>
      </c>
      <c r="J1180" s="1" t="str">
        <f t="shared" si="3"/>
        <v/>
      </c>
      <c r="L1180" s="1" t="s">
        <v>3193</v>
      </c>
      <c r="M1180" s="1" t="str">
        <f t="shared" si="4"/>
        <v>37, 37, ZUBAT</v>
      </c>
    </row>
    <row r="1181" ht="12.75" customHeight="1">
      <c r="A1181" s="3" t="s">
        <v>2802</v>
      </c>
      <c r="B1181" s="3" t="str">
        <f t="shared" si="1"/>
        <v>0.1</v>
      </c>
      <c r="C1181" s="1" t="str">
        <f t="array" ref="C1181">IF(B1180="NEW ROUTE",TEXTSPLIT(B1181,","),"")</f>
        <v/>
      </c>
      <c r="H1181" s="1" t="str">
        <f t="shared" ref="H1181:I1181" si="1183">IF(C1181&lt;&gt;"",DEC2HEX(C1181,2),"")</f>
        <v/>
      </c>
      <c r="I1181" s="1" t="str">
        <f t="shared" si="1183"/>
        <v/>
      </c>
      <c r="J1181" s="1" t="str">
        <f t="shared" si="3"/>
        <v/>
      </c>
      <c r="L1181" s="1" t="s">
        <v>2802</v>
      </c>
      <c r="M1181" s="1" t="str">
        <f t="shared" si="4"/>
        <v>0.1</v>
      </c>
    </row>
    <row r="1182" ht="12.75" customHeight="1">
      <c r="A1182" s="3" t="s">
        <v>3194</v>
      </c>
      <c r="B1182" s="3" t="str">
        <f t="shared" si="1"/>
        <v>44, 44, HAUNTER</v>
      </c>
      <c r="C1182" s="1" t="str">
        <f t="array" ref="C1182">IF(B1181="NEW ROUTE",TEXTSPLIT(B1182,","),"")</f>
        <v/>
      </c>
      <c r="H1182" s="1" t="str">
        <f t="shared" ref="H1182:I1182" si="1184">IF(C1182&lt;&gt;"",DEC2HEX(C1182,2),"")</f>
        <v/>
      </c>
      <c r="I1182" s="1" t="str">
        <f t="shared" si="1184"/>
        <v/>
      </c>
      <c r="J1182" s="1" t="str">
        <f t="shared" si="3"/>
        <v/>
      </c>
      <c r="L1182" s="1" t="s">
        <v>3194</v>
      </c>
      <c r="M1182" s="1" t="str">
        <f t="shared" si="4"/>
        <v>44, 44, HAUNTER</v>
      </c>
    </row>
    <row r="1183" ht="12.75" customHeight="1">
      <c r="A1183" s="3" t="s">
        <v>3195</v>
      </c>
      <c r="B1183" s="3" t="str">
        <f t="shared" si="1"/>
        <v>46, 46, HAUNTER</v>
      </c>
      <c r="C1183" s="1" t="str">
        <f t="array" ref="C1183">IF(B1182="NEW ROUTE",TEXTSPLIT(B1183,","),"")</f>
        <v/>
      </c>
      <c r="H1183" s="1" t="str">
        <f t="shared" ref="H1183:I1183" si="1185">IF(C1183&lt;&gt;"",DEC2HEX(C1183,2),"")</f>
        <v/>
      </c>
      <c r="I1183" s="1" t="str">
        <f t="shared" si="1185"/>
        <v/>
      </c>
      <c r="J1183" s="1" t="str">
        <f t="shared" si="3"/>
        <v/>
      </c>
      <c r="L1183" s="1" t="s">
        <v>3195</v>
      </c>
      <c r="M1183" s="1" t="str">
        <f t="shared" si="4"/>
        <v>46, 46, HAUNTER</v>
      </c>
    </row>
    <row r="1184" ht="12.75" customHeight="1">
      <c r="A1184" s="3" t="s">
        <v>3196</v>
      </c>
      <c r="B1184" s="3" t="str">
        <f t="shared" si="1"/>
        <v>41, 41, GOLBAT</v>
      </c>
      <c r="C1184" s="1" t="str">
        <f t="array" ref="C1184">IF(B1183="NEW ROUTE",TEXTSPLIT(B1184,","),"")</f>
        <v/>
      </c>
      <c r="H1184" s="1" t="str">
        <f t="shared" ref="H1184:I1184" si="1186">IF(C1184&lt;&gt;"",DEC2HEX(C1184,2),"")</f>
        <v/>
      </c>
      <c r="I1184" s="1" t="str">
        <f t="shared" si="1186"/>
        <v/>
      </c>
      <c r="J1184" s="1" t="str">
        <f t="shared" si="3"/>
        <v/>
      </c>
      <c r="L1184" s="1" t="s">
        <v>3196</v>
      </c>
      <c r="M1184" s="1" t="str">
        <f t="shared" si="4"/>
        <v>41, 41, GOLBAT</v>
      </c>
    </row>
    <row r="1185" ht="12.75" customHeight="1">
      <c r="A1185" s="3" t="s">
        <v>3197</v>
      </c>
      <c r="B1185" s="3" t="str">
        <f t="shared" si="1"/>
        <v>43, 43, GOLBAT</v>
      </c>
      <c r="C1185" s="1" t="str">
        <f t="array" ref="C1185">IF(B1184="NEW ROUTE",TEXTSPLIT(B1185,","),"")</f>
        <v/>
      </c>
      <c r="H1185" s="1" t="str">
        <f t="shared" ref="H1185:I1185" si="1187">IF(C1185&lt;&gt;"",DEC2HEX(C1185,2),"")</f>
        <v/>
      </c>
      <c r="I1185" s="1" t="str">
        <f t="shared" si="1187"/>
        <v/>
      </c>
      <c r="J1185" s="1" t="str">
        <f t="shared" si="3"/>
        <v/>
      </c>
      <c r="L1185" s="1" t="s">
        <v>3197</v>
      </c>
      <c r="M1185" s="1" t="str">
        <f t="shared" si="4"/>
        <v>43, 43, GOLBAT</v>
      </c>
    </row>
    <row r="1186" ht="12.75" customHeight="1">
      <c r="A1186" s="3" t="s">
        <v>2807</v>
      </c>
      <c r="B1186" s="3" t="str">
        <f t="shared" si="1"/>
        <v>0.05</v>
      </c>
      <c r="C1186" s="1" t="str">
        <f t="array" ref="C1186">IF(B1185="NEW ROUTE",TEXTSPLIT(B1186,","),"")</f>
        <v/>
      </c>
      <c r="H1186" s="1" t="str">
        <f t="shared" ref="H1186:I1186" si="1188">IF(C1186&lt;&gt;"",DEC2HEX(C1186,2),"")</f>
        <v/>
      </c>
      <c r="I1186" s="1" t="str">
        <f t="shared" si="1188"/>
        <v/>
      </c>
      <c r="J1186" s="1" t="str">
        <f t="shared" si="3"/>
        <v/>
      </c>
      <c r="L1186" s="1" t="s">
        <v>2807</v>
      </c>
      <c r="M1186" s="1" t="str">
        <f t="shared" si="4"/>
        <v>0.05</v>
      </c>
    </row>
    <row r="1187" ht="12.75" customHeight="1">
      <c r="A1187" s="3" t="s">
        <v>3198</v>
      </c>
      <c r="B1187" s="3" t="str">
        <f t="shared" si="1"/>
        <v>38, 38, GASTLY</v>
      </c>
      <c r="C1187" s="1" t="str">
        <f t="array" ref="C1187">IF(B1186="NEW ROUTE",TEXTSPLIT(B1187,","),"")</f>
        <v/>
      </c>
      <c r="H1187" s="1" t="str">
        <f t="shared" ref="H1187:I1187" si="1189">IF(C1187&lt;&gt;"",DEC2HEX(C1187,2),"")</f>
        <v/>
      </c>
      <c r="I1187" s="1" t="str">
        <f t="shared" si="1189"/>
        <v/>
      </c>
      <c r="J1187" s="1" t="str">
        <f t="shared" si="3"/>
        <v/>
      </c>
      <c r="L1187" s="1" t="s">
        <v>3198</v>
      </c>
      <c r="M1187" s="1" t="str">
        <f t="shared" si="4"/>
        <v>38, 38, GASTLY</v>
      </c>
    </row>
    <row r="1188" ht="12.75" customHeight="1">
      <c r="A1188" s="3" t="s">
        <v>3199</v>
      </c>
      <c r="B1188" s="3" t="str">
        <f t="shared" si="1"/>
        <v>48, 48, HAUNTER</v>
      </c>
      <c r="C1188" s="1" t="str">
        <f t="array" ref="C1188">IF(B1187="NEW ROUTE",TEXTSPLIT(B1188,","),"")</f>
        <v/>
      </c>
      <c r="H1188" s="1" t="str">
        <f t="shared" ref="H1188:I1188" si="1190">IF(C1188&lt;&gt;"",DEC2HEX(C1188,2),"")</f>
        <v/>
      </c>
      <c r="I1188" s="1" t="str">
        <f t="shared" si="1190"/>
        <v/>
      </c>
      <c r="J1188" s="1" t="str">
        <f t="shared" si="3"/>
        <v/>
      </c>
      <c r="L1188" s="1" t="s">
        <v>3199</v>
      </c>
      <c r="M1188" s="1" t="str">
        <f t="shared" si="4"/>
        <v>48, 48, HAUNTER</v>
      </c>
    </row>
    <row r="1189" ht="12.75" customHeight="1">
      <c r="A1189" s="3" t="s">
        <v>2810</v>
      </c>
      <c r="B1189" s="3" t="str">
        <f t="shared" si="1"/>
        <v>0.04</v>
      </c>
      <c r="C1189" s="1" t="str">
        <f t="array" ref="C1189">IF(B1188="NEW ROUTE",TEXTSPLIT(B1189,","),"")</f>
        <v/>
      </c>
      <c r="H1189" s="1" t="str">
        <f t="shared" ref="H1189:I1189" si="1191">IF(C1189&lt;&gt;"",DEC2HEX(C1189,2),"")</f>
        <v/>
      </c>
      <c r="I1189" s="1" t="str">
        <f t="shared" si="1191"/>
        <v/>
      </c>
      <c r="J1189" s="1" t="str">
        <f t="shared" si="3"/>
        <v/>
      </c>
      <c r="L1189" s="1" t="s">
        <v>2810</v>
      </c>
      <c r="M1189" s="1" t="str">
        <f t="shared" si="4"/>
        <v>0.04</v>
      </c>
    </row>
    <row r="1190" ht="12.75" customHeight="1">
      <c r="A1190" s="3" t="s">
        <v>3200</v>
      </c>
      <c r="B1190" s="3" t="str">
        <f t="shared" si="1"/>
        <v>50, 50, HAUNTER</v>
      </c>
      <c r="C1190" s="1" t="str">
        <f t="array" ref="C1190">IF(B1189="NEW ROUTE",TEXTSPLIT(B1190,","),"")</f>
        <v/>
      </c>
      <c r="H1190" s="1" t="str">
        <f t="shared" ref="H1190:I1190" si="1192">IF(C1190&lt;&gt;"",DEC2HEX(C1190,2),"")</f>
        <v/>
      </c>
      <c r="I1190" s="1" t="str">
        <f t="shared" si="1192"/>
        <v/>
      </c>
      <c r="J1190" s="1" t="str">
        <f t="shared" si="3"/>
        <v/>
      </c>
      <c r="L1190" s="1" t="s">
        <v>3200</v>
      </c>
      <c r="M1190" s="1" t="str">
        <f t="shared" si="4"/>
        <v>50, 50, HAUNTER</v>
      </c>
    </row>
    <row r="1191" ht="12.75" customHeight="1">
      <c r="A1191" s="3" t="s">
        <v>3201</v>
      </c>
      <c r="B1191" s="3" t="str">
        <f t="shared" si="1"/>
        <v>22, 22, MISDREAVUS</v>
      </c>
      <c r="C1191" s="1" t="str">
        <f t="array" ref="C1191">IF(B1190="NEW ROUTE",TEXTSPLIT(B1191,","),"")</f>
        <v/>
      </c>
      <c r="H1191" s="1" t="str">
        <f t="shared" ref="H1191:I1191" si="1193">IF(C1191&lt;&gt;"",DEC2HEX(C1191,2),"")</f>
        <v/>
      </c>
      <c r="I1191" s="1" t="str">
        <f t="shared" si="1193"/>
        <v/>
      </c>
      <c r="J1191" s="1" t="str">
        <f t="shared" si="3"/>
        <v/>
      </c>
      <c r="L1191" s="1" t="s">
        <v>3201</v>
      </c>
      <c r="M1191" s="1" t="str">
        <f t="shared" si="4"/>
        <v>22, 22, MISDREAVUS</v>
      </c>
    </row>
    <row r="1192" ht="12.75" customHeight="1">
      <c r="A1192" s="3" t="s">
        <v>2813</v>
      </c>
      <c r="B1192" s="3" t="str">
        <f t="shared" si="1"/>
        <v>0.01</v>
      </c>
      <c r="C1192" s="1" t="str">
        <f t="array" ref="C1192">IF(B1191="NEW ROUTE",TEXTSPLIT(B1192,","),"")</f>
        <v/>
      </c>
      <c r="H1192" s="1" t="str">
        <f t="shared" ref="H1192:I1192" si="1194">IF(C1192&lt;&gt;"",DEC2HEX(C1192,2),"")</f>
        <v/>
      </c>
      <c r="I1192" s="1" t="str">
        <f t="shared" si="1194"/>
        <v/>
      </c>
      <c r="J1192" s="1" t="str">
        <f t="shared" si="3"/>
        <v/>
      </c>
      <c r="L1192" s="1" t="s">
        <v>2813</v>
      </c>
      <c r="M1192" s="1" t="str">
        <f t="shared" si="4"/>
        <v>0.01</v>
      </c>
    </row>
    <row r="1193" ht="12.75" customHeight="1">
      <c r="A1193" s="3" t="s">
        <v>3202</v>
      </c>
      <c r="B1193" s="3" t="str">
        <f t="shared" si="1"/>
        <v>52, 52, HAUNTER</v>
      </c>
      <c r="C1193" s="1" t="str">
        <f t="array" ref="C1193">IF(B1192="NEW ROUTE",TEXTSPLIT(B1193,","),"")</f>
        <v/>
      </c>
      <c r="H1193" s="1" t="str">
        <f t="shared" ref="H1193:I1193" si="1195">IF(C1193&lt;&gt;"",DEC2HEX(C1193,2),"")</f>
        <v/>
      </c>
      <c r="I1193" s="1" t="str">
        <f t="shared" si="1195"/>
        <v/>
      </c>
      <c r="J1193" s="1" t="str">
        <f t="shared" si="3"/>
        <v/>
      </c>
      <c r="L1193" s="1" t="s">
        <v>3202</v>
      </c>
      <c r="M1193" s="1" t="str">
        <f t="shared" si="4"/>
        <v>52, 52, HAUNTER</v>
      </c>
    </row>
    <row r="1194" ht="12.75" customHeight="1">
      <c r="A1194" s="3" t="s">
        <v>3203</v>
      </c>
      <c r="B1194" s="3" t="str">
        <f t="shared" si="1"/>
        <v>22, 22, MISDREAVUS , &lt;null&gt;, &lt;null&gt;, &lt;null&gt;</v>
      </c>
      <c r="C1194" s="1" t="str">
        <f t="array" ref="C1194">IF(B1193="NEW ROUTE",TEXTSPLIT(B1194,","),"")</f>
        <v/>
      </c>
      <c r="H1194" s="1" t="str">
        <f t="shared" ref="H1194:I1194" si="1196">IF(C1194&lt;&gt;"",DEC2HEX(C1194,2),"")</f>
        <v/>
      </c>
      <c r="I1194" s="1" t="str">
        <f t="shared" si="1196"/>
        <v/>
      </c>
      <c r="J1194" s="1" t="str">
        <f t="shared" si="3"/>
        <v/>
      </c>
      <c r="L1194" s="1" t="s">
        <v>3203</v>
      </c>
      <c r="M1194" s="1" t="str">
        <f t="shared" si="4"/>
        <v>22, 22, MISDREAVUS , &lt;null&gt;, &lt;null&gt;, &lt;null&gt;</v>
      </c>
    </row>
    <row r="1195" ht="12.75" customHeight="1">
      <c r="A1195" s="3" t="s">
        <v>2539</v>
      </c>
      <c r="B1195" s="3" t="str">
        <f t="shared" si="1"/>
        <v>NEW ROUTE</v>
      </c>
      <c r="C1195" s="1" t="str">
        <f t="array" ref="C1195">IF(B1194="NEW ROUTE",TEXTSPLIT(B1195,","),"")</f>
        <v/>
      </c>
      <c r="H1195" s="1" t="str">
        <f t="shared" ref="H1195:I1195" si="1197">IF(C1195&lt;&gt;"",DEC2HEX(C1195,2),"")</f>
        <v/>
      </c>
      <c r="I1195" s="1" t="str">
        <f t="shared" si="1197"/>
        <v/>
      </c>
      <c r="J1195" s="1" t="str">
        <f t="shared" si="3"/>
        <v/>
      </c>
      <c r="L1195" s="1" t="s">
        <v>2539</v>
      </c>
      <c r="M1195" s="1" t="str">
        <f t="shared" si="4"/>
        <v>NEW ROUTE</v>
      </c>
    </row>
    <row r="1196" ht="12.75" customHeight="1">
      <c r="A1196" s="3" t="s">
        <v>3204</v>
      </c>
      <c r="B1196" s="3" t="str">
        <f t="shared" si="1"/>
        <v>2, 14, 0,</v>
      </c>
      <c r="C1196" s="1" t="str">
        <f t="array" ref="C1196">IF(B1195="NEW ROUTE",TEXTSPLIT(B1196,","),"")</f>
        <v>#NAME?</v>
      </c>
      <c r="H1196" s="1" t="str">
        <f t="shared" ref="H1196:I1196" si="1198">IF(C1196&lt;&gt;"",DEC2HEX(C1196,2),"")</f>
        <v>#NAME?</v>
      </c>
      <c r="I1196" s="1" t="str">
        <f t="shared" si="1198"/>
        <v/>
      </c>
      <c r="J1196" s="1" t="str">
        <f t="shared" si="3"/>
        <v>#NAME?</v>
      </c>
      <c r="L1196" s="1" t="s">
        <v>3204</v>
      </c>
      <c r="M1196" s="1" t="str">
        <f t="shared" si="4"/>
        <v>#NAME?</v>
      </c>
    </row>
    <row r="1197" ht="12.75" customHeight="1">
      <c r="A1197" s="3" t="s">
        <v>3037</v>
      </c>
      <c r="B1197" s="3" t="str">
        <f t="shared" si="1"/>
        <v>20%</v>
      </c>
      <c r="C1197" s="1" t="str">
        <f t="array" ref="C1197">IF(B1196="NEW ROUTE",TEXTSPLIT(B1197,","),"")</f>
        <v/>
      </c>
      <c r="H1197" s="1" t="str">
        <f t="shared" ref="H1197:I1197" si="1199">IF(C1197&lt;&gt;"",DEC2HEX(C1197,2),"")</f>
        <v/>
      </c>
      <c r="I1197" s="1" t="str">
        <f t="shared" si="1199"/>
        <v/>
      </c>
      <c r="J1197" s="1" t="str">
        <f t="shared" si="3"/>
        <v/>
      </c>
      <c r="L1197" s="1" t="s">
        <v>2799</v>
      </c>
      <c r="M1197" s="1" t="str">
        <f t="shared" si="4"/>
        <v>20%</v>
      </c>
    </row>
    <row r="1198" ht="12.75" customHeight="1">
      <c r="A1198" s="3" t="s">
        <v>789</v>
      </c>
      <c r="B1198" s="3" t="str">
        <f t="shared" si="1"/>
        <v>40, 40, GASTLY</v>
      </c>
      <c r="C1198" s="1" t="str">
        <f t="array" ref="C1198">IF(B1197="NEW ROUTE",TEXTSPLIT(B1198,","),"")</f>
        <v/>
      </c>
      <c r="H1198" s="1" t="str">
        <f t="shared" ref="H1198:I1198" si="1200">IF(C1198&lt;&gt;"",DEC2HEX(C1198,2),"")</f>
        <v/>
      </c>
      <c r="I1198" s="1" t="str">
        <f t="shared" si="1200"/>
        <v/>
      </c>
      <c r="J1198" s="1" t="str">
        <f t="shared" si="3"/>
        <v/>
      </c>
      <c r="L1198" s="1" t="s">
        <v>789</v>
      </c>
      <c r="M1198" s="1" t="str">
        <f t="shared" si="4"/>
        <v>40, 40, GASTLY</v>
      </c>
    </row>
    <row r="1199" ht="12.75" customHeight="1">
      <c r="A1199" s="3" t="s">
        <v>3193</v>
      </c>
      <c r="B1199" s="3" t="str">
        <f t="shared" si="1"/>
        <v>37, 37, ZUBAT</v>
      </c>
      <c r="C1199" s="1" t="str">
        <f t="array" ref="C1199">IF(B1198="NEW ROUTE",TEXTSPLIT(B1199,","),"")</f>
        <v/>
      </c>
      <c r="H1199" s="1" t="str">
        <f t="shared" ref="H1199:I1199" si="1201">IF(C1199&lt;&gt;"",DEC2HEX(C1199,2),"")</f>
        <v/>
      </c>
      <c r="I1199" s="1" t="str">
        <f t="shared" si="1201"/>
        <v/>
      </c>
      <c r="J1199" s="1" t="str">
        <f t="shared" si="3"/>
        <v/>
      </c>
      <c r="L1199" s="1" t="s">
        <v>3193</v>
      </c>
      <c r="M1199" s="1" t="str">
        <f t="shared" si="4"/>
        <v>37, 37, ZUBAT</v>
      </c>
    </row>
    <row r="1200" ht="12.75" customHeight="1">
      <c r="A1200" s="3" t="s">
        <v>2802</v>
      </c>
      <c r="B1200" s="3" t="str">
        <f t="shared" si="1"/>
        <v>0.1</v>
      </c>
      <c r="C1200" s="1" t="str">
        <f t="array" ref="C1200">IF(B1199="NEW ROUTE",TEXTSPLIT(B1200,","),"")</f>
        <v/>
      </c>
      <c r="H1200" s="1" t="str">
        <f t="shared" ref="H1200:I1200" si="1202">IF(C1200&lt;&gt;"",DEC2HEX(C1200,2),"")</f>
        <v/>
      </c>
      <c r="I1200" s="1" t="str">
        <f t="shared" si="1202"/>
        <v/>
      </c>
      <c r="J1200" s="1" t="str">
        <f t="shared" si="3"/>
        <v/>
      </c>
      <c r="L1200" s="1" t="s">
        <v>2802</v>
      </c>
      <c r="M1200" s="1" t="str">
        <f t="shared" si="4"/>
        <v>0.1</v>
      </c>
    </row>
    <row r="1201" ht="12.75" customHeight="1">
      <c r="A1201" s="3" t="s">
        <v>3194</v>
      </c>
      <c r="B1201" s="3" t="str">
        <f t="shared" si="1"/>
        <v>44, 44, HAUNTER</v>
      </c>
      <c r="C1201" s="1" t="str">
        <f t="array" ref="C1201">IF(B1200="NEW ROUTE",TEXTSPLIT(B1201,","),"")</f>
        <v/>
      </c>
      <c r="H1201" s="1" t="str">
        <f t="shared" ref="H1201:I1201" si="1203">IF(C1201&lt;&gt;"",DEC2HEX(C1201,2),"")</f>
        <v/>
      </c>
      <c r="I1201" s="1" t="str">
        <f t="shared" si="1203"/>
        <v/>
      </c>
      <c r="J1201" s="1" t="str">
        <f t="shared" si="3"/>
        <v/>
      </c>
      <c r="L1201" s="1" t="s">
        <v>3194</v>
      </c>
      <c r="M1201" s="1" t="str">
        <f t="shared" si="4"/>
        <v>44, 44, HAUNTER</v>
      </c>
    </row>
    <row r="1202" ht="12.75" customHeight="1">
      <c r="A1202" s="3" t="s">
        <v>3195</v>
      </c>
      <c r="B1202" s="3" t="str">
        <f t="shared" si="1"/>
        <v>46, 46, HAUNTER</v>
      </c>
      <c r="C1202" s="1" t="str">
        <f t="array" ref="C1202">IF(B1201="NEW ROUTE",TEXTSPLIT(B1202,","),"")</f>
        <v/>
      </c>
      <c r="H1202" s="1" t="str">
        <f t="shared" ref="H1202:I1202" si="1204">IF(C1202&lt;&gt;"",DEC2HEX(C1202,2),"")</f>
        <v/>
      </c>
      <c r="I1202" s="1" t="str">
        <f t="shared" si="1204"/>
        <v/>
      </c>
      <c r="J1202" s="1" t="str">
        <f t="shared" si="3"/>
        <v/>
      </c>
      <c r="L1202" s="1" t="s">
        <v>3195</v>
      </c>
      <c r="M1202" s="1" t="str">
        <f t="shared" si="4"/>
        <v>46, 46, HAUNTER</v>
      </c>
    </row>
    <row r="1203" ht="12.75" customHeight="1">
      <c r="A1203" s="3" t="s">
        <v>3196</v>
      </c>
      <c r="B1203" s="3" t="str">
        <f t="shared" si="1"/>
        <v>41, 41, GOLBAT</v>
      </c>
      <c r="C1203" s="1" t="str">
        <f t="array" ref="C1203">IF(B1202="NEW ROUTE",TEXTSPLIT(B1203,","),"")</f>
        <v/>
      </c>
      <c r="H1203" s="1" t="str">
        <f t="shared" ref="H1203:I1203" si="1205">IF(C1203&lt;&gt;"",DEC2HEX(C1203,2),"")</f>
        <v/>
      </c>
      <c r="I1203" s="1" t="str">
        <f t="shared" si="1205"/>
        <v/>
      </c>
      <c r="J1203" s="1" t="str">
        <f t="shared" si="3"/>
        <v/>
      </c>
      <c r="L1203" s="1" t="s">
        <v>3196</v>
      </c>
      <c r="M1203" s="1" t="str">
        <f t="shared" si="4"/>
        <v>41, 41, GOLBAT</v>
      </c>
    </row>
    <row r="1204" ht="12.75" customHeight="1">
      <c r="A1204" s="3" t="s">
        <v>3197</v>
      </c>
      <c r="B1204" s="3" t="str">
        <f t="shared" si="1"/>
        <v>43, 43, GOLBAT</v>
      </c>
      <c r="C1204" s="1" t="str">
        <f t="array" ref="C1204">IF(B1203="NEW ROUTE",TEXTSPLIT(B1204,","),"")</f>
        <v/>
      </c>
      <c r="H1204" s="1" t="str">
        <f t="shared" ref="H1204:I1204" si="1206">IF(C1204&lt;&gt;"",DEC2HEX(C1204,2),"")</f>
        <v/>
      </c>
      <c r="I1204" s="1" t="str">
        <f t="shared" si="1206"/>
        <v/>
      </c>
      <c r="J1204" s="1" t="str">
        <f t="shared" si="3"/>
        <v/>
      </c>
      <c r="L1204" s="1" t="s">
        <v>3197</v>
      </c>
      <c r="M1204" s="1" t="str">
        <f t="shared" si="4"/>
        <v>43, 43, GOLBAT</v>
      </c>
    </row>
    <row r="1205" ht="12.75" customHeight="1">
      <c r="A1205" s="3" t="s">
        <v>2807</v>
      </c>
      <c r="B1205" s="3" t="str">
        <f t="shared" si="1"/>
        <v>0.05</v>
      </c>
      <c r="C1205" s="1" t="str">
        <f t="array" ref="C1205">IF(B1204="NEW ROUTE",TEXTSPLIT(B1205,","),"")</f>
        <v/>
      </c>
      <c r="H1205" s="1" t="str">
        <f t="shared" ref="H1205:I1205" si="1207">IF(C1205&lt;&gt;"",DEC2HEX(C1205,2),"")</f>
        <v/>
      </c>
      <c r="I1205" s="1" t="str">
        <f t="shared" si="1207"/>
        <v/>
      </c>
      <c r="J1205" s="1" t="str">
        <f t="shared" si="3"/>
        <v/>
      </c>
      <c r="L1205" s="1" t="s">
        <v>2807</v>
      </c>
      <c r="M1205" s="1" t="str">
        <f t="shared" si="4"/>
        <v>0.05</v>
      </c>
    </row>
    <row r="1206" ht="12.75" customHeight="1">
      <c r="A1206" s="3" t="s">
        <v>3198</v>
      </c>
      <c r="B1206" s="3" t="str">
        <f t="shared" si="1"/>
        <v>38, 38, GASTLY</v>
      </c>
      <c r="C1206" s="1" t="str">
        <f t="array" ref="C1206">IF(B1205="NEW ROUTE",TEXTSPLIT(B1206,","),"")</f>
        <v/>
      </c>
      <c r="H1206" s="1" t="str">
        <f t="shared" ref="H1206:I1206" si="1208">IF(C1206&lt;&gt;"",DEC2HEX(C1206,2),"")</f>
        <v/>
      </c>
      <c r="I1206" s="1" t="str">
        <f t="shared" si="1208"/>
        <v/>
      </c>
      <c r="J1206" s="1" t="str">
        <f t="shared" si="3"/>
        <v/>
      </c>
      <c r="L1206" s="1" t="s">
        <v>3198</v>
      </c>
      <c r="M1206" s="1" t="str">
        <f t="shared" si="4"/>
        <v>38, 38, GASTLY</v>
      </c>
    </row>
    <row r="1207" ht="12.75" customHeight="1">
      <c r="A1207" s="3" t="s">
        <v>3199</v>
      </c>
      <c r="B1207" s="3" t="str">
        <f t="shared" si="1"/>
        <v>48, 48, HAUNTER</v>
      </c>
      <c r="C1207" s="1" t="str">
        <f t="array" ref="C1207">IF(B1206="NEW ROUTE",TEXTSPLIT(B1207,","),"")</f>
        <v/>
      </c>
      <c r="H1207" s="1" t="str">
        <f t="shared" ref="H1207:I1207" si="1209">IF(C1207&lt;&gt;"",DEC2HEX(C1207,2),"")</f>
        <v/>
      </c>
      <c r="I1207" s="1" t="str">
        <f t="shared" si="1209"/>
        <v/>
      </c>
      <c r="J1207" s="1" t="str">
        <f t="shared" si="3"/>
        <v/>
      </c>
      <c r="L1207" s="1" t="s">
        <v>3199</v>
      </c>
      <c r="M1207" s="1" t="str">
        <f t="shared" si="4"/>
        <v>48, 48, HAUNTER</v>
      </c>
    </row>
    <row r="1208" ht="12.75" customHeight="1">
      <c r="A1208" s="3" t="s">
        <v>2810</v>
      </c>
      <c r="B1208" s="3" t="str">
        <f t="shared" si="1"/>
        <v>0.04</v>
      </c>
      <c r="C1208" s="1" t="str">
        <f t="array" ref="C1208">IF(B1207="NEW ROUTE",TEXTSPLIT(B1208,","),"")</f>
        <v/>
      </c>
      <c r="H1208" s="1" t="str">
        <f t="shared" ref="H1208:I1208" si="1210">IF(C1208&lt;&gt;"",DEC2HEX(C1208,2),"")</f>
        <v/>
      </c>
      <c r="I1208" s="1" t="str">
        <f t="shared" si="1210"/>
        <v/>
      </c>
      <c r="J1208" s="1" t="str">
        <f t="shared" si="3"/>
        <v/>
      </c>
      <c r="L1208" s="1" t="s">
        <v>2810</v>
      </c>
      <c r="M1208" s="1" t="str">
        <f t="shared" si="4"/>
        <v>0.04</v>
      </c>
    </row>
    <row r="1209" ht="12.75" customHeight="1">
      <c r="A1209" s="3" t="s">
        <v>3200</v>
      </c>
      <c r="B1209" s="3" t="str">
        <f t="shared" si="1"/>
        <v>50, 50, HAUNTER</v>
      </c>
      <c r="C1209" s="1" t="str">
        <f t="array" ref="C1209">IF(B1208="NEW ROUTE",TEXTSPLIT(B1209,","),"")</f>
        <v/>
      </c>
      <c r="H1209" s="1" t="str">
        <f t="shared" ref="H1209:I1209" si="1211">IF(C1209&lt;&gt;"",DEC2HEX(C1209,2),"")</f>
        <v/>
      </c>
      <c r="I1209" s="1" t="str">
        <f t="shared" si="1211"/>
        <v/>
      </c>
      <c r="J1209" s="1" t="str">
        <f t="shared" si="3"/>
        <v/>
      </c>
      <c r="L1209" s="1" t="s">
        <v>3200</v>
      </c>
      <c r="M1209" s="1" t="str">
        <f t="shared" si="4"/>
        <v>50, 50, HAUNTER</v>
      </c>
    </row>
    <row r="1210" ht="12.75" customHeight="1">
      <c r="A1210" s="3" t="s">
        <v>3201</v>
      </c>
      <c r="B1210" s="3" t="str">
        <f t="shared" si="1"/>
        <v>22, 22, MISDREAVUS</v>
      </c>
      <c r="C1210" s="1" t="str">
        <f t="array" ref="C1210">IF(B1209="NEW ROUTE",TEXTSPLIT(B1210,","),"")</f>
        <v/>
      </c>
      <c r="H1210" s="1" t="str">
        <f t="shared" ref="H1210:I1210" si="1212">IF(C1210&lt;&gt;"",DEC2HEX(C1210,2),"")</f>
        <v/>
      </c>
      <c r="I1210" s="1" t="str">
        <f t="shared" si="1212"/>
        <v/>
      </c>
      <c r="J1210" s="1" t="str">
        <f t="shared" si="3"/>
        <v/>
      </c>
      <c r="L1210" s="1" t="s">
        <v>3201</v>
      </c>
      <c r="M1210" s="1" t="str">
        <f t="shared" si="4"/>
        <v>22, 22, MISDREAVUS</v>
      </c>
    </row>
    <row r="1211" ht="12.75" customHeight="1">
      <c r="A1211" s="3" t="s">
        <v>2813</v>
      </c>
      <c r="B1211" s="3" t="str">
        <f t="shared" si="1"/>
        <v>0.01</v>
      </c>
      <c r="C1211" s="1" t="str">
        <f t="array" ref="C1211">IF(B1210="NEW ROUTE",TEXTSPLIT(B1211,","),"")</f>
        <v/>
      </c>
      <c r="H1211" s="1" t="str">
        <f t="shared" ref="H1211:I1211" si="1213">IF(C1211&lt;&gt;"",DEC2HEX(C1211,2),"")</f>
        <v/>
      </c>
      <c r="I1211" s="1" t="str">
        <f t="shared" si="1213"/>
        <v/>
      </c>
      <c r="J1211" s="1" t="str">
        <f t="shared" si="3"/>
        <v/>
      </c>
      <c r="L1211" s="1" t="s">
        <v>2813</v>
      </c>
      <c r="M1211" s="1" t="str">
        <f t="shared" si="4"/>
        <v>0.01</v>
      </c>
    </row>
    <row r="1212" ht="12.75" customHeight="1">
      <c r="A1212" s="3" t="s">
        <v>3202</v>
      </c>
      <c r="B1212" s="3" t="str">
        <f t="shared" si="1"/>
        <v>52, 52, HAUNTER</v>
      </c>
      <c r="C1212" s="1" t="str">
        <f t="array" ref="C1212">IF(B1211="NEW ROUTE",TEXTSPLIT(B1212,","),"")</f>
        <v/>
      </c>
      <c r="H1212" s="1" t="str">
        <f t="shared" ref="H1212:I1212" si="1214">IF(C1212&lt;&gt;"",DEC2HEX(C1212,2),"")</f>
        <v/>
      </c>
      <c r="I1212" s="1" t="str">
        <f t="shared" si="1214"/>
        <v/>
      </c>
      <c r="J1212" s="1" t="str">
        <f t="shared" si="3"/>
        <v/>
      </c>
      <c r="L1212" s="1" t="s">
        <v>3202</v>
      </c>
      <c r="M1212" s="1" t="str">
        <f t="shared" si="4"/>
        <v>52, 52, HAUNTER</v>
      </c>
    </row>
    <row r="1213" ht="12.75" customHeight="1">
      <c r="A1213" s="3" t="s">
        <v>3203</v>
      </c>
      <c r="B1213" s="3" t="str">
        <f t="shared" si="1"/>
        <v>22, 22, MISDREAVUS , &lt;null&gt;, &lt;null&gt;, &lt;null&gt;</v>
      </c>
      <c r="C1213" s="1" t="str">
        <f t="array" ref="C1213">IF(B1212="NEW ROUTE",TEXTSPLIT(B1213,","),"")</f>
        <v/>
      </c>
      <c r="H1213" s="1" t="str">
        <f t="shared" ref="H1213:I1213" si="1215">IF(C1213&lt;&gt;"",DEC2HEX(C1213,2),"")</f>
        <v/>
      </c>
      <c r="I1213" s="1" t="str">
        <f t="shared" si="1215"/>
        <v/>
      </c>
      <c r="J1213" s="1" t="str">
        <f t="shared" si="3"/>
        <v/>
      </c>
      <c r="L1213" s="1" t="s">
        <v>3203</v>
      </c>
      <c r="M1213" s="1" t="str">
        <f t="shared" si="4"/>
        <v>22, 22, MISDREAVUS , &lt;null&gt;, &lt;null&gt;, &lt;null&gt;</v>
      </c>
    </row>
    <row r="1214" ht="12.75" customHeight="1">
      <c r="A1214" s="3" t="s">
        <v>2539</v>
      </c>
      <c r="B1214" s="3" t="str">
        <f t="shared" si="1"/>
        <v>NEW ROUTE</v>
      </c>
      <c r="C1214" s="1" t="str">
        <f t="array" ref="C1214">IF(B1213="NEW ROUTE",TEXTSPLIT(B1214,","),"")</f>
        <v/>
      </c>
      <c r="H1214" s="1" t="str">
        <f t="shared" ref="H1214:I1214" si="1216">IF(C1214&lt;&gt;"",DEC2HEX(C1214,2),"")</f>
        <v/>
      </c>
      <c r="I1214" s="1" t="str">
        <f t="shared" si="1216"/>
        <v/>
      </c>
      <c r="J1214" s="1" t="str">
        <f t="shared" si="3"/>
        <v/>
      </c>
      <c r="L1214" s="1" t="s">
        <v>2539</v>
      </c>
      <c r="M1214" s="1" t="str">
        <f t="shared" si="4"/>
        <v>NEW ROUTE</v>
      </c>
    </row>
    <row r="1215" ht="12.75" customHeight="1">
      <c r="A1215" s="3" t="s">
        <v>3205</v>
      </c>
      <c r="B1215" s="3" t="str">
        <f t="shared" si="1"/>
        <v>2, 15, 0,</v>
      </c>
      <c r="C1215" s="1" t="str">
        <f t="array" ref="C1215">IF(B1214="NEW ROUTE",TEXTSPLIT(B1215,","),"")</f>
        <v>#NAME?</v>
      </c>
      <c r="H1215" s="1" t="str">
        <f t="shared" ref="H1215:I1215" si="1217">IF(C1215&lt;&gt;"",DEC2HEX(C1215,2),"")</f>
        <v>#NAME?</v>
      </c>
      <c r="I1215" s="1" t="str">
        <f t="shared" si="1217"/>
        <v/>
      </c>
      <c r="J1215" s="1" t="str">
        <f t="shared" si="3"/>
        <v>#NAME?</v>
      </c>
      <c r="L1215" s="1" t="s">
        <v>3205</v>
      </c>
      <c r="M1215" s="1" t="str">
        <f t="shared" si="4"/>
        <v>#NAME?</v>
      </c>
    </row>
    <row r="1216" ht="12.75" customHeight="1">
      <c r="A1216" s="3" t="s">
        <v>3206</v>
      </c>
      <c r="B1216" s="3" t="str">
        <f t="shared" si="1"/>
        <v>20%</v>
      </c>
      <c r="C1216" s="1" t="str">
        <f t="array" ref="C1216">IF(B1215="NEW ROUTE",TEXTSPLIT(B1216,","),"")</f>
        <v/>
      </c>
      <c r="H1216" s="1" t="str">
        <f t="shared" ref="H1216:I1216" si="1218">IF(C1216&lt;&gt;"",DEC2HEX(C1216,2),"")</f>
        <v/>
      </c>
      <c r="I1216" s="1" t="str">
        <f t="shared" si="1218"/>
        <v/>
      </c>
      <c r="J1216" s="1" t="str">
        <f t="shared" si="3"/>
        <v/>
      </c>
      <c r="L1216" s="1" t="s">
        <v>2799</v>
      </c>
      <c r="M1216" s="1" t="str">
        <f t="shared" si="4"/>
        <v>20%</v>
      </c>
    </row>
    <row r="1217" ht="12.75" customHeight="1">
      <c r="A1217" s="3" t="s">
        <v>789</v>
      </c>
      <c r="B1217" s="3" t="str">
        <f t="shared" si="1"/>
        <v>40, 40, GASTLY</v>
      </c>
      <c r="C1217" s="1" t="str">
        <f t="array" ref="C1217">IF(B1216="NEW ROUTE",TEXTSPLIT(B1217,","),"")</f>
        <v/>
      </c>
      <c r="H1217" s="1" t="str">
        <f t="shared" ref="H1217:I1217" si="1219">IF(C1217&lt;&gt;"",DEC2HEX(C1217,2),"")</f>
        <v/>
      </c>
      <c r="I1217" s="1" t="str">
        <f t="shared" si="1219"/>
        <v/>
      </c>
      <c r="J1217" s="1" t="str">
        <f t="shared" si="3"/>
        <v/>
      </c>
      <c r="L1217" s="1" t="s">
        <v>789</v>
      </c>
      <c r="M1217" s="1" t="str">
        <f t="shared" si="4"/>
        <v>40, 40, GASTLY</v>
      </c>
    </row>
    <row r="1218" ht="12.75" customHeight="1">
      <c r="A1218" s="3" t="s">
        <v>3193</v>
      </c>
      <c r="B1218" s="3" t="str">
        <f t="shared" si="1"/>
        <v>37, 37, ZUBAT</v>
      </c>
      <c r="C1218" s="1" t="str">
        <f t="array" ref="C1218">IF(B1217="NEW ROUTE",TEXTSPLIT(B1218,","),"")</f>
        <v/>
      </c>
      <c r="H1218" s="1" t="str">
        <f t="shared" ref="H1218:I1218" si="1220">IF(C1218&lt;&gt;"",DEC2HEX(C1218,2),"")</f>
        <v/>
      </c>
      <c r="I1218" s="1" t="str">
        <f t="shared" si="1220"/>
        <v/>
      </c>
      <c r="J1218" s="1" t="str">
        <f t="shared" si="3"/>
        <v/>
      </c>
      <c r="L1218" s="1" t="s">
        <v>3193</v>
      </c>
      <c r="M1218" s="1" t="str">
        <f t="shared" si="4"/>
        <v>37, 37, ZUBAT</v>
      </c>
    </row>
    <row r="1219" ht="12.75" customHeight="1">
      <c r="A1219" s="3" t="s">
        <v>2802</v>
      </c>
      <c r="B1219" s="3" t="str">
        <f t="shared" si="1"/>
        <v>0.1</v>
      </c>
      <c r="C1219" s="1" t="str">
        <f t="array" ref="C1219">IF(B1218="NEW ROUTE",TEXTSPLIT(B1219,","),"")</f>
        <v/>
      </c>
      <c r="H1219" s="1" t="str">
        <f t="shared" ref="H1219:I1219" si="1221">IF(C1219&lt;&gt;"",DEC2HEX(C1219,2),"")</f>
        <v/>
      </c>
      <c r="I1219" s="1" t="str">
        <f t="shared" si="1221"/>
        <v/>
      </c>
      <c r="J1219" s="1" t="str">
        <f t="shared" si="3"/>
        <v/>
      </c>
      <c r="L1219" s="1" t="s">
        <v>2802</v>
      </c>
      <c r="M1219" s="1" t="str">
        <f t="shared" si="4"/>
        <v>0.1</v>
      </c>
    </row>
    <row r="1220" ht="12.75" customHeight="1">
      <c r="A1220" s="3" t="s">
        <v>3194</v>
      </c>
      <c r="B1220" s="3" t="str">
        <f t="shared" si="1"/>
        <v>44, 44, HAUNTER</v>
      </c>
      <c r="C1220" s="1" t="str">
        <f t="array" ref="C1220">IF(B1219="NEW ROUTE",TEXTSPLIT(B1220,","),"")</f>
        <v/>
      </c>
      <c r="H1220" s="1" t="str">
        <f t="shared" ref="H1220:I1220" si="1222">IF(C1220&lt;&gt;"",DEC2HEX(C1220,2),"")</f>
        <v/>
      </c>
      <c r="I1220" s="1" t="str">
        <f t="shared" si="1222"/>
        <v/>
      </c>
      <c r="J1220" s="1" t="str">
        <f t="shared" si="3"/>
        <v/>
      </c>
      <c r="L1220" s="1" t="s">
        <v>3194</v>
      </c>
      <c r="M1220" s="1" t="str">
        <f t="shared" si="4"/>
        <v>44, 44, HAUNTER</v>
      </c>
    </row>
    <row r="1221" ht="12.75" customHeight="1">
      <c r="A1221" s="3" t="s">
        <v>3195</v>
      </c>
      <c r="B1221" s="3" t="str">
        <f t="shared" si="1"/>
        <v>46, 46, HAUNTER</v>
      </c>
      <c r="C1221" s="1" t="str">
        <f t="array" ref="C1221">IF(B1220="NEW ROUTE",TEXTSPLIT(B1221,","),"")</f>
        <v/>
      </c>
      <c r="H1221" s="1" t="str">
        <f t="shared" ref="H1221:I1221" si="1223">IF(C1221&lt;&gt;"",DEC2HEX(C1221,2),"")</f>
        <v/>
      </c>
      <c r="I1221" s="1" t="str">
        <f t="shared" si="1223"/>
        <v/>
      </c>
      <c r="J1221" s="1" t="str">
        <f t="shared" si="3"/>
        <v/>
      </c>
      <c r="L1221" s="1" t="s">
        <v>3195</v>
      </c>
      <c r="M1221" s="1" t="str">
        <f t="shared" si="4"/>
        <v>46, 46, HAUNTER</v>
      </c>
    </row>
    <row r="1222" ht="12.75" customHeight="1">
      <c r="A1222" s="3" t="s">
        <v>3196</v>
      </c>
      <c r="B1222" s="3" t="str">
        <f t="shared" si="1"/>
        <v>41, 41, GOLBAT</v>
      </c>
      <c r="C1222" s="1" t="str">
        <f t="array" ref="C1222">IF(B1221="NEW ROUTE",TEXTSPLIT(B1222,","),"")</f>
        <v/>
      </c>
      <c r="H1222" s="1" t="str">
        <f t="shared" ref="H1222:I1222" si="1224">IF(C1222&lt;&gt;"",DEC2HEX(C1222,2),"")</f>
        <v/>
      </c>
      <c r="I1222" s="1" t="str">
        <f t="shared" si="1224"/>
        <v/>
      </c>
      <c r="J1222" s="1" t="str">
        <f t="shared" si="3"/>
        <v/>
      </c>
      <c r="L1222" s="1" t="s">
        <v>3196</v>
      </c>
      <c r="M1222" s="1" t="str">
        <f t="shared" si="4"/>
        <v>41, 41, GOLBAT</v>
      </c>
    </row>
    <row r="1223" ht="12.75" customHeight="1">
      <c r="A1223" s="3" t="s">
        <v>3197</v>
      </c>
      <c r="B1223" s="3" t="str">
        <f t="shared" si="1"/>
        <v>43, 43, GOLBAT</v>
      </c>
      <c r="C1223" s="1" t="str">
        <f t="array" ref="C1223">IF(B1222="NEW ROUTE",TEXTSPLIT(B1223,","),"")</f>
        <v/>
      </c>
      <c r="H1223" s="1" t="str">
        <f t="shared" ref="H1223:I1223" si="1225">IF(C1223&lt;&gt;"",DEC2HEX(C1223,2),"")</f>
        <v/>
      </c>
      <c r="I1223" s="1" t="str">
        <f t="shared" si="1225"/>
        <v/>
      </c>
      <c r="J1223" s="1" t="str">
        <f t="shared" si="3"/>
        <v/>
      </c>
      <c r="L1223" s="1" t="s">
        <v>3197</v>
      </c>
      <c r="M1223" s="1" t="str">
        <f t="shared" si="4"/>
        <v>43, 43, GOLBAT</v>
      </c>
    </row>
    <row r="1224" ht="12.75" customHeight="1">
      <c r="A1224" s="3" t="s">
        <v>2807</v>
      </c>
      <c r="B1224" s="3" t="str">
        <f t="shared" si="1"/>
        <v>0.05</v>
      </c>
      <c r="C1224" s="1" t="str">
        <f t="array" ref="C1224">IF(B1223="NEW ROUTE",TEXTSPLIT(B1224,","),"")</f>
        <v/>
      </c>
      <c r="H1224" s="1" t="str">
        <f t="shared" ref="H1224:I1224" si="1226">IF(C1224&lt;&gt;"",DEC2HEX(C1224,2),"")</f>
        <v/>
      </c>
      <c r="I1224" s="1" t="str">
        <f t="shared" si="1226"/>
        <v/>
      </c>
      <c r="J1224" s="1" t="str">
        <f t="shared" si="3"/>
        <v/>
      </c>
      <c r="L1224" s="1" t="s">
        <v>2807</v>
      </c>
      <c r="M1224" s="1" t="str">
        <f t="shared" si="4"/>
        <v>0.05</v>
      </c>
    </row>
    <row r="1225" ht="12.75" customHeight="1">
      <c r="A1225" s="3" t="s">
        <v>3198</v>
      </c>
      <c r="B1225" s="3" t="str">
        <f t="shared" si="1"/>
        <v>38, 38, GASTLY</v>
      </c>
      <c r="C1225" s="1" t="str">
        <f t="array" ref="C1225">IF(B1224="NEW ROUTE",TEXTSPLIT(B1225,","),"")</f>
        <v/>
      </c>
      <c r="H1225" s="1" t="str">
        <f t="shared" ref="H1225:I1225" si="1227">IF(C1225&lt;&gt;"",DEC2HEX(C1225,2),"")</f>
        <v/>
      </c>
      <c r="I1225" s="1" t="str">
        <f t="shared" si="1227"/>
        <v/>
      </c>
      <c r="J1225" s="1" t="str">
        <f t="shared" si="3"/>
        <v/>
      </c>
      <c r="L1225" s="1" t="s">
        <v>3198</v>
      </c>
      <c r="M1225" s="1" t="str">
        <f t="shared" si="4"/>
        <v>38, 38, GASTLY</v>
      </c>
    </row>
    <row r="1226" ht="12.75" customHeight="1">
      <c r="A1226" s="3" t="s">
        <v>3199</v>
      </c>
      <c r="B1226" s="3" t="str">
        <f t="shared" si="1"/>
        <v>48, 48, HAUNTER</v>
      </c>
      <c r="C1226" s="1" t="str">
        <f t="array" ref="C1226">IF(B1225="NEW ROUTE",TEXTSPLIT(B1226,","),"")</f>
        <v/>
      </c>
      <c r="H1226" s="1" t="str">
        <f t="shared" ref="H1226:I1226" si="1228">IF(C1226&lt;&gt;"",DEC2HEX(C1226,2),"")</f>
        <v/>
      </c>
      <c r="I1226" s="1" t="str">
        <f t="shared" si="1228"/>
        <v/>
      </c>
      <c r="J1226" s="1" t="str">
        <f t="shared" si="3"/>
        <v/>
      </c>
      <c r="L1226" s="1" t="s">
        <v>3199</v>
      </c>
      <c r="M1226" s="1" t="str">
        <f t="shared" si="4"/>
        <v>48, 48, HAUNTER</v>
      </c>
    </row>
    <row r="1227" ht="12.75" customHeight="1">
      <c r="A1227" s="3" t="s">
        <v>2810</v>
      </c>
      <c r="B1227" s="3" t="str">
        <f t="shared" si="1"/>
        <v>0.04</v>
      </c>
      <c r="C1227" s="1" t="str">
        <f t="array" ref="C1227">IF(B1226="NEW ROUTE",TEXTSPLIT(B1227,","),"")</f>
        <v/>
      </c>
      <c r="H1227" s="1" t="str">
        <f t="shared" ref="H1227:I1227" si="1229">IF(C1227&lt;&gt;"",DEC2HEX(C1227,2),"")</f>
        <v/>
      </c>
      <c r="I1227" s="1" t="str">
        <f t="shared" si="1229"/>
        <v/>
      </c>
      <c r="J1227" s="1" t="str">
        <f t="shared" si="3"/>
        <v/>
      </c>
      <c r="L1227" s="1" t="s">
        <v>2810</v>
      </c>
      <c r="M1227" s="1" t="str">
        <f t="shared" si="4"/>
        <v>0.04</v>
      </c>
    </row>
    <row r="1228" ht="12.75" customHeight="1">
      <c r="A1228" s="3" t="s">
        <v>3200</v>
      </c>
      <c r="B1228" s="3" t="str">
        <f t="shared" si="1"/>
        <v>50, 50, HAUNTER</v>
      </c>
      <c r="C1228" s="1" t="str">
        <f t="array" ref="C1228">IF(B1227="NEW ROUTE",TEXTSPLIT(B1228,","),"")</f>
        <v/>
      </c>
      <c r="H1228" s="1" t="str">
        <f t="shared" ref="H1228:I1228" si="1230">IF(C1228&lt;&gt;"",DEC2HEX(C1228,2),"")</f>
        <v/>
      </c>
      <c r="I1228" s="1" t="str">
        <f t="shared" si="1230"/>
        <v/>
      </c>
      <c r="J1228" s="1" t="str">
        <f t="shared" si="3"/>
        <v/>
      </c>
      <c r="L1228" s="1" t="s">
        <v>3200</v>
      </c>
      <c r="M1228" s="1" t="str">
        <f t="shared" si="4"/>
        <v>50, 50, HAUNTER</v>
      </c>
    </row>
    <row r="1229" ht="12.75" customHeight="1">
      <c r="A1229" s="3" t="s">
        <v>3201</v>
      </c>
      <c r="B1229" s="3" t="str">
        <f t="shared" si="1"/>
        <v>22, 22, MISDREAVUS</v>
      </c>
      <c r="C1229" s="1" t="str">
        <f t="array" ref="C1229">IF(B1228="NEW ROUTE",TEXTSPLIT(B1229,","),"")</f>
        <v/>
      </c>
      <c r="H1229" s="1" t="str">
        <f t="shared" ref="H1229:I1229" si="1231">IF(C1229&lt;&gt;"",DEC2HEX(C1229,2),"")</f>
        <v/>
      </c>
      <c r="I1229" s="1" t="str">
        <f t="shared" si="1231"/>
        <v/>
      </c>
      <c r="J1229" s="1" t="str">
        <f t="shared" si="3"/>
        <v/>
      </c>
      <c r="L1229" s="1" t="s">
        <v>3201</v>
      </c>
      <c r="M1229" s="1" t="str">
        <f t="shared" si="4"/>
        <v>22, 22, MISDREAVUS</v>
      </c>
    </row>
    <row r="1230" ht="12.75" customHeight="1">
      <c r="A1230" s="3" t="s">
        <v>2813</v>
      </c>
      <c r="B1230" s="3" t="str">
        <f t="shared" si="1"/>
        <v>0.01</v>
      </c>
      <c r="C1230" s="1" t="str">
        <f t="array" ref="C1230">IF(B1229="NEW ROUTE",TEXTSPLIT(B1230,","),"")</f>
        <v/>
      </c>
      <c r="H1230" s="1" t="str">
        <f t="shared" ref="H1230:I1230" si="1232">IF(C1230&lt;&gt;"",DEC2HEX(C1230,2),"")</f>
        <v/>
      </c>
      <c r="I1230" s="1" t="str">
        <f t="shared" si="1232"/>
        <v/>
      </c>
      <c r="J1230" s="1" t="str">
        <f t="shared" si="3"/>
        <v/>
      </c>
      <c r="L1230" s="1" t="s">
        <v>2813</v>
      </c>
      <c r="M1230" s="1" t="str">
        <f t="shared" si="4"/>
        <v>0.01</v>
      </c>
    </row>
    <row r="1231" ht="12.75" customHeight="1">
      <c r="A1231" s="3" t="s">
        <v>3202</v>
      </c>
      <c r="B1231" s="3" t="str">
        <f t="shared" si="1"/>
        <v>52, 52, HAUNTER</v>
      </c>
      <c r="C1231" s="1" t="str">
        <f t="array" ref="C1231">IF(B1230="NEW ROUTE",TEXTSPLIT(B1231,","),"")</f>
        <v/>
      </c>
      <c r="H1231" s="1" t="str">
        <f t="shared" ref="H1231:I1231" si="1233">IF(C1231&lt;&gt;"",DEC2HEX(C1231,2),"")</f>
        <v/>
      </c>
      <c r="I1231" s="1" t="str">
        <f t="shared" si="1233"/>
        <v/>
      </c>
      <c r="J1231" s="1" t="str">
        <f t="shared" si="3"/>
        <v/>
      </c>
      <c r="L1231" s="1" t="s">
        <v>3202</v>
      </c>
      <c r="M1231" s="1" t="str">
        <f t="shared" si="4"/>
        <v>52, 52, HAUNTER</v>
      </c>
    </row>
    <row r="1232" ht="12.75" customHeight="1">
      <c r="A1232" s="3" t="s">
        <v>3203</v>
      </c>
      <c r="B1232" s="3" t="str">
        <f t="shared" si="1"/>
        <v>22, 22, MISDREAVUS , &lt;null&gt;, &lt;null&gt;, &lt;null&gt;</v>
      </c>
      <c r="C1232" s="1" t="str">
        <f t="array" ref="C1232">IF(B1231="NEW ROUTE",TEXTSPLIT(B1232,","),"")</f>
        <v/>
      </c>
      <c r="H1232" s="1" t="str">
        <f t="shared" ref="H1232:I1232" si="1234">IF(C1232&lt;&gt;"",DEC2HEX(C1232,2),"")</f>
        <v/>
      </c>
      <c r="I1232" s="1" t="str">
        <f t="shared" si="1234"/>
        <v/>
      </c>
      <c r="J1232" s="1" t="str">
        <f t="shared" si="3"/>
        <v/>
      </c>
      <c r="L1232" s="1" t="s">
        <v>3203</v>
      </c>
      <c r="M1232" s="1" t="str">
        <f t="shared" si="4"/>
        <v>22, 22, MISDREAVUS , &lt;null&gt;, &lt;null&gt;, &lt;null&gt;</v>
      </c>
    </row>
    <row r="1233" ht="12.75" customHeight="1">
      <c r="A1233" s="3" t="s">
        <v>2539</v>
      </c>
      <c r="B1233" s="3" t="str">
        <f t="shared" si="1"/>
        <v>NEW ROUTE</v>
      </c>
      <c r="C1233" s="1" t="str">
        <f t="array" ref="C1233">IF(B1232="NEW ROUTE",TEXTSPLIT(B1233,","),"")</f>
        <v/>
      </c>
      <c r="H1233" s="1" t="str">
        <f t="shared" ref="H1233:I1233" si="1235">IF(C1233&lt;&gt;"",DEC2HEX(C1233,2),"")</f>
        <v/>
      </c>
      <c r="I1233" s="1" t="str">
        <f t="shared" si="1235"/>
        <v/>
      </c>
      <c r="J1233" s="1" t="str">
        <f t="shared" si="3"/>
        <v/>
      </c>
      <c r="L1233" s="1" t="s">
        <v>2539</v>
      </c>
      <c r="M1233" s="1" t="str">
        <f t="shared" si="4"/>
        <v>NEW ROUTE</v>
      </c>
    </row>
    <row r="1234" ht="12.75" customHeight="1">
      <c r="A1234" s="3" t="s">
        <v>3207</v>
      </c>
      <c r="B1234" s="3" t="str">
        <f t="shared" si="1"/>
        <v>2, 16, 0,</v>
      </c>
      <c r="C1234" s="1" t="str">
        <f t="array" ref="C1234">IF(B1233="NEW ROUTE",TEXTSPLIT(B1234,","),"")</f>
        <v>#NAME?</v>
      </c>
      <c r="H1234" s="1" t="str">
        <f t="shared" ref="H1234:I1234" si="1236">IF(C1234&lt;&gt;"",DEC2HEX(C1234,2),"")</f>
        <v>#NAME?</v>
      </c>
      <c r="I1234" s="1" t="str">
        <f t="shared" si="1236"/>
        <v/>
      </c>
      <c r="J1234" s="1" t="str">
        <f t="shared" si="3"/>
        <v>#NAME?</v>
      </c>
      <c r="L1234" s="1" t="s">
        <v>3207</v>
      </c>
      <c r="M1234" s="1" t="str">
        <f t="shared" si="4"/>
        <v>#NAME?</v>
      </c>
    </row>
    <row r="1235" ht="12.75" customHeight="1">
      <c r="A1235" s="3" t="s">
        <v>3050</v>
      </c>
      <c r="B1235" s="3" t="str">
        <f t="shared" si="1"/>
        <v>20%</v>
      </c>
      <c r="C1235" s="1" t="str">
        <f t="array" ref="C1235">IF(B1234="NEW ROUTE",TEXTSPLIT(B1235,","),"")</f>
        <v/>
      </c>
      <c r="H1235" s="1" t="str">
        <f t="shared" ref="H1235:I1235" si="1237">IF(C1235&lt;&gt;"",DEC2HEX(C1235,2),"")</f>
        <v/>
      </c>
      <c r="I1235" s="1" t="str">
        <f t="shared" si="1237"/>
        <v/>
      </c>
      <c r="J1235" s="1" t="str">
        <f t="shared" si="3"/>
        <v/>
      </c>
      <c r="L1235" s="1" t="s">
        <v>2799</v>
      </c>
      <c r="M1235" s="1" t="str">
        <f t="shared" si="4"/>
        <v>20%</v>
      </c>
    </row>
    <row r="1236" ht="12.75" customHeight="1">
      <c r="A1236" s="3" t="s">
        <v>789</v>
      </c>
      <c r="B1236" s="3" t="str">
        <f t="shared" si="1"/>
        <v>40, 40, GASTLY</v>
      </c>
      <c r="C1236" s="1" t="str">
        <f t="array" ref="C1236">IF(B1235="NEW ROUTE",TEXTSPLIT(B1236,","),"")</f>
        <v/>
      </c>
      <c r="H1236" s="1" t="str">
        <f t="shared" ref="H1236:I1236" si="1238">IF(C1236&lt;&gt;"",DEC2HEX(C1236,2),"")</f>
        <v/>
      </c>
      <c r="I1236" s="1" t="str">
        <f t="shared" si="1238"/>
        <v/>
      </c>
      <c r="J1236" s="1" t="str">
        <f t="shared" si="3"/>
        <v/>
      </c>
      <c r="L1236" s="1" t="s">
        <v>789</v>
      </c>
      <c r="M1236" s="1" t="str">
        <f t="shared" si="4"/>
        <v>40, 40, GASTLY</v>
      </c>
    </row>
    <row r="1237" ht="12.75" customHeight="1">
      <c r="A1237" s="3" t="s">
        <v>3193</v>
      </c>
      <c r="B1237" s="3" t="str">
        <f t="shared" si="1"/>
        <v>37, 37, ZUBAT</v>
      </c>
      <c r="C1237" s="1" t="str">
        <f t="array" ref="C1237">IF(B1236="NEW ROUTE",TEXTSPLIT(B1237,","),"")</f>
        <v/>
      </c>
      <c r="H1237" s="1" t="str">
        <f t="shared" ref="H1237:I1237" si="1239">IF(C1237&lt;&gt;"",DEC2HEX(C1237,2),"")</f>
        <v/>
      </c>
      <c r="I1237" s="1" t="str">
        <f t="shared" si="1239"/>
        <v/>
      </c>
      <c r="J1237" s="1" t="str">
        <f t="shared" si="3"/>
        <v/>
      </c>
      <c r="L1237" s="1" t="s">
        <v>3193</v>
      </c>
      <c r="M1237" s="1" t="str">
        <f t="shared" si="4"/>
        <v>37, 37, ZUBAT</v>
      </c>
    </row>
    <row r="1238" ht="12.75" customHeight="1">
      <c r="A1238" s="3" t="s">
        <v>2802</v>
      </c>
      <c r="B1238" s="3" t="str">
        <f t="shared" si="1"/>
        <v>0.1</v>
      </c>
      <c r="C1238" s="1" t="str">
        <f t="array" ref="C1238">IF(B1237="NEW ROUTE",TEXTSPLIT(B1238,","),"")</f>
        <v/>
      </c>
      <c r="H1238" s="1" t="str">
        <f t="shared" ref="H1238:I1238" si="1240">IF(C1238&lt;&gt;"",DEC2HEX(C1238,2),"")</f>
        <v/>
      </c>
      <c r="I1238" s="1" t="str">
        <f t="shared" si="1240"/>
        <v/>
      </c>
      <c r="J1238" s="1" t="str">
        <f t="shared" si="3"/>
        <v/>
      </c>
      <c r="L1238" s="1" t="s">
        <v>2802</v>
      </c>
      <c r="M1238" s="1" t="str">
        <f t="shared" si="4"/>
        <v>0.1</v>
      </c>
    </row>
    <row r="1239" ht="12.75" customHeight="1">
      <c r="A1239" s="3" t="s">
        <v>3194</v>
      </c>
      <c r="B1239" s="3" t="str">
        <f t="shared" si="1"/>
        <v>44, 44, HAUNTER</v>
      </c>
      <c r="C1239" s="1" t="str">
        <f t="array" ref="C1239">IF(B1238="NEW ROUTE",TEXTSPLIT(B1239,","),"")</f>
        <v/>
      </c>
      <c r="H1239" s="1" t="str">
        <f t="shared" ref="H1239:I1239" si="1241">IF(C1239&lt;&gt;"",DEC2HEX(C1239,2),"")</f>
        <v/>
      </c>
      <c r="I1239" s="1" t="str">
        <f t="shared" si="1241"/>
        <v/>
      </c>
      <c r="J1239" s="1" t="str">
        <f t="shared" si="3"/>
        <v/>
      </c>
      <c r="L1239" s="1" t="s">
        <v>3194</v>
      </c>
      <c r="M1239" s="1" t="str">
        <f t="shared" si="4"/>
        <v>44, 44, HAUNTER</v>
      </c>
    </row>
    <row r="1240" ht="12.75" customHeight="1">
      <c r="A1240" s="3" t="s">
        <v>3195</v>
      </c>
      <c r="B1240" s="3" t="str">
        <f t="shared" si="1"/>
        <v>46, 46, HAUNTER</v>
      </c>
      <c r="C1240" s="1" t="str">
        <f t="array" ref="C1240">IF(B1239="NEW ROUTE",TEXTSPLIT(B1240,","),"")</f>
        <v/>
      </c>
      <c r="H1240" s="1" t="str">
        <f t="shared" ref="H1240:I1240" si="1242">IF(C1240&lt;&gt;"",DEC2HEX(C1240,2),"")</f>
        <v/>
      </c>
      <c r="I1240" s="1" t="str">
        <f t="shared" si="1242"/>
        <v/>
      </c>
      <c r="J1240" s="1" t="str">
        <f t="shared" si="3"/>
        <v/>
      </c>
      <c r="L1240" s="1" t="s">
        <v>3195</v>
      </c>
      <c r="M1240" s="1" t="str">
        <f t="shared" si="4"/>
        <v>46, 46, HAUNTER</v>
      </c>
    </row>
    <row r="1241" ht="12.75" customHeight="1">
      <c r="A1241" s="3" t="s">
        <v>3196</v>
      </c>
      <c r="B1241" s="3" t="str">
        <f t="shared" si="1"/>
        <v>41, 41, GOLBAT</v>
      </c>
      <c r="C1241" s="1" t="str">
        <f t="array" ref="C1241">IF(B1240="NEW ROUTE",TEXTSPLIT(B1241,","),"")</f>
        <v/>
      </c>
      <c r="H1241" s="1" t="str">
        <f t="shared" ref="H1241:I1241" si="1243">IF(C1241&lt;&gt;"",DEC2HEX(C1241,2),"")</f>
        <v/>
      </c>
      <c r="I1241" s="1" t="str">
        <f t="shared" si="1243"/>
        <v/>
      </c>
      <c r="J1241" s="1" t="str">
        <f t="shared" si="3"/>
        <v/>
      </c>
      <c r="L1241" s="1" t="s">
        <v>3196</v>
      </c>
      <c r="M1241" s="1" t="str">
        <f t="shared" si="4"/>
        <v>41, 41, GOLBAT</v>
      </c>
    </row>
    <row r="1242" ht="12.75" customHeight="1">
      <c r="A1242" s="3" t="s">
        <v>3197</v>
      </c>
      <c r="B1242" s="3" t="str">
        <f t="shared" si="1"/>
        <v>43, 43, GOLBAT</v>
      </c>
      <c r="C1242" s="1" t="str">
        <f t="array" ref="C1242">IF(B1241="NEW ROUTE",TEXTSPLIT(B1242,","),"")</f>
        <v/>
      </c>
      <c r="H1242" s="1" t="str">
        <f t="shared" ref="H1242:I1242" si="1244">IF(C1242&lt;&gt;"",DEC2HEX(C1242,2),"")</f>
        <v/>
      </c>
      <c r="I1242" s="1" t="str">
        <f t="shared" si="1244"/>
        <v/>
      </c>
      <c r="J1242" s="1" t="str">
        <f t="shared" si="3"/>
        <v/>
      </c>
      <c r="L1242" s="1" t="s">
        <v>3197</v>
      </c>
      <c r="M1242" s="1" t="str">
        <f t="shared" si="4"/>
        <v>43, 43, GOLBAT</v>
      </c>
    </row>
    <row r="1243" ht="12.75" customHeight="1">
      <c r="A1243" s="3" t="s">
        <v>2807</v>
      </c>
      <c r="B1243" s="3" t="str">
        <f t="shared" si="1"/>
        <v>0.05</v>
      </c>
      <c r="C1243" s="1" t="str">
        <f t="array" ref="C1243">IF(B1242="NEW ROUTE",TEXTSPLIT(B1243,","),"")</f>
        <v/>
      </c>
      <c r="H1243" s="1" t="str">
        <f t="shared" ref="H1243:I1243" si="1245">IF(C1243&lt;&gt;"",DEC2HEX(C1243,2),"")</f>
        <v/>
      </c>
      <c r="I1243" s="1" t="str">
        <f t="shared" si="1245"/>
        <v/>
      </c>
      <c r="J1243" s="1" t="str">
        <f t="shared" si="3"/>
        <v/>
      </c>
      <c r="L1243" s="1" t="s">
        <v>2807</v>
      </c>
      <c r="M1243" s="1" t="str">
        <f t="shared" si="4"/>
        <v>0.05</v>
      </c>
    </row>
    <row r="1244" ht="12.75" customHeight="1">
      <c r="A1244" s="3" t="s">
        <v>3198</v>
      </c>
      <c r="B1244" s="3" t="str">
        <f t="shared" si="1"/>
        <v>38, 38, GASTLY</v>
      </c>
      <c r="C1244" s="1" t="str">
        <f t="array" ref="C1244">IF(B1243="NEW ROUTE",TEXTSPLIT(B1244,","),"")</f>
        <v/>
      </c>
      <c r="H1244" s="1" t="str">
        <f t="shared" ref="H1244:I1244" si="1246">IF(C1244&lt;&gt;"",DEC2HEX(C1244,2),"")</f>
        <v/>
      </c>
      <c r="I1244" s="1" t="str">
        <f t="shared" si="1246"/>
        <v/>
      </c>
      <c r="J1244" s="1" t="str">
        <f t="shared" si="3"/>
        <v/>
      </c>
      <c r="L1244" s="1" t="s">
        <v>3198</v>
      </c>
      <c r="M1244" s="1" t="str">
        <f t="shared" si="4"/>
        <v>38, 38, GASTLY</v>
      </c>
    </row>
    <row r="1245" ht="12.75" customHeight="1">
      <c r="A1245" s="3" t="s">
        <v>3199</v>
      </c>
      <c r="B1245" s="3" t="str">
        <f t="shared" si="1"/>
        <v>48, 48, HAUNTER</v>
      </c>
      <c r="C1245" s="1" t="str">
        <f t="array" ref="C1245">IF(B1244="NEW ROUTE",TEXTSPLIT(B1245,","),"")</f>
        <v/>
      </c>
      <c r="H1245" s="1" t="str">
        <f t="shared" ref="H1245:I1245" si="1247">IF(C1245&lt;&gt;"",DEC2HEX(C1245,2),"")</f>
        <v/>
      </c>
      <c r="I1245" s="1" t="str">
        <f t="shared" si="1247"/>
        <v/>
      </c>
      <c r="J1245" s="1" t="str">
        <f t="shared" si="3"/>
        <v/>
      </c>
      <c r="L1245" s="1" t="s">
        <v>3199</v>
      </c>
      <c r="M1245" s="1" t="str">
        <f t="shared" si="4"/>
        <v>48, 48, HAUNTER</v>
      </c>
    </row>
    <row r="1246" ht="12.75" customHeight="1">
      <c r="A1246" s="3" t="s">
        <v>2810</v>
      </c>
      <c r="B1246" s="3" t="str">
        <f t="shared" si="1"/>
        <v>0.04</v>
      </c>
      <c r="C1246" s="1" t="str">
        <f t="array" ref="C1246">IF(B1245="NEW ROUTE",TEXTSPLIT(B1246,","),"")</f>
        <v/>
      </c>
      <c r="H1246" s="1" t="str">
        <f t="shared" ref="H1246:I1246" si="1248">IF(C1246&lt;&gt;"",DEC2HEX(C1246,2),"")</f>
        <v/>
      </c>
      <c r="I1246" s="1" t="str">
        <f t="shared" si="1248"/>
        <v/>
      </c>
      <c r="J1246" s="1" t="str">
        <f t="shared" si="3"/>
        <v/>
      </c>
      <c r="L1246" s="1" t="s">
        <v>2810</v>
      </c>
      <c r="M1246" s="1" t="str">
        <f t="shared" si="4"/>
        <v>0.04</v>
      </c>
    </row>
    <row r="1247" ht="12.75" customHeight="1">
      <c r="A1247" s="3" t="s">
        <v>3200</v>
      </c>
      <c r="B1247" s="3" t="str">
        <f t="shared" si="1"/>
        <v>50, 50, HAUNTER</v>
      </c>
      <c r="C1247" s="1" t="str">
        <f t="array" ref="C1247">IF(B1246="NEW ROUTE",TEXTSPLIT(B1247,","),"")</f>
        <v/>
      </c>
      <c r="H1247" s="1" t="str">
        <f t="shared" ref="H1247:I1247" si="1249">IF(C1247&lt;&gt;"",DEC2HEX(C1247,2),"")</f>
        <v/>
      </c>
      <c r="I1247" s="1" t="str">
        <f t="shared" si="1249"/>
        <v/>
      </c>
      <c r="J1247" s="1" t="str">
        <f t="shared" si="3"/>
        <v/>
      </c>
      <c r="L1247" s="1" t="s">
        <v>3200</v>
      </c>
      <c r="M1247" s="1" t="str">
        <f t="shared" si="4"/>
        <v>50, 50, HAUNTER</v>
      </c>
    </row>
    <row r="1248" ht="12.75" customHeight="1">
      <c r="A1248" s="3" t="s">
        <v>3201</v>
      </c>
      <c r="B1248" s="3" t="str">
        <f t="shared" si="1"/>
        <v>22, 22, MISDREAVUS</v>
      </c>
      <c r="C1248" s="1" t="str">
        <f t="array" ref="C1248">IF(B1247="NEW ROUTE",TEXTSPLIT(B1248,","),"")</f>
        <v/>
      </c>
      <c r="H1248" s="1" t="str">
        <f t="shared" ref="H1248:I1248" si="1250">IF(C1248&lt;&gt;"",DEC2HEX(C1248,2),"")</f>
        <v/>
      </c>
      <c r="I1248" s="1" t="str">
        <f t="shared" si="1250"/>
        <v/>
      </c>
      <c r="J1248" s="1" t="str">
        <f t="shared" si="3"/>
        <v/>
      </c>
      <c r="L1248" s="1" t="s">
        <v>3201</v>
      </c>
      <c r="M1248" s="1" t="str">
        <f t="shared" si="4"/>
        <v>22, 22, MISDREAVUS</v>
      </c>
    </row>
    <row r="1249" ht="12.75" customHeight="1">
      <c r="A1249" s="3" t="s">
        <v>2813</v>
      </c>
      <c r="B1249" s="3" t="str">
        <f t="shared" si="1"/>
        <v>0.01</v>
      </c>
      <c r="C1249" s="1" t="str">
        <f t="array" ref="C1249">IF(B1248="NEW ROUTE",TEXTSPLIT(B1249,","),"")</f>
        <v/>
      </c>
      <c r="H1249" s="1" t="str">
        <f t="shared" ref="H1249:I1249" si="1251">IF(C1249&lt;&gt;"",DEC2HEX(C1249,2),"")</f>
        <v/>
      </c>
      <c r="I1249" s="1" t="str">
        <f t="shared" si="1251"/>
        <v/>
      </c>
      <c r="J1249" s="1" t="str">
        <f t="shared" si="3"/>
        <v/>
      </c>
      <c r="L1249" s="1" t="s">
        <v>2813</v>
      </c>
      <c r="M1249" s="1" t="str">
        <f t="shared" si="4"/>
        <v>0.01</v>
      </c>
    </row>
    <row r="1250" ht="12.75" customHeight="1">
      <c r="A1250" s="3" t="s">
        <v>3202</v>
      </c>
      <c r="B1250" s="3" t="str">
        <f t="shared" si="1"/>
        <v>52, 52, HAUNTER</v>
      </c>
      <c r="C1250" s="1" t="str">
        <f t="array" ref="C1250">IF(B1249="NEW ROUTE",TEXTSPLIT(B1250,","),"")</f>
        <v/>
      </c>
      <c r="H1250" s="1" t="str">
        <f t="shared" ref="H1250:I1250" si="1252">IF(C1250&lt;&gt;"",DEC2HEX(C1250,2),"")</f>
        <v/>
      </c>
      <c r="I1250" s="1" t="str">
        <f t="shared" si="1252"/>
        <v/>
      </c>
      <c r="J1250" s="1" t="str">
        <f t="shared" si="3"/>
        <v/>
      </c>
      <c r="L1250" s="1" t="s">
        <v>3202</v>
      </c>
      <c r="M1250" s="1" t="str">
        <f t="shared" si="4"/>
        <v>52, 52, HAUNTER</v>
      </c>
    </row>
    <row r="1251" ht="12.75" customHeight="1">
      <c r="A1251" s="3" t="s">
        <v>3203</v>
      </c>
      <c r="B1251" s="3" t="str">
        <f t="shared" si="1"/>
        <v>22, 22, MISDREAVUS , &lt;null&gt;, &lt;null&gt;, &lt;null&gt;</v>
      </c>
      <c r="C1251" s="1" t="str">
        <f t="array" ref="C1251">IF(B1250="NEW ROUTE",TEXTSPLIT(B1251,","),"")</f>
        <v/>
      </c>
      <c r="H1251" s="1" t="str">
        <f t="shared" ref="H1251:I1251" si="1253">IF(C1251&lt;&gt;"",DEC2HEX(C1251,2),"")</f>
        <v/>
      </c>
      <c r="I1251" s="1" t="str">
        <f t="shared" si="1253"/>
        <v/>
      </c>
      <c r="J1251" s="1" t="str">
        <f t="shared" si="3"/>
        <v/>
      </c>
      <c r="L1251" s="1" t="s">
        <v>3203</v>
      </c>
      <c r="M1251" s="1" t="str">
        <f t="shared" si="4"/>
        <v>22, 22, MISDREAVUS , &lt;null&gt;, &lt;null&gt;, &lt;null&gt;</v>
      </c>
    </row>
    <row r="1252" ht="12.75" customHeight="1">
      <c r="A1252" s="3" t="s">
        <v>2539</v>
      </c>
      <c r="B1252" s="3" t="str">
        <f t="shared" si="1"/>
        <v>NEW ROUTE</v>
      </c>
      <c r="C1252" s="1" t="str">
        <f t="array" ref="C1252">IF(B1251="NEW ROUTE",TEXTSPLIT(B1252,","),"")</f>
        <v/>
      </c>
      <c r="H1252" s="1" t="str">
        <f t="shared" ref="H1252:I1252" si="1254">IF(C1252&lt;&gt;"",DEC2HEX(C1252,2),"")</f>
        <v/>
      </c>
      <c r="I1252" s="1" t="str">
        <f t="shared" si="1254"/>
        <v/>
      </c>
      <c r="J1252" s="1" t="str">
        <f t="shared" si="3"/>
        <v/>
      </c>
      <c r="L1252" s="1" t="s">
        <v>2539</v>
      </c>
      <c r="M1252" s="1" t="str">
        <f t="shared" si="4"/>
        <v>NEW ROUTE</v>
      </c>
    </row>
    <row r="1253" ht="12.75" customHeight="1">
      <c r="A1253" s="3" t="s">
        <v>3208</v>
      </c>
      <c r="B1253" s="3" t="str">
        <f t="shared" si="1"/>
        <v>2, 17, 0,</v>
      </c>
      <c r="C1253" s="1" t="str">
        <f t="array" ref="C1253">IF(B1252="NEW ROUTE",TEXTSPLIT(B1253,","),"")</f>
        <v>#NAME?</v>
      </c>
      <c r="H1253" s="1" t="str">
        <f t="shared" ref="H1253:I1253" si="1255">IF(C1253&lt;&gt;"",DEC2HEX(C1253,2),"")</f>
        <v>#NAME?</v>
      </c>
      <c r="I1253" s="1" t="str">
        <f t="shared" si="1255"/>
        <v/>
      </c>
      <c r="J1253" s="1" t="str">
        <f t="shared" si="3"/>
        <v>#NAME?</v>
      </c>
      <c r="L1253" s="1" t="s">
        <v>3208</v>
      </c>
      <c r="M1253" s="1" t="str">
        <f t="shared" si="4"/>
        <v>#NAME?</v>
      </c>
    </row>
    <row r="1254" ht="12.75" customHeight="1">
      <c r="A1254" s="3" t="s">
        <v>2824</v>
      </c>
      <c r="B1254" s="3" t="str">
        <f t="shared" si="1"/>
        <v>20%</v>
      </c>
      <c r="C1254" s="1" t="str">
        <f t="array" ref="C1254">IF(B1253="NEW ROUTE",TEXTSPLIT(B1254,","),"")</f>
        <v/>
      </c>
      <c r="H1254" s="1" t="str">
        <f t="shared" ref="H1254:I1254" si="1256">IF(C1254&lt;&gt;"",DEC2HEX(C1254,2),"")</f>
        <v/>
      </c>
      <c r="I1254" s="1" t="str">
        <f t="shared" si="1256"/>
        <v/>
      </c>
      <c r="J1254" s="1" t="str">
        <f t="shared" si="3"/>
        <v/>
      </c>
      <c r="L1254" s="1" t="s">
        <v>2799</v>
      </c>
      <c r="M1254" s="1" t="str">
        <f t="shared" si="4"/>
        <v>20%</v>
      </c>
    </row>
    <row r="1255" ht="12.75" customHeight="1">
      <c r="A1255" s="3" t="s">
        <v>789</v>
      </c>
      <c r="B1255" s="3" t="str">
        <f t="shared" si="1"/>
        <v>40, 40, GASTLY</v>
      </c>
      <c r="C1255" s="1" t="str">
        <f t="array" ref="C1255">IF(B1254="NEW ROUTE",TEXTSPLIT(B1255,","),"")</f>
        <v/>
      </c>
      <c r="H1255" s="1" t="str">
        <f t="shared" ref="H1255:I1255" si="1257">IF(C1255&lt;&gt;"",DEC2HEX(C1255,2),"")</f>
        <v/>
      </c>
      <c r="I1255" s="1" t="str">
        <f t="shared" si="1257"/>
        <v/>
      </c>
      <c r="J1255" s="1" t="str">
        <f t="shared" si="3"/>
        <v/>
      </c>
      <c r="L1255" s="1" t="s">
        <v>789</v>
      </c>
      <c r="M1255" s="1" t="str">
        <f t="shared" si="4"/>
        <v>40, 40, GASTLY</v>
      </c>
    </row>
    <row r="1256" ht="12.75" customHeight="1">
      <c r="A1256" s="3" t="s">
        <v>3193</v>
      </c>
      <c r="B1256" s="3" t="str">
        <f t="shared" si="1"/>
        <v>37, 37, ZUBAT</v>
      </c>
      <c r="C1256" s="1" t="str">
        <f t="array" ref="C1256">IF(B1255="NEW ROUTE",TEXTSPLIT(B1256,","),"")</f>
        <v/>
      </c>
      <c r="H1256" s="1" t="str">
        <f t="shared" ref="H1256:I1256" si="1258">IF(C1256&lt;&gt;"",DEC2HEX(C1256,2),"")</f>
        <v/>
      </c>
      <c r="I1256" s="1" t="str">
        <f t="shared" si="1258"/>
        <v/>
      </c>
      <c r="J1256" s="1" t="str">
        <f t="shared" si="3"/>
        <v/>
      </c>
      <c r="L1256" s="1" t="s">
        <v>3193</v>
      </c>
      <c r="M1256" s="1" t="str">
        <f t="shared" si="4"/>
        <v>37, 37, ZUBAT</v>
      </c>
    </row>
    <row r="1257" ht="12.75" customHeight="1">
      <c r="A1257" s="3" t="s">
        <v>2802</v>
      </c>
      <c r="B1257" s="3" t="str">
        <f t="shared" si="1"/>
        <v>0.1</v>
      </c>
      <c r="C1257" s="1" t="str">
        <f t="array" ref="C1257">IF(B1256="NEW ROUTE",TEXTSPLIT(B1257,","),"")</f>
        <v/>
      </c>
      <c r="H1257" s="1" t="str">
        <f t="shared" ref="H1257:I1257" si="1259">IF(C1257&lt;&gt;"",DEC2HEX(C1257,2),"")</f>
        <v/>
      </c>
      <c r="I1257" s="1" t="str">
        <f t="shared" si="1259"/>
        <v/>
      </c>
      <c r="J1257" s="1" t="str">
        <f t="shared" si="3"/>
        <v/>
      </c>
      <c r="L1257" s="1" t="s">
        <v>2802</v>
      </c>
      <c r="M1257" s="1" t="str">
        <f t="shared" si="4"/>
        <v>0.1</v>
      </c>
    </row>
    <row r="1258" ht="12.75" customHeight="1">
      <c r="A1258" s="3" t="s">
        <v>3194</v>
      </c>
      <c r="B1258" s="3" t="str">
        <f t="shared" si="1"/>
        <v>44, 44, HAUNTER</v>
      </c>
      <c r="C1258" s="1" t="str">
        <f t="array" ref="C1258">IF(B1257="NEW ROUTE",TEXTSPLIT(B1258,","),"")</f>
        <v/>
      </c>
      <c r="H1258" s="1" t="str">
        <f t="shared" ref="H1258:I1258" si="1260">IF(C1258&lt;&gt;"",DEC2HEX(C1258,2),"")</f>
        <v/>
      </c>
      <c r="I1258" s="1" t="str">
        <f t="shared" si="1260"/>
        <v/>
      </c>
      <c r="J1258" s="1" t="str">
        <f t="shared" si="3"/>
        <v/>
      </c>
      <c r="L1258" s="1" t="s">
        <v>3194</v>
      </c>
      <c r="M1258" s="1" t="str">
        <f t="shared" si="4"/>
        <v>44, 44, HAUNTER</v>
      </c>
    </row>
    <row r="1259" ht="12.75" customHeight="1">
      <c r="A1259" s="3" t="s">
        <v>3195</v>
      </c>
      <c r="B1259" s="3" t="str">
        <f t="shared" si="1"/>
        <v>46, 46, HAUNTER</v>
      </c>
      <c r="C1259" s="1" t="str">
        <f t="array" ref="C1259">IF(B1258="NEW ROUTE",TEXTSPLIT(B1259,","),"")</f>
        <v/>
      </c>
      <c r="H1259" s="1" t="str">
        <f t="shared" ref="H1259:I1259" si="1261">IF(C1259&lt;&gt;"",DEC2HEX(C1259,2),"")</f>
        <v/>
      </c>
      <c r="I1259" s="1" t="str">
        <f t="shared" si="1261"/>
        <v/>
      </c>
      <c r="J1259" s="1" t="str">
        <f t="shared" si="3"/>
        <v/>
      </c>
      <c r="L1259" s="1" t="s">
        <v>3195</v>
      </c>
      <c r="M1259" s="1" t="str">
        <f t="shared" si="4"/>
        <v>46, 46, HAUNTER</v>
      </c>
    </row>
    <row r="1260" ht="12.75" customHeight="1">
      <c r="A1260" s="3" t="s">
        <v>3196</v>
      </c>
      <c r="B1260" s="3" t="str">
        <f t="shared" si="1"/>
        <v>41, 41, GOLBAT</v>
      </c>
      <c r="C1260" s="1" t="str">
        <f t="array" ref="C1260">IF(B1259="NEW ROUTE",TEXTSPLIT(B1260,","),"")</f>
        <v/>
      </c>
      <c r="H1260" s="1" t="str">
        <f t="shared" ref="H1260:I1260" si="1262">IF(C1260&lt;&gt;"",DEC2HEX(C1260,2),"")</f>
        <v/>
      </c>
      <c r="I1260" s="1" t="str">
        <f t="shared" si="1262"/>
        <v/>
      </c>
      <c r="J1260" s="1" t="str">
        <f t="shared" si="3"/>
        <v/>
      </c>
      <c r="L1260" s="1" t="s">
        <v>3196</v>
      </c>
      <c r="M1260" s="1" t="str">
        <f t="shared" si="4"/>
        <v>41, 41, GOLBAT</v>
      </c>
    </row>
    <row r="1261" ht="12.75" customHeight="1">
      <c r="A1261" s="3" t="s">
        <v>3197</v>
      </c>
      <c r="B1261" s="3" t="str">
        <f t="shared" si="1"/>
        <v>43, 43, GOLBAT</v>
      </c>
      <c r="C1261" s="1" t="str">
        <f t="array" ref="C1261">IF(B1260="NEW ROUTE",TEXTSPLIT(B1261,","),"")</f>
        <v/>
      </c>
      <c r="H1261" s="1" t="str">
        <f t="shared" ref="H1261:I1261" si="1263">IF(C1261&lt;&gt;"",DEC2HEX(C1261,2),"")</f>
        <v/>
      </c>
      <c r="I1261" s="1" t="str">
        <f t="shared" si="1263"/>
        <v/>
      </c>
      <c r="J1261" s="1" t="str">
        <f t="shared" si="3"/>
        <v/>
      </c>
      <c r="L1261" s="1" t="s">
        <v>3197</v>
      </c>
      <c r="M1261" s="1" t="str">
        <f t="shared" si="4"/>
        <v>43, 43, GOLBAT</v>
      </c>
    </row>
    <row r="1262" ht="12.75" customHeight="1">
      <c r="A1262" s="3" t="s">
        <v>2807</v>
      </c>
      <c r="B1262" s="3" t="str">
        <f t="shared" si="1"/>
        <v>0.05</v>
      </c>
      <c r="C1262" s="1" t="str">
        <f t="array" ref="C1262">IF(B1261="NEW ROUTE",TEXTSPLIT(B1262,","),"")</f>
        <v/>
      </c>
      <c r="H1262" s="1" t="str">
        <f t="shared" ref="H1262:I1262" si="1264">IF(C1262&lt;&gt;"",DEC2HEX(C1262,2),"")</f>
        <v/>
      </c>
      <c r="I1262" s="1" t="str">
        <f t="shared" si="1264"/>
        <v/>
      </c>
      <c r="J1262" s="1" t="str">
        <f t="shared" si="3"/>
        <v/>
      </c>
      <c r="L1262" s="1" t="s">
        <v>2807</v>
      </c>
      <c r="M1262" s="1" t="str">
        <f t="shared" si="4"/>
        <v>0.05</v>
      </c>
    </row>
    <row r="1263" ht="12.75" customHeight="1">
      <c r="A1263" s="3" t="s">
        <v>3198</v>
      </c>
      <c r="B1263" s="3" t="str">
        <f t="shared" si="1"/>
        <v>38, 38, GASTLY</v>
      </c>
      <c r="C1263" s="1" t="str">
        <f t="array" ref="C1263">IF(B1262="NEW ROUTE",TEXTSPLIT(B1263,","),"")</f>
        <v/>
      </c>
      <c r="H1263" s="1" t="str">
        <f t="shared" ref="H1263:I1263" si="1265">IF(C1263&lt;&gt;"",DEC2HEX(C1263,2),"")</f>
        <v/>
      </c>
      <c r="I1263" s="1" t="str">
        <f t="shared" si="1265"/>
        <v/>
      </c>
      <c r="J1263" s="1" t="str">
        <f t="shared" si="3"/>
        <v/>
      </c>
      <c r="L1263" s="1" t="s">
        <v>3198</v>
      </c>
      <c r="M1263" s="1" t="str">
        <f t="shared" si="4"/>
        <v>38, 38, GASTLY</v>
      </c>
    </row>
    <row r="1264" ht="12.75" customHeight="1">
      <c r="A1264" s="3" t="s">
        <v>3199</v>
      </c>
      <c r="B1264" s="3" t="str">
        <f t="shared" si="1"/>
        <v>48, 48, HAUNTER</v>
      </c>
      <c r="C1264" s="1" t="str">
        <f t="array" ref="C1264">IF(B1263="NEW ROUTE",TEXTSPLIT(B1264,","),"")</f>
        <v/>
      </c>
      <c r="H1264" s="1" t="str">
        <f t="shared" ref="H1264:I1264" si="1266">IF(C1264&lt;&gt;"",DEC2HEX(C1264,2),"")</f>
        <v/>
      </c>
      <c r="I1264" s="1" t="str">
        <f t="shared" si="1266"/>
        <v/>
      </c>
      <c r="J1264" s="1" t="str">
        <f t="shared" si="3"/>
        <v/>
      </c>
      <c r="L1264" s="1" t="s">
        <v>3199</v>
      </c>
      <c r="M1264" s="1" t="str">
        <f t="shared" si="4"/>
        <v>48, 48, HAUNTER</v>
      </c>
    </row>
    <row r="1265" ht="12.75" customHeight="1">
      <c r="A1265" s="3" t="s">
        <v>2810</v>
      </c>
      <c r="B1265" s="3" t="str">
        <f t="shared" si="1"/>
        <v>0.04</v>
      </c>
      <c r="C1265" s="1" t="str">
        <f t="array" ref="C1265">IF(B1264="NEW ROUTE",TEXTSPLIT(B1265,","),"")</f>
        <v/>
      </c>
      <c r="H1265" s="1" t="str">
        <f t="shared" ref="H1265:I1265" si="1267">IF(C1265&lt;&gt;"",DEC2HEX(C1265,2),"")</f>
        <v/>
      </c>
      <c r="I1265" s="1" t="str">
        <f t="shared" si="1267"/>
        <v/>
      </c>
      <c r="J1265" s="1" t="str">
        <f t="shared" si="3"/>
        <v/>
      </c>
      <c r="L1265" s="1" t="s">
        <v>2810</v>
      </c>
      <c r="M1265" s="1" t="str">
        <f t="shared" si="4"/>
        <v>0.04</v>
      </c>
    </row>
    <row r="1266" ht="12.75" customHeight="1">
      <c r="A1266" s="3" t="s">
        <v>3200</v>
      </c>
      <c r="B1266" s="3" t="str">
        <f t="shared" si="1"/>
        <v>50, 50, HAUNTER</v>
      </c>
      <c r="C1266" s="1" t="str">
        <f t="array" ref="C1266">IF(B1265="NEW ROUTE",TEXTSPLIT(B1266,","),"")</f>
        <v/>
      </c>
      <c r="H1266" s="1" t="str">
        <f t="shared" ref="H1266:I1266" si="1268">IF(C1266&lt;&gt;"",DEC2HEX(C1266,2),"")</f>
        <v/>
      </c>
      <c r="I1266" s="1" t="str">
        <f t="shared" si="1268"/>
        <v/>
      </c>
      <c r="J1266" s="1" t="str">
        <f t="shared" si="3"/>
        <v/>
      </c>
      <c r="L1266" s="1" t="s">
        <v>3200</v>
      </c>
      <c r="M1266" s="1" t="str">
        <f t="shared" si="4"/>
        <v>50, 50, HAUNTER</v>
      </c>
    </row>
    <row r="1267" ht="12.75" customHeight="1">
      <c r="A1267" s="3" t="s">
        <v>3201</v>
      </c>
      <c r="B1267" s="3" t="str">
        <f t="shared" si="1"/>
        <v>22, 22, MISDREAVUS</v>
      </c>
      <c r="C1267" s="1" t="str">
        <f t="array" ref="C1267">IF(B1266="NEW ROUTE",TEXTSPLIT(B1267,","),"")</f>
        <v/>
      </c>
      <c r="H1267" s="1" t="str">
        <f t="shared" ref="H1267:I1267" si="1269">IF(C1267&lt;&gt;"",DEC2HEX(C1267,2),"")</f>
        <v/>
      </c>
      <c r="I1267" s="1" t="str">
        <f t="shared" si="1269"/>
        <v/>
      </c>
      <c r="J1267" s="1" t="str">
        <f t="shared" si="3"/>
        <v/>
      </c>
      <c r="L1267" s="1" t="s">
        <v>3201</v>
      </c>
      <c r="M1267" s="1" t="str">
        <f t="shared" si="4"/>
        <v>22, 22, MISDREAVUS</v>
      </c>
    </row>
    <row r="1268" ht="12.75" customHeight="1">
      <c r="A1268" s="3" t="s">
        <v>2813</v>
      </c>
      <c r="B1268" s="3" t="str">
        <f t="shared" si="1"/>
        <v>0.01</v>
      </c>
      <c r="C1268" s="1" t="str">
        <f t="array" ref="C1268">IF(B1267="NEW ROUTE",TEXTSPLIT(B1268,","),"")</f>
        <v/>
      </c>
      <c r="H1268" s="1" t="str">
        <f t="shared" ref="H1268:I1268" si="1270">IF(C1268&lt;&gt;"",DEC2HEX(C1268,2),"")</f>
        <v/>
      </c>
      <c r="I1268" s="1" t="str">
        <f t="shared" si="1270"/>
        <v/>
      </c>
      <c r="J1268" s="1" t="str">
        <f t="shared" si="3"/>
        <v/>
      </c>
      <c r="L1268" s="1" t="s">
        <v>2813</v>
      </c>
      <c r="M1268" s="1" t="str">
        <f t="shared" si="4"/>
        <v>0.01</v>
      </c>
    </row>
    <row r="1269" ht="12.75" customHeight="1">
      <c r="A1269" s="3" t="s">
        <v>3202</v>
      </c>
      <c r="B1269" s="3" t="str">
        <f t="shared" si="1"/>
        <v>52, 52, HAUNTER</v>
      </c>
      <c r="C1269" s="1" t="str">
        <f t="array" ref="C1269">IF(B1268="NEW ROUTE",TEXTSPLIT(B1269,","),"")</f>
        <v/>
      </c>
      <c r="H1269" s="1" t="str">
        <f t="shared" ref="H1269:I1269" si="1271">IF(C1269&lt;&gt;"",DEC2HEX(C1269,2),"")</f>
        <v/>
      </c>
      <c r="I1269" s="1" t="str">
        <f t="shared" si="1271"/>
        <v/>
      </c>
      <c r="J1269" s="1" t="str">
        <f t="shared" si="3"/>
        <v/>
      </c>
      <c r="L1269" s="1" t="s">
        <v>3202</v>
      </c>
      <c r="M1269" s="1" t="str">
        <f t="shared" si="4"/>
        <v>52, 52, HAUNTER</v>
      </c>
    </row>
    <row r="1270" ht="12.75" customHeight="1">
      <c r="A1270" s="3" t="s">
        <v>3203</v>
      </c>
      <c r="B1270" s="3" t="str">
        <f t="shared" si="1"/>
        <v>22, 22, MISDREAVUS , &lt;null&gt;, &lt;null&gt;, &lt;null&gt;</v>
      </c>
      <c r="C1270" s="1" t="str">
        <f t="array" ref="C1270">IF(B1269="NEW ROUTE",TEXTSPLIT(B1270,","),"")</f>
        <v/>
      </c>
      <c r="H1270" s="1" t="str">
        <f t="shared" ref="H1270:I1270" si="1272">IF(C1270&lt;&gt;"",DEC2HEX(C1270,2),"")</f>
        <v/>
      </c>
      <c r="I1270" s="1" t="str">
        <f t="shared" si="1272"/>
        <v/>
      </c>
      <c r="J1270" s="1" t="str">
        <f t="shared" si="3"/>
        <v/>
      </c>
      <c r="L1270" s="1" t="s">
        <v>3203</v>
      </c>
      <c r="M1270" s="1" t="str">
        <f t="shared" si="4"/>
        <v>22, 22, MISDREAVUS , &lt;null&gt;, &lt;null&gt;, &lt;null&gt;</v>
      </c>
    </row>
    <row r="1271" ht="12.75" customHeight="1">
      <c r="A1271" s="3" t="s">
        <v>2539</v>
      </c>
      <c r="B1271" s="3" t="str">
        <f t="shared" si="1"/>
        <v>NEW ROUTE</v>
      </c>
      <c r="C1271" s="1" t="str">
        <f t="array" ref="C1271">IF(B1270="NEW ROUTE",TEXTSPLIT(B1271,","),"")</f>
        <v/>
      </c>
      <c r="H1271" s="1" t="str">
        <f t="shared" ref="H1271:I1271" si="1273">IF(C1271&lt;&gt;"",DEC2HEX(C1271,2),"")</f>
        <v/>
      </c>
      <c r="I1271" s="1" t="str">
        <f t="shared" si="1273"/>
        <v/>
      </c>
      <c r="J1271" s="1" t="str">
        <f t="shared" si="3"/>
        <v/>
      </c>
      <c r="L1271" s="1" t="s">
        <v>2539</v>
      </c>
      <c r="M1271" s="1" t="str">
        <f t="shared" si="4"/>
        <v>NEW ROUTE</v>
      </c>
    </row>
    <row r="1272" ht="12.75" customHeight="1">
      <c r="A1272" s="3" t="s">
        <v>3209</v>
      </c>
      <c r="B1272" s="3" t="str">
        <f t="shared" si="1"/>
        <v>2, 18, 0,</v>
      </c>
      <c r="C1272" s="1" t="str">
        <f t="array" ref="C1272">IF(B1271="NEW ROUTE",TEXTSPLIT(B1272,","),"")</f>
        <v>#NAME?</v>
      </c>
      <c r="H1272" s="1" t="str">
        <f t="shared" ref="H1272:I1272" si="1274">IF(C1272&lt;&gt;"",DEC2HEX(C1272,2),"")</f>
        <v>#NAME?</v>
      </c>
      <c r="I1272" s="1" t="str">
        <f t="shared" si="1274"/>
        <v/>
      </c>
      <c r="J1272" s="1" t="str">
        <f t="shared" si="3"/>
        <v>#NAME?</v>
      </c>
      <c r="L1272" s="1" t="s">
        <v>3209</v>
      </c>
      <c r="M1272" s="1" t="str">
        <f t="shared" si="4"/>
        <v>#NAME?</v>
      </c>
    </row>
    <row r="1273" ht="12.75" customHeight="1">
      <c r="A1273" s="3" t="s">
        <v>3052</v>
      </c>
      <c r="B1273" s="3" t="str">
        <f t="shared" si="1"/>
        <v>20%</v>
      </c>
      <c r="C1273" s="1" t="str">
        <f t="array" ref="C1273">IF(B1272="NEW ROUTE",TEXTSPLIT(B1273,","),"")</f>
        <v/>
      </c>
      <c r="H1273" s="1" t="str">
        <f t="shared" ref="H1273:I1273" si="1275">IF(C1273&lt;&gt;"",DEC2HEX(C1273,2),"")</f>
        <v/>
      </c>
      <c r="I1273" s="1" t="str">
        <f t="shared" si="1275"/>
        <v/>
      </c>
      <c r="J1273" s="1" t="str">
        <f t="shared" si="3"/>
        <v/>
      </c>
      <c r="L1273" s="1" t="s">
        <v>2799</v>
      </c>
      <c r="M1273" s="1" t="str">
        <f t="shared" si="4"/>
        <v>20%</v>
      </c>
    </row>
    <row r="1274" ht="12.75" customHeight="1">
      <c r="A1274" s="3" t="s">
        <v>789</v>
      </c>
      <c r="B1274" s="3" t="str">
        <f t="shared" si="1"/>
        <v>40, 40, GASTLY</v>
      </c>
      <c r="C1274" s="1" t="str">
        <f t="array" ref="C1274">IF(B1273="NEW ROUTE",TEXTSPLIT(B1274,","),"")</f>
        <v/>
      </c>
      <c r="H1274" s="1" t="str">
        <f t="shared" ref="H1274:I1274" si="1276">IF(C1274&lt;&gt;"",DEC2HEX(C1274,2),"")</f>
        <v/>
      </c>
      <c r="I1274" s="1" t="str">
        <f t="shared" si="1276"/>
        <v/>
      </c>
      <c r="J1274" s="1" t="str">
        <f t="shared" si="3"/>
        <v/>
      </c>
      <c r="L1274" s="1" t="s">
        <v>789</v>
      </c>
      <c r="M1274" s="1" t="str">
        <f t="shared" si="4"/>
        <v>40, 40, GASTLY</v>
      </c>
    </row>
    <row r="1275" ht="12.75" customHeight="1">
      <c r="A1275" s="3" t="s">
        <v>3193</v>
      </c>
      <c r="B1275" s="3" t="str">
        <f t="shared" si="1"/>
        <v>37, 37, ZUBAT</v>
      </c>
      <c r="C1275" s="1" t="str">
        <f t="array" ref="C1275">IF(B1274="NEW ROUTE",TEXTSPLIT(B1275,","),"")</f>
        <v/>
      </c>
      <c r="H1275" s="1" t="str">
        <f t="shared" ref="H1275:I1275" si="1277">IF(C1275&lt;&gt;"",DEC2HEX(C1275,2),"")</f>
        <v/>
      </c>
      <c r="I1275" s="1" t="str">
        <f t="shared" si="1277"/>
        <v/>
      </c>
      <c r="J1275" s="1" t="str">
        <f t="shared" si="3"/>
        <v/>
      </c>
      <c r="L1275" s="1" t="s">
        <v>3193</v>
      </c>
      <c r="M1275" s="1" t="str">
        <f t="shared" si="4"/>
        <v>37, 37, ZUBAT</v>
      </c>
    </row>
    <row r="1276" ht="12.75" customHeight="1">
      <c r="A1276" s="3" t="s">
        <v>2802</v>
      </c>
      <c r="B1276" s="3" t="str">
        <f t="shared" si="1"/>
        <v>0.1</v>
      </c>
      <c r="C1276" s="1" t="str">
        <f t="array" ref="C1276">IF(B1275="NEW ROUTE",TEXTSPLIT(B1276,","),"")</f>
        <v/>
      </c>
      <c r="H1276" s="1" t="str">
        <f t="shared" ref="H1276:I1276" si="1278">IF(C1276&lt;&gt;"",DEC2HEX(C1276,2),"")</f>
        <v/>
      </c>
      <c r="I1276" s="1" t="str">
        <f t="shared" si="1278"/>
        <v/>
      </c>
      <c r="J1276" s="1" t="str">
        <f t="shared" si="3"/>
        <v/>
      </c>
      <c r="L1276" s="1" t="s">
        <v>2802</v>
      </c>
      <c r="M1276" s="1" t="str">
        <f t="shared" si="4"/>
        <v>0.1</v>
      </c>
    </row>
    <row r="1277" ht="12.75" customHeight="1">
      <c r="A1277" s="3" t="s">
        <v>3194</v>
      </c>
      <c r="B1277" s="3" t="str">
        <f t="shared" si="1"/>
        <v>44, 44, HAUNTER</v>
      </c>
      <c r="C1277" s="1" t="str">
        <f t="array" ref="C1277">IF(B1276="NEW ROUTE",TEXTSPLIT(B1277,","),"")</f>
        <v/>
      </c>
      <c r="H1277" s="1" t="str">
        <f t="shared" ref="H1277:I1277" si="1279">IF(C1277&lt;&gt;"",DEC2HEX(C1277,2),"")</f>
        <v/>
      </c>
      <c r="I1277" s="1" t="str">
        <f t="shared" si="1279"/>
        <v/>
      </c>
      <c r="J1277" s="1" t="str">
        <f t="shared" si="3"/>
        <v/>
      </c>
      <c r="L1277" s="1" t="s">
        <v>3194</v>
      </c>
      <c r="M1277" s="1" t="str">
        <f t="shared" si="4"/>
        <v>44, 44, HAUNTER</v>
      </c>
    </row>
    <row r="1278" ht="12.75" customHeight="1">
      <c r="A1278" s="3" t="s">
        <v>3195</v>
      </c>
      <c r="B1278" s="3" t="str">
        <f t="shared" si="1"/>
        <v>46, 46, HAUNTER</v>
      </c>
      <c r="C1278" s="1" t="str">
        <f t="array" ref="C1278">IF(B1277="NEW ROUTE",TEXTSPLIT(B1278,","),"")</f>
        <v/>
      </c>
      <c r="H1278" s="1" t="str">
        <f t="shared" ref="H1278:I1278" si="1280">IF(C1278&lt;&gt;"",DEC2HEX(C1278,2),"")</f>
        <v/>
      </c>
      <c r="I1278" s="1" t="str">
        <f t="shared" si="1280"/>
        <v/>
      </c>
      <c r="J1278" s="1" t="str">
        <f t="shared" si="3"/>
        <v/>
      </c>
      <c r="L1278" s="1" t="s">
        <v>3195</v>
      </c>
      <c r="M1278" s="1" t="str">
        <f t="shared" si="4"/>
        <v>46, 46, HAUNTER</v>
      </c>
    </row>
    <row r="1279" ht="12.75" customHeight="1">
      <c r="A1279" s="3" t="s">
        <v>3196</v>
      </c>
      <c r="B1279" s="3" t="str">
        <f t="shared" si="1"/>
        <v>41, 41, GOLBAT</v>
      </c>
      <c r="C1279" s="1" t="str">
        <f t="array" ref="C1279">IF(B1278="NEW ROUTE",TEXTSPLIT(B1279,","),"")</f>
        <v/>
      </c>
      <c r="H1279" s="1" t="str">
        <f t="shared" ref="H1279:I1279" si="1281">IF(C1279&lt;&gt;"",DEC2HEX(C1279,2),"")</f>
        <v/>
      </c>
      <c r="I1279" s="1" t="str">
        <f t="shared" si="1281"/>
        <v/>
      </c>
      <c r="J1279" s="1" t="str">
        <f t="shared" si="3"/>
        <v/>
      </c>
      <c r="L1279" s="1" t="s">
        <v>3196</v>
      </c>
      <c r="M1279" s="1" t="str">
        <f t="shared" si="4"/>
        <v>41, 41, GOLBAT</v>
      </c>
    </row>
    <row r="1280" ht="12.75" customHeight="1">
      <c r="A1280" s="3" t="s">
        <v>3197</v>
      </c>
      <c r="B1280" s="3" t="str">
        <f t="shared" si="1"/>
        <v>43, 43, GOLBAT</v>
      </c>
      <c r="C1280" s="1" t="str">
        <f t="array" ref="C1280">IF(B1279="NEW ROUTE",TEXTSPLIT(B1280,","),"")</f>
        <v/>
      </c>
      <c r="H1280" s="1" t="str">
        <f t="shared" ref="H1280:I1280" si="1282">IF(C1280&lt;&gt;"",DEC2HEX(C1280,2),"")</f>
        <v/>
      </c>
      <c r="I1280" s="1" t="str">
        <f t="shared" si="1282"/>
        <v/>
      </c>
      <c r="J1280" s="1" t="str">
        <f t="shared" si="3"/>
        <v/>
      </c>
      <c r="L1280" s="1" t="s">
        <v>3197</v>
      </c>
      <c r="M1280" s="1" t="str">
        <f t="shared" si="4"/>
        <v>43, 43, GOLBAT</v>
      </c>
    </row>
    <row r="1281" ht="12.75" customHeight="1">
      <c r="A1281" s="3" t="s">
        <v>2807</v>
      </c>
      <c r="B1281" s="3" t="str">
        <f t="shared" si="1"/>
        <v>0.05</v>
      </c>
      <c r="C1281" s="1" t="str">
        <f t="array" ref="C1281">IF(B1280="NEW ROUTE",TEXTSPLIT(B1281,","),"")</f>
        <v/>
      </c>
      <c r="H1281" s="1" t="str">
        <f t="shared" ref="H1281:I1281" si="1283">IF(C1281&lt;&gt;"",DEC2HEX(C1281,2),"")</f>
        <v/>
      </c>
      <c r="I1281" s="1" t="str">
        <f t="shared" si="1283"/>
        <v/>
      </c>
      <c r="J1281" s="1" t="str">
        <f t="shared" si="3"/>
        <v/>
      </c>
      <c r="L1281" s="1" t="s">
        <v>2807</v>
      </c>
      <c r="M1281" s="1" t="str">
        <f t="shared" si="4"/>
        <v>0.05</v>
      </c>
    </row>
    <row r="1282" ht="12.75" customHeight="1">
      <c r="A1282" s="3" t="s">
        <v>3198</v>
      </c>
      <c r="B1282" s="3" t="str">
        <f t="shared" si="1"/>
        <v>38, 38, GASTLY</v>
      </c>
      <c r="C1282" s="1" t="str">
        <f t="array" ref="C1282">IF(B1281="NEW ROUTE",TEXTSPLIT(B1282,","),"")</f>
        <v/>
      </c>
      <c r="H1282" s="1" t="str">
        <f t="shared" ref="H1282:I1282" si="1284">IF(C1282&lt;&gt;"",DEC2HEX(C1282,2),"")</f>
        <v/>
      </c>
      <c r="I1282" s="1" t="str">
        <f t="shared" si="1284"/>
        <v/>
      </c>
      <c r="J1282" s="1" t="str">
        <f t="shared" si="3"/>
        <v/>
      </c>
      <c r="L1282" s="1" t="s">
        <v>3198</v>
      </c>
      <c r="M1282" s="1" t="str">
        <f t="shared" si="4"/>
        <v>38, 38, GASTLY</v>
      </c>
    </row>
    <row r="1283" ht="12.75" customHeight="1">
      <c r="A1283" s="3" t="s">
        <v>3199</v>
      </c>
      <c r="B1283" s="3" t="str">
        <f t="shared" si="1"/>
        <v>48, 48, HAUNTER</v>
      </c>
      <c r="C1283" s="1" t="str">
        <f t="array" ref="C1283">IF(B1282="NEW ROUTE",TEXTSPLIT(B1283,","),"")</f>
        <v/>
      </c>
      <c r="H1283" s="1" t="str">
        <f t="shared" ref="H1283:I1283" si="1285">IF(C1283&lt;&gt;"",DEC2HEX(C1283,2),"")</f>
        <v/>
      </c>
      <c r="I1283" s="1" t="str">
        <f t="shared" si="1285"/>
        <v/>
      </c>
      <c r="J1283" s="1" t="str">
        <f t="shared" si="3"/>
        <v/>
      </c>
      <c r="L1283" s="1" t="s">
        <v>3199</v>
      </c>
      <c r="M1283" s="1" t="str">
        <f t="shared" si="4"/>
        <v>48, 48, HAUNTER</v>
      </c>
    </row>
    <row r="1284" ht="12.75" customHeight="1">
      <c r="A1284" s="3" t="s">
        <v>2810</v>
      </c>
      <c r="B1284" s="3" t="str">
        <f t="shared" si="1"/>
        <v>0.04</v>
      </c>
      <c r="C1284" s="1" t="str">
        <f t="array" ref="C1284">IF(B1283="NEW ROUTE",TEXTSPLIT(B1284,","),"")</f>
        <v/>
      </c>
      <c r="H1284" s="1" t="str">
        <f t="shared" ref="H1284:I1284" si="1286">IF(C1284&lt;&gt;"",DEC2HEX(C1284,2),"")</f>
        <v/>
      </c>
      <c r="I1284" s="1" t="str">
        <f t="shared" si="1286"/>
        <v/>
      </c>
      <c r="J1284" s="1" t="str">
        <f t="shared" si="3"/>
        <v/>
      </c>
      <c r="L1284" s="1" t="s">
        <v>2810</v>
      </c>
      <c r="M1284" s="1" t="str">
        <f t="shared" si="4"/>
        <v>0.04</v>
      </c>
    </row>
    <row r="1285" ht="12.75" customHeight="1">
      <c r="A1285" s="3" t="s">
        <v>3200</v>
      </c>
      <c r="B1285" s="3" t="str">
        <f t="shared" si="1"/>
        <v>50, 50, HAUNTER</v>
      </c>
      <c r="C1285" s="1" t="str">
        <f t="array" ref="C1285">IF(B1284="NEW ROUTE",TEXTSPLIT(B1285,","),"")</f>
        <v/>
      </c>
      <c r="H1285" s="1" t="str">
        <f t="shared" ref="H1285:I1285" si="1287">IF(C1285&lt;&gt;"",DEC2HEX(C1285,2),"")</f>
        <v/>
      </c>
      <c r="I1285" s="1" t="str">
        <f t="shared" si="1287"/>
        <v/>
      </c>
      <c r="J1285" s="1" t="str">
        <f t="shared" si="3"/>
        <v/>
      </c>
      <c r="L1285" s="1" t="s">
        <v>3200</v>
      </c>
      <c r="M1285" s="1" t="str">
        <f t="shared" si="4"/>
        <v>50, 50, HAUNTER</v>
      </c>
    </row>
    <row r="1286" ht="12.75" customHeight="1">
      <c r="A1286" s="3" t="s">
        <v>3201</v>
      </c>
      <c r="B1286" s="3" t="str">
        <f t="shared" si="1"/>
        <v>22, 22, MISDREAVUS</v>
      </c>
      <c r="C1286" s="1" t="str">
        <f t="array" ref="C1286">IF(B1285="NEW ROUTE",TEXTSPLIT(B1286,","),"")</f>
        <v/>
      </c>
      <c r="H1286" s="1" t="str">
        <f t="shared" ref="H1286:I1286" si="1288">IF(C1286&lt;&gt;"",DEC2HEX(C1286,2),"")</f>
        <v/>
      </c>
      <c r="I1286" s="1" t="str">
        <f t="shared" si="1288"/>
        <v/>
      </c>
      <c r="J1286" s="1" t="str">
        <f t="shared" si="3"/>
        <v/>
      </c>
      <c r="L1286" s="1" t="s">
        <v>3201</v>
      </c>
      <c r="M1286" s="1" t="str">
        <f t="shared" si="4"/>
        <v>22, 22, MISDREAVUS</v>
      </c>
    </row>
    <row r="1287" ht="12.75" customHeight="1">
      <c r="A1287" s="3" t="s">
        <v>2813</v>
      </c>
      <c r="B1287" s="3" t="str">
        <f t="shared" si="1"/>
        <v>0.01</v>
      </c>
      <c r="C1287" s="1" t="str">
        <f t="array" ref="C1287">IF(B1286="NEW ROUTE",TEXTSPLIT(B1287,","),"")</f>
        <v/>
      </c>
      <c r="H1287" s="1" t="str">
        <f t="shared" ref="H1287:I1287" si="1289">IF(C1287&lt;&gt;"",DEC2HEX(C1287,2),"")</f>
        <v/>
      </c>
      <c r="I1287" s="1" t="str">
        <f t="shared" si="1289"/>
        <v/>
      </c>
      <c r="J1287" s="1" t="str">
        <f t="shared" si="3"/>
        <v/>
      </c>
      <c r="L1287" s="1" t="s">
        <v>2813</v>
      </c>
      <c r="M1287" s="1" t="str">
        <f t="shared" si="4"/>
        <v>0.01</v>
      </c>
    </row>
    <row r="1288" ht="12.75" customHeight="1">
      <c r="A1288" s="3" t="s">
        <v>3202</v>
      </c>
      <c r="B1288" s="3" t="str">
        <f t="shared" si="1"/>
        <v>52, 52, HAUNTER</v>
      </c>
      <c r="C1288" s="1" t="str">
        <f t="array" ref="C1288">IF(B1287="NEW ROUTE",TEXTSPLIT(B1288,","),"")</f>
        <v/>
      </c>
      <c r="H1288" s="1" t="str">
        <f t="shared" ref="H1288:I1288" si="1290">IF(C1288&lt;&gt;"",DEC2HEX(C1288,2),"")</f>
        <v/>
      </c>
      <c r="I1288" s="1" t="str">
        <f t="shared" si="1290"/>
        <v/>
      </c>
      <c r="J1288" s="1" t="str">
        <f t="shared" si="3"/>
        <v/>
      </c>
      <c r="L1288" s="1" t="s">
        <v>3202</v>
      </c>
      <c r="M1288" s="1" t="str">
        <f t="shared" si="4"/>
        <v>52, 52, HAUNTER</v>
      </c>
    </row>
    <row r="1289" ht="12.75" customHeight="1">
      <c r="A1289" s="3" t="s">
        <v>3203</v>
      </c>
      <c r="B1289" s="3" t="str">
        <f t="shared" si="1"/>
        <v>22, 22, MISDREAVUS , &lt;null&gt;, &lt;null&gt;, &lt;null&gt;</v>
      </c>
      <c r="C1289" s="1" t="str">
        <f t="array" ref="C1289">IF(B1288="NEW ROUTE",TEXTSPLIT(B1289,","),"")</f>
        <v/>
      </c>
      <c r="H1289" s="1" t="str">
        <f t="shared" ref="H1289:I1289" si="1291">IF(C1289&lt;&gt;"",DEC2HEX(C1289,2),"")</f>
        <v/>
      </c>
      <c r="I1289" s="1" t="str">
        <f t="shared" si="1291"/>
        <v/>
      </c>
      <c r="J1289" s="1" t="str">
        <f t="shared" si="3"/>
        <v/>
      </c>
      <c r="L1289" s="1" t="s">
        <v>3203</v>
      </c>
      <c r="M1289" s="1" t="str">
        <f t="shared" si="4"/>
        <v>22, 22, MISDREAVUS , &lt;null&gt;, &lt;null&gt;, &lt;null&gt;</v>
      </c>
    </row>
    <row r="1290" ht="12.75" customHeight="1">
      <c r="A1290" s="3" t="s">
        <v>2539</v>
      </c>
      <c r="B1290" s="3" t="str">
        <f t="shared" si="1"/>
        <v>NEW ROUTE</v>
      </c>
      <c r="C1290" s="1" t="str">
        <f t="array" ref="C1290">IF(B1289="NEW ROUTE",TEXTSPLIT(B1290,","),"")</f>
        <v/>
      </c>
      <c r="H1290" s="1" t="str">
        <f t="shared" ref="H1290:I1290" si="1292">IF(C1290&lt;&gt;"",DEC2HEX(C1290,2),"")</f>
        <v/>
      </c>
      <c r="I1290" s="1" t="str">
        <f t="shared" si="1292"/>
        <v/>
      </c>
      <c r="J1290" s="1" t="str">
        <f t="shared" si="3"/>
        <v/>
      </c>
      <c r="L1290" s="1" t="s">
        <v>2539</v>
      </c>
      <c r="M1290" s="1" t="str">
        <f t="shared" si="4"/>
        <v>NEW ROUTE</v>
      </c>
    </row>
    <row r="1291" ht="12.75" customHeight="1">
      <c r="A1291" s="3" t="s">
        <v>3210</v>
      </c>
      <c r="B1291" s="3" t="str">
        <f t="shared" si="1"/>
        <v>2, 19, 0,</v>
      </c>
      <c r="C1291" s="1" t="str">
        <f t="array" ref="C1291">IF(B1290="NEW ROUTE",TEXTSPLIT(B1291,","),"")</f>
        <v>#NAME?</v>
      </c>
      <c r="H1291" s="1" t="str">
        <f t="shared" ref="H1291:I1291" si="1293">IF(C1291&lt;&gt;"",DEC2HEX(C1291,2),"")</f>
        <v>#NAME?</v>
      </c>
      <c r="I1291" s="1" t="str">
        <f t="shared" si="1293"/>
        <v/>
      </c>
      <c r="J1291" s="1" t="str">
        <f t="shared" si="3"/>
        <v>#NAME?</v>
      </c>
      <c r="L1291" s="1" t="s">
        <v>3210</v>
      </c>
      <c r="M1291" s="1" t="str">
        <f t="shared" si="4"/>
        <v>#NAME?</v>
      </c>
    </row>
    <row r="1292" ht="12.75" customHeight="1">
      <c r="A1292" s="3" t="s">
        <v>2817</v>
      </c>
      <c r="B1292" s="3" t="str">
        <f t="shared" si="1"/>
        <v>20%</v>
      </c>
      <c r="C1292" s="1" t="str">
        <f t="array" ref="C1292">IF(B1291="NEW ROUTE",TEXTSPLIT(B1292,","),"")</f>
        <v/>
      </c>
      <c r="H1292" s="1" t="str">
        <f t="shared" ref="H1292:I1292" si="1294">IF(C1292&lt;&gt;"",DEC2HEX(C1292,2),"")</f>
        <v/>
      </c>
      <c r="I1292" s="1" t="str">
        <f t="shared" si="1294"/>
        <v/>
      </c>
      <c r="J1292" s="1" t="str">
        <f t="shared" si="3"/>
        <v/>
      </c>
      <c r="L1292" s="1" t="s">
        <v>2799</v>
      </c>
      <c r="M1292" s="1" t="str">
        <f t="shared" si="4"/>
        <v>20%</v>
      </c>
    </row>
    <row r="1293" ht="12.75" customHeight="1">
      <c r="A1293" s="3" t="s">
        <v>789</v>
      </c>
      <c r="B1293" s="3" t="str">
        <f t="shared" si="1"/>
        <v>40, 40, GASTLY</v>
      </c>
      <c r="C1293" s="1" t="str">
        <f t="array" ref="C1293">IF(B1292="NEW ROUTE",TEXTSPLIT(B1293,","),"")</f>
        <v/>
      </c>
      <c r="H1293" s="1" t="str">
        <f t="shared" ref="H1293:I1293" si="1295">IF(C1293&lt;&gt;"",DEC2HEX(C1293,2),"")</f>
        <v/>
      </c>
      <c r="I1293" s="1" t="str">
        <f t="shared" si="1295"/>
        <v/>
      </c>
      <c r="J1293" s="1" t="str">
        <f t="shared" si="3"/>
        <v/>
      </c>
      <c r="L1293" s="1" t="s">
        <v>789</v>
      </c>
      <c r="M1293" s="1" t="str">
        <f t="shared" si="4"/>
        <v>40, 40, GASTLY</v>
      </c>
    </row>
    <row r="1294" ht="12.75" customHeight="1">
      <c r="A1294" s="3" t="s">
        <v>3193</v>
      </c>
      <c r="B1294" s="3" t="str">
        <f t="shared" si="1"/>
        <v>37, 37, ZUBAT</v>
      </c>
      <c r="C1294" s="1" t="str">
        <f t="array" ref="C1294">IF(B1293="NEW ROUTE",TEXTSPLIT(B1294,","),"")</f>
        <v/>
      </c>
      <c r="H1294" s="1" t="str">
        <f t="shared" ref="H1294:I1294" si="1296">IF(C1294&lt;&gt;"",DEC2HEX(C1294,2),"")</f>
        <v/>
      </c>
      <c r="I1294" s="1" t="str">
        <f t="shared" si="1296"/>
        <v/>
      </c>
      <c r="J1294" s="1" t="str">
        <f t="shared" si="3"/>
        <v/>
      </c>
      <c r="L1294" s="1" t="s">
        <v>3193</v>
      </c>
      <c r="M1294" s="1" t="str">
        <f t="shared" si="4"/>
        <v>37, 37, ZUBAT</v>
      </c>
    </row>
    <row r="1295" ht="12.75" customHeight="1">
      <c r="A1295" s="3" t="s">
        <v>2802</v>
      </c>
      <c r="B1295" s="3" t="str">
        <f t="shared" si="1"/>
        <v>0.1</v>
      </c>
      <c r="C1295" s="1" t="str">
        <f t="array" ref="C1295">IF(B1294="NEW ROUTE",TEXTSPLIT(B1295,","),"")</f>
        <v/>
      </c>
      <c r="H1295" s="1" t="str">
        <f t="shared" ref="H1295:I1295" si="1297">IF(C1295&lt;&gt;"",DEC2HEX(C1295,2),"")</f>
        <v/>
      </c>
      <c r="I1295" s="1" t="str">
        <f t="shared" si="1297"/>
        <v/>
      </c>
      <c r="J1295" s="1" t="str">
        <f t="shared" si="3"/>
        <v/>
      </c>
      <c r="L1295" s="1" t="s">
        <v>2802</v>
      </c>
      <c r="M1295" s="1" t="str">
        <f t="shared" si="4"/>
        <v>0.1</v>
      </c>
    </row>
    <row r="1296" ht="12.75" customHeight="1">
      <c r="A1296" s="3" t="s">
        <v>3194</v>
      </c>
      <c r="B1296" s="3" t="str">
        <f t="shared" si="1"/>
        <v>44, 44, HAUNTER</v>
      </c>
      <c r="C1296" s="1" t="str">
        <f t="array" ref="C1296">IF(B1295="NEW ROUTE",TEXTSPLIT(B1296,","),"")</f>
        <v/>
      </c>
      <c r="H1296" s="1" t="str">
        <f t="shared" ref="H1296:I1296" si="1298">IF(C1296&lt;&gt;"",DEC2HEX(C1296,2),"")</f>
        <v/>
      </c>
      <c r="I1296" s="1" t="str">
        <f t="shared" si="1298"/>
        <v/>
      </c>
      <c r="J1296" s="1" t="str">
        <f t="shared" si="3"/>
        <v/>
      </c>
      <c r="L1296" s="1" t="s">
        <v>3194</v>
      </c>
      <c r="M1296" s="1" t="str">
        <f t="shared" si="4"/>
        <v>44, 44, HAUNTER</v>
      </c>
    </row>
    <row r="1297" ht="12.75" customHeight="1">
      <c r="A1297" s="3" t="s">
        <v>3195</v>
      </c>
      <c r="B1297" s="3" t="str">
        <f t="shared" si="1"/>
        <v>46, 46, HAUNTER</v>
      </c>
      <c r="C1297" s="1" t="str">
        <f t="array" ref="C1297">IF(B1296="NEW ROUTE",TEXTSPLIT(B1297,","),"")</f>
        <v/>
      </c>
      <c r="H1297" s="1" t="str">
        <f t="shared" ref="H1297:I1297" si="1299">IF(C1297&lt;&gt;"",DEC2HEX(C1297,2),"")</f>
        <v/>
      </c>
      <c r="I1297" s="1" t="str">
        <f t="shared" si="1299"/>
        <v/>
      </c>
      <c r="J1297" s="1" t="str">
        <f t="shared" si="3"/>
        <v/>
      </c>
      <c r="L1297" s="1" t="s">
        <v>3195</v>
      </c>
      <c r="M1297" s="1" t="str">
        <f t="shared" si="4"/>
        <v>46, 46, HAUNTER</v>
      </c>
    </row>
    <row r="1298" ht="12.75" customHeight="1">
      <c r="A1298" s="3" t="s">
        <v>3196</v>
      </c>
      <c r="B1298" s="3" t="str">
        <f t="shared" si="1"/>
        <v>41, 41, GOLBAT</v>
      </c>
      <c r="C1298" s="1" t="str">
        <f t="array" ref="C1298">IF(B1297="NEW ROUTE",TEXTSPLIT(B1298,","),"")</f>
        <v/>
      </c>
      <c r="H1298" s="1" t="str">
        <f t="shared" ref="H1298:I1298" si="1300">IF(C1298&lt;&gt;"",DEC2HEX(C1298,2),"")</f>
        <v/>
      </c>
      <c r="I1298" s="1" t="str">
        <f t="shared" si="1300"/>
        <v/>
      </c>
      <c r="J1298" s="1" t="str">
        <f t="shared" si="3"/>
        <v/>
      </c>
      <c r="L1298" s="1" t="s">
        <v>3196</v>
      </c>
      <c r="M1298" s="1" t="str">
        <f t="shared" si="4"/>
        <v>41, 41, GOLBAT</v>
      </c>
    </row>
    <row r="1299" ht="12.75" customHeight="1">
      <c r="A1299" s="3" t="s">
        <v>3197</v>
      </c>
      <c r="B1299" s="3" t="str">
        <f t="shared" si="1"/>
        <v>43, 43, GOLBAT</v>
      </c>
      <c r="C1299" s="1" t="str">
        <f t="array" ref="C1299">IF(B1298="NEW ROUTE",TEXTSPLIT(B1299,","),"")</f>
        <v/>
      </c>
      <c r="H1299" s="1" t="str">
        <f t="shared" ref="H1299:I1299" si="1301">IF(C1299&lt;&gt;"",DEC2HEX(C1299,2),"")</f>
        <v/>
      </c>
      <c r="I1299" s="1" t="str">
        <f t="shared" si="1301"/>
        <v/>
      </c>
      <c r="J1299" s="1" t="str">
        <f t="shared" si="3"/>
        <v/>
      </c>
      <c r="L1299" s="1" t="s">
        <v>3197</v>
      </c>
      <c r="M1299" s="1" t="str">
        <f t="shared" si="4"/>
        <v>43, 43, GOLBAT</v>
      </c>
    </row>
    <row r="1300" ht="12.75" customHeight="1">
      <c r="A1300" s="3" t="s">
        <v>2807</v>
      </c>
      <c r="B1300" s="3" t="str">
        <f t="shared" si="1"/>
        <v>0.05</v>
      </c>
      <c r="C1300" s="1" t="str">
        <f t="array" ref="C1300">IF(B1299="NEW ROUTE",TEXTSPLIT(B1300,","),"")</f>
        <v/>
      </c>
      <c r="H1300" s="1" t="str">
        <f t="shared" ref="H1300:I1300" si="1302">IF(C1300&lt;&gt;"",DEC2HEX(C1300,2),"")</f>
        <v/>
      </c>
      <c r="I1300" s="1" t="str">
        <f t="shared" si="1302"/>
        <v/>
      </c>
      <c r="J1300" s="1" t="str">
        <f t="shared" si="3"/>
        <v/>
      </c>
      <c r="L1300" s="1" t="s">
        <v>2807</v>
      </c>
      <c r="M1300" s="1" t="str">
        <f t="shared" si="4"/>
        <v>0.05</v>
      </c>
    </row>
    <row r="1301" ht="12.75" customHeight="1">
      <c r="A1301" s="3" t="s">
        <v>3198</v>
      </c>
      <c r="B1301" s="3" t="str">
        <f t="shared" si="1"/>
        <v>38, 38, GASTLY</v>
      </c>
      <c r="C1301" s="1" t="str">
        <f t="array" ref="C1301">IF(B1300="NEW ROUTE",TEXTSPLIT(B1301,","),"")</f>
        <v/>
      </c>
      <c r="H1301" s="1" t="str">
        <f t="shared" ref="H1301:I1301" si="1303">IF(C1301&lt;&gt;"",DEC2HEX(C1301,2),"")</f>
        <v/>
      </c>
      <c r="I1301" s="1" t="str">
        <f t="shared" si="1303"/>
        <v/>
      </c>
      <c r="J1301" s="1" t="str">
        <f t="shared" si="3"/>
        <v/>
      </c>
      <c r="L1301" s="1" t="s">
        <v>3198</v>
      </c>
      <c r="M1301" s="1" t="str">
        <f t="shared" si="4"/>
        <v>38, 38, GASTLY</v>
      </c>
    </row>
    <row r="1302" ht="12.75" customHeight="1">
      <c r="A1302" s="3" t="s">
        <v>3199</v>
      </c>
      <c r="B1302" s="3" t="str">
        <f t="shared" si="1"/>
        <v>48, 48, HAUNTER</v>
      </c>
      <c r="C1302" s="1" t="str">
        <f t="array" ref="C1302">IF(B1301="NEW ROUTE",TEXTSPLIT(B1302,","),"")</f>
        <v/>
      </c>
      <c r="H1302" s="1" t="str">
        <f t="shared" ref="H1302:I1302" si="1304">IF(C1302&lt;&gt;"",DEC2HEX(C1302,2),"")</f>
        <v/>
      </c>
      <c r="I1302" s="1" t="str">
        <f t="shared" si="1304"/>
        <v/>
      </c>
      <c r="J1302" s="1" t="str">
        <f t="shared" si="3"/>
        <v/>
      </c>
      <c r="L1302" s="1" t="s">
        <v>3199</v>
      </c>
      <c r="M1302" s="1" t="str">
        <f t="shared" si="4"/>
        <v>48, 48, HAUNTER</v>
      </c>
    </row>
    <row r="1303" ht="12.75" customHeight="1">
      <c r="A1303" s="3" t="s">
        <v>2810</v>
      </c>
      <c r="B1303" s="3" t="str">
        <f t="shared" si="1"/>
        <v>0.04</v>
      </c>
      <c r="C1303" s="1" t="str">
        <f t="array" ref="C1303">IF(B1302="NEW ROUTE",TEXTSPLIT(B1303,","),"")</f>
        <v/>
      </c>
      <c r="H1303" s="1" t="str">
        <f t="shared" ref="H1303:I1303" si="1305">IF(C1303&lt;&gt;"",DEC2HEX(C1303,2),"")</f>
        <v/>
      </c>
      <c r="I1303" s="1" t="str">
        <f t="shared" si="1305"/>
        <v/>
      </c>
      <c r="J1303" s="1" t="str">
        <f t="shared" si="3"/>
        <v/>
      </c>
      <c r="L1303" s="1" t="s">
        <v>2810</v>
      </c>
      <c r="M1303" s="1" t="str">
        <f t="shared" si="4"/>
        <v>0.04</v>
      </c>
    </row>
    <row r="1304" ht="12.75" customHeight="1">
      <c r="A1304" s="3" t="s">
        <v>3200</v>
      </c>
      <c r="B1304" s="3" t="str">
        <f t="shared" si="1"/>
        <v>50, 50, HAUNTER</v>
      </c>
      <c r="C1304" s="1" t="str">
        <f t="array" ref="C1304">IF(B1303="NEW ROUTE",TEXTSPLIT(B1304,","),"")</f>
        <v/>
      </c>
      <c r="H1304" s="1" t="str">
        <f t="shared" ref="H1304:I1304" si="1306">IF(C1304&lt;&gt;"",DEC2HEX(C1304,2),"")</f>
        <v/>
      </c>
      <c r="I1304" s="1" t="str">
        <f t="shared" si="1306"/>
        <v/>
      </c>
      <c r="J1304" s="1" t="str">
        <f t="shared" si="3"/>
        <v/>
      </c>
      <c r="L1304" s="1" t="s">
        <v>3200</v>
      </c>
      <c r="M1304" s="1" t="str">
        <f t="shared" si="4"/>
        <v>50, 50, HAUNTER</v>
      </c>
    </row>
    <row r="1305" ht="12.75" customHeight="1">
      <c r="A1305" s="3" t="s">
        <v>3201</v>
      </c>
      <c r="B1305" s="3" t="str">
        <f t="shared" si="1"/>
        <v>22, 22, MISDREAVUS</v>
      </c>
      <c r="C1305" s="1" t="str">
        <f t="array" ref="C1305">IF(B1304="NEW ROUTE",TEXTSPLIT(B1305,","),"")</f>
        <v/>
      </c>
      <c r="H1305" s="1" t="str">
        <f t="shared" ref="H1305:I1305" si="1307">IF(C1305&lt;&gt;"",DEC2HEX(C1305,2),"")</f>
        <v/>
      </c>
      <c r="I1305" s="1" t="str">
        <f t="shared" si="1307"/>
        <v/>
      </c>
      <c r="J1305" s="1" t="str">
        <f t="shared" si="3"/>
        <v/>
      </c>
      <c r="L1305" s="1" t="s">
        <v>3201</v>
      </c>
      <c r="M1305" s="1" t="str">
        <f t="shared" si="4"/>
        <v>22, 22, MISDREAVUS</v>
      </c>
    </row>
    <row r="1306" ht="12.75" customHeight="1">
      <c r="A1306" s="3" t="s">
        <v>2813</v>
      </c>
      <c r="B1306" s="3" t="str">
        <f t="shared" si="1"/>
        <v>0.01</v>
      </c>
      <c r="C1306" s="1" t="str">
        <f t="array" ref="C1306">IF(B1305="NEW ROUTE",TEXTSPLIT(B1306,","),"")</f>
        <v/>
      </c>
      <c r="H1306" s="1" t="str">
        <f t="shared" ref="H1306:I1306" si="1308">IF(C1306&lt;&gt;"",DEC2HEX(C1306,2),"")</f>
        <v/>
      </c>
      <c r="I1306" s="1" t="str">
        <f t="shared" si="1308"/>
        <v/>
      </c>
      <c r="J1306" s="1" t="str">
        <f t="shared" si="3"/>
        <v/>
      </c>
      <c r="L1306" s="1" t="s">
        <v>2813</v>
      </c>
      <c r="M1306" s="1" t="str">
        <f t="shared" si="4"/>
        <v>0.01</v>
      </c>
    </row>
    <row r="1307" ht="12.75" customHeight="1">
      <c r="A1307" s="3" t="s">
        <v>3202</v>
      </c>
      <c r="B1307" s="3" t="str">
        <f t="shared" si="1"/>
        <v>52, 52, HAUNTER</v>
      </c>
      <c r="C1307" s="1" t="str">
        <f t="array" ref="C1307">IF(B1306="NEW ROUTE",TEXTSPLIT(B1307,","),"")</f>
        <v/>
      </c>
      <c r="H1307" s="1" t="str">
        <f t="shared" ref="H1307:I1307" si="1309">IF(C1307&lt;&gt;"",DEC2HEX(C1307,2),"")</f>
        <v/>
      </c>
      <c r="I1307" s="1" t="str">
        <f t="shared" si="1309"/>
        <v/>
      </c>
      <c r="J1307" s="1" t="str">
        <f t="shared" si="3"/>
        <v/>
      </c>
      <c r="L1307" s="1" t="s">
        <v>3202</v>
      </c>
      <c r="M1307" s="1" t="str">
        <f t="shared" si="4"/>
        <v>52, 52, HAUNTER</v>
      </c>
    </row>
    <row r="1308" ht="12.75" customHeight="1">
      <c r="A1308" s="3" t="s">
        <v>3203</v>
      </c>
      <c r="B1308" s="3" t="str">
        <f t="shared" si="1"/>
        <v>22, 22, MISDREAVUS , &lt;null&gt;, &lt;null&gt;, &lt;null&gt;</v>
      </c>
      <c r="C1308" s="1" t="str">
        <f t="array" ref="C1308">IF(B1307="NEW ROUTE",TEXTSPLIT(B1308,","),"")</f>
        <v/>
      </c>
      <c r="H1308" s="1" t="str">
        <f t="shared" ref="H1308:I1308" si="1310">IF(C1308&lt;&gt;"",DEC2HEX(C1308,2),"")</f>
        <v/>
      </c>
      <c r="I1308" s="1" t="str">
        <f t="shared" si="1310"/>
        <v/>
      </c>
      <c r="J1308" s="1" t="str">
        <f t="shared" si="3"/>
        <v/>
      </c>
      <c r="L1308" s="1" t="s">
        <v>3203</v>
      </c>
      <c r="M1308" s="1" t="str">
        <f t="shared" si="4"/>
        <v>22, 22, MISDREAVUS , &lt;null&gt;, &lt;null&gt;, &lt;null&gt;</v>
      </c>
    </row>
    <row r="1309" ht="12.75" customHeight="1">
      <c r="A1309" s="3" t="s">
        <v>2539</v>
      </c>
      <c r="B1309" s="3" t="str">
        <f t="shared" si="1"/>
        <v>NEW ROUTE</v>
      </c>
      <c r="C1309" s="1" t="str">
        <f t="array" ref="C1309">IF(B1308="NEW ROUTE",TEXTSPLIT(B1309,","),"")</f>
        <v/>
      </c>
      <c r="H1309" s="1" t="str">
        <f t="shared" ref="H1309:I1309" si="1311">IF(C1309&lt;&gt;"",DEC2HEX(C1309,2),"")</f>
        <v/>
      </c>
      <c r="I1309" s="1" t="str">
        <f t="shared" si="1311"/>
        <v/>
      </c>
      <c r="J1309" s="1" t="str">
        <f t="shared" si="3"/>
        <v/>
      </c>
      <c r="L1309" s="1" t="s">
        <v>2539</v>
      </c>
      <c r="M1309" s="1" t="str">
        <f t="shared" si="4"/>
        <v>NEW ROUTE</v>
      </c>
    </row>
    <row r="1310" ht="12.75" customHeight="1">
      <c r="A1310" s="3" t="s">
        <v>3211</v>
      </c>
      <c r="B1310" s="3" t="str">
        <f t="shared" si="1"/>
        <v>2, 20, 0,</v>
      </c>
      <c r="C1310" s="1" t="str">
        <f t="array" ref="C1310">IF(B1309="NEW ROUTE",TEXTSPLIT(B1310,","),"")</f>
        <v>#NAME?</v>
      </c>
      <c r="H1310" s="1" t="str">
        <f t="shared" ref="H1310:I1310" si="1312">IF(C1310&lt;&gt;"",DEC2HEX(C1310,2),"")</f>
        <v>#NAME?</v>
      </c>
      <c r="I1310" s="1" t="str">
        <f t="shared" si="1312"/>
        <v/>
      </c>
      <c r="J1310" s="1" t="str">
        <f t="shared" si="3"/>
        <v>#NAME?</v>
      </c>
      <c r="L1310" s="1" t="s">
        <v>3211</v>
      </c>
      <c r="M1310" s="1" t="str">
        <f t="shared" si="4"/>
        <v>#NAME?</v>
      </c>
    </row>
    <row r="1311" ht="12.75" customHeight="1">
      <c r="A1311" s="3" t="s">
        <v>3054</v>
      </c>
      <c r="B1311" s="3" t="str">
        <f t="shared" si="1"/>
        <v>20%</v>
      </c>
      <c r="C1311" s="1" t="str">
        <f t="array" ref="C1311">IF(B1310="NEW ROUTE",TEXTSPLIT(B1311,","),"")</f>
        <v/>
      </c>
      <c r="H1311" s="1" t="str">
        <f t="shared" ref="H1311:I1311" si="1313">IF(C1311&lt;&gt;"",DEC2HEX(C1311,2),"")</f>
        <v/>
      </c>
      <c r="I1311" s="1" t="str">
        <f t="shared" si="1313"/>
        <v/>
      </c>
      <c r="J1311" s="1" t="str">
        <f t="shared" si="3"/>
        <v/>
      </c>
      <c r="L1311" s="1" t="s">
        <v>2799</v>
      </c>
      <c r="M1311" s="1" t="str">
        <f t="shared" si="4"/>
        <v>20%</v>
      </c>
    </row>
    <row r="1312" ht="12.75" customHeight="1">
      <c r="A1312" s="3" t="s">
        <v>789</v>
      </c>
      <c r="B1312" s="3" t="str">
        <f t="shared" si="1"/>
        <v>40, 40, GASTLY</v>
      </c>
      <c r="C1312" s="1" t="str">
        <f t="array" ref="C1312">IF(B1311="NEW ROUTE",TEXTSPLIT(B1312,","),"")</f>
        <v/>
      </c>
      <c r="H1312" s="1" t="str">
        <f t="shared" ref="H1312:I1312" si="1314">IF(C1312&lt;&gt;"",DEC2HEX(C1312,2),"")</f>
        <v/>
      </c>
      <c r="I1312" s="1" t="str">
        <f t="shared" si="1314"/>
        <v/>
      </c>
      <c r="J1312" s="1" t="str">
        <f t="shared" si="3"/>
        <v/>
      </c>
      <c r="L1312" s="1" t="s">
        <v>789</v>
      </c>
      <c r="M1312" s="1" t="str">
        <f t="shared" si="4"/>
        <v>40, 40, GASTLY</v>
      </c>
    </row>
    <row r="1313" ht="12.75" customHeight="1">
      <c r="A1313" s="3" t="s">
        <v>3193</v>
      </c>
      <c r="B1313" s="3" t="str">
        <f t="shared" si="1"/>
        <v>37, 37, ZUBAT</v>
      </c>
      <c r="C1313" s="1" t="str">
        <f t="array" ref="C1313">IF(B1312="NEW ROUTE",TEXTSPLIT(B1313,","),"")</f>
        <v/>
      </c>
      <c r="H1313" s="1" t="str">
        <f t="shared" ref="H1313:I1313" si="1315">IF(C1313&lt;&gt;"",DEC2HEX(C1313,2),"")</f>
        <v/>
      </c>
      <c r="I1313" s="1" t="str">
        <f t="shared" si="1315"/>
        <v/>
      </c>
      <c r="J1313" s="1" t="str">
        <f t="shared" si="3"/>
        <v/>
      </c>
      <c r="L1313" s="1" t="s">
        <v>3193</v>
      </c>
      <c r="M1313" s="1" t="str">
        <f t="shared" si="4"/>
        <v>37, 37, ZUBAT</v>
      </c>
    </row>
    <row r="1314" ht="12.75" customHeight="1">
      <c r="A1314" s="3" t="s">
        <v>2802</v>
      </c>
      <c r="B1314" s="3" t="str">
        <f t="shared" si="1"/>
        <v>0.1</v>
      </c>
      <c r="C1314" s="1" t="str">
        <f t="array" ref="C1314">IF(B1313="NEW ROUTE",TEXTSPLIT(B1314,","),"")</f>
        <v/>
      </c>
      <c r="H1314" s="1" t="str">
        <f t="shared" ref="H1314:I1314" si="1316">IF(C1314&lt;&gt;"",DEC2HEX(C1314,2),"")</f>
        <v/>
      </c>
      <c r="I1314" s="1" t="str">
        <f t="shared" si="1316"/>
        <v/>
      </c>
      <c r="J1314" s="1" t="str">
        <f t="shared" si="3"/>
        <v/>
      </c>
      <c r="L1314" s="1" t="s">
        <v>2802</v>
      </c>
      <c r="M1314" s="1" t="str">
        <f t="shared" si="4"/>
        <v>0.1</v>
      </c>
    </row>
    <row r="1315" ht="12.75" customHeight="1">
      <c r="A1315" s="3" t="s">
        <v>3194</v>
      </c>
      <c r="B1315" s="3" t="str">
        <f t="shared" si="1"/>
        <v>44, 44, HAUNTER</v>
      </c>
      <c r="C1315" s="1" t="str">
        <f t="array" ref="C1315">IF(B1314="NEW ROUTE",TEXTSPLIT(B1315,","),"")</f>
        <v/>
      </c>
      <c r="H1315" s="1" t="str">
        <f t="shared" ref="H1315:I1315" si="1317">IF(C1315&lt;&gt;"",DEC2HEX(C1315,2),"")</f>
        <v/>
      </c>
      <c r="I1315" s="1" t="str">
        <f t="shared" si="1317"/>
        <v/>
      </c>
      <c r="J1315" s="1" t="str">
        <f t="shared" si="3"/>
        <v/>
      </c>
      <c r="L1315" s="1" t="s">
        <v>3194</v>
      </c>
      <c r="M1315" s="1" t="str">
        <f t="shared" si="4"/>
        <v>44, 44, HAUNTER</v>
      </c>
    </row>
    <row r="1316" ht="12.75" customHeight="1">
      <c r="A1316" s="3" t="s">
        <v>3195</v>
      </c>
      <c r="B1316" s="3" t="str">
        <f t="shared" si="1"/>
        <v>46, 46, HAUNTER</v>
      </c>
      <c r="C1316" s="1" t="str">
        <f t="array" ref="C1316">IF(B1315="NEW ROUTE",TEXTSPLIT(B1316,","),"")</f>
        <v/>
      </c>
      <c r="H1316" s="1" t="str">
        <f t="shared" ref="H1316:I1316" si="1318">IF(C1316&lt;&gt;"",DEC2HEX(C1316,2),"")</f>
        <v/>
      </c>
      <c r="I1316" s="1" t="str">
        <f t="shared" si="1318"/>
        <v/>
      </c>
      <c r="J1316" s="1" t="str">
        <f t="shared" si="3"/>
        <v/>
      </c>
      <c r="L1316" s="1" t="s">
        <v>3195</v>
      </c>
      <c r="M1316" s="1" t="str">
        <f t="shared" si="4"/>
        <v>46, 46, HAUNTER</v>
      </c>
    </row>
    <row r="1317" ht="12.75" customHeight="1">
      <c r="A1317" s="3" t="s">
        <v>3196</v>
      </c>
      <c r="B1317" s="3" t="str">
        <f t="shared" si="1"/>
        <v>41, 41, GOLBAT</v>
      </c>
      <c r="C1317" s="1" t="str">
        <f t="array" ref="C1317">IF(B1316="NEW ROUTE",TEXTSPLIT(B1317,","),"")</f>
        <v/>
      </c>
      <c r="H1317" s="1" t="str">
        <f t="shared" ref="H1317:I1317" si="1319">IF(C1317&lt;&gt;"",DEC2HEX(C1317,2),"")</f>
        <v/>
      </c>
      <c r="I1317" s="1" t="str">
        <f t="shared" si="1319"/>
        <v/>
      </c>
      <c r="J1317" s="1" t="str">
        <f t="shared" si="3"/>
        <v/>
      </c>
      <c r="L1317" s="1" t="s">
        <v>3196</v>
      </c>
      <c r="M1317" s="1" t="str">
        <f t="shared" si="4"/>
        <v>41, 41, GOLBAT</v>
      </c>
    </row>
    <row r="1318" ht="12.75" customHeight="1">
      <c r="A1318" s="3" t="s">
        <v>3197</v>
      </c>
      <c r="B1318" s="3" t="str">
        <f t="shared" si="1"/>
        <v>43, 43, GOLBAT</v>
      </c>
      <c r="C1318" s="1" t="str">
        <f t="array" ref="C1318">IF(B1317="NEW ROUTE",TEXTSPLIT(B1318,","),"")</f>
        <v/>
      </c>
      <c r="H1318" s="1" t="str">
        <f t="shared" ref="H1318:I1318" si="1320">IF(C1318&lt;&gt;"",DEC2HEX(C1318,2),"")</f>
        <v/>
      </c>
      <c r="I1318" s="1" t="str">
        <f t="shared" si="1320"/>
        <v/>
      </c>
      <c r="J1318" s="1" t="str">
        <f t="shared" si="3"/>
        <v/>
      </c>
      <c r="L1318" s="1" t="s">
        <v>3197</v>
      </c>
      <c r="M1318" s="1" t="str">
        <f t="shared" si="4"/>
        <v>43, 43, GOLBAT</v>
      </c>
    </row>
    <row r="1319" ht="12.75" customHeight="1">
      <c r="A1319" s="3" t="s">
        <v>2807</v>
      </c>
      <c r="B1319" s="3" t="str">
        <f t="shared" si="1"/>
        <v>0.05</v>
      </c>
      <c r="C1319" s="1" t="str">
        <f t="array" ref="C1319">IF(B1318="NEW ROUTE",TEXTSPLIT(B1319,","),"")</f>
        <v/>
      </c>
      <c r="H1319" s="1" t="str">
        <f t="shared" ref="H1319:I1319" si="1321">IF(C1319&lt;&gt;"",DEC2HEX(C1319,2),"")</f>
        <v/>
      </c>
      <c r="I1319" s="1" t="str">
        <f t="shared" si="1321"/>
        <v/>
      </c>
      <c r="J1319" s="1" t="str">
        <f t="shared" si="3"/>
        <v/>
      </c>
      <c r="L1319" s="1" t="s">
        <v>2807</v>
      </c>
      <c r="M1319" s="1" t="str">
        <f t="shared" si="4"/>
        <v>0.05</v>
      </c>
    </row>
    <row r="1320" ht="12.75" customHeight="1">
      <c r="A1320" s="3" t="s">
        <v>3198</v>
      </c>
      <c r="B1320" s="3" t="str">
        <f t="shared" si="1"/>
        <v>38, 38, GASTLY</v>
      </c>
      <c r="C1320" s="1" t="str">
        <f t="array" ref="C1320">IF(B1319="NEW ROUTE",TEXTSPLIT(B1320,","),"")</f>
        <v/>
      </c>
      <c r="H1320" s="1" t="str">
        <f t="shared" ref="H1320:I1320" si="1322">IF(C1320&lt;&gt;"",DEC2HEX(C1320,2),"")</f>
        <v/>
      </c>
      <c r="I1320" s="1" t="str">
        <f t="shared" si="1322"/>
        <v/>
      </c>
      <c r="J1320" s="1" t="str">
        <f t="shared" si="3"/>
        <v/>
      </c>
      <c r="L1320" s="1" t="s">
        <v>3198</v>
      </c>
      <c r="M1320" s="1" t="str">
        <f t="shared" si="4"/>
        <v>38, 38, GASTLY</v>
      </c>
    </row>
    <row r="1321" ht="12.75" customHeight="1">
      <c r="A1321" s="3" t="s">
        <v>3199</v>
      </c>
      <c r="B1321" s="3" t="str">
        <f t="shared" si="1"/>
        <v>48, 48, HAUNTER</v>
      </c>
      <c r="C1321" s="1" t="str">
        <f t="array" ref="C1321">IF(B1320="NEW ROUTE",TEXTSPLIT(B1321,","),"")</f>
        <v/>
      </c>
      <c r="H1321" s="1" t="str">
        <f t="shared" ref="H1321:I1321" si="1323">IF(C1321&lt;&gt;"",DEC2HEX(C1321,2),"")</f>
        <v/>
      </c>
      <c r="I1321" s="1" t="str">
        <f t="shared" si="1323"/>
        <v/>
      </c>
      <c r="J1321" s="1" t="str">
        <f t="shared" si="3"/>
        <v/>
      </c>
      <c r="L1321" s="1" t="s">
        <v>3199</v>
      </c>
      <c r="M1321" s="1" t="str">
        <f t="shared" si="4"/>
        <v>48, 48, HAUNTER</v>
      </c>
    </row>
    <row r="1322" ht="12.75" customHeight="1">
      <c r="A1322" s="3" t="s">
        <v>2810</v>
      </c>
      <c r="B1322" s="3" t="str">
        <f t="shared" si="1"/>
        <v>0.04</v>
      </c>
      <c r="C1322" s="1" t="str">
        <f t="array" ref="C1322">IF(B1321="NEW ROUTE",TEXTSPLIT(B1322,","),"")</f>
        <v/>
      </c>
      <c r="H1322" s="1" t="str">
        <f t="shared" ref="H1322:I1322" si="1324">IF(C1322&lt;&gt;"",DEC2HEX(C1322,2),"")</f>
        <v/>
      </c>
      <c r="I1322" s="1" t="str">
        <f t="shared" si="1324"/>
        <v/>
      </c>
      <c r="J1322" s="1" t="str">
        <f t="shared" si="3"/>
        <v/>
      </c>
      <c r="L1322" s="1" t="s">
        <v>2810</v>
      </c>
      <c r="M1322" s="1" t="str">
        <f t="shared" si="4"/>
        <v>0.04</v>
      </c>
    </row>
    <row r="1323" ht="12.75" customHeight="1">
      <c r="A1323" s="3" t="s">
        <v>3200</v>
      </c>
      <c r="B1323" s="3" t="str">
        <f t="shared" si="1"/>
        <v>50, 50, HAUNTER</v>
      </c>
      <c r="C1323" s="1" t="str">
        <f t="array" ref="C1323">IF(B1322="NEW ROUTE",TEXTSPLIT(B1323,","),"")</f>
        <v/>
      </c>
      <c r="H1323" s="1" t="str">
        <f t="shared" ref="H1323:I1323" si="1325">IF(C1323&lt;&gt;"",DEC2HEX(C1323,2),"")</f>
        <v/>
      </c>
      <c r="I1323" s="1" t="str">
        <f t="shared" si="1325"/>
        <v/>
      </c>
      <c r="J1323" s="1" t="str">
        <f t="shared" si="3"/>
        <v/>
      </c>
      <c r="L1323" s="1" t="s">
        <v>3200</v>
      </c>
      <c r="M1323" s="1" t="str">
        <f t="shared" si="4"/>
        <v>50, 50, HAUNTER</v>
      </c>
    </row>
    <row r="1324" ht="12.75" customHeight="1">
      <c r="A1324" s="3" t="s">
        <v>3201</v>
      </c>
      <c r="B1324" s="3" t="str">
        <f t="shared" si="1"/>
        <v>22, 22, MISDREAVUS</v>
      </c>
      <c r="C1324" s="1" t="str">
        <f t="array" ref="C1324">IF(B1323="NEW ROUTE",TEXTSPLIT(B1324,","),"")</f>
        <v/>
      </c>
      <c r="H1324" s="1" t="str">
        <f t="shared" ref="H1324:I1324" si="1326">IF(C1324&lt;&gt;"",DEC2HEX(C1324,2),"")</f>
        <v/>
      </c>
      <c r="I1324" s="1" t="str">
        <f t="shared" si="1326"/>
        <v/>
      </c>
      <c r="J1324" s="1" t="str">
        <f t="shared" si="3"/>
        <v/>
      </c>
      <c r="L1324" s="1" t="s">
        <v>3201</v>
      </c>
      <c r="M1324" s="1" t="str">
        <f t="shared" si="4"/>
        <v>22, 22, MISDREAVUS</v>
      </c>
    </row>
    <row r="1325" ht="12.75" customHeight="1">
      <c r="A1325" s="3" t="s">
        <v>2813</v>
      </c>
      <c r="B1325" s="3" t="str">
        <f t="shared" si="1"/>
        <v>0.01</v>
      </c>
      <c r="C1325" s="1" t="str">
        <f t="array" ref="C1325">IF(B1324="NEW ROUTE",TEXTSPLIT(B1325,","),"")</f>
        <v/>
      </c>
      <c r="H1325" s="1" t="str">
        <f t="shared" ref="H1325:I1325" si="1327">IF(C1325&lt;&gt;"",DEC2HEX(C1325,2),"")</f>
        <v/>
      </c>
      <c r="I1325" s="1" t="str">
        <f t="shared" si="1327"/>
        <v/>
      </c>
      <c r="J1325" s="1" t="str">
        <f t="shared" si="3"/>
        <v/>
      </c>
      <c r="L1325" s="1" t="s">
        <v>2813</v>
      </c>
      <c r="M1325" s="1" t="str">
        <f t="shared" si="4"/>
        <v>0.01</v>
      </c>
    </row>
    <row r="1326" ht="12.75" customHeight="1">
      <c r="A1326" s="3" t="s">
        <v>3202</v>
      </c>
      <c r="B1326" s="3" t="str">
        <f t="shared" si="1"/>
        <v>52, 52, HAUNTER</v>
      </c>
      <c r="C1326" s="1" t="str">
        <f t="array" ref="C1326">IF(B1325="NEW ROUTE",TEXTSPLIT(B1326,","),"")</f>
        <v/>
      </c>
      <c r="H1326" s="1" t="str">
        <f t="shared" ref="H1326:I1326" si="1328">IF(C1326&lt;&gt;"",DEC2HEX(C1326,2),"")</f>
        <v/>
      </c>
      <c r="I1326" s="1" t="str">
        <f t="shared" si="1328"/>
        <v/>
      </c>
      <c r="J1326" s="1" t="str">
        <f t="shared" si="3"/>
        <v/>
      </c>
      <c r="L1326" s="1" t="s">
        <v>3202</v>
      </c>
      <c r="M1326" s="1" t="str">
        <f t="shared" si="4"/>
        <v>52, 52, HAUNTER</v>
      </c>
    </row>
    <row r="1327" ht="12.75" customHeight="1">
      <c r="A1327" s="3" t="s">
        <v>3203</v>
      </c>
      <c r="B1327" s="3" t="str">
        <f t="shared" si="1"/>
        <v>22, 22, MISDREAVUS , &lt;null&gt;, &lt;null&gt;, &lt;null&gt;</v>
      </c>
      <c r="C1327" s="1" t="str">
        <f t="array" ref="C1327">IF(B1326="NEW ROUTE",TEXTSPLIT(B1327,","),"")</f>
        <v/>
      </c>
      <c r="H1327" s="1" t="str">
        <f t="shared" ref="H1327:I1327" si="1329">IF(C1327&lt;&gt;"",DEC2HEX(C1327,2),"")</f>
        <v/>
      </c>
      <c r="I1327" s="1" t="str">
        <f t="shared" si="1329"/>
        <v/>
      </c>
      <c r="J1327" s="1" t="str">
        <f t="shared" si="3"/>
        <v/>
      </c>
      <c r="L1327" s="1" t="s">
        <v>3203</v>
      </c>
      <c r="M1327" s="1" t="str">
        <f t="shared" si="4"/>
        <v>22, 22, MISDREAVUS , &lt;null&gt;, &lt;null&gt;, &lt;null&gt;</v>
      </c>
    </row>
    <row r="1328" ht="12.75" customHeight="1">
      <c r="A1328" s="3" t="s">
        <v>2539</v>
      </c>
      <c r="B1328" s="3" t="str">
        <f t="shared" si="1"/>
        <v>NEW ROUTE</v>
      </c>
      <c r="C1328" s="1" t="str">
        <f t="array" ref="C1328">IF(B1327="NEW ROUTE",TEXTSPLIT(B1328,","),"")</f>
        <v/>
      </c>
      <c r="H1328" s="1" t="str">
        <f t="shared" ref="H1328:I1328" si="1330">IF(C1328&lt;&gt;"",DEC2HEX(C1328,2),"")</f>
        <v/>
      </c>
      <c r="I1328" s="1" t="str">
        <f t="shared" si="1330"/>
        <v/>
      </c>
      <c r="J1328" s="1" t="str">
        <f t="shared" si="3"/>
        <v/>
      </c>
      <c r="L1328" s="1" t="s">
        <v>2539</v>
      </c>
      <c r="M1328" s="1" t="str">
        <f t="shared" si="4"/>
        <v>NEW ROUTE</v>
      </c>
    </row>
    <row r="1329" ht="12.75" customHeight="1">
      <c r="A1329" s="3" t="s">
        <v>3212</v>
      </c>
      <c r="B1329" s="3" t="str">
        <f t="shared" si="1"/>
        <v>2, 21, 0,</v>
      </c>
      <c r="C1329" s="1" t="str">
        <f t="array" ref="C1329">IF(B1328="NEW ROUTE",TEXTSPLIT(B1329,","),"")</f>
        <v>#NAME?</v>
      </c>
      <c r="H1329" s="1" t="str">
        <f t="shared" ref="H1329:I1329" si="1331">IF(C1329&lt;&gt;"",DEC2HEX(C1329,2),"")</f>
        <v>#NAME?</v>
      </c>
      <c r="I1329" s="1" t="str">
        <f t="shared" si="1331"/>
        <v/>
      </c>
      <c r="J1329" s="1" t="str">
        <f t="shared" si="3"/>
        <v>#NAME?</v>
      </c>
      <c r="L1329" s="1" t="s">
        <v>3212</v>
      </c>
      <c r="M1329" s="1" t="str">
        <f t="shared" si="4"/>
        <v>#NAME?</v>
      </c>
    </row>
    <row r="1330" ht="12.75" customHeight="1">
      <c r="A1330" s="3" t="s">
        <v>3213</v>
      </c>
      <c r="B1330" s="3" t="str">
        <f t="shared" si="1"/>
        <v>20%</v>
      </c>
      <c r="C1330" s="1" t="str">
        <f t="array" ref="C1330">IF(B1329="NEW ROUTE",TEXTSPLIT(B1330,","),"")</f>
        <v/>
      </c>
      <c r="H1330" s="1" t="str">
        <f t="shared" ref="H1330:I1330" si="1332">IF(C1330&lt;&gt;"",DEC2HEX(C1330,2),"")</f>
        <v/>
      </c>
      <c r="I1330" s="1" t="str">
        <f t="shared" si="1332"/>
        <v/>
      </c>
      <c r="J1330" s="1" t="str">
        <f t="shared" si="3"/>
        <v/>
      </c>
      <c r="L1330" s="1" t="s">
        <v>2799</v>
      </c>
      <c r="M1330" s="1" t="str">
        <f t="shared" si="4"/>
        <v>20%</v>
      </c>
    </row>
    <row r="1331" ht="12.75" customHeight="1">
      <c r="A1331" s="3" t="s">
        <v>789</v>
      </c>
      <c r="B1331" s="3" t="str">
        <f t="shared" si="1"/>
        <v>40, 40, GASTLY</v>
      </c>
      <c r="C1331" s="1" t="str">
        <f t="array" ref="C1331">IF(B1330="NEW ROUTE",TEXTSPLIT(B1331,","),"")</f>
        <v/>
      </c>
      <c r="H1331" s="1" t="str">
        <f t="shared" ref="H1331:I1331" si="1333">IF(C1331&lt;&gt;"",DEC2HEX(C1331,2),"")</f>
        <v/>
      </c>
      <c r="I1331" s="1" t="str">
        <f t="shared" si="1333"/>
        <v/>
      </c>
      <c r="J1331" s="1" t="str">
        <f t="shared" si="3"/>
        <v/>
      </c>
      <c r="L1331" s="1" t="s">
        <v>789</v>
      </c>
      <c r="M1331" s="1" t="str">
        <f t="shared" si="4"/>
        <v>40, 40, GASTLY</v>
      </c>
    </row>
    <row r="1332" ht="12.75" customHeight="1">
      <c r="A1332" s="3" t="s">
        <v>3193</v>
      </c>
      <c r="B1332" s="3" t="str">
        <f t="shared" si="1"/>
        <v>37, 37, ZUBAT</v>
      </c>
      <c r="C1332" s="1" t="str">
        <f t="array" ref="C1332">IF(B1331="NEW ROUTE",TEXTSPLIT(B1332,","),"")</f>
        <v/>
      </c>
      <c r="H1332" s="1" t="str">
        <f t="shared" ref="H1332:I1332" si="1334">IF(C1332&lt;&gt;"",DEC2HEX(C1332,2),"")</f>
        <v/>
      </c>
      <c r="I1332" s="1" t="str">
        <f t="shared" si="1334"/>
        <v/>
      </c>
      <c r="J1332" s="1" t="str">
        <f t="shared" si="3"/>
        <v/>
      </c>
      <c r="L1332" s="1" t="s">
        <v>3193</v>
      </c>
      <c r="M1332" s="1" t="str">
        <f t="shared" si="4"/>
        <v>37, 37, ZUBAT</v>
      </c>
    </row>
    <row r="1333" ht="12.75" customHeight="1">
      <c r="A1333" s="3" t="s">
        <v>2802</v>
      </c>
      <c r="B1333" s="3" t="str">
        <f t="shared" si="1"/>
        <v>0.1</v>
      </c>
      <c r="C1333" s="1" t="str">
        <f t="array" ref="C1333">IF(B1332="NEW ROUTE",TEXTSPLIT(B1333,","),"")</f>
        <v/>
      </c>
      <c r="H1333" s="1" t="str">
        <f t="shared" ref="H1333:I1333" si="1335">IF(C1333&lt;&gt;"",DEC2HEX(C1333,2),"")</f>
        <v/>
      </c>
      <c r="I1333" s="1" t="str">
        <f t="shared" si="1335"/>
        <v/>
      </c>
      <c r="J1333" s="1" t="str">
        <f t="shared" si="3"/>
        <v/>
      </c>
      <c r="L1333" s="1" t="s">
        <v>2802</v>
      </c>
      <c r="M1333" s="1" t="str">
        <f t="shared" si="4"/>
        <v>0.1</v>
      </c>
    </row>
    <row r="1334" ht="12.75" customHeight="1">
      <c r="A1334" s="3" t="s">
        <v>3194</v>
      </c>
      <c r="B1334" s="3" t="str">
        <f t="shared" si="1"/>
        <v>44, 44, HAUNTER</v>
      </c>
      <c r="C1334" s="1" t="str">
        <f t="array" ref="C1334">IF(B1333="NEW ROUTE",TEXTSPLIT(B1334,","),"")</f>
        <v/>
      </c>
      <c r="H1334" s="1" t="str">
        <f t="shared" ref="H1334:I1334" si="1336">IF(C1334&lt;&gt;"",DEC2HEX(C1334,2),"")</f>
        <v/>
      </c>
      <c r="I1334" s="1" t="str">
        <f t="shared" si="1336"/>
        <v/>
      </c>
      <c r="J1334" s="1" t="str">
        <f t="shared" si="3"/>
        <v/>
      </c>
      <c r="L1334" s="1" t="s">
        <v>3194</v>
      </c>
      <c r="M1334" s="1" t="str">
        <f t="shared" si="4"/>
        <v>44, 44, HAUNTER</v>
      </c>
    </row>
    <row r="1335" ht="12.75" customHeight="1">
      <c r="A1335" s="3" t="s">
        <v>3195</v>
      </c>
      <c r="B1335" s="3" t="str">
        <f t="shared" si="1"/>
        <v>46, 46, HAUNTER</v>
      </c>
      <c r="C1335" s="1" t="str">
        <f t="array" ref="C1335">IF(B1334="NEW ROUTE",TEXTSPLIT(B1335,","),"")</f>
        <v/>
      </c>
      <c r="H1335" s="1" t="str">
        <f t="shared" ref="H1335:I1335" si="1337">IF(C1335&lt;&gt;"",DEC2HEX(C1335,2),"")</f>
        <v/>
      </c>
      <c r="I1335" s="1" t="str">
        <f t="shared" si="1337"/>
        <v/>
      </c>
      <c r="J1335" s="1" t="str">
        <f t="shared" si="3"/>
        <v/>
      </c>
      <c r="L1335" s="1" t="s">
        <v>3195</v>
      </c>
      <c r="M1335" s="1" t="str">
        <f t="shared" si="4"/>
        <v>46, 46, HAUNTER</v>
      </c>
    </row>
    <row r="1336" ht="12.75" customHeight="1">
      <c r="A1336" s="3" t="s">
        <v>3196</v>
      </c>
      <c r="B1336" s="3" t="str">
        <f t="shared" si="1"/>
        <v>41, 41, GOLBAT</v>
      </c>
      <c r="C1336" s="1" t="str">
        <f t="array" ref="C1336">IF(B1335="NEW ROUTE",TEXTSPLIT(B1336,","),"")</f>
        <v/>
      </c>
      <c r="H1336" s="1" t="str">
        <f t="shared" ref="H1336:I1336" si="1338">IF(C1336&lt;&gt;"",DEC2HEX(C1336,2),"")</f>
        <v/>
      </c>
      <c r="I1336" s="1" t="str">
        <f t="shared" si="1338"/>
        <v/>
      </c>
      <c r="J1336" s="1" t="str">
        <f t="shared" si="3"/>
        <v/>
      </c>
      <c r="L1336" s="1" t="s">
        <v>3196</v>
      </c>
      <c r="M1336" s="1" t="str">
        <f t="shared" si="4"/>
        <v>41, 41, GOLBAT</v>
      </c>
    </row>
    <row r="1337" ht="12.75" customHeight="1">
      <c r="A1337" s="3" t="s">
        <v>3197</v>
      </c>
      <c r="B1337" s="3" t="str">
        <f t="shared" si="1"/>
        <v>43, 43, GOLBAT</v>
      </c>
      <c r="C1337" s="1" t="str">
        <f t="array" ref="C1337">IF(B1336="NEW ROUTE",TEXTSPLIT(B1337,","),"")</f>
        <v/>
      </c>
      <c r="H1337" s="1" t="str">
        <f t="shared" ref="H1337:I1337" si="1339">IF(C1337&lt;&gt;"",DEC2HEX(C1337,2),"")</f>
        <v/>
      </c>
      <c r="I1337" s="1" t="str">
        <f t="shared" si="1339"/>
        <v/>
      </c>
      <c r="J1337" s="1" t="str">
        <f t="shared" si="3"/>
        <v/>
      </c>
      <c r="L1337" s="1" t="s">
        <v>3197</v>
      </c>
      <c r="M1337" s="1" t="str">
        <f t="shared" si="4"/>
        <v>43, 43, GOLBAT</v>
      </c>
    </row>
    <row r="1338" ht="12.75" customHeight="1">
      <c r="A1338" s="3" t="s">
        <v>2807</v>
      </c>
      <c r="B1338" s="3" t="str">
        <f t="shared" si="1"/>
        <v>0.05</v>
      </c>
      <c r="C1338" s="1" t="str">
        <f t="array" ref="C1338">IF(B1337="NEW ROUTE",TEXTSPLIT(B1338,","),"")</f>
        <v/>
      </c>
      <c r="H1338" s="1" t="str">
        <f t="shared" ref="H1338:I1338" si="1340">IF(C1338&lt;&gt;"",DEC2HEX(C1338,2),"")</f>
        <v/>
      </c>
      <c r="I1338" s="1" t="str">
        <f t="shared" si="1340"/>
        <v/>
      </c>
      <c r="J1338" s="1" t="str">
        <f t="shared" si="3"/>
        <v/>
      </c>
      <c r="L1338" s="1" t="s">
        <v>2807</v>
      </c>
      <c r="M1338" s="1" t="str">
        <f t="shared" si="4"/>
        <v>0.05</v>
      </c>
    </row>
    <row r="1339" ht="12.75" customHeight="1">
      <c r="A1339" s="3" t="s">
        <v>3198</v>
      </c>
      <c r="B1339" s="3" t="str">
        <f t="shared" si="1"/>
        <v>38, 38, GASTLY</v>
      </c>
      <c r="C1339" s="1" t="str">
        <f t="array" ref="C1339">IF(B1338="NEW ROUTE",TEXTSPLIT(B1339,","),"")</f>
        <v/>
      </c>
      <c r="H1339" s="1" t="str">
        <f t="shared" ref="H1339:I1339" si="1341">IF(C1339&lt;&gt;"",DEC2HEX(C1339,2),"")</f>
        <v/>
      </c>
      <c r="I1339" s="1" t="str">
        <f t="shared" si="1341"/>
        <v/>
      </c>
      <c r="J1339" s="1" t="str">
        <f t="shared" si="3"/>
        <v/>
      </c>
      <c r="L1339" s="1" t="s">
        <v>3198</v>
      </c>
      <c r="M1339" s="1" t="str">
        <f t="shared" si="4"/>
        <v>38, 38, GASTLY</v>
      </c>
    </row>
    <row r="1340" ht="12.75" customHeight="1">
      <c r="A1340" s="3" t="s">
        <v>3199</v>
      </c>
      <c r="B1340" s="3" t="str">
        <f t="shared" si="1"/>
        <v>48, 48, HAUNTER</v>
      </c>
      <c r="C1340" s="1" t="str">
        <f t="array" ref="C1340">IF(B1339="NEW ROUTE",TEXTSPLIT(B1340,","),"")</f>
        <v/>
      </c>
      <c r="H1340" s="1" t="str">
        <f t="shared" ref="H1340:I1340" si="1342">IF(C1340&lt;&gt;"",DEC2HEX(C1340,2),"")</f>
        <v/>
      </c>
      <c r="I1340" s="1" t="str">
        <f t="shared" si="1342"/>
        <v/>
      </c>
      <c r="J1340" s="1" t="str">
        <f t="shared" si="3"/>
        <v/>
      </c>
      <c r="L1340" s="1" t="s">
        <v>3199</v>
      </c>
      <c r="M1340" s="1" t="str">
        <f t="shared" si="4"/>
        <v>48, 48, HAUNTER</v>
      </c>
    </row>
    <row r="1341" ht="12.75" customHeight="1">
      <c r="A1341" s="3" t="s">
        <v>2810</v>
      </c>
      <c r="B1341" s="3" t="str">
        <f t="shared" si="1"/>
        <v>0.04</v>
      </c>
      <c r="C1341" s="1" t="str">
        <f t="array" ref="C1341">IF(B1340="NEW ROUTE",TEXTSPLIT(B1341,","),"")</f>
        <v/>
      </c>
      <c r="H1341" s="1" t="str">
        <f t="shared" ref="H1341:I1341" si="1343">IF(C1341&lt;&gt;"",DEC2HEX(C1341,2),"")</f>
        <v/>
      </c>
      <c r="I1341" s="1" t="str">
        <f t="shared" si="1343"/>
        <v/>
      </c>
      <c r="J1341" s="1" t="str">
        <f t="shared" si="3"/>
        <v/>
      </c>
      <c r="L1341" s="1" t="s">
        <v>2810</v>
      </c>
      <c r="M1341" s="1" t="str">
        <f t="shared" si="4"/>
        <v>0.04</v>
      </c>
    </row>
    <row r="1342" ht="12.75" customHeight="1">
      <c r="A1342" s="3" t="s">
        <v>3200</v>
      </c>
      <c r="B1342" s="3" t="str">
        <f t="shared" si="1"/>
        <v>50, 50, HAUNTER</v>
      </c>
      <c r="C1342" s="1" t="str">
        <f t="array" ref="C1342">IF(B1341="NEW ROUTE",TEXTSPLIT(B1342,","),"")</f>
        <v/>
      </c>
      <c r="H1342" s="1" t="str">
        <f t="shared" ref="H1342:I1342" si="1344">IF(C1342&lt;&gt;"",DEC2HEX(C1342,2),"")</f>
        <v/>
      </c>
      <c r="I1342" s="1" t="str">
        <f t="shared" si="1344"/>
        <v/>
      </c>
      <c r="J1342" s="1" t="str">
        <f t="shared" si="3"/>
        <v/>
      </c>
      <c r="L1342" s="1" t="s">
        <v>3200</v>
      </c>
      <c r="M1342" s="1" t="str">
        <f t="shared" si="4"/>
        <v>50, 50, HAUNTER</v>
      </c>
    </row>
    <row r="1343" ht="12.75" customHeight="1">
      <c r="A1343" s="3" t="s">
        <v>3201</v>
      </c>
      <c r="B1343" s="3" t="str">
        <f t="shared" si="1"/>
        <v>22, 22, MISDREAVUS</v>
      </c>
      <c r="C1343" s="1" t="str">
        <f t="array" ref="C1343">IF(B1342="NEW ROUTE",TEXTSPLIT(B1343,","),"")</f>
        <v/>
      </c>
      <c r="H1343" s="1" t="str">
        <f t="shared" ref="H1343:I1343" si="1345">IF(C1343&lt;&gt;"",DEC2HEX(C1343,2),"")</f>
        <v/>
      </c>
      <c r="I1343" s="1" t="str">
        <f t="shared" si="1345"/>
        <v/>
      </c>
      <c r="J1343" s="1" t="str">
        <f t="shared" si="3"/>
        <v/>
      </c>
      <c r="L1343" s="1" t="s">
        <v>3201</v>
      </c>
      <c r="M1343" s="1" t="str">
        <f t="shared" si="4"/>
        <v>22, 22, MISDREAVUS</v>
      </c>
    </row>
    <row r="1344" ht="12.75" customHeight="1">
      <c r="A1344" s="3" t="s">
        <v>2813</v>
      </c>
      <c r="B1344" s="3" t="str">
        <f t="shared" si="1"/>
        <v>0.01</v>
      </c>
      <c r="C1344" s="1" t="str">
        <f t="array" ref="C1344">IF(B1343="NEW ROUTE",TEXTSPLIT(B1344,","),"")</f>
        <v/>
      </c>
      <c r="H1344" s="1" t="str">
        <f t="shared" ref="H1344:I1344" si="1346">IF(C1344&lt;&gt;"",DEC2HEX(C1344,2),"")</f>
        <v/>
      </c>
      <c r="I1344" s="1" t="str">
        <f t="shared" si="1346"/>
        <v/>
      </c>
      <c r="J1344" s="1" t="str">
        <f t="shared" si="3"/>
        <v/>
      </c>
      <c r="L1344" s="1" t="s">
        <v>2813</v>
      </c>
      <c r="M1344" s="1" t="str">
        <f t="shared" si="4"/>
        <v>0.01</v>
      </c>
    </row>
    <row r="1345" ht="12.75" customHeight="1">
      <c r="A1345" s="3" t="s">
        <v>3202</v>
      </c>
      <c r="B1345" s="3" t="str">
        <f t="shared" si="1"/>
        <v>52, 52, HAUNTER</v>
      </c>
      <c r="C1345" s="1" t="str">
        <f t="array" ref="C1345">IF(B1344="NEW ROUTE",TEXTSPLIT(B1345,","),"")</f>
        <v/>
      </c>
      <c r="H1345" s="1" t="str">
        <f t="shared" ref="H1345:I1345" si="1347">IF(C1345&lt;&gt;"",DEC2HEX(C1345,2),"")</f>
        <v/>
      </c>
      <c r="I1345" s="1" t="str">
        <f t="shared" si="1347"/>
        <v/>
      </c>
      <c r="J1345" s="1" t="str">
        <f t="shared" si="3"/>
        <v/>
      </c>
      <c r="L1345" s="1" t="s">
        <v>3202</v>
      </c>
      <c r="M1345" s="1" t="str">
        <f t="shared" si="4"/>
        <v>52, 52, HAUNTER</v>
      </c>
    </row>
    <row r="1346" ht="12.75" customHeight="1">
      <c r="A1346" s="3" t="s">
        <v>3203</v>
      </c>
      <c r="B1346" s="3" t="str">
        <f t="shared" si="1"/>
        <v>22, 22, MISDREAVUS , &lt;null&gt;, &lt;null&gt;, &lt;null&gt;</v>
      </c>
      <c r="C1346" s="1" t="str">
        <f t="array" ref="C1346">IF(B1345="NEW ROUTE",TEXTSPLIT(B1346,","),"")</f>
        <v/>
      </c>
      <c r="H1346" s="1" t="str">
        <f t="shared" ref="H1346:I1346" si="1348">IF(C1346&lt;&gt;"",DEC2HEX(C1346,2),"")</f>
        <v/>
      </c>
      <c r="I1346" s="1" t="str">
        <f t="shared" si="1348"/>
        <v/>
      </c>
      <c r="J1346" s="1" t="str">
        <f t="shared" si="3"/>
        <v/>
      </c>
      <c r="L1346" s="1" t="s">
        <v>3203</v>
      </c>
      <c r="M1346" s="1" t="str">
        <f t="shared" si="4"/>
        <v>22, 22, MISDREAVUS , &lt;null&gt;, &lt;null&gt;, &lt;null&gt;</v>
      </c>
    </row>
    <row r="1347" ht="12.75" customHeight="1">
      <c r="A1347" s="3" t="s">
        <v>2539</v>
      </c>
      <c r="B1347" s="3" t="str">
        <f t="shared" si="1"/>
        <v>NEW ROUTE</v>
      </c>
      <c r="C1347" s="1" t="str">
        <f t="array" ref="C1347">IF(B1346="NEW ROUTE",TEXTSPLIT(B1347,","),"")</f>
        <v/>
      </c>
      <c r="H1347" s="1" t="str">
        <f t="shared" ref="H1347:I1347" si="1349">IF(C1347&lt;&gt;"",DEC2HEX(C1347,2),"")</f>
        <v/>
      </c>
      <c r="I1347" s="1" t="str">
        <f t="shared" si="1349"/>
        <v/>
      </c>
      <c r="J1347" s="1" t="str">
        <f t="shared" si="3"/>
        <v/>
      </c>
      <c r="L1347" s="1" t="s">
        <v>2539</v>
      </c>
      <c r="M1347" s="1" t="str">
        <f t="shared" si="4"/>
        <v>NEW ROUTE</v>
      </c>
    </row>
    <row r="1348" ht="12.75" customHeight="1">
      <c r="A1348" s="3" t="s">
        <v>3214</v>
      </c>
      <c r="B1348" s="3" t="str">
        <f t="shared" si="1"/>
        <v>2, 22, 0,</v>
      </c>
      <c r="C1348" s="1" t="str">
        <f t="array" ref="C1348">IF(B1347="NEW ROUTE",TEXTSPLIT(B1348,","),"")</f>
        <v>#NAME?</v>
      </c>
      <c r="H1348" s="1" t="str">
        <f t="shared" ref="H1348:I1348" si="1350">IF(C1348&lt;&gt;"",DEC2HEX(C1348,2),"")</f>
        <v>#NAME?</v>
      </c>
      <c r="I1348" s="1" t="str">
        <f t="shared" si="1350"/>
        <v/>
      </c>
      <c r="J1348" s="1" t="str">
        <f t="shared" si="3"/>
        <v>#NAME?</v>
      </c>
      <c r="L1348" s="1" t="s">
        <v>3214</v>
      </c>
      <c r="M1348" s="1" t="str">
        <f t="shared" si="4"/>
        <v>#NAME?</v>
      </c>
    </row>
    <row r="1349" ht="12.75" customHeight="1">
      <c r="A1349" s="3" t="s">
        <v>3056</v>
      </c>
      <c r="B1349" s="3" t="str">
        <f t="shared" si="1"/>
        <v>20%</v>
      </c>
      <c r="C1349" s="1" t="str">
        <f t="array" ref="C1349">IF(B1348="NEW ROUTE",TEXTSPLIT(B1349,","),"")</f>
        <v/>
      </c>
      <c r="H1349" s="1" t="str">
        <f t="shared" ref="H1349:I1349" si="1351">IF(C1349&lt;&gt;"",DEC2HEX(C1349,2),"")</f>
        <v/>
      </c>
      <c r="I1349" s="1" t="str">
        <f t="shared" si="1351"/>
        <v/>
      </c>
      <c r="J1349" s="1" t="str">
        <f t="shared" si="3"/>
        <v/>
      </c>
      <c r="L1349" s="1" t="s">
        <v>2799</v>
      </c>
      <c r="M1349" s="1" t="str">
        <f t="shared" si="4"/>
        <v>20%</v>
      </c>
    </row>
    <row r="1350" ht="12.75" customHeight="1">
      <c r="A1350" s="3" t="s">
        <v>789</v>
      </c>
      <c r="B1350" s="3" t="str">
        <f t="shared" si="1"/>
        <v>40, 40, GASTLY</v>
      </c>
      <c r="C1350" s="1" t="str">
        <f t="array" ref="C1350">IF(B1349="NEW ROUTE",TEXTSPLIT(B1350,","),"")</f>
        <v/>
      </c>
      <c r="H1350" s="1" t="str">
        <f t="shared" ref="H1350:I1350" si="1352">IF(C1350&lt;&gt;"",DEC2HEX(C1350,2),"")</f>
        <v/>
      </c>
      <c r="I1350" s="1" t="str">
        <f t="shared" si="1352"/>
        <v/>
      </c>
      <c r="J1350" s="1" t="str">
        <f t="shared" si="3"/>
        <v/>
      </c>
      <c r="L1350" s="1" t="s">
        <v>789</v>
      </c>
      <c r="M1350" s="1" t="str">
        <f t="shared" si="4"/>
        <v>40, 40, GASTLY</v>
      </c>
    </row>
    <row r="1351" ht="12.75" customHeight="1">
      <c r="A1351" s="3" t="s">
        <v>3193</v>
      </c>
      <c r="B1351" s="3" t="str">
        <f t="shared" si="1"/>
        <v>37, 37, ZUBAT</v>
      </c>
      <c r="C1351" s="1" t="str">
        <f t="array" ref="C1351">IF(B1350="NEW ROUTE",TEXTSPLIT(B1351,","),"")</f>
        <v/>
      </c>
      <c r="H1351" s="1" t="str">
        <f t="shared" ref="H1351:I1351" si="1353">IF(C1351&lt;&gt;"",DEC2HEX(C1351,2),"")</f>
        <v/>
      </c>
      <c r="I1351" s="1" t="str">
        <f t="shared" si="1353"/>
        <v/>
      </c>
      <c r="J1351" s="1" t="str">
        <f t="shared" si="3"/>
        <v/>
      </c>
      <c r="L1351" s="1" t="s">
        <v>3193</v>
      </c>
      <c r="M1351" s="1" t="str">
        <f t="shared" si="4"/>
        <v>37, 37, ZUBAT</v>
      </c>
    </row>
    <row r="1352" ht="12.75" customHeight="1">
      <c r="A1352" s="3" t="s">
        <v>2802</v>
      </c>
      <c r="B1352" s="3" t="str">
        <f t="shared" si="1"/>
        <v>0.1</v>
      </c>
      <c r="C1352" s="1" t="str">
        <f t="array" ref="C1352">IF(B1351="NEW ROUTE",TEXTSPLIT(B1352,","),"")</f>
        <v/>
      </c>
      <c r="H1352" s="1" t="str">
        <f t="shared" ref="H1352:I1352" si="1354">IF(C1352&lt;&gt;"",DEC2HEX(C1352,2),"")</f>
        <v/>
      </c>
      <c r="I1352" s="1" t="str">
        <f t="shared" si="1354"/>
        <v/>
      </c>
      <c r="J1352" s="1" t="str">
        <f t="shared" si="3"/>
        <v/>
      </c>
      <c r="L1352" s="1" t="s">
        <v>2802</v>
      </c>
      <c r="M1352" s="1" t="str">
        <f t="shared" si="4"/>
        <v>0.1</v>
      </c>
    </row>
    <row r="1353" ht="12.75" customHeight="1">
      <c r="A1353" s="3" t="s">
        <v>3194</v>
      </c>
      <c r="B1353" s="3" t="str">
        <f t="shared" si="1"/>
        <v>44, 44, HAUNTER</v>
      </c>
      <c r="C1353" s="1" t="str">
        <f t="array" ref="C1353">IF(B1352="NEW ROUTE",TEXTSPLIT(B1353,","),"")</f>
        <v/>
      </c>
      <c r="H1353" s="1" t="str">
        <f t="shared" ref="H1353:I1353" si="1355">IF(C1353&lt;&gt;"",DEC2HEX(C1353,2),"")</f>
        <v/>
      </c>
      <c r="I1353" s="1" t="str">
        <f t="shared" si="1355"/>
        <v/>
      </c>
      <c r="J1353" s="1" t="str">
        <f t="shared" si="3"/>
        <v/>
      </c>
      <c r="L1353" s="1" t="s">
        <v>3194</v>
      </c>
      <c r="M1353" s="1" t="str">
        <f t="shared" si="4"/>
        <v>44, 44, HAUNTER</v>
      </c>
    </row>
    <row r="1354" ht="12.75" customHeight="1">
      <c r="A1354" s="3" t="s">
        <v>3195</v>
      </c>
      <c r="B1354" s="3" t="str">
        <f t="shared" si="1"/>
        <v>46, 46, HAUNTER</v>
      </c>
      <c r="C1354" s="1" t="str">
        <f t="array" ref="C1354">IF(B1353="NEW ROUTE",TEXTSPLIT(B1354,","),"")</f>
        <v/>
      </c>
      <c r="H1354" s="1" t="str">
        <f t="shared" ref="H1354:I1354" si="1356">IF(C1354&lt;&gt;"",DEC2HEX(C1354,2),"")</f>
        <v/>
      </c>
      <c r="I1354" s="1" t="str">
        <f t="shared" si="1356"/>
        <v/>
      </c>
      <c r="J1354" s="1" t="str">
        <f t="shared" si="3"/>
        <v/>
      </c>
      <c r="L1354" s="1" t="s">
        <v>3195</v>
      </c>
      <c r="M1354" s="1" t="str">
        <f t="shared" si="4"/>
        <v>46, 46, HAUNTER</v>
      </c>
    </row>
    <row r="1355" ht="12.75" customHeight="1">
      <c r="A1355" s="3" t="s">
        <v>3196</v>
      </c>
      <c r="B1355" s="3" t="str">
        <f t="shared" si="1"/>
        <v>41, 41, GOLBAT</v>
      </c>
      <c r="C1355" s="1" t="str">
        <f t="array" ref="C1355">IF(B1354="NEW ROUTE",TEXTSPLIT(B1355,","),"")</f>
        <v/>
      </c>
      <c r="H1355" s="1" t="str">
        <f t="shared" ref="H1355:I1355" si="1357">IF(C1355&lt;&gt;"",DEC2HEX(C1355,2),"")</f>
        <v/>
      </c>
      <c r="I1355" s="1" t="str">
        <f t="shared" si="1357"/>
        <v/>
      </c>
      <c r="J1355" s="1" t="str">
        <f t="shared" si="3"/>
        <v/>
      </c>
      <c r="L1355" s="1" t="s">
        <v>3196</v>
      </c>
      <c r="M1355" s="1" t="str">
        <f t="shared" si="4"/>
        <v>41, 41, GOLBAT</v>
      </c>
    </row>
    <row r="1356" ht="12.75" customHeight="1">
      <c r="A1356" s="3" t="s">
        <v>3197</v>
      </c>
      <c r="B1356" s="3" t="str">
        <f t="shared" si="1"/>
        <v>43, 43, GOLBAT</v>
      </c>
      <c r="C1356" s="1" t="str">
        <f t="array" ref="C1356">IF(B1355="NEW ROUTE",TEXTSPLIT(B1356,","),"")</f>
        <v/>
      </c>
      <c r="H1356" s="1" t="str">
        <f t="shared" ref="H1356:I1356" si="1358">IF(C1356&lt;&gt;"",DEC2HEX(C1356,2),"")</f>
        <v/>
      </c>
      <c r="I1356" s="1" t="str">
        <f t="shared" si="1358"/>
        <v/>
      </c>
      <c r="J1356" s="1" t="str">
        <f t="shared" si="3"/>
        <v/>
      </c>
      <c r="L1356" s="1" t="s">
        <v>3197</v>
      </c>
      <c r="M1356" s="1" t="str">
        <f t="shared" si="4"/>
        <v>43, 43, GOLBAT</v>
      </c>
    </row>
    <row r="1357" ht="12.75" customHeight="1">
      <c r="A1357" s="3" t="s">
        <v>2807</v>
      </c>
      <c r="B1357" s="3" t="str">
        <f t="shared" si="1"/>
        <v>0.05</v>
      </c>
      <c r="C1357" s="1" t="str">
        <f t="array" ref="C1357">IF(B1356="NEW ROUTE",TEXTSPLIT(B1357,","),"")</f>
        <v/>
      </c>
      <c r="H1357" s="1" t="str">
        <f t="shared" ref="H1357:I1357" si="1359">IF(C1357&lt;&gt;"",DEC2HEX(C1357,2),"")</f>
        <v/>
      </c>
      <c r="I1357" s="1" t="str">
        <f t="shared" si="1359"/>
        <v/>
      </c>
      <c r="J1357" s="1" t="str">
        <f t="shared" si="3"/>
        <v/>
      </c>
      <c r="L1357" s="1" t="s">
        <v>2807</v>
      </c>
      <c r="M1357" s="1" t="str">
        <f t="shared" si="4"/>
        <v>0.05</v>
      </c>
    </row>
    <row r="1358" ht="12.75" customHeight="1">
      <c r="A1358" s="3" t="s">
        <v>3198</v>
      </c>
      <c r="B1358" s="3" t="str">
        <f t="shared" si="1"/>
        <v>38, 38, GASTLY</v>
      </c>
      <c r="C1358" s="1" t="str">
        <f t="array" ref="C1358">IF(B1357="NEW ROUTE",TEXTSPLIT(B1358,","),"")</f>
        <v/>
      </c>
      <c r="H1358" s="1" t="str">
        <f t="shared" ref="H1358:I1358" si="1360">IF(C1358&lt;&gt;"",DEC2HEX(C1358,2),"")</f>
        <v/>
      </c>
      <c r="I1358" s="1" t="str">
        <f t="shared" si="1360"/>
        <v/>
      </c>
      <c r="J1358" s="1" t="str">
        <f t="shared" si="3"/>
        <v/>
      </c>
      <c r="L1358" s="1" t="s">
        <v>3198</v>
      </c>
      <c r="M1358" s="1" t="str">
        <f t="shared" si="4"/>
        <v>38, 38, GASTLY</v>
      </c>
    </row>
    <row r="1359" ht="12.75" customHeight="1">
      <c r="A1359" s="3" t="s">
        <v>3199</v>
      </c>
      <c r="B1359" s="3" t="str">
        <f t="shared" si="1"/>
        <v>48, 48, HAUNTER</v>
      </c>
      <c r="C1359" s="1" t="str">
        <f t="array" ref="C1359">IF(B1358="NEW ROUTE",TEXTSPLIT(B1359,","),"")</f>
        <v/>
      </c>
      <c r="H1359" s="1" t="str">
        <f t="shared" ref="H1359:I1359" si="1361">IF(C1359&lt;&gt;"",DEC2HEX(C1359,2),"")</f>
        <v/>
      </c>
      <c r="I1359" s="1" t="str">
        <f t="shared" si="1361"/>
        <v/>
      </c>
      <c r="J1359" s="1" t="str">
        <f t="shared" si="3"/>
        <v/>
      </c>
      <c r="L1359" s="1" t="s">
        <v>3199</v>
      </c>
      <c r="M1359" s="1" t="str">
        <f t="shared" si="4"/>
        <v>48, 48, HAUNTER</v>
      </c>
    </row>
    <row r="1360" ht="12.75" customHeight="1">
      <c r="A1360" s="3" t="s">
        <v>2810</v>
      </c>
      <c r="B1360" s="3" t="str">
        <f t="shared" si="1"/>
        <v>0.04</v>
      </c>
      <c r="C1360" s="1" t="str">
        <f t="array" ref="C1360">IF(B1359="NEW ROUTE",TEXTSPLIT(B1360,","),"")</f>
        <v/>
      </c>
      <c r="H1360" s="1" t="str">
        <f t="shared" ref="H1360:I1360" si="1362">IF(C1360&lt;&gt;"",DEC2HEX(C1360,2),"")</f>
        <v/>
      </c>
      <c r="I1360" s="1" t="str">
        <f t="shared" si="1362"/>
        <v/>
      </c>
      <c r="J1360" s="1" t="str">
        <f t="shared" si="3"/>
        <v/>
      </c>
      <c r="L1360" s="1" t="s">
        <v>2810</v>
      </c>
      <c r="M1360" s="1" t="str">
        <f t="shared" si="4"/>
        <v>0.04</v>
      </c>
    </row>
    <row r="1361" ht="12.75" customHeight="1">
      <c r="A1361" s="3" t="s">
        <v>3200</v>
      </c>
      <c r="B1361" s="3" t="str">
        <f t="shared" si="1"/>
        <v>50, 50, HAUNTER</v>
      </c>
      <c r="C1361" s="1" t="str">
        <f t="array" ref="C1361">IF(B1360="NEW ROUTE",TEXTSPLIT(B1361,","),"")</f>
        <v/>
      </c>
      <c r="H1361" s="1" t="str">
        <f t="shared" ref="H1361:I1361" si="1363">IF(C1361&lt;&gt;"",DEC2HEX(C1361,2),"")</f>
        <v/>
      </c>
      <c r="I1361" s="1" t="str">
        <f t="shared" si="1363"/>
        <v/>
      </c>
      <c r="J1361" s="1" t="str">
        <f t="shared" si="3"/>
        <v/>
      </c>
      <c r="L1361" s="1" t="s">
        <v>3200</v>
      </c>
      <c r="M1361" s="1" t="str">
        <f t="shared" si="4"/>
        <v>50, 50, HAUNTER</v>
      </c>
    </row>
    <row r="1362" ht="12.75" customHeight="1">
      <c r="A1362" s="3" t="s">
        <v>3201</v>
      </c>
      <c r="B1362" s="3" t="str">
        <f t="shared" si="1"/>
        <v>22, 22, MISDREAVUS</v>
      </c>
      <c r="C1362" s="1" t="str">
        <f t="array" ref="C1362">IF(B1361="NEW ROUTE",TEXTSPLIT(B1362,","),"")</f>
        <v/>
      </c>
      <c r="H1362" s="1" t="str">
        <f t="shared" ref="H1362:I1362" si="1364">IF(C1362&lt;&gt;"",DEC2HEX(C1362,2),"")</f>
        <v/>
      </c>
      <c r="I1362" s="1" t="str">
        <f t="shared" si="1364"/>
        <v/>
      </c>
      <c r="J1362" s="1" t="str">
        <f t="shared" si="3"/>
        <v/>
      </c>
      <c r="L1362" s="1" t="s">
        <v>3201</v>
      </c>
      <c r="M1362" s="1" t="str">
        <f t="shared" si="4"/>
        <v>22, 22, MISDREAVUS</v>
      </c>
    </row>
    <row r="1363" ht="12.75" customHeight="1">
      <c r="A1363" s="3" t="s">
        <v>2813</v>
      </c>
      <c r="B1363" s="3" t="str">
        <f t="shared" si="1"/>
        <v>0.01</v>
      </c>
      <c r="C1363" s="1" t="str">
        <f t="array" ref="C1363">IF(B1362="NEW ROUTE",TEXTSPLIT(B1363,","),"")</f>
        <v/>
      </c>
      <c r="H1363" s="1" t="str">
        <f t="shared" ref="H1363:I1363" si="1365">IF(C1363&lt;&gt;"",DEC2HEX(C1363,2),"")</f>
        <v/>
      </c>
      <c r="I1363" s="1" t="str">
        <f t="shared" si="1365"/>
        <v/>
      </c>
      <c r="J1363" s="1" t="str">
        <f t="shared" si="3"/>
        <v/>
      </c>
      <c r="L1363" s="1" t="s">
        <v>2813</v>
      </c>
      <c r="M1363" s="1" t="str">
        <f t="shared" si="4"/>
        <v>0.01</v>
      </c>
    </row>
    <row r="1364" ht="12.75" customHeight="1">
      <c r="A1364" s="3" t="s">
        <v>3202</v>
      </c>
      <c r="B1364" s="3" t="str">
        <f t="shared" si="1"/>
        <v>52, 52, HAUNTER</v>
      </c>
      <c r="C1364" s="1" t="str">
        <f t="array" ref="C1364">IF(B1363="NEW ROUTE",TEXTSPLIT(B1364,","),"")</f>
        <v/>
      </c>
      <c r="H1364" s="1" t="str">
        <f t="shared" ref="H1364:I1364" si="1366">IF(C1364&lt;&gt;"",DEC2HEX(C1364,2),"")</f>
        <v/>
      </c>
      <c r="I1364" s="1" t="str">
        <f t="shared" si="1366"/>
        <v/>
      </c>
      <c r="J1364" s="1" t="str">
        <f t="shared" si="3"/>
        <v/>
      </c>
      <c r="L1364" s="1" t="s">
        <v>3202</v>
      </c>
      <c r="M1364" s="1" t="str">
        <f t="shared" si="4"/>
        <v>52, 52, HAUNTER</v>
      </c>
    </row>
    <row r="1365" ht="12.75" customHeight="1">
      <c r="A1365" s="3" t="s">
        <v>3203</v>
      </c>
      <c r="B1365" s="3" t="str">
        <f t="shared" si="1"/>
        <v>22, 22, MISDREAVUS , &lt;null&gt;, &lt;null&gt;, &lt;null&gt;</v>
      </c>
      <c r="C1365" s="1" t="str">
        <f t="array" ref="C1365">IF(B1364="NEW ROUTE",TEXTSPLIT(B1365,","),"")</f>
        <v/>
      </c>
      <c r="H1365" s="1" t="str">
        <f t="shared" ref="H1365:I1365" si="1367">IF(C1365&lt;&gt;"",DEC2HEX(C1365,2),"")</f>
        <v/>
      </c>
      <c r="I1365" s="1" t="str">
        <f t="shared" si="1367"/>
        <v/>
      </c>
      <c r="J1365" s="1" t="str">
        <f t="shared" si="3"/>
        <v/>
      </c>
      <c r="L1365" s="1" t="s">
        <v>3203</v>
      </c>
      <c r="M1365" s="1" t="str">
        <f t="shared" si="4"/>
        <v>22, 22, MISDREAVUS , &lt;null&gt;, &lt;null&gt;, &lt;null&gt;</v>
      </c>
    </row>
    <row r="1366" ht="12.75" customHeight="1">
      <c r="A1366" s="3" t="s">
        <v>2539</v>
      </c>
      <c r="B1366" s="3" t="str">
        <f t="shared" si="1"/>
        <v>NEW ROUTE</v>
      </c>
      <c r="C1366" s="1" t="str">
        <f t="array" ref="C1366">IF(B1365="NEW ROUTE",TEXTSPLIT(B1366,","),"")</f>
        <v/>
      </c>
      <c r="H1366" s="1" t="str">
        <f t="shared" ref="H1366:I1366" si="1368">IF(C1366&lt;&gt;"",DEC2HEX(C1366,2),"")</f>
        <v/>
      </c>
      <c r="I1366" s="1" t="str">
        <f t="shared" si="1368"/>
        <v/>
      </c>
      <c r="J1366" s="1" t="str">
        <f t="shared" si="3"/>
        <v/>
      </c>
      <c r="L1366" s="1" t="s">
        <v>2539</v>
      </c>
      <c r="M1366" s="1" t="str">
        <f t="shared" si="4"/>
        <v>NEW ROUTE</v>
      </c>
    </row>
    <row r="1367" ht="12.75" customHeight="1">
      <c r="A1367" s="3" t="s">
        <v>3215</v>
      </c>
      <c r="B1367" s="3" t="str">
        <f t="shared" si="1"/>
        <v>2, 23, 0,</v>
      </c>
      <c r="C1367" s="1" t="str">
        <f t="array" ref="C1367">IF(B1366="NEW ROUTE",TEXTSPLIT(B1367,","),"")</f>
        <v>#NAME?</v>
      </c>
      <c r="H1367" s="1" t="str">
        <f t="shared" ref="H1367:I1367" si="1369">IF(C1367&lt;&gt;"",DEC2HEX(C1367,2),"")</f>
        <v>#NAME?</v>
      </c>
      <c r="I1367" s="1" t="str">
        <f t="shared" si="1369"/>
        <v/>
      </c>
      <c r="J1367" s="1" t="str">
        <f t="shared" si="3"/>
        <v>#NAME?</v>
      </c>
      <c r="L1367" s="1" t="s">
        <v>3215</v>
      </c>
      <c r="M1367" s="1" t="str">
        <f t="shared" si="4"/>
        <v>#NAME?</v>
      </c>
    </row>
    <row r="1368" ht="12.75" customHeight="1">
      <c r="A1368" s="3" t="s">
        <v>2824</v>
      </c>
      <c r="B1368" s="3" t="str">
        <f t="shared" si="1"/>
        <v>20%</v>
      </c>
      <c r="C1368" s="1" t="str">
        <f t="array" ref="C1368">IF(B1367="NEW ROUTE",TEXTSPLIT(B1368,","),"")</f>
        <v/>
      </c>
      <c r="H1368" s="1" t="str">
        <f t="shared" ref="H1368:I1368" si="1370">IF(C1368&lt;&gt;"",DEC2HEX(C1368,2),"")</f>
        <v/>
      </c>
      <c r="I1368" s="1" t="str">
        <f t="shared" si="1370"/>
        <v/>
      </c>
      <c r="J1368" s="1" t="str">
        <f t="shared" si="3"/>
        <v/>
      </c>
      <c r="L1368" s="1" t="s">
        <v>2799</v>
      </c>
      <c r="M1368" s="1" t="str">
        <f t="shared" si="4"/>
        <v>20%</v>
      </c>
    </row>
    <row r="1369" ht="12.75" customHeight="1">
      <c r="A1369" s="3" t="s">
        <v>789</v>
      </c>
      <c r="B1369" s="3" t="str">
        <f t="shared" si="1"/>
        <v>40, 40, GASTLY</v>
      </c>
      <c r="C1369" s="1" t="str">
        <f t="array" ref="C1369">IF(B1368="NEW ROUTE",TEXTSPLIT(B1369,","),"")</f>
        <v/>
      </c>
      <c r="H1369" s="1" t="str">
        <f t="shared" ref="H1369:I1369" si="1371">IF(C1369&lt;&gt;"",DEC2HEX(C1369,2),"")</f>
        <v/>
      </c>
      <c r="I1369" s="1" t="str">
        <f t="shared" si="1371"/>
        <v/>
      </c>
      <c r="J1369" s="1" t="str">
        <f t="shared" si="3"/>
        <v/>
      </c>
      <c r="L1369" s="1" t="s">
        <v>789</v>
      </c>
      <c r="M1369" s="1" t="str">
        <f t="shared" si="4"/>
        <v>40, 40, GASTLY</v>
      </c>
    </row>
    <row r="1370" ht="12.75" customHeight="1">
      <c r="A1370" s="3" t="s">
        <v>3193</v>
      </c>
      <c r="B1370" s="3" t="str">
        <f t="shared" si="1"/>
        <v>37, 37, ZUBAT</v>
      </c>
      <c r="C1370" s="1" t="str">
        <f t="array" ref="C1370">IF(B1369="NEW ROUTE",TEXTSPLIT(B1370,","),"")</f>
        <v/>
      </c>
      <c r="H1370" s="1" t="str">
        <f t="shared" ref="H1370:I1370" si="1372">IF(C1370&lt;&gt;"",DEC2HEX(C1370,2),"")</f>
        <v/>
      </c>
      <c r="I1370" s="1" t="str">
        <f t="shared" si="1372"/>
        <v/>
      </c>
      <c r="J1370" s="1" t="str">
        <f t="shared" si="3"/>
        <v/>
      </c>
      <c r="L1370" s="1" t="s">
        <v>3193</v>
      </c>
      <c r="M1370" s="1" t="str">
        <f t="shared" si="4"/>
        <v>37, 37, ZUBAT</v>
      </c>
    </row>
    <row r="1371" ht="12.75" customHeight="1">
      <c r="A1371" s="3" t="s">
        <v>2802</v>
      </c>
      <c r="B1371" s="3" t="str">
        <f t="shared" si="1"/>
        <v>0.1</v>
      </c>
      <c r="C1371" s="1" t="str">
        <f t="array" ref="C1371">IF(B1370="NEW ROUTE",TEXTSPLIT(B1371,","),"")</f>
        <v/>
      </c>
      <c r="H1371" s="1" t="str">
        <f t="shared" ref="H1371:I1371" si="1373">IF(C1371&lt;&gt;"",DEC2HEX(C1371,2),"")</f>
        <v/>
      </c>
      <c r="I1371" s="1" t="str">
        <f t="shared" si="1373"/>
        <v/>
      </c>
      <c r="J1371" s="1" t="str">
        <f t="shared" si="3"/>
        <v/>
      </c>
      <c r="L1371" s="1" t="s">
        <v>2802</v>
      </c>
      <c r="M1371" s="1" t="str">
        <f t="shared" si="4"/>
        <v>0.1</v>
      </c>
    </row>
    <row r="1372" ht="12.75" customHeight="1">
      <c r="A1372" s="3" t="s">
        <v>3194</v>
      </c>
      <c r="B1372" s="3" t="str">
        <f t="shared" si="1"/>
        <v>44, 44, HAUNTER</v>
      </c>
      <c r="C1372" s="1" t="str">
        <f t="array" ref="C1372">IF(B1371="NEW ROUTE",TEXTSPLIT(B1372,","),"")</f>
        <v/>
      </c>
      <c r="H1372" s="1" t="str">
        <f t="shared" ref="H1372:I1372" si="1374">IF(C1372&lt;&gt;"",DEC2HEX(C1372,2),"")</f>
        <v/>
      </c>
      <c r="I1372" s="1" t="str">
        <f t="shared" si="1374"/>
        <v/>
      </c>
      <c r="J1372" s="1" t="str">
        <f t="shared" si="3"/>
        <v/>
      </c>
      <c r="L1372" s="1" t="s">
        <v>3194</v>
      </c>
      <c r="M1372" s="1" t="str">
        <f t="shared" si="4"/>
        <v>44, 44, HAUNTER</v>
      </c>
    </row>
    <row r="1373" ht="12.75" customHeight="1">
      <c r="A1373" s="3" t="s">
        <v>3195</v>
      </c>
      <c r="B1373" s="3" t="str">
        <f t="shared" si="1"/>
        <v>46, 46, HAUNTER</v>
      </c>
      <c r="C1373" s="1" t="str">
        <f t="array" ref="C1373">IF(B1372="NEW ROUTE",TEXTSPLIT(B1373,","),"")</f>
        <v/>
      </c>
      <c r="H1373" s="1" t="str">
        <f t="shared" ref="H1373:I1373" si="1375">IF(C1373&lt;&gt;"",DEC2HEX(C1373,2),"")</f>
        <v/>
      </c>
      <c r="I1373" s="1" t="str">
        <f t="shared" si="1375"/>
        <v/>
      </c>
      <c r="J1373" s="1" t="str">
        <f t="shared" si="3"/>
        <v/>
      </c>
      <c r="L1373" s="1" t="s">
        <v>3195</v>
      </c>
      <c r="M1373" s="1" t="str">
        <f t="shared" si="4"/>
        <v>46, 46, HAUNTER</v>
      </c>
    </row>
    <row r="1374" ht="12.75" customHeight="1">
      <c r="A1374" s="3" t="s">
        <v>3196</v>
      </c>
      <c r="B1374" s="3" t="str">
        <f t="shared" si="1"/>
        <v>41, 41, GOLBAT</v>
      </c>
      <c r="C1374" s="1" t="str">
        <f t="array" ref="C1374">IF(B1373="NEW ROUTE",TEXTSPLIT(B1374,","),"")</f>
        <v/>
      </c>
      <c r="H1374" s="1" t="str">
        <f t="shared" ref="H1374:I1374" si="1376">IF(C1374&lt;&gt;"",DEC2HEX(C1374,2),"")</f>
        <v/>
      </c>
      <c r="I1374" s="1" t="str">
        <f t="shared" si="1376"/>
        <v/>
      </c>
      <c r="J1374" s="1" t="str">
        <f t="shared" si="3"/>
        <v/>
      </c>
      <c r="L1374" s="1" t="s">
        <v>3196</v>
      </c>
      <c r="M1374" s="1" t="str">
        <f t="shared" si="4"/>
        <v>41, 41, GOLBAT</v>
      </c>
    </row>
    <row r="1375" ht="12.75" customHeight="1">
      <c r="A1375" s="3" t="s">
        <v>3216</v>
      </c>
      <c r="B1375" s="3" t="str">
        <f t="shared" si="1"/>
        <v>15, 15, MISDREAVUS</v>
      </c>
      <c r="C1375" s="1" t="str">
        <f t="array" ref="C1375">IF(B1374="NEW ROUTE",TEXTSPLIT(B1375,","),"")</f>
        <v/>
      </c>
      <c r="H1375" s="1" t="str">
        <f t="shared" ref="H1375:I1375" si="1377">IF(C1375&lt;&gt;"",DEC2HEX(C1375,2),"")</f>
        <v/>
      </c>
      <c r="I1375" s="1" t="str">
        <f t="shared" si="1377"/>
        <v/>
      </c>
      <c r="J1375" s="1" t="str">
        <f t="shared" si="3"/>
        <v/>
      </c>
      <c r="L1375" s="1" t="s">
        <v>3216</v>
      </c>
      <c r="M1375" s="1" t="str">
        <f t="shared" si="4"/>
        <v>15, 15, MISDREAVUS</v>
      </c>
    </row>
    <row r="1376" ht="12.75" customHeight="1">
      <c r="A1376" s="3" t="s">
        <v>2807</v>
      </c>
      <c r="B1376" s="3" t="str">
        <f t="shared" si="1"/>
        <v>0.05</v>
      </c>
      <c r="C1376" s="1" t="str">
        <f t="array" ref="C1376">IF(B1375="NEW ROUTE",TEXTSPLIT(B1376,","),"")</f>
        <v/>
      </c>
      <c r="H1376" s="1" t="str">
        <f t="shared" ref="H1376:I1376" si="1378">IF(C1376&lt;&gt;"",DEC2HEX(C1376,2),"")</f>
        <v/>
      </c>
      <c r="I1376" s="1" t="str">
        <f t="shared" si="1378"/>
        <v/>
      </c>
      <c r="J1376" s="1" t="str">
        <f t="shared" si="3"/>
        <v/>
      </c>
      <c r="L1376" s="1" t="s">
        <v>2807</v>
      </c>
      <c r="M1376" s="1" t="str">
        <f t="shared" si="4"/>
        <v>0.05</v>
      </c>
    </row>
    <row r="1377" ht="12.75" customHeight="1">
      <c r="A1377" s="3" t="s">
        <v>3217</v>
      </c>
      <c r="B1377" s="3" t="str">
        <f t="shared" si="1"/>
        <v>20, 20, MISDREAVUS</v>
      </c>
      <c r="C1377" s="1" t="str">
        <f t="array" ref="C1377">IF(B1376="NEW ROUTE",TEXTSPLIT(B1377,","),"")</f>
        <v/>
      </c>
      <c r="H1377" s="1" t="str">
        <f t="shared" ref="H1377:I1377" si="1379">IF(C1377&lt;&gt;"",DEC2HEX(C1377,2),"")</f>
        <v/>
      </c>
      <c r="I1377" s="1" t="str">
        <f t="shared" si="1379"/>
        <v/>
      </c>
      <c r="J1377" s="1" t="str">
        <f t="shared" si="3"/>
        <v/>
      </c>
      <c r="L1377" s="1" t="s">
        <v>3217</v>
      </c>
      <c r="M1377" s="1" t="str">
        <f t="shared" si="4"/>
        <v>20, 20, MISDREAVUS</v>
      </c>
    </row>
    <row r="1378" ht="12.75" customHeight="1">
      <c r="A1378" s="3" t="s">
        <v>3199</v>
      </c>
      <c r="B1378" s="3" t="str">
        <f t="shared" si="1"/>
        <v>48, 48, HAUNTER</v>
      </c>
      <c r="C1378" s="1" t="str">
        <f t="array" ref="C1378">IF(B1377="NEW ROUTE",TEXTSPLIT(B1378,","),"")</f>
        <v/>
      </c>
      <c r="H1378" s="1" t="str">
        <f t="shared" ref="H1378:I1378" si="1380">IF(C1378&lt;&gt;"",DEC2HEX(C1378,2),"")</f>
        <v/>
      </c>
      <c r="I1378" s="1" t="str">
        <f t="shared" si="1380"/>
        <v/>
      </c>
      <c r="J1378" s="1" t="str">
        <f t="shared" si="3"/>
        <v/>
      </c>
      <c r="L1378" s="1" t="s">
        <v>3199</v>
      </c>
      <c r="M1378" s="1" t="str">
        <f t="shared" si="4"/>
        <v>48, 48, HAUNTER</v>
      </c>
    </row>
    <row r="1379" ht="12.75" customHeight="1">
      <c r="A1379" s="3" t="s">
        <v>2810</v>
      </c>
      <c r="B1379" s="3" t="str">
        <f t="shared" si="1"/>
        <v>0.04</v>
      </c>
      <c r="C1379" s="1" t="str">
        <f t="array" ref="C1379">IF(B1378="NEW ROUTE",TEXTSPLIT(B1379,","),"")</f>
        <v/>
      </c>
      <c r="H1379" s="1" t="str">
        <f t="shared" ref="H1379:I1379" si="1381">IF(C1379&lt;&gt;"",DEC2HEX(C1379,2),"")</f>
        <v/>
      </c>
      <c r="I1379" s="1" t="str">
        <f t="shared" si="1381"/>
        <v/>
      </c>
      <c r="J1379" s="1" t="str">
        <f t="shared" si="3"/>
        <v/>
      </c>
      <c r="L1379" s="1" t="s">
        <v>2810</v>
      </c>
      <c r="M1379" s="1" t="str">
        <f t="shared" si="4"/>
        <v>0.04</v>
      </c>
    </row>
    <row r="1380" ht="12.75" customHeight="1">
      <c r="A1380" s="3" t="s">
        <v>3200</v>
      </c>
      <c r="B1380" s="3" t="str">
        <f t="shared" si="1"/>
        <v>50, 50, HAUNTER</v>
      </c>
      <c r="C1380" s="1" t="str">
        <f t="array" ref="C1380">IF(B1379="NEW ROUTE",TEXTSPLIT(B1380,","),"")</f>
        <v/>
      </c>
      <c r="H1380" s="1" t="str">
        <f t="shared" ref="H1380:I1380" si="1382">IF(C1380&lt;&gt;"",DEC2HEX(C1380,2),"")</f>
        <v/>
      </c>
      <c r="I1380" s="1" t="str">
        <f t="shared" si="1382"/>
        <v/>
      </c>
      <c r="J1380" s="1" t="str">
        <f t="shared" si="3"/>
        <v/>
      </c>
      <c r="L1380" s="1" t="s">
        <v>3200</v>
      </c>
      <c r="M1380" s="1" t="str">
        <f t="shared" si="4"/>
        <v>50, 50, HAUNTER</v>
      </c>
    </row>
    <row r="1381" ht="12.75" customHeight="1">
      <c r="A1381" s="3" t="s">
        <v>3201</v>
      </c>
      <c r="B1381" s="3" t="str">
        <f t="shared" si="1"/>
        <v>22, 22, MISDREAVUS</v>
      </c>
      <c r="C1381" s="1" t="str">
        <f t="array" ref="C1381">IF(B1380="NEW ROUTE",TEXTSPLIT(B1381,","),"")</f>
        <v/>
      </c>
      <c r="H1381" s="1" t="str">
        <f t="shared" ref="H1381:I1381" si="1383">IF(C1381&lt;&gt;"",DEC2HEX(C1381,2),"")</f>
        <v/>
      </c>
      <c r="I1381" s="1" t="str">
        <f t="shared" si="1383"/>
        <v/>
      </c>
      <c r="J1381" s="1" t="str">
        <f t="shared" si="3"/>
        <v/>
      </c>
      <c r="L1381" s="1" t="s">
        <v>3201</v>
      </c>
      <c r="M1381" s="1" t="str">
        <f t="shared" si="4"/>
        <v>22, 22, MISDREAVUS</v>
      </c>
    </row>
    <row r="1382" ht="12.75" customHeight="1">
      <c r="A1382" s="3" t="s">
        <v>2813</v>
      </c>
      <c r="B1382" s="3" t="str">
        <f t="shared" si="1"/>
        <v>0.01</v>
      </c>
      <c r="C1382" s="1" t="str">
        <f t="array" ref="C1382">IF(B1381="NEW ROUTE",TEXTSPLIT(B1382,","),"")</f>
        <v/>
      </c>
      <c r="H1382" s="1" t="str">
        <f t="shared" ref="H1382:I1382" si="1384">IF(C1382&lt;&gt;"",DEC2HEX(C1382,2),"")</f>
        <v/>
      </c>
      <c r="I1382" s="1" t="str">
        <f t="shared" si="1384"/>
        <v/>
      </c>
      <c r="J1382" s="1" t="str">
        <f t="shared" si="3"/>
        <v/>
      </c>
      <c r="L1382" s="1" t="s">
        <v>2813</v>
      </c>
      <c r="M1382" s="1" t="str">
        <f t="shared" si="4"/>
        <v>0.01</v>
      </c>
    </row>
    <row r="1383" ht="12.75" customHeight="1">
      <c r="A1383" s="3" t="s">
        <v>3202</v>
      </c>
      <c r="B1383" s="3" t="str">
        <f t="shared" si="1"/>
        <v>52, 52, HAUNTER</v>
      </c>
      <c r="C1383" s="1" t="str">
        <f t="array" ref="C1383">IF(B1382="NEW ROUTE",TEXTSPLIT(B1383,","),"")</f>
        <v/>
      </c>
      <c r="H1383" s="1" t="str">
        <f t="shared" ref="H1383:I1383" si="1385">IF(C1383&lt;&gt;"",DEC2HEX(C1383,2),"")</f>
        <v/>
      </c>
      <c r="I1383" s="1" t="str">
        <f t="shared" si="1385"/>
        <v/>
      </c>
      <c r="J1383" s="1" t="str">
        <f t="shared" si="3"/>
        <v/>
      </c>
      <c r="L1383" s="1" t="s">
        <v>3202</v>
      </c>
      <c r="M1383" s="1" t="str">
        <f t="shared" si="4"/>
        <v>52, 52, HAUNTER</v>
      </c>
    </row>
    <row r="1384" ht="12.75" customHeight="1">
      <c r="A1384" s="3" t="s">
        <v>3203</v>
      </c>
      <c r="B1384" s="3" t="str">
        <f t="shared" si="1"/>
        <v>22, 22, MISDREAVUS , &lt;null&gt;, &lt;null&gt;, &lt;null&gt;</v>
      </c>
      <c r="C1384" s="1" t="str">
        <f t="array" ref="C1384">IF(B1383="NEW ROUTE",TEXTSPLIT(B1384,","),"")</f>
        <v/>
      </c>
      <c r="H1384" s="1" t="str">
        <f t="shared" ref="H1384:I1384" si="1386">IF(C1384&lt;&gt;"",DEC2HEX(C1384,2),"")</f>
        <v/>
      </c>
      <c r="I1384" s="1" t="str">
        <f t="shared" si="1386"/>
        <v/>
      </c>
      <c r="J1384" s="1" t="str">
        <f t="shared" si="3"/>
        <v/>
      </c>
      <c r="L1384" s="1" t="s">
        <v>3203</v>
      </c>
      <c r="M1384" s="1" t="str">
        <f t="shared" si="4"/>
        <v>22, 22, MISDREAVUS , &lt;null&gt;, &lt;null&gt;, &lt;null&gt;</v>
      </c>
    </row>
    <row r="1385" ht="12.75" customHeight="1">
      <c r="A1385" s="3" t="s">
        <v>2539</v>
      </c>
      <c r="B1385" s="3" t="str">
        <f t="shared" si="1"/>
        <v>NEW ROUTE</v>
      </c>
      <c r="C1385" s="1" t="str">
        <f t="array" ref="C1385">IF(B1384="NEW ROUTE",TEXTSPLIT(B1385,","),"")</f>
        <v/>
      </c>
      <c r="H1385" s="1" t="str">
        <f t="shared" ref="H1385:I1385" si="1387">IF(C1385&lt;&gt;"",DEC2HEX(C1385,2),"")</f>
        <v/>
      </c>
      <c r="I1385" s="1" t="str">
        <f t="shared" si="1387"/>
        <v/>
      </c>
      <c r="J1385" s="1" t="str">
        <f t="shared" si="3"/>
        <v/>
      </c>
      <c r="L1385" s="1" t="s">
        <v>2539</v>
      </c>
      <c r="M1385" s="1" t="str">
        <f t="shared" si="4"/>
        <v>NEW ROUTE</v>
      </c>
    </row>
    <row r="1386" ht="12.75" customHeight="1">
      <c r="A1386" s="3" t="s">
        <v>3218</v>
      </c>
      <c r="B1386" s="3" t="str">
        <f t="shared" si="1"/>
        <v>2, 24, 0,</v>
      </c>
      <c r="C1386" s="1" t="str">
        <f t="array" ref="C1386">IF(B1385="NEW ROUTE",TEXTSPLIT(B1386,","),"")</f>
        <v>#NAME?</v>
      </c>
      <c r="H1386" s="1" t="str">
        <f t="shared" ref="H1386:I1386" si="1388">IF(C1386&lt;&gt;"",DEC2HEX(C1386,2),"")</f>
        <v>#NAME?</v>
      </c>
      <c r="I1386" s="1" t="str">
        <f t="shared" si="1388"/>
        <v/>
      </c>
      <c r="J1386" s="1" t="str">
        <f t="shared" si="3"/>
        <v>#NAME?</v>
      </c>
      <c r="L1386" s="1" t="s">
        <v>3218</v>
      </c>
      <c r="M1386" s="1" t="str">
        <f t="shared" si="4"/>
        <v>#NAME?</v>
      </c>
    </row>
    <row r="1387" ht="12.75" customHeight="1">
      <c r="A1387" s="3" t="s">
        <v>2824</v>
      </c>
      <c r="B1387" s="3" t="str">
        <f t="shared" si="1"/>
        <v>20%</v>
      </c>
      <c r="C1387" s="1" t="str">
        <f t="array" ref="C1387">IF(B1386="NEW ROUTE",TEXTSPLIT(B1387,","),"")</f>
        <v/>
      </c>
      <c r="H1387" s="1" t="str">
        <f t="shared" ref="H1387:I1387" si="1389">IF(C1387&lt;&gt;"",DEC2HEX(C1387,2),"")</f>
        <v/>
      </c>
      <c r="I1387" s="1" t="str">
        <f t="shared" si="1389"/>
        <v/>
      </c>
      <c r="J1387" s="1" t="str">
        <f t="shared" si="3"/>
        <v/>
      </c>
      <c r="L1387" s="1" t="s">
        <v>2799</v>
      </c>
      <c r="M1387" s="1" t="str">
        <f t="shared" si="4"/>
        <v>20%</v>
      </c>
    </row>
    <row r="1388" ht="12.75" customHeight="1">
      <c r="A1388" s="3" t="s">
        <v>789</v>
      </c>
      <c r="B1388" s="3" t="str">
        <f t="shared" si="1"/>
        <v>40, 40, GASTLY</v>
      </c>
      <c r="C1388" s="1" t="str">
        <f t="array" ref="C1388">IF(B1387="NEW ROUTE",TEXTSPLIT(B1388,","),"")</f>
        <v/>
      </c>
      <c r="H1388" s="1" t="str">
        <f t="shared" ref="H1388:I1388" si="1390">IF(C1388&lt;&gt;"",DEC2HEX(C1388,2),"")</f>
        <v/>
      </c>
      <c r="I1388" s="1" t="str">
        <f t="shared" si="1390"/>
        <v/>
      </c>
      <c r="J1388" s="1" t="str">
        <f t="shared" si="3"/>
        <v/>
      </c>
      <c r="L1388" s="1" t="s">
        <v>789</v>
      </c>
      <c r="M1388" s="1" t="str">
        <f t="shared" si="4"/>
        <v>40, 40, GASTLY</v>
      </c>
    </row>
    <row r="1389" ht="12.75" customHeight="1">
      <c r="A1389" s="3" t="s">
        <v>3193</v>
      </c>
      <c r="B1389" s="3" t="str">
        <f t="shared" si="1"/>
        <v>37, 37, ZUBAT</v>
      </c>
      <c r="C1389" s="1" t="str">
        <f t="array" ref="C1389">IF(B1388="NEW ROUTE",TEXTSPLIT(B1389,","),"")</f>
        <v/>
      </c>
      <c r="H1389" s="1" t="str">
        <f t="shared" ref="H1389:I1389" si="1391">IF(C1389&lt;&gt;"",DEC2HEX(C1389,2),"")</f>
        <v/>
      </c>
      <c r="I1389" s="1" t="str">
        <f t="shared" si="1391"/>
        <v/>
      </c>
      <c r="J1389" s="1" t="str">
        <f t="shared" si="3"/>
        <v/>
      </c>
      <c r="L1389" s="1" t="s">
        <v>3193</v>
      </c>
      <c r="M1389" s="1" t="str">
        <f t="shared" si="4"/>
        <v>37, 37, ZUBAT</v>
      </c>
    </row>
    <row r="1390" ht="12.75" customHeight="1">
      <c r="A1390" s="3" t="s">
        <v>2802</v>
      </c>
      <c r="B1390" s="3" t="str">
        <f t="shared" si="1"/>
        <v>0.1</v>
      </c>
      <c r="C1390" s="1" t="str">
        <f t="array" ref="C1390">IF(B1389="NEW ROUTE",TEXTSPLIT(B1390,","),"")</f>
        <v/>
      </c>
      <c r="H1390" s="1" t="str">
        <f t="shared" ref="H1390:I1390" si="1392">IF(C1390&lt;&gt;"",DEC2HEX(C1390,2),"")</f>
        <v/>
      </c>
      <c r="I1390" s="1" t="str">
        <f t="shared" si="1392"/>
        <v/>
      </c>
      <c r="J1390" s="1" t="str">
        <f t="shared" si="3"/>
        <v/>
      </c>
      <c r="L1390" s="1" t="s">
        <v>2802</v>
      </c>
      <c r="M1390" s="1" t="str">
        <f t="shared" si="4"/>
        <v>0.1</v>
      </c>
    </row>
    <row r="1391" ht="12.75" customHeight="1">
      <c r="A1391" s="3" t="s">
        <v>3194</v>
      </c>
      <c r="B1391" s="3" t="str">
        <f t="shared" si="1"/>
        <v>44, 44, HAUNTER</v>
      </c>
      <c r="C1391" s="1" t="str">
        <f t="array" ref="C1391">IF(B1390="NEW ROUTE",TEXTSPLIT(B1391,","),"")</f>
        <v/>
      </c>
      <c r="H1391" s="1" t="str">
        <f t="shared" ref="H1391:I1391" si="1393">IF(C1391&lt;&gt;"",DEC2HEX(C1391,2),"")</f>
        <v/>
      </c>
      <c r="I1391" s="1" t="str">
        <f t="shared" si="1393"/>
        <v/>
      </c>
      <c r="J1391" s="1" t="str">
        <f t="shared" si="3"/>
        <v/>
      </c>
      <c r="L1391" s="1" t="s">
        <v>3194</v>
      </c>
      <c r="M1391" s="1" t="str">
        <f t="shared" si="4"/>
        <v>44, 44, HAUNTER</v>
      </c>
    </row>
    <row r="1392" ht="12.75" customHeight="1">
      <c r="A1392" s="3" t="s">
        <v>3195</v>
      </c>
      <c r="B1392" s="3" t="str">
        <f t="shared" si="1"/>
        <v>46, 46, HAUNTER</v>
      </c>
      <c r="C1392" s="1" t="str">
        <f t="array" ref="C1392">IF(B1391="NEW ROUTE",TEXTSPLIT(B1392,","),"")</f>
        <v/>
      </c>
      <c r="H1392" s="1" t="str">
        <f t="shared" ref="H1392:I1392" si="1394">IF(C1392&lt;&gt;"",DEC2HEX(C1392,2),"")</f>
        <v/>
      </c>
      <c r="I1392" s="1" t="str">
        <f t="shared" si="1394"/>
        <v/>
      </c>
      <c r="J1392" s="1" t="str">
        <f t="shared" si="3"/>
        <v/>
      </c>
      <c r="L1392" s="1" t="s">
        <v>3195</v>
      </c>
      <c r="M1392" s="1" t="str">
        <f t="shared" si="4"/>
        <v>46, 46, HAUNTER</v>
      </c>
    </row>
    <row r="1393" ht="12.75" customHeight="1">
      <c r="A1393" s="3" t="s">
        <v>3196</v>
      </c>
      <c r="B1393" s="3" t="str">
        <f t="shared" si="1"/>
        <v>41, 41, GOLBAT</v>
      </c>
      <c r="C1393" s="1" t="str">
        <f t="array" ref="C1393">IF(B1392="NEW ROUTE",TEXTSPLIT(B1393,","),"")</f>
        <v/>
      </c>
      <c r="H1393" s="1" t="str">
        <f t="shared" ref="H1393:I1393" si="1395">IF(C1393&lt;&gt;"",DEC2HEX(C1393,2),"")</f>
        <v/>
      </c>
      <c r="I1393" s="1" t="str">
        <f t="shared" si="1395"/>
        <v/>
      </c>
      <c r="J1393" s="1" t="str">
        <f t="shared" si="3"/>
        <v/>
      </c>
      <c r="L1393" s="1" t="s">
        <v>3196</v>
      </c>
      <c r="M1393" s="1" t="str">
        <f t="shared" si="4"/>
        <v>41, 41, GOLBAT</v>
      </c>
    </row>
    <row r="1394" ht="12.75" customHeight="1">
      <c r="A1394" s="3" t="s">
        <v>3216</v>
      </c>
      <c r="B1394" s="3" t="str">
        <f t="shared" si="1"/>
        <v>15, 15, MISDREAVUS</v>
      </c>
      <c r="C1394" s="1" t="str">
        <f t="array" ref="C1394">IF(B1393="NEW ROUTE",TEXTSPLIT(B1394,","),"")</f>
        <v/>
      </c>
      <c r="H1394" s="1" t="str">
        <f t="shared" ref="H1394:I1394" si="1396">IF(C1394&lt;&gt;"",DEC2HEX(C1394,2),"")</f>
        <v/>
      </c>
      <c r="I1394" s="1" t="str">
        <f t="shared" si="1396"/>
        <v/>
      </c>
      <c r="J1394" s="1" t="str">
        <f t="shared" si="3"/>
        <v/>
      </c>
      <c r="L1394" s="1" t="s">
        <v>3216</v>
      </c>
      <c r="M1394" s="1" t="str">
        <f t="shared" si="4"/>
        <v>15, 15, MISDREAVUS</v>
      </c>
    </row>
    <row r="1395" ht="12.75" customHeight="1">
      <c r="A1395" s="3" t="s">
        <v>2807</v>
      </c>
      <c r="B1395" s="3" t="str">
        <f t="shared" si="1"/>
        <v>0.05</v>
      </c>
      <c r="C1395" s="1" t="str">
        <f t="array" ref="C1395">IF(B1394="NEW ROUTE",TEXTSPLIT(B1395,","),"")</f>
        <v/>
      </c>
      <c r="H1395" s="1" t="str">
        <f t="shared" ref="H1395:I1395" si="1397">IF(C1395&lt;&gt;"",DEC2HEX(C1395,2),"")</f>
        <v/>
      </c>
      <c r="I1395" s="1" t="str">
        <f t="shared" si="1397"/>
        <v/>
      </c>
      <c r="J1395" s="1" t="str">
        <f t="shared" si="3"/>
        <v/>
      </c>
      <c r="L1395" s="1" t="s">
        <v>2807</v>
      </c>
      <c r="M1395" s="1" t="str">
        <f t="shared" si="4"/>
        <v>0.05</v>
      </c>
    </row>
    <row r="1396" ht="12.75" customHeight="1">
      <c r="A1396" s="3" t="s">
        <v>3217</v>
      </c>
      <c r="B1396" s="3" t="str">
        <f t="shared" si="1"/>
        <v>20, 20, MISDREAVUS</v>
      </c>
      <c r="C1396" s="1" t="str">
        <f t="array" ref="C1396">IF(B1395="NEW ROUTE",TEXTSPLIT(B1396,","),"")</f>
        <v/>
      </c>
      <c r="H1396" s="1" t="str">
        <f t="shared" ref="H1396:I1396" si="1398">IF(C1396&lt;&gt;"",DEC2HEX(C1396,2),"")</f>
        <v/>
      </c>
      <c r="I1396" s="1" t="str">
        <f t="shared" si="1398"/>
        <v/>
      </c>
      <c r="J1396" s="1" t="str">
        <f t="shared" si="3"/>
        <v/>
      </c>
      <c r="L1396" s="1" t="s">
        <v>3217</v>
      </c>
      <c r="M1396" s="1" t="str">
        <f t="shared" si="4"/>
        <v>20, 20, MISDREAVUS</v>
      </c>
    </row>
    <row r="1397" ht="12.75" customHeight="1">
      <c r="A1397" s="3" t="s">
        <v>3199</v>
      </c>
      <c r="B1397" s="3" t="str">
        <f t="shared" si="1"/>
        <v>48, 48, HAUNTER</v>
      </c>
      <c r="C1397" s="1" t="str">
        <f t="array" ref="C1397">IF(B1396="NEW ROUTE",TEXTSPLIT(B1397,","),"")</f>
        <v/>
      </c>
      <c r="H1397" s="1" t="str">
        <f t="shared" ref="H1397:I1397" si="1399">IF(C1397&lt;&gt;"",DEC2HEX(C1397,2),"")</f>
        <v/>
      </c>
      <c r="I1397" s="1" t="str">
        <f t="shared" si="1399"/>
        <v/>
      </c>
      <c r="J1397" s="1" t="str">
        <f t="shared" si="3"/>
        <v/>
      </c>
      <c r="L1397" s="1" t="s">
        <v>3199</v>
      </c>
      <c r="M1397" s="1" t="str">
        <f t="shared" si="4"/>
        <v>48, 48, HAUNTER</v>
      </c>
    </row>
    <row r="1398" ht="12.75" customHeight="1">
      <c r="A1398" s="3" t="s">
        <v>2810</v>
      </c>
      <c r="B1398" s="3" t="str">
        <f t="shared" si="1"/>
        <v>0.04</v>
      </c>
      <c r="C1398" s="1" t="str">
        <f t="array" ref="C1398">IF(B1397="NEW ROUTE",TEXTSPLIT(B1398,","),"")</f>
        <v/>
      </c>
      <c r="H1398" s="1" t="str">
        <f t="shared" ref="H1398:I1398" si="1400">IF(C1398&lt;&gt;"",DEC2HEX(C1398,2),"")</f>
        <v/>
      </c>
      <c r="I1398" s="1" t="str">
        <f t="shared" si="1400"/>
        <v/>
      </c>
      <c r="J1398" s="1" t="str">
        <f t="shared" si="3"/>
        <v/>
      </c>
      <c r="L1398" s="1" t="s">
        <v>2810</v>
      </c>
      <c r="M1398" s="1" t="str">
        <f t="shared" si="4"/>
        <v>0.04</v>
      </c>
    </row>
    <row r="1399" ht="12.75" customHeight="1">
      <c r="A1399" s="3" t="s">
        <v>3200</v>
      </c>
      <c r="B1399" s="3" t="str">
        <f t="shared" si="1"/>
        <v>50, 50, HAUNTER</v>
      </c>
      <c r="C1399" s="1" t="str">
        <f t="array" ref="C1399">IF(B1398="NEW ROUTE",TEXTSPLIT(B1399,","),"")</f>
        <v/>
      </c>
      <c r="H1399" s="1" t="str">
        <f t="shared" ref="H1399:I1399" si="1401">IF(C1399&lt;&gt;"",DEC2HEX(C1399,2),"")</f>
        <v/>
      </c>
      <c r="I1399" s="1" t="str">
        <f t="shared" si="1401"/>
        <v/>
      </c>
      <c r="J1399" s="1" t="str">
        <f t="shared" si="3"/>
        <v/>
      </c>
      <c r="L1399" s="1" t="s">
        <v>3200</v>
      </c>
      <c r="M1399" s="1" t="str">
        <f t="shared" si="4"/>
        <v>50, 50, HAUNTER</v>
      </c>
    </row>
    <row r="1400" ht="12.75" customHeight="1">
      <c r="A1400" s="3" t="s">
        <v>3201</v>
      </c>
      <c r="B1400" s="3" t="str">
        <f t="shared" si="1"/>
        <v>22, 22, MISDREAVUS</v>
      </c>
      <c r="C1400" s="1" t="str">
        <f t="array" ref="C1400">IF(B1399="NEW ROUTE",TEXTSPLIT(B1400,","),"")</f>
        <v/>
      </c>
      <c r="H1400" s="1" t="str">
        <f t="shared" ref="H1400:I1400" si="1402">IF(C1400&lt;&gt;"",DEC2HEX(C1400,2),"")</f>
        <v/>
      </c>
      <c r="I1400" s="1" t="str">
        <f t="shared" si="1402"/>
        <v/>
      </c>
      <c r="J1400" s="1" t="str">
        <f t="shared" si="3"/>
        <v/>
      </c>
      <c r="L1400" s="1" t="s">
        <v>3201</v>
      </c>
      <c r="M1400" s="1" t="str">
        <f t="shared" si="4"/>
        <v>22, 22, MISDREAVUS</v>
      </c>
    </row>
    <row r="1401" ht="12.75" customHeight="1">
      <c r="A1401" s="3" t="s">
        <v>2813</v>
      </c>
      <c r="B1401" s="3" t="str">
        <f t="shared" si="1"/>
        <v>0.01</v>
      </c>
      <c r="C1401" s="1" t="str">
        <f t="array" ref="C1401">IF(B1400="NEW ROUTE",TEXTSPLIT(B1401,","),"")</f>
        <v/>
      </c>
      <c r="H1401" s="1" t="str">
        <f t="shared" ref="H1401:I1401" si="1403">IF(C1401&lt;&gt;"",DEC2HEX(C1401,2),"")</f>
        <v/>
      </c>
      <c r="I1401" s="1" t="str">
        <f t="shared" si="1403"/>
        <v/>
      </c>
      <c r="J1401" s="1" t="str">
        <f t="shared" si="3"/>
        <v/>
      </c>
      <c r="L1401" s="1" t="s">
        <v>2813</v>
      </c>
      <c r="M1401" s="1" t="str">
        <f t="shared" si="4"/>
        <v>0.01</v>
      </c>
    </row>
    <row r="1402" ht="12.75" customHeight="1">
      <c r="A1402" s="3" t="s">
        <v>3202</v>
      </c>
      <c r="B1402" s="3" t="str">
        <f t="shared" si="1"/>
        <v>52, 52, HAUNTER</v>
      </c>
      <c r="C1402" s="1" t="str">
        <f t="array" ref="C1402">IF(B1401="NEW ROUTE",TEXTSPLIT(B1402,","),"")</f>
        <v/>
      </c>
      <c r="H1402" s="1" t="str">
        <f t="shared" ref="H1402:I1402" si="1404">IF(C1402&lt;&gt;"",DEC2HEX(C1402,2),"")</f>
        <v/>
      </c>
      <c r="I1402" s="1" t="str">
        <f t="shared" si="1404"/>
        <v/>
      </c>
      <c r="J1402" s="1" t="str">
        <f t="shared" si="3"/>
        <v/>
      </c>
      <c r="L1402" s="1" t="s">
        <v>3202</v>
      </c>
      <c r="M1402" s="1" t="str">
        <f t="shared" si="4"/>
        <v>52, 52, HAUNTER</v>
      </c>
    </row>
    <row r="1403" ht="12.75" customHeight="1">
      <c r="A1403" s="3" t="s">
        <v>3203</v>
      </c>
      <c r="B1403" s="3" t="str">
        <f t="shared" si="1"/>
        <v>22, 22, MISDREAVUS , &lt;null&gt;, &lt;null&gt;, &lt;null&gt;</v>
      </c>
      <c r="C1403" s="1" t="str">
        <f t="array" ref="C1403">IF(B1402="NEW ROUTE",TEXTSPLIT(B1403,","),"")</f>
        <v/>
      </c>
      <c r="H1403" s="1" t="str">
        <f t="shared" ref="H1403:I1403" si="1405">IF(C1403&lt;&gt;"",DEC2HEX(C1403,2),"")</f>
        <v/>
      </c>
      <c r="I1403" s="1" t="str">
        <f t="shared" si="1405"/>
        <v/>
      </c>
      <c r="J1403" s="1" t="str">
        <f t="shared" si="3"/>
        <v/>
      </c>
      <c r="L1403" s="1" t="s">
        <v>3203</v>
      </c>
      <c r="M1403" s="1" t="str">
        <f t="shared" si="4"/>
        <v>22, 22, MISDREAVUS , &lt;null&gt;, &lt;null&gt;, &lt;null&gt;</v>
      </c>
    </row>
    <row r="1404" ht="12.75" customHeight="1">
      <c r="A1404" s="3" t="s">
        <v>2539</v>
      </c>
      <c r="B1404" s="3" t="str">
        <f t="shared" si="1"/>
        <v>NEW ROUTE</v>
      </c>
      <c r="C1404" s="1" t="str">
        <f t="array" ref="C1404">IF(B1403="NEW ROUTE",TEXTSPLIT(B1404,","),"")</f>
        <v/>
      </c>
      <c r="H1404" s="1" t="str">
        <f t="shared" ref="H1404:I1404" si="1406">IF(C1404&lt;&gt;"",DEC2HEX(C1404,2),"")</f>
        <v/>
      </c>
      <c r="I1404" s="1" t="str">
        <f t="shared" si="1406"/>
        <v/>
      </c>
      <c r="J1404" s="1" t="str">
        <f t="shared" si="3"/>
        <v/>
      </c>
      <c r="L1404" s="1" t="s">
        <v>2539</v>
      </c>
      <c r="M1404" s="1" t="str">
        <f t="shared" si="4"/>
        <v>NEW ROUTE</v>
      </c>
    </row>
    <row r="1405" ht="12.75" customHeight="1">
      <c r="A1405" s="3" t="s">
        <v>3219</v>
      </c>
      <c r="B1405" s="3" t="str">
        <f t="shared" si="1"/>
        <v>2, 25, 0,</v>
      </c>
      <c r="C1405" s="1" t="str">
        <f t="array" ref="C1405">IF(B1404="NEW ROUTE",TEXTSPLIT(B1405,","),"")</f>
        <v>#NAME?</v>
      </c>
      <c r="H1405" s="1" t="str">
        <f t="shared" ref="H1405:I1405" si="1407">IF(C1405&lt;&gt;"",DEC2HEX(C1405,2),"")</f>
        <v>#NAME?</v>
      </c>
      <c r="I1405" s="1" t="str">
        <f t="shared" si="1407"/>
        <v/>
      </c>
      <c r="J1405" s="1" t="str">
        <f t="shared" si="3"/>
        <v>#NAME?</v>
      </c>
      <c r="L1405" s="1" t="s">
        <v>3219</v>
      </c>
      <c r="M1405" s="1" t="str">
        <f t="shared" si="4"/>
        <v>#NAME?</v>
      </c>
    </row>
    <row r="1406" ht="12.75" customHeight="1">
      <c r="A1406" s="3" t="s">
        <v>2824</v>
      </c>
      <c r="B1406" s="3" t="str">
        <f t="shared" si="1"/>
        <v>20%</v>
      </c>
      <c r="C1406" s="1" t="str">
        <f t="array" ref="C1406">IF(B1405="NEW ROUTE",TEXTSPLIT(B1406,","),"")</f>
        <v/>
      </c>
      <c r="H1406" s="1" t="str">
        <f t="shared" ref="H1406:I1406" si="1408">IF(C1406&lt;&gt;"",DEC2HEX(C1406,2),"")</f>
        <v/>
      </c>
      <c r="I1406" s="1" t="str">
        <f t="shared" si="1408"/>
        <v/>
      </c>
      <c r="J1406" s="1" t="str">
        <f t="shared" si="3"/>
        <v/>
      </c>
      <c r="L1406" s="1" t="s">
        <v>2799</v>
      </c>
      <c r="M1406" s="1" t="str">
        <f t="shared" si="4"/>
        <v>20%</v>
      </c>
    </row>
    <row r="1407" ht="12.75" customHeight="1">
      <c r="A1407" s="3" t="s">
        <v>789</v>
      </c>
      <c r="B1407" s="3" t="str">
        <f t="shared" si="1"/>
        <v>40, 40, GASTLY</v>
      </c>
      <c r="C1407" s="1" t="str">
        <f t="array" ref="C1407">IF(B1406="NEW ROUTE",TEXTSPLIT(B1407,","),"")</f>
        <v/>
      </c>
      <c r="H1407" s="1" t="str">
        <f t="shared" ref="H1407:I1407" si="1409">IF(C1407&lt;&gt;"",DEC2HEX(C1407,2),"")</f>
        <v/>
      </c>
      <c r="I1407" s="1" t="str">
        <f t="shared" si="1409"/>
        <v/>
      </c>
      <c r="J1407" s="1" t="str">
        <f t="shared" si="3"/>
        <v/>
      </c>
      <c r="L1407" s="1" t="s">
        <v>789</v>
      </c>
      <c r="M1407" s="1" t="str">
        <f t="shared" si="4"/>
        <v>40, 40, GASTLY</v>
      </c>
    </row>
    <row r="1408" ht="12.75" customHeight="1">
      <c r="A1408" s="3" t="s">
        <v>3193</v>
      </c>
      <c r="B1408" s="3" t="str">
        <f t="shared" si="1"/>
        <v>37, 37, ZUBAT</v>
      </c>
      <c r="C1408" s="1" t="str">
        <f t="array" ref="C1408">IF(B1407="NEW ROUTE",TEXTSPLIT(B1408,","),"")</f>
        <v/>
      </c>
      <c r="H1408" s="1" t="str">
        <f t="shared" ref="H1408:I1408" si="1410">IF(C1408&lt;&gt;"",DEC2HEX(C1408,2),"")</f>
        <v/>
      </c>
      <c r="I1408" s="1" t="str">
        <f t="shared" si="1410"/>
        <v/>
      </c>
      <c r="J1408" s="1" t="str">
        <f t="shared" si="3"/>
        <v/>
      </c>
      <c r="L1408" s="1" t="s">
        <v>3193</v>
      </c>
      <c r="M1408" s="1" t="str">
        <f t="shared" si="4"/>
        <v>37, 37, ZUBAT</v>
      </c>
    </row>
    <row r="1409" ht="12.75" customHeight="1">
      <c r="A1409" s="3" t="s">
        <v>2802</v>
      </c>
      <c r="B1409" s="3" t="str">
        <f t="shared" si="1"/>
        <v>0.1</v>
      </c>
      <c r="C1409" s="1" t="str">
        <f t="array" ref="C1409">IF(B1408="NEW ROUTE",TEXTSPLIT(B1409,","),"")</f>
        <v/>
      </c>
      <c r="H1409" s="1" t="str">
        <f t="shared" ref="H1409:I1409" si="1411">IF(C1409&lt;&gt;"",DEC2HEX(C1409,2),"")</f>
        <v/>
      </c>
      <c r="I1409" s="1" t="str">
        <f t="shared" si="1411"/>
        <v/>
      </c>
      <c r="J1409" s="1" t="str">
        <f t="shared" si="3"/>
        <v/>
      </c>
      <c r="L1409" s="1" t="s">
        <v>2802</v>
      </c>
      <c r="M1409" s="1" t="str">
        <f t="shared" si="4"/>
        <v>0.1</v>
      </c>
    </row>
    <row r="1410" ht="12.75" customHeight="1">
      <c r="A1410" s="3" t="s">
        <v>3194</v>
      </c>
      <c r="B1410" s="3" t="str">
        <f t="shared" si="1"/>
        <v>44, 44, HAUNTER</v>
      </c>
      <c r="C1410" s="1" t="str">
        <f t="array" ref="C1410">IF(B1409="NEW ROUTE",TEXTSPLIT(B1410,","),"")</f>
        <v/>
      </c>
      <c r="H1410" s="1" t="str">
        <f t="shared" ref="H1410:I1410" si="1412">IF(C1410&lt;&gt;"",DEC2HEX(C1410,2),"")</f>
        <v/>
      </c>
      <c r="I1410" s="1" t="str">
        <f t="shared" si="1412"/>
        <v/>
      </c>
      <c r="J1410" s="1" t="str">
        <f t="shared" si="3"/>
        <v/>
      </c>
      <c r="L1410" s="1" t="s">
        <v>3194</v>
      </c>
      <c r="M1410" s="1" t="str">
        <f t="shared" si="4"/>
        <v>44, 44, HAUNTER</v>
      </c>
    </row>
    <row r="1411" ht="12.75" customHeight="1">
      <c r="A1411" s="3" t="s">
        <v>3195</v>
      </c>
      <c r="B1411" s="3" t="str">
        <f t="shared" si="1"/>
        <v>46, 46, HAUNTER</v>
      </c>
      <c r="C1411" s="1" t="str">
        <f t="array" ref="C1411">IF(B1410="NEW ROUTE",TEXTSPLIT(B1411,","),"")</f>
        <v/>
      </c>
      <c r="H1411" s="1" t="str">
        <f t="shared" ref="H1411:I1411" si="1413">IF(C1411&lt;&gt;"",DEC2HEX(C1411,2),"")</f>
        <v/>
      </c>
      <c r="I1411" s="1" t="str">
        <f t="shared" si="1413"/>
        <v/>
      </c>
      <c r="J1411" s="1" t="str">
        <f t="shared" si="3"/>
        <v/>
      </c>
      <c r="L1411" s="1" t="s">
        <v>3195</v>
      </c>
      <c r="M1411" s="1" t="str">
        <f t="shared" si="4"/>
        <v>46, 46, HAUNTER</v>
      </c>
    </row>
    <row r="1412" ht="12.75" customHeight="1">
      <c r="A1412" s="3" t="s">
        <v>3196</v>
      </c>
      <c r="B1412" s="3" t="str">
        <f t="shared" si="1"/>
        <v>41, 41, GOLBAT</v>
      </c>
      <c r="C1412" s="1" t="str">
        <f t="array" ref="C1412">IF(B1411="NEW ROUTE",TEXTSPLIT(B1412,","),"")</f>
        <v/>
      </c>
      <c r="H1412" s="1" t="str">
        <f t="shared" ref="H1412:I1412" si="1414">IF(C1412&lt;&gt;"",DEC2HEX(C1412,2),"")</f>
        <v/>
      </c>
      <c r="I1412" s="1" t="str">
        <f t="shared" si="1414"/>
        <v/>
      </c>
      <c r="J1412" s="1" t="str">
        <f t="shared" si="3"/>
        <v/>
      </c>
      <c r="L1412" s="1" t="s">
        <v>3196</v>
      </c>
      <c r="M1412" s="1" t="str">
        <f t="shared" si="4"/>
        <v>41, 41, GOLBAT</v>
      </c>
    </row>
    <row r="1413" ht="12.75" customHeight="1">
      <c r="A1413" s="3" t="s">
        <v>3216</v>
      </c>
      <c r="B1413" s="3" t="str">
        <f t="shared" si="1"/>
        <v>15, 15, MISDREAVUS</v>
      </c>
      <c r="C1413" s="1" t="str">
        <f t="array" ref="C1413">IF(B1412="NEW ROUTE",TEXTSPLIT(B1413,","),"")</f>
        <v/>
      </c>
      <c r="H1413" s="1" t="str">
        <f t="shared" ref="H1413:I1413" si="1415">IF(C1413&lt;&gt;"",DEC2HEX(C1413,2),"")</f>
        <v/>
      </c>
      <c r="I1413" s="1" t="str">
        <f t="shared" si="1415"/>
        <v/>
      </c>
      <c r="J1413" s="1" t="str">
        <f t="shared" si="3"/>
        <v/>
      </c>
      <c r="L1413" s="1" t="s">
        <v>3216</v>
      </c>
      <c r="M1413" s="1" t="str">
        <f t="shared" si="4"/>
        <v>15, 15, MISDREAVUS</v>
      </c>
    </row>
    <row r="1414" ht="12.75" customHeight="1">
      <c r="A1414" s="3" t="s">
        <v>2807</v>
      </c>
      <c r="B1414" s="3" t="str">
        <f t="shared" si="1"/>
        <v>0.05</v>
      </c>
      <c r="C1414" s="1" t="str">
        <f t="array" ref="C1414">IF(B1413="NEW ROUTE",TEXTSPLIT(B1414,","),"")</f>
        <v/>
      </c>
      <c r="H1414" s="1" t="str">
        <f t="shared" ref="H1414:I1414" si="1416">IF(C1414&lt;&gt;"",DEC2HEX(C1414,2),"")</f>
        <v/>
      </c>
      <c r="I1414" s="1" t="str">
        <f t="shared" si="1416"/>
        <v/>
      </c>
      <c r="J1414" s="1" t="str">
        <f t="shared" si="3"/>
        <v/>
      </c>
      <c r="L1414" s="1" t="s">
        <v>2807</v>
      </c>
      <c r="M1414" s="1" t="str">
        <f t="shared" si="4"/>
        <v>0.05</v>
      </c>
    </row>
    <row r="1415" ht="12.75" customHeight="1">
      <c r="A1415" s="3" t="s">
        <v>3217</v>
      </c>
      <c r="B1415" s="3" t="str">
        <f t="shared" si="1"/>
        <v>20, 20, MISDREAVUS</v>
      </c>
      <c r="C1415" s="1" t="str">
        <f t="array" ref="C1415">IF(B1414="NEW ROUTE",TEXTSPLIT(B1415,","),"")</f>
        <v/>
      </c>
      <c r="H1415" s="1" t="str">
        <f t="shared" ref="H1415:I1415" si="1417">IF(C1415&lt;&gt;"",DEC2HEX(C1415,2),"")</f>
        <v/>
      </c>
      <c r="I1415" s="1" t="str">
        <f t="shared" si="1417"/>
        <v/>
      </c>
      <c r="J1415" s="1" t="str">
        <f t="shared" si="3"/>
        <v/>
      </c>
      <c r="L1415" s="1" t="s">
        <v>3217</v>
      </c>
      <c r="M1415" s="1" t="str">
        <f t="shared" si="4"/>
        <v>20, 20, MISDREAVUS</v>
      </c>
    </row>
    <row r="1416" ht="12.75" customHeight="1">
      <c r="A1416" s="3" t="s">
        <v>3199</v>
      </c>
      <c r="B1416" s="3" t="str">
        <f t="shared" si="1"/>
        <v>48, 48, HAUNTER</v>
      </c>
      <c r="C1416" s="1" t="str">
        <f t="array" ref="C1416">IF(B1415="NEW ROUTE",TEXTSPLIT(B1416,","),"")</f>
        <v/>
      </c>
      <c r="H1416" s="1" t="str">
        <f t="shared" ref="H1416:I1416" si="1418">IF(C1416&lt;&gt;"",DEC2HEX(C1416,2),"")</f>
        <v/>
      </c>
      <c r="I1416" s="1" t="str">
        <f t="shared" si="1418"/>
        <v/>
      </c>
      <c r="J1416" s="1" t="str">
        <f t="shared" si="3"/>
        <v/>
      </c>
      <c r="L1416" s="1" t="s">
        <v>3199</v>
      </c>
      <c r="M1416" s="1" t="str">
        <f t="shared" si="4"/>
        <v>48, 48, HAUNTER</v>
      </c>
    </row>
    <row r="1417" ht="12.75" customHeight="1">
      <c r="A1417" s="3" t="s">
        <v>2810</v>
      </c>
      <c r="B1417" s="3" t="str">
        <f t="shared" si="1"/>
        <v>0.04</v>
      </c>
      <c r="C1417" s="1" t="str">
        <f t="array" ref="C1417">IF(B1416="NEW ROUTE",TEXTSPLIT(B1417,","),"")</f>
        <v/>
      </c>
      <c r="H1417" s="1" t="str">
        <f t="shared" ref="H1417:I1417" si="1419">IF(C1417&lt;&gt;"",DEC2HEX(C1417,2),"")</f>
        <v/>
      </c>
      <c r="I1417" s="1" t="str">
        <f t="shared" si="1419"/>
        <v/>
      </c>
      <c r="J1417" s="1" t="str">
        <f t="shared" si="3"/>
        <v/>
      </c>
      <c r="L1417" s="1" t="s">
        <v>2810</v>
      </c>
      <c r="M1417" s="1" t="str">
        <f t="shared" si="4"/>
        <v>0.04</v>
      </c>
    </row>
    <row r="1418" ht="12.75" customHeight="1">
      <c r="A1418" s="3" t="s">
        <v>3200</v>
      </c>
      <c r="B1418" s="3" t="str">
        <f t="shared" si="1"/>
        <v>50, 50, HAUNTER</v>
      </c>
      <c r="C1418" s="1" t="str">
        <f t="array" ref="C1418">IF(B1417="NEW ROUTE",TEXTSPLIT(B1418,","),"")</f>
        <v/>
      </c>
      <c r="H1418" s="1" t="str">
        <f t="shared" ref="H1418:I1418" si="1420">IF(C1418&lt;&gt;"",DEC2HEX(C1418,2),"")</f>
        <v/>
      </c>
      <c r="I1418" s="1" t="str">
        <f t="shared" si="1420"/>
        <v/>
      </c>
      <c r="J1418" s="1" t="str">
        <f t="shared" si="3"/>
        <v/>
      </c>
      <c r="L1418" s="1" t="s">
        <v>3200</v>
      </c>
      <c r="M1418" s="1" t="str">
        <f t="shared" si="4"/>
        <v>50, 50, HAUNTER</v>
      </c>
    </row>
    <row r="1419" ht="12.75" customHeight="1">
      <c r="A1419" s="3" t="s">
        <v>3201</v>
      </c>
      <c r="B1419" s="3" t="str">
        <f t="shared" si="1"/>
        <v>22, 22, MISDREAVUS</v>
      </c>
      <c r="C1419" s="1" t="str">
        <f t="array" ref="C1419">IF(B1418="NEW ROUTE",TEXTSPLIT(B1419,","),"")</f>
        <v/>
      </c>
      <c r="H1419" s="1" t="str">
        <f t="shared" ref="H1419:I1419" si="1421">IF(C1419&lt;&gt;"",DEC2HEX(C1419,2),"")</f>
        <v/>
      </c>
      <c r="I1419" s="1" t="str">
        <f t="shared" si="1421"/>
        <v/>
      </c>
      <c r="J1419" s="1" t="str">
        <f t="shared" si="3"/>
        <v/>
      </c>
      <c r="L1419" s="1" t="s">
        <v>3201</v>
      </c>
      <c r="M1419" s="1" t="str">
        <f t="shared" si="4"/>
        <v>22, 22, MISDREAVUS</v>
      </c>
    </row>
    <row r="1420" ht="12.75" customHeight="1">
      <c r="A1420" s="3" t="s">
        <v>2813</v>
      </c>
      <c r="B1420" s="3" t="str">
        <f t="shared" si="1"/>
        <v>0.01</v>
      </c>
      <c r="C1420" s="1" t="str">
        <f t="array" ref="C1420">IF(B1419="NEW ROUTE",TEXTSPLIT(B1420,","),"")</f>
        <v/>
      </c>
      <c r="H1420" s="1" t="str">
        <f t="shared" ref="H1420:I1420" si="1422">IF(C1420&lt;&gt;"",DEC2HEX(C1420,2),"")</f>
        <v/>
      </c>
      <c r="I1420" s="1" t="str">
        <f t="shared" si="1422"/>
        <v/>
      </c>
      <c r="J1420" s="1" t="str">
        <f t="shared" si="3"/>
        <v/>
      </c>
      <c r="L1420" s="1" t="s">
        <v>2813</v>
      </c>
      <c r="M1420" s="1" t="str">
        <f t="shared" si="4"/>
        <v>0.01</v>
      </c>
    </row>
    <row r="1421" ht="12.75" customHeight="1">
      <c r="A1421" s="3" t="s">
        <v>3202</v>
      </c>
      <c r="B1421" s="3" t="str">
        <f t="shared" si="1"/>
        <v>52, 52, HAUNTER</v>
      </c>
      <c r="C1421" s="1" t="str">
        <f t="array" ref="C1421">IF(B1420="NEW ROUTE",TEXTSPLIT(B1421,","),"")</f>
        <v/>
      </c>
      <c r="H1421" s="1" t="str">
        <f t="shared" ref="H1421:I1421" si="1423">IF(C1421&lt;&gt;"",DEC2HEX(C1421,2),"")</f>
        <v/>
      </c>
      <c r="I1421" s="1" t="str">
        <f t="shared" si="1423"/>
        <v/>
      </c>
      <c r="J1421" s="1" t="str">
        <f t="shared" si="3"/>
        <v/>
      </c>
      <c r="L1421" s="1" t="s">
        <v>3202</v>
      </c>
      <c r="M1421" s="1" t="str">
        <f t="shared" si="4"/>
        <v>52, 52, HAUNTER</v>
      </c>
    </row>
    <row r="1422" ht="12.75" customHeight="1">
      <c r="A1422" s="3" t="s">
        <v>3203</v>
      </c>
      <c r="B1422" s="3" t="str">
        <f t="shared" si="1"/>
        <v>22, 22, MISDREAVUS , &lt;null&gt;, &lt;null&gt;, &lt;null&gt;</v>
      </c>
      <c r="C1422" s="1" t="str">
        <f t="array" ref="C1422">IF(B1421="NEW ROUTE",TEXTSPLIT(B1422,","),"")</f>
        <v/>
      </c>
      <c r="H1422" s="1" t="str">
        <f t="shared" ref="H1422:I1422" si="1424">IF(C1422&lt;&gt;"",DEC2HEX(C1422,2),"")</f>
        <v/>
      </c>
      <c r="I1422" s="1" t="str">
        <f t="shared" si="1424"/>
        <v/>
      </c>
      <c r="J1422" s="1" t="str">
        <f t="shared" si="3"/>
        <v/>
      </c>
      <c r="L1422" s="1" t="s">
        <v>3203</v>
      </c>
      <c r="M1422" s="1" t="str">
        <f t="shared" si="4"/>
        <v>22, 22, MISDREAVUS , &lt;null&gt;, &lt;null&gt;, &lt;null&gt;</v>
      </c>
    </row>
    <row r="1423" ht="12.75" customHeight="1">
      <c r="A1423" s="3" t="s">
        <v>2539</v>
      </c>
      <c r="B1423" s="3" t="str">
        <f t="shared" si="1"/>
        <v>NEW ROUTE</v>
      </c>
      <c r="C1423" s="1" t="str">
        <f t="array" ref="C1423">IF(B1422="NEW ROUTE",TEXTSPLIT(B1423,","),"")</f>
        <v/>
      </c>
      <c r="H1423" s="1" t="str">
        <f t="shared" ref="H1423:I1423" si="1425">IF(C1423&lt;&gt;"",DEC2HEX(C1423,2),"")</f>
        <v/>
      </c>
      <c r="I1423" s="1" t="str">
        <f t="shared" si="1425"/>
        <v/>
      </c>
      <c r="J1423" s="1" t="str">
        <f t="shared" si="3"/>
        <v/>
      </c>
      <c r="L1423" s="1" t="s">
        <v>2539</v>
      </c>
      <c r="M1423" s="1" t="str">
        <f t="shared" si="4"/>
        <v>NEW ROUTE</v>
      </c>
    </row>
    <row r="1424" ht="12.75" customHeight="1">
      <c r="A1424" s="3" t="s">
        <v>3220</v>
      </c>
      <c r="B1424" s="3" t="str">
        <f t="shared" si="1"/>
        <v>2, 26, 0,</v>
      </c>
      <c r="C1424" s="1" t="str">
        <f t="array" ref="C1424">IF(B1423="NEW ROUTE",TEXTSPLIT(B1424,","),"")</f>
        <v>#NAME?</v>
      </c>
      <c r="H1424" s="1" t="str">
        <f t="shared" ref="H1424:I1424" si="1426">IF(C1424&lt;&gt;"",DEC2HEX(C1424,2),"")</f>
        <v>#NAME?</v>
      </c>
      <c r="I1424" s="1" t="str">
        <f t="shared" si="1426"/>
        <v/>
      </c>
      <c r="J1424" s="1" t="str">
        <f t="shared" si="3"/>
        <v>#NAME?</v>
      </c>
      <c r="L1424" s="1" t="s">
        <v>3220</v>
      </c>
      <c r="M1424" s="1" t="str">
        <f t="shared" si="4"/>
        <v>#NAME?</v>
      </c>
    </row>
    <row r="1425" ht="12.75" customHeight="1">
      <c r="A1425" s="3" t="s">
        <v>2824</v>
      </c>
      <c r="B1425" s="3" t="str">
        <f t="shared" si="1"/>
        <v>20%</v>
      </c>
      <c r="C1425" s="1" t="str">
        <f t="array" ref="C1425">IF(B1424="NEW ROUTE",TEXTSPLIT(B1425,","),"")</f>
        <v/>
      </c>
      <c r="H1425" s="1" t="str">
        <f t="shared" ref="H1425:I1425" si="1427">IF(C1425&lt;&gt;"",DEC2HEX(C1425,2),"")</f>
        <v/>
      </c>
      <c r="I1425" s="1" t="str">
        <f t="shared" si="1427"/>
        <v/>
      </c>
      <c r="J1425" s="1" t="str">
        <f t="shared" si="3"/>
        <v/>
      </c>
      <c r="L1425" s="1" t="s">
        <v>2799</v>
      </c>
      <c r="M1425" s="1" t="str">
        <f t="shared" si="4"/>
        <v>20%</v>
      </c>
    </row>
    <row r="1426" ht="12.75" customHeight="1">
      <c r="A1426" s="3" t="s">
        <v>789</v>
      </c>
      <c r="B1426" s="3" t="str">
        <f t="shared" si="1"/>
        <v>40, 40, GASTLY</v>
      </c>
      <c r="C1426" s="1" t="str">
        <f t="array" ref="C1426">IF(B1425="NEW ROUTE",TEXTSPLIT(B1426,","),"")</f>
        <v/>
      </c>
      <c r="H1426" s="1" t="str">
        <f t="shared" ref="H1426:I1426" si="1428">IF(C1426&lt;&gt;"",DEC2HEX(C1426,2),"")</f>
        <v/>
      </c>
      <c r="I1426" s="1" t="str">
        <f t="shared" si="1428"/>
        <v/>
      </c>
      <c r="J1426" s="1" t="str">
        <f t="shared" si="3"/>
        <v/>
      </c>
      <c r="L1426" s="1" t="s">
        <v>789</v>
      </c>
      <c r="M1426" s="1" t="str">
        <f t="shared" si="4"/>
        <v>40, 40, GASTLY</v>
      </c>
    </row>
    <row r="1427" ht="12.75" customHeight="1">
      <c r="A1427" s="3" t="s">
        <v>3193</v>
      </c>
      <c r="B1427" s="3" t="str">
        <f t="shared" si="1"/>
        <v>37, 37, ZUBAT</v>
      </c>
      <c r="C1427" s="1" t="str">
        <f t="array" ref="C1427">IF(B1426="NEW ROUTE",TEXTSPLIT(B1427,","),"")</f>
        <v/>
      </c>
      <c r="H1427" s="1" t="str">
        <f t="shared" ref="H1427:I1427" si="1429">IF(C1427&lt;&gt;"",DEC2HEX(C1427,2),"")</f>
        <v/>
      </c>
      <c r="I1427" s="1" t="str">
        <f t="shared" si="1429"/>
        <v/>
      </c>
      <c r="J1427" s="1" t="str">
        <f t="shared" si="3"/>
        <v/>
      </c>
      <c r="L1427" s="1" t="s">
        <v>3193</v>
      </c>
      <c r="M1427" s="1" t="str">
        <f t="shared" si="4"/>
        <v>37, 37, ZUBAT</v>
      </c>
    </row>
    <row r="1428" ht="12.75" customHeight="1">
      <c r="A1428" s="3" t="s">
        <v>2802</v>
      </c>
      <c r="B1428" s="3" t="str">
        <f t="shared" si="1"/>
        <v>0.1</v>
      </c>
      <c r="C1428" s="1" t="str">
        <f t="array" ref="C1428">IF(B1427="NEW ROUTE",TEXTSPLIT(B1428,","),"")</f>
        <v/>
      </c>
      <c r="H1428" s="1" t="str">
        <f t="shared" ref="H1428:I1428" si="1430">IF(C1428&lt;&gt;"",DEC2HEX(C1428,2),"")</f>
        <v/>
      </c>
      <c r="I1428" s="1" t="str">
        <f t="shared" si="1430"/>
        <v/>
      </c>
      <c r="J1428" s="1" t="str">
        <f t="shared" si="3"/>
        <v/>
      </c>
      <c r="L1428" s="1" t="s">
        <v>2802</v>
      </c>
      <c r="M1428" s="1" t="str">
        <f t="shared" si="4"/>
        <v>0.1</v>
      </c>
    </row>
    <row r="1429" ht="12.75" customHeight="1">
      <c r="A1429" s="3" t="s">
        <v>3194</v>
      </c>
      <c r="B1429" s="3" t="str">
        <f t="shared" si="1"/>
        <v>44, 44, HAUNTER</v>
      </c>
      <c r="C1429" s="1" t="str">
        <f t="array" ref="C1429">IF(B1428="NEW ROUTE",TEXTSPLIT(B1429,","),"")</f>
        <v/>
      </c>
      <c r="H1429" s="1" t="str">
        <f t="shared" ref="H1429:I1429" si="1431">IF(C1429&lt;&gt;"",DEC2HEX(C1429,2),"")</f>
        <v/>
      </c>
      <c r="I1429" s="1" t="str">
        <f t="shared" si="1431"/>
        <v/>
      </c>
      <c r="J1429" s="1" t="str">
        <f t="shared" si="3"/>
        <v/>
      </c>
      <c r="L1429" s="1" t="s">
        <v>3194</v>
      </c>
      <c r="M1429" s="1" t="str">
        <f t="shared" si="4"/>
        <v>44, 44, HAUNTER</v>
      </c>
    </row>
    <row r="1430" ht="12.75" customHeight="1">
      <c r="A1430" s="3" t="s">
        <v>3195</v>
      </c>
      <c r="B1430" s="3" t="str">
        <f t="shared" si="1"/>
        <v>46, 46, HAUNTER</v>
      </c>
      <c r="C1430" s="1" t="str">
        <f t="array" ref="C1430">IF(B1429="NEW ROUTE",TEXTSPLIT(B1430,","),"")</f>
        <v/>
      </c>
      <c r="H1430" s="1" t="str">
        <f t="shared" ref="H1430:I1430" si="1432">IF(C1430&lt;&gt;"",DEC2HEX(C1430,2),"")</f>
        <v/>
      </c>
      <c r="I1430" s="1" t="str">
        <f t="shared" si="1432"/>
        <v/>
      </c>
      <c r="J1430" s="1" t="str">
        <f t="shared" si="3"/>
        <v/>
      </c>
      <c r="L1430" s="1" t="s">
        <v>3195</v>
      </c>
      <c r="M1430" s="1" t="str">
        <f t="shared" si="4"/>
        <v>46, 46, HAUNTER</v>
      </c>
    </row>
    <row r="1431" ht="12.75" customHeight="1">
      <c r="A1431" s="3" t="s">
        <v>3196</v>
      </c>
      <c r="B1431" s="3" t="str">
        <f t="shared" si="1"/>
        <v>41, 41, GOLBAT</v>
      </c>
      <c r="C1431" s="1" t="str">
        <f t="array" ref="C1431">IF(B1430="NEW ROUTE",TEXTSPLIT(B1431,","),"")</f>
        <v/>
      </c>
      <c r="H1431" s="1" t="str">
        <f t="shared" ref="H1431:I1431" si="1433">IF(C1431&lt;&gt;"",DEC2HEX(C1431,2),"")</f>
        <v/>
      </c>
      <c r="I1431" s="1" t="str">
        <f t="shared" si="1433"/>
        <v/>
      </c>
      <c r="J1431" s="1" t="str">
        <f t="shared" si="3"/>
        <v/>
      </c>
      <c r="L1431" s="1" t="s">
        <v>3196</v>
      </c>
      <c r="M1431" s="1" t="str">
        <f t="shared" si="4"/>
        <v>41, 41, GOLBAT</v>
      </c>
    </row>
    <row r="1432" ht="12.75" customHeight="1">
      <c r="A1432" s="3" t="s">
        <v>3216</v>
      </c>
      <c r="B1432" s="3" t="str">
        <f t="shared" si="1"/>
        <v>15, 15, MISDREAVUS</v>
      </c>
      <c r="C1432" s="1" t="str">
        <f t="array" ref="C1432">IF(B1431="NEW ROUTE",TEXTSPLIT(B1432,","),"")</f>
        <v/>
      </c>
      <c r="H1432" s="1" t="str">
        <f t="shared" ref="H1432:I1432" si="1434">IF(C1432&lt;&gt;"",DEC2HEX(C1432,2),"")</f>
        <v/>
      </c>
      <c r="I1432" s="1" t="str">
        <f t="shared" si="1434"/>
        <v/>
      </c>
      <c r="J1432" s="1" t="str">
        <f t="shared" si="3"/>
        <v/>
      </c>
      <c r="L1432" s="1" t="s">
        <v>3216</v>
      </c>
      <c r="M1432" s="1" t="str">
        <f t="shared" si="4"/>
        <v>15, 15, MISDREAVUS</v>
      </c>
    </row>
    <row r="1433" ht="12.75" customHeight="1">
      <c r="A1433" s="3" t="s">
        <v>2807</v>
      </c>
      <c r="B1433" s="3" t="str">
        <f t="shared" si="1"/>
        <v>0.05</v>
      </c>
      <c r="C1433" s="1" t="str">
        <f t="array" ref="C1433">IF(B1432="NEW ROUTE",TEXTSPLIT(B1433,","),"")</f>
        <v/>
      </c>
      <c r="H1433" s="1" t="str">
        <f t="shared" ref="H1433:I1433" si="1435">IF(C1433&lt;&gt;"",DEC2HEX(C1433,2),"")</f>
        <v/>
      </c>
      <c r="I1433" s="1" t="str">
        <f t="shared" si="1435"/>
        <v/>
      </c>
      <c r="J1433" s="1" t="str">
        <f t="shared" si="3"/>
        <v/>
      </c>
      <c r="L1433" s="1" t="s">
        <v>2807</v>
      </c>
      <c r="M1433" s="1" t="str">
        <f t="shared" si="4"/>
        <v>0.05</v>
      </c>
    </row>
    <row r="1434" ht="12.75" customHeight="1">
      <c r="A1434" s="3" t="s">
        <v>3217</v>
      </c>
      <c r="B1434" s="3" t="str">
        <f t="shared" si="1"/>
        <v>20, 20, MISDREAVUS</v>
      </c>
      <c r="C1434" s="1" t="str">
        <f t="array" ref="C1434">IF(B1433="NEW ROUTE",TEXTSPLIT(B1434,","),"")</f>
        <v/>
      </c>
      <c r="H1434" s="1" t="str">
        <f t="shared" ref="H1434:I1434" si="1436">IF(C1434&lt;&gt;"",DEC2HEX(C1434,2),"")</f>
        <v/>
      </c>
      <c r="I1434" s="1" t="str">
        <f t="shared" si="1436"/>
        <v/>
      </c>
      <c r="J1434" s="1" t="str">
        <f t="shared" si="3"/>
        <v/>
      </c>
      <c r="L1434" s="1" t="s">
        <v>3217</v>
      </c>
      <c r="M1434" s="1" t="str">
        <f t="shared" si="4"/>
        <v>20, 20, MISDREAVUS</v>
      </c>
    </row>
    <row r="1435" ht="12.75" customHeight="1">
      <c r="A1435" s="3" t="s">
        <v>3199</v>
      </c>
      <c r="B1435" s="3" t="str">
        <f t="shared" si="1"/>
        <v>48, 48, HAUNTER</v>
      </c>
      <c r="C1435" s="1" t="str">
        <f t="array" ref="C1435">IF(B1434="NEW ROUTE",TEXTSPLIT(B1435,","),"")</f>
        <v/>
      </c>
      <c r="H1435" s="1" t="str">
        <f t="shared" ref="H1435:I1435" si="1437">IF(C1435&lt;&gt;"",DEC2HEX(C1435,2),"")</f>
        <v/>
      </c>
      <c r="I1435" s="1" t="str">
        <f t="shared" si="1437"/>
        <v/>
      </c>
      <c r="J1435" s="1" t="str">
        <f t="shared" si="3"/>
        <v/>
      </c>
      <c r="L1435" s="1" t="s">
        <v>3199</v>
      </c>
      <c r="M1435" s="1" t="str">
        <f t="shared" si="4"/>
        <v>48, 48, HAUNTER</v>
      </c>
    </row>
    <row r="1436" ht="12.75" customHeight="1">
      <c r="A1436" s="3" t="s">
        <v>2810</v>
      </c>
      <c r="B1436" s="3" t="str">
        <f t="shared" si="1"/>
        <v>0.04</v>
      </c>
      <c r="C1436" s="1" t="str">
        <f t="array" ref="C1436">IF(B1435="NEW ROUTE",TEXTSPLIT(B1436,","),"")</f>
        <v/>
      </c>
      <c r="H1436" s="1" t="str">
        <f t="shared" ref="H1436:I1436" si="1438">IF(C1436&lt;&gt;"",DEC2HEX(C1436,2),"")</f>
        <v/>
      </c>
      <c r="I1436" s="1" t="str">
        <f t="shared" si="1438"/>
        <v/>
      </c>
      <c r="J1436" s="1" t="str">
        <f t="shared" si="3"/>
        <v/>
      </c>
      <c r="L1436" s="1" t="s">
        <v>2810</v>
      </c>
      <c r="M1436" s="1" t="str">
        <f t="shared" si="4"/>
        <v>0.04</v>
      </c>
    </row>
    <row r="1437" ht="12.75" customHeight="1">
      <c r="A1437" s="3" t="s">
        <v>3200</v>
      </c>
      <c r="B1437" s="3" t="str">
        <f t="shared" si="1"/>
        <v>50, 50, HAUNTER</v>
      </c>
      <c r="C1437" s="1" t="str">
        <f t="array" ref="C1437">IF(B1436="NEW ROUTE",TEXTSPLIT(B1437,","),"")</f>
        <v/>
      </c>
      <c r="H1437" s="1" t="str">
        <f t="shared" ref="H1437:I1437" si="1439">IF(C1437&lt;&gt;"",DEC2HEX(C1437,2),"")</f>
        <v/>
      </c>
      <c r="I1437" s="1" t="str">
        <f t="shared" si="1439"/>
        <v/>
      </c>
      <c r="J1437" s="1" t="str">
        <f t="shared" si="3"/>
        <v/>
      </c>
      <c r="L1437" s="1" t="s">
        <v>3200</v>
      </c>
      <c r="M1437" s="1" t="str">
        <f t="shared" si="4"/>
        <v>50, 50, HAUNTER</v>
      </c>
    </row>
    <row r="1438" ht="12.75" customHeight="1">
      <c r="A1438" s="3" t="s">
        <v>3201</v>
      </c>
      <c r="B1438" s="3" t="str">
        <f t="shared" si="1"/>
        <v>22, 22, MISDREAVUS</v>
      </c>
      <c r="C1438" s="1" t="str">
        <f t="array" ref="C1438">IF(B1437="NEW ROUTE",TEXTSPLIT(B1438,","),"")</f>
        <v/>
      </c>
      <c r="H1438" s="1" t="str">
        <f t="shared" ref="H1438:I1438" si="1440">IF(C1438&lt;&gt;"",DEC2HEX(C1438,2),"")</f>
        <v/>
      </c>
      <c r="I1438" s="1" t="str">
        <f t="shared" si="1440"/>
        <v/>
      </c>
      <c r="J1438" s="1" t="str">
        <f t="shared" si="3"/>
        <v/>
      </c>
      <c r="L1438" s="1" t="s">
        <v>3201</v>
      </c>
      <c r="M1438" s="1" t="str">
        <f t="shared" si="4"/>
        <v>22, 22, MISDREAVUS</v>
      </c>
    </row>
    <row r="1439" ht="12.75" customHeight="1">
      <c r="A1439" s="3" t="s">
        <v>2813</v>
      </c>
      <c r="B1439" s="3" t="str">
        <f t="shared" si="1"/>
        <v>0.01</v>
      </c>
      <c r="C1439" s="1" t="str">
        <f t="array" ref="C1439">IF(B1438="NEW ROUTE",TEXTSPLIT(B1439,","),"")</f>
        <v/>
      </c>
      <c r="H1439" s="1" t="str">
        <f t="shared" ref="H1439:I1439" si="1441">IF(C1439&lt;&gt;"",DEC2HEX(C1439,2),"")</f>
        <v/>
      </c>
      <c r="I1439" s="1" t="str">
        <f t="shared" si="1441"/>
        <v/>
      </c>
      <c r="J1439" s="1" t="str">
        <f t="shared" si="3"/>
        <v/>
      </c>
      <c r="L1439" s="1" t="s">
        <v>2813</v>
      </c>
      <c r="M1439" s="1" t="str">
        <f t="shared" si="4"/>
        <v>0.01</v>
      </c>
    </row>
    <row r="1440" ht="12.75" customHeight="1">
      <c r="A1440" s="3" t="s">
        <v>3202</v>
      </c>
      <c r="B1440" s="3" t="str">
        <f t="shared" si="1"/>
        <v>52, 52, HAUNTER</v>
      </c>
      <c r="C1440" s="1" t="str">
        <f t="array" ref="C1440">IF(B1439="NEW ROUTE",TEXTSPLIT(B1440,","),"")</f>
        <v/>
      </c>
      <c r="H1440" s="1" t="str">
        <f t="shared" ref="H1440:I1440" si="1442">IF(C1440&lt;&gt;"",DEC2HEX(C1440,2),"")</f>
        <v/>
      </c>
      <c r="I1440" s="1" t="str">
        <f t="shared" si="1442"/>
        <v/>
      </c>
      <c r="J1440" s="1" t="str">
        <f t="shared" si="3"/>
        <v/>
      </c>
      <c r="L1440" s="1" t="s">
        <v>3202</v>
      </c>
      <c r="M1440" s="1" t="str">
        <f t="shared" si="4"/>
        <v>52, 52, HAUNTER</v>
      </c>
    </row>
    <row r="1441" ht="12.75" customHeight="1">
      <c r="A1441" s="3" t="s">
        <v>3203</v>
      </c>
      <c r="B1441" s="3" t="str">
        <f t="shared" si="1"/>
        <v>22, 22, MISDREAVUS , &lt;null&gt;, &lt;null&gt;, &lt;null&gt;</v>
      </c>
      <c r="C1441" s="1" t="str">
        <f t="array" ref="C1441">IF(B1440="NEW ROUTE",TEXTSPLIT(B1441,","),"")</f>
        <v/>
      </c>
      <c r="H1441" s="1" t="str">
        <f t="shared" ref="H1441:I1441" si="1443">IF(C1441&lt;&gt;"",DEC2HEX(C1441,2),"")</f>
        <v/>
      </c>
      <c r="I1441" s="1" t="str">
        <f t="shared" si="1443"/>
        <v/>
      </c>
      <c r="J1441" s="1" t="str">
        <f t="shared" si="3"/>
        <v/>
      </c>
      <c r="L1441" s="1" t="s">
        <v>3203</v>
      </c>
      <c r="M1441" s="1" t="str">
        <f t="shared" si="4"/>
        <v>22, 22, MISDREAVUS , &lt;null&gt;, &lt;null&gt;, &lt;null&gt;</v>
      </c>
    </row>
    <row r="1442" ht="12.75" customHeight="1">
      <c r="A1442" s="3" t="s">
        <v>2539</v>
      </c>
      <c r="B1442" s="3" t="str">
        <f t="shared" si="1"/>
        <v>NEW ROUTE</v>
      </c>
      <c r="C1442" s="1" t="str">
        <f t="array" ref="C1442">IF(B1441="NEW ROUTE",TEXTSPLIT(B1442,","),"")</f>
        <v/>
      </c>
      <c r="H1442" s="1" t="str">
        <f t="shared" ref="H1442:I1442" si="1444">IF(C1442&lt;&gt;"",DEC2HEX(C1442,2),"")</f>
        <v/>
      </c>
      <c r="I1442" s="1" t="str">
        <f t="shared" si="1444"/>
        <v/>
      </c>
      <c r="J1442" s="1" t="str">
        <f t="shared" si="3"/>
        <v/>
      </c>
      <c r="L1442" s="1" t="s">
        <v>2539</v>
      </c>
      <c r="M1442" s="1" t="str">
        <f t="shared" si="4"/>
        <v>NEW ROUTE</v>
      </c>
    </row>
    <row r="1443" ht="12.75" customHeight="1">
      <c r="A1443" s="3" t="s">
        <v>3221</v>
      </c>
      <c r="B1443" s="3" t="str">
        <f t="shared" si="1"/>
        <v>3, 45, 0,</v>
      </c>
      <c r="C1443" s="1" t="str">
        <f t="array" ref="C1443">IF(B1442="NEW ROUTE",TEXTSPLIT(B1443,","),"")</f>
        <v>#NAME?</v>
      </c>
      <c r="H1443" s="1" t="str">
        <f t="shared" ref="H1443:I1443" si="1445">IF(C1443&lt;&gt;"",DEC2HEX(C1443,2),"")</f>
        <v>#NAME?</v>
      </c>
      <c r="I1443" s="1" t="str">
        <f t="shared" si="1445"/>
        <v/>
      </c>
      <c r="J1443" s="1" t="str">
        <f t="shared" si="3"/>
        <v>#NAME?</v>
      </c>
      <c r="L1443" s="1" t="s">
        <v>3221</v>
      </c>
      <c r="M1443" s="1" t="str">
        <f t="shared" si="4"/>
        <v>#NAME?</v>
      </c>
    </row>
    <row r="1444" ht="12.75" customHeight="1">
      <c r="A1444" s="3" t="s">
        <v>2909</v>
      </c>
      <c r="B1444" s="3" t="str">
        <f t="shared" si="1"/>
        <v>20%</v>
      </c>
      <c r="C1444" s="1" t="str">
        <f t="array" ref="C1444">IF(B1443="NEW ROUTE",TEXTSPLIT(B1444,","),"")</f>
        <v/>
      </c>
      <c r="H1444" s="1" t="str">
        <f t="shared" ref="H1444:I1444" si="1446">IF(C1444&lt;&gt;"",DEC2HEX(C1444,2),"")</f>
        <v/>
      </c>
      <c r="I1444" s="1" t="str">
        <f t="shared" si="1446"/>
        <v/>
      </c>
      <c r="J1444" s="1" t="str">
        <f t="shared" si="3"/>
        <v/>
      </c>
      <c r="L1444" s="1" t="s">
        <v>2799</v>
      </c>
      <c r="M1444" s="1" t="str">
        <f t="shared" si="4"/>
        <v>20%</v>
      </c>
    </row>
    <row r="1445" ht="12.75" customHeight="1">
      <c r="A1445" s="3" t="s">
        <v>817</v>
      </c>
      <c r="B1445" s="3" t="str">
        <f t="shared" si="1"/>
        <v>32, 32, SPEAROW</v>
      </c>
      <c r="C1445" s="1" t="str">
        <f t="array" ref="C1445">IF(B1444="NEW ROUTE",TEXTSPLIT(B1445,","),"")</f>
        <v/>
      </c>
      <c r="H1445" s="1" t="str">
        <f t="shared" ref="H1445:I1445" si="1447">IF(C1445&lt;&gt;"",DEC2HEX(C1445,2),"")</f>
        <v/>
      </c>
      <c r="I1445" s="1" t="str">
        <f t="shared" si="1447"/>
        <v/>
      </c>
      <c r="J1445" s="1" t="str">
        <f t="shared" si="3"/>
        <v/>
      </c>
      <c r="L1445" s="1" t="s">
        <v>817</v>
      </c>
      <c r="M1445" s="1" t="str">
        <f t="shared" si="4"/>
        <v>32, 32, SPEAROW</v>
      </c>
    </row>
    <row r="1446" ht="12.75" customHeight="1">
      <c r="A1446" s="3" t="s">
        <v>3222</v>
      </c>
      <c r="B1446" s="3" t="str">
        <f t="shared" si="1"/>
        <v>34, 34, PONYTA</v>
      </c>
      <c r="C1446" s="1" t="str">
        <f t="array" ref="C1446">IF(B1445="NEW ROUTE",TEXTSPLIT(B1446,","),"")</f>
        <v/>
      </c>
      <c r="H1446" s="1" t="str">
        <f t="shared" ref="H1446:I1446" si="1448">IF(C1446&lt;&gt;"",DEC2HEX(C1446,2),"")</f>
        <v/>
      </c>
      <c r="I1446" s="1" t="str">
        <f t="shared" si="1448"/>
        <v/>
      </c>
      <c r="J1446" s="1" t="str">
        <f t="shared" si="3"/>
        <v/>
      </c>
      <c r="L1446" s="1" t="s">
        <v>3222</v>
      </c>
      <c r="M1446" s="1" t="str">
        <f t="shared" si="4"/>
        <v>34, 34, PONYTA</v>
      </c>
    </row>
    <row r="1447" ht="12.75" customHeight="1">
      <c r="A1447" s="3" t="s">
        <v>2802</v>
      </c>
      <c r="B1447" s="3" t="str">
        <f t="shared" si="1"/>
        <v>0.1</v>
      </c>
      <c r="C1447" s="1" t="str">
        <f t="array" ref="C1447">IF(B1446="NEW ROUTE",TEXTSPLIT(B1447,","),"")</f>
        <v/>
      </c>
      <c r="H1447" s="1" t="str">
        <f t="shared" ref="H1447:I1447" si="1449">IF(C1447&lt;&gt;"",DEC2HEX(C1447,2),"")</f>
        <v/>
      </c>
      <c r="I1447" s="1" t="str">
        <f t="shared" si="1449"/>
        <v/>
      </c>
      <c r="J1447" s="1" t="str">
        <f t="shared" si="3"/>
        <v/>
      </c>
      <c r="L1447" s="1" t="s">
        <v>2802</v>
      </c>
      <c r="M1447" s="1" t="str">
        <f t="shared" si="4"/>
        <v>0.1</v>
      </c>
    </row>
    <row r="1448" ht="12.75" customHeight="1">
      <c r="A1448" s="3" t="s">
        <v>3223</v>
      </c>
      <c r="B1448" s="3" t="str">
        <f t="shared" si="1"/>
        <v>36, 36, FEAROW</v>
      </c>
      <c r="C1448" s="1" t="str">
        <f t="array" ref="C1448">IF(B1447="NEW ROUTE",TEXTSPLIT(B1448,","),"")</f>
        <v/>
      </c>
      <c r="H1448" s="1" t="str">
        <f t="shared" ref="H1448:I1448" si="1450">IF(C1448&lt;&gt;"",DEC2HEX(C1448,2),"")</f>
        <v/>
      </c>
      <c r="I1448" s="1" t="str">
        <f t="shared" si="1450"/>
        <v/>
      </c>
      <c r="J1448" s="1" t="str">
        <f t="shared" si="3"/>
        <v/>
      </c>
      <c r="L1448" s="1" t="s">
        <v>3223</v>
      </c>
      <c r="M1448" s="1" t="str">
        <f t="shared" si="4"/>
        <v>36, 36, FEAROW</v>
      </c>
    </row>
    <row r="1449" ht="12.75" customHeight="1">
      <c r="A1449" s="3" t="s">
        <v>3224</v>
      </c>
      <c r="B1449" s="3" t="str">
        <f t="shared" si="1"/>
        <v>31, 31, PONYTA</v>
      </c>
      <c r="C1449" s="1" t="str">
        <f t="array" ref="C1449">IF(B1448="NEW ROUTE",TEXTSPLIT(B1449,","),"")</f>
        <v/>
      </c>
      <c r="H1449" s="1" t="str">
        <f t="shared" ref="H1449:I1449" si="1451">IF(C1449&lt;&gt;"",DEC2HEX(C1449,2),"")</f>
        <v/>
      </c>
      <c r="I1449" s="1" t="str">
        <f t="shared" si="1451"/>
        <v/>
      </c>
      <c r="J1449" s="1" t="str">
        <f t="shared" si="3"/>
        <v/>
      </c>
      <c r="L1449" s="1" t="s">
        <v>3224</v>
      </c>
      <c r="M1449" s="1" t="str">
        <f t="shared" si="4"/>
        <v>31, 31, PONYTA</v>
      </c>
    </row>
    <row r="1450" ht="12.75" customHeight="1">
      <c r="A1450" s="3" t="s">
        <v>3082</v>
      </c>
      <c r="B1450" s="3" t="str">
        <f t="shared" si="1"/>
        <v>31, 31, GEODUDE</v>
      </c>
      <c r="C1450" s="1" t="str">
        <f t="array" ref="C1450">IF(B1449="NEW ROUTE",TEXTSPLIT(B1450,","),"")</f>
        <v/>
      </c>
      <c r="H1450" s="1" t="str">
        <f t="shared" ref="H1450:I1450" si="1452">IF(C1450&lt;&gt;"",DEC2HEX(C1450,2),"")</f>
        <v/>
      </c>
      <c r="I1450" s="1" t="str">
        <f t="shared" si="1452"/>
        <v/>
      </c>
      <c r="J1450" s="1" t="str">
        <f t="shared" si="3"/>
        <v/>
      </c>
      <c r="L1450" s="1" t="s">
        <v>3082</v>
      </c>
      <c r="M1450" s="1" t="str">
        <f t="shared" si="4"/>
        <v>31, 31, GEODUDE</v>
      </c>
    </row>
    <row r="1451" ht="12.75" customHeight="1">
      <c r="A1451" s="3" t="s">
        <v>3225</v>
      </c>
      <c r="B1451" s="3" t="str">
        <f t="shared" si="1"/>
        <v>31, 31, MEOWTH</v>
      </c>
      <c r="C1451" s="1" t="str">
        <f t="array" ref="C1451">IF(B1450="NEW ROUTE",TEXTSPLIT(B1451,","),"")</f>
        <v/>
      </c>
      <c r="H1451" s="1" t="str">
        <f t="shared" ref="H1451:I1451" si="1453">IF(C1451&lt;&gt;"",DEC2HEX(C1451,2),"")</f>
        <v/>
      </c>
      <c r="I1451" s="1" t="str">
        <f t="shared" si="1453"/>
        <v/>
      </c>
      <c r="J1451" s="1" t="str">
        <f t="shared" si="3"/>
        <v/>
      </c>
      <c r="L1451" s="1" t="s">
        <v>3225</v>
      </c>
      <c r="M1451" s="1" t="str">
        <f t="shared" si="4"/>
        <v>31, 31, MEOWTH</v>
      </c>
    </row>
    <row r="1452" ht="12.75" customHeight="1">
      <c r="A1452" s="3" t="s">
        <v>2807</v>
      </c>
      <c r="B1452" s="3" t="str">
        <f t="shared" si="1"/>
        <v>0.05</v>
      </c>
      <c r="C1452" s="1" t="str">
        <f t="array" ref="C1452">IF(B1451="NEW ROUTE",TEXTSPLIT(B1452,","),"")</f>
        <v/>
      </c>
      <c r="H1452" s="1" t="str">
        <f t="shared" ref="H1452:I1452" si="1454">IF(C1452&lt;&gt;"",DEC2HEX(C1452,2),"")</f>
        <v/>
      </c>
      <c r="I1452" s="1" t="str">
        <f t="shared" si="1454"/>
        <v/>
      </c>
      <c r="J1452" s="1" t="str">
        <f t="shared" si="3"/>
        <v/>
      </c>
      <c r="L1452" s="1" t="s">
        <v>2807</v>
      </c>
      <c r="M1452" s="1" t="str">
        <f t="shared" si="4"/>
        <v>0.05</v>
      </c>
    </row>
    <row r="1453" ht="12.75" customHeight="1">
      <c r="A1453" s="3" t="s">
        <v>3226</v>
      </c>
      <c r="B1453" s="3" t="str">
        <f t="shared" si="1"/>
        <v>30, 30, SPEAROW</v>
      </c>
      <c r="C1453" s="1" t="str">
        <f t="array" ref="C1453">IF(B1452="NEW ROUTE",TEXTSPLIT(B1453,","),"")</f>
        <v/>
      </c>
      <c r="H1453" s="1" t="str">
        <f t="shared" ref="H1453:I1453" si="1455">IF(C1453&lt;&gt;"",DEC2HEX(C1453,2),"")</f>
        <v/>
      </c>
      <c r="I1453" s="1" t="str">
        <f t="shared" si="1455"/>
        <v/>
      </c>
      <c r="J1453" s="1" t="str">
        <f t="shared" si="3"/>
        <v/>
      </c>
      <c r="L1453" s="1" t="s">
        <v>3226</v>
      </c>
      <c r="M1453" s="1" t="str">
        <f t="shared" si="4"/>
        <v>30, 30, SPEAROW</v>
      </c>
    </row>
    <row r="1454" ht="12.75" customHeight="1">
      <c r="A1454" s="3" t="s">
        <v>3227</v>
      </c>
      <c r="B1454" s="3" t="str">
        <f t="shared" si="1"/>
        <v>34, 34, SLOWPOKE</v>
      </c>
      <c r="C1454" s="1" t="str">
        <f t="array" ref="C1454">IF(B1453="NEW ROUTE",TEXTSPLIT(B1454,","),"")</f>
        <v/>
      </c>
      <c r="H1454" s="1" t="str">
        <f t="shared" ref="H1454:I1454" si="1456">IF(C1454&lt;&gt;"",DEC2HEX(C1454,2),"")</f>
        <v/>
      </c>
      <c r="I1454" s="1" t="str">
        <f t="shared" si="1456"/>
        <v/>
      </c>
      <c r="J1454" s="1" t="str">
        <f t="shared" si="3"/>
        <v/>
      </c>
      <c r="L1454" s="1" t="s">
        <v>3227</v>
      </c>
      <c r="M1454" s="1" t="str">
        <f t="shared" si="4"/>
        <v>34, 34, SLOWPOKE</v>
      </c>
    </row>
    <row r="1455" ht="12.75" customHeight="1">
      <c r="A1455" s="3" t="s">
        <v>2810</v>
      </c>
      <c r="B1455" s="3" t="str">
        <f t="shared" si="1"/>
        <v>0.04</v>
      </c>
      <c r="C1455" s="1" t="str">
        <f t="array" ref="C1455">IF(B1454="NEW ROUTE",TEXTSPLIT(B1455,","),"")</f>
        <v/>
      </c>
      <c r="H1455" s="1" t="str">
        <f t="shared" ref="H1455:I1455" si="1457">IF(C1455&lt;&gt;"",DEC2HEX(C1455,2),"")</f>
        <v/>
      </c>
      <c r="I1455" s="1" t="str">
        <f t="shared" si="1457"/>
        <v/>
      </c>
      <c r="J1455" s="1" t="str">
        <f t="shared" si="3"/>
        <v/>
      </c>
      <c r="L1455" s="1" t="s">
        <v>2810</v>
      </c>
      <c r="M1455" s="1" t="str">
        <f t="shared" si="4"/>
        <v>0.04</v>
      </c>
    </row>
    <row r="1456" ht="12.75" customHeight="1">
      <c r="A1456" s="3" t="s">
        <v>3228</v>
      </c>
      <c r="B1456" s="3" t="str">
        <f t="shared" si="1"/>
        <v>37, 37, RAPIDASH</v>
      </c>
      <c r="C1456" s="1" t="str">
        <f t="array" ref="C1456">IF(B1455="NEW ROUTE",TEXTSPLIT(B1456,","),"")</f>
        <v/>
      </c>
      <c r="H1456" s="1" t="str">
        <f t="shared" ref="H1456:I1456" si="1458">IF(C1456&lt;&gt;"",DEC2HEX(C1456,2),"")</f>
        <v/>
      </c>
      <c r="I1456" s="1" t="str">
        <f t="shared" si="1458"/>
        <v/>
      </c>
      <c r="J1456" s="1" t="str">
        <f t="shared" si="3"/>
        <v/>
      </c>
      <c r="L1456" s="1" t="s">
        <v>3228</v>
      </c>
      <c r="M1456" s="1" t="str">
        <f t="shared" si="4"/>
        <v>37, 37, RAPIDASH</v>
      </c>
    </row>
    <row r="1457" ht="12.75" customHeight="1">
      <c r="A1457" s="3" t="s">
        <v>3229</v>
      </c>
      <c r="B1457" s="3" t="str">
        <f t="shared" si="1"/>
        <v>37, 37, PERSIAN</v>
      </c>
      <c r="C1457" s="1" t="str">
        <f t="array" ref="C1457">IF(B1456="NEW ROUTE",TEXTSPLIT(B1457,","),"")</f>
        <v/>
      </c>
      <c r="H1457" s="1" t="str">
        <f t="shared" ref="H1457:I1457" si="1459">IF(C1457&lt;&gt;"",DEC2HEX(C1457,2),"")</f>
        <v/>
      </c>
      <c r="I1457" s="1" t="str">
        <f t="shared" si="1459"/>
        <v/>
      </c>
      <c r="J1457" s="1" t="str">
        <f t="shared" si="3"/>
        <v/>
      </c>
      <c r="L1457" s="1" t="s">
        <v>3229</v>
      </c>
      <c r="M1457" s="1" t="str">
        <f t="shared" si="4"/>
        <v>37, 37, PERSIAN</v>
      </c>
    </row>
    <row r="1458" ht="12.75" customHeight="1">
      <c r="A1458" s="3" t="s">
        <v>2813</v>
      </c>
      <c r="B1458" s="3" t="str">
        <f t="shared" si="1"/>
        <v>0.01</v>
      </c>
      <c r="C1458" s="1" t="str">
        <f t="array" ref="C1458">IF(B1457="NEW ROUTE",TEXTSPLIT(B1458,","),"")</f>
        <v/>
      </c>
      <c r="H1458" s="1" t="str">
        <f t="shared" ref="H1458:I1458" si="1460">IF(C1458&lt;&gt;"",DEC2HEX(C1458,2),"")</f>
        <v/>
      </c>
      <c r="I1458" s="1" t="str">
        <f t="shared" si="1460"/>
        <v/>
      </c>
      <c r="J1458" s="1" t="str">
        <f t="shared" si="3"/>
        <v/>
      </c>
      <c r="L1458" s="1" t="s">
        <v>2813</v>
      </c>
      <c r="M1458" s="1" t="str">
        <f t="shared" si="4"/>
        <v>0.01</v>
      </c>
    </row>
    <row r="1459" ht="12.75" customHeight="1">
      <c r="A1459" s="3" t="s">
        <v>3230</v>
      </c>
      <c r="B1459" s="3" t="str">
        <f t="shared" si="1"/>
        <v>40, 40, RAPIDASH</v>
      </c>
      <c r="C1459" s="1" t="str">
        <f t="array" ref="C1459">IF(B1458="NEW ROUTE",TEXTSPLIT(B1459,","),"")</f>
        <v/>
      </c>
      <c r="H1459" s="1" t="str">
        <f t="shared" ref="H1459:I1459" si="1461">IF(C1459&lt;&gt;"",DEC2HEX(C1459,2),"")</f>
        <v/>
      </c>
      <c r="I1459" s="1" t="str">
        <f t="shared" si="1461"/>
        <v/>
      </c>
      <c r="J1459" s="1" t="str">
        <f t="shared" si="3"/>
        <v/>
      </c>
      <c r="L1459" s="1" t="s">
        <v>3230</v>
      </c>
      <c r="M1459" s="1" t="str">
        <f t="shared" si="4"/>
        <v>40, 40, RAPIDASH</v>
      </c>
    </row>
    <row r="1460" ht="12.75" customHeight="1">
      <c r="A1460" s="3" t="s">
        <v>3231</v>
      </c>
      <c r="B1460" s="3" t="str">
        <f t="shared" si="1"/>
        <v>40, 40, PERSIAN</v>
      </c>
      <c r="C1460" s="1" t="str">
        <f t="array" ref="C1460">IF(B1459="NEW ROUTE",TEXTSPLIT(B1460,","),"")</f>
        <v/>
      </c>
      <c r="H1460" s="1" t="str">
        <f t="shared" ref="H1460:I1460" si="1462">IF(C1460&lt;&gt;"",DEC2HEX(C1460,2),"")</f>
        <v/>
      </c>
      <c r="I1460" s="1" t="str">
        <f t="shared" si="1462"/>
        <v/>
      </c>
      <c r="J1460" s="1" t="str">
        <f t="shared" si="3"/>
        <v/>
      </c>
      <c r="L1460" s="1" t="s">
        <v>3231</v>
      </c>
      <c r="M1460" s="1" t="str">
        <f t="shared" si="4"/>
        <v>40, 40, PERSIAN</v>
      </c>
    </row>
    <row r="1461" ht="12.75" customHeight="1">
      <c r="A1461" s="3" t="s">
        <v>3173</v>
      </c>
      <c r="B1461" s="3" t="str">
        <f t="shared" si="1"/>
        <v>2, 5, 20, TENTACOOL</v>
      </c>
      <c r="C1461" s="1" t="str">
        <f t="array" ref="C1461">IF(B1460="NEW ROUTE",TEXTSPLIT(B1461,","),"")</f>
        <v/>
      </c>
      <c r="H1461" s="1" t="str">
        <f t="shared" ref="H1461:I1461" si="1463">IF(C1461&lt;&gt;"",DEC2HEX(C1461,2),"")</f>
        <v/>
      </c>
      <c r="I1461" s="1" t="str">
        <f t="shared" si="1463"/>
        <v/>
      </c>
      <c r="J1461" s="1" t="str">
        <f t="shared" si="3"/>
        <v/>
      </c>
      <c r="L1461" s="1" t="s">
        <v>3173</v>
      </c>
      <c r="M1461" s="1" t="str">
        <f t="shared" si="4"/>
        <v>2, 5, 20, TENTACOOL</v>
      </c>
    </row>
    <row r="1462" ht="12.75" customHeight="1">
      <c r="A1462" s="3" t="s">
        <v>3174</v>
      </c>
      <c r="B1462" s="3" t="str">
        <f t="shared" si="1"/>
        <v>20, 35, TENTACOOL</v>
      </c>
      <c r="C1462" s="1" t="str">
        <f t="array" ref="C1462">IF(B1461="NEW ROUTE",TEXTSPLIT(B1462,","),"")</f>
        <v/>
      </c>
      <c r="H1462" s="1" t="str">
        <f t="shared" ref="H1462:I1462" si="1464">IF(C1462&lt;&gt;"",DEC2HEX(C1462,2),"")</f>
        <v/>
      </c>
      <c r="I1462" s="1" t="str">
        <f t="shared" si="1464"/>
        <v/>
      </c>
      <c r="J1462" s="1" t="str">
        <f t="shared" si="3"/>
        <v/>
      </c>
      <c r="L1462" s="1" t="s">
        <v>3174</v>
      </c>
      <c r="M1462" s="1" t="str">
        <f t="shared" si="4"/>
        <v>20, 35, TENTACOOL</v>
      </c>
    </row>
    <row r="1463" ht="12.75" customHeight="1">
      <c r="A1463" s="3" t="s">
        <v>2845</v>
      </c>
      <c r="B1463" s="3" t="str">
        <f t="shared" si="1"/>
        <v>35, 40, TENTACOOL</v>
      </c>
      <c r="C1463" s="1" t="str">
        <f t="array" ref="C1463">IF(B1462="NEW ROUTE",TEXTSPLIT(B1463,","),"")</f>
        <v/>
      </c>
      <c r="H1463" s="1" t="str">
        <f t="shared" ref="H1463:I1463" si="1465">IF(C1463&lt;&gt;"",DEC2HEX(C1463,2),"")</f>
        <v/>
      </c>
      <c r="I1463" s="1" t="str">
        <f t="shared" si="1465"/>
        <v/>
      </c>
      <c r="J1463" s="1" t="str">
        <f t="shared" si="3"/>
        <v/>
      </c>
      <c r="L1463" s="1" t="s">
        <v>2845</v>
      </c>
      <c r="M1463" s="1" t="str">
        <f t="shared" si="4"/>
        <v>35, 40, TENTACOOL</v>
      </c>
    </row>
    <row r="1464" ht="12.75" customHeight="1">
      <c r="A1464" s="3" t="s">
        <v>3232</v>
      </c>
      <c r="B1464" s="3" t="str">
        <f t="shared" si="1"/>
        <v>35, 40, TENTACRUEL</v>
      </c>
      <c r="C1464" s="1" t="str">
        <f t="array" ref="C1464">IF(B1463="NEW ROUTE",TEXTSPLIT(B1464,","),"")</f>
        <v/>
      </c>
      <c r="H1464" s="1" t="str">
        <f t="shared" ref="H1464:I1464" si="1466">IF(C1464&lt;&gt;"",DEC2HEX(C1464,2),"")</f>
        <v/>
      </c>
      <c r="I1464" s="1" t="str">
        <f t="shared" si="1466"/>
        <v/>
      </c>
      <c r="J1464" s="1" t="str">
        <f t="shared" si="3"/>
        <v/>
      </c>
      <c r="L1464" s="1" t="s">
        <v>3232</v>
      </c>
      <c r="M1464" s="1" t="str">
        <f t="shared" si="4"/>
        <v>35, 40, TENTACRUEL</v>
      </c>
    </row>
    <row r="1465" ht="12.75" customHeight="1">
      <c r="A1465" s="3" t="s">
        <v>3232</v>
      </c>
      <c r="B1465" s="3" t="str">
        <f t="shared" si="1"/>
        <v>35, 40, TENTACRUEL</v>
      </c>
      <c r="C1465" s="1" t="str">
        <f t="array" ref="C1465">IF(B1464="NEW ROUTE",TEXTSPLIT(B1465,","),"")</f>
        <v/>
      </c>
      <c r="H1465" s="1" t="str">
        <f t="shared" ref="H1465:I1465" si="1467">IF(C1465&lt;&gt;"",DEC2HEX(C1465,2),"")</f>
        <v/>
      </c>
      <c r="I1465" s="1" t="str">
        <f t="shared" si="1467"/>
        <v/>
      </c>
      <c r="J1465" s="1" t="str">
        <f t="shared" si="3"/>
        <v/>
      </c>
      <c r="L1465" s="1" t="s">
        <v>3232</v>
      </c>
      <c r="M1465" s="1" t="str">
        <f t="shared" si="4"/>
        <v>35, 40, TENTACRUEL</v>
      </c>
    </row>
    <row r="1466" ht="12.75" customHeight="1">
      <c r="A1466" s="3" t="s">
        <v>3233</v>
      </c>
      <c r="B1466" s="3" t="str">
        <f t="shared" si="1"/>
        <v>25, 5, 20, GEODUDE</v>
      </c>
      <c r="C1466" s="1" t="str">
        <f t="array" ref="C1466">IF(B1465="NEW ROUTE",TEXTSPLIT(B1466,","),"")</f>
        <v/>
      </c>
      <c r="H1466" s="1" t="str">
        <f t="shared" ref="H1466:I1466" si="1468">IF(C1466&lt;&gt;"",DEC2HEX(C1466,2),"")</f>
        <v/>
      </c>
      <c r="I1466" s="1" t="str">
        <f t="shared" si="1468"/>
        <v/>
      </c>
      <c r="J1466" s="1" t="str">
        <f t="shared" si="3"/>
        <v/>
      </c>
      <c r="L1466" s="1" t="s">
        <v>3233</v>
      </c>
      <c r="M1466" s="1" t="str">
        <f t="shared" si="4"/>
        <v>25, 5, 20, GEODUDE</v>
      </c>
    </row>
    <row r="1467" ht="12.75" customHeight="1">
      <c r="A1467" s="3" t="s">
        <v>3001</v>
      </c>
      <c r="B1467" s="3" t="str">
        <f t="shared" si="1"/>
        <v>10, 20, GEODUDE</v>
      </c>
      <c r="C1467" s="1" t="str">
        <f t="array" ref="C1467">IF(B1466="NEW ROUTE",TEXTSPLIT(B1467,","),"")</f>
        <v/>
      </c>
      <c r="H1467" s="1" t="str">
        <f t="shared" ref="H1467:I1467" si="1469">IF(C1467&lt;&gt;"",DEC2HEX(C1467,2),"")</f>
        <v/>
      </c>
      <c r="I1467" s="1" t="str">
        <f t="shared" si="1469"/>
        <v/>
      </c>
      <c r="J1467" s="1" t="str">
        <f t="shared" si="3"/>
        <v/>
      </c>
      <c r="L1467" s="1" t="s">
        <v>3001</v>
      </c>
      <c r="M1467" s="1" t="str">
        <f t="shared" si="4"/>
        <v>10, 20, GEODUDE</v>
      </c>
    </row>
    <row r="1468" ht="12.75" customHeight="1">
      <c r="A1468" s="3" t="s">
        <v>3002</v>
      </c>
      <c r="B1468" s="3" t="str">
        <f t="shared" si="1"/>
        <v>15, 30, GEODUDE</v>
      </c>
      <c r="C1468" s="1" t="str">
        <f t="array" ref="C1468">IF(B1467="NEW ROUTE",TEXTSPLIT(B1468,","),"")</f>
        <v/>
      </c>
      <c r="H1468" s="1" t="str">
        <f t="shared" ref="H1468:I1468" si="1470">IF(C1468&lt;&gt;"",DEC2HEX(C1468,2),"")</f>
        <v/>
      </c>
      <c r="I1468" s="1" t="str">
        <f t="shared" si="1470"/>
        <v/>
      </c>
      <c r="J1468" s="1" t="str">
        <f t="shared" si="3"/>
        <v/>
      </c>
      <c r="L1468" s="1" t="s">
        <v>3002</v>
      </c>
      <c r="M1468" s="1" t="str">
        <f t="shared" si="4"/>
        <v>15, 30, GEODUDE</v>
      </c>
    </row>
    <row r="1469" ht="12.75" customHeight="1">
      <c r="A1469" s="3" t="s">
        <v>3003</v>
      </c>
      <c r="B1469" s="3" t="str">
        <f t="shared" si="1"/>
        <v>25, 40, GRAVELER</v>
      </c>
      <c r="C1469" s="1" t="str">
        <f t="array" ref="C1469">IF(B1468="NEW ROUTE",TEXTSPLIT(B1469,","),"")</f>
        <v/>
      </c>
      <c r="H1469" s="1" t="str">
        <f t="shared" ref="H1469:I1469" si="1471">IF(C1469&lt;&gt;"",DEC2HEX(C1469,2),"")</f>
        <v/>
      </c>
      <c r="I1469" s="1" t="str">
        <f t="shared" si="1471"/>
        <v/>
      </c>
      <c r="J1469" s="1" t="str">
        <f t="shared" si="3"/>
        <v/>
      </c>
      <c r="L1469" s="1" t="s">
        <v>3003</v>
      </c>
      <c r="M1469" s="1" t="str">
        <f t="shared" si="4"/>
        <v>25, 40, GRAVELER</v>
      </c>
    </row>
    <row r="1470" ht="12.75" customHeight="1">
      <c r="A1470" s="3" t="s">
        <v>3234</v>
      </c>
      <c r="B1470" s="3" t="str">
        <f t="shared" si="1"/>
        <v>30, 40, GRAVELER</v>
      </c>
      <c r="C1470" s="1" t="str">
        <f t="array" ref="C1470">IF(B1469="NEW ROUTE",TEXTSPLIT(B1470,","),"")</f>
        <v/>
      </c>
      <c r="H1470" s="1" t="str">
        <f t="shared" ref="H1470:I1470" si="1472">IF(C1470&lt;&gt;"",DEC2HEX(C1470,2),"")</f>
        <v/>
      </c>
      <c r="I1470" s="1" t="str">
        <f t="shared" si="1472"/>
        <v/>
      </c>
      <c r="J1470" s="1" t="str">
        <f t="shared" si="3"/>
        <v/>
      </c>
      <c r="L1470" s="1" t="s">
        <v>3234</v>
      </c>
      <c r="M1470" s="1" t="str">
        <f t="shared" si="4"/>
        <v>30, 40, GRAVELER</v>
      </c>
    </row>
    <row r="1471" ht="12.75" customHeight="1">
      <c r="A1471" s="3" t="s">
        <v>2926</v>
      </c>
      <c r="B1471" s="3" t="str">
        <f t="shared" si="1"/>
        <v>20, old rod:</v>
      </c>
      <c r="C1471" s="1" t="str">
        <f t="array" ref="C1471">IF(B1470="NEW ROUTE",TEXTSPLIT(B1471,","),"")</f>
        <v/>
      </c>
      <c r="H1471" s="1" t="str">
        <f t="shared" ref="H1471:I1471" si="1473">IF(C1471&lt;&gt;"",DEC2HEX(C1471,2),"")</f>
        <v/>
      </c>
      <c r="I1471" s="1" t="str">
        <f t="shared" si="1473"/>
        <v/>
      </c>
      <c r="J1471" s="1" t="str">
        <f t="shared" si="3"/>
        <v/>
      </c>
      <c r="L1471" s="1" t="s">
        <v>2926</v>
      </c>
      <c r="M1471" s="1" t="str">
        <f t="shared" si="4"/>
        <v>20, old rod:</v>
      </c>
    </row>
    <row r="1472" ht="12.75" customHeight="1">
      <c r="A1472" s="3" t="s">
        <v>417</v>
      </c>
      <c r="B1472" s="3" t="str">
        <f t="shared" si="1"/>
        <v>5, 5, MAGIKARP</v>
      </c>
      <c r="C1472" s="1" t="str">
        <f t="array" ref="C1472">IF(B1471="NEW ROUTE",TEXTSPLIT(B1472,","),"")</f>
        <v/>
      </c>
      <c r="H1472" s="1" t="str">
        <f t="shared" ref="H1472:I1472" si="1474">IF(C1472&lt;&gt;"",DEC2HEX(C1472,2),"")</f>
        <v/>
      </c>
      <c r="I1472" s="1" t="str">
        <f t="shared" si="1474"/>
        <v/>
      </c>
      <c r="J1472" s="1" t="str">
        <f t="shared" si="3"/>
        <v/>
      </c>
      <c r="L1472" s="1" t="s">
        <v>417</v>
      </c>
      <c r="M1472" s="1" t="str">
        <f t="shared" si="4"/>
        <v>5, 5, MAGIKARP</v>
      </c>
    </row>
    <row r="1473" ht="12.75" customHeight="1">
      <c r="A1473" s="3" t="s">
        <v>417</v>
      </c>
      <c r="B1473" s="3" t="str">
        <f t="shared" si="1"/>
        <v>5, 5, MAGIKARP</v>
      </c>
      <c r="C1473" s="1" t="str">
        <f t="array" ref="C1473">IF(B1472="NEW ROUTE",TEXTSPLIT(B1473,","),"")</f>
        <v/>
      </c>
      <c r="H1473" s="1" t="str">
        <f t="shared" ref="H1473:I1473" si="1475">IF(C1473&lt;&gt;"",DEC2HEX(C1473,2),"")</f>
        <v/>
      </c>
      <c r="I1473" s="1" t="str">
        <f t="shared" si="1475"/>
        <v/>
      </c>
      <c r="J1473" s="1" t="str">
        <f t="shared" si="3"/>
        <v/>
      </c>
      <c r="L1473" s="1" t="s">
        <v>417</v>
      </c>
      <c r="M1473" s="1" t="str">
        <f t="shared" si="4"/>
        <v>5, 5, MAGIKARP</v>
      </c>
    </row>
    <row r="1474" ht="12.75" customHeight="1">
      <c r="A1474" s="3" t="s">
        <v>2847</v>
      </c>
      <c r="B1474" s="3" t="str">
        <f t="shared" si="1"/>
        <v>good rod:</v>
      </c>
      <c r="C1474" s="1" t="str">
        <f t="array" ref="C1474">IF(B1473="NEW ROUTE",TEXTSPLIT(B1474,","),"")</f>
        <v/>
      </c>
      <c r="H1474" s="1" t="str">
        <f t="shared" ref="H1474:I1474" si="1476">IF(C1474&lt;&gt;"",DEC2HEX(C1474,2),"")</f>
        <v/>
      </c>
      <c r="I1474" s="1" t="str">
        <f t="shared" si="1476"/>
        <v/>
      </c>
      <c r="J1474" s="1" t="str">
        <f t="shared" si="3"/>
        <v/>
      </c>
      <c r="L1474" s="1" t="s">
        <v>2847</v>
      </c>
      <c r="M1474" s="1" t="str">
        <f t="shared" si="4"/>
        <v>good rod:</v>
      </c>
    </row>
    <row r="1475" ht="12.75" customHeight="1">
      <c r="A1475" s="3" t="s">
        <v>2848</v>
      </c>
      <c r="B1475" s="3" t="str">
        <f t="shared" si="1"/>
        <v>5, 15, KRABBY</v>
      </c>
      <c r="C1475" s="1" t="str">
        <f t="array" ref="C1475">IF(B1474="NEW ROUTE",TEXTSPLIT(B1475,","),"")</f>
        <v/>
      </c>
      <c r="H1475" s="1" t="str">
        <f t="shared" ref="H1475:I1475" si="1477">IF(C1475&lt;&gt;"",DEC2HEX(C1475,2),"")</f>
        <v/>
      </c>
      <c r="I1475" s="1" t="str">
        <f t="shared" si="1477"/>
        <v/>
      </c>
      <c r="J1475" s="1" t="str">
        <f t="shared" si="3"/>
        <v/>
      </c>
      <c r="L1475" s="1" t="s">
        <v>2848</v>
      </c>
      <c r="M1475" s="1" t="str">
        <f t="shared" si="4"/>
        <v>5, 15, KRABBY</v>
      </c>
    </row>
    <row r="1476" ht="12.75" customHeight="1">
      <c r="A1476" s="3" t="s">
        <v>2849</v>
      </c>
      <c r="B1476" s="3" t="str">
        <f t="shared" si="1"/>
        <v>5, 15, MAGIKARP</v>
      </c>
      <c r="C1476" s="1" t="str">
        <f t="array" ref="C1476">IF(B1475="NEW ROUTE",TEXTSPLIT(B1476,","),"")</f>
        <v/>
      </c>
      <c r="H1476" s="1" t="str">
        <f t="shared" ref="H1476:I1476" si="1478">IF(C1476&lt;&gt;"",DEC2HEX(C1476,2),"")</f>
        <v/>
      </c>
      <c r="I1476" s="1" t="str">
        <f t="shared" si="1478"/>
        <v/>
      </c>
      <c r="J1476" s="1" t="str">
        <f t="shared" si="3"/>
        <v/>
      </c>
      <c r="L1476" s="1" t="s">
        <v>2849</v>
      </c>
      <c r="M1476" s="1" t="str">
        <f t="shared" si="4"/>
        <v>5, 15, MAGIKARP</v>
      </c>
    </row>
    <row r="1477" ht="12.75" customHeight="1">
      <c r="A1477" s="3" t="s">
        <v>2848</v>
      </c>
      <c r="B1477" s="3" t="str">
        <f t="shared" si="1"/>
        <v>5, 15, KRABBY</v>
      </c>
      <c r="C1477" s="1" t="str">
        <f t="array" ref="C1477">IF(B1476="NEW ROUTE",TEXTSPLIT(B1477,","),"")</f>
        <v/>
      </c>
      <c r="H1477" s="1" t="str">
        <f t="shared" ref="H1477:I1477" si="1479">IF(C1477&lt;&gt;"",DEC2HEX(C1477,2),"")</f>
        <v/>
      </c>
      <c r="I1477" s="1" t="str">
        <f t="shared" si="1479"/>
        <v/>
      </c>
      <c r="J1477" s="1" t="str">
        <f t="shared" si="3"/>
        <v/>
      </c>
      <c r="L1477" s="1" t="s">
        <v>2848</v>
      </c>
      <c r="M1477" s="1" t="str">
        <f t="shared" si="4"/>
        <v>5, 15, KRABBY</v>
      </c>
    </row>
    <row r="1478" ht="12.75" customHeight="1">
      <c r="A1478" s="3" t="s">
        <v>2851</v>
      </c>
      <c r="B1478" s="3" t="str">
        <f t="shared" si="1"/>
        <v>super rod:</v>
      </c>
      <c r="C1478" s="1" t="str">
        <f t="array" ref="C1478">IF(B1477="NEW ROUTE",TEXTSPLIT(B1478,","),"")</f>
        <v/>
      </c>
      <c r="H1478" s="1" t="str">
        <f t="shared" ref="H1478:I1478" si="1480">IF(C1478&lt;&gt;"",DEC2HEX(C1478,2),"")</f>
        <v/>
      </c>
      <c r="I1478" s="1" t="str">
        <f t="shared" si="1480"/>
        <v/>
      </c>
      <c r="J1478" s="1" t="str">
        <f t="shared" si="3"/>
        <v/>
      </c>
      <c r="L1478" s="1" t="s">
        <v>2851</v>
      </c>
      <c r="M1478" s="1" t="str">
        <f t="shared" si="4"/>
        <v>super rod:</v>
      </c>
    </row>
    <row r="1479" ht="12.75" customHeight="1">
      <c r="A1479" s="3" t="s">
        <v>2852</v>
      </c>
      <c r="B1479" s="3" t="str">
        <f t="shared" si="1"/>
        <v>15, 25, KRABBY</v>
      </c>
      <c r="C1479" s="1" t="str">
        <f t="array" ref="C1479">IF(B1478="NEW ROUTE",TEXTSPLIT(B1479,","),"")</f>
        <v/>
      </c>
      <c r="H1479" s="1" t="str">
        <f t="shared" ref="H1479:I1479" si="1481">IF(C1479&lt;&gt;"",DEC2HEX(C1479,2),"")</f>
        <v/>
      </c>
      <c r="I1479" s="1" t="str">
        <f t="shared" si="1481"/>
        <v/>
      </c>
      <c r="J1479" s="1" t="str">
        <f t="shared" si="3"/>
        <v/>
      </c>
      <c r="L1479" s="1" t="s">
        <v>2852</v>
      </c>
      <c r="M1479" s="1" t="str">
        <f t="shared" si="4"/>
        <v>15, 25, KRABBY</v>
      </c>
    </row>
    <row r="1480" ht="12.75" customHeight="1">
      <c r="A1480" s="3" t="s">
        <v>2852</v>
      </c>
      <c r="B1480" s="3" t="str">
        <f t="shared" si="1"/>
        <v>15, 25, KRABBY</v>
      </c>
      <c r="C1480" s="1" t="str">
        <f t="array" ref="C1480">IF(B1479="NEW ROUTE",TEXTSPLIT(B1480,","),"")</f>
        <v/>
      </c>
      <c r="H1480" s="1" t="str">
        <f t="shared" ref="H1480:I1480" si="1482">IF(C1480&lt;&gt;"",DEC2HEX(C1480,2),"")</f>
        <v/>
      </c>
      <c r="I1480" s="1" t="str">
        <f t="shared" si="1482"/>
        <v/>
      </c>
      <c r="J1480" s="1" t="str">
        <f t="shared" si="3"/>
        <v/>
      </c>
      <c r="L1480" s="1" t="s">
        <v>2852</v>
      </c>
      <c r="M1480" s="1" t="str">
        <f t="shared" si="4"/>
        <v>15, 25, KRABBY</v>
      </c>
    </row>
    <row r="1481" ht="12.75" customHeight="1">
      <c r="A1481" s="3" t="s">
        <v>2854</v>
      </c>
      <c r="B1481" s="3" t="str">
        <f t="shared" si="1"/>
        <v>15, 25, GYARADOS</v>
      </c>
      <c r="C1481" s="1" t="str">
        <f t="array" ref="C1481">IF(B1480="NEW ROUTE",TEXTSPLIT(B1481,","),"")</f>
        <v/>
      </c>
      <c r="H1481" s="1" t="str">
        <f t="shared" ref="H1481:I1481" si="1483">IF(C1481&lt;&gt;"",DEC2HEX(C1481,2),"")</f>
        <v/>
      </c>
      <c r="I1481" s="1" t="str">
        <f t="shared" si="1483"/>
        <v/>
      </c>
      <c r="J1481" s="1" t="str">
        <f t="shared" si="3"/>
        <v/>
      </c>
      <c r="L1481" s="1" t="s">
        <v>2854</v>
      </c>
      <c r="M1481" s="1" t="str">
        <f t="shared" si="4"/>
        <v>15, 25, GYARADOS</v>
      </c>
    </row>
    <row r="1482" ht="12.75" customHeight="1">
      <c r="A1482" s="3" t="s">
        <v>3178</v>
      </c>
      <c r="B1482" s="3" t="str">
        <f t="shared" si="1"/>
        <v>25, 35, KINGLER</v>
      </c>
      <c r="C1482" s="1" t="str">
        <f t="array" ref="C1482">IF(B1481="NEW ROUTE",TEXTSPLIT(B1482,","),"")</f>
        <v/>
      </c>
      <c r="H1482" s="1" t="str">
        <f t="shared" ref="H1482:I1482" si="1484">IF(C1482&lt;&gt;"",DEC2HEX(C1482,2),"")</f>
        <v/>
      </c>
      <c r="I1482" s="1" t="str">
        <f t="shared" si="1484"/>
        <v/>
      </c>
      <c r="J1482" s="1" t="str">
        <f t="shared" si="3"/>
        <v/>
      </c>
      <c r="L1482" s="1" t="s">
        <v>3178</v>
      </c>
      <c r="M1482" s="1" t="str">
        <f t="shared" si="4"/>
        <v>25, 35, KINGLER</v>
      </c>
    </row>
    <row r="1483" ht="12.75" customHeight="1">
      <c r="A1483" s="3" t="s">
        <v>2856</v>
      </c>
      <c r="B1483" s="3" t="str">
        <f t="shared" si="1"/>
        <v>25, 35, SLOWPOKE</v>
      </c>
      <c r="C1483" s="1" t="str">
        <f t="array" ref="C1483">IF(B1482="NEW ROUTE",TEXTSPLIT(B1483,","),"")</f>
        <v/>
      </c>
      <c r="H1483" s="1" t="str">
        <f t="shared" ref="H1483:I1483" si="1485">IF(C1483&lt;&gt;"",DEC2HEX(C1483,2),"")</f>
        <v/>
      </c>
      <c r="I1483" s="1" t="str">
        <f t="shared" si="1485"/>
        <v/>
      </c>
      <c r="J1483" s="1" t="str">
        <f t="shared" si="3"/>
        <v/>
      </c>
      <c r="L1483" s="1" t="s">
        <v>2856</v>
      </c>
      <c r="M1483" s="1" t="str">
        <f t="shared" si="4"/>
        <v>25, 35, SLOWPOKE</v>
      </c>
    </row>
    <row r="1484" ht="12.75" customHeight="1">
      <c r="A1484" s="3" t="s">
        <v>2539</v>
      </c>
      <c r="B1484" s="3" t="str">
        <f t="shared" si="1"/>
        <v>NEW ROUTE</v>
      </c>
      <c r="C1484" s="1" t="str">
        <f t="array" ref="C1484">IF(B1483="NEW ROUTE",TEXTSPLIT(B1484,","),"")</f>
        <v/>
      </c>
      <c r="H1484" s="1" t="str">
        <f t="shared" ref="H1484:I1484" si="1486">IF(C1484&lt;&gt;"",DEC2HEX(C1484,2),"")</f>
        <v/>
      </c>
      <c r="I1484" s="1" t="str">
        <f t="shared" si="1486"/>
        <v/>
      </c>
      <c r="J1484" s="1" t="str">
        <f t="shared" si="3"/>
        <v/>
      </c>
      <c r="L1484" s="1" t="s">
        <v>2539</v>
      </c>
      <c r="M1484" s="1" t="str">
        <f t="shared" si="4"/>
        <v>NEW ROUTE</v>
      </c>
    </row>
    <row r="1485" ht="12.75" customHeight="1">
      <c r="A1485" s="3" t="s">
        <v>3235</v>
      </c>
      <c r="B1485" s="3" t="str">
        <f t="shared" si="1"/>
        <v>3, 46, 0,</v>
      </c>
      <c r="C1485" s="1" t="str">
        <f t="array" ref="C1485">IF(B1484="NEW ROUTE",TEXTSPLIT(B1485,","),"")</f>
        <v>#NAME?</v>
      </c>
      <c r="H1485" s="1" t="str">
        <f t="shared" ref="H1485:I1485" si="1487">IF(C1485&lt;&gt;"",DEC2HEX(C1485,2),"")</f>
        <v>#NAME?</v>
      </c>
      <c r="I1485" s="1" t="str">
        <f t="shared" si="1487"/>
        <v/>
      </c>
      <c r="J1485" s="1" t="str">
        <f t="shared" si="3"/>
        <v>#NAME?</v>
      </c>
      <c r="L1485" s="1" t="s">
        <v>3235</v>
      </c>
      <c r="M1485" s="1" t="str">
        <f t="shared" si="4"/>
        <v>#NAME?</v>
      </c>
    </row>
    <row r="1486" ht="12.75" customHeight="1">
      <c r="A1486" s="3" t="s">
        <v>2909</v>
      </c>
      <c r="B1486" s="3" t="str">
        <f t="shared" si="1"/>
        <v>20%</v>
      </c>
      <c r="C1486" s="1" t="str">
        <f t="array" ref="C1486">IF(B1485="NEW ROUTE",TEXTSPLIT(B1486,","),"")</f>
        <v/>
      </c>
      <c r="H1486" s="1" t="str">
        <f t="shared" ref="H1486:I1486" si="1488">IF(C1486&lt;&gt;"",DEC2HEX(C1486,2),"")</f>
        <v/>
      </c>
      <c r="I1486" s="1" t="str">
        <f t="shared" si="1488"/>
        <v/>
      </c>
      <c r="J1486" s="1" t="str">
        <f t="shared" si="3"/>
        <v/>
      </c>
      <c r="L1486" s="1" t="s">
        <v>2799</v>
      </c>
      <c r="M1486" s="1" t="str">
        <f t="shared" si="4"/>
        <v>20%</v>
      </c>
    </row>
    <row r="1487" ht="12.75" customHeight="1">
      <c r="A1487" s="3" t="s">
        <v>817</v>
      </c>
      <c r="B1487" s="3" t="str">
        <f t="shared" si="1"/>
        <v>32, 32, SPEAROW</v>
      </c>
      <c r="C1487" s="1" t="str">
        <f t="array" ref="C1487">IF(B1486="NEW ROUTE",TEXTSPLIT(B1487,","),"")</f>
        <v/>
      </c>
      <c r="H1487" s="1" t="str">
        <f t="shared" ref="H1487:I1487" si="1489">IF(C1487&lt;&gt;"",DEC2HEX(C1487,2),"")</f>
        <v/>
      </c>
      <c r="I1487" s="1" t="str">
        <f t="shared" si="1489"/>
        <v/>
      </c>
      <c r="J1487" s="1" t="str">
        <f t="shared" si="3"/>
        <v/>
      </c>
      <c r="L1487" s="1" t="s">
        <v>817</v>
      </c>
      <c r="M1487" s="1" t="str">
        <f t="shared" si="4"/>
        <v>32, 32, SPEAROW</v>
      </c>
    </row>
    <row r="1488" ht="12.75" customHeight="1">
      <c r="A1488" s="3" t="s">
        <v>3236</v>
      </c>
      <c r="B1488" s="3" t="str">
        <f t="shared" si="1"/>
        <v>33, 33, TANGELA</v>
      </c>
      <c r="C1488" s="1" t="str">
        <f t="array" ref="C1488">IF(B1487="NEW ROUTE",TEXTSPLIT(B1488,","),"")</f>
        <v/>
      </c>
      <c r="H1488" s="1" t="str">
        <f t="shared" ref="H1488:I1488" si="1490">IF(C1488&lt;&gt;"",DEC2HEX(C1488,2),"")</f>
        <v/>
      </c>
      <c r="I1488" s="1" t="str">
        <f t="shared" si="1490"/>
        <v/>
      </c>
      <c r="J1488" s="1" t="str">
        <f t="shared" si="3"/>
        <v/>
      </c>
      <c r="L1488" s="1" t="s">
        <v>3236</v>
      </c>
      <c r="M1488" s="1" t="str">
        <f t="shared" si="4"/>
        <v>33, 33, TANGELA</v>
      </c>
    </row>
    <row r="1489" ht="12.75" customHeight="1">
      <c r="A1489" s="3" t="s">
        <v>2802</v>
      </c>
      <c r="B1489" s="3" t="str">
        <f t="shared" si="1"/>
        <v>0.1</v>
      </c>
      <c r="C1489" s="1" t="str">
        <f t="array" ref="C1489">IF(B1488="NEW ROUTE",TEXTSPLIT(B1489,","),"")</f>
        <v/>
      </c>
      <c r="H1489" s="1" t="str">
        <f t="shared" ref="H1489:I1489" si="1491">IF(C1489&lt;&gt;"",DEC2HEX(C1489,2),"")</f>
        <v/>
      </c>
      <c r="I1489" s="1" t="str">
        <f t="shared" si="1491"/>
        <v/>
      </c>
      <c r="J1489" s="1" t="str">
        <f t="shared" si="3"/>
        <v/>
      </c>
      <c r="L1489" s="1" t="s">
        <v>2802</v>
      </c>
      <c r="M1489" s="1" t="str">
        <f t="shared" si="4"/>
        <v>0.1</v>
      </c>
    </row>
    <row r="1490" ht="12.75" customHeight="1">
      <c r="A1490" s="3" t="s">
        <v>838</v>
      </c>
      <c r="B1490" s="3" t="str">
        <f t="shared" si="1"/>
        <v>31, 31, SPEAROW</v>
      </c>
      <c r="C1490" s="1" t="str">
        <f t="array" ref="C1490">IF(B1489="NEW ROUTE",TEXTSPLIT(B1490,","),"")</f>
        <v/>
      </c>
      <c r="H1490" s="1" t="str">
        <f t="shared" ref="H1490:I1490" si="1492">IF(C1490&lt;&gt;"",DEC2HEX(C1490,2),"")</f>
        <v/>
      </c>
      <c r="I1490" s="1" t="str">
        <f t="shared" si="1492"/>
        <v/>
      </c>
      <c r="J1490" s="1" t="str">
        <f t="shared" si="3"/>
        <v/>
      </c>
      <c r="L1490" s="1" t="s">
        <v>838</v>
      </c>
      <c r="M1490" s="1" t="str">
        <f t="shared" si="4"/>
        <v>31, 31, SPEAROW</v>
      </c>
    </row>
    <row r="1491" ht="12.75" customHeight="1">
      <c r="A1491" s="3" t="s">
        <v>3237</v>
      </c>
      <c r="B1491" s="3" t="str">
        <f t="shared" si="1"/>
        <v>35, 35, TANGELA</v>
      </c>
      <c r="C1491" s="1" t="str">
        <f t="array" ref="C1491">IF(B1490="NEW ROUTE",TEXTSPLIT(B1491,","),"")</f>
        <v/>
      </c>
      <c r="H1491" s="1" t="str">
        <f t="shared" ref="H1491:I1491" si="1493">IF(C1491&lt;&gt;"",DEC2HEX(C1491,2),"")</f>
        <v/>
      </c>
      <c r="I1491" s="1" t="str">
        <f t="shared" si="1493"/>
        <v/>
      </c>
      <c r="J1491" s="1" t="str">
        <f t="shared" si="3"/>
        <v/>
      </c>
      <c r="L1491" s="1" t="s">
        <v>3237</v>
      </c>
      <c r="M1491" s="1" t="str">
        <f t="shared" si="4"/>
        <v>35, 35, TANGELA</v>
      </c>
    </row>
    <row r="1492" ht="12.75" customHeight="1">
      <c r="A1492" s="3" t="s">
        <v>3223</v>
      </c>
      <c r="B1492" s="3" t="str">
        <f t="shared" si="1"/>
        <v>36, 36, FEAROW</v>
      </c>
      <c r="C1492" s="1" t="str">
        <f t="array" ref="C1492">IF(B1491="NEW ROUTE",TEXTSPLIT(B1492,","),"")</f>
        <v/>
      </c>
      <c r="H1492" s="1" t="str">
        <f t="shared" ref="H1492:I1492" si="1494">IF(C1492&lt;&gt;"",DEC2HEX(C1492,2),"")</f>
        <v/>
      </c>
      <c r="I1492" s="1" t="str">
        <f t="shared" si="1494"/>
        <v/>
      </c>
      <c r="J1492" s="1" t="str">
        <f t="shared" si="3"/>
        <v/>
      </c>
      <c r="L1492" s="1" t="s">
        <v>3223</v>
      </c>
      <c r="M1492" s="1" t="str">
        <f t="shared" si="4"/>
        <v>36, 36, FEAROW</v>
      </c>
    </row>
    <row r="1493" ht="12.75" customHeight="1">
      <c r="A1493" s="3" t="s">
        <v>3225</v>
      </c>
      <c r="B1493" s="3" t="str">
        <f t="shared" si="1"/>
        <v>31, 31, MEOWTH</v>
      </c>
      <c r="C1493" s="1" t="str">
        <f t="array" ref="C1493">IF(B1492="NEW ROUTE",TEXTSPLIT(B1493,","),"")</f>
        <v/>
      </c>
      <c r="H1493" s="1" t="str">
        <f t="shared" ref="H1493:I1493" si="1495">IF(C1493&lt;&gt;"",DEC2HEX(C1493,2),"")</f>
        <v/>
      </c>
      <c r="I1493" s="1" t="str">
        <f t="shared" si="1495"/>
        <v/>
      </c>
      <c r="J1493" s="1" t="str">
        <f t="shared" si="3"/>
        <v/>
      </c>
      <c r="L1493" s="1" t="s">
        <v>3225</v>
      </c>
      <c r="M1493" s="1" t="str">
        <f t="shared" si="4"/>
        <v>31, 31, MEOWTH</v>
      </c>
    </row>
    <row r="1494" ht="12.75" customHeight="1">
      <c r="A1494" s="3" t="s">
        <v>2807</v>
      </c>
      <c r="B1494" s="3" t="str">
        <f t="shared" si="1"/>
        <v>0.05</v>
      </c>
      <c r="C1494" s="1" t="str">
        <f t="array" ref="C1494">IF(B1493="NEW ROUTE",TEXTSPLIT(B1494,","),"")</f>
        <v/>
      </c>
      <c r="H1494" s="1" t="str">
        <f t="shared" ref="H1494:I1494" si="1496">IF(C1494&lt;&gt;"",DEC2HEX(C1494,2),"")</f>
        <v/>
      </c>
      <c r="I1494" s="1" t="str">
        <f t="shared" si="1496"/>
        <v/>
      </c>
      <c r="J1494" s="1" t="str">
        <f t="shared" si="3"/>
        <v/>
      </c>
      <c r="L1494" s="1" t="s">
        <v>2807</v>
      </c>
      <c r="M1494" s="1" t="str">
        <f t="shared" si="4"/>
        <v>0.05</v>
      </c>
    </row>
    <row r="1495" ht="12.75" customHeight="1">
      <c r="A1495" s="3" t="s">
        <v>3071</v>
      </c>
      <c r="B1495" s="3" t="str">
        <f t="shared" si="1"/>
        <v>38, 38, FEAROW</v>
      </c>
      <c r="C1495" s="1" t="str">
        <f t="array" ref="C1495">IF(B1494="NEW ROUTE",TEXTSPLIT(B1495,","),"")</f>
        <v/>
      </c>
      <c r="H1495" s="1" t="str">
        <f t="shared" ref="H1495:I1495" si="1497">IF(C1495&lt;&gt;"",DEC2HEX(C1495,2),"")</f>
        <v/>
      </c>
      <c r="I1495" s="1" t="str">
        <f t="shared" si="1497"/>
        <v/>
      </c>
      <c r="J1495" s="1" t="str">
        <f t="shared" si="3"/>
        <v/>
      </c>
      <c r="L1495" s="1" t="s">
        <v>3071</v>
      </c>
      <c r="M1495" s="1" t="str">
        <f t="shared" si="4"/>
        <v>38, 38, FEAROW</v>
      </c>
    </row>
    <row r="1496" ht="12.75" customHeight="1">
      <c r="A1496" s="3" t="s">
        <v>3134</v>
      </c>
      <c r="B1496" s="3" t="str">
        <f t="shared" si="1"/>
        <v>31, 31, SLOWPOKE</v>
      </c>
      <c r="C1496" s="1" t="str">
        <f t="array" ref="C1496">IF(B1495="NEW ROUTE",TEXTSPLIT(B1496,","),"")</f>
        <v/>
      </c>
      <c r="H1496" s="1" t="str">
        <f t="shared" ref="H1496:I1496" si="1498">IF(C1496&lt;&gt;"",DEC2HEX(C1496,2),"")</f>
        <v/>
      </c>
      <c r="I1496" s="1" t="str">
        <f t="shared" si="1498"/>
        <v/>
      </c>
      <c r="J1496" s="1" t="str">
        <f t="shared" si="3"/>
        <v/>
      </c>
      <c r="L1496" s="1" t="s">
        <v>3134</v>
      </c>
      <c r="M1496" s="1" t="str">
        <f t="shared" si="4"/>
        <v>31, 31, SLOWPOKE</v>
      </c>
    </row>
    <row r="1497" ht="12.75" customHeight="1">
      <c r="A1497" s="3" t="s">
        <v>2810</v>
      </c>
      <c r="B1497" s="3" t="str">
        <f t="shared" si="1"/>
        <v>0.04</v>
      </c>
      <c r="C1497" s="1" t="str">
        <f t="array" ref="C1497">IF(B1496="NEW ROUTE",TEXTSPLIT(B1497,","),"")</f>
        <v/>
      </c>
      <c r="H1497" s="1" t="str">
        <f t="shared" ref="H1497:I1497" si="1499">IF(C1497&lt;&gt;"",DEC2HEX(C1497,2),"")</f>
        <v/>
      </c>
      <c r="I1497" s="1" t="str">
        <f t="shared" si="1499"/>
        <v/>
      </c>
      <c r="J1497" s="1" t="str">
        <f t="shared" si="3"/>
        <v/>
      </c>
      <c r="L1497" s="1" t="s">
        <v>2810</v>
      </c>
      <c r="M1497" s="1" t="str">
        <f t="shared" si="4"/>
        <v>0.04</v>
      </c>
    </row>
    <row r="1498" ht="12.75" customHeight="1">
      <c r="A1498" s="3" t="s">
        <v>3075</v>
      </c>
      <c r="B1498" s="3" t="str">
        <f t="shared" si="1"/>
        <v>40, 40, FEAROW</v>
      </c>
      <c r="C1498" s="1" t="str">
        <f t="array" ref="C1498">IF(B1497="NEW ROUTE",TEXTSPLIT(B1498,","),"")</f>
        <v/>
      </c>
      <c r="H1498" s="1" t="str">
        <f t="shared" ref="H1498:I1498" si="1500">IF(C1498&lt;&gt;"",DEC2HEX(C1498,2),"")</f>
        <v/>
      </c>
      <c r="I1498" s="1" t="str">
        <f t="shared" si="1500"/>
        <v/>
      </c>
      <c r="J1498" s="1" t="str">
        <f t="shared" si="3"/>
        <v/>
      </c>
      <c r="L1498" s="1" t="s">
        <v>3075</v>
      </c>
      <c r="M1498" s="1" t="str">
        <f t="shared" si="4"/>
        <v>40, 40, FEAROW</v>
      </c>
    </row>
    <row r="1499" ht="12.75" customHeight="1">
      <c r="A1499" s="3" t="s">
        <v>3229</v>
      </c>
      <c r="B1499" s="3" t="str">
        <f t="shared" si="1"/>
        <v>37, 37, PERSIAN</v>
      </c>
      <c r="C1499" s="1" t="str">
        <f t="array" ref="C1499">IF(B1498="NEW ROUTE",TEXTSPLIT(B1499,","),"")</f>
        <v/>
      </c>
      <c r="H1499" s="1" t="str">
        <f t="shared" ref="H1499:I1499" si="1501">IF(C1499&lt;&gt;"",DEC2HEX(C1499,2),"")</f>
        <v/>
      </c>
      <c r="I1499" s="1" t="str">
        <f t="shared" si="1501"/>
        <v/>
      </c>
      <c r="J1499" s="1" t="str">
        <f t="shared" si="3"/>
        <v/>
      </c>
      <c r="L1499" s="1" t="s">
        <v>3229</v>
      </c>
      <c r="M1499" s="1" t="str">
        <f t="shared" si="4"/>
        <v>37, 37, PERSIAN</v>
      </c>
    </row>
    <row r="1500" ht="12.75" customHeight="1">
      <c r="A1500" s="3" t="s">
        <v>2813</v>
      </c>
      <c r="B1500" s="3" t="str">
        <f t="shared" si="1"/>
        <v>0.01</v>
      </c>
      <c r="C1500" s="1" t="str">
        <f t="array" ref="C1500">IF(B1499="NEW ROUTE",TEXTSPLIT(B1500,","),"")</f>
        <v/>
      </c>
      <c r="H1500" s="1" t="str">
        <f t="shared" ref="H1500:I1500" si="1502">IF(C1500&lt;&gt;"",DEC2HEX(C1500,2),"")</f>
        <v/>
      </c>
      <c r="I1500" s="1" t="str">
        <f t="shared" si="1502"/>
        <v/>
      </c>
      <c r="J1500" s="1" t="str">
        <f t="shared" si="3"/>
        <v/>
      </c>
      <c r="L1500" s="1" t="s">
        <v>2813</v>
      </c>
      <c r="M1500" s="1" t="str">
        <f t="shared" si="4"/>
        <v>0.01</v>
      </c>
    </row>
    <row r="1501" ht="12.75" customHeight="1">
      <c r="A1501" s="3" t="s">
        <v>3075</v>
      </c>
      <c r="B1501" s="3" t="str">
        <f t="shared" si="1"/>
        <v>40, 40, FEAROW</v>
      </c>
      <c r="C1501" s="1" t="str">
        <f t="array" ref="C1501">IF(B1500="NEW ROUTE",TEXTSPLIT(B1501,","),"")</f>
        <v/>
      </c>
      <c r="H1501" s="1" t="str">
        <f t="shared" ref="H1501:I1501" si="1503">IF(C1501&lt;&gt;"",DEC2HEX(C1501,2),"")</f>
        <v/>
      </c>
      <c r="I1501" s="1" t="str">
        <f t="shared" si="1503"/>
        <v/>
      </c>
      <c r="J1501" s="1" t="str">
        <f t="shared" si="3"/>
        <v/>
      </c>
      <c r="L1501" s="1" t="s">
        <v>3075</v>
      </c>
      <c r="M1501" s="1" t="str">
        <f t="shared" si="4"/>
        <v>40, 40, FEAROW</v>
      </c>
    </row>
    <row r="1502" ht="12.75" customHeight="1">
      <c r="A1502" s="3" t="s">
        <v>3231</v>
      </c>
      <c r="B1502" s="3" t="str">
        <f t="shared" si="1"/>
        <v>40, 40, PERSIAN</v>
      </c>
      <c r="C1502" s="1" t="str">
        <f t="array" ref="C1502">IF(B1501="NEW ROUTE",TEXTSPLIT(B1502,","),"")</f>
        <v/>
      </c>
      <c r="H1502" s="1" t="str">
        <f t="shared" ref="H1502:I1502" si="1504">IF(C1502&lt;&gt;"",DEC2HEX(C1502,2),"")</f>
        <v/>
      </c>
      <c r="I1502" s="1" t="str">
        <f t="shared" si="1504"/>
        <v/>
      </c>
      <c r="J1502" s="1" t="str">
        <f t="shared" si="3"/>
        <v/>
      </c>
      <c r="L1502" s="1" t="s">
        <v>3231</v>
      </c>
      <c r="M1502" s="1" t="str">
        <f t="shared" si="4"/>
        <v>40, 40, PERSIAN</v>
      </c>
    </row>
    <row r="1503" ht="12.75" customHeight="1">
      <c r="A1503" s="3" t="s">
        <v>3173</v>
      </c>
      <c r="B1503" s="3" t="str">
        <f t="shared" si="1"/>
        <v>2, 5, 20, TENTACOOL</v>
      </c>
      <c r="C1503" s="1" t="str">
        <f t="array" ref="C1503">IF(B1502="NEW ROUTE",TEXTSPLIT(B1503,","),"")</f>
        <v/>
      </c>
      <c r="H1503" s="1" t="str">
        <f t="shared" ref="H1503:I1503" si="1505">IF(C1503&lt;&gt;"",DEC2HEX(C1503,2),"")</f>
        <v/>
      </c>
      <c r="I1503" s="1" t="str">
        <f t="shared" si="1505"/>
        <v/>
      </c>
      <c r="J1503" s="1" t="str">
        <f t="shared" si="3"/>
        <v/>
      </c>
      <c r="L1503" s="1" t="s">
        <v>3173</v>
      </c>
      <c r="M1503" s="1" t="str">
        <f t="shared" si="4"/>
        <v>2, 5, 20, TENTACOOL</v>
      </c>
    </row>
    <row r="1504" ht="12.75" customHeight="1">
      <c r="A1504" s="3" t="s">
        <v>3174</v>
      </c>
      <c r="B1504" s="3" t="str">
        <f t="shared" si="1"/>
        <v>20, 35, TENTACOOL</v>
      </c>
      <c r="C1504" s="1" t="str">
        <f t="array" ref="C1504">IF(B1503="NEW ROUTE",TEXTSPLIT(B1504,","),"")</f>
        <v/>
      </c>
      <c r="H1504" s="1" t="str">
        <f t="shared" ref="H1504:I1504" si="1506">IF(C1504&lt;&gt;"",DEC2HEX(C1504,2),"")</f>
        <v/>
      </c>
      <c r="I1504" s="1" t="str">
        <f t="shared" si="1506"/>
        <v/>
      </c>
      <c r="J1504" s="1" t="str">
        <f t="shared" si="3"/>
        <v/>
      </c>
      <c r="L1504" s="1" t="s">
        <v>3174</v>
      </c>
      <c r="M1504" s="1" t="str">
        <f t="shared" si="4"/>
        <v>20, 35, TENTACOOL</v>
      </c>
    </row>
    <row r="1505" ht="12.75" customHeight="1">
      <c r="A1505" s="3" t="s">
        <v>2845</v>
      </c>
      <c r="B1505" s="3" t="str">
        <f t="shared" si="1"/>
        <v>35, 40, TENTACOOL</v>
      </c>
      <c r="C1505" s="1" t="str">
        <f t="array" ref="C1505">IF(B1504="NEW ROUTE",TEXTSPLIT(B1505,","),"")</f>
        <v/>
      </c>
      <c r="H1505" s="1" t="str">
        <f t="shared" ref="H1505:I1505" si="1507">IF(C1505&lt;&gt;"",DEC2HEX(C1505,2),"")</f>
        <v/>
      </c>
      <c r="I1505" s="1" t="str">
        <f t="shared" si="1507"/>
        <v/>
      </c>
      <c r="J1505" s="1" t="str">
        <f t="shared" si="3"/>
        <v/>
      </c>
      <c r="L1505" s="1" t="s">
        <v>2845</v>
      </c>
      <c r="M1505" s="1" t="str">
        <f t="shared" si="4"/>
        <v>35, 40, TENTACOOL</v>
      </c>
    </row>
    <row r="1506" ht="12.75" customHeight="1">
      <c r="A1506" s="3" t="s">
        <v>3232</v>
      </c>
      <c r="B1506" s="3" t="str">
        <f t="shared" si="1"/>
        <v>35, 40, TENTACRUEL</v>
      </c>
      <c r="C1506" s="1" t="str">
        <f t="array" ref="C1506">IF(B1505="NEW ROUTE",TEXTSPLIT(B1506,","),"")</f>
        <v/>
      </c>
      <c r="H1506" s="1" t="str">
        <f t="shared" ref="H1506:I1506" si="1508">IF(C1506&lt;&gt;"",DEC2HEX(C1506,2),"")</f>
        <v/>
      </c>
      <c r="I1506" s="1" t="str">
        <f t="shared" si="1508"/>
        <v/>
      </c>
      <c r="J1506" s="1" t="str">
        <f t="shared" si="3"/>
        <v/>
      </c>
      <c r="L1506" s="1" t="s">
        <v>3232</v>
      </c>
      <c r="M1506" s="1" t="str">
        <f t="shared" si="4"/>
        <v>35, 40, TENTACRUEL</v>
      </c>
    </row>
    <row r="1507" ht="12.75" customHeight="1">
      <c r="A1507" s="3" t="s">
        <v>3232</v>
      </c>
      <c r="B1507" s="3" t="str">
        <f t="shared" si="1"/>
        <v>35, 40, TENTACRUEL</v>
      </c>
      <c r="C1507" s="1" t="str">
        <f t="array" ref="C1507">IF(B1506="NEW ROUTE",TEXTSPLIT(B1507,","),"")</f>
        <v/>
      </c>
      <c r="H1507" s="1" t="str">
        <f t="shared" ref="H1507:I1507" si="1509">IF(C1507&lt;&gt;"",DEC2HEX(C1507,2),"")</f>
        <v/>
      </c>
      <c r="I1507" s="1" t="str">
        <f t="shared" si="1509"/>
        <v/>
      </c>
      <c r="J1507" s="1" t="str">
        <f t="shared" si="3"/>
        <v/>
      </c>
      <c r="L1507" s="1" t="s">
        <v>3232</v>
      </c>
      <c r="M1507" s="1" t="str">
        <f t="shared" si="4"/>
        <v>35, 40, TENTACRUEL</v>
      </c>
    </row>
    <row r="1508" ht="12.75" customHeight="1">
      <c r="A1508" s="3" t="s">
        <v>2926</v>
      </c>
      <c r="B1508" s="3" t="str">
        <f t="shared" si="1"/>
        <v>20, old rod:</v>
      </c>
      <c r="C1508" s="1" t="str">
        <f t="array" ref="C1508">IF(B1507="NEW ROUTE",TEXTSPLIT(B1508,","),"")</f>
        <v/>
      </c>
      <c r="H1508" s="1" t="str">
        <f t="shared" ref="H1508:I1508" si="1510">IF(C1508&lt;&gt;"",DEC2HEX(C1508,2),"")</f>
        <v/>
      </c>
      <c r="I1508" s="1" t="str">
        <f t="shared" si="1510"/>
        <v/>
      </c>
      <c r="J1508" s="1" t="str">
        <f t="shared" si="3"/>
        <v/>
      </c>
      <c r="L1508" s="1" t="s">
        <v>2926</v>
      </c>
      <c r="M1508" s="1" t="str">
        <f t="shared" si="4"/>
        <v>20, old rod:</v>
      </c>
    </row>
    <row r="1509" ht="12.75" customHeight="1">
      <c r="A1509" s="3" t="s">
        <v>417</v>
      </c>
      <c r="B1509" s="3" t="str">
        <f t="shared" si="1"/>
        <v>5, 5, MAGIKARP</v>
      </c>
      <c r="C1509" s="1" t="str">
        <f t="array" ref="C1509">IF(B1508="NEW ROUTE",TEXTSPLIT(B1509,","),"")</f>
        <v/>
      </c>
      <c r="H1509" s="1" t="str">
        <f t="shared" ref="H1509:I1509" si="1511">IF(C1509&lt;&gt;"",DEC2HEX(C1509,2),"")</f>
        <v/>
      </c>
      <c r="I1509" s="1" t="str">
        <f t="shared" si="1511"/>
        <v/>
      </c>
      <c r="J1509" s="1" t="str">
        <f t="shared" si="3"/>
        <v/>
      </c>
      <c r="L1509" s="1" t="s">
        <v>417</v>
      </c>
      <c r="M1509" s="1" t="str">
        <f t="shared" si="4"/>
        <v>5, 5, MAGIKARP</v>
      </c>
    </row>
    <row r="1510" ht="12.75" customHeight="1">
      <c r="A1510" s="3" t="s">
        <v>417</v>
      </c>
      <c r="B1510" s="3" t="str">
        <f t="shared" si="1"/>
        <v>5, 5, MAGIKARP</v>
      </c>
      <c r="C1510" s="1" t="str">
        <f t="array" ref="C1510">IF(B1509="NEW ROUTE",TEXTSPLIT(B1510,","),"")</f>
        <v/>
      </c>
      <c r="H1510" s="1" t="str">
        <f t="shared" ref="H1510:I1510" si="1512">IF(C1510&lt;&gt;"",DEC2HEX(C1510,2),"")</f>
        <v/>
      </c>
      <c r="I1510" s="1" t="str">
        <f t="shared" si="1512"/>
        <v/>
      </c>
      <c r="J1510" s="1" t="str">
        <f t="shared" si="3"/>
        <v/>
      </c>
      <c r="L1510" s="1" t="s">
        <v>417</v>
      </c>
      <c r="M1510" s="1" t="str">
        <f t="shared" si="4"/>
        <v>5, 5, MAGIKARP</v>
      </c>
    </row>
    <row r="1511" ht="12.75" customHeight="1">
      <c r="A1511" s="3" t="s">
        <v>2847</v>
      </c>
      <c r="B1511" s="3" t="str">
        <f t="shared" si="1"/>
        <v>good rod:</v>
      </c>
      <c r="C1511" s="1" t="str">
        <f t="array" ref="C1511">IF(B1510="NEW ROUTE",TEXTSPLIT(B1511,","),"")</f>
        <v/>
      </c>
      <c r="H1511" s="1" t="str">
        <f t="shared" ref="H1511:I1511" si="1513">IF(C1511&lt;&gt;"",DEC2HEX(C1511,2),"")</f>
        <v/>
      </c>
      <c r="I1511" s="1" t="str">
        <f t="shared" si="1513"/>
        <v/>
      </c>
      <c r="J1511" s="1" t="str">
        <f t="shared" si="3"/>
        <v/>
      </c>
      <c r="L1511" s="1" t="s">
        <v>2847</v>
      </c>
      <c r="M1511" s="1" t="str">
        <f t="shared" si="4"/>
        <v>good rod:</v>
      </c>
    </row>
    <row r="1512" ht="12.75" customHeight="1">
      <c r="A1512" s="3" t="s">
        <v>2848</v>
      </c>
      <c r="B1512" s="3" t="str">
        <f t="shared" si="1"/>
        <v>5, 15, KRABBY</v>
      </c>
      <c r="C1512" s="1" t="str">
        <f t="array" ref="C1512">IF(B1511="NEW ROUTE",TEXTSPLIT(B1512,","),"")</f>
        <v/>
      </c>
      <c r="H1512" s="1" t="str">
        <f t="shared" ref="H1512:I1512" si="1514">IF(C1512&lt;&gt;"",DEC2HEX(C1512,2),"")</f>
        <v/>
      </c>
      <c r="I1512" s="1" t="str">
        <f t="shared" si="1514"/>
        <v/>
      </c>
      <c r="J1512" s="1" t="str">
        <f t="shared" si="3"/>
        <v/>
      </c>
      <c r="L1512" s="1" t="s">
        <v>2848</v>
      </c>
      <c r="M1512" s="1" t="str">
        <f t="shared" si="4"/>
        <v>5, 15, KRABBY</v>
      </c>
    </row>
    <row r="1513" ht="12.75" customHeight="1">
      <c r="A1513" s="3" t="s">
        <v>2849</v>
      </c>
      <c r="B1513" s="3" t="str">
        <f t="shared" si="1"/>
        <v>5, 15, MAGIKARP</v>
      </c>
      <c r="C1513" s="1" t="str">
        <f t="array" ref="C1513">IF(B1512="NEW ROUTE",TEXTSPLIT(B1513,","),"")</f>
        <v/>
      </c>
      <c r="H1513" s="1" t="str">
        <f t="shared" ref="H1513:I1513" si="1515">IF(C1513&lt;&gt;"",DEC2HEX(C1513,2),"")</f>
        <v/>
      </c>
      <c r="I1513" s="1" t="str">
        <f t="shared" si="1515"/>
        <v/>
      </c>
      <c r="J1513" s="1" t="str">
        <f t="shared" si="3"/>
        <v/>
      </c>
      <c r="L1513" s="1" t="s">
        <v>2849</v>
      </c>
      <c r="M1513" s="1" t="str">
        <f t="shared" si="4"/>
        <v>5, 15, MAGIKARP</v>
      </c>
    </row>
    <row r="1514" ht="12.75" customHeight="1">
      <c r="A1514" s="3" t="s">
        <v>2848</v>
      </c>
      <c r="B1514" s="3" t="str">
        <f t="shared" si="1"/>
        <v>5, 15, KRABBY</v>
      </c>
      <c r="C1514" s="1" t="str">
        <f t="array" ref="C1514">IF(B1513="NEW ROUTE",TEXTSPLIT(B1514,","),"")</f>
        <v/>
      </c>
      <c r="H1514" s="1" t="str">
        <f t="shared" ref="H1514:I1514" si="1516">IF(C1514&lt;&gt;"",DEC2HEX(C1514,2),"")</f>
        <v/>
      </c>
      <c r="I1514" s="1" t="str">
        <f t="shared" si="1516"/>
        <v/>
      </c>
      <c r="J1514" s="1" t="str">
        <f t="shared" si="3"/>
        <v/>
      </c>
      <c r="L1514" s="1" t="s">
        <v>2848</v>
      </c>
      <c r="M1514" s="1" t="str">
        <f t="shared" si="4"/>
        <v>5, 15, KRABBY</v>
      </c>
    </row>
    <row r="1515" ht="12.75" customHeight="1">
      <c r="A1515" s="3" t="s">
        <v>2851</v>
      </c>
      <c r="B1515" s="3" t="str">
        <f t="shared" si="1"/>
        <v>super rod:</v>
      </c>
      <c r="C1515" s="1" t="str">
        <f t="array" ref="C1515">IF(B1514="NEW ROUTE",TEXTSPLIT(B1515,","),"")</f>
        <v/>
      </c>
      <c r="H1515" s="1" t="str">
        <f t="shared" ref="H1515:I1515" si="1517">IF(C1515&lt;&gt;"",DEC2HEX(C1515,2),"")</f>
        <v/>
      </c>
      <c r="I1515" s="1" t="str">
        <f t="shared" si="1517"/>
        <v/>
      </c>
      <c r="J1515" s="1" t="str">
        <f t="shared" si="3"/>
        <v/>
      </c>
      <c r="L1515" s="1" t="s">
        <v>2851</v>
      </c>
      <c r="M1515" s="1" t="str">
        <f t="shared" si="4"/>
        <v>super rod:</v>
      </c>
    </row>
    <row r="1516" ht="12.75" customHeight="1">
      <c r="A1516" s="3" t="s">
        <v>2852</v>
      </c>
      <c r="B1516" s="3" t="str">
        <f t="shared" si="1"/>
        <v>15, 25, KRABBY</v>
      </c>
      <c r="C1516" s="1" t="str">
        <f t="array" ref="C1516">IF(B1515="NEW ROUTE",TEXTSPLIT(B1516,","),"")</f>
        <v/>
      </c>
      <c r="H1516" s="1" t="str">
        <f t="shared" ref="H1516:I1516" si="1518">IF(C1516&lt;&gt;"",DEC2HEX(C1516,2),"")</f>
        <v/>
      </c>
      <c r="I1516" s="1" t="str">
        <f t="shared" si="1518"/>
        <v/>
      </c>
      <c r="J1516" s="1" t="str">
        <f t="shared" si="3"/>
        <v/>
      </c>
      <c r="L1516" s="1" t="s">
        <v>2852</v>
      </c>
      <c r="M1516" s="1" t="str">
        <f t="shared" si="4"/>
        <v>15, 25, KRABBY</v>
      </c>
    </row>
    <row r="1517" ht="12.75" customHeight="1">
      <c r="A1517" s="3" t="s">
        <v>2852</v>
      </c>
      <c r="B1517" s="3" t="str">
        <f t="shared" si="1"/>
        <v>15, 25, KRABBY</v>
      </c>
      <c r="C1517" s="1" t="str">
        <f t="array" ref="C1517">IF(B1516="NEW ROUTE",TEXTSPLIT(B1517,","),"")</f>
        <v/>
      </c>
      <c r="H1517" s="1" t="str">
        <f t="shared" ref="H1517:I1517" si="1519">IF(C1517&lt;&gt;"",DEC2HEX(C1517,2),"")</f>
        <v/>
      </c>
      <c r="I1517" s="1" t="str">
        <f t="shared" si="1519"/>
        <v/>
      </c>
      <c r="J1517" s="1" t="str">
        <f t="shared" si="3"/>
        <v/>
      </c>
      <c r="L1517" s="1" t="s">
        <v>2852</v>
      </c>
      <c r="M1517" s="1" t="str">
        <f t="shared" si="4"/>
        <v>15, 25, KRABBY</v>
      </c>
    </row>
    <row r="1518" ht="12.75" customHeight="1">
      <c r="A1518" s="3" t="s">
        <v>2854</v>
      </c>
      <c r="B1518" s="3" t="str">
        <f t="shared" si="1"/>
        <v>15, 25, GYARADOS</v>
      </c>
      <c r="C1518" s="1" t="str">
        <f t="array" ref="C1518">IF(B1517="NEW ROUTE",TEXTSPLIT(B1518,","),"")</f>
        <v/>
      </c>
      <c r="H1518" s="1" t="str">
        <f t="shared" ref="H1518:I1518" si="1520">IF(C1518&lt;&gt;"",DEC2HEX(C1518,2),"")</f>
        <v/>
      </c>
      <c r="I1518" s="1" t="str">
        <f t="shared" si="1520"/>
        <v/>
      </c>
      <c r="J1518" s="1" t="str">
        <f t="shared" si="3"/>
        <v/>
      </c>
      <c r="L1518" s="1" t="s">
        <v>2854</v>
      </c>
      <c r="M1518" s="1" t="str">
        <f t="shared" si="4"/>
        <v>15, 25, GYARADOS</v>
      </c>
    </row>
    <row r="1519" ht="12.75" customHeight="1">
      <c r="A1519" s="3" t="s">
        <v>3178</v>
      </c>
      <c r="B1519" s="3" t="str">
        <f t="shared" si="1"/>
        <v>25, 35, KINGLER</v>
      </c>
      <c r="C1519" s="1" t="str">
        <f t="array" ref="C1519">IF(B1518="NEW ROUTE",TEXTSPLIT(B1519,","),"")</f>
        <v/>
      </c>
      <c r="H1519" s="1" t="str">
        <f t="shared" ref="H1519:I1519" si="1521">IF(C1519&lt;&gt;"",DEC2HEX(C1519,2),"")</f>
        <v/>
      </c>
      <c r="I1519" s="1" t="str">
        <f t="shared" si="1521"/>
        <v/>
      </c>
      <c r="J1519" s="1" t="str">
        <f t="shared" si="3"/>
        <v/>
      </c>
      <c r="L1519" s="1" t="s">
        <v>3178</v>
      </c>
      <c r="M1519" s="1" t="str">
        <f t="shared" si="4"/>
        <v>25, 35, KINGLER</v>
      </c>
    </row>
    <row r="1520" ht="12.75" customHeight="1">
      <c r="A1520" s="3" t="s">
        <v>2856</v>
      </c>
      <c r="B1520" s="3" t="str">
        <f t="shared" si="1"/>
        <v>25, 35, SLOWPOKE</v>
      </c>
      <c r="C1520" s="1" t="str">
        <f t="array" ref="C1520">IF(B1519="NEW ROUTE",TEXTSPLIT(B1520,","),"")</f>
        <v/>
      </c>
      <c r="H1520" s="1" t="str">
        <f t="shared" ref="H1520:I1520" si="1522">IF(C1520&lt;&gt;"",DEC2HEX(C1520,2),"")</f>
        <v/>
      </c>
      <c r="I1520" s="1" t="str">
        <f t="shared" si="1522"/>
        <v/>
      </c>
      <c r="J1520" s="1" t="str">
        <f t="shared" si="3"/>
        <v/>
      </c>
      <c r="L1520" s="1" t="s">
        <v>2856</v>
      </c>
      <c r="M1520" s="1" t="str">
        <f t="shared" si="4"/>
        <v>25, 35, SLOWPOKE</v>
      </c>
    </row>
    <row r="1521" ht="12.75" customHeight="1">
      <c r="A1521" s="3" t="s">
        <v>2539</v>
      </c>
      <c r="B1521" s="3" t="str">
        <f t="shared" si="1"/>
        <v>NEW ROUTE</v>
      </c>
      <c r="C1521" s="1" t="str">
        <f t="array" ref="C1521">IF(B1520="NEW ROUTE",TEXTSPLIT(B1521,","),"")</f>
        <v/>
      </c>
      <c r="H1521" s="1" t="str">
        <f t="shared" ref="H1521:I1521" si="1523">IF(C1521&lt;&gt;"",DEC2HEX(C1521,2),"")</f>
        <v/>
      </c>
      <c r="I1521" s="1" t="str">
        <f t="shared" si="1523"/>
        <v/>
      </c>
      <c r="J1521" s="1" t="str">
        <f t="shared" si="3"/>
        <v/>
      </c>
      <c r="L1521" s="1" t="s">
        <v>2539</v>
      </c>
      <c r="M1521" s="1" t="str">
        <f t="shared" si="4"/>
        <v>NEW ROUTE</v>
      </c>
    </row>
    <row r="1522" ht="12.75" customHeight="1">
      <c r="A1522" s="3" t="s">
        <v>3238</v>
      </c>
      <c r="B1522" s="3" t="str">
        <f t="shared" si="1"/>
        <v>3, 47, 0,</v>
      </c>
      <c r="C1522" s="1" t="str">
        <f t="array" ref="C1522">IF(B1521="NEW ROUTE",TEXTSPLIT(B1522,","),"")</f>
        <v>#NAME?</v>
      </c>
      <c r="H1522" s="1" t="str">
        <f t="shared" ref="H1522:I1522" si="1524">IF(C1522&lt;&gt;"",DEC2HEX(C1522,2),"")</f>
        <v>#NAME?</v>
      </c>
      <c r="I1522" s="1" t="str">
        <f t="shared" si="1524"/>
        <v/>
      </c>
      <c r="J1522" s="1" t="str">
        <f t="shared" si="3"/>
        <v>#NAME?</v>
      </c>
      <c r="L1522" s="1" t="s">
        <v>3238</v>
      </c>
      <c r="M1522" s="1" t="str">
        <f t="shared" si="4"/>
        <v>#NAME?</v>
      </c>
    </row>
    <row r="1523" ht="12.75" customHeight="1">
      <c r="A1523" s="3" t="s">
        <v>2909</v>
      </c>
      <c r="B1523" s="3" t="str">
        <f t="shared" si="1"/>
        <v>20%</v>
      </c>
      <c r="C1523" s="1" t="str">
        <f t="array" ref="C1523">IF(B1522="NEW ROUTE",TEXTSPLIT(B1523,","),"")</f>
        <v/>
      </c>
      <c r="H1523" s="1" t="str">
        <f t="shared" ref="H1523:I1523" si="1525">IF(C1523&lt;&gt;"",DEC2HEX(C1523,2),"")</f>
        <v/>
      </c>
      <c r="I1523" s="1" t="str">
        <f t="shared" si="1525"/>
        <v/>
      </c>
      <c r="J1523" s="1" t="str">
        <f t="shared" si="3"/>
        <v/>
      </c>
      <c r="L1523" s="1" t="s">
        <v>2799</v>
      </c>
      <c r="M1523" s="1" t="str">
        <f t="shared" si="4"/>
        <v>20%</v>
      </c>
    </row>
    <row r="1524" ht="12.75" customHeight="1">
      <c r="A1524" s="3" t="s">
        <v>838</v>
      </c>
      <c r="B1524" s="3" t="str">
        <f t="shared" si="1"/>
        <v>31, 31, SPEAROW</v>
      </c>
      <c r="C1524" s="1" t="str">
        <f t="array" ref="C1524">IF(B1523="NEW ROUTE",TEXTSPLIT(B1524,","),"")</f>
        <v/>
      </c>
      <c r="H1524" s="1" t="str">
        <f t="shared" ref="H1524:I1524" si="1526">IF(C1524&lt;&gt;"",DEC2HEX(C1524,2),"")</f>
        <v/>
      </c>
      <c r="I1524" s="1" t="str">
        <f t="shared" si="1526"/>
        <v/>
      </c>
      <c r="J1524" s="1" t="str">
        <f t="shared" si="3"/>
        <v/>
      </c>
      <c r="L1524" s="1" t="s">
        <v>838</v>
      </c>
      <c r="M1524" s="1" t="str">
        <f t="shared" si="4"/>
        <v>31, 31, SPEAROW</v>
      </c>
    </row>
    <row r="1525" ht="12.75" customHeight="1">
      <c r="A1525" s="3" t="s">
        <v>3130</v>
      </c>
      <c r="B1525" s="3" t="str">
        <f t="shared" si="1"/>
        <v>30, 30, BELLSPROUT</v>
      </c>
      <c r="C1525" s="1" t="str">
        <f t="array" ref="C1525">IF(B1524="NEW ROUTE",TEXTSPLIT(B1525,","),"")</f>
        <v/>
      </c>
      <c r="H1525" s="1" t="str">
        <f t="shared" ref="H1525:I1525" si="1527">IF(C1525&lt;&gt;"",DEC2HEX(C1525,2),"")</f>
        <v/>
      </c>
      <c r="I1525" s="1" t="str">
        <f t="shared" si="1527"/>
        <v/>
      </c>
      <c r="J1525" s="1" t="str">
        <f t="shared" si="3"/>
        <v/>
      </c>
      <c r="L1525" s="1" t="s">
        <v>3130</v>
      </c>
      <c r="M1525" s="1" t="str">
        <f t="shared" si="4"/>
        <v>30, 30, BELLSPROUT</v>
      </c>
    </row>
    <row r="1526" ht="12.75" customHeight="1">
      <c r="A1526" s="3" t="s">
        <v>2802</v>
      </c>
      <c r="B1526" s="3" t="str">
        <f t="shared" si="1"/>
        <v>0.1</v>
      </c>
      <c r="C1526" s="1" t="str">
        <f t="array" ref="C1526">IF(B1525="NEW ROUTE",TEXTSPLIT(B1526,","),"")</f>
        <v/>
      </c>
      <c r="H1526" s="1" t="str">
        <f t="shared" ref="H1526:I1526" si="1528">IF(C1526&lt;&gt;"",DEC2HEX(C1526,2),"")</f>
        <v/>
      </c>
      <c r="I1526" s="1" t="str">
        <f t="shared" si="1528"/>
        <v/>
      </c>
      <c r="J1526" s="1" t="str">
        <f t="shared" si="3"/>
        <v/>
      </c>
      <c r="L1526" s="1" t="s">
        <v>2802</v>
      </c>
      <c r="M1526" s="1" t="str">
        <f t="shared" si="4"/>
        <v>0.1</v>
      </c>
    </row>
    <row r="1527" ht="12.75" customHeight="1">
      <c r="A1527" s="3" t="s">
        <v>3239</v>
      </c>
      <c r="B1527" s="3" t="str">
        <f t="shared" si="1"/>
        <v>32, 32, BELLSPROUT</v>
      </c>
      <c r="C1527" s="1" t="str">
        <f t="array" ref="C1527">IF(B1526="NEW ROUTE",TEXTSPLIT(B1527,","),"")</f>
        <v/>
      </c>
      <c r="H1527" s="1" t="str">
        <f t="shared" ref="H1527:I1527" si="1529">IF(C1527&lt;&gt;"",DEC2HEX(C1527,2),"")</f>
        <v/>
      </c>
      <c r="I1527" s="1" t="str">
        <f t="shared" si="1529"/>
        <v/>
      </c>
      <c r="J1527" s="1" t="str">
        <f t="shared" si="3"/>
        <v/>
      </c>
      <c r="L1527" s="1" t="s">
        <v>3239</v>
      </c>
      <c r="M1527" s="1" t="str">
        <f t="shared" si="4"/>
        <v>32, 32, BELLSPROUT</v>
      </c>
    </row>
    <row r="1528" ht="12.75" customHeight="1">
      <c r="A1528" s="3" t="s">
        <v>3240</v>
      </c>
      <c r="B1528" s="3" t="str">
        <f t="shared" si="1"/>
        <v>36, 36, WEEPINBELL</v>
      </c>
      <c r="C1528" s="1" t="str">
        <f t="array" ref="C1528">IF(B1527="NEW ROUTE",TEXTSPLIT(B1528,","),"")</f>
        <v/>
      </c>
      <c r="H1528" s="1" t="str">
        <f t="shared" ref="H1528:I1528" si="1530">IF(C1528&lt;&gt;"",DEC2HEX(C1528,2),"")</f>
        <v/>
      </c>
      <c r="I1528" s="1" t="str">
        <f t="shared" si="1530"/>
        <v/>
      </c>
      <c r="J1528" s="1" t="str">
        <f t="shared" si="3"/>
        <v/>
      </c>
      <c r="L1528" s="1" t="s">
        <v>3240</v>
      </c>
      <c r="M1528" s="1" t="str">
        <f t="shared" si="4"/>
        <v>36, 36, WEEPINBELL</v>
      </c>
    </row>
    <row r="1529" ht="12.75" customHeight="1">
      <c r="A1529" s="3" t="s">
        <v>3223</v>
      </c>
      <c r="B1529" s="3" t="str">
        <f t="shared" si="1"/>
        <v>36, 36, FEAROW</v>
      </c>
      <c r="C1529" s="1" t="str">
        <f t="array" ref="C1529">IF(B1528="NEW ROUTE",TEXTSPLIT(B1529,","),"")</f>
        <v/>
      </c>
      <c r="H1529" s="1" t="str">
        <f t="shared" ref="H1529:I1529" si="1531">IF(C1529&lt;&gt;"",DEC2HEX(C1529,2),"")</f>
        <v/>
      </c>
      <c r="I1529" s="1" t="str">
        <f t="shared" si="1531"/>
        <v/>
      </c>
      <c r="J1529" s="1" t="str">
        <f t="shared" si="3"/>
        <v/>
      </c>
      <c r="L1529" s="1" t="s">
        <v>3223</v>
      </c>
      <c r="M1529" s="1" t="str">
        <f t="shared" si="4"/>
        <v>36, 36, FEAROW</v>
      </c>
    </row>
    <row r="1530" ht="12.75" customHeight="1">
      <c r="A1530" s="3" t="s">
        <v>3225</v>
      </c>
      <c r="B1530" s="3" t="str">
        <f t="shared" si="1"/>
        <v>31, 31, MEOWTH</v>
      </c>
      <c r="C1530" s="1" t="str">
        <f t="array" ref="C1530">IF(B1529="NEW ROUTE",TEXTSPLIT(B1530,","),"")</f>
        <v/>
      </c>
      <c r="H1530" s="1" t="str">
        <f t="shared" ref="H1530:I1530" si="1532">IF(C1530&lt;&gt;"",DEC2HEX(C1530,2),"")</f>
        <v/>
      </c>
      <c r="I1530" s="1" t="str">
        <f t="shared" si="1532"/>
        <v/>
      </c>
      <c r="J1530" s="1" t="str">
        <f t="shared" si="3"/>
        <v/>
      </c>
      <c r="L1530" s="1" t="s">
        <v>3225</v>
      </c>
      <c r="M1530" s="1" t="str">
        <f t="shared" si="4"/>
        <v>31, 31, MEOWTH</v>
      </c>
    </row>
    <row r="1531" ht="12.75" customHeight="1">
      <c r="A1531" s="3" t="s">
        <v>2807</v>
      </c>
      <c r="B1531" s="3" t="str">
        <f t="shared" si="1"/>
        <v>0.05</v>
      </c>
      <c r="C1531" s="1" t="str">
        <f t="array" ref="C1531">IF(B1530="NEW ROUTE",TEXTSPLIT(B1531,","),"")</f>
        <v/>
      </c>
      <c r="H1531" s="1" t="str">
        <f t="shared" ref="H1531:I1531" si="1533">IF(C1531&lt;&gt;"",DEC2HEX(C1531,2),"")</f>
        <v/>
      </c>
      <c r="I1531" s="1" t="str">
        <f t="shared" si="1533"/>
        <v/>
      </c>
      <c r="J1531" s="1" t="str">
        <f t="shared" si="3"/>
        <v/>
      </c>
      <c r="L1531" s="1" t="s">
        <v>2807</v>
      </c>
      <c r="M1531" s="1" t="str">
        <f t="shared" si="4"/>
        <v>0.05</v>
      </c>
    </row>
    <row r="1532" ht="12.75" customHeight="1">
      <c r="A1532" s="3" t="s">
        <v>3241</v>
      </c>
      <c r="B1532" s="3" t="str">
        <f t="shared" si="1"/>
        <v>38, 38, WEEPINBELL</v>
      </c>
      <c r="C1532" s="1" t="str">
        <f t="array" ref="C1532">IF(B1531="NEW ROUTE",TEXTSPLIT(B1532,","),"")</f>
        <v/>
      </c>
      <c r="H1532" s="1" t="str">
        <f t="shared" ref="H1532:I1532" si="1534">IF(C1532&lt;&gt;"",DEC2HEX(C1532,2),"")</f>
        <v/>
      </c>
      <c r="I1532" s="1" t="str">
        <f t="shared" si="1534"/>
        <v/>
      </c>
      <c r="J1532" s="1" t="str">
        <f t="shared" si="3"/>
        <v/>
      </c>
      <c r="L1532" s="1" t="s">
        <v>3241</v>
      </c>
      <c r="M1532" s="1" t="str">
        <f t="shared" si="4"/>
        <v>38, 38, WEEPINBELL</v>
      </c>
    </row>
    <row r="1533" ht="12.75" customHeight="1">
      <c r="A1533" s="3" t="s">
        <v>3134</v>
      </c>
      <c r="B1533" s="3" t="str">
        <f t="shared" si="1"/>
        <v>31, 31, SLOWPOKE</v>
      </c>
      <c r="C1533" s="1" t="str">
        <f t="array" ref="C1533">IF(B1532="NEW ROUTE",TEXTSPLIT(B1533,","),"")</f>
        <v/>
      </c>
      <c r="H1533" s="1" t="str">
        <f t="shared" ref="H1533:I1533" si="1535">IF(C1533&lt;&gt;"",DEC2HEX(C1533,2),"")</f>
        <v/>
      </c>
      <c r="I1533" s="1" t="str">
        <f t="shared" si="1535"/>
        <v/>
      </c>
      <c r="J1533" s="1" t="str">
        <f t="shared" si="3"/>
        <v/>
      </c>
      <c r="L1533" s="1" t="s">
        <v>3134</v>
      </c>
      <c r="M1533" s="1" t="str">
        <f t="shared" si="4"/>
        <v>31, 31, SLOWPOKE</v>
      </c>
    </row>
    <row r="1534" ht="12.75" customHeight="1">
      <c r="A1534" s="3" t="s">
        <v>2810</v>
      </c>
      <c r="B1534" s="3" t="str">
        <f t="shared" si="1"/>
        <v>0.04</v>
      </c>
      <c r="C1534" s="1" t="str">
        <f t="array" ref="C1534">IF(B1533="NEW ROUTE",TEXTSPLIT(B1534,","),"")</f>
        <v/>
      </c>
      <c r="H1534" s="1" t="str">
        <f t="shared" ref="H1534:I1534" si="1536">IF(C1534&lt;&gt;"",DEC2HEX(C1534,2),"")</f>
        <v/>
      </c>
      <c r="I1534" s="1" t="str">
        <f t="shared" si="1536"/>
        <v/>
      </c>
      <c r="J1534" s="1" t="str">
        <f t="shared" si="3"/>
        <v/>
      </c>
      <c r="L1534" s="1" t="s">
        <v>2810</v>
      </c>
      <c r="M1534" s="1" t="str">
        <f t="shared" si="4"/>
        <v>0.04</v>
      </c>
    </row>
    <row r="1535" ht="12.75" customHeight="1">
      <c r="A1535" s="3" t="s">
        <v>3242</v>
      </c>
      <c r="B1535" s="3" t="str">
        <f t="shared" si="1"/>
        <v>37, 37, SLOWBRO</v>
      </c>
      <c r="C1535" s="1" t="str">
        <f t="array" ref="C1535">IF(B1534="NEW ROUTE",TEXTSPLIT(B1535,","),"")</f>
        <v/>
      </c>
      <c r="H1535" s="1" t="str">
        <f t="shared" ref="H1535:I1535" si="1537">IF(C1535&lt;&gt;"",DEC2HEX(C1535,2),"")</f>
        <v/>
      </c>
      <c r="I1535" s="1" t="str">
        <f t="shared" si="1537"/>
        <v/>
      </c>
      <c r="J1535" s="1" t="str">
        <f t="shared" si="3"/>
        <v/>
      </c>
      <c r="L1535" s="1" t="s">
        <v>3242</v>
      </c>
      <c r="M1535" s="1" t="str">
        <f t="shared" si="4"/>
        <v>37, 37, SLOWBRO</v>
      </c>
    </row>
    <row r="1536" ht="12.75" customHeight="1">
      <c r="A1536" s="3" t="s">
        <v>3229</v>
      </c>
      <c r="B1536" s="3" t="str">
        <f t="shared" si="1"/>
        <v>37, 37, PERSIAN</v>
      </c>
      <c r="C1536" s="1" t="str">
        <f t="array" ref="C1536">IF(B1535="NEW ROUTE",TEXTSPLIT(B1536,","),"")</f>
        <v/>
      </c>
      <c r="H1536" s="1" t="str">
        <f t="shared" ref="H1536:I1536" si="1538">IF(C1536&lt;&gt;"",DEC2HEX(C1536,2),"")</f>
        <v/>
      </c>
      <c r="I1536" s="1" t="str">
        <f t="shared" si="1538"/>
        <v/>
      </c>
      <c r="J1536" s="1" t="str">
        <f t="shared" si="3"/>
        <v/>
      </c>
      <c r="L1536" s="1" t="s">
        <v>3229</v>
      </c>
      <c r="M1536" s="1" t="str">
        <f t="shared" si="4"/>
        <v>37, 37, PERSIAN</v>
      </c>
    </row>
    <row r="1537" ht="12.75" customHeight="1">
      <c r="A1537" s="3" t="s">
        <v>2813</v>
      </c>
      <c r="B1537" s="3" t="str">
        <f t="shared" si="1"/>
        <v>0.01</v>
      </c>
      <c r="C1537" s="1" t="str">
        <f t="array" ref="C1537">IF(B1536="NEW ROUTE",TEXTSPLIT(B1537,","),"")</f>
        <v/>
      </c>
      <c r="H1537" s="1" t="str">
        <f t="shared" ref="H1537:I1537" si="1539">IF(C1537&lt;&gt;"",DEC2HEX(C1537,2),"")</f>
        <v/>
      </c>
      <c r="I1537" s="1" t="str">
        <f t="shared" si="1539"/>
        <v/>
      </c>
      <c r="J1537" s="1" t="str">
        <f t="shared" si="3"/>
        <v/>
      </c>
      <c r="L1537" s="1" t="s">
        <v>2813</v>
      </c>
      <c r="M1537" s="1" t="str">
        <f t="shared" si="4"/>
        <v>0.01</v>
      </c>
    </row>
    <row r="1538" ht="12.75" customHeight="1">
      <c r="A1538" s="3" t="s">
        <v>3243</v>
      </c>
      <c r="B1538" s="3" t="str">
        <f t="shared" si="1"/>
        <v>40, 40, SLOWBRO</v>
      </c>
      <c r="C1538" s="1" t="str">
        <f t="array" ref="C1538">IF(B1537="NEW ROUTE",TEXTSPLIT(B1538,","),"")</f>
        <v/>
      </c>
      <c r="H1538" s="1" t="str">
        <f t="shared" ref="H1538:I1538" si="1540">IF(C1538&lt;&gt;"",DEC2HEX(C1538,2),"")</f>
        <v/>
      </c>
      <c r="I1538" s="1" t="str">
        <f t="shared" si="1540"/>
        <v/>
      </c>
      <c r="J1538" s="1" t="str">
        <f t="shared" si="3"/>
        <v/>
      </c>
      <c r="L1538" s="1" t="s">
        <v>3243</v>
      </c>
      <c r="M1538" s="1" t="str">
        <f t="shared" si="4"/>
        <v>40, 40, SLOWBRO</v>
      </c>
    </row>
    <row r="1539" ht="12.75" customHeight="1">
      <c r="A1539" s="3" t="s">
        <v>3231</v>
      </c>
      <c r="B1539" s="3" t="str">
        <f t="shared" si="1"/>
        <v>40, 40, PERSIAN</v>
      </c>
      <c r="C1539" s="1" t="str">
        <f t="array" ref="C1539">IF(B1538="NEW ROUTE",TEXTSPLIT(B1539,","),"")</f>
        <v/>
      </c>
      <c r="H1539" s="1" t="str">
        <f t="shared" ref="H1539:I1539" si="1541">IF(C1539&lt;&gt;"",DEC2HEX(C1539,2),"")</f>
        <v/>
      </c>
      <c r="I1539" s="1" t="str">
        <f t="shared" si="1541"/>
        <v/>
      </c>
      <c r="J1539" s="1" t="str">
        <f t="shared" si="3"/>
        <v/>
      </c>
      <c r="L1539" s="1" t="s">
        <v>3231</v>
      </c>
      <c r="M1539" s="1" t="str">
        <f t="shared" si="4"/>
        <v>40, 40, PERSIAN</v>
      </c>
    </row>
    <row r="1540" ht="12.75" customHeight="1">
      <c r="A1540" s="3" t="s">
        <v>3139</v>
      </c>
      <c r="B1540" s="3" t="str">
        <f t="shared" si="1"/>
        <v>2, 5, 20, SLOWPOKE</v>
      </c>
      <c r="C1540" s="1" t="str">
        <f t="array" ref="C1540">IF(B1539="NEW ROUTE",TEXTSPLIT(B1540,","),"")</f>
        <v/>
      </c>
      <c r="H1540" s="1" t="str">
        <f t="shared" ref="H1540:I1540" si="1542">IF(C1540&lt;&gt;"",DEC2HEX(C1540,2),"")</f>
        <v/>
      </c>
      <c r="I1540" s="1" t="str">
        <f t="shared" si="1542"/>
        <v/>
      </c>
      <c r="J1540" s="1" t="str">
        <f t="shared" si="3"/>
        <v/>
      </c>
      <c r="L1540" s="1" t="s">
        <v>3139</v>
      </c>
      <c r="M1540" s="1" t="str">
        <f t="shared" si="4"/>
        <v>2, 5, 20, SLOWPOKE</v>
      </c>
    </row>
    <row r="1541" ht="12.75" customHeight="1">
      <c r="A1541" s="3" t="s">
        <v>3140</v>
      </c>
      <c r="B1541" s="3" t="str">
        <f t="shared" si="1"/>
        <v>20, 35, SLOWPOKE</v>
      </c>
      <c r="C1541" s="1" t="str">
        <f t="array" ref="C1541">IF(B1540="NEW ROUTE",TEXTSPLIT(B1541,","),"")</f>
        <v/>
      </c>
      <c r="H1541" s="1" t="str">
        <f t="shared" ref="H1541:I1541" si="1543">IF(C1541&lt;&gt;"",DEC2HEX(C1541,2),"")</f>
        <v/>
      </c>
      <c r="I1541" s="1" t="str">
        <f t="shared" si="1543"/>
        <v/>
      </c>
      <c r="J1541" s="1" t="str">
        <f t="shared" si="3"/>
        <v/>
      </c>
      <c r="L1541" s="1" t="s">
        <v>3140</v>
      </c>
      <c r="M1541" s="1" t="str">
        <f t="shared" si="4"/>
        <v>20, 35, SLOWPOKE</v>
      </c>
    </row>
    <row r="1542" ht="12.75" customHeight="1">
      <c r="A1542" s="3" t="s">
        <v>3141</v>
      </c>
      <c r="B1542" s="3" t="str">
        <f t="shared" si="1"/>
        <v>35, 40, SLOWPOKE</v>
      </c>
      <c r="C1542" s="1" t="str">
        <f t="array" ref="C1542">IF(B1541="NEW ROUTE",TEXTSPLIT(B1542,","),"")</f>
        <v/>
      </c>
      <c r="H1542" s="1" t="str">
        <f t="shared" ref="H1542:I1542" si="1544">IF(C1542&lt;&gt;"",DEC2HEX(C1542,2),"")</f>
        <v/>
      </c>
      <c r="I1542" s="1" t="str">
        <f t="shared" si="1544"/>
        <v/>
      </c>
      <c r="J1542" s="1" t="str">
        <f t="shared" si="3"/>
        <v/>
      </c>
      <c r="L1542" s="1" t="s">
        <v>3141</v>
      </c>
      <c r="M1542" s="1" t="str">
        <f t="shared" si="4"/>
        <v>35, 40, SLOWPOKE</v>
      </c>
    </row>
    <row r="1543" ht="12.75" customHeight="1">
      <c r="A1543" s="3" t="s">
        <v>3142</v>
      </c>
      <c r="B1543" s="3" t="str">
        <f t="shared" si="1"/>
        <v>35, 40, SLOWBRO</v>
      </c>
      <c r="C1543" s="1" t="str">
        <f t="array" ref="C1543">IF(B1542="NEW ROUTE",TEXTSPLIT(B1543,","),"")</f>
        <v/>
      </c>
      <c r="H1543" s="1" t="str">
        <f t="shared" ref="H1543:I1543" si="1545">IF(C1543&lt;&gt;"",DEC2HEX(C1543,2),"")</f>
        <v/>
      </c>
      <c r="I1543" s="1" t="str">
        <f t="shared" si="1545"/>
        <v/>
      </c>
      <c r="J1543" s="1" t="str">
        <f t="shared" si="3"/>
        <v/>
      </c>
      <c r="L1543" s="1" t="s">
        <v>3142</v>
      </c>
      <c r="M1543" s="1" t="str">
        <f t="shared" si="4"/>
        <v>35, 40, SLOWBRO</v>
      </c>
    </row>
    <row r="1544" ht="12.75" customHeight="1">
      <c r="A1544" s="3" t="s">
        <v>3142</v>
      </c>
      <c r="B1544" s="3" t="str">
        <f t="shared" si="1"/>
        <v>35, 40, SLOWBRO</v>
      </c>
      <c r="C1544" s="1" t="str">
        <f t="array" ref="C1544">IF(B1543="NEW ROUTE",TEXTSPLIT(B1544,","),"")</f>
        <v/>
      </c>
      <c r="H1544" s="1" t="str">
        <f t="shared" ref="H1544:I1544" si="1546">IF(C1544&lt;&gt;"",DEC2HEX(C1544,2),"")</f>
        <v/>
      </c>
      <c r="I1544" s="1" t="str">
        <f t="shared" si="1546"/>
        <v/>
      </c>
      <c r="J1544" s="1" t="str">
        <f t="shared" si="3"/>
        <v/>
      </c>
      <c r="L1544" s="1" t="s">
        <v>3142</v>
      </c>
      <c r="M1544" s="1" t="str">
        <f t="shared" si="4"/>
        <v>35, 40, SLOWBRO</v>
      </c>
    </row>
    <row r="1545" ht="12.75" customHeight="1">
      <c r="A1545" s="3" t="s">
        <v>2926</v>
      </c>
      <c r="B1545" s="3" t="str">
        <f t="shared" si="1"/>
        <v>20, old rod:</v>
      </c>
      <c r="C1545" s="1" t="str">
        <f t="array" ref="C1545">IF(B1544="NEW ROUTE",TEXTSPLIT(B1545,","),"")</f>
        <v/>
      </c>
      <c r="H1545" s="1" t="str">
        <f t="shared" ref="H1545:I1545" si="1547">IF(C1545&lt;&gt;"",DEC2HEX(C1545,2),"")</f>
        <v/>
      </c>
      <c r="I1545" s="1" t="str">
        <f t="shared" si="1547"/>
        <v/>
      </c>
      <c r="J1545" s="1" t="str">
        <f t="shared" si="3"/>
        <v/>
      </c>
      <c r="L1545" s="1" t="s">
        <v>2926</v>
      </c>
      <c r="M1545" s="1" t="str">
        <f t="shared" si="4"/>
        <v>20, old rod:</v>
      </c>
    </row>
    <row r="1546" ht="12.75" customHeight="1">
      <c r="A1546" s="3" t="s">
        <v>417</v>
      </c>
      <c r="B1546" s="3" t="str">
        <f t="shared" si="1"/>
        <v>5, 5, MAGIKARP</v>
      </c>
      <c r="C1546" s="1" t="str">
        <f t="array" ref="C1546">IF(B1545="NEW ROUTE",TEXTSPLIT(B1546,","),"")</f>
        <v/>
      </c>
      <c r="H1546" s="1" t="str">
        <f t="shared" ref="H1546:I1546" si="1548">IF(C1546&lt;&gt;"",DEC2HEX(C1546,2),"")</f>
        <v/>
      </c>
      <c r="I1546" s="1" t="str">
        <f t="shared" si="1548"/>
        <v/>
      </c>
      <c r="J1546" s="1" t="str">
        <f t="shared" si="3"/>
        <v/>
      </c>
      <c r="L1546" s="1" t="s">
        <v>417</v>
      </c>
      <c r="M1546" s="1" t="str">
        <f t="shared" si="4"/>
        <v>5, 5, MAGIKARP</v>
      </c>
    </row>
    <row r="1547" ht="12.75" customHeight="1">
      <c r="A1547" s="3" t="s">
        <v>417</v>
      </c>
      <c r="B1547" s="3" t="str">
        <f t="shared" si="1"/>
        <v>5, 5, MAGIKARP</v>
      </c>
      <c r="C1547" s="1" t="str">
        <f t="array" ref="C1547">IF(B1546="NEW ROUTE",TEXTSPLIT(B1547,","),"")</f>
        <v/>
      </c>
      <c r="H1547" s="1" t="str">
        <f t="shared" ref="H1547:I1547" si="1549">IF(C1547&lt;&gt;"",DEC2HEX(C1547,2),"")</f>
        <v/>
      </c>
      <c r="I1547" s="1" t="str">
        <f t="shared" si="1549"/>
        <v/>
      </c>
      <c r="J1547" s="1" t="str">
        <f t="shared" si="3"/>
        <v/>
      </c>
      <c r="L1547" s="1" t="s">
        <v>417</v>
      </c>
      <c r="M1547" s="1" t="str">
        <f t="shared" si="4"/>
        <v>5, 5, MAGIKARP</v>
      </c>
    </row>
    <row r="1548" ht="12.75" customHeight="1">
      <c r="A1548" s="3" t="s">
        <v>2847</v>
      </c>
      <c r="B1548" s="3" t="str">
        <f t="shared" si="1"/>
        <v>good rod:</v>
      </c>
      <c r="C1548" s="1" t="str">
        <f t="array" ref="C1548">IF(B1547="NEW ROUTE",TEXTSPLIT(B1548,","),"")</f>
        <v/>
      </c>
      <c r="H1548" s="1" t="str">
        <f t="shared" ref="H1548:I1548" si="1550">IF(C1548&lt;&gt;"",DEC2HEX(C1548,2),"")</f>
        <v/>
      </c>
      <c r="I1548" s="1" t="str">
        <f t="shared" si="1550"/>
        <v/>
      </c>
      <c r="J1548" s="1" t="str">
        <f t="shared" si="3"/>
        <v/>
      </c>
      <c r="L1548" s="1" t="s">
        <v>2847</v>
      </c>
      <c r="M1548" s="1" t="str">
        <f t="shared" si="4"/>
        <v>good rod:</v>
      </c>
    </row>
    <row r="1549" ht="12.75" customHeight="1">
      <c r="A1549" s="3" t="s">
        <v>3144</v>
      </c>
      <c r="B1549" s="3" t="str">
        <f t="shared" si="1"/>
        <v>5, 15, POLIWAG</v>
      </c>
      <c r="C1549" s="1" t="str">
        <f t="array" ref="C1549">IF(B1548="NEW ROUTE",TEXTSPLIT(B1549,","),"")</f>
        <v/>
      </c>
      <c r="H1549" s="1" t="str">
        <f t="shared" ref="H1549:I1549" si="1551">IF(C1549&lt;&gt;"",DEC2HEX(C1549,2),"")</f>
        <v/>
      </c>
      <c r="I1549" s="1" t="str">
        <f t="shared" si="1551"/>
        <v/>
      </c>
      <c r="J1549" s="1" t="str">
        <f t="shared" si="3"/>
        <v/>
      </c>
      <c r="L1549" s="1" t="s">
        <v>3144</v>
      </c>
      <c r="M1549" s="1" t="str">
        <f t="shared" si="4"/>
        <v>5, 15, POLIWAG</v>
      </c>
    </row>
    <row r="1550" ht="12.75" customHeight="1">
      <c r="A1550" s="3" t="s">
        <v>2849</v>
      </c>
      <c r="B1550" s="3" t="str">
        <f t="shared" si="1"/>
        <v>5, 15, MAGIKARP</v>
      </c>
      <c r="C1550" s="1" t="str">
        <f t="array" ref="C1550">IF(B1549="NEW ROUTE",TEXTSPLIT(B1550,","),"")</f>
        <v/>
      </c>
      <c r="H1550" s="1" t="str">
        <f t="shared" ref="H1550:I1550" si="1552">IF(C1550&lt;&gt;"",DEC2HEX(C1550,2),"")</f>
        <v/>
      </c>
      <c r="I1550" s="1" t="str">
        <f t="shared" si="1552"/>
        <v/>
      </c>
      <c r="J1550" s="1" t="str">
        <f t="shared" si="3"/>
        <v/>
      </c>
      <c r="L1550" s="1" t="s">
        <v>2849</v>
      </c>
      <c r="M1550" s="1" t="str">
        <f t="shared" si="4"/>
        <v>5, 15, MAGIKARP</v>
      </c>
    </row>
    <row r="1551" ht="12.75" customHeight="1">
      <c r="A1551" s="3" t="s">
        <v>3143</v>
      </c>
      <c r="B1551" s="3" t="str">
        <f t="shared" si="1"/>
        <v>5, 15, GOLDEEN</v>
      </c>
      <c r="C1551" s="1" t="str">
        <f t="array" ref="C1551">IF(B1550="NEW ROUTE",TEXTSPLIT(B1551,","),"")</f>
        <v/>
      </c>
      <c r="H1551" s="1" t="str">
        <f t="shared" ref="H1551:I1551" si="1553">IF(C1551&lt;&gt;"",DEC2HEX(C1551,2),"")</f>
        <v/>
      </c>
      <c r="I1551" s="1" t="str">
        <f t="shared" si="1553"/>
        <v/>
      </c>
      <c r="J1551" s="1" t="str">
        <f t="shared" si="3"/>
        <v/>
      </c>
      <c r="L1551" s="1" t="s">
        <v>3143</v>
      </c>
      <c r="M1551" s="1" t="str">
        <f t="shared" si="4"/>
        <v>5, 15, GOLDEEN</v>
      </c>
    </row>
    <row r="1552" ht="12.75" customHeight="1">
      <c r="A1552" s="3" t="s">
        <v>2851</v>
      </c>
      <c r="B1552" s="3" t="str">
        <f t="shared" si="1"/>
        <v>super rod:</v>
      </c>
      <c r="C1552" s="1" t="str">
        <f t="array" ref="C1552">IF(B1551="NEW ROUTE",TEXTSPLIT(B1552,","),"")</f>
        <v/>
      </c>
      <c r="H1552" s="1" t="str">
        <f t="shared" ref="H1552:I1552" si="1554">IF(C1552&lt;&gt;"",DEC2HEX(C1552,2),"")</f>
        <v/>
      </c>
      <c r="I1552" s="1" t="str">
        <f t="shared" si="1554"/>
        <v/>
      </c>
      <c r="J1552" s="1" t="str">
        <f t="shared" si="3"/>
        <v/>
      </c>
      <c r="L1552" s="1" t="s">
        <v>2851</v>
      </c>
      <c r="M1552" s="1" t="str">
        <f t="shared" si="4"/>
        <v>super rod:</v>
      </c>
    </row>
    <row r="1553" ht="12.75" customHeight="1">
      <c r="A1553" s="3" t="s">
        <v>3162</v>
      </c>
      <c r="B1553" s="3" t="str">
        <f t="shared" si="1"/>
        <v>15, 25, POLIWAG</v>
      </c>
      <c r="C1553" s="1" t="str">
        <f t="array" ref="C1553">IF(B1552="NEW ROUTE",TEXTSPLIT(B1553,","),"")</f>
        <v/>
      </c>
      <c r="H1553" s="1" t="str">
        <f t="shared" ref="H1553:I1553" si="1555">IF(C1553&lt;&gt;"",DEC2HEX(C1553,2),"")</f>
        <v/>
      </c>
      <c r="I1553" s="1" t="str">
        <f t="shared" si="1555"/>
        <v/>
      </c>
      <c r="J1553" s="1" t="str">
        <f t="shared" si="3"/>
        <v/>
      </c>
      <c r="L1553" s="1" t="s">
        <v>3162</v>
      </c>
      <c r="M1553" s="1" t="str">
        <f t="shared" si="4"/>
        <v>15, 25, POLIWAG</v>
      </c>
    </row>
    <row r="1554" ht="12.75" customHeight="1">
      <c r="A1554" s="3" t="s">
        <v>3163</v>
      </c>
      <c r="B1554" s="3" t="str">
        <f t="shared" si="1"/>
        <v>20, 30, POLIWHIRL</v>
      </c>
      <c r="C1554" s="1" t="str">
        <f t="array" ref="C1554">IF(B1553="NEW ROUTE",TEXTSPLIT(B1554,","),"")</f>
        <v/>
      </c>
      <c r="H1554" s="1" t="str">
        <f t="shared" ref="H1554:I1554" si="1556">IF(C1554&lt;&gt;"",DEC2HEX(C1554,2),"")</f>
        <v/>
      </c>
      <c r="I1554" s="1" t="str">
        <f t="shared" si="1556"/>
        <v/>
      </c>
      <c r="J1554" s="1" t="str">
        <f t="shared" si="3"/>
        <v/>
      </c>
      <c r="L1554" s="1" t="s">
        <v>3163</v>
      </c>
      <c r="M1554" s="1" t="str">
        <f t="shared" si="4"/>
        <v>20, 30, POLIWHIRL</v>
      </c>
    </row>
    <row r="1555" ht="12.75" customHeight="1">
      <c r="A1555" s="3" t="s">
        <v>2854</v>
      </c>
      <c r="B1555" s="3" t="str">
        <f t="shared" si="1"/>
        <v>15, 25, GYARADOS</v>
      </c>
      <c r="C1555" s="1" t="str">
        <f t="array" ref="C1555">IF(B1554="NEW ROUTE",TEXTSPLIT(B1555,","),"")</f>
        <v/>
      </c>
      <c r="H1555" s="1" t="str">
        <f t="shared" ref="H1555:I1555" si="1557">IF(C1555&lt;&gt;"",DEC2HEX(C1555,2),"")</f>
        <v/>
      </c>
      <c r="I1555" s="1" t="str">
        <f t="shared" si="1557"/>
        <v/>
      </c>
      <c r="J1555" s="1" t="str">
        <f t="shared" si="3"/>
        <v/>
      </c>
      <c r="L1555" s="1" t="s">
        <v>2854</v>
      </c>
      <c r="M1555" s="1" t="str">
        <f t="shared" si="4"/>
        <v>15, 25, GYARADOS</v>
      </c>
    </row>
    <row r="1556" ht="12.75" customHeight="1">
      <c r="A1556" s="3" t="s">
        <v>3147</v>
      </c>
      <c r="B1556" s="3" t="str">
        <f t="shared" si="1"/>
        <v>15, 25, SLOWPOKE</v>
      </c>
      <c r="C1556" s="1" t="str">
        <f t="array" ref="C1556">IF(B1555="NEW ROUTE",TEXTSPLIT(B1556,","),"")</f>
        <v/>
      </c>
      <c r="H1556" s="1" t="str">
        <f t="shared" ref="H1556:I1556" si="1558">IF(C1556&lt;&gt;"",DEC2HEX(C1556,2),"")</f>
        <v/>
      </c>
      <c r="I1556" s="1" t="str">
        <f t="shared" si="1558"/>
        <v/>
      </c>
      <c r="J1556" s="1" t="str">
        <f t="shared" si="3"/>
        <v/>
      </c>
      <c r="L1556" s="1" t="s">
        <v>3147</v>
      </c>
      <c r="M1556" s="1" t="str">
        <f t="shared" si="4"/>
        <v>15, 25, SLOWPOKE</v>
      </c>
    </row>
    <row r="1557" ht="12.75" customHeight="1">
      <c r="A1557" s="3" t="s">
        <v>2856</v>
      </c>
      <c r="B1557" s="3" t="str">
        <f t="shared" si="1"/>
        <v>25, 35, SLOWPOKE</v>
      </c>
      <c r="C1557" s="1" t="str">
        <f t="array" ref="C1557">IF(B1556="NEW ROUTE",TEXTSPLIT(B1557,","),"")</f>
        <v/>
      </c>
      <c r="H1557" s="1" t="str">
        <f t="shared" ref="H1557:I1557" si="1559">IF(C1557&lt;&gt;"",DEC2HEX(C1557,2),"")</f>
        <v/>
      </c>
      <c r="I1557" s="1" t="str">
        <f t="shared" si="1559"/>
        <v/>
      </c>
      <c r="J1557" s="1" t="str">
        <f t="shared" si="3"/>
        <v/>
      </c>
      <c r="L1557" s="1" t="s">
        <v>2856</v>
      </c>
      <c r="M1557" s="1" t="str">
        <f t="shared" si="4"/>
        <v>25, 35, SLOWPOKE</v>
      </c>
    </row>
    <row r="1558" ht="12.75" customHeight="1">
      <c r="A1558" s="3" t="s">
        <v>2539</v>
      </c>
      <c r="B1558" s="3" t="str">
        <f t="shared" si="1"/>
        <v>NEW ROUTE</v>
      </c>
      <c r="C1558" s="1" t="str">
        <f t="array" ref="C1558">IF(B1557="NEW ROUTE",TEXTSPLIT(B1558,","),"")</f>
        <v/>
      </c>
      <c r="H1558" s="1" t="str">
        <f t="shared" ref="H1558:I1558" si="1560">IF(C1558&lt;&gt;"",DEC2HEX(C1558,2),"")</f>
        <v/>
      </c>
      <c r="I1558" s="1" t="str">
        <f t="shared" si="1560"/>
        <v/>
      </c>
      <c r="J1558" s="1" t="str">
        <f t="shared" si="3"/>
        <v/>
      </c>
      <c r="L1558" s="1" t="s">
        <v>2539</v>
      </c>
      <c r="M1558" s="1" t="str">
        <f t="shared" si="4"/>
        <v>NEW ROUTE</v>
      </c>
    </row>
    <row r="1559" ht="12.75" customHeight="1">
      <c r="A1559" s="3" t="s">
        <v>3244</v>
      </c>
      <c r="B1559" s="3" t="str">
        <f t="shared" si="1"/>
        <v>3, 48, 0,</v>
      </c>
      <c r="C1559" s="1" t="str">
        <f t="array" ref="C1559">IF(B1558="NEW ROUTE",TEXTSPLIT(B1559,","),"")</f>
        <v>#NAME?</v>
      </c>
      <c r="H1559" s="1" t="str">
        <f t="shared" ref="H1559:I1559" si="1561">IF(C1559&lt;&gt;"",DEC2HEX(C1559,2),"")</f>
        <v>#NAME?</v>
      </c>
      <c r="I1559" s="1" t="str">
        <f t="shared" si="1561"/>
        <v/>
      </c>
      <c r="J1559" s="1" t="str">
        <f t="shared" si="3"/>
        <v>#NAME?</v>
      </c>
      <c r="L1559" s="1" t="s">
        <v>3244</v>
      </c>
      <c r="M1559" s="1" t="str">
        <f t="shared" si="4"/>
        <v>#NAME?</v>
      </c>
    </row>
    <row r="1560" ht="12.75" customHeight="1">
      <c r="A1560" s="3" t="s">
        <v>2909</v>
      </c>
      <c r="B1560" s="3" t="str">
        <f t="shared" si="1"/>
        <v>20%</v>
      </c>
      <c r="C1560" s="1" t="str">
        <f t="array" ref="C1560">IF(B1559="NEW ROUTE",TEXTSPLIT(B1560,","),"")</f>
        <v/>
      </c>
      <c r="H1560" s="1" t="str">
        <f t="shared" ref="H1560:I1560" si="1562">IF(C1560&lt;&gt;"",DEC2HEX(C1560,2),"")</f>
        <v/>
      </c>
      <c r="I1560" s="1" t="str">
        <f t="shared" si="1562"/>
        <v/>
      </c>
      <c r="J1560" s="1" t="str">
        <f t="shared" si="3"/>
        <v/>
      </c>
      <c r="L1560" s="1" t="s">
        <v>2799</v>
      </c>
      <c r="M1560" s="1" t="str">
        <f t="shared" si="4"/>
        <v>20%</v>
      </c>
    </row>
    <row r="1561" ht="12.75" customHeight="1">
      <c r="A1561" s="3" t="s">
        <v>846</v>
      </c>
      <c r="B1561" s="3" t="str">
        <f t="shared" si="1"/>
        <v>32, 32, PIDGEY</v>
      </c>
      <c r="C1561" s="1" t="str">
        <f t="array" ref="C1561">IF(B1560="NEW ROUTE",TEXTSPLIT(B1561,","),"")</f>
        <v/>
      </c>
      <c r="H1561" s="1" t="str">
        <f t="shared" ref="H1561:I1561" si="1563">IF(C1561&lt;&gt;"",DEC2HEX(C1561,2),"")</f>
        <v/>
      </c>
      <c r="I1561" s="1" t="str">
        <f t="shared" si="1563"/>
        <v/>
      </c>
      <c r="J1561" s="1" t="str">
        <f t="shared" si="3"/>
        <v/>
      </c>
      <c r="L1561" s="1" t="s">
        <v>846</v>
      </c>
      <c r="M1561" s="1" t="str">
        <f t="shared" si="4"/>
        <v>32, 32, PIDGEY</v>
      </c>
    </row>
    <row r="1562" ht="12.75" customHeight="1">
      <c r="A1562" s="3" t="s">
        <v>3245</v>
      </c>
      <c r="B1562" s="3" t="str">
        <f t="shared" si="1"/>
        <v>31, 31, BELLSPROUT</v>
      </c>
      <c r="C1562" s="1" t="str">
        <f t="array" ref="C1562">IF(B1561="NEW ROUTE",TEXTSPLIT(B1562,","),"")</f>
        <v/>
      </c>
      <c r="H1562" s="1" t="str">
        <f t="shared" ref="H1562:I1562" si="1564">IF(C1562&lt;&gt;"",DEC2HEX(C1562,2),"")</f>
        <v/>
      </c>
      <c r="I1562" s="1" t="str">
        <f t="shared" si="1564"/>
        <v/>
      </c>
      <c r="J1562" s="1" t="str">
        <f t="shared" si="3"/>
        <v/>
      </c>
      <c r="L1562" s="1" t="s">
        <v>3245</v>
      </c>
      <c r="M1562" s="1" t="str">
        <f t="shared" si="4"/>
        <v>31, 31, BELLSPROUT</v>
      </c>
    </row>
    <row r="1563" ht="12.75" customHeight="1">
      <c r="A1563" s="3" t="s">
        <v>2802</v>
      </c>
      <c r="B1563" s="3" t="str">
        <f t="shared" si="1"/>
        <v>0.1</v>
      </c>
      <c r="C1563" s="1" t="str">
        <f t="array" ref="C1563">IF(B1562="NEW ROUTE",TEXTSPLIT(B1563,","),"")</f>
        <v/>
      </c>
      <c r="H1563" s="1" t="str">
        <f t="shared" ref="H1563:I1563" si="1565">IF(C1563&lt;&gt;"",DEC2HEX(C1563,2),"")</f>
        <v/>
      </c>
      <c r="I1563" s="1" t="str">
        <f t="shared" si="1565"/>
        <v/>
      </c>
      <c r="J1563" s="1" t="str">
        <f t="shared" si="3"/>
        <v/>
      </c>
      <c r="L1563" s="1" t="s">
        <v>2802</v>
      </c>
      <c r="M1563" s="1" t="str">
        <f t="shared" si="4"/>
        <v>0.1</v>
      </c>
    </row>
    <row r="1564" ht="12.75" customHeight="1">
      <c r="A1564" s="3" t="s">
        <v>3246</v>
      </c>
      <c r="B1564" s="3" t="str">
        <f t="shared" si="1"/>
        <v>29, 29, PIDGEY</v>
      </c>
      <c r="C1564" s="1" t="str">
        <f t="array" ref="C1564">IF(B1563="NEW ROUTE",TEXTSPLIT(B1564,","),"")</f>
        <v/>
      </c>
      <c r="H1564" s="1" t="str">
        <f t="shared" ref="H1564:I1564" si="1566">IF(C1564&lt;&gt;"",DEC2HEX(C1564,2),"")</f>
        <v/>
      </c>
      <c r="I1564" s="1" t="str">
        <f t="shared" si="1566"/>
        <v/>
      </c>
      <c r="J1564" s="1" t="str">
        <f t="shared" si="3"/>
        <v/>
      </c>
      <c r="L1564" s="1" t="s">
        <v>3246</v>
      </c>
      <c r="M1564" s="1" t="str">
        <f t="shared" si="4"/>
        <v>29, 29, PIDGEY</v>
      </c>
    </row>
    <row r="1565" ht="12.75" customHeight="1">
      <c r="A1565" s="3" t="s">
        <v>3240</v>
      </c>
      <c r="B1565" s="3" t="str">
        <f t="shared" si="1"/>
        <v>36, 36, WEEPINBELL</v>
      </c>
      <c r="C1565" s="1" t="str">
        <f t="array" ref="C1565">IF(B1564="NEW ROUTE",TEXTSPLIT(B1565,","),"")</f>
        <v/>
      </c>
      <c r="H1565" s="1" t="str">
        <f t="shared" ref="H1565:I1565" si="1567">IF(C1565&lt;&gt;"",DEC2HEX(C1565,2),"")</f>
        <v/>
      </c>
      <c r="I1565" s="1" t="str">
        <f t="shared" si="1567"/>
        <v/>
      </c>
      <c r="J1565" s="1" t="str">
        <f t="shared" si="3"/>
        <v/>
      </c>
      <c r="L1565" s="1" t="s">
        <v>3240</v>
      </c>
      <c r="M1565" s="1" t="str">
        <f t="shared" si="4"/>
        <v>36, 36, WEEPINBELL</v>
      </c>
    </row>
    <row r="1566" ht="12.75" customHeight="1">
      <c r="A1566" s="3" t="s">
        <v>3247</v>
      </c>
      <c r="B1566" s="3" t="str">
        <f t="shared" si="1"/>
        <v>34, 34, PIDGEOTTO</v>
      </c>
      <c r="C1566" s="1" t="str">
        <f t="array" ref="C1566">IF(B1565="NEW ROUTE",TEXTSPLIT(B1566,","),"")</f>
        <v/>
      </c>
      <c r="H1566" s="1" t="str">
        <f t="shared" ref="H1566:I1566" si="1568">IF(C1566&lt;&gt;"",DEC2HEX(C1566,2),"")</f>
        <v/>
      </c>
      <c r="I1566" s="1" t="str">
        <f t="shared" si="1568"/>
        <v/>
      </c>
      <c r="J1566" s="1" t="str">
        <f t="shared" si="3"/>
        <v/>
      </c>
      <c r="L1566" s="1" t="s">
        <v>3247</v>
      </c>
      <c r="M1566" s="1" t="str">
        <f t="shared" si="4"/>
        <v>34, 34, PIDGEOTTO</v>
      </c>
    </row>
    <row r="1567" ht="12.75" customHeight="1">
      <c r="A1567" s="3" t="s">
        <v>3225</v>
      </c>
      <c r="B1567" s="3" t="str">
        <f t="shared" si="1"/>
        <v>31, 31, MEOWTH</v>
      </c>
      <c r="C1567" s="1" t="str">
        <f t="array" ref="C1567">IF(B1566="NEW ROUTE",TEXTSPLIT(B1567,","),"")</f>
        <v/>
      </c>
      <c r="H1567" s="1" t="str">
        <f t="shared" ref="H1567:I1567" si="1569">IF(C1567&lt;&gt;"",DEC2HEX(C1567,2),"")</f>
        <v/>
      </c>
      <c r="I1567" s="1" t="str">
        <f t="shared" si="1569"/>
        <v/>
      </c>
      <c r="J1567" s="1" t="str">
        <f t="shared" si="3"/>
        <v/>
      </c>
      <c r="L1567" s="1" t="s">
        <v>3225</v>
      </c>
      <c r="M1567" s="1" t="str">
        <f t="shared" si="4"/>
        <v>31, 31, MEOWTH</v>
      </c>
    </row>
    <row r="1568" ht="12.75" customHeight="1">
      <c r="A1568" s="3" t="s">
        <v>2807</v>
      </c>
      <c r="B1568" s="3" t="str">
        <f t="shared" si="1"/>
        <v>0.05</v>
      </c>
      <c r="C1568" s="1" t="str">
        <f t="array" ref="C1568">IF(B1567="NEW ROUTE",TEXTSPLIT(B1568,","),"")</f>
        <v/>
      </c>
      <c r="H1568" s="1" t="str">
        <f t="shared" ref="H1568:I1568" si="1570">IF(C1568&lt;&gt;"",DEC2HEX(C1568,2),"")</f>
        <v/>
      </c>
      <c r="I1568" s="1" t="str">
        <f t="shared" si="1570"/>
        <v/>
      </c>
      <c r="J1568" s="1" t="str">
        <f t="shared" si="3"/>
        <v/>
      </c>
      <c r="L1568" s="1" t="s">
        <v>2807</v>
      </c>
      <c r="M1568" s="1" t="str">
        <f t="shared" si="4"/>
        <v>0.05</v>
      </c>
    </row>
    <row r="1569" ht="12.75" customHeight="1">
      <c r="A1569" s="3" t="s">
        <v>3131</v>
      </c>
      <c r="B1569" s="3" t="str">
        <f t="shared" si="1"/>
        <v>34, 34, VENONAT</v>
      </c>
      <c r="C1569" s="1" t="str">
        <f t="array" ref="C1569">IF(B1568="NEW ROUTE",TEXTSPLIT(B1569,","),"")</f>
        <v/>
      </c>
      <c r="H1569" s="1" t="str">
        <f t="shared" ref="H1569:I1569" si="1571">IF(C1569&lt;&gt;"",DEC2HEX(C1569,2),"")</f>
        <v/>
      </c>
      <c r="I1569" s="1" t="str">
        <f t="shared" si="1571"/>
        <v/>
      </c>
      <c r="J1569" s="1" t="str">
        <f t="shared" si="3"/>
        <v/>
      </c>
      <c r="L1569" s="1" t="s">
        <v>3131</v>
      </c>
      <c r="M1569" s="1" t="str">
        <f t="shared" si="4"/>
        <v>34, 34, VENONAT</v>
      </c>
    </row>
    <row r="1570" ht="12.75" customHeight="1">
      <c r="A1570" s="3" t="s">
        <v>3134</v>
      </c>
      <c r="B1570" s="3" t="str">
        <f t="shared" si="1"/>
        <v>31, 31, SLOWPOKE</v>
      </c>
      <c r="C1570" s="1" t="str">
        <f t="array" ref="C1570">IF(B1569="NEW ROUTE",TEXTSPLIT(B1570,","),"")</f>
        <v/>
      </c>
      <c r="H1570" s="1" t="str">
        <f t="shared" ref="H1570:I1570" si="1572">IF(C1570&lt;&gt;"",DEC2HEX(C1570,2),"")</f>
        <v/>
      </c>
      <c r="I1570" s="1" t="str">
        <f t="shared" si="1572"/>
        <v/>
      </c>
      <c r="J1570" s="1" t="str">
        <f t="shared" si="3"/>
        <v/>
      </c>
      <c r="L1570" s="1" t="s">
        <v>3134</v>
      </c>
      <c r="M1570" s="1" t="str">
        <f t="shared" si="4"/>
        <v>31, 31, SLOWPOKE</v>
      </c>
    </row>
    <row r="1571" ht="12.75" customHeight="1">
      <c r="A1571" s="3" t="s">
        <v>2810</v>
      </c>
      <c r="B1571" s="3" t="str">
        <f t="shared" si="1"/>
        <v>0.04</v>
      </c>
      <c r="C1571" s="1" t="str">
        <f t="array" ref="C1571">IF(B1570="NEW ROUTE",TEXTSPLIT(B1571,","),"")</f>
        <v/>
      </c>
      <c r="H1571" s="1" t="str">
        <f t="shared" ref="H1571:I1571" si="1573">IF(C1571&lt;&gt;"",DEC2HEX(C1571,2),"")</f>
        <v/>
      </c>
      <c r="I1571" s="1" t="str">
        <f t="shared" si="1573"/>
        <v/>
      </c>
      <c r="J1571" s="1" t="str">
        <f t="shared" si="3"/>
        <v/>
      </c>
      <c r="L1571" s="1" t="s">
        <v>2810</v>
      </c>
      <c r="M1571" s="1" t="str">
        <f t="shared" si="4"/>
        <v>0.04</v>
      </c>
    </row>
    <row r="1572" ht="12.75" customHeight="1">
      <c r="A1572" s="3" t="s">
        <v>720</v>
      </c>
      <c r="B1572" s="3" t="str">
        <f t="shared" si="1"/>
        <v>37, 37, PIDGEOTTO</v>
      </c>
      <c r="C1572" s="1" t="str">
        <f t="array" ref="C1572">IF(B1571="NEW ROUTE",TEXTSPLIT(B1572,","),"")</f>
        <v/>
      </c>
      <c r="H1572" s="1" t="str">
        <f t="shared" ref="H1572:I1572" si="1574">IF(C1572&lt;&gt;"",DEC2HEX(C1572,2),"")</f>
        <v/>
      </c>
      <c r="I1572" s="1" t="str">
        <f t="shared" si="1574"/>
        <v/>
      </c>
      <c r="J1572" s="1" t="str">
        <f t="shared" si="3"/>
        <v/>
      </c>
      <c r="L1572" s="1" t="s">
        <v>720</v>
      </c>
      <c r="M1572" s="1" t="str">
        <f t="shared" si="4"/>
        <v>37, 37, PIDGEOTTO</v>
      </c>
    </row>
    <row r="1573" ht="12.75" customHeight="1">
      <c r="A1573" s="3" t="s">
        <v>3229</v>
      </c>
      <c r="B1573" s="3" t="str">
        <f t="shared" si="1"/>
        <v>37, 37, PERSIAN</v>
      </c>
      <c r="C1573" s="1" t="str">
        <f t="array" ref="C1573">IF(B1572="NEW ROUTE",TEXTSPLIT(B1573,","),"")</f>
        <v/>
      </c>
      <c r="H1573" s="1" t="str">
        <f t="shared" ref="H1573:I1573" si="1575">IF(C1573&lt;&gt;"",DEC2HEX(C1573,2),"")</f>
        <v/>
      </c>
      <c r="I1573" s="1" t="str">
        <f t="shared" si="1575"/>
        <v/>
      </c>
      <c r="J1573" s="1" t="str">
        <f t="shared" si="3"/>
        <v/>
      </c>
      <c r="L1573" s="1" t="s">
        <v>3229</v>
      </c>
      <c r="M1573" s="1" t="str">
        <f t="shared" si="4"/>
        <v>37, 37, PERSIAN</v>
      </c>
    </row>
    <row r="1574" ht="12.75" customHeight="1">
      <c r="A1574" s="3" t="s">
        <v>2813</v>
      </c>
      <c r="B1574" s="3" t="str">
        <f t="shared" si="1"/>
        <v>0.01</v>
      </c>
      <c r="C1574" s="1" t="str">
        <f t="array" ref="C1574">IF(B1573="NEW ROUTE",TEXTSPLIT(B1574,","),"")</f>
        <v/>
      </c>
      <c r="H1574" s="1" t="str">
        <f t="shared" ref="H1574:I1574" si="1576">IF(C1574&lt;&gt;"",DEC2HEX(C1574,2),"")</f>
        <v/>
      </c>
      <c r="I1574" s="1" t="str">
        <f t="shared" si="1576"/>
        <v/>
      </c>
      <c r="J1574" s="1" t="str">
        <f t="shared" si="3"/>
        <v/>
      </c>
      <c r="L1574" s="1" t="s">
        <v>2813</v>
      </c>
      <c r="M1574" s="1" t="str">
        <f t="shared" si="4"/>
        <v>0.01</v>
      </c>
    </row>
    <row r="1575" ht="12.75" customHeight="1">
      <c r="A1575" s="3" t="s">
        <v>3248</v>
      </c>
      <c r="B1575" s="3" t="str">
        <f t="shared" si="1"/>
        <v>40, 40, PIDGEOTTO</v>
      </c>
      <c r="C1575" s="1" t="str">
        <f t="array" ref="C1575">IF(B1574="NEW ROUTE",TEXTSPLIT(B1575,","),"")</f>
        <v/>
      </c>
      <c r="H1575" s="1" t="str">
        <f t="shared" ref="H1575:I1575" si="1577">IF(C1575&lt;&gt;"",DEC2HEX(C1575,2),"")</f>
        <v/>
      </c>
      <c r="I1575" s="1" t="str">
        <f t="shared" si="1577"/>
        <v/>
      </c>
      <c r="J1575" s="1" t="str">
        <f t="shared" si="3"/>
        <v/>
      </c>
      <c r="L1575" s="1" t="s">
        <v>3248</v>
      </c>
      <c r="M1575" s="1" t="str">
        <f t="shared" si="4"/>
        <v>40, 40, PIDGEOTTO</v>
      </c>
    </row>
    <row r="1576" ht="12.75" customHeight="1">
      <c r="A1576" s="3" t="s">
        <v>3231</v>
      </c>
      <c r="B1576" s="3" t="str">
        <f t="shared" si="1"/>
        <v>40, 40, PERSIAN</v>
      </c>
      <c r="C1576" s="1" t="str">
        <f t="array" ref="C1576">IF(B1575="NEW ROUTE",TEXTSPLIT(B1576,","),"")</f>
        <v/>
      </c>
      <c r="H1576" s="1" t="str">
        <f t="shared" ref="H1576:I1576" si="1578">IF(C1576&lt;&gt;"",DEC2HEX(C1576,2),"")</f>
        <v/>
      </c>
      <c r="I1576" s="1" t="str">
        <f t="shared" si="1578"/>
        <v/>
      </c>
      <c r="J1576" s="1" t="str">
        <f t="shared" si="3"/>
        <v/>
      </c>
      <c r="L1576" s="1" t="s">
        <v>3231</v>
      </c>
      <c r="M1576" s="1" t="str">
        <f t="shared" si="4"/>
        <v>40, 40, PERSIAN</v>
      </c>
    </row>
    <row r="1577" ht="12.75" customHeight="1">
      <c r="A1577" s="3" t="s">
        <v>3173</v>
      </c>
      <c r="B1577" s="3" t="str">
        <f t="shared" si="1"/>
        <v>2, 5, 20, TENTACOOL</v>
      </c>
      <c r="C1577" s="1" t="str">
        <f t="array" ref="C1577">IF(B1576="NEW ROUTE",TEXTSPLIT(B1577,","),"")</f>
        <v/>
      </c>
      <c r="H1577" s="1" t="str">
        <f t="shared" ref="H1577:I1577" si="1579">IF(C1577&lt;&gt;"",DEC2HEX(C1577,2),"")</f>
        <v/>
      </c>
      <c r="I1577" s="1" t="str">
        <f t="shared" si="1579"/>
        <v/>
      </c>
      <c r="J1577" s="1" t="str">
        <f t="shared" si="3"/>
        <v/>
      </c>
      <c r="L1577" s="1" t="s">
        <v>3173</v>
      </c>
      <c r="M1577" s="1" t="str">
        <f t="shared" si="4"/>
        <v>2, 5, 20, TENTACOOL</v>
      </c>
    </row>
    <row r="1578" ht="12.75" customHeight="1">
      <c r="A1578" s="3" t="s">
        <v>3174</v>
      </c>
      <c r="B1578" s="3" t="str">
        <f t="shared" si="1"/>
        <v>20, 35, TENTACOOL</v>
      </c>
      <c r="C1578" s="1" t="str">
        <f t="array" ref="C1578">IF(B1577="NEW ROUTE",TEXTSPLIT(B1578,","),"")</f>
        <v/>
      </c>
      <c r="H1578" s="1" t="str">
        <f t="shared" ref="H1578:I1578" si="1580">IF(C1578&lt;&gt;"",DEC2HEX(C1578,2),"")</f>
        <v/>
      </c>
      <c r="I1578" s="1" t="str">
        <f t="shared" si="1580"/>
        <v/>
      </c>
      <c r="J1578" s="1" t="str">
        <f t="shared" si="3"/>
        <v/>
      </c>
      <c r="L1578" s="1" t="s">
        <v>3174</v>
      </c>
      <c r="M1578" s="1" t="str">
        <f t="shared" si="4"/>
        <v>20, 35, TENTACOOL</v>
      </c>
    </row>
    <row r="1579" ht="12.75" customHeight="1">
      <c r="A1579" s="3" t="s">
        <v>2845</v>
      </c>
      <c r="B1579" s="3" t="str">
        <f t="shared" si="1"/>
        <v>35, 40, TENTACOOL</v>
      </c>
      <c r="C1579" s="1" t="str">
        <f t="array" ref="C1579">IF(B1578="NEW ROUTE",TEXTSPLIT(B1579,","),"")</f>
        <v/>
      </c>
      <c r="H1579" s="1" t="str">
        <f t="shared" ref="H1579:I1579" si="1581">IF(C1579&lt;&gt;"",DEC2HEX(C1579,2),"")</f>
        <v/>
      </c>
      <c r="I1579" s="1" t="str">
        <f t="shared" si="1581"/>
        <v/>
      </c>
      <c r="J1579" s="1" t="str">
        <f t="shared" si="3"/>
        <v/>
      </c>
      <c r="L1579" s="1" t="s">
        <v>2845</v>
      </c>
      <c r="M1579" s="1" t="str">
        <f t="shared" si="4"/>
        <v>35, 40, TENTACOOL</v>
      </c>
    </row>
    <row r="1580" ht="12.75" customHeight="1">
      <c r="A1580" s="3" t="s">
        <v>3232</v>
      </c>
      <c r="B1580" s="3" t="str">
        <f t="shared" si="1"/>
        <v>35, 40, TENTACRUEL</v>
      </c>
      <c r="C1580" s="1" t="str">
        <f t="array" ref="C1580">IF(B1579="NEW ROUTE",TEXTSPLIT(B1580,","),"")</f>
        <v/>
      </c>
      <c r="H1580" s="1" t="str">
        <f t="shared" ref="H1580:I1580" si="1582">IF(C1580&lt;&gt;"",DEC2HEX(C1580,2),"")</f>
        <v/>
      </c>
      <c r="I1580" s="1" t="str">
        <f t="shared" si="1582"/>
        <v/>
      </c>
      <c r="J1580" s="1" t="str">
        <f t="shared" si="3"/>
        <v/>
      </c>
      <c r="L1580" s="1" t="s">
        <v>3232</v>
      </c>
      <c r="M1580" s="1" t="str">
        <f t="shared" si="4"/>
        <v>35, 40, TENTACRUEL</v>
      </c>
    </row>
    <row r="1581" ht="12.75" customHeight="1">
      <c r="A1581" s="3" t="s">
        <v>3232</v>
      </c>
      <c r="B1581" s="3" t="str">
        <f t="shared" si="1"/>
        <v>35, 40, TENTACRUEL</v>
      </c>
      <c r="C1581" s="1" t="str">
        <f t="array" ref="C1581">IF(B1580="NEW ROUTE",TEXTSPLIT(B1581,","),"")</f>
        <v/>
      </c>
      <c r="H1581" s="1" t="str">
        <f t="shared" ref="H1581:I1581" si="1583">IF(C1581&lt;&gt;"",DEC2HEX(C1581,2),"")</f>
        <v/>
      </c>
      <c r="I1581" s="1" t="str">
        <f t="shared" si="1583"/>
        <v/>
      </c>
      <c r="J1581" s="1" t="str">
        <f t="shared" si="3"/>
        <v/>
      </c>
      <c r="L1581" s="1" t="s">
        <v>3232</v>
      </c>
      <c r="M1581" s="1" t="str">
        <f t="shared" si="4"/>
        <v>35, 40, TENTACRUEL</v>
      </c>
    </row>
    <row r="1582" ht="12.75" customHeight="1">
      <c r="A1582" s="3" t="s">
        <v>2926</v>
      </c>
      <c r="B1582" s="3" t="str">
        <f t="shared" si="1"/>
        <v>20, old rod:</v>
      </c>
      <c r="C1582" s="1" t="str">
        <f t="array" ref="C1582">IF(B1581="NEW ROUTE",TEXTSPLIT(B1582,","),"")</f>
        <v/>
      </c>
      <c r="H1582" s="1" t="str">
        <f t="shared" ref="H1582:I1582" si="1584">IF(C1582&lt;&gt;"",DEC2HEX(C1582,2),"")</f>
        <v/>
      </c>
      <c r="I1582" s="1" t="str">
        <f t="shared" si="1584"/>
        <v/>
      </c>
      <c r="J1582" s="1" t="str">
        <f t="shared" si="3"/>
        <v/>
      </c>
      <c r="L1582" s="1" t="s">
        <v>2926</v>
      </c>
      <c r="M1582" s="1" t="str">
        <f t="shared" si="4"/>
        <v>20, old rod:</v>
      </c>
    </row>
    <row r="1583" ht="12.75" customHeight="1">
      <c r="A1583" s="3" t="s">
        <v>417</v>
      </c>
      <c r="B1583" s="3" t="str">
        <f t="shared" si="1"/>
        <v>5, 5, MAGIKARP</v>
      </c>
      <c r="C1583" s="1" t="str">
        <f t="array" ref="C1583">IF(B1582="NEW ROUTE",TEXTSPLIT(B1583,","),"")</f>
        <v/>
      </c>
      <c r="H1583" s="1" t="str">
        <f t="shared" ref="H1583:I1583" si="1585">IF(C1583&lt;&gt;"",DEC2HEX(C1583,2),"")</f>
        <v/>
      </c>
      <c r="I1583" s="1" t="str">
        <f t="shared" si="1585"/>
        <v/>
      </c>
      <c r="J1583" s="1" t="str">
        <f t="shared" si="3"/>
        <v/>
      </c>
      <c r="L1583" s="1" t="s">
        <v>417</v>
      </c>
      <c r="M1583" s="1" t="str">
        <f t="shared" si="4"/>
        <v>5, 5, MAGIKARP</v>
      </c>
    </row>
    <row r="1584" ht="12.75" customHeight="1">
      <c r="A1584" s="3" t="s">
        <v>417</v>
      </c>
      <c r="B1584" s="3" t="str">
        <f t="shared" si="1"/>
        <v>5, 5, MAGIKARP</v>
      </c>
      <c r="C1584" s="1" t="str">
        <f t="array" ref="C1584">IF(B1583="NEW ROUTE",TEXTSPLIT(B1584,","),"")</f>
        <v/>
      </c>
      <c r="H1584" s="1" t="str">
        <f t="shared" ref="H1584:I1584" si="1586">IF(C1584&lt;&gt;"",DEC2HEX(C1584,2),"")</f>
        <v/>
      </c>
      <c r="I1584" s="1" t="str">
        <f t="shared" si="1586"/>
        <v/>
      </c>
      <c r="J1584" s="1" t="str">
        <f t="shared" si="3"/>
        <v/>
      </c>
      <c r="L1584" s="1" t="s">
        <v>417</v>
      </c>
      <c r="M1584" s="1" t="str">
        <f t="shared" si="4"/>
        <v>5, 5, MAGIKARP</v>
      </c>
    </row>
    <row r="1585" ht="12.75" customHeight="1">
      <c r="A1585" s="3" t="s">
        <v>2847</v>
      </c>
      <c r="B1585" s="3" t="str">
        <f t="shared" si="1"/>
        <v>good rod:</v>
      </c>
      <c r="C1585" s="1" t="str">
        <f t="array" ref="C1585">IF(B1584="NEW ROUTE",TEXTSPLIT(B1585,","),"")</f>
        <v/>
      </c>
      <c r="H1585" s="1" t="str">
        <f t="shared" ref="H1585:I1585" si="1587">IF(C1585&lt;&gt;"",DEC2HEX(C1585,2),"")</f>
        <v/>
      </c>
      <c r="I1585" s="1" t="str">
        <f t="shared" si="1587"/>
        <v/>
      </c>
      <c r="J1585" s="1" t="str">
        <f t="shared" si="3"/>
        <v/>
      </c>
      <c r="L1585" s="1" t="s">
        <v>2847</v>
      </c>
      <c r="M1585" s="1" t="str">
        <f t="shared" si="4"/>
        <v>good rod:</v>
      </c>
    </row>
    <row r="1586" ht="12.75" customHeight="1">
      <c r="A1586" s="3" t="s">
        <v>2848</v>
      </c>
      <c r="B1586" s="3" t="str">
        <f t="shared" si="1"/>
        <v>5, 15, KRABBY</v>
      </c>
      <c r="C1586" s="1" t="str">
        <f t="array" ref="C1586">IF(B1585="NEW ROUTE",TEXTSPLIT(B1586,","),"")</f>
        <v/>
      </c>
      <c r="H1586" s="1" t="str">
        <f t="shared" ref="H1586:I1586" si="1588">IF(C1586&lt;&gt;"",DEC2HEX(C1586,2),"")</f>
        <v/>
      </c>
      <c r="I1586" s="1" t="str">
        <f t="shared" si="1588"/>
        <v/>
      </c>
      <c r="J1586" s="1" t="str">
        <f t="shared" si="3"/>
        <v/>
      </c>
      <c r="L1586" s="1" t="s">
        <v>2848</v>
      </c>
      <c r="M1586" s="1" t="str">
        <f t="shared" si="4"/>
        <v>5, 15, KRABBY</v>
      </c>
    </row>
    <row r="1587" ht="12.75" customHeight="1">
      <c r="A1587" s="3" t="s">
        <v>2849</v>
      </c>
      <c r="B1587" s="3" t="str">
        <f t="shared" si="1"/>
        <v>5, 15, MAGIKARP</v>
      </c>
      <c r="C1587" s="1" t="str">
        <f t="array" ref="C1587">IF(B1586="NEW ROUTE",TEXTSPLIT(B1587,","),"")</f>
        <v/>
      </c>
      <c r="H1587" s="1" t="str">
        <f t="shared" ref="H1587:I1587" si="1589">IF(C1587&lt;&gt;"",DEC2HEX(C1587,2),"")</f>
        <v/>
      </c>
      <c r="I1587" s="1" t="str">
        <f t="shared" si="1589"/>
        <v/>
      </c>
      <c r="J1587" s="1" t="str">
        <f t="shared" si="3"/>
        <v/>
      </c>
      <c r="L1587" s="1" t="s">
        <v>2849</v>
      </c>
      <c r="M1587" s="1" t="str">
        <f t="shared" si="4"/>
        <v>5, 15, MAGIKARP</v>
      </c>
    </row>
    <row r="1588" ht="12.75" customHeight="1">
      <c r="A1588" s="3" t="s">
        <v>2848</v>
      </c>
      <c r="B1588" s="3" t="str">
        <f t="shared" si="1"/>
        <v>5, 15, KRABBY</v>
      </c>
      <c r="C1588" s="1" t="str">
        <f t="array" ref="C1588">IF(B1587="NEW ROUTE",TEXTSPLIT(B1588,","),"")</f>
        <v/>
      </c>
      <c r="H1588" s="1" t="str">
        <f t="shared" ref="H1588:I1588" si="1590">IF(C1588&lt;&gt;"",DEC2HEX(C1588,2),"")</f>
        <v/>
      </c>
      <c r="I1588" s="1" t="str">
        <f t="shared" si="1590"/>
        <v/>
      </c>
      <c r="J1588" s="1" t="str">
        <f t="shared" si="3"/>
        <v/>
      </c>
      <c r="L1588" s="1" t="s">
        <v>2848</v>
      </c>
      <c r="M1588" s="1" t="str">
        <f t="shared" si="4"/>
        <v>5, 15, KRABBY</v>
      </c>
    </row>
    <row r="1589" ht="12.75" customHeight="1">
      <c r="A1589" s="3" t="s">
        <v>2851</v>
      </c>
      <c r="B1589" s="3" t="str">
        <f t="shared" si="1"/>
        <v>super rod:</v>
      </c>
      <c r="C1589" s="1" t="str">
        <f t="array" ref="C1589">IF(B1588="NEW ROUTE",TEXTSPLIT(B1589,","),"")</f>
        <v/>
      </c>
      <c r="H1589" s="1" t="str">
        <f t="shared" ref="H1589:I1589" si="1591">IF(C1589&lt;&gt;"",DEC2HEX(C1589,2),"")</f>
        <v/>
      </c>
      <c r="I1589" s="1" t="str">
        <f t="shared" si="1591"/>
        <v/>
      </c>
      <c r="J1589" s="1" t="str">
        <f t="shared" si="3"/>
        <v/>
      </c>
      <c r="L1589" s="1" t="s">
        <v>2851</v>
      </c>
      <c r="M1589" s="1" t="str">
        <f t="shared" si="4"/>
        <v>super rod:</v>
      </c>
    </row>
    <row r="1590" ht="12.75" customHeight="1">
      <c r="A1590" s="3" t="s">
        <v>2852</v>
      </c>
      <c r="B1590" s="3" t="str">
        <f t="shared" si="1"/>
        <v>15, 25, KRABBY</v>
      </c>
      <c r="C1590" s="1" t="str">
        <f t="array" ref="C1590">IF(B1589="NEW ROUTE",TEXTSPLIT(B1590,","),"")</f>
        <v/>
      </c>
      <c r="H1590" s="1" t="str">
        <f t="shared" ref="H1590:I1590" si="1592">IF(C1590&lt;&gt;"",DEC2HEX(C1590,2),"")</f>
        <v/>
      </c>
      <c r="I1590" s="1" t="str">
        <f t="shared" si="1592"/>
        <v/>
      </c>
      <c r="J1590" s="1" t="str">
        <f t="shared" si="3"/>
        <v/>
      </c>
      <c r="L1590" s="1" t="s">
        <v>2852</v>
      </c>
      <c r="M1590" s="1" t="str">
        <f t="shared" si="4"/>
        <v>15, 25, KRABBY</v>
      </c>
    </row>
    <row r="1591" ht="12.75" customHeight="1">
      <c r="A1591" s="3" t="s">
        <v>2852</v>
      </c>
      <c r="B1591" s="3" t="str">
        <f t="shared" si="1"/>
        <v>15, 25, KRABBY</v>
      </c>
      <c r="C1591" s="1" t="str">
        <f t="array" ref="C1591">IF(B1590="NEW ROUTE",TEXTSPLIT(B1591,","),"")</f>
        <v/>
      </c>
      <c r="H1591" s="1" t="str">
        <f t="shared" ref="H1591:I1591" si="1593">IF(C1591&lt;&gt;"",DEC2HEX(C1591,2),"")</f>
        <v/>
      </c>
      <c r="I1591" s="1" t="str">
        <f t="shared" si="1593"/>
        <v/>
      </c>
      <c r="J1591" s="1" t="str">
        <f t="shared" si="3"/>
        <v/>
      </c>
      <c r="L1591" s="1" t="s">
        <v>2852</v>
      </c>
      <c r="M1591" s="1" t="str">
        <f t="shared" si="4"/>
        <v>15, 25, KRABBY</v>
      </c>
    </row>
    <row r="1592" ht="12.75" customHeight="1">
      <c r="A1592" s="3" t="s">
        <v>2854</v>
      </c>
      <c r="B1592" s="3" t="str">
        <f t="shared" si="1"/>
        <v>15, 25, GYARADOS</v>
      </c>
      <c r="C1592" s="1" t="str">
        <f t="array" ref="C1592">IF(B1591="NEW ROUTE",TEXTSPLIT(B1592,","),"")</f>
        <v/>
      </c>
      <c r="H1592" s="1" t="str">
        <f t="shared" ref="H1592:I1592" si="1594">IF(C1592&lt;&gt;"",DEC2HEX(C1592,2),"")</f>
        <v/>
      </c>
      <c r="I1592" s="1" t="str">
        <f t="shared" si="1594"/>
        <v/>
      </c>
      <c r="J1592" s="1" t="str">
        <f t="shared" si="3"/>
        <v/>
      </c>
      <c r="L1592" s="1" t="s">
        <v>2854</v>
      </c>
      <c r="M1592" s="1" t="str">
        <f t="shared" si="4"/>
        <v>15, 25, GYARADOS</v>
      </c>
    </row>
    <row r="1593" ht="12.75" customHeight="1">
      <c r="A1593" s="3" t="s">
        <v>3178</v>
      </c>
      <c r="B1593" s="3" t="str">
        <f t="shared" si="1"/>
        <v>25, 35, KINGLER</v>
      </c>
      <c r="C1593" s="1" t="str">
        <f t="array" ref="C1593">IF(B1592="NEW ROUTE",TEXTSPLIT(B1593,","),"")</f>
        <v/>
      </c>
      <c r="H1593" s="1" t="str">
        <f t="shared" ref="H1593:I1593" si="1595">IF(C1593&lt;&gt;"",DEC2HEX(C1593,2),"")</f>
        <v/>
      </c>
      <c r="I1593" s="1" t="str">
        <f t="shared" si="1595"/>
        <v/>
      </c>
      <c r="J1593" s="1" t="str">
        <f t="shared" si="3"/>
        <v/>
      </c>
      <c r="L1593" s="1" t="s">
        <v>3178</v>
      </c>
      <c r="M1593" s="1" t="str">
        <f t="shared" si="4"/>
        <v>25, 35, KINGLER</v>
      </c>
    </row>
    <row r="1594" ht="12.75" customHeight="1">
      <c r="A1594" s="3" t="s">
        <v>2856</v>
      </c>
      <c r="B1594" s="3" t="str">
        <f t="shared" si="1"/>
        <v>25, 35, SLOWPOKE</v>
      </c>
      <c r="C1594" s="1" t="str">
        <f t="array" ref="C1594">IF(B1593="NEW ROUTE",TEXTSPLIT(B1594,","),"")</f>
        <v/>
      </c>
      <c r="H1594" s="1" t="str">
        <f t="shared" ref="H1594:I1594" si="1596">IF(C1594&lt;&gt;"",DEC2HEX(C1594,2),"")</f>
        <v/>
      </c>
      <c r="I1594" s="1" t="str">
        <f t="shared" si="1596"/>
        <v/>
      </c>
      <c r="J1594" s="1" t="str">
        <f t="shared" si="3"/>
        <v/>
      </c>
      <c r="L1594" s="1" t="s">
        <v>2856</v>
      </c>
      <c r="M1594" s="1" t="str">
        <f t="shared" si="4"/>
        <v>25, 35, SLOWPOKE</v>
      </c>
    </row>
    <row r="1595" ht="12.75" customHeight="1">
      <c r="A1595" s="3" t="s">
        <v>2539</v>
      </c>
      <c r="B1595" s="3" t="str">
        <f t="shared" si="1"/>
        <v>NEW ROUTE</v>
      </c>
      <c r="C1595" s="1" t="str">
        <f t="array" ref="C1595">IF(B1594="NEW ROUTE",TEXTSPLIT(B1595,","),"")</f>
        <v/>
      </c>
      <c r="H1595" s="1" t="str">
        <f t="shared" ref="H1595:I1595" si="1597">IF(C1595&lt;&gt;"",DEC2HEX(C1595,2),"")</f>
        <v/>
      </c>
      <c r="I1595" s="1" t="str">
        <f t="shared" si="1597"/>
        <v/>
      </c>
      <c r="J1595" s="1" t="str">
        <f t="shared" si="3"/>
        <v/>
      </c>
      <c r="L1595" s="1" t="s">
        <v>2539</v>
      </c>
      <c r="M1595" s="1" t="str">
        <f t="shared" si="4"/>
        <v>NEW ROUTE</v>
      </c>
    </row>
    <row r="1596" ht="12.75" customHeight="1">
      <c r="A1596" s="3" t="s">
        <v>3249</v>
      </c>
      <c r="B1596" s="3" t="str">
        <f t="shared" si="1"/>
        <v>3, 49, 0,</v>
      </c>
      <c r="C1596" s="1" t="str">
        <f t="array" ref="C1596">IF(B1595="NEW ROUTE",TEXTSPLIT(B1596,","),"")</f>
        <v>#NAME?</v>
      </c>
      <c r="H1596" s="1" t="str">
        <f t="shared" ref="H1596:I1596" si="1598">IF(C1596&lt;&gt;"",DEC2HEX(C1596,2),"")</f>
        <v>#NAME?</v>
      </c>
      <c r="I1596" s="1" t="str">
        <f t="shared" si="1598"/>
        <v/>
      </c>
      <c r="J1596" s="1" t="str">
        <f t="shared" si="3"/>
        <v>#NAME?</v>
      </c>
      <c r="L1596" s="1" t="s">
        <v>3249</v>
      </c>
      <c r="M1596" s="1" t="str">
        <f t="shared" si="4"/>
        <v>#NAME?</v>
      </c>
    </row>
    <row r="1597" ht="12.75" customHeight="1">
      <c r="A1597" s="3" t="s">
        <v>3192</v>
      </c>
      <c r="B1597" s="3" t="str">
        <f t="shared" si="1"/>
        <v>20%</v>
      </c>
      <c r="C1597" s="1" t="str">
        <f t="array" ref="C1597">IF(B1596="NEW ROUTE",TEXTSPLIT(B1597,","),"")</f>
        <v/>
      </c>
      <c r="H1597" s="1" t="str">
        <f t="shared" ref="H1597:I1597" si="1599">IF(C1597&lt;&gt;"",DEC2HEX(C1597,2),"")</f>
        <v/>
      </c>
      <c r="I1597" s="1" t="str">
        <f t="shared" si="1599"/>
        <v/>
      </c>
      <c r="J1597" s="1" t="str">
        <f t="shared" si="3"/>
        <v/>
      </c>
      <c r="L1597" s="1" t="s">
        <v>2799</v>
      </c>
      <c r="M1597" s="1" t="str">
        <f t="shared" si="4"/>
        <v>20%</v>
      </c>
    </row>
    <row r="1598" ht="12.75" customHeight="1">
      <c r="A1598" s="3" t="s">
        <v>853</v>
      </c>
      <c r="B1598" s="3" t="str">
        <f t="shared" si="1"/>
        <v>15, 15, DUNSPARCE</v>
      </c>
      <c r="C1598" s="1" t="str">
        <f t="array" ref="C1598">IF(B1597="NEW ROUTE",TEXTSPLIT(B1598,","),"")</f>
        <v/>
      </c>
      <c r="H1598" s="1" t="str">
        <f t="shared" ref="H1598:I1598" si="1600">IF(C1598&lt;&gt;"",DEC2HEX(C1598,2),"")</f>
        <v/>
      </c>
      <c r="I1598" s="1" t="str">
        <f t="shared" si="1600"/>
        <v/>
      </c>
      <c r="J1598" s="1" t="str">
        <f t="shared" si="3"/>
        <v/>
      </c>
      <c r="L1598" s="1" t="s">
        <v>853</v>
      </c>
      <c r="M1598" s="1" t="str">
        <f t="shared" si="4"/>
        <v>15, 15, DUNSPARCE</v>
      </c>
    </row>
    <row r="1599" ht="12.75" customHeight="1">
      <c r="A1599" s="3" t="s">
        <v>853</v>
      </c>
      <c r="B1599" s="3" t="str">
        <f t="shared" si="1"/>
        <v>15, 15, DUNSPARCE</v>
      </c>
      <c r="C1599" s="1" t="str">
        <f t="array" ref="C1599">IF(B1598="NEW ROUTE",TEXTSPLIT(B1599,","),"")</f>
        <v/>
      </c>
      <c r="H1599" s="1" t="str">
        <f t="shared" ref="H1599:I1599" si="1601">IF(C1599&lt;&gt;"",DEC2HEX(C1599,2),"")</f>
        <v/>
      </c>
      <c r="I1599" s="1" t="str">
        <f t="shared" si="1601"/>
        <v/>
      </c>
      <c r="J1599" s="1" t="str">
        <f t="shared" si="3"/>
        <v/>
      </c>
      <c r="L1599" s="1" t="s">
        <v>853</v>
      </c>
      <c r="M1599" s="1" t="str">
        <f t="shared" si="4"/>
        <v>15, 15, DUNSPARCE</v>
      </c>
    </row>
    <row r="1600" ht="12.75" customHeight="1">
      <c r="A1600" s="3" t="s">
        <v>2802</v>
      </c>
      <c r="B1600" s="3" t="str">
        <f t="shared" si="1"/>
        <v>0.1</v>
      </c>
      <c r="C1600" s="1" t="str">
        <f t="array" ref="C1600">IF(B1599="NEW ROUTE",TEXTSPLIT(B1600,","),"")</f>
        <v/>
      </c>
      <c r="H1600" s="1" t="str">
        <f t="shared" ref="H1600:I1600" si="1602">IF(C1600&lt;&gt;"",DEC2HEX(C1600,2),"")</f>
        <v/>
      </c>
      <c r="I1600" s="1" t="str">
        <f t="shared" si="1602"/>
        <v/>
      </c>
      <c r="J1600" s="1" t="str">
        <f t="shared" si="3"/>
        <v/>
      </c>
      <c r="L1600" s="1" t="s">
        <v>2802</v>
      </c>
      <c r="M1600" s="1" t="str">
        <f t="shared" si="4"/>
        <v>0.1</v>
      </c>
    </row>
    <row r="1601" ht="12.75" customHeight="1">
      <c r="A1601" s="3" t="s">
        <v>3250</v>
      </c>
      <c r="B1601" s="3" t="str">
        <f t="shared" si="1"/>
        <v>10, 10, DUNSPARCE</v>
      </c>
      <c r="C1601" s="1" t="str">
        <f t="array" ref="C1601">IF(B1600="NEW ROUTE",TEXTSPLIT(B1601,","),"")</f>
        <v/>
      </c>
      <c r="H1601" s="1" t="str">
        <f t="shared" ref="H1601:I1601" si="1603">IF(C1601&lt;&gt;"",DEC2HEX(C1601,2),"")</f>
        <v/>
      </c>
      <c r="I1601" s="1" t="str">
        <f t="shared" si="1603"/>
        <v/>
      </c>
      <c r="J1601" s="1" t="str">
        <f t="shared" si="3"/>
        <v/>
      </c>
      <c r="L1601" s="1" t="s">
        <v>3250</v>
      </c>
      <c r="M1601" s="1" t="str">
        <f t="shared" si="4"/>
        <v>10, 10, DUNSPARCE</v>
      </c>
    </row>
    <row r="1602" ht="12.75" customHeight="1">
      <c r="A1602" s="3" t="s">
        <v>3250</v>
      </c>
      <c r="B1602" s="3" t="str">
        <f t="shared" si="1"/>
        <v>10, 10, DUNSPARCE</v>
      </c>
      <c r="C1602" s="1" t="str">
        <f t="array" ref="C1602">IF(B1601="NEW ROUTE",TEXTSPLIT(B1602,","),"")</f>
        <v/>
      </c>
      <c r="H1602" s="1" t="str">
        <f t="shared" ref="H1602:I1602" si="1604">IF(C1602&lt;&gt;"",DEC2HEX(C1602,2),"")</f>
        <v/>
      </c>
      <c r="I1602" s="1" t="str">
        <f t="shared" si="1604"/>
        <v/>
      </c>
      <c r="J1602" s="1" t="str">
        <f t="shared" si="3"/>
        <v/>
      </c>
      <c r="L1602" s="1" t="s">
        <v>3250</v>
      </c>
      <c r="M1602" s="1" t="str">
        <f t="shared" si="4"/>
        <v>10, 10, DUNSPARCE</v>
      </c>
    </row>
    <row r="1603" ht="12.75" customHeight="1">
      <c r="A1603" s="3" t="s">
        <v>3251</v>
      </c>
      <c r="B1603" s="3" t="str">
        <f t="shared" si="1"/>
        <v>20, 20, DUNSPARCE</v>
      </c>
      <c r="C1603" s="1" t="str">
        <f t="array" ref="C1603">IF(B1602="NEW ROUTE",TEXTSPLIT(B1603,","),"")</f>
        <v/>
      </c>
      <c r="H1603" s="1" t="str">
        <f t="shared" ref="H1603:I1603" si="1605">IF(C1603&lt;&gt;"",DEC2HEX(C1603,2),"")</f>
        <v/>
      </c>
      <c r="I1603" s="1" t="str">
        <f t="shared" si="1605"/>
        <v/>
      </c>
      <c r="J1603" s="1" t="str">
        <f t="shared" si="3"/>
        <v/>
      </c>
      <c r="L1603" s="1" t="s">
        <v>3251</v>
      </c>
      <c r="M1603" s="1" t="str">
        <f t="shared" si="4"/>
        <v>20, 20, DUNSPARCE</v>
      </c>
    </row>
    <row r="1604" ht="12.75" customHeight="1">
      <c r="A1604" s="3" t="s">
        <v>3251</v>
      </c>
      <c r="B1604" s="3" t="str">
        <f t="shared" si="1"/>
        <v>20, 20, DUNSPARCE</v>
      </c>
      <c r="C1604" s="1" t="str">
        <f t="array" ref="C1604">IF(B1603="NEW ROUTE",TEXTSPLIT(B1604,","),"")</f>
        <v/>
      </c>
      <c r="H1604" s="1" t="str">
        <f t="shared" ref="H1604:I1604" si="1606">IF(C1604&lt;&gt;"",DEC2HEX(C1604,2),"")</f>
        <v/>
      </c>
      <c r="I1604" s="1" t="str">
        <f t="shared" si="1606"/>
        <v/>
      </c>
      <c r="J1604" s="1" t="str">
        <f t="shared" si="3"/>
        <v/>
      </c>
      <c r="L1604" s="1" t="s">
        <v>3251</v>
      </c>
      <c r="M1604" s="1" t="str">
        <f t="shared" si="4"/>
        <v>20, 20, DUNSPARCE</v>
      </c>
    </row>
    <row r="1605" ht="12.75" customHeight="1">
      <c r="A1605" s="3" t="s">
        <v>2807</v>
      </c>
      <c r="B1605" s="3" t="str">
        <f t="shared" si="1"/>
        <v>0.05</v>
      </c>
      <c r="C1605" s="1" t="str">
        <f t="array" ref="C1605">IF(B1604="NEW ROUTE",TEXTSPLIT(B1605,","),"")</f>
        <v/>
      </c>
      <c r="H1605" s="1" t="str">
        <f t="shared" ref="H1605:I1605" si="1607">IF(C1605&lt;&gt;"",DEC2HEX(C1605,2),"")</f>
        <v/>
      </c>
      <c r="I1605" s="1" t="str">
        <f t="shared" si="1607"/>
        <v/>
      </c>
      <c r="J1605" s="1" t="str">
        <f t="shared" si="3"/>
        <v/>
      </c>
      <c r="L1605" s="1" t="s">
        <v>2807</v>
      </c>
      <c r="M1605" s="1" t="str">
        <f t="shared" si="4"/>
        <v>0.05</v>
      </c>
    </row>
    <row r="1606" ht="12.75" customHeight="1">
      <c r="A1606" s="3" t="s">
        <v>3252</v>
      </c>
      <c r="B1606" s="3" t="str">
        <f t="shared" si="1"/>
        <v>25, 25, DUNSPARCE</v>
      </c>
      <c r="C1606" s="1" t="str">
        <f t="array" ref="C1606">IF(B1605="NEW ROUTE",TEXTSPLIT(B1606,","),"")</f>
        <v/>
      </c>
      <c r="H1606" s="1" t="str">
        <f t="shared" ref="H1606:I1606" si="1608">IF(C1606&lt;&gt;"",DEC2HEX(C1606,2),"")</f>
        <v/>
      </c>
      <c r="I1606" s="1" t="str">
        <f t="shared" si="1608"/>
        <v/>
      </c>
      <c r="J1606" s="1" t="str">
        <f t="shared" si="3"/>
        <v/>
      </c>
      <c r="L1606" s="1" t="s">
        <v>3252</v>
      </c>
      <c r="M1606" s="1" t="str">
        <f t="shared" si="4"/>
        <v>25, 25, DUNSPARCE</v>
      </c>
    </row>
    <row r="1607" ht="12.75" customHeight="1">
      <c r="A1607" s="3" t="s">
        <v>3253</v>
      </c>
      <c r="B1607" s="3" t="str">
        <f t="shared" si="1"/>
        <v>30, 30, DUNSPARCE</v>
      </c>
      <c r="C1607" s="1" t="str">
        <f t="array" ref="C1607">IF(B1606="NEW ROUTE",TEXTSPLIT(B1607,","),"")</f>
        <v/>
      </c>
      <c r="H1607" s="1" t="str">
        <f t="shared" ref="H1607:I1607" si="1609">IF(C1607&lt;&gt;"",DEC2HEX(C1607,2),"")</f>
        <v/>
      </c>
      <c r="I1607" s="1" t="str">
        <f t="shared" si="1609"/>
        <v/>
      </c>
      <c r="J1607" s="1" t="str">
        <f t="shared" si="3"/>
        <v/>
      </c>
      <c r="L1607" s="1" t="s">
        <v>3253</v>
      </c>
      <c r="M1607" s="1" t="str">
        <f t="shared" si="4"/>
        <v>30, 30, DUNSPARCE</v>
      </c>
    </row>
    <row r="1608" ht="12.75" customHeight="1">
      <c r="A1608" s="3" t="s">
        <v>2810</v>
      </c>
      <c r="B1608" s="3" t="str">
        <f t="shared" si="1"/>
        <v>0.04</v>
      </c>
      <c r="C1608" s="1" t="str">
        <f t="array" ref="C1608">IF(B1607="NEW ROUTE",TEXTSPLIT(B1608,","),"")</f>
        <v/>
      </c>
      <c r="H1608" s="1" t="str">
        <f t="shared" ref="H1608:I1608" si="1610">IF(C1608&lt;&gt;"",DEC2HEX(C1608,2),"")</f>
        <v/>
      </c>
      <c r="I1608" s="1" t="str">
        <f t="shared" si="1610"/>
        <v/>
      </c>
      <c r="J1608" s="1" t="str">
        <f t="shared" si="3"/>
        <v/>
      </c>
      <c r="L1608" s="1" t="s">
        <v>2810</v>
      </c>
      <c r="M1608" s="1" t="str">
        <f t="shared" si="4"/>
        <v>0.04</v>
      </c>
    </row>
    <row r="1609" ht="12.75" customHeight="1">
      <c r="A1609" s="3" t="s">
        <v>3252</v>
      </c>
      <c r="B1609" s="3" t="str">
        <f t="shared" si="1"/>
        <v>25, 25, DUNSPARCE</v>
      </c>
      <c r="C1609" s="1" t="str">
        <f t="array" ref="C1609">IF(B1608="NEW ROUTE",TEXTSPLIT(B1609,","),"")</f>
        <v/>
      </c>
      <c r="H1609" s="1" t="str">
        <f t="shared" ref="H1609:I1609" si="1611">IF(C1609&lt;&gt;"",DEC2HEX(C1609,2),"")</f>
        <v/>
      </c>
      <c r="I1609" s="1" t="str">
        <f t="shared" si="1611"/>
        <v/>
      </c>
      <c r="J1609" s="1" t="str">
        <f t="shared" si="3"/>
        <v/>
      </c>
      <c r="L1609" s="1" t="s">
        <v>3252</v>
      </c>
      <c r="M1609" s="1" t="str">
        <f t="shared" si="4"/>
        <v>25, 25, DUNSPARCE</v>
      </c>
    </row>
    <row r="1610" ht="12.75" customHeight="1">
      <c r="A1610" s="3" t="s">
        <v>3253</v>
      </c>
      <c r="B1610" s="3" t="str">
        <f t="shared" si="1"/>
        <v>30, 30, DUNSPARCE</v>
      </c>
      <c r="C1610" s="1" t="str">
        <f t="array" ref="C1610">IF(B1609="NEW ROUTE",TEXTSPLIT(B1610,","),"")</f>
        <v/>
      </c>
      <c r="H1610" s="1" t="str">
        <f t="shared" ref="H1610:I1610" si="1612">IF(C1610&lt;&gt;"",DEC2HEX(C1610,2),"")</f>
        <v/>
      </c>
      <c r="I1610" s="1" t="str">
        <f t="shared" si="1612"/>
        <v/>
      </c>
      <c r="J1610" s="1" t="str">
        <f t="shared" si="3"/>
        <v/>
      </c>
      <c r="L1610" s="1" t="s">
        <v>3253</v>
      </c>
      <c r="M1610" s="1" t="str">
        <f t="shared" si="4"/>
        <v>30, 30, DUNSPARCE</v>
      </c>
    </row>
    <row r="1611" ht="12.75" customHeight="1">
      <c r="A1611" s="3" t="s">
        <v>2813</v>
      </c>
      <c r="B1611" s="3" t="str">
        <f t="shared" si="1"/>
        <v>0.01</v>
      </c>
      <c r="C1611" s="1" t="str">
        <f t="array" ref="C1611">IF(B1610="NEW ROUTE",TEXTSPLIT(B1611,","),"")</f>
        <v/>
      </c>
      <c r="H1611" s="1" t="str">
        <f t="shared" ref="H1611:I1611" si="1613">IF(C1611&lt;&gt;"",DEC2HEX(C1611,2),"")</f>
        <v/>
      </c>
      <c r="I1611" s="1" t="str">
        <f t="shared" si="1613"/>
        <v/>
      </c>
      <c r="J1611" s="1" t="str">
        <f t="shared" si="3"/>
        <v/>
      </c>
      <c r="L1611" s="1" t="s">
        <v>2813</v>
      </c>
      <c r="M1611" s="1" t="str">
        <f t="shared" si="4"/>
        <v>0.01</v>
      </c>
    </row>
    <row r="1612" ht="12.75" customHeight="1">
      <c r="A1612" s="3" t="s">
        <v>3254</v>
      </c>
      <c r="B1612" s="3" t="str">
        <f t="shared" si="1"/>
        <v>5, 5, DUNSPARCE</v>
      </c>
      <c r="C1612" s="1" t="str">
        <f t="array" ref="C1612">IF(B1611="NEW ROUTE",TEXTSPLIT(B1612,","),"")</f>
        <v/>
      </c>
      <c r="H1612" s="1" t="str">
        <f t="shared" ref="H1612:I1612" si="1614">IF(C1612&lt;&gt;"",DEC2HEX(C1612,2),"")</f>
        <v/>
      </c>
      <c r="I1612" s="1" t="str">
        <f t="shared" si="1614"/>
        <v/>
      </c>
      <c r="J1612" s="1" t="str">
        <f t="shared" si="3"/>
        <v/>
      </c>
      <c r="L1612" s="1" t="s">
        <v>3254</v>
      </c>
      <c r="M1612" s="1" t="str">
        <f t="shared" si="4"/>
        <v>5, 5, DUNSPARCE</v>
      </c>
    </row>
    <row r="1613" ht="12.75" customHeight="1">
      <c r="A1613" s="3" t="s">
        <v>3255</v>
      </c>
      <c r="B1613" s="3" t="str">
        <f t="shared" si="1"/>
        <v>35, 35, DUNSPARCE , &lt;null&gt;, &lt;null&gt;, &lt;null&gt;</v>
      </c>
      <c r="C1613" s="1" t="str">
        <f t="array" ref="C1613">IF(B1612="NEW ROUTE",TEXTSPLIT(B1613,","),"")</f>
        <v/>
      </c>
      <c r="H1613" s="1" t="str">
        <f t="shared" ref="H1613:I1613" si="1615">IF(C1613&lt;&gt;"",DEC2HEX(C1613,2),"")</f>
        <v/>
      </c>
      <c r="I1613" s="1" t="str">
        <f t="shared" si="1615"/>
        <v/>
      </c>
      <c r="J1613" s="1" t="str">
        <f t="shared" si="3"/>
        <v/>
      </c>
      <c r="L1613" s="1" t="s">
        <v>3255</v>
      </c>
      <c r="M1613" s="1" t="str">
        <f t="shared" si="4"/>
        <v>35, 35, DUNSPARCE , &lt;null&gt;, &lt;null&gt;, &lt;null&gt;</v>
      </c>
    </row>
    <row r="1614" ht="12.75" customHeight="1">
      <c r="A1614" s="3" t="s">
        <v>2539</v>
      </c>
      <c r="B1614" s="3" t="str">
        <f t="shared" si="1"/>
        <v>NEW ROUTE</v>
      </c>
      <c r="C1614" s="1" t="str">
        <f t="array" ref="C1614">IF(B1613="NEW ROUTE",TEXTSPLIT(B1614,","),"")</f>
        <v/>
      </c>
      <c r="H1614" s="1" t="str">
        <f t="shared" ref="H1614:I1614" si="1616">IF(C1614&lt;&gt;"",DEC2HEX(C1614,2),"")</f>
        <v/>
      </c>
      <c r="I1614" s="1" t="str">
        <f t="shared" si="1616"/>
        <v/>
      </c>
      <c r="J1614" s="1" t="str">
        <f t="shared" si="3"/>
        <v/>
      </c>
      <c r="L1614" s="1" t="s">
        <v>2539</v>
      </c>
      <c r="M1614" s="1" t="str">
        <f t="shared" si="4"/>
        <v>NEW ROUTE</v>
      </c>
    </row>
    <row r="1615" ht="12.75" customHeight="1">
      <c r="A1615" s="3" t="s">
        <v>3256</v>
      </c>
      <c r="B1615" s="3" t="str">
        <f t="shared" si="1"/>
        <v>3, 54, 0, &lt;null&gt;,</v>
      </c>
      <c r="C1615" s="1" t="str">
        <f t="array" ref="C1615">IF(B1614="NEW ROUTE",TEXTSPLIT(B1615,","),"")</f>
        <v>#NAME?</v>
      </c>
      <c r="H1615" s="1" t="str">
        <f t="shared" ref="H1615:I1615" si="1617">IF(C1615&lt;&gt;"",DEC2HEX(C1615,2),"")</f>
        <v>#NAME?</v>
      </c>
      <c r="I1615" s="1" t="str">
        <f t="shared" si="1617"/>
        <v/>
      </c>
      <c r="J1615" s="1" t="str">
        <f t="shared" si="3"/>
        <v>#NAME?</v>
      </c>
      <c r="L1615" s="1" t="s">
        <v>3256</v>
      </c>
      <c r="M1615" s="1" t="str">
        <f t="shared" si="4"/>
        <v>#NAME?</v>
      </c>
    </row>
    <row r="1616" ht="12.75" customHeight="1">
      <c r="A1616" s="3" t="s">
        <v>3257</v>
      </c>
      <c r="B1616" s="3" t="str">
        <f t="shared" si="1"/>
        <v>2, 5, 35, TENTACOOL</v>
      </c>
      <c r="C1616" s="1" t="str">
        <f t="array" ref="C1616">IF(B1615="NEW ROUTE",TEXTSPLIT(B1616,","),"")</f>
        <v/>
      </c>
      <c r="H1616" s="1" t="str">
        <f t="shared" ref="H1616:I1616" si="1618">IF(C1616&lt;&gt;"",DEC2HEX(C1616,2),"")</f>
        <v/>
      </c>
      <c r="I1616" s="1" t="str">
        <f t="shared" si="1618"/>
        <v/>
      </c>
      <c r="J1616" s="1" t="str">
        <f t="shared" si="3"/>
        <v/>
      </c>
      <c r="L1616" s="1" t="s">
        <v>3257</v>
      </c>
      <c r="M1616" s="1" t="str">
        <f t="shared" si="4"/>
        <v>2, 5, 35, TENTACOOL</v>
      </c>
    </row>
    <row r="1617" ht="12.75" customHeight="1">
      <c r="A1617" s="3" t="s">
        <v>3258</v>
      </c>
      <c r="B1617" s="3" t="str">
        <f t="shared" si="1"/>
        <v>5, 15, HOPPIP</v>
      </c>
      <c r="C1617" s="1" t="str">
        <f t="array" ref="C1617">IF(B1616="NEW ROUTE",TEXTSPLIT(B1617,","),"")</f>
        <v/>
      </c>
      <c r="H1617" s="1" t="str">
        <f t="shared" ref="H1617:I1617" si="1619">IF(C1617&lt;&gt;"",DEC2HEX(C1617,2),"")</f>
        <v/>
      </c>
      <c r="I1617" s="1" t="str">
        <f t="shared" si="1619"/>
        <v/>
      </c>
      <c r="J1617" s="1" t="str">
        <f t="shared" si="3"/>
        <v/>
      </c>
      <c r="L1617" s="1" t="s">
        <v>3258</v>
      </c>
      <c r="M1617" s="1" t="str">
        <f t="shared" si="4"/>
        <v>5, 15, HOPPIP</v>
      </c>
    </row>
    <row r="1618" ht="12.75" customHeight="1">
      <c r="A1618" s="3" t="s">
        <v>2845</v>
      </c>
      <c r="B1618" s="3" t="str">
        <f t="shared" si="1"/>
        <v>35, 40, TENTACOOL</v>
      </c>
      <c r="C1618" s="1" t="str">
        <f t="array" ref="C1618">IF(B1617="NEW ROUTE",TEXTSPLIT(B1618,","),"")</f>
        <v/>
      </c>
      <c r="H1618" s="1" t="str">
        <f t="shared" ref="H1618:I1618" si="1620">IF(C1618&lt;&gt;"",DEC2HEX(C1618,2),"")</f>
        <v/>
      </c>
      <c r="I1618" s="1" t="str">
        <f t="shared" si="1620"/>
        <v/>
      </c>
      <c r="J1618" s="1" t="str">
        <f t="shared" si="3"/>
        <v/>
      </c>
      <c r="L1618" s="1" t="s">
        <v>2845</v>
      </c>
      <c r="M1618" s="1" t="str">
        <f t="shared" si="4"/>
        <v>35, 40, TENTACOOL</v>
      </c>
    </row>
    <row r="1619" ht="12.75" customHeight="1">
      <c r="A1619" s="3" t="s">
        <v>3232</v>
      </c>
      <c r="B1619" s="3" t="str">
        <f t="shared" si="1"/>
        <v>35, 40, TENTACRUEL</v>
      </c>
      <c r="C1619" s="1" t="str">
        <f t="array" ref="C1619">IF(B1618="NEW ROUTE",TEXTSPLIT(B1619,","),"")</f>
        <v/>
      </c>
      <c r="H1619" s="1" t="str">
        <f t="shared" ref="H1619:I1619" si="1621">IF(C1619&lt;&gt;"",DEC2HEX(C1619,2),"")</f>
        <v/>
      </c>
      <c r="I1619" s="1" t="str">
        <f t="shared" si="1621"/>
        <v/>
      </c>
      <c r="J1619" s="1" t="str">
        <f t="shared" si="3"/>
        <v/>
      </c>
      <c r="L1619" s="1" t="s">
        <v>3232</v>
      </c>
      <c r="M1619" s="1" t="str">
        <f t="shared" si="4"/>
        <v>35, 40, TENTACRUEL</v>
      </c>
    </row>
    <row r="1620" ht="12.75" customHeight="1">
      <c r="A1620" s="3" t="s">
        <v>3232</v>
      </c>
      <c r="B1620" s="3" t="str">
        <f t="shared" si="1"/>
        <v>35, 40, TENTACRUEL</v>
      </c>
      <c r="C1620" s="1" t="str">
        <f t="array" ref="C1620">IF(B1619="NEW ROUTE",TEXTSPLIT(B1620,","),"")</f>
        <v/>
      </c>
      <c r="H1620" s="1" t="str">
        <f t="shared" ref="H1620:I1620" si="1622">IF(C1620&lt;&gt;"",DEC2HEX(C1620,2),"")</f>
        <v/>
      </c>
      <c r="I1620" s="1" t="str">
        <f t="shared" si="1622"/>
        <v/>
      </c>
      <c r="J1620" s="1" t="str">
        <f t="shared" si="3"/>
        <v/>
      </c>
      <c r="L1620" s="1" t="s">
        <v>3232</v>
      </c>
      <c r="M1620" s="1" t="str">
        <f t="shared" si="4"/>
        <v>35, 40, TENTACRUEL</v>
      </c>
    </row>
    <row r="1621" ht="12.75" customHeight="1">
      <c r="A1621" s="3" t="s">
        <v>2926</v>
      </c>
      <c r="B1621" s="3" t="str">
        <f t="shared" si="1"/>
        <v>20, old rod:</v>
      </c>
      <c r="C1621" s="1" t="str">
        <f t="array" ref="C1621">IF(B1620="NEW ROUTE",TEXTSPLIT(B1621,","),"")</f>
        <v/>
      </c>
      <c r="H1621" s="1" t="str">
        <f t="shared" ref="H1621:I1621" si="1623">IF(C1621&lt;&gt;"",DEC2HEX(C1621,2),"")</f>
        <v/>
      </c>
      <c r="I1621" s="1" t="str">
        <f t="shared" si="1623"/>
        <v/>
      </c>
      <c r="J1621" s="1" t="str">
        <f t="shared" si="3"/>
        <v/>
      </c>
      <c r="L1621" s="1" t="s">
        <v>2926</v>
      </c>
      <c r="M1621" s="1" t="str">
        <f t="shared" si="4"/>
        <v>20, old rod:</v>
      </c>
    </row>
    <row r="1622" ht="12.75" customHeight="1">
      <c r="A1622" s="3" t="s">
        <v>417</v>
      </c>
      <c r="B1622" s="3" t="str">
        <f t="shared" si="1"/>
        <v>5, 5, MAGIKARP</v>
      </c>
      <c r="C1622" s="1" t="str">
        <f t="array" ref="C1622">IF(B1621="NEW ROUTE",TEXTSPLIT(B1622,","),"")</f>
        <v/>
      </c>
      <c r="H1622" s="1" t="str">
        <f t="shared" ref="H1622:I1622" si="1624">IF(C1622&lt;&gt;"",DEC2HEX(C1622,2),"")</f>
        <v/>
      </c>
      <c r="I1622" s="1" t="str">
        <f t="shared" si="1624"/>
        <v/>
      </c>
      <c r="J1622" s="1" t="str">
        <f t="shared" si="3"/>
        <v/>
      </c>
      <c r="L1622" s="1" t="s">
        <v>417</v>
      </c>
      <c r="M1622" s="1" t="str">
        <f t="shared" si="4"/>
        <v>5, 5, MAGIKARP</v>
      </c>
    </row>
    <row r="1623" ht="12.75" customHeight="1">
      <c r="A1623" s="3" t="s">
        <v>417</v>
      </c>
      <c r="B1623" s="3" t="str">
        <f t="shared" si="1"/>
        <v>5, 5, MAGIKARP</v>
      </c>
      <c r="C1623" s="1" t="str">
        <f t="array" ref="C1623">IF(B1622="NEW ROUTE",TEXTSPLIT(B1623,","),"")</f>
        <v/>
      </c>
      <c r="H1623" s="1" t="str">
        <f t="shared" ref="H1623:I1623" si="1625">IF(C1623&lt;&gt;"",DEC2HEX(C1623,2),"")</f>
        <v/>
      </c>
      <c r="I1623" s="1" t="str">
        <f t="shared" si="1625"/>
        <v/>
      </c>
      <c r="J1623" s="1" t="str">
        <f t="shared" si="3"/>
        <v/>
      </c>
      <c r="L1623" s="1" t="s">
        <v>417</v>
      </c>
      <c r="M1623" s="1" t="str">
        <f t="shared" si="4"/>
        <v>5, 5, MAGIKARP</v>
      </c>
    </row>
    <row r="1624" ht="12.75" customHeight="1">
      <c r="A1624" s="3" t="s">
        <v>2847</v>
      </c>
      <c r="B1624" s="3" t="str">
        <f t="shared" si="1"/>
        <v>good rod:</v>
      </c>
      <c r="C1624" s="1" t="str">
        <f t="array" ref="C1624">IF(B1623="NEW ROUTE",TEXTSPLIT(B1624,","),"")</f>
        <v/>
      </c>
      <c r="H1624" s="1" t="str">
        <f t="shared" ref="H1624:I1624" si="1626">IF(C1624&lt;&gt;"",DEC2HEX(C1624,2),"")</f>
        <v/>
      </c>
      <c r="I1624" s="1" t="str">
        <f t="shared" si="1626"/>
        <v/>
      </c>
      <c r="J1624" s="1" t="str">
        <f t="shared" si="3"/>
        <v/>
      </c>
      <c r="L1624" s="1" t="s">
        <v>2847</v>
      </c>
      <c r="M1624" s="1" t="str">
        <f t="shared" si="4"/>
        <v>good rod:</v>
      </c>
    </row>
    <row r="1625" ht="12.75" customHeight="1">
      <c r="A1625" s="3" t="s">
        <v>2848</v>
      </c>
      <c r="B1625" s="3" t="str">
        <f t="shared" si="1"/>
        <v>5, 15, KRABBY</v>
      </c>
      <c r="C1625" s="1" t="str">
        <f t="array" ref="C1625">IF(B1624="NEW ROUTE",TEXTSPLIT(B1625,","),"")</f>
        <v/>
      </c>
      <c r="H1625" s="1" t="str">
        <f t="shared" ref="H1625:I1625" si="1627">IF(C1625&lt;&gt;"",DEC2HEX(C1625,2),"")</f>
        <v/>
      </c>
      <c r="I1625" s="1" t="str">
        <f t="shared" si="1627"/>
        <v/>
      </c>
      <c r="J1625" s="1" t="str">
        <f t="shared" si="3"/>
        <v/>
      </c>
      <c r="L1625" s="1" t="s">
        <v>2848</v>
      </c>
      <c r="M1625" s="1" t="str">
        <f t="shared" si="4"/>
        <v>5, 15, KRABBY</v>
      </c>
    </row>
    <row r="1626" ht="12.75" customHeight="1">
      <c r="A1626" s="3" t="s">
        <v>2849</v>
      </c>
      <c r="B1626" s="3" t="str">
        <f t="shared" si="1"/>
        <v>5, 15, MAGIKARP</v>
      </c>
      <c r="C1626" s="1" t="str">
        <f t="array" ref="C1626">IF(B1625="NEW ROUTE",TEXTSPLIT(B1626,","),"")</f>
        <v/>
      </c>
      <c r="H1626" s="1" t="str">
        <f t="shared" ref="H1626:I1626" si="1628">IF(C1626&lt;&gt;"",DEC2HEX(C1626,2),"")</f>
        <v/>
      </c>
      <c r="I1626" s="1" t="str">
        <f t="shared" si="1628"/>
        <v/>
      </c>
      <c r="J1626" s="1" t="str">
        <f t="shared" si="3"/>
        <v/>
      </c>
      <c r="L1626" s="1" t="s">
        <v>2849</v>
      </c>
      <c r="M1626" s="1" t="str">
        <f t="shared" si="4"/>
        <v>5, 15, MAGIKARP</v>
      </c>
    </row>
    <row r="1627" ht="12.75" customHeight="1">
      <c r="A1627" s="3" t="s">
        <v>2848</v>
      </c>
      <c r="B1627" s="3" t="str">
        <f t="shared" si="1"/>
        <v>5, 15, KRABBY</v>
      </c>
      <c r="C1627" s="1" t="str">
        <f t="array" ref="C1627">IF(B1626="NEW ROUTE",TEXTSPLIT(B1627,","),"")</f>
        <v/>
      </c>
      <c r="H1627" s="1" t="str">
        <f t="shared" ref="H1627:I1627" si="1629">IF(C1627&lt;&gt;"",DEC2HEX(C1627,2),"")</f>
        <v/>
      </c>
      <c r="I1627" s="1" t="str">
        <f t="shared" si="1629"/>
        <v/>
      </c>
      <c r="J1627" s="1" t="str">
        <f t="shared" si="3"/>
        <v/>
      </c>
      <c r="L1627" s="1" t="s">
        <v>2848</v>
      </c>
      <c r="M1627" s="1" t="str">
        <f t="shared" si="4"/>
        <v>5, 15, KRABBY</v>
      </c>
    </row>
    <row r="1628" ht="12.75" customHeight="1">
      <c r="A1628" s="3" t="s">
        <v>2851</v>
      </c>
      <c r="B1628" s="3" t="str">
        <f t="shared" si="1"/>
        <v>super rod:</v>
      </c>
      <c r="C1628" s="1" t="str">
        <f t="array" ref="C1628">IF(B1627="NEW ROUTE",TEXTSPLIT(B1628,","),"")</f>
        <v/>
      </c>
      <c r="H1628" s="1" t="str">
        <f t="shared" ref="H1628:I1628" si="1630">IF(C1628&lt;&gt;"",DEC2HEX(C1628,2),"")</f>
        <v/>
      </c>
      <c r="I1628" s="1" t="str">
        <f t="shared" si="1630"/>
        <v/>
      </c>
      <c r="J1628" s="1" t="str">
        <f t="shared" si="3"/>
        <v/>
      </c>
      <c r="L1628" s="1" t="s">
        <v>2851</v>
      </c>
      <c r="M1628" s="1" t="str">
        <f t="shared" si="4"/>
        <v>super rod:</v>
      </c>
    </row>
    <row r="1629" ht="12.75" customHeight="1">
      <c r="A1629" s="3" t="s">
        <v>2852</v>
      </c>
      <c r="B1629" s="3" t="str">
        <f t="shared" si="1"/>
        <v>15, 25, KRABBY</v>
      </c>
      <c r="C1629" s="1" t="str">
        <f t="array" ref="C1629">IF(B1628="NEW ROUTE",TEXTSPLIT(B1629,","),"")</f>
        <v/>
      </c>
      <c r="H1629" s="1" t="str">
        <f t="shared" ref="H1629:I1629" si="1631">IF(C1629&lt;&gt;"",DEC2HEX(C1629,2),"")</f>
        <v/>
      </c>
      <c r="I1629" s="1" t="str">
        <f t="shared" si="1631"/>
        <v/>
      </c>
      <c r="J1629" s="1" t="str">
        <f t="shared" si="3"/>
        <v/>
      </c>
      <c r="L1629" s="1" t="s">
        <v>2852</v>
      </c>
      <c r="M1629" s="1" t="str">
        <f t="shared" si="4"/>
        <v>15, 25, KRABBY</v>
      </c>
    </row>
    <row r="1630" ht="12.75" customHeight="1">
      <c r="A1630" s="3" t="s">
        <v>3259</v>
      </c>
      <c r="B1630" s="3" t="str">
        <f t="shared" si="1"/>
        <v>15, 25, REMORAID</v>
      </c>
      <c r="C1630" s="1" t="str">
        <f t="array" ref="C1630">IF(B1629="NEW ROUTE",TEXTSPLIT(B1630,","),"")</f>
        <v/>
      </c>
      <c r="H1630" s="1" t="str">
        <f t="shared" ref="H1630:I1630" si="1632">IF(C1630&lt;&gt;"",DEC2HEX(C1630,2),"")</f>
        <v/>
      </c>
      <c r="I1630" s="1" t="str">
        <f t="shared" si="1632"/>
        <v/>
      </c>
      <c r="J1630" s="1" t="str">
        <f t="shared" si="3"/>
        <v/>
      </c>
      <c r="L1630" s="1" t="s">
        <v>3259</v>
      </c>
      <c r="M1630" s="1" t="str">
        <f t="shared" si="4"/>
        <v>15, 25, REMORAID</v>
      </c>
    </row>
    <row r="1631" ht="12.75" customHeight="1">
      <c r="A1631" s="3" t="s">
        <v>2854</v>
      </c>
      <c r="B1631" s="3" t="str">
        <f t="shared" si="1"/>
        <v>15, 25, GYARADOS</v>
      </c>
      <c r="C1631" s="1" t="str">
        <f t="array" ref="C1631">IF(B1630="NEW ROUTE",TEXTSPLIT(B1631,","),"")</f>
        <v/>
      </c>
      <c r="H1631" s="1" t="str">
        <f t="shared" ref="H1631:I1631" si="1633">IF(C1631&lt;&gt;"",DEC2HEX(C1631,2),"")</f>
        <v/>
      </c>
      <c r="I1631" s="1" t="str">
        <f t="shared" si="1633"/>
        <v/>
      </c>
      <c r="J1631" s="1" t="str">
        <f t="shared" si="3"/>
        <v/>
      </c>
      <c r="L1631" s="1" t="s">
        <v>2854</v>
      </c>
      <c r="M1631" s="1" t="str">
        <f t="shared" si="4"/>
        <v>15, 25, GYARADOS</v>
      </c>
    </row>
    <row r="1632" ht="12.75" customHeight="1">
      <c r="A1632" s="3" t="s">
        <v>3178</v>
      </c>
      <c r="B1632" s="3" t="str">
        <f t="shared" si="1"/>
        <v>25, 35, KINGLER</v>
      </c>
      <c r="C1632" s="1" t="str">
        <f t="array" ref="C1632">IF(B1631="NEW ROUTE",TEXTSPLIT(B1632,","),"")</f>
        <v/>
      </c>
      <c r="H1632" s="1" t="str">
        <f t="shared" ref="H1632:I1632" si="1634">IF(C1632&lt;&gt;"",DEC2HEX(C1632,2),"")</f>
        <v/>
      </c>
      <c r="I1632" s="1" t="str">
        <f t="shared" si="1634"/>
        <v/>
      </c>
      <c r="J1632" s="1" t="str">
        <f t="shared" si="3"/>
        <v/>
      </c>
      <c r="L1632" s="1" t="s">
        <v>3178</v>
      </c>
      <c r="M1632" s="1" t="str">
        <f t="shared" si="4"/>
        <v>25, 35, KINGLER</v>
      </c>
    </row>
    <row r="1633" ht="12.75" customHeight="1">
      <c r="A1633" s="3" t="s">
        <v>2856</v>
      </c>
      <c r="B1633" s="3" t="str">
        <f t="shared" si="1"/>
        <v>25, 35, SLOWPOKE</v>
      </c>
      <c r="C1633" s="1" t="str">
        <f t="array" ref="C1633">IF(B1632="NEW ROUTE",TEXTSPLIT(B1633,","),"")</f>
        <v/>
      </c>
      <c r="H1633" s="1" t="str">
        <f t="shared" ref="H1633:I1633" si="1635">IF(C1633&lt;&gt;"",DEC2HEX(C1633,2),"")</f>
        <v/>
      </c>
      <c r="I1633" s="1" t="str">
        <f t="shared" si="1635"/>
        <v/>
      </c>
      <c r="J1633" s="1" t="str">
        <f t="shared" si="3"/>
        <v/>
      </c>
      <c r="L1633" s="1" t="s">
        <v>2856</v>
      </c>
      <c r="M1633" s="1" t="str">
        <f t="shared" si="4"/>
        <v>25, 35, SLOWPOKE</v>
      </c>
    </row>
    <row r="1634" ht="12.75" customHeight="1">
      <c r="A1634" s="3" t="s">
        <v>2539</v>
      </c>
      <c r="B1634" s="3" t="str">
        <f t="shared" si="1"/>
        <v>NEW ROUTE</v>
      </c>
      <c r="C1634" s="1" t="str">
        <f t="array" ref="C1634">IF(B1633="NEW ROUTE",TEXTSPLIT(B1634,","),"")</f>
        <v/>
      </c>
      <c r="H1634" s="1" t="str">
        <f t="shared" ref="H1634:I1634" si="1636">IF(C1634&lt;&gt;"",DEC2HEX(C1634,2),"")</f>
        <v/>
      </c>
      <c r="I1634" s="1" t="str">
        <f t="shared" si="1636"/>
        <v/>
      </c>
      <c r="J1634" s="1" t="str">
        <f t="shared" si="3"/>
        <v/>
      </c>
      <c r="L1634" s="1" t="s">
        <v>2539</v>
      </c>
      <c r="M1634" s="1" t="str">
        <f t="shared" si="4"/>
        <v>NEW ROUTE</v>
      </c>
    </row>
    <row r="1635" ht="12.75" customHeight="1">
      <c r="A1635" s="3" t="s">
        <v>3260</v>
      </c>
      <c r="B1635" s="3" t="str">
        <f t="shared" si="1"/>
        <v>3, 55, 0, &lt;null&gt;,</v>
      </c>
      <c r="C1635" s="1" t="str">
        <f t="array" ref="C1635">IF(B1634="NEW ROUTE",TEXTSPLIT(B1635,","),"")</f>
        <v>#NAME?</v>
      </c>
      <c r="H1635" s="1" t="str">
        <f t="shared" ref="H1635:I1635" si="1637">IF(C1635&lt;&gt;"",DEC2HEX(C1635,2),"")</f>
        <v>#NAME?</v>
      </c>
      <c r="I1635" s="1" t="str">
        <f t="shared" si="1637"/>
        <v/>
      </c>
      <c r="J1635" s="1" t="str">
        <f t="shared" si="3"/>
        <v>#NAME?</v>
      </c>
      <c r="L1635" s="1" t="s">
        <v>3260</v>
      </c>
      <c r="M1635" s="1" t="str">
        <f t="shared" si="4"/>
        <v>#NAME?</v>
      </c>
    </row>
    <row r="1636" ht="12.75" customHeight="1">
      <c r="A1636" s="3" t="s">
        <v>3257</v>
      </c>
      <c r="B1636" s="3" t="str">
        <f t="shared" si="1"/>
        <v>2, 5, 35, TENTACOOL</v>
      </c>
      <c r="C1636" s="1" t="str">
        <f t="array" ref="C1636">IF(B1635="NEW ROUTE",TEXTSPLIT(B1636,","),"")</f>
        <v/>
      </c>
      <c r="H1636" s="1" t="str">
        <f t="shared" ref="H1636:I1636" si="1638">IF(C1636&lt;&gt;"",DEC2HEX(C1636,2),"")</f>
        <v/>
      </c>
      <c r="I1636" s="1" t="str">
        <f t="shared" si="1638"/>
        <v/>
      </c>
      <c r="J1636" s="1" t="str">
        <f t="shared" si="3"/>
        <v/>
      </c>
      <c r="L1636" s="1" t="s">
        <v>3257</v>
      </c>
      <c r="M1636" s="1" t="str">
        <f t="shared" si="4"/>
        <v>2, 5, 35, TENTACOOL</v>
      </c>
    </row>
    <row r="1637" ht="12.75" customHeight="1">
      <c r="A1637" s="3" t="s">
        <v>3258</v>
      </c>
      <c r="B1637" s="3" t="str">
        <f t="shared" si="1"/>
        <v>5, 15, HOPPIP</v>
      </c>
      <c r="C1637" s="1" t="str">
        <f t="array" ref="C1637">IF(B1636="NEW ROUTE",TEXTSPLIT(B1637,","),"")</f>
        <v/>
      </c>
      <c r="H1637" s="1" t="str">
        <f t="shared" ref="H1637:I1637" si="1639">IF(C1637&lt;&gt;"",DEC2HEX(C1637,2),"")</f>
        <v/>
      </c>
      <c r="I1637" s="1" t="str">
        <f t="shared" si="1639"/>
        <v/>
      </c>
      <c r="J1637" s="1" t="str">
        <f t="shared" si="3"/>
        <v/>
      </c>
      <c r="L1637" s="1" t="s">
        <v>3258</v>
      </c>
      <c r="M1637" s="1" t="str">
        <f t="shared" si="4"/>
        <v>5, 15, HOPPIP</v>
      </c>
    </row>
    <row r="1638" ht="12.75" customHeight="1">
      <c r="A1638" s="3" t="s">
        <v>2845</v>
      </c>
      <c r="B1638" s="3" t="str">
        <f t="shared" si="1"/>
        <v>35, 40, TENTACOOL</v>
      </c>
      <c r="C1638" s="1" t="str">
        <f t="array" ref="C1638">IF(B1637="NEW ROUTE",TEXTSPLIT(B1638,","),"")</f>
        <v/>
      </c>
      <c r="H1638" s="1" t="str">
        <f t="shared" ref="H1638:I1638" si="1640">IF(C1638&lt;&gt;"",DEC2HEX(C1638,2),"")</f>
        <v/>
      </c>
      <c r="I1638" s="1" t="str">
        <f t="shared" si="1640"/>
        <v/>
      </c>
      <c r="J1638" s="1" t="str">
        <f t="shared" si="3"/>
        <v/>
      </c>
      <c r="L1638" s="1" t="s">
        <v>2845</v>
      </c>
      <c r="M1638" s="1" t="str">
        <f t="shared" si="4"/>
        <v>35, 40, TENTACOOL</v>
      </c>
    </row>
    <row r="1639" ht="12.75" customHeight="1">
      <c r="A1639" s="3" t="s">
        <v>3232</v>
      </c>
      <c r="B1639" s="3" t="str">
        <f t="shared" si="1"/>
        <v>35, 40, TENTACRUEL</v>
      </c>
      <c r="C1639" s="1" t="str">
        <f t="array" ref="C1639">IF(B1638="NEW ROUTE",TEXTSPLIT(B1639,","),"")</f>
        <v/>
      </c>
      <c r="H1639" s="1" t="str">
        <f t="shared" ref="H1639:I1639" si="1641">IF(C1639&lt;&gt;"",DEC2HEX(C1639,2),"")</f>
        <v/>
      </c>
      <c r="I1639" s="1" t="str">
        <f t="shared" si="1641"/>
        <v/>
      </c>
      <c r="J1639" s="1" t="str">
        <f t="shared" si="3"/>
        <v/>
      </c>
      <c r="L1639" s="1" t="s">
        <v>3232</v>
      </c>
      <c r="M1639" s="1" t="str">
        <f t="shared" si="4"/>
        <v>35, 40, TENTACRUEL</v>
      </c>
    </row>
    <row r="1640" ht="12.75" customHeight="1">
      <c r="A1640" s="3" t="s">
        <v>3232</v>
      </c>
      <c r="B1640" s="3" t="str">
        <f t="shared" si="1"/>
        <v>35, 40, TENTACRUEL</v>
      </c>
      <c r="C1640" s="1" t="str">
        <f t="array" ref="C1640">IF(B1639="NEW ROUTE",TEXTSPLIT(B1640,","),"")</f>
        <v/>
      </c>
      <c r="H1640" s="1" t="str">
        <f t="shared" ref="H1640:I1640" si="1642">IF(C1640&lt;&gt;"",DEC2HEX(C1640,2),"")</f>
        <v/>
      </c>
      <c r="I1640" s="1" t="str">
        <f t="shared" si="1642"/>
        <v/>
      </c>
      <c r="J1640" s="1" t="str">
        <f t="shared" si="3"/>
        <v/>
      </c>
      <c r="L1640" s="1" t="s">
        <v>3232</v>
      </c>
      <c r="M1640" s="1" t="str">
        <f t="shared" si="4"/>
        <v>35, 40, TENTACRUEL</v>
      </c>
    </row>
    <row r="1641" ht="12.75" customHeight="1">
      <c r="A1641" s="3" t="s">
        <v>2926</v>
      </c>
      <c r="B1641" s="3" t="str">
        <f t="shared" si="1"/>
        <v>20, old rod:</v>
      </c>
      <c r="C1641" s="1" t="str">
        <f t="array" ref="C1641">IF(B1640="NEW ROUTE",TEXTSPLIT(B1641,","),"")</f>
        <v/>
      </c>
      <c r="H1641" s="1" t="str">
        <f t="shared" ref="H1641:I1641" si="1643">IF(C1641&lt;&gt;"",DEC2HEX(C1641,2),"")</f>
        <v/>
      </c>
      <c r="I1641" s="1" t="str">
        <f t="shared" si="1643"/>
        <v/>
      </c>
      <c r="J1641" s="1" t="str">
        <f t="shared" si="3"/>
        <v/>
      </c>
      <c r="L1641" s="1" t="s">
        <v>2926</v>
      </c>
      <c r="M1641" s="1" t="str">
        <f t="shared" si="4"/>
        <v>20, old rod:</v>
      </c>
    </row>
    <row r="1642" ht="12.75" customHeight="1">
      <c r="A1642" s="3" t="s">
        <v>417</v>
      </c>
      <c r="B1642" s="3" t="str">
        <f t="shared" si="1"/>
        <v>5, 5, MAGIKARP</v>
      </c>
      <c r="C1642" s="1" t="str">
        <f t="array" ref="C1642">IF(B1641="NEW ROUTE",TEXTSPLIT(B1642,","),"")</f>
        <v/>
      </c>
      <c r="H1642" s="1" t="str">
        <f t="shared" ref="H1642:I1642" si="1644">IF(C1642&lt;&gt;"",DEC2HEX(C1642,2),"")</f>
        <v/>
      </c>
      <c r="I1642" s="1" t="str">
        <f t="shared" si="1644"/>
        <v/>
      </c>
      <c r="J1642" s="1" t="str">
        <f t="shared" si="3"/>
        <v/>
      </c>
      <c r="L1642" s="1" t="s">
        <v>417</v>
      </c>
      <c r="M1642" s="1" t="str">
        <f t="shared" si="4"/>
        <v>5, 5, MAGIKARP</v>
      </c>
    </row>
    <row r="1643" ht="12.75" customHeight="1">
      <c r="A1643" s="3" t="s">
        <v>417</v>
      </c>
      <c r="B1643" s="3" t="str">
        <f t="shared" si="1"/>
        <v>5, 5, MAGIKARP</v>
      </c>
      <c r="C1643" s="1" t="str">
        <f t="array" ref="C1643">IF(B1642="NEW ROUTE",TEXTSPLIT(B1643,","),"")</f>
        <v/>
      </c>
      <c r="H1643" s="1" t="str">
        <f t="shared" ref="H1643:I1643" si="1645">IF(C1643&lt;&gt;"",DEC2HEX(C1643,2),"")</f>
        <v/>
      </c>
      <c r="I1643" s="1" t="str">
        <f t="shared" si="1645"/>
        <v/>
      </c>
      <c r="J1643" s="1" t="str">
        <f t="shared" si="3"/>
        <v/>
      </c>
      <c r="L1643" s="1" t="s">
        <v>417</v>
      </c>
      <c r="M1643" s="1" t="str">
        <f t="shared" si="4"/>
        <v>5, 5, MAGIKARP</v>
      </c>
    </row>
    <row r="1644" ht="12.75" customHeight="1">
      <c r="A1644" s="3" t="s">
        <v>2847</v>
      </c>
      <c r="B1644" s="3" t="str">
        <f t="shared" si="1"/>
        <v>good rod:</v>
      </c>
      <c r="C1644" s="1" t="str">
        <f t="array" ref="C1644">IF(B1643="NEW ROUTE",TEXTSPLIT(B1644,","),"")</f>
        <v/>
      </c>
      <c r="H1644" s="1" t="str">
        <f t="shared" ref="H1644:I1644" si="1646">IF(C1644&lt;&gt;"",DEC2HEX(C1644,2),"")</f>
        <v/>
      </c>
      <c r="I1644" s="1" t="str">
        <f t="shared" si="1646"/>
        <v/>
      </c>
      <c r="J1644" s="1" t="str">
        <f t="shared" si="3"/>
        <v/>
      </c>
      <c r="L1644" s="1" t="s">
        <v>2847</v>
      </c>
      <c r="M1644" s="1" t="str">
        <f t="shared" si="4"/>
        <v>good rod:</v>
      </c>
    </row>
    <row r="1645" ht="12.75" customHeight="1">
      <c r="A1645" s="3" t="s">
        <v>2848</v>
      </c>
      <c r="B1645" s="3" t="str">
        <f t="shared" si="1"/>
        <v>5, 15, KRABBY</v>
      </c>
      <c r="C1645" s="1" t="str">
        <f t="array" ref="C1645">IF(B1644="NEW ROUTE",TEXTSPLIT(B1645,","),"")</f>
        <v/>
      </c>
      <c r="H1645" s="1" t="str">
        <f t="shared" ref="H1645:I1645" si="1647">IF(C1645&lt;&gt;"",DEC2HEX(C1645,2),"")</f>
        <v/>
      </c>
      <c r="I1645" s="1" t="str">
        <f t="shared" si="1647"/>
        <v/>
      </c>
      <c r="J1645" s="1" t="str">
        <f t="shared" si="3"/>
        <v/>
      </c>
      <c r="L1645" s="1" t="s">
        <v>2848</v>
      </c>
      <c r="M1645" s="1" t="str">
        <f t="shared" si="4"/>
        <v>5, 15, KRABBY</v>
      </c>
    </row>
    <row r="1646" ht="12.75" customHeight="1">
      <c r="A1646" s="3" t="s">
        <v>2849</v>
      </c>
      <c r="B1646" s="3" t="str">
        <f t="shared" si="1"/>
        <v>5, 15, MAGIKARP</v>
      </c>
      <c r="C1646" s="1" t="str">
        <f t="array" ref="C1646">IF(B1645="NEW ROUTE",TEXTSPLIT(B1646,","),"")</f>
        <v/>
      </c>
      <c r="H1646" s="1" t="str">
        <f t="shared" ref="H1646:I1646" si="1648">IF(C1646&lt;&gt;"",DEC2HEX(C1646,2),"")</f>
        <v/>
      </c>
      <c r="I1646" s="1" t="str">
        <f t="shared" si="1648"/>
        <v/>
      </c>
      <c r="J1646" s="1" t="str">
        <f t="shared" si="3"/>
        <v/>
      </c>
      <c r="L1646" s="1" t="s">
        <v>2849</v>
      </c>
      <c r="M1646" s="1" t="str">
        <f t="shared" si="4"/>
        <v>5, 15, MAGIKARP</v>
      </c>
    </row>
    <row r="1647" ht="12.75" customHeight="1">
      <c r="A1647" s="3" t="s">
        <v>2848</v>
      </c>
      <c r="B1647" s="3" t="str">
        <f t="shared" si="1"/>
        <v>5, 15, KRABBY</v>
      </c>
      <c r="C1647" s="1" t="str">
        <f t="array" ref="C1647">IF(B1646="NEW ROUTE",TEXTSPLIT(B1647,","),"")</f>
        <v/>
      </c>
      <c r="H1647" s="1" t="str">
        <f t="shared" ref="H1647:I1647" si="1649">IF(C1647&lt;&gt;"",DEC2HEX(C1647,2),"")</f>
        <v/>
      </c>
      <c r="I1647" s="1" t="str">
        <f t="shared" si="1649"/>
        <v/>
      </c>
      <c r="J1647" s="1" t="str">
        <f t="shared" si="3"/>
        <v/>
      </c>
      <c r="L1647" s="1" t="s">
        <v>2848</v>
      </c>
      <c r="M1647" s="1" t="str">
        <f t="shared" si="4"/>
        <v>5, 15, KRABBY</v>
      </c>
    </row>
    <row r="1648" ht="12.75" customHeight="1">
      <c r="A1648" s="3" t="s">
        <v>2851</v>
      </c>
      <c r="B1648" s="3" t="str">
        <f t="shared" si="1"/>
        <v>super rod:</v>
      </c>
      <c r="C1648" s="1" t="str">
        <f t="array" ref="C1648">IF(B1647="NEW ROUTE",TEXTSPLIT(B1648,","),"")</f>
        <v/>
      </c>
      <c r="H1648" s="1" t="str">
        <f t="shared" ref="H1648:I1648" si="1650">IF(C1648&lt;&gt;"",DEC2HEX(C1648,2),"")</f>
        <v/>
      </c>
      <c r="I1648" s="1" t="str">
        <f t="shared" si="1650"/>
        <v/>
      </c>
      <c r="J1648" s="1" t="str">
        <f t="shared" si="3"/>
        <v/>
      </c>
      <c r="L1648" s="1" t="s">
        <v>2851</v>
      </c>
      <c r="M1648" s="1" t="str">
        <f t="shared" si="4"/>
        <v>super rod:</v>
      </c>
    </row>
    <row r="1649" ht="12.75" customHeight="1">
      <c r="A1649" s="3" t="s">
        <v>2852</v>
      </c>
      <c r="B1649" s="3" t="str">
        <f t="shared" si="1"/>
        <v>15, 25, KRABBY</v>
      </c>
      <c r="C1649" s="1" t="str">
        <f t="array" ref="C1649">IF(B1648="NEW ROUTE",TEXTSPLIT(B1649,","),"")</f>
        <v/>
      </c>
      <c r="H1649" s="1" t="str">
        <f t="shared" ref="H1649:I1649" si="1651">IF(C1649&lt;&gt;"",DEC2HEX(C1649,2),"")</f>
        <v/>
      </c>
      <c r="I1649" s="1" t="str">
        <f t="shared" si="1651"/>
        <v/>
      </c>
      <c r="J1649" s="1" t="str">
        <f t="shared" si="3"/>
        <v/>
      </c>
      <c r="L1649" s="1" t="s">
        <v>2852</v>
      </c>
      <c r="M1649" s="1" t="str">
        <f t="shared" si="4"/>
        <v>15, 25, KRABBY</v>
      </c>
    </row>
    <row r="1650" ht="12.75" customHeight="1">
      <c r="A1650" s="3" t="s">
        <v>3259</v>
      </c>
      <c r="B1650" s="3" t="str">
        <f t="shared" si="1"/>
        <v>15, 25, REMORAID</v>
      </c>
      <c r="C1650" s="1" t="str">
        <f t="array" ref="C1650">IF(B1649="NEW ROUTE",TEXTSPLIT(B1650,","),"")</f>
        <v/>
      </c>
      <c r="H1650" s="1" t="str">
        <f t="shared" ref="H1650:I1650" si="1652">IF(C1650&lt;&gt;"",DEC2HEX(C1650,2),"")</f>
        <v/>
      </c>
      <c r="I1650" s="1" t="str">
        <f t="shared" si="1652"/>
        <v/>
      </c>
      <c r="J1650" s="1" t="str">
        <f t="shared" si="3"/>
        <v/>
      </c>
      <c r="L1650" s="1" t="s">
        <v>3259</v>
      </c>
      <c r="M1650" s="1" t="str">
        <f t="shared" si="4"/>
        <v>15, 25, REMORAID</v>
      </c>
    </row>
    <row r="1651" ht="12.75" customHeight="1">
      <c r="A1651" s="3" t="s">
        <v>2854</v>
      </c>
      <c r="B1651" s="3" t="str">
        <f t="shared" si="1"/>
        <v>15, 25, GYARADOS</v>
      </c>
      <c r="C1651" s="1" t="str">
        <f t="array" ref="C1651">IF(B1650="NEW ROUTE",TEXTSPLIT(B1651,","),"")</f>
        <v/>
      </c>
      <c r="H1651" s="1" t="str">
        <f t="shared" ref="H1651:I1651" si="1653">IF(C1651&lt;&gt;"",DEC2HEX(C1651,2),"")</f>
        <v/>
      </c>
      <c r="I1651" s="1" t="str">
        <f t="shared" si="1653"/>
        <v/>
      </c>
      <c r="J1651" s="1" t="str">
        <f t="shared" si="3"/>
        <v/>
      </c>
      <c r="L1651" s="1" t="s">
        <v>2854</v>
      </c>
      <c r="M1651" s="1" t="str">
        <f t="shared" si="4"/>
        <v>15, 25, GYARADOS</v>
      </c>
    </row>
    <row r="1652" ht="12.75" customHeight="1">
      <c r="A1652" s="3" t="s">
        <v>3178</v>
      </c>
      <c r="B1652" s="3" t="str">
        <f t="shared" si="1"/>
        <v>25, 35, KINGLER</v>
      </c>
      <c r="C1652" s="1" t="str">
        <f t="array" ref="C1652">IF(B1651="NEW ROUTE",TEXTSPLIT(B1652,","),"")</f>
        <v/>
      </c>
      <c r="H1652" s="1" t="str">
        <f t="shared" ref="H1652:I1652" si="1654">IF(C1652&lt;&gt;"",DEC2HEX(C1652,2),"")</f>
        <v/>
      </c>
      <c r="I1652" s="1" t="str">
        <f t="shared" si="1654"/>
        <v/>
      </c>
      <c r="J1652" s="1" t="str">
        <f t="shared" si="3"/>
        <v/>
      </c>
      <c r="L1652" s="1" t="s">
        <v>3178</v>
      </c>
      <c r="M1652" s="1" t="str">
        <f t="shared" si="4"/>
        <v>25, 35, KINGLER</v>
      </c>
    </row>
    <row r="1653" ht="12.75" customHeight="1">
      <c r="A1653" s="3" t="s">
        <v>2856</v>
      </c>
      <c r="B1653" s="3" t="str">
        <f t="shared" si="1"/>
        <v>25, 35, SLOWPOKE</v>
      </c>
      <c r="C1653" s="1" t="str">
        <f t="array" ref="C1653">IF(B1652="NEW ROUTE",TEXTSPLIT(B1653,","),"")</f>
        <v/>
      </c>
      <c r="H1653" s="1" t="str">
        <f t="shared" ref="H1653:I1653" si="1655">IF(C1653&lt;&gt;"",DEC2HEX(C1653,2),"")</f>
        <v/>
      </c>
      <c r="I1653" s="1" t="str">
        <f t="shared" si="1655"/>
        <v/>
      </c>
      <c r="J1653" s="1" t="str">
        <f t="shared" si="3"/>
        <v/>
      </c>
      <c r="L1653" s="1" t="s">
        <v>2856</v>
      </c>
      <c r="M1653" s="1" t="str">
        <f t="shared" si="4"/>
        <v>25, 35, SLOWPOKE</v>
      </c>
    </row>
    <row r="1654" ht="12.75" customHeight="1">
      <c r="A1654" s="3" t="s">
        <v>2539</v>
      </c>
      <c r="B1654" s="3" t="str">
        <f t="shared" si="1"/>
        <v>NEW ROUTE</v>
      </c>
      <c r="C1654" s="1" t="str">
        <f t="array" ref="C1654">IF(B1653="NEW ROUTE",TEXTSPLIT(B1654,","),"")</f>
        <v/>
      </c>
      <c r="H1654" s="1" t="str">
        <f t="shared" ref="H1654:I1654" si="1656">IF(C1654&lt;&gt;"",DEC2HEX(C1654,2),"")</f>
        <v/>
      </c>
      <c r="I1654" s="1" t="str">
        <f t="shared" si="1656"/>
        <v/>
      </c>
      <c r="J1654" s="1" t="str">
        <f t="shared" si="3"/>
        <v/>
      </c>
      <c r="L1654" s="1" t="s">
        <v>2539</v>
      </c>
      <c r="M1654" s="1" t="str">
        <f t="shared" si="4"/>
        <v>NEW ROUTE</v>
      </c>
    </row>
    <row r="1655" ht="12.75" customHeight="1">
      <c r="A1655" s="3" t="s">
        <v>3261</v>
      </c>
      <c r="B1655" s="3" t="str">
        <f t="shared" si="1"/>
        <v>3, 56, 0,</v>
      </c>
      <c r="C1655" s="1" t="str">
        <f t="array" ref="C1655">IF(B1654="NEW ROUTE",TEXTSPLIT(B1655,","),"")</f>
        <v>#NAME?</v>
      </c>
      <c r="H1655" s="1" t="str">
        <f t="shared" ref="H1655:I1655" si="1657">IF(C1655&lt;&gt;"",DEC2HEX(C1655,2),"")</f>
        <v>#NAME?</v>
      </c>
      <c r="I1655" s="1" t="str">
        <f t="shared" si="1657"/>
        <v/>
      </c>
      <c r="J1655" s="1" t="str">
        <f t="shared" si="3"/>
        <v>#NAME?</v>
      </c>
      <c r="L1655" s="1" t="s">
        <v>3261</v>
      </c>
      <c r="M1655" s="1" t="str">
        <f t="shared" si="4"/>
        <v>#NAME?</v>
      </c>
    </row>
    <row r="1656" ht="12.75" customHeight="1">
      <c r="A1656" s="3" t="s">
        <v>2909</v>
      </c>
      <c r="B1656" s="3" t="str">
        <f t="shared" si="1"/>
        <v>20%</v>
      </c>
      <c r="C1656" s="1" t="str">
        <f t="array" ref="C1656">IF(B1655="NEW ROUTE",TEXTSPLIT(B1656,","),"")</f>
        <v/>
      </c>
      <c r="H1656" s="1" t="str">
        <f t="shared" ref="H1656:I1656" si="1658">IF(C1656&lt;&gt;"",DEC2HEX(C1656,2),"")</f>
        <v/>
      </c>
      <c r="I1656" s="1" t="str">
        <f t="shared" si="1658"/>
        <v/>
      </c>
      <c r="J1656" s="1" t="str">
        <f t="shared" si="3"/>
        <v/>
      </c>
      <c r="L1656" s="1" t="s">
        <v>2799</v>
      </c>
      <c r="M1656" s="1" t="str">
        <f t="shared" si="4"/>
        <v>20%</v>
      </c>
    </row>
    <row r="1657" ht="12.75" customHeight="1">
      <c r="A1657" s="3" t="s">
        <v>866</v>
      </c>
      <c r="B1657" s="3" t="str">
        <f t="shared" si="1"/>
        <v>44, 44, PIDGEY</v>
      </c>
      <c r="C1657" s="1" t="str">
        <f t="array" ref="C1657">IF(B1656="NEW ROUTE",TEXTSPLIT(B1657,","),"")</f>
        <v/>
      </c>
      <c r="H1657" s="1" t="str">
        <f t="shared" ref="H1657:I1657" si="1659">IF(C1657&lt;&gt;"",DEC2HEX(C1657,2),"")</f>
        <v/>
      </c>
      <c r="I1657" s="1" t="str">
        <f t="shared" si="1659"/>
        <v/>
      </c>
      <c r="J1657" s="1" t="str">
        <f t="shared" si="3"/>
        <v/>
      </c>
      <c r="L1657" s="1" t="s">
        <v>866</v>
      </c>
      <c r="M1657" s="1" t="str">
        <f t="shared" si="4"/>
        <v>44, 44, PIDGEY</v>
      </c>
    </row>
    <row r="1658" ht="12.75" customHeight="1">
      <c r="A1658" s="3" t="s">
        <v>3262</v>
      </c>
      <c r="B1658" s="3" t="str">
        <f t="shared" si="1"/>
        <v>10, 10, SENTRET</v>
      </c>
      <c r="C1658" s="1" t="str">
        <f t="array" ref="C1658">IF(B1657="NEW ROUTE",TEXTSPLIT(B1658,","),"")</f>
        <v/>
      </c>
      <c r="H1658" s="1" t="str">
        <f t="shared" ref="H1658:I1658" si="1660">IF(C1658&lt;&gt;"",DEC2HEX(C1658,2),"")</f>
        <v/>
      </c>
      <c r="I1658" s="1" t="str">
        <f t="shared" si="1660"/>
        <v/>
      </c>
      <c r="J1658" s="1" t="str">
        <f t="shared" si="3"/>
        <v/>
      </c>
      <c r="L1658" s="1" t="s">
        <v>3262</v>
      </c>
      <c r="M1658" s="1" t="str">
        <f t="shared" si="4"/>
        <v>10, 10, SENTRET</v>
      </c>
    </row>
    <row r="1659" ht="12.75" customHeight="1">
      <c r="A1659" s="3" t="s">
        <v>2802</v>
      </c>
      <c r="B1659" s="3" t="str">
        <f t="shared" si="1"/>
        <v>0.1</v>
      </c>
      <c r="C1659" s="1" t="str">
        <f t="array" ref="C1659">IF(B1658="NEW ROUTE",TEXTSPLIT(B1659,","),"")</f>
        <v/>
      </c>
      <c r="H1659" s="1" t="str">
        <f t="shared" ref="H1659:I1659" si="1661">IF(C1659&lt;&gt;"",DEC2HEX(C1659,2),"")</f>
        <v/>
      </c>
      <c r="I1659" s="1" t="str">
        <f t="shared" si="1661"/>
        <v/>
      </c>
      <c r="J1659" s="1" t="str">
        <f t="shared" si="3"/>
        <v/>
      </c>
      <c r="L1659" s="1" t="s">
        <v>2802</v>
      </c>
      <c r="M1659" s="1" t="str">
        <f t="shared" si="4"/>
        <v>0.1</v>
      </c>
    </row>
    <row r="1660" ht="12.75" customHeight="1">
      <c r="A1660" s="3" t="s">
        <v>3263</v>
      </c>
      <c r="B1660" s="3" t="str">
        <f t="shared" si="1"/>
        <v>48, 48, PIDGEOTTO</v>
      </c>
      <c r="C1660" s="1" t="str">
        <f t="array" ref="C1660">IF(B1659="NEW ROUTE",TEXTSPLIT(B1660,","),"")</f>
        <v/>
      </c>
      <c r="H1660" s="1" t="str">
        <f t="shared" ref="H1660:I1660" si="1662">IF(C1660&lt;&gt;"",DEC2HEX(C1660,2),"")</f>
        <v/>
      </c>
      <c r="I1660" s="1" t="str">
        <f t="shared" si="1662"/>
        <v/>
      </c>
      <c r="J1660" s="1" t="str">
        <f t="shared" si="3"/>
        <v/>
      </c>
      <c r="L1660" s="1" t="s">
        <v>3263</v>
      </c>
      <c r="M1660" s="1" t="str">
        <f t="shared" si="4"/>
        <v>48, 48, PIDGEOTTO</v>
      </c>
    </row>
    <row r="1661" ht="12.75" customHeight="1">
      <c r="A1661" s="3" t="s">
        <v>877</v>
      </c>
      <c r="B1661" s="3" t="str">
        <f t="shared" si="1"/>
        <v>10, 10, HOPPIP</v>
      </c>
      <c r="C1661" s="1" t="str">
        <f t="array" ref="C1661">IF(B1660="NEW ROUTE",TEXTSPLIT(B1661,","),"")</f>
        <v/>
      </c>
      <c r="H1661" s="1" t="str">
        <f t="shared" ref="H1661:I1661" si="1663">IF(C1661&lt;&gt;"",DEC2HEX(C1661,2),"")</f>
        <v/>
      </c>
      <c r="I1661" s="1" t="str">
        <f t="shared" si="1663"/>
        <v/>
      </c>
      <c r="J1661" s="1" t="str">
        <f t="shared" si="3"/>
        <v/>
      </c>
      <c r="L1661" s="1" t="s">
        <v>877</v>
      </c>
      <c r="M1661" s="1" t="str">
        <f t="shared" si="4"/>
        <v>10, 10, HOPPIP</v>
      </c>
    </row>
    <row r="1662" ht="12.75" customHeight="1">
      <c r="A1662" s="3" t="s">
        <v>3264</v>
      </c>
      <c r="B1662" s="3" t="str">
        <f t="shared" si="1"/>
        <v>15, 15, SENTRET</v>
      </c>
      <c r="C1662" s="1" t="str">
        <f t="array" ref="C1662">IF(B1661="NEW ROUTE",TEXTSPLIT(B1662,","),"")</f>
        <v/>
      </c>
      <c r="H1662" s="1" t="str">
        <f t="shared" ref="H1662:I1662" si="1664">IF(C1662&lt;&gt;"",DEC2HEX(C1662,2),"")</f>
        <v/>
      </c>
      <c r="I1662" s="1" t="str">
        <f t="shared" si="1664"/>
        <v/>
      </c>
      <c r="J1662" s="1" t="str">
        <f t="shared" si="3"/>
        <v/>
      </c>
      <c r="L1662" s="1" t="s">
        <v>3264</v>
      </c>
      <c r="M1662" s="1" t="str">
        <f t="shared" si="4"/>
        <v>15, 15, SENTRET</v>
      </c>
    </row>
    <row r="1663" ht="12.75" customHeight="1">
      <c r="A1663" s="3" t="s">
        <v>3265</v>
      </c>
      <c r="B1663" s="3" t="str">
        <f t="shared" si="1"/>
        <v>41, 41, MEOWTH</v>
      </c>
      <c r="C1663" s="1" t="str">
        <f t="array" ref="C1663">IF(B1662="NEW ROUTE",TEXTSPLIT(B1663,","),"")</f>
        <v/>
      </c>
      <c r="H1663" s="1" t="str">
        <f t="shared" ref="H1663:I1663" si="1665">IF(C1663&lt;&gt;"",DEC2HEX(C1663,2),"")</f>
        <v/>
      </c>
      <c r="I1663" s="1" t="str">
        <f t="shared" si="1665"/>
        <v/>
      </c>
      <c r="J1663" s="1" t="str">
        <f t="shared" si="3"/>
        <v/>
      </c>
      <c r="L1663" s="1" t="s">
        <v>3265</v>
      </c>
      <c r="M1663" s="1" t="str">
        <f t="shared" si="4"/>
        <v>41, 41, MEOWTH</v>
      </c>
    </row>
    <row r="1664" ht="12.75" customHeight="1">
      <c r="A1664" s="3" t="s">
        <v>2807</v>
      </c>
      <c r="B1664" s="3" t="str">
        <f t="shared" si="1"/>
        <v>0.05</v>
      </c>
      <c r="C1664" s="1" t="str">
        <f t="array" ref="C1664">IF(B1663="NEW ROUTE",TEXTSPLIT(B1664,","),"")</f>
        <v/>
      </c>
      <c r="H1664" s="1" t="str">
        <f t="shared" ref="H1664:I1664" si="1666">IF(C1664&lt;&gt;"",DEC2HEX(C1664,2),"")</f>
        <v/>
      </c>
      <c r="I1664" s="1" t="str">
        <f t="shared" si="1666"/>
        <v/>
      </c>
      <c r="J1664" s="1" t="str">
        <f t="shared" si="3"/>
        <v/>
      </c>
      <c r="L1664" s="1" t="s">
        <v>2807</v>
      </c>
      <c r="M1664" s="1" t="str">
        <f t="shared" si="4"/>
        <v>0.05</v>
      </c>
    </row>
    <row r="1665" ht="12.75" customHeight="1">
      <c r="A1665" s="3" t="s">
        <v>3266</v>
      </c>
      <c r="B1665" s="3" t="str">
        <f t="shared" si="1"/>
        <v>15, 15, HOPPIP</v>
      </c>
      <c r="C1665" s="1" t="str">
        <f t="array" ref="C1665">IF(B1664="NEW ROUTE",TEXTSPLIT(B1665,","),"")</f>
        <v/>
      </c>
      <c r="H1665" s="1" t="str">
        <f t="shared" ref="H1665:I1665" si="1667">IF(C1665&lt;&gt;"",DEC2HEX(C1665,2),"")</f>
        <v/>
      </c>
      <c r="I1665" s="1" t="str">
        <f t="shared" si="1667"/>
        <v/>
      </c>
      <c r="J1665" s="1" t="str">
        <f t="shared" si="3"/>
        <v/>
      </c>
      <c r="L1665" s="1" t="s">
        <v>3266</v>
      </c>
      <c r="M1665" s="1" t="str">
        <f t="shared" si="4"/>
        <v>15, 15, HOPPIP</v>
      </c>
    </row>
    <row r="1666" ht="12.75" customHeight="1">
      <c r="A1666" s="3" t="s">
        <v>3155</v>
      </c>
      <c r="B1666" s="3" t="str">
        <f t="shared" si="1"/>
        <v>41, 41, SLOWPOKE</v>
      </c>
      <c r="C1666" s="1" t="str">
        <f t="array" ref="C1666">IF(B1665="NEW ROUTE",TEXTSPLIT(B1666,","),"")</f>
        <v/>
      </c>
      <c r="H1666" s="1" t="str">
        <f t="shared" ref="H1666:I1666" si="1668">IF(C1666&lt;&gt;"",DEC2HEX(C1666,2),"")</f>
        <v/>
      </c>
      <c r="I1666" s="1" t="str">
        <f t="shared" si="1668"/>
        <v/>
      </c>
      <c r="J1666" s="1" t="str">
        <f t="shared" si="3"/>
        <v/>
      </c>
      <c r="L1666" s="1" t="s">
        <v>3155</v>
      </c>
      <c r="M1666" s="1" t="str">
        <f t="shared" si="4"/>
        <v>41, 41, SLOWPOKE</v>
      </c>
    </row>
    <row r="1667" ht="12.75" customHeight="1">
      <c r="A1667" s="3" t="s">
        <v>2810</v>
      </c>
      <c r="B1667" s="3" t="str">
        <f t="shared" si="1"/>
        <v>0.04</v>
      </c>
      <c r="C1667" s="1" t="str">
        <f t="array" ref="C1667">IF(B1666="NEW ROUTE",TEXTSPLIT(B1667,","),"")</f>
        <v/>
      </c>
      <c r="H1667" s="1" t="str">
        <f t="shared" ref="H1667:I1667" si="1669">IF(C1667&lt;&gt;"",DEC2HEX(C1667,2),"")</f>
        <v/>
      </c>
      <c r="I1667" s="1" t="str">
        <f t="shared" si="1669"/>
        <v/>
      </c>
      <c r="J1667" s="1" t="str">
        <f t="shared" si="3"/>
        <v/>
      </c>
      <c r="L1667" s="1" t="s">
        <v>2810</v>
      </c>
      <c r="M1667" s="1" t="str">
        <f t="shared" si="4"/>
        <v>0.04</v>
      </c>
    </row>
    <row r="1668" ht="12.75" customHeight="1">
      <c r="A1668" s="3" t="s">
        <v>3267</v>
      </c>
      <c r="B1668" s="3" t="str">
        <f t="shared" si="1"/>
        <v>50, 50, PIDGEOTTO</v>
      </c>
      <c r="C1668" s="1" t="str">
        <f t="array" ref="C1668">IF(B1667="NEW ROUTE",TEXTSPLIT(B1668,","),"")</f>
        <v/>
      </c>
      <c r="H1668" s="1" t="str">
        <f t="shared" ref="H1668:I1668" si="1670">IF(C1668&lt;&gt;"",DEC2HEX(C1668,2),"")</f>
        <v/>
      </c>
      <c r="I1668" s="1" t="str">
        <f t="shared" si="1670"/>
        <v/>
      </c>
      <c r="J1668" s="1" t="str">
        <f t="shared" si="3"/>
        <v/>
      </c>
      <c r="L1668" s="1" t="s">
        <v>3267</v>
      </c>
      <c r="M1668" s="1" t="str">
        <f t="shared" si="4"/>
        <v>50, 50, PIDGEOTTO</v>
      </c>
    </row>
    <row r="1669" ht="12.75" customHeight="1">
      <c r="A1669" s="3" t="s">
        <v>3268</v>
      </c>
      <c r="B1669" s="3" t="str">
        <f t="shared" si="1"/>
        <v>47, 47, PERSIAN</v>
      </c>
      <c r="C1669" s="1" t="str">
        <f t="array" ref="C1669">IF(B1668="NEW ROUTE",TEXTSPLIT(B1669,","),"")</f>
        <v/>
      </c>
      <c r="H1669" s="1" t="str">
        <f t="shared" ref="H1669:I1669" si="1671">IF(C1669&lt;&gt;"",DEC2HEX(C1669,2),"")</f>
        <v/>
      </c>
      <c r="I1669" s="1" t="str">
        <f t="shared" si="1671"/>
        <v/>
      </c>
      <c r="J1669" s="1" t="str">
        <f t="shared" si="3"/>
        <v/>
      </c>
      <c r="L1669" s="1" t="s">
        <v>3268</v>
      </c>
      <c r="M1669" s="1" t="str">
        <f t="shared" si="4"/>
        <v>47, 47, PERSIAN</v>
      </c>
    </row>
    <row r="1670" ht="12.75" customHeight="1">
      <c r="A1670" s="3" t="s">
        <v>2813</v>
      </c>
      <c r="B1670" s="3" t="str">
        <f t="shared" si="1"/>
        <v>0.01</v>
      </c>
      <c r="C1670" s="1" t="str">
        <f t="array" ref="C1670">IF(B1669="NEW ROUTE",TEXTSPLIT(B1670,","),"")</f>
        <v/>
      </c>
      <c r="H1670" s="1" t="str">
        <f t="shared" ref="H1670:I1670" si="1672">IF(C1670&lt;&gt;"",DEC2HEX(C1670,2),"")</f>
        <v/>
      </c>
      <c r="I1670" s="1" t="str">
        <f t="shared" si="1672"/>
        <v/>
      </c>
      <c r="J1670" s="1" t="str">
        <f t="shared" si="3"/>
        <v/>
      </c>
      <c r="L1670" s="1" t="s">
        <v>2813</v>
      </c>
      <c r="M1670" s="1" t="str">
        <f t="shared" si="4"/>
        <v>0.01</v>
      </c>
    </row>
    <row r="1671" ht="12.75" customHeight="1">
      <c r="A1671" s="3" t="s">
        <v>3267</v>
      </c>
      <c r="B1671" s="3" t="str">
        <f t="shared" si="1"/>
        <v>50, 50, PIDGEOTTO</v>
      </c>
      <c r="C1671" s="1" t="str">
        <f t="array" ref="C1671">IF(B1670="NEW ROUTE",TEXTSPLIT(B1671,","),"")</f>
        <v/>
      </c>
      <c r="H1671" s="1" t="str">
        <f t="shared" ref="H1671:I1671" si="1673">IF(C1671&lt;&gt;"",DEC2HEX(C1671,2),"")</f>
        <v/>
      </c>
      <c r="I1671" s="1" t="str">
        <f t="shared" si="1673"/>
        <v/>
      </c>
      <c r="J1671" s="1" t="str">
        <f t="shared" si="3"/>
        <v/>
      </c>
      <c r="L1671" s="1" t="s">
        <v>3267</v>
      </c>
      <c r="M1671" s="1" t="str">
        <f t="shared" si="4"/>
        <v>50, 50, PIDGEOTTO</v>
      </c>
    </row>
    <row r="1672" ht="12.75" customHeight="1">
      <c r="A1672" s="3" t="s">
        <v>3269</v>
      </c>
      <c r="B1672" s="3" t="str">
        <f t="shared" si="1"/>
        <v>50, 50, PERSIAN</v>
      </c>
      <c r="C1672" s="1" t="str">
        <f t="array" ref="C1672">IF(B1671="NEW ROUTE",TEXTSPLIT(B1672,","),"")</f>
        <v/>
      </c>
      <c r="H1672" s="1" t="str">
        <f t="shared" ref="H1672:I1672" si="1674">IF(C1672&lt;&gt;"",DEC2HEX(C1672,2),"")</f>
        <v/>
      </c>
      <c r="I1672" s="1" t="str">
        <f t="shared" si="1674"/>
        <v/>
      </c>
      <c r="J1672" s="1" t="str">
        <f t="shared" si="3"/>
        <v/>
      </c>
      <c r="L1672" s="1" t="s">
        <v>3269</v>
      </c>
      <c r="M1672" s="1" t="str">
        <f t="shared" si="4"/>
        <v>50, 50, PERSIAN</v>
      </c>
    </row>
    <row r="1673" ht="12.75" customHeight="1">
      <c r="A1673" s="3" t="s">
        <v>3257</v>
      </c>
      <c r="B1673" s="3" t="str">
        <f t="shared" si="1"/>
        <v>2, 5, 35, TENTACOOL</v>
      </c>
      <c r="C1673" s="1" t="str">
        <f t="array" ref="C1673">IF(B1672="NEW ROUTE",TEXTSPLIT(B1673,","),"")</f>
        <v/>
      </c>
      <c r="H1673" s="1" t="str">
        <f t="shared" ref="H1673:I1673" si="1675">IF(C1673&lt;&gt;"",DEC2HEX(C1673,2),"")</f>
        <v/>
      </c>
      <c r="I1673" s="1" t="str">
        <f t="shared" si="1675"/>
        <v/>
      </c>
      <c r="J1673" s="1" t="str">
        <f t="shared" si="3"/>
        <v/>
      </c>
      <c r="L1673" s="1" t="s">
        <v>3257</v>
      </c>
      <c r="M1673" s="1" t="str">
        <f t="shared" si="4"/>
        <v>2, 5, 35, TENTACOOL</v>
      </c>
    </row>
    <row r="1674" ht="12.75" customHeight="1">
      <c r="A1674" s="3" t="s">
        <v>3258</v>
      </c>
      <c r="B1674" s="3" t="str">
        <f t="shared" si="1"/>
        <v>5, 15, HOPPIP</v>
      </c>
      <c r="C1674" s="1" t="str">
        <f t="array" ref="C1674">IF(B1673="NEW ROUTE",TEXTSPLIT(B1674,","),"")</f>
        <v/>
      </c>
      <c r="H1674" s="1" t="str">
        <f t="shared" ref="H1674:I1674" si="1676">IF(C1674&lt;&gt;"",DEC2HEX(C1674,2),"")</f>
        <v/>
      </c>
      <c r="I1674" s="1" t="str">
        <f t="shared" si="1676"/>
        <v/>
      </c>
      <c r="J1674" s="1" t="str">
        <f t="shared" si="3"/>
        <v/>
      </c>
      <c r="L1674" s="1" t="s">
        <v>3258</v>
      </c>
      <c r="M1674" s="1" t="str">
        <f t="shared" si="4"/>
        <v>5, 15, HOPPIP</v>
      </c>
    </row>
    <row r="1675" ht="12.75" customHeight="1">
      <c r="A1675" s="3" t="s">
        <v>2845</v>
      </c>
      <c r="B1675" s="3" t="str">
        <f t="shared" si="1"/>
        <v>35, 40, TENTACOOL</v>
      </c>
      <c r="C1675" s="1" t="str">
        <f t="array" ref="C1675">IF(B1674="NEW ROUTE",TEXTSPLIT(B1675,","),"")</f>
        <v/>
      </c>
      <c r="H1675" s="1" t="str">
        <f t="shared" ref="H1675:I1675" si="1677">IF(C1675&lt;&gt;"",DEC2HEX(C1675,2),"")</f>
        <v/>
      </c>
      <c r="I1675" s="1" t="str">
        <f t="shared" si="1677"/>
        <v/>
      </c>
      <c r="J1675" s="1" t="str">
        <f t="shared" si="3"/>
        <v/>
      </c>
      <c r="L1675" s="1" t="s">
        <v>2845</v>
      </c>
      <c r="M1675" s="1" t="str">
        <f t="shared" si="4"/>
        <v>35, 40, TENTACOOL</v>
      </c>
    </row>
    <row r="1676" ht="12.75" customHeight="1">
      <c r="A1676" s="3" t="s">
        <v>3232</v>
      </c>
      <c r="B1676" s="3" t="str">
        <f t="shared" si="1"/>
        <v>35, 40, TENTACRUEL</v>
      </c>
      <c r="C1676" s="1" t="str">
        <f t="array" ref="C1676">IF(B1675="NEW ROUTE",TEXTSPLIT(B1676,","),"")</f>
        <v/>
      </c>
      <c r="H1676" s="1" t="str">
        <f t="shared" ref="H1676:I1676" si="1678">IF(C1676&lt;&gt;"",DEC2HEX(C1676,2),"")</f>
        <v/>
      </c>
      <c r="I1676" s="1" t="str">
        <f t="shared" si="1678"/>
        <v/>
      </c>
      <c r="J1676" s="1" t="str">
        <f t="shared" si="3"/>
        <v/>
      </c>
      <c r="L1676" s="1" t="s">
        <v>3232</v>
      </c>
      <c r="M1676" s="1" t="str">
        <f t="shared" si="4"/>
        <v>35, 40, TENTACRUEL</v>
      </c>
    </row>
    <row r="1677" ht="12.75" customHeight="1">
      <c r="A1677" s="3" t="s">
        <v>3232</v>
      </c>
      <c r="B1677" s="3" t="str">
        <f t="shared" si="1"/>
        <v>35, 40, TENTACRUEL</v>
      </c>
      <c r="C1677" s="1" t="str">
        <f t="array" ref="C1677">IF(B1676="NEW ROUTE",TEXTSPLIT(B1677,","),"")</f>
        <v/>
      </c>
      <c r="H1677" s="1" t="str">
        <f t="shared" ref="H1677:I1677" si="1679">IF(C1677&lt;&gt;"",DEC2HEX(C1677,2),"")</f>
        <v/>
      </c>
      <c r="I1677" s="1" t="str">
        <f t="shared" si="1679"/>
        <v/>
      </c>
      <c r="J1677" s="1" t="str">
        <f t="shared" si="3"/>
        <v/>
      </c>
      <c r="L1677" s="1" t="s">
        <v>3232</v>
      </c>
      <c r="M1677" s="1" t="str">
        <f t="shared" si="4"/>
        <v>35, 40, TENTACRUEL</v>
      </c>
    </row>
    <row r="1678" ht="12.75" customHeight="1">
      <c r="A1678" s="3" t="s">
        <v>2926</v>
      </c>
      <c r="B1678" s="3" t="str">
        <f t="shared" si="1"/>
        <v>20, old rod:</v>
      </c>
      <c r="C1678" s="1" t="str">
        <f t="array" ref="C1678">IF(B1677="NEW ROUTE",TEXTSPLIT(B1678,","),"")</f>
        <v/>
      </c>
      <c r="H1678" s="1" t="str">
        <f t="shared" ref="H1678:I1678" si="1680">IF(C1678&lt;&gt;"",DEC2HEX(C1678,2),"")</f>
        <v/>
      </c>
      <c r="I1678" s="1" t="str">
        <f t="shared" si="1680"/>
        <v/>
      </c>
      <c r="J1678" s="1" t="str">
        <f t="shared" si="3"/>
        <v/>
      </c>
      <c r="L1678" s="1" t="s">
        <v>2926</v>
      </c>
      <c r="M1678" s="1" t="str">
        <f t="shared" si="4"/>
        <v>20, old rod:</v>
      </c>
    </row>
    <row r="1679" ht="12.75" customHeight="1">
      <c r="A1679" s="3" t="s">
        <v>417</v>
      </c>
      <c r="B1679" s="3" t="str">
        <f t="shared" si="1"/>
        <v>5, 5, MAGIKARP</v>
      </c>
      <c r="C1679" s="1" t="str">
        <f t="array" ref="C1679">IF(B1678="NEW ROUTE",TEXTSPLIT(B1679,","),"")</f>
        <v/>
      </c>
      <c r="H1679" s="1" t="str">
        <f t="shared" ref="H1679:I1679" si="1681">IF(C1679&lt;&gt;"",DEC2HEX(C1679,2),"")</f>
        <v/>
      </c>
      <c r="I1679" s="1" t="str">
        <f t="shared" si="1681"/>
        <v/>
      </c>
      <c r="J1679" s="1" t="str">
        <f t="shared" si="3"/>
        <v/>
      </c>
      <c r="L1679" s="1" t="s">
        <v>417</v>
      </c>
      <c r="M1679" s="1" t="str">
        <f t="shared" si="4"/>
        <v>5, 5, MAGIKARP</v>
      </c>
    </row>
    <row r="1680" ht="12.75" customHeight="1">
      <c r="A1680" s="3" t="s">
        <v>417</v>
      </c>
      <c r="B1680" s="3" t="str">
        <f t="shared" si="1"/>
        <v>5, 5, MAGIKARP</v>
      </c>
      <c r="C1680" s="1" t="str">
        <f t="array" ref="C1680">IF(B1679="NEW ROUTE",TEXTSPLIT(B1680,","),"")</f>
        <v/>
      </c>
      <c r="H1680" s="1" t="str">
        <f t="shared" ref="H1680:I1680" si="1682">IF(C1680&lt;&gt;"",DEC2HEX(C1680,2),"")</f>
        <v/>
      </c>
      <c r="I1680" s="1" t="str">
        <f t="shared" si="1682"/>
        <v/>
      </c>
      <c r="J1680" s="1" t="str">
        <f t="shared" si="3"/>
        <v/>
      </c>
      <c r="L1680" s="1" t="s">
        <v>417</v>
      </c>
      <c r="M1680" s="1" t="str">
        <f t="shared" si="4"/>
        <v>5, 5, MAGIKARP</v>
      </c>
    </row>
    <row r="1681" ht="12.75" customHeight="1">
      <c r="A1681" s="3" t="s">
        <v>2847</v>
      </c>
      <c r="B1681" s="3" t="str">
        <f t="shared" si="1"/>
        <v>good rod:</v>
      </c>
      <c r="C1681" s="1" t="str">
        <f t="array" ref="C1681">IF(B1680="NEW ROUTE",TEXTSPLIT(B1681,","),"")</f>
        <v/>
      </c>
      <c r="H1681" s="1" t="str">
        <f t="shared" ref="H1681:I1681" si="1683">IF(C1681&lt;&gt;"",DEC2HEX(C1681,2),"")</f>
        <v/>
      </c>
      <c r="I1681" s="1" t="str">
        <f t="shared" si="1683"/>
        <v/>
      </c>
      <c r="J1681" s="1" t="str">
        <f t="shared" si="3"/>
        <v/>
      </c>
      <c r="L1681" s="1" t="s">
        <v>2847</v>
      </c>
      <c r="M1681" s="1" t="str">
        <f t="shared" si="4"/>
        <v>good rod:</v>
      </c>
    </row>
    <row r="1682" ht="12.75" customHeight="1">
      <c r="A1682" s="3" t="s">
        <v>2848</v>
      </c>
      <c r="B1682" s="3" t="str">
        <f t="shared" si="1"/>
        <v>5, 15, KRABBY</v>
      </c>
      <c r="C1682" s="1" t="str">
        <f t="array" ref="C1682">IF(B1681="NEW ROUTE",TEXTSPLIT(B1682,","),"")</f>
        <v/>
      </c>
      <c r="H1682" s="1" t="str">
        <f t="shared" ref="H1682:I1682" si="1684">IF(C1682&lt;&gt;"",DEC2HEX(C1682,2),"")</f>
        <v/>
      </c>
      <c r="I1682" s="1" t="str">
        <f t="shared" si="1684"/>
        <v/>
      </c>
      <c r="J1682" s="1" t="str">
        <f t="shared" si="3"/>
        <v/>
      </c>
      <c r="L1682" s="1" t="s">
        <v>2848</v>
      </c>
      <c r="M1682" s="1" t="str">
        <f t="shared" si="4"/>
        <v>5, 15, KRABBY</v>
      </c>
    </row>
    <row r="1683" ht="12.75" customHeight="1">
      <c r="A1683" s="3" t="s">
        <v>2849</v>
      </c>
      <c r="B1683" s="3" t="str">
        <f t="shared" si="1"/>
        <v>5, 15, MAGIKARP</v>
      </c>
      <c r="C1683" s="1" t="str">
        <f t="array" ref="C1683">IF(B1682="NEW ROUTE",TEXTSPLIT(B1683,","),"")</f>
        <v/>
      </c>
      <c r="H1683" s="1" t="str">
        <f t="shared" ref="H1683:I1683" si="1685">IF(C1683&lt;&gt;"",DEC2HEX(C1683,2),"")</f>
        <v/>
      </c>
      <c r="I1683" s="1" t="str">
        <f t="shared" si="1685"/>
        <v/>
      </c>
      <c r="J1683" s="1" t="str">
        <f t="shared" si="3"/>
        <v/>
      </c>
      <c r="L1683" s="1" t="s">
        <v>2849</v>
      </c>
      <c r="M1683" s="1" t="str">
        <f t="shared" si="4"/>
        <v>5, 15, MAGIKARP</v>
      </c>
    </row>
    <row r="1684" ht="12.75" customHeight="1">
      <c r="A1684" s="3" t="s">
        <v>2848</v>
      </c>
      <c r="B1684" s="3" t="str">
        <f t="shared" si="1"/>
        <v>5, 15, KRABBY</v>
      </c>
      <c r="C1684" s="1" t="str">
        <f t="array" ref="C1684">IF(B1683="NEW ROUTE",TEXTSPLIT(B1684,","),"")</f>
        <v/>
      </c>
      <c r="H1684" s="1" t="str">
        <f t="shared" ref="H1684:I1684" si="1686">IF(C1684&lt;&gt;"",DEC2HEX(C1684,2),"")</f>
        <v/>
      </c>
      <c r="I1684" s="1" t="str">
        <f t="shared" si="1686"/>
        <v/>
      </c>
      <c r="J1684" s="1" t="str">
        <f t="shared" si="3"/>
        <v/>
      </c>
      <c r="L1684" s="1" t="s">
        <v>2848</v>
      </c>
      <c r="M1684" s="1" t="str">
        <f t="shared" si="4"/>
        <v>5, 15, KRABBY</v>
      </c>
    </row>
    <row r="1685" ht="12.75" customHeight="1">
      <c r="A1685" s="3" t="s">
        <v>2851</v>
      </c>
      <c r="B1685" s="3" t="str">
        <f t="shared" si="1"/>
        <v>super rod:</v>
      </c>
      <c r="C1685" s="1" t="str">
        <f t="array" ref="C1685">IF(B1684="NEW ROUTE",TEXTSPLIT(B1685,","),"")</f>
        <v/>
      </c>
      <c r="H1685" s="1" t="str">
        <f t="shared" ref="H1685:I1685" si="1687">IF(C1685&lt;&gt;"",DEC2HEX(C1685,2),"")</f>
        <v/>
      </c>
      <c r="I1685" s="1" t="str">
        <f t="shared" si="1687"/>
        <v/>
      </c>
      <c r="J1685" s="1" t="str">
        <f t="shared" si="3"/>
        <v/>
      </c>
      <c r="L1685" s="1" t="s">
        <v>2851</v>
      </c>
      <c r="M1685" s="1" t="str">
        <f t="shared" si="4"/>
        <v>super rod:</v>
      </c>
    </row>
    <row r="1686" ht="12.75" customHeight="1">
      <c r="A1686" s="3" t="s">
        <v>2852</v>
      </c>
      <c r="B1686" s="3" t="str">
        <f t="shared" si="1"/>
        <v>15, 25, KRABBY</v>
      </c>
      <c r="C1686" s="1" t="str">
        <f t="array" ref="C1686">IF(B1685="NEW ROUTE",TEXTSPLIT(B1686,","),"")</f>
        <v/>
      </c>
      <c r="H1686" s="1" t="str">
        <f t="shared" ref="H1686:I1686" si="1688">IF(C1686&lt;&gt;"",DEC2HEX(C1686,2),"")</f>
        <v/>
      </c>
      <c r="I1686" s="1" t="str">
        <f t="shared" si="1688"/>
        <v/>
      </c>
      <c r="J1686" s="1" t="str">
        <f t="shared" si="3"/>
        <v/>
      </c>
      <c r="L1686" s="1" t="s">
        <v>2852</v>
      </c>
      <c r="M1686" s="1" t="str">
        <f t="shared" si="4"/>
        <v>15, 25, KRABBY</v>
      </c>
    </row>
    <row r="1687" ht="12.75" customHeight="1">
      <c r="A1687" s="3" t="s">
        <v>3259</v>
      </c>
      <c r="B1687" s="3" t="str">
        <f t="shared" si="1"/>
        <v>15, 25, REMORAID</v>
      </c>
      <c r="C1687" s="1" t="str">
        <f t="array" ref="C1687">IF(B1686="NEW ROUTE",TEXTSPLIT(B1687,","),"")</f>
        <v/>
      </c>
      <c r="H1687" s="1" t="str">
        <f t="shared" ref="H1687:I1687" si="1689">IF(C1687&lt;&gt;"",DEC2HEX(C1687,2),"")</f>
        <v/>
      </c>
      <c r="I1687" s="1" t="str">
        <f t="shared" si="1689"/>
        <v/>
      </c>
      <c r="J1687" s="1" t="str">
        <f t="shared" si="3"/>
        <v/>
      </c>
      <c r="L1687" s="1" t="s">
        <v>3259</v>
      </c>
      <c r="M1687" s="1" t="str">
        <f t="shared" si="4"/>
        <v>15, 25, REMORAID</v>
      </c>
    </row>
    <row r="1688" ht="12.75" customHeight="1">
      <c r="A1688" s="3" t="s">
        <v>2854</v>
      </c>
      <c r="B1688" s="3" t="str">
        <f t="shared" si="1"/>
        <v>15, 25, GYARADOS</v>
      </c>
      <c r="C1688" s="1" t="str">
        <f t="array" ref="C1688">IF(B1687="NEW ROUTE",TEXTSPLIT(B1688,","),"")</f>
        <v/>
      </c>
      <c r="H1688" s="1" t="str">
        <f t="shared" ref="H1688:I1688" si="1690">IF(C1688&lt;&gt;"",DEC2HEX(C1688,2),"")</f>
        <v/>
      </c>
      <c r="I1688" s="1" t="str">
        <f t="shared" si="1690"/>
        <v/>
      </c>
      <c r="J1688" s="1" t="str">
        <f t="shared" si="3"/>
        <v/>
      </c>
      <c r="L1688" s="1" t="s">
        <v>2854</v>
      </c>
      <c r="M1688" s="1" t="str">
        <f t="shared" si="4"/>
        <v>15, 25, GYARADOS</v>
      </c>
    </row>
    <row r="1689" ht="12.75" customHeight="1">
      <c r="A1689" s="3" t="s">
        <v>3178</v>
      </c>
      <c r="B1689" s="3" t="str">
        <f t="shared" si="1"/>
        <v>25, 35, KINGLER</v>
      </c>
      <c r="C1689" s="1" t="str">
        <f t="array" ref="C1689">IF(B1688="NEW ROUTE",TEXTSPLIT(B1689,","),"")</f>
        <v/>
      </c>
      <c r="H1689" s="1" t="str">
        <f t="shared" ref="H1689:I1689" si="1691">IF(C1689&lt;&gt;"",DEC2HEX(C1689,2),"")</f>
        <v/>
      </c>
      <c r="I1689" s="1" t="str">
        <f t="shared" si="1691"/>
        <v/>
      </c>
      <c r="J1689" s="1" t="str">
        <f t="shared" si="3"/>
        <v/>
      </c>
      <c r="L1689" s="1" t="s">
        <v>3178</v>
      </c>
      <c r="M1689" s="1" t="str">
        <f t="shared" si="4"/>
        <v>25, 35, KINGLER</v>
      </c>
    </row>
    <row r="1690" ht="12.75" customHeight="1">
      <c r="A1690" s="3" t="s">
        <v>2856</v>
      </c>
      <c r="B1690" s="3" t="str">
        <f t="shared" si="1"/>
        <v>25, 35, SLOWPOKE</v>
      </c>
      <c r="C1690" s="1" t="str">
        <f t="array" ref="C1690">IF(B1689="NEW ROUTE",TEXTSPLIT(B1690,","),"")</f>
        <v/>
      </c>
      <c r="H1690" s="1" t="str">
        <f t="shared" ref="H1690:I1690" si="1692">IF(C1690&lt;&gt;"",DEC2HEX(C1690,2),"")</f>
        <v/>
      </c>
      <c r="I1690" s="1" t="str">
        <f t="shared" si="1692"/>
        <v/>
      </c>
      <c r="J1690" s="1" t="str">
        <f t="shared" si="3"/>
        <v/>
      </c>
      <c r="L1690" s="1" t="s">
        <v>2856</v>
      </c>
      <c r="M1690" s="1" t="str">
        <f t="shared" si="4"/>
        <v>25, 35, SLOWPOKE</v>
      </c>
    </row>
    <row r="1691" ht="12.75" customHeight="1">
      <c r="A1691" s="3" t="s">
        <v>2539</v>
      </c>
      <c r="B1691" s="3" t="str">
        <f t="shared" si="1"/>
        <v>NEW ROUTE</v>
      </c>
      <c r="C1691" s="1" t="str">
        <f t="array" ref="C1691">IF(B1690="NEW ROUTE",TEXTSPLIT(B1691,","),"")</f>
        <v/>
      </c>
      <c r="H1691" s="1" t="str">
        <f t="shared" ref="H1691:I1691" si="1693">IF(C1691&lt;&gt;"",DEC2HEX(C1691,2),"")</f>
        <v/>
      </c>
      <c r="I1691" s="1" t="str">
        <f t="shared" si="1693"/>
        <v/>
      </c>
      <c r="J1691" s="1" t="str">
        <f t="shared" si="3"/>
        <v/>
      </c>
      <c r="L1691" s="1" t="s">
        <v>2539</v>
      </c>
      <c r="M1691" s="1" t="str">
        <f t="shared" si="4"/>
        <v>NEW ROUTE</v>
      </c>
    </row>
    <row r="1692" ht="12.75" customHeight="1">
      <c r="A1692" s="3" t="s">
        <v>3270</v>
      </c>
      <c r="B1692" s="3" t="str">
        <f t="shared" si="1"/>
        <v>3, 57, 0,</v>
      </c>
      <c r="C1692" s="1" t="str">
        <f t="array" ref="C1692">IF(B1691="NEW ROUTE",TEXTSPLIT(B1692,","),"")</f>
        <v>#NAME?</v>
      </c>
      <c r="H1692" s="1" t="str">
        <f t="shared" ref="H1692:I1692" si="1694">IF(C1692&lt;&gt;"",DEC2HEX(C1692,2),"")</f>
        <v>#NAME?</v>
      </c>
      <c r="I1692" s="1" t="str">
        <f t="shared" si="1694"/>
        <v/>
      </c>
      <c r="J1692" s="1" t="str">
        <f t="shared" si="3"/>
        <v>#NAME?</v>
      </c>
      <c r="L1692" s="1" t="s">
        <v>3270</v>
      </c>
      <c r="M1692" s="1" t="str">
        <f t="shared" si="4"/>
        <v>#NAME?</v>
      </c>
    </row>
    <row r="1693" ht="12.75" customHeight="1">
      <c r="A1693" s="3" t="s">
        <v>2909</v>
      </c>
      <c r="B1693" s="3" t="str">
        <f t="shared" si="1"/>
        <v>20%</v>
      </c>
      <c r="C1693" s="1" t="str">
        <f t="array" ref="C1693">IF(B1692="NEW ROUTE",TEXTSPLIT(B1693,","),"")</f>
        <v/>
      </c>
      <c r="H1693" s="1" t="str">
        <f t="shared" ref="H1693:I1693" si="1695">IF(C1693&lt;&gt;"",DEC2HEX(C1693,2),"")</f>
        <v/>
      </c>
      <c r="I1693" s="1" t="str">
        <f t="shared" si="1695"/>
        <v/>
      </c>
      <c r="J1693" s="1" t="str">
        <f t="shared" si="3"/>
        <v/>
      </c>
      <c r="L1693" s="1" t="s">
        <v>2799</v>
      </c>
      <c r="M1693" s="1" t="str">
        <f t="shared" si="4"/>
        <v>20%</v>
      </c>
    </row>
    <row r="1694" ht="12.75" customHeight="1">
      <c r="A1694" s="3" t="s">
        <v>877</v>
      </c>
      <c r="B1694" s="3" t="str">
        <f t="shared" si="1"/>
        <v>10, 10, HOPPIP</v>
      </c>
      <c r="C1694" s="1" t="str">
        <f t="array" ref="C1694">IF(B1693="NEW ROUTE",TEXTSPLIT(B1694,","),"")</f>
        <v/>
      </c>
      <c r="H1694" s="1" t="str">
        <f t="shared" ref="H1694:I1694" si="1696">IF(C1694&lt;&gt;"",DEC2HEX(C1694,2),"")</f>
        <v/>
      </c>
      <c r="I1694" s="1" t="str">
        <f t="shared" si="1696"/>
        <v/>
      </c>
      <c r="J1694" s="1" t="str">
        <f t="shared" si="3"/>
        <v/>
      </c>
      <c r="L1694" s="1" t="s">
        <v>877</v>
      </c>
      <c r="M1694" s="1" t="str">
        <f t="shared" si="4"/>
        <v>10, 10, HOPPIP</v>
      </c>
    </row>
    <row r="1695" ht="12.75" customHeight="1">
      <c r="A1695" s="3" t="s">
        <v>3271</v>
      </c>
      <c r="B1695" s="3" t="str">
        <f t="shared" si="1"/>
        <v>12, 12, HOPPIP</v>
      </c>
      <c r="C1695" s="1" t="str">
        <f t="array" ref="C1695">IF(B1694="NEW ROUTE",TEXTSPLIT(B1695,","),"")</f>
        <v/>
      </c>
      <c r="H1695" s="1" t="str">
        <f t="shared" ref="H1695:I1695" si="1697">IF(C1695&lt;&gt;"",DEC2HEX(C1695,2),"")</f>
        <v/>
      </c>
      <c r="I1695" s="1" t="str">
        <f t="shared" si="1697"/>
        <v/>
      </c>
      <c r="J1695" s="1" t="str">
        <f t="shared" si="3"/>
        <v/>
      </c>
      <c r="L1695" s="1" t="s">
        <v>3271</v>
      </c>
      <c r="M1695" s="1" t="str">
        <f t="shared" si="4"/>
        <v>12, 12, HOPPIP</v>
      </c>
    </row>
    <row r="1696" ht="12.75" customHeight="1">
      <c r="A1696" s="3" t="s">
        <v>2802</v>
      </c>
      <c r="B1696" s="3" t="str">
        <f t="shared" si="1"/>
        <v>0.1</v>
      </c>
      <c r="C1696" s="1" t="str">
        <f t="array" ref="C1696">IF(B1695="NEW ROUTE",TEXTSPLIT(B1696,","),"")</f>
        <v/>
      </c>
      <c r="H1696" s="1" t="str">
        <f t="shared" ref="H1696:I1696" si="1698">IF(C1696&lt;&gt;"",DEC2HEX(C1696,2),"")</f>
        <v/>
      </c>
      <c r="I1696" s="1" t="str">
        <f t="shared" si="1698"/>
        <v/>
      </c>
      <c r="J1696" s="1" t="str">
        <f t="shared" si="3"/>
        <v/>
      </c>
      <c r="L1696" s="1" t="s">
        <v>2802</v>
      </c>
      <c r="M1696" s="1" t="str">
        <f t="shared" si="4"/>
        <v>0.1</v>
      </c>
    </row>
    <row r="1697" ht="12.75" customHeight="1">
      <c r="A1697" s="3" t="s">
        <v>3272</v>
      </c>
      <c r="B1697" s="3" t="str">
        <f t="shared" si="1"/>
        <v>8, 8, HOPPIP</v>
      </c>
      <c r="C1697" s="1" t="str">
        <f t="array" ref="C1697">IF(B1696="NEW ROUTE",TEXTSPLIT(B1697,","),"")</f>
        <v/>
      </c>
      <c r="H1697" s="1" t="str">
        <f t="shared" ref="H1697:I1697" si="1699">IF(C1697&lt;&gt;"",DEC2HEX(C1697,2),"")</f>
        <v/>
      </c>
      <c r="I1697" s="1" t="str">
        <f t="shared" si="1699"/>
        <v/>
      </c>
      <c r="J1697" s="1" t="str">
        <f t="shared" si="3"/>
        <v/>
      </c>
      <c r="L1697" s="1" t="s">
        <v>3272</v>
      </c>
      <c r="M1697" s="1" t="str">
        <f t="shared" si="4"/>
        <v>8, 8, HOPPIP</v>
      </c>
    </row>
    <row r="1698" ht="12.75" customHeight="1">
      <c r="A1698" s="3" t="s">
        <v>3273</v>
      </c>
      <c r="B1698" s="3" t="str">
        <f t="shared" si="1"/>
        <v>14, 14, HOPPIP</v>
      </c>
      <c r="C1698" s="1" t="str">
        <f t="array" ref="C1698">IF(B1697="NEW ROUTE",TEXTSPLIT(B1698,","),"")</f>
        <v/>
      </c>
      <c r="H1698" s="1" t="str">
        <f t="shared" ref="H1698:I1698" si="1700">IF(C1698&lt;&gt;"",DEC2HEX(C1698,2),"")</f>
        <v/>
      </c>
      <c r="I1698" s="1" t="str">
        <f t="shared" si="1700"/>
        <v/>
      </c>
      <c r="J1698" s="1" t="str">
        <f t="shared" si="3"/>
        <v/>
      </c>
      <c r="L1698" s="1" t="s">
        <v>3273</v>
      </c>
      <c r="M1698" s="1" t="str">
        <f t="shared" si="4"/>
        <v>14, 14, HOPPIP</v>
      </c>
    </row>
    <row r="1699" ht="12.75" customHeight="1">
      <c r="A1699" s="3" t="s">
        <v>877</v>
      </c>
      <c r="B1699" s="3" t="str">
        <f t="shared" si="1"/>
        <v>10, 10, HOPPIP</v>
      </c>
      <c r="C1699" s="1" t="str">
        <f t="array" ref="C1699">IF(B1698="NEW ROUTE",TEXTSPLIT(B1699,","),"")</f>
        <v/>
      </c>
      <c r="H1699" s="1" t="str">
        <f t="shared" ref="H1699:I1699" si="1701">IF(C1699&lt;&gt;"",DEC2HEX(C1699,2),"")</f>
        <v/>
      </c>
      <c r="I1699" s="1" t="str">
        <f t="shared" si="1701"/>
        <v/>
      </c>
      <c r="J1699" s="1" t="str">
        <f t="shared" si="3"/>
        <v/>
      </c>
      <c r="L1699" s="1" t="s">
        <v>877</v>
      </c>
      <c r="M1699" s="1" t="str">
        <f t="shared" si="4"/>
        <v>10, 10, HOPPIP</v>
      </c>
    </row>
    <row r="1700" ht="12.75" customHeight="1">
      <c r="A1700" s="3" t="s">
        <v>3271</v>
      </c>
      <c r="B1700" s="3" t="str">
        <f t="shared" si="1"/>
        <v>12, 12, HOPPIP</v>
      </c>
      <c r="C1700" s="1" t="str">
        <f t="array" ref="C1700">IF(B1699="NEW ROUTE",TEXTSPLIT(B1700,","),"")</f>
        <v/>
      </c>
      <c r="H1700" s="1" t="str">
        <f t="shared" ref="H1700:I1700" si="1702">IF(C1700&lt;&gt;"",DEC2HEX(C1700,2),"")</f>
        <v/>
      </c>
      <c r="I1700" s="1" t="str">
        <f t="shared" si="1702"/>
        <v/>
      </c>
      <c r="J1700" s="1" t="str">
        <f t="shared" si="3"/>
        <v/>
      </c>
      <c r="L1700" s="1" t="s">
        <v>3271</v>
      </c>
      <c r="M1700" s="1" t="str">
        <f t="shared" si="4"/>
        <v>12, 12, HOPPIP</v>
      </c>
    </row>
    <row r="1701" ht="12.75" customHeight="1">
      <c r="A1701" s="3" t="s">
        <v>2807</v>
      </c>
      <c r="B1701" s="3" t="str">
        <f t="shared" si="1"/>
        <v>0.05</v>
      </c>
      <c r="C1701" s="1" t="str">
        <f t="array" ref="C1701">IF(B1700="NEW ROUTE",TEXTSPLIT(B1701,","),"")</f>
        <v/>
      </c>
      <c r="H1701" s="1" t="str">
        <f t="shared" ref="H1701:I1701" si="1703">IF(C1701&lt;&gt;"",DEC2HEX(C1701,2),"")</f>
        <v/>
      </c>
      <c r="I1701" s="1" t="str">
        <f t="shared" si="1703"/>
        <v/>
      </c>
      <c r="J1701" s="1" t="str">
        <f t="shared" si="3"/>
        <v/>
      </c>
      <c r="L1701" s="1" t="s">
        <v>2807</v>
      </c>
      <c r="M1701" s="1" t="str">
        <f t="shared" si="4"/>
        <v>0.05</v>
      </c>
    </row>
    <row r="1702" ht="12.75" customHeight="1">
      <c r="A1702" s="3" t="s">
        <v>3274</v>
      </c>
      <c r="B1702" s="3" t="str">
        <f t="shared" si="1"/>
        <v>16, 16, HOPPIP</v>
      </c>
      <c r="C1702" s="1" t="str">
        <f t="array" ref="C1702">IF(B1701="NEW ROUTE",TEXTSPLIT(B1702,","),"")</f>
        <v/>
      </c>
      <c r="H1702" s="1" t="str">
        <f t="shared" ref="H1702:I1702" si="1704">IF(C1702&lt;&gt;"",DEC2HEX(C1702,2),"")</f>
        <v/>
      </c>
      <c r="I1702" s="1" t="str">
        <f t="shared" si="1704"/>
        <v/>
      </c>
      <c r="J1702" s="1" t="str">
        <f t="shared" si="3"/>
        <v/>
      </c>
      <c r="L1702" s="1" t="s">
        <v>3274</v>
      </c>
      <c r="M1702" s="1" t="str">
        <f t="shared" si="4"/>
        <v>16, 16, HOPPIP</v>
      </c>
    </row>
    <row r="1703" ht="12.75" customHeight="1">
      <c r="A1703" s="3" t="s">
        <v>3275</v>
      </c>
      <c r="B1703" s="3" t="str">
        <f t="shared" si="1"/>
        <v>6, 6, HOPPIP</v>
      </c>
      <c r="C1703" s="1" t="str">
        <f t="array" ref="C1703">IF(B1702="NEW ROUTE",TEXTSPLIT(B1703,","),"")</f>
        <v/>
      </c>
      <c r="H1703" s="1" t="str">
        <f t="shared" ref="H1703:I1703" si="1705">IF(C1703&lt;&gt;"",DEC2HEX(C1703,2),"")</f>
        <v/>
      </c>
      <c r="I1703" s="1" t="str">
        <f t="shared" si="1705"/>
        <v/>
      </c>
      <c r="J1703" s="1" t="str">
        <f t="shared" si="3"/>
        <v/>
      </c>
      <c r="L1703" s="1" t="s">
        <v>3275</v>
      </c>
      <c r="M1703" s="1" t="str">
        <f t="shared" si="4"/>
        <v>6, 6, HOPPIP</v>
      </c>
    </row>
    <row r="1704" ht="12.75" customHeight="1">
      <c r="A1704" s="3" t="s">
        <v>2810</v>
      </c>
      <c r="B1704" s="3" t="str">
        <f t="shared" si="1"/>
        <v>0.04</v>
      </c>
      <c r="C1704" s="1" t="str">
        <f t="array" ref="C1704">IF(B1703="NEW ROUTE",TEXTSPLIT(B1704,","),"")</f>
        <v/>
      </c>
      <c r="H1704" s="1" t="str">
        <f t="shared" ref="H1704:I1704" si="1706">IF(C1704&lt;&gt;"",DEC2HEX(C1704,2),"")</f>
        <v/>
      </c>
      <c r="I1704" s="1" t="str">
        <f t="shared" si="1706"/>
        <v/>
      </c>
      <c r="J1704" s="1" t="str">
        <f t="shared" si="3"/>
        <v/>
      </c>
      <c r="L1704" s="1" t="s">
        <v>2810</v>
      </c>
      <c r="M1704" s="1" t="str">
        <f t="shared" si="4"/>
        <v>0.04</v>
      </c>
    </row>
    <row r="1705" ht="12.75" customHeight="1">
      <c r="A1705" s="3" t="s">
        <v>3272</v>
      </c>
      <c r="B1705" s="3" t="str">
        <f t="shared" si="1"/>
        <v>8, 8, HOPPIP</v>
      </c>
      <c r="C1705" s="1" t="str">
        <f t="array" ref="C1705">IF(B1704="NEW ROUTE",TEXTSPLIT(B1705,","),"")</f>
        <v/>
      </c>
      <c r="H1705" s="1" t="str">
        <f t="shared" ref="H1705:I1705" si="1707">IF(C1705&lt;&gt;"",DEC2HEX(C1705,2),"")</f>
        <v/>
      </c>
      <c r="I1705" s="1" t="str">
        <f t="shared" si="1707"/>
        <v/>
      </c>
      <c r="J1705" s="1" t="str">
        <f t="shared" si="3"/>
        <v/>
      </c>
      <c r="L1705" s="1" t="s">
        <v>3272</v>
      </c>
      <c r="M1705" s="1" t="str">
        <f t="shared" si="4"/>
        <v>8, 8, HOPPIP</v>
      </c>
    </row>
    <row r="1706" ht="12.75" customHeight="1">
      <c r="A1706" s="3" t="s">
        <v>3273</v>
      </c>
      <c r="B1706" s="3" t="str">
        <f t="shared" si="1"/>
        <v>14, 14, HOPPIP</v>
      </c>
      <c r="C1706" s="1" t="str">
        <f t="array" ref="C1706">IF(B1705="NEW ROUTE",TEXTSPLIT(B1706,","),"")</f>
        <v/>
      </c>
      <c r="H1706" s="1" t="str">
        <f t="shared" ref="H1706:I1706" si="1708">IF(C1706&lt;&gt;"",DEC2HEX(C1706,2),"")</f>
        <v/>
      </c>
      <c r="I1706" s="1" t="str">
        <f t="shared" si="1708"/>
        <v/>
      </c>
      <c r="J1706" s="1" t="str">
        <f t="shared" si="3"/>
        <v/>
      </c>
      <c r="L1706" s="1" t="s">
        <v>3273</v>
      </c>
      <c r="M1706" s="1" t="str">
        <f t="shared" si="4"/>
        <v>14, 14, HOPPIP</v>
      </c>
    </row>
    <row r="1707" ht="12.75" customHeight="1">
      <c r="A1707" s="3" t="s">
        <v>2813</v>
      </c>
      <c r="B1707" s="3" t="str">
        <f t="shared" si="1"/>
        <v>0.01</v>
      </c>
      <c r="C1707" s="1" t="str">
        <f t="array" ref="C1707">IF(B1706="NEW ROUTE",TEXTSPLIT(B1707,","),"")</f>
        <v/>
      </c>
      <c r="H1707" s="1" t="str">
        <f t="shared" ref="H1707:I1707" si="1709">IF(C1707&lt;&gt;"",DEC2HEX(C1707,2),"")</f>
        <v/>
      </c>
      <c r="I1707" s="1" t="str">
        <f t="shared" si="1709"/>
        <v/>
      </c>
      <c r="J1707" s="1" t="str">
        <f t="shared" si="3"/>
        <v/>
      </c>
      <c r="L1707" s="1" t="s">
        <v>2813</v>
      </c>
      <c r="M1707" s="1" t="str">
        <f t="shared" si="4"/>
        <v>0.01</v>
      </c>
    </row>
    <row r="1708" ht="12.75" customHeight="1">
      <c r="A1708" s="3" t="s">
        <v>3272</v>
      </c>
      <c r="B1708" s="3" t="str">
        <f t="shared" si="1"/>
        <v>8, 8, HOPPIP</v>
      </c>
      <c r="C1708" s="1" t="str">
        <f t="array" ref="C1708">IF(B1707="NEW ROUTE",TEXTSPLIT(B1708,","),"")</f>
        <v/>
      </c>
      <c r="H1708" s="1" t="str">
        <f t="shared" ref="H1708:I1708" si="1710">IF(C1708&lt;&gt;"",DEC2HEX(C1708,2),"")</f>
        <v/>
      </c>
      <c r="I1708" s="1" t="str">
        <f t="shared" si="1710"/>
        <v/>
      </c>
      <c r="J1708" s="1" t="str">
        <f t="shared" si="3"/>
        <v/>
      </c>
      <c r="L1708" s="1" t="s">
        <v>3272</v>
      </c>
      <c r="M1708" s="1" t="str">
        <f t="shared" si="4"/>
        <v>8, 8, HOPPIP</v>
      </c>
    </row>
    <row r="1709" ht="12.75" customHeight="1">
      <c r="A1709" s="3" t="s">
        <v>3273</v>
      </c>
      <c r="B1709" s="3" t="str">
        <f t="shared" si="1"/>
        <v>14, 14, HOPPIP</v>
      </c>
      <c r="C1709" s="1" t="str">
        <f t="array" ref="C1709">IF(B1708="NEW ROUTE",TEXTSPLIT(B1709,","),"")</f>
        <v/>
      </c>
      <c r="H1709" s="1" t="str">
        <f t="shared" ref="H1709:I1709" si="1711">IF(C1709&lt;&gt;"",DEC2HEX(C1709,2),"")</f>
        <v/>
      </c>
      <c r="I1709" s="1" t="str">
        <f t="shared" si="1711"/>
        <v/>
      </c>
      <c r="J1709" s="1" t="str">
        <f t="shared" si="3"/>
        <v/>
      </c>
      <c r="L1709" s="1" t="s">
        <v>3273</v>
      </c>
      <c r="M1709" s="1" t="str">
        <f t="shared" si="4"/>
        <v>14, 14, HOPPIP</v>
      </c>
    </row>
    <row r="1710" ht="12.75" customHeight="1">
      <c r="A1710" s="3" t="s">
        <v>3257</v>
      </c>
      <c r="B1710" s="3" t="str">
        <f t="shared" si="1"/>
        <v>2, 5, 35, TENTACOOL</v>
      </c>
      <c r="C1710" s="1" t="str">
        <f t="array" ref="C1710">IF(B1709="NEW ROUTE",TEXTSPLIT(B1710,","),"")</f>
        <v/>
      </c>
      <c r="H1710" s="1" t="str">
        <f t="shared" ref="H1710:I1710" si="1712">IF(C1710&lt;&gt;"",DEC2HEX(C1710,2),"")</f>
        <v/>
      </c>
      <c r="I1710" s="1" t="str">
        <f t="shared" si="1712"/>
        <v/>
      </c>
      <c r="J1710" s="1" t="str">
        <f t="shared" si="3"/>
        <v/>
      </c>
      <c r="L1710" s="1" t="s">
        <v>3257</v>
      </c>
      <c r="M1710" s="1" t="str">
        <f t="shared" si="4"/>
        <v>2, 5, 35, TENTACOOL</v>
      </c>
    </row>
    <row r="1711" ht="12.75" customHeight="1">
      <c r="A1711" s="3" t="s">
        <v>3258</v>
      </c>
      <c r="B1711" s="3" t="str">
        <f t="shared" si="1"/>
        <v>5, 15, HOPPIP</v>
      </c>
      <c r="C1711" s="1" t="str">
        <f t="array" ref="C1711">IF(B1710="NEW ROUTE",TEXTSPLIT(B1711,","),"")</f>
        <v/>
      </c>
      <c r="H1711" s="1" t="str">
        <f t="shared" ref="H1711:I1711" si="1713">IF(C1711&lt;&gt;"",DEC2HEX(C1711,2),"")</f>
        <v/>
      </c>
      <c r="I1711" s="1" t="str">
        <f t="shared" si="1713"/>
        <v/>
      </c>
      <c r="J1711" s="1" t="str">
        <f t="shared" si="3"/>
        <v/>
      </c>
      <c r="L1711" s="1" t="s">
        <v>3258</v>
      </c>
      <c r="M1711" s="1" t="str">
        <f t="shared" si="4"/>
        <v>5, 15, HOPPIP</v>
      </c>
    </row>
    <row r="1712" ht="12.75" customHeight="1">
      <c r="A1712" s="3" t="s">
        <v>2845</v>
      </c>
      <c r="B1712" s="3" t="str">
        <f t="shared" si="1"/>
        <v>35, 40, TENTACOOL</v>
      </c>
      <c r="C1712" s="1" t="str">
        <f t="array" ref="C1712">IF(B1711="NEW ROUTE",TEXTSPLIT(B1712,","),"")</f>
        <v/>
      </c>
      <c r="H1712" s="1" t="str">
        <f t="shared" ref="H1712:I1712" si="1714">IF(C1712&lt;&gt;"",DEC2HEX(C1712,2),"")</f>
        <v/>
      </c>
      <c r="I1712" s="1" t="str">
        <f t="shared" si="1714"/>
        <v/>
      </c>
      <c r="J1712" s="1" t="str">
        <f t="shared" si="3"/>
        <v/>
      </c>
      <c r="L1712" s="1" t="s">
        <v>2845</v>
      </c>
      <c r="M1712" s="1" t="str">
        <f t="shared" si="4"/>
        <v>35, 40, TENTACOOL</v>
      </c>
    </row>
    <row r="1713" ht="12.75" customHeight="1">
      <c r="A1713" s="3" t="s">
        <v>3232</v>
      </c>
      <c r="B1713" s="3" t="str">
        <f t="shared" si="1"/>
        <v>35, 40, TENTACRUEL</v>
      </c>
      <c r="C1713" s="1" t="str">
        <f t="array" ref="C1713">IF(B1712="NEW ROUTE",TEXTSPLIT(B1713,","),"")</f>
        <v/>
      </c>
      <c r="H1713" s="1" t="str">
        <f t="shared" ref="H1713:I1713" si="1715">IF(C1713&lt;&gt;"",DEC2HEX(C1713,2),"")</f>
        <v/>
      </c>
      <c r="I1713" s="1" t="str">
        <f t="shared" si="1715"/>
        <v/>
      </c>
      <c r="J1713" s="1" t="str">
        <f t="shared" si="3"/>
        <v/>
      </c>
      <c r="L1713" s="1" t="s">
        <v>3232</v>
      </c>
      <c r="M1713" s="1" t="str">
        <f t="shared" si="4"/>
        <v>35, 40, TENTACRUEL</v>
      </c>
    </row>
    <row r="1714" ht="12.75" customHeight="1">
      <c r="A1714" s="3" t="s">
        <v>3232</v>
      </c>
      <c r="B1714" s="3" t="str">
        <f t="shared" si="1"/>
        <v>35, 40, TENTACRUEL</v>
      </c>
      <c r="C1714" s="1" t="str">
        <f t="array" ref="C1714">IF(B1713="NEW ROUTE",TEXTSPLIT(B1714,","),"")</f>
        <v/>
      </c>
      <c r="H1714" s="1" t="str">
        <f t="shared" ref="H1714:I1714" si="1716">IF(C1714&lt;&gt;"",DEC2HEX(C1714,2),"")</f>
        <v/>
      </c>
      <c r="I1714" s="1" t="str">
        <f t="shared" si="1716"/>
        <v/>
      </c>
      <c r="J1714" s="1" t="str">
        <f t="shared" si="3"/>
        <v/>
      </c>
      <c r="L1714" s="1" t="s">
        <v>3232</v>
      </c>
      <c r="M1714" s="1" t="str">
        <f t="shared" si="4"/>
        <v>35, 40, TENTACRUEL</v>
      </c>
    </row>
    <row r="1715" ht="12.75" customHeight="1">
      <c r="A1715" s="3" t="s">
        <v>2926</v>
      </c>
      <c r="B1715" s="3" t="str">
        <f t="shared" si="1"/>
        <v>20, old rod:</v>
      </c>
      <c r="C1715" s="1" t="str">
        <f t="array" ref="C1715">IF(B1714="NEW ROUTE",TEXTSPLIT(B1715,","),"")</f>
        <v/>
      </c>
      <c r="H1715" s="1" t="str">
        <f t="shared" ref="H1715:I1715" si="1717">IF(C1715&lt;&gt;"",DEC2HEX(C1715,2),"")</f>
        <v/>
      </c>
      <c r="I1715" s="1" t="str">
        <f t="shared" si="1717"/>
        <v/>
      </c>
      <c r="J1715" s="1" t="str">
        <f t="shared" si="3"/>
        <v/>
      </c>
      <c r="L1715" s="1" t="s">
        <v>2926</v>
      </c>
      <c r="M1715" s="1" t="str">
        <f t="shared" si="4"/>
        <v>20, old rod:</v>
      </c>
    </row>
    <row r="1716" ht="12.75" customHeight="1">
      <c r="A1716" s="3" t="s">
        <v>417</v>
      </c>
      <c r="B1716" s="3" t="str">
        <f t="shared" si="1"/>
        <v>5, 5, MAGIKARP</v>
      </c>
      <c r="C1716" s="1" t="str">
        <f t="array" ref="C1716">IF(B1715="NEW ROUTE",TEXTSPLIT(B1716,","),"")</f>
        <v/>
      </c>
      <c r="H1716" s="1" t="str">
        <f t="shared" ref="H1716:I1716" si="1718">IF(C1716&lt;&gt;"",DEC2HEX(C1716,2),"")</f>
        <v/>
      </c>
      <c r="I1716" s="1" t="str">
        <f t="shared" si="1718"/>
        <v/>
      </c>
      <c r="J1716" s="1" t="str">
        <f t="shared" si="3"/>
        <v/>
      </c>
      <c r="L1716" s="1" t="s">
        <v>417</v>
      </c>
      <c r="M1716" s="1" t="str">
        <f t="shared" si="4"/>
        <v>5, 5, MAGIKARP</v>
      </c>
    </row>
    <row r="1717" ht="12.75" customHeight="1">
      <c r="A1717" s="3" t="s">
        <v>417</v>
      </c>
      <c r="B1717" s="3" t="str">
        <f t="shared" si="1"/>
        <v>5, 5, MAGIKARP</v>
      </c>
      <c r="C1717" s="1" t="str">
        <f t="array" ref="C1717">IF(B1716="NEW ROUTE",TEXTSPLIT(B1717,","),"")</f>
        <v/>
      </c>
      <c r="H1717" s="1" t="str">
        <f t="shared" ref="H1717:I1717" si="1719">IF(C1717&lt;&gt;"",DEC2HEX(C1717,2),"")</f>
        <v/>
      </c>
      <c r="I1717" s="1" t="str">
        <f t="shared" si="1719"/>
        <v/>
      </c>
      <c r="J1717" s="1" t="str">
        <f t="shared" si="3"/>
        <v/>
      </c>
      <c r="L1717" s="1" t="s">
        <v>417</v>
      </c>
      <c r="M1717" s="1" t="str">
        <f t="shared" si="4"/>
        <v>5, 5, MAGIKARP</v>
      </c>
    </row>
    <row r="1718" ht="12.75" customHeight="1">
      <c r="A1718" s="3" t="s">
        <v>2847</v>
      </c>
      <c r="B1718" s="3" t="str">
        <f t="shared" si="1"/>
        <v>good rod:</v>
      </c>
      <c r="C1718" s="1" t="str">
        <f t="array" ref="C1718">IF(B1717="NEW ROUTE",TEXTSPLIT(B1718,","),"")</f>
        <v/>
      </c>
      <c r="H1718" s="1" t="str">
        <f t="shared" ref="H1718:I1718" si="1720">IF(C1718&lt;&gt;"",DEC2HEX(C1718,2),"")</f>
        <v/>
      </c>
      <c r="I1718" s="1" t="str">
        <f t="shared" si="1720"/>
        <v/>
      </c>
      <c r="J1718" s="1" t="str">
        <f t="shared" si="3"/>
        <v/>
      </c>
      <c r="L1718" s="1" t="s">
        <v>2847</v>
      </c>
      <c r="M1718" s="1" t="str">
        <f t="shared" si="4"/>
        <v>good rod:</v>
      </c>
    </row>
    <row r="1719" ht="12.75" customHeight="1">
      <c r="A1719" s="3" t="s">
        <v>2848</v>
      </c>
      <c r="B1719" s="3" t="str">
        <f t="shared" si="1"/>
        <v>5, 15, KRABBY</v>
      </c>
      <c r="C1719" s="1" t="str">
        <f t="array" ref="C1719">IF(B1718="NEW ROUTE",TEXTSPLIT(B1719,","),"")</f>
        <v/>
      </c>
      <c r="H1719" s="1" t="str">
        <f t="shared" ref="H1719:I1719" si="1721">IF(C1719&lt;&gt;"",DEC2HEX(C1719,2),"")</f>
        <v/>
      </c>
      <c r="I1719" s="1" t="str">
        <f t="shared" si="1721"/>
        <v/>
      </c>
      <c r="J1719" s="1" t="str">
        <f t="shared" si="3"/>
        <v/>
      </c>
      <c r="L1719" s="1" t="s">
        <v>2848</v>
      </c>
      <c r="M1719" s="1" t="str">
        <f t="shared" si="4"/>
        <v>5, 15, KRABBY</v>
      </c>
    </row>
    <row r="1720" ht="12.75" customHeight="1">
      <c r="A1720" s="3" t="s">
        <v>2849</v>
      </c>
      <c r="B1720" s="3" t="str">
        <f t="shared" si="1"/>
        <v>5, 15, MAGIKARP</v>
      </c>
      <c r="C1720" s="1" t="str">
        <f t="array" ref="C1720">IF(B1719="NEW ROUTE",TEXTSPLIT(B1720,","),"")</f>
        <v/>
      </c>
      <c r="H1720" s="1" t="str">
        <f t="shared" ref="H1720:I1720" si="1722">IF(C1720&lt;&gt;"",DEC2HEX(C1720,2),"")</f>
        <v/>
      </c>
      <c r="I1720" s="1" t="str">
        <f t="shared" si="1722"/>
        <v/>
      </c>
      <c r="J1720" s="1" t="str">
        <f t="shared" si="3"/>
        <v/>
      </c>
      <c r="L1720" s="1" t="s">
        <v>2849</v>
      </c>
      <c r="M1720" s="1" t="str">
        <f t="shared" si="4"/>
        <v>5, 15, MAGIKARP</v>
      </c>
    </row>
    <row r="1721" ht="12.75" customHeight="1">
      <c r="A1721" s="3" t="s">
        <v>2848</v>
      </c>
      <c r="B1721" s="3" t="str">
        <f t="shared" si="1"/>
        <v>5, 15, KRABBY</v>
      </c>
      <c r="C1721" s="1" t="str">
        <f t="array" ref="C1721">IF(B1720="NEW ROUTE",TEXTSPLIT(B1721,","),"")</f>
        <v/>
      </c>
      <c r="H1721" s="1" t="str">
        <f t="shared" ref="H1721:I1721" si="1723">IF(C1721&lt;&gt;"",DEC2HEX(C1721,2),"")</f>
        <v/>
      </c>
      <c r="I1721" s="1" t="str">
        <f t="shared" si="1723"/>
        <v/>
      </c>
      <c r="J1721" s="1" t="str">
        <f t="shared" si="3"/>
        <v/>
      </c>
      <c r="L1721" s="1" t="s">
        <v>2848</v>
      </c>
      <c r="M1721" s="1" t="str">
        <f t="shared" si="4"/>
        <v>5, 15, KRABBY</v>
      </c>
    </row>
    <row r="1722" ht="12.75" customHeight="1">
      <c r="A1722" s="3" t="s">
        <v>2851</v>
      </c>
      <c r="B1722" s="3" t="str">
        <f t="shared" si="1"/>
        <v>super rod:</v>
      </c>
      <c r="C1722" s="1" t="str">
        <f t="array" ref="C1722">IF(B1721="NEW ROUTE",TEXTSPLIT(B1722,","),"")</f>
        <v/>
      </c>
      <c r="H1722" s="1" t="str">
        <f t="shared" ref="H1722:I1722" si="1724">IF(C1722&lt;&gt;"",DEC2HEX(C1722,2),"")</f>
        <v/>
      </c>
      <c r="I1722" s="1" t="str">
        <f t="shared" si="1724"/>
        <v/>
      </c>
      <c r="J1722" s="1" t="str">
        <f t="shared" si="3"/>
        <v/>
      </c>
      <c r="L1722" s="1" t="s">
        <v>2851</v>
      </c>
      <c r="M1722" s="1" t="str">
        <f t="shared" si="4"/>
        <v>super rod:</v>
      </c>
    </row>
    <row r="1723" ht="12.75" customHeight="1">
      <c r="A1723" s="3" t="s">
        <v>2852</v>
      </c>
      <c r="B1723" s="3" t="str">
        <f t="shared" si="1"/>
        <v>15, 25, KRABBY</v>
      </c>
      <c r="C1723" s="1" t="str">
        <f t="array" ref="C1723">IF(B1722="NEW ROUTE",TEXTSPLIT(B1723,","),"")</f>
        <v/>
      </c>
      <c r="H1723" s="1" t="str">
        <f t="shared" ref="H1723:I1723" si="1725">IF(C1723&lt;&gt;"",DEC2HEX(C1723,2),"")</f>
        <v/>
      </c>
      <c r="I1723" s="1" t="str">
        <f t="shared" si="1725"/>
        <v/>
      </c>
      <c r="J1723" s="1" t="str">
        <f t="shared" si="3"/>
        <v/>
      </c>
      <c r="L1723" s="1" t="s">
        <v>2852</v>
      </c>
      <c r="M1723" s="1" t="str">
        <f t="shared" si="4"/>
        <v>15, 25, KRABBY</v>
      </c>
    </row>
    <row r="1724" ht="12.75" customHeight="1">
      <c r="A1724" s="3" t="s">
        <v>3259</v>
      </c>
      <c r="B1724" s="3" t="str">
        <f t="shared" si="1"/>
        <v>15, 25, REMORAID</v>
      </c>
      <c r="C1724" s="1" t="str">
        <f t="array" ref="C1724">IF(B1723="NEW ROUTE",TEXTSPLIT(B1724,","),"")</f>
        <v/>
      </c>
      <c r="H1724" s="1" t="str">
        <f t="shared" ref="H1724:I1724" si="1726">IF(C1724&lt;&gt;"",DEC2HEX(C1724,2),"")</f>
        <v/>
      </c>
      <c r="I1724" s="1" t="str">
        <f t="shared" si="1726"/>
        <v/>
      </c>
      <c r="J1724" s="1" t="str">
        <f t="shared" si="3"/>
        <v/>
      </c>
      <c r="L1724" s="1" t="s">
        <v>3259</v>
      </c>
      <c r="M1724" s="1" t="str">
        <f t="shared" si="4"/>
        <v>15, 25, REMORAID</v>
      </c>
    </row>
    <row r="1725" ht="12.75" customHeight="1">
      <c r="A1725" s="3" t="s">
        <v>2854</v>
      </c>
      <c r="B1725" s="3" t="str">
        <f t="shared" si="1"/>
        <v>15, 25, GYARADOS</v>
      </c>
      <c r="C1725" s="1" t="str">
        <f t="array" ref="C1725">IF(B1724="NEW ROUTE",TEXTSPLIT(B1725,","),"")</f>
        <v/>
      </c>
      <c r="H1725" s="1" t="str">
        <f t="shared" ref="H1725:I1725" si="1727">IF(C1725&lt;&gt;"",DEC2HEX(C1725,2),"")</f>
        <v/>
      </c>
      <c r="I1725" s="1" t="str">
        <f t="shared" si="1727"/>
        <v/>
      </c>
      <c r="J1725" s="1" t="str">
        <f t="shared" si="3"/>
        <v/>
      </c>
      <c r="L1725" s="1" t="s">
        <v>2854</v>
      </c>
      <c r="M1725" s="1" t="str">
        <f t="shared" si="4"/>
        <v>15, 25, GYARADOS</v>
      </c>
    </row>
    <row r="1726" ht="12.75" customHeight="1">
      <c r="A1726" s="3" t="s">
        <v>3178</v>
      </c>
      <c r="B1726" s="3" t="str">
        <f t="shared" si="1"/>
        <v>25, 35, KINGLER</v>
      </c>
      <c r="C1726" s="1" t="str">
        <f t="array" ref="C1726">IF(B1725="NEW ROUTE",TEXTSPLIT(B1726,","),"")</f>
        <v/>
      </c>
      <c r="H1726" s="1" t="str">
        <f t="shared" ref="H1726:I1726" si="1728">IF(C1726&lt;&gt;"",DEC2HEX(C1726,2),"")</f>
        <v/>
      </c>
      <c r="I1726" s="1" t="str">
        <f t="shared" si="1728"/>
        <v/>
      </c>
      <c r="J1726" s="1" t="str">
        <f t="shared" si="3"/>
        <v/>
      </c>
      <c r="L1726" s="1" t="s">
        <v>3178</v>
      </c>
      <c r="M1726" s="1" t="str">
        <f t="shared" si="4"/>
        <v>25, 35, KINGLER</v>
      </c>
    </row>
    <row r="1727" ht="12.75" customHeight="1">
      <c r="A1727" s="3" t="s">
        <v>2856</v>
      </c>
      <c r="B1727" s="3" t="str">
        <f t="shared" si="1"/>
        <v>25, 35, SLOWPOKE</v>
      </c>
      <c r="C1727" s="1" t="str">
        <f t="array" ref="C1727">IF(B1726="NEW ROUTE",TEXTSPLIT(B1727,","),"")</f>
        <v/>
      </c>
      <c r="H1727" s="1" t="str">
        <f t="shared" ref="H1727:I1727" si="1729">IF(C1727&lt;&gt;"",DEC2HEX(C1727,2),"")</f>
        <v/>
      </c>
      <c r="I1727" s="1" t="str">
        <f t="shared" si="1729"/>
        <v/>
      </c>
      <c r="J1727" s="1" t="str">
        <f t="shared" si="3"/>
        <v/>
      </c>
      <c r="L1727" s="1" t="s">
        <v>2856</v>
      </c>
      <c r="M1727" s="1" t="str">
        <f t="shared" si="4"/>
        <v>25, 35, SLOWPOKE</v>
      </c>
    </row>
    <row r="1728" ht="12.75" customHeight="1">
      <c r="A1728" s="3" t="s">
        <v>2539</v>
      </c>
      <c r="B1728" s="3" t="str">
        <f t="shared" si="1"/>
        <v>NEW ROUTE</v>
      </c>
      <c r="C1728" s="1" t="str">
        <f t="array" ref="C1728">IF(B1727="NEW ROUTE",TEXTSPLIT(B1728,","),"")</f>
        <v/>
      </c>
      <c r="H1728" s="1" t="str">
        <f t="shared" ref="H1728:I1728" si="1730">IF(C1728&lt;&gt;"",DEC2HEX(C1728,2),"")</f>
        <v/>
      </c>
      <c r="I1728" s="1" t="str">
        <f t="shared" si="1730"/>
        <v/>
      </c>
      <c r="J1728" s="1" t="str">
        <f t="shared" si="3"/>
        <v/>
      </c>
      <c r="L1728" s="1" t="s">
        <v>2539</v>
      </c>
      <c r="M1728" s="1" t="str">
        <f t="shared" si="4"/>
        <v>NEW ROUTE</v>
      </c>
    </row>
    <row r="1729" ht="12.75" customHeight="1">
      <c r="A1729" s="3" t="s">
        <v>3276</v>
      </c>
      <c r="B1729" s="3" t="str">
        <f t="shared" si="1"/>
        <v>3, 58, 0, &lt;null&gt;,</v>
      </c>
      <c r="C1729" s="1" t="str">
        <f t="array" ref="C1729">IF(B1728="NEW ROUTE",TEXTSPLIT(B1729,","),"")</f>
        <v>#NAME?</v>
      </c>
      <c r="H1729" s="1" t="str">
        <f t="shared" ref="H1729:I1729" si="1731">IF(C1729&lt;&gt;"",DEC2HEX(C1729,2),"")</f>
        <v>#NAME?</v>
      </c>
      <c r="I1729" s="1" t="str">
        <f t="shared" si="1731"/>
        <v/>
      </c>
      <c r="J1729" s="1" t="str">
        <f t="shared" si="3"/>
        <v>#NAME?</v>
      </c>
      <c r="L1729" s="1" t="s">
        <v>3276</v>
      </c>
      <c r="M1729" s="1" t="str">
        <f t="shared" si="4"/>
        <v>#NAME?</v>
      </c>
    </row>
    <row r="1730" ht="12.75" customHeight="1">
      <c r="A1730" s="3" t="s">
        <v>3173</v>
      </c>
      <c r="B1730" s="3" t="str">
        <f t="shared" si="1"/>
        <v>2, 5, 20, TENTACOOL</v>
      </c>
      <c r="C1730" s="1" t="str">
        <f t="array" ref="C1730">IF(B1729="NEW ROUTE",TEXTSPLIT(B1730,","),"")</f>
        <v/>
      </c>
      <c r="H1730" s="1" t="str">
        <f t="shared" ref="H1730:I1730" si="1732">IF(C1730&lt;&gt;"",DEC2HEX(C1730,2),"")</f>
        <v/>
      </c>
      <c r="I1730" s="1" t="str">
        <f t="shared" si="1732"/>
        <v/>
      </c>
      <c r="J1730" s="1" t="str">
        <f t="shared" si="3"/>
        <v/>
      </c>
      <c r="L1730" s="1" t="s">
        <v>3173</v>
      </c>
      <c r="M1730" s="1" t="str">
        <f t="shared" si="4"/>
        <v>2, 5, 20, TENTACOOL</v>
      </c>
    </row>
    <row r="1731" ht="12.75" customHeight="1">
      <c r="A1731" s="3" t="s">
        <v>3174</v>
      </c>
      <c r="B1731" s="3" t="str">
        <f t="shared" si="1"/>
        <v>20, 35, TENTACOOL</v>
      </c>
      <c r="C1731" s="1" t="str">
        <f t="array" ref="C1731">IF(B1730="NEW ROUTE",TEXTSPLIT(B1731,","),"")</f>
        <v/>
      </c>
      <c r="H1731" s="1" t="str">
        <f t="shared" ref="H1731:I1731" si="1733">IF(C1731&lt;&gt;"",DEC2HEX(C1731,2),"")</f>
        <v/>
      </c>
      <c r="I1731" s="1" t="str">
        <f t="shared" si="1733"/>
        <v/>
      </c>
      <c r="J1731" s="1" t="str">
        <f t="shared" si="3"/>
        <v/>
      </c>
      <c r="L1731" s="1" t="s">
        <v>3174</v>
      </c>
      <c r="M1731" s="1" t="str">
        <f t="shared" si="4"/>
        <v>20, 35, TENTACOOL</v>
      </c>
    </row>
    <row r="1732" ht="12.75" customHeight="1">
      <c r="A1732" s="3" t="s">
        <v>2845</v>
      </c>
      <c r="B1732" s="3" t="str">
        <f t="shared" si="1"/>
        <v>35, 40, TENTACOOL</v>
      </c>
      <c r="C1732" s="1" t="str">
        <f t="array" ref="C1732">IF(B1731="NEW ROUTE",TEXTSPLIT(B1732,","),"")</f>
        <v/>
      </c>
      <c r="H1732" s="1" t="str">
        <f t="shared" ref="H1732:I1732" si="1734">IF(C1732&lt;&gt;"",DEC2HEX(C1732,2),"")</f>
        <v/>
      </c>
      <c r="I1732" s="1" t="str">
        <f t="shared" si="1734"/>
        <v/>
      </c>
      <c r="J1732" s="1" t="str">
        <f t="shared" si="3"/>
        <v/>
      </c>
      <c r="L1732" s="1" t="s">
        <v>2845</v>
      </c>
      <c r="M1732" s="1" t="str">
        <f t="shared" si="4"/>
        <v>35, 40, TENTACOOL</v>
      </c>
    </row>
    <row r="1733" ht="12.75" customHeight="1">
      <c r="A1733" s="3" t="s">
        <v>3232</v>
      </c>
      <c r="B1733" s="3" t="str">
        <f t="shared" si="1"/>
        <v>35, 40, TENTACRUEL</v>
      </c>
      <c r="C1733" s="1" t="str">
        <f t="array" ref="C1733">IF(B1732="NEW ROUTE",TEXTSPLIT(B1733,","),"")</f>
        <v/>
      </c>
      <c r="H1733" s="1" t="str">
        <f t="shared" ref="H1733:I1733" si="1735">IF(C1733&lt;&gt;"",DEC2HEX(C1733,2),"")</f>
        <v/>
      </c>
      <c r="I1733" s="1" t="str">
        <f t="shared" si="1735"/>
        <v/>
      </c>
      <c r="J1733" s="1" t="str">
        <f t="shared" si="3"/>
        <v/>
      </c>
      <c r="L1733" s="1" t="s">
        <v>3232</v>
      </c>
      <c r="M1733" s="1" t="str">
        <f t="shared" si="4"/>
        <v>35, 40, TENTACRUEL</v>
      </c>
    </row>
    <row r="1734" ht="12.75" customHeight="1">
      <c r="A1734" s="3" t="s">
        <v>3232</v>
      </c>
      <c r="B1734" s="3" t="str">
        <f t="shared" si="1"/>
        <v>35, 40, TENTACRUEL</v>
      </c>
      <c r="C1734" s="1" t="str">
        <f t="array" ref="C1734">IF(B1733="NEW ROUTE",TEXTSPLIT(B1734,","),"")</f>
        <v/>
      </c>
      <c r="H1734" s="1" t="str">
        <f t="shared" ref="H1734:I1734" si="1736">IF(C1734&lt;&gt;"",DEC2HEX(C1734,2),"")</f>
        <v/>
      </c>
      <c r="I1734" s="1" t="str">
        <f t="shared" si="1736"/>
        <v/>
      </c>
      <c r="J1734" s="1" t="str">
        <f t="shared" si="3"/>
        <v/>
      </c>
      <c r="L1734" s="1" t="s">
        <v>3232</v>
      </c>
      <c r="M1734" s="1" t="str">
        <f t="shared" si="4"/>
        <v>35, 40, TENTACRUEL</v>
      </c>
    </row>
    <row r="1735" ht="12.75" customHeight="1">
      <c r="A1735" s="3" t="s">
        <v>2926</v>
      </c>
      <c r="B1735" s="3" t="str">
        <f t="shared" si="1"/>
        <v>20, old rod:</v>
      </c>
      <c r="C1735" s="1" t="str">
        <f t="array" ref="C1735">IF(B1734="NEW ROUTE",TEXTSPLIT(B1735,","),"")</f>
        <v/>
      </c>
      <c r="H1735" s="1" t="str">
        <f t="shared" ref="H1735:I1735" si="1737">IF(C1735&lt;&gt;"",DEC2HEX(C1735,2),"")</f>
        <v/>
      </c>
      <c r="I1735" s="1" t="str">
        <f t="shared" si="1737"/>
        <v/>
      </c>
      <c r="J1735" s="1" t="str">
        <f t="shared" si="3"/>
        <v/>
      </c>
      <c r="L1735" s="1" t="s">
        <v>2926</v>
      </c>
      <c r="M1735" s="1" t="str">
        <f t="shared" si="4"/>
        <v>20, old rod:</v>
      </c>
    </row>
    <row r="1736" ht="12.75" customHeight="1">
      <c r="A1736" s="3" t="s">
        <v>417</v>
      </c>
      <c r="B1736" s="3" t="str">
        <f t="shared" si="1"/>
        <v>5, 5, MAGIKARP</v>
      </c>
      <c r="C1736" s="1" t="str">
        <f t="array" ref="C1736">IF(B1735="NEW ROUTE",TEXTSPLIT(B1736,","),"")</f>
        <v/>
      </c>
      <c r="H1736" s="1" t="str">
        <f t="shared" ref="H1736:I1736" si="1738">IF(C1736&lt;&gt;"",DEC2HEX(C1736,2),"")</f>
        <v/>
      </c>
      <c r="I1736" s="1" t="str">
        <f t="shared" si="1738"/>
        <v/>
      </c>
      <c r="J1736" s="1" t="str">
        <f t="shared" si="3"/>
        <v/>
      </c>
      <c r="L1736" s="1" t="s">
        <v>417</v>
      </c>
      <c r="M1736" s="1" t="str">
        <f t="shared" si="4"/>
        <v>5, 5, MAGIKARP</v>
      </c>
    </row>
    <row r="1737" ht="12.75" customHeight="1">
      <c r="A1737" s="3" t="s">
        <v>417</v>
      </c>
      <c r="B1737" s="3" t="str">
        <f t="shared" si="1"/>
        <v>5, 5, MAGIKARP</v>
      </c>
      <c r="C1737" s="1" t="str">
        <f t="array" ref="C1737">IF(B1736="NEW ROUTE",TEXTSPLIT(B1737,","),"")</f>
        <v/>
      </c>
      <c r="H1737" s="1" t="str">
        <f t="shared" ref="H1737:I1737" si="1739">IF(C1737&lt;&gt;"",DEC2HEX(C1737,2),"")</f>
        <v/>
      </c>
      <c r="I1737" s="1" t="str">
        <f t="shared" si="1739"/>
        <v/>
      </c>
      <c r="J1737" s="1" t="str">
        <f t="shared" si="3"/>
        <v/>
      </c>
      <c r="L1737" s="1" t="s">
        <v>417</v>
      </c>
      <c r="M1737" s="1" t="str">
        <f t="shared" si="4"/>
        <v>5, 5, MAGIKARP</v>
      </c>
    </row>
    <row r="1738" ht="12.75" customHeight="1">
      <c r="A1738" s="3" t="s">
        <v>2847</v>
      </c>
      <c r="B1738" s="3" t="str">
        <f t="shared" si="1"/>
        <v>good rod:</v>
      </c>
      <c r="C1738" s="1" t="str">
        <f t="array" ref="C1738">IF(B1737="NEW ROUTE",TEXTSPLIT(B1738,","),"")</f>
        <v/>
      </c>
      <c r="H1738" s="1" t="str">
        <f t="shared" ref="H1738:I1738" si="1740">IF(C1738&lt;&gt;"",DEC2HEX(C1738,2),"")</f>
        <v/>
      </c>
      <c r="I1738" s="1" t="str">
        <f t="shared" si="1740"/>
        <v/>
      </c>
      <c r="J1738" s="1" t="str">
        <f t="shared" si="3"/>
        <v/>
      </c>
      <c r="L1738" s="1" t="s">
        <v>2847</v>
      </c>
      <c r="M1738" s="1" t="str">
        <f t="shared" si="4"/>
        <v>good rod:</v>
      </c>
    </row>
    <row r="1739" ht="12.75" customHeight="1">
      <c r="A1739" s="3" t="s">
        <v>2848</v>
      </c>
      <c r="B1739" s="3" t="str">
        <f t="shared" si="1"/>
        <v>5, 15, KRABBY</v>
      </c>
      <c r="C1739" s="1" t="str">
        <f t="array" ref="C1739">IF(B1738="NEW ROUTE",TEXTSPLIT(B1739,","),"")</f>
        <v/>
      </c>
      <c r="H1739" s="1" t="str">
        <f t="shared" ref="H1739:I1739" si="1741">IF(C1739&lt;&gt;"",DEC2HEX(C1739,2),"")</f>
        <v/>
      </c>
      <c r="I1739" s="1" t="str">
        <f t="shared" si="1741"/>
        <v/>
      </c>
      <c r="J1739" s="1" t="str">
        <f t="shared" si="3"/>
        <v/>
      </c>
      <c r="L1739" s="1" t="s">
        <v>2848</v>
      </c>
      <c r="M1739" s="1" t="str">
        <f t="shared" si="4"/>
        <v>5, 15, KRABBY</v>
      </c>
    </row>
    <row r="1740" ht="12.75" customHeight="1">
      <c r="A1740" s="3" t="s">
        <v>2849</v>
      </c>
      <c r="B1740" s="3" t="str">
        <f t="shared" si="1"/>
        <v>5, 15, MAGIKARP</v>
      </c>
      <c r="C1740" s="1" t="str">
        <f t="array" ref="C1740">IF(B1739="NEW ROUTE",TEXTSPLIT(B1740,","),"")</f>
        <v/>
      </c>
      <c r="H1740" s="1" t="str">
        <f t="shared" ref="H1740:I1740" si="1742">IF(C1740&lt;&gt;"",DEC2HEX(C1740,2),"")</f>
        <v/>
      </c>
      <c r="I1740" s="1" t="str">
        <f t="shared" si="1742"/>
        <v/>
      </c>
      <c r="J1740" s="1" t="str">
        <f t="shared" si="3"/>
        <v/>
      </c>
      <c r="L1740" s="1" t="s">
        <v>2849</v>
      </c>
      <c r="M1740" s="1" t="str">
        <f t="shared" si="4"/>
        <v>5, 15, MAGIKARP</v>
      </c>
    </row>
    <row r="1741" ht="12.75" customHeight="1">
      <c r="A1741" s="3" t="s">
        <v>2848</v>
      </c>
      <c r="B1741" s="3" t="str">
        <f t="shared" si="1"/>
        <v>5, 15, KRABBY</v>
      </c>
      <c r="C1741" s="1" t="str">
        <f t="array" ref="C1741">IF(B1740="NEW ROUTE",TEXTSPLIT(B1741,","),"")</f>
        <v/>
      </c>
      <c r="H1741" s="1" t="str">
        <f t="shared" ref="H1741:I1741" si="1743">IF(C1741&lt;&gt;"",DEC2HEX(C1741,2),"")</f>
        <v/>
      </c>
      <c r="I1741" s="1" t="str">
        <f t="shared" si="1743"/>
        <v/>
      </c>
      <c r="J1741" s="1" t="str">
        <f t="shared" si="3"/>
        <v/>
      </c>
      <c r="L1741" s="1" t="s">
        <v>2848</v>
      </c>
      <c r="M1741" s="1" t="str">
        <f t="shared" si="4"/>
        <v>5, 15, KRABBY</v>
      </c>
    </row>
    <row r="1742" ht="12.75" customHeight="1">
      <c r="A1742" s="3" t="s">
        <v>2851</v>
      </c>
      <c r="B1742" s="3" t="str">
        <f t="shared" si="1"/>
        <v>super rod:</v>
      </c>
      <c r="C1742" s="1" t="str">
        <f t="array" ref="C1742">IF(B1741="NEW ROUTE",TEXTSPLIT(B1742,","),"")</f>
        <v/>
      </c>
      <c r="H1742" s="1" t="str">
        <f t="shared" ref="H1742:I1742" si="1744">IF(C1742&lt;&gt;"",DEC2HEX(C1742,2),"")</f>
        <v/>
      </c>
      <c r="I1742" s="1" t="str">
        <f t="shared" si="1744"/>
        <v/>
      </c>
      <c r="J1742" s="1" t="str">
        <f t="shared" si="3"/>
        <v/>
      </c>
      <c r="L1742" s="1" t="s">
        <v>2851</v>
      </c>
      <c r="M1742" s="1" t="str">
        <f t="shared" si="4"/>
        <v>super rod:</v>
      </c>
    </row>
    <row r="1743" ht="12.75" customHeight="1">
      <c r="A1743" s="3" t="s">
        <v>2852</v>
      </c>
      <c r="B1743" s="3" t="str">
        <f t="shared" si="1"/>
        <v>15, 25, KRABBY</v>
      </c>
      <c r="C1743" s="1" t="str">
        <f t="array" ref="C1743">IF(B1742="NEW ROUTE",TEXTSPLIT(B1743,","),"")</f>
        <v/>
      </c>
      <c r="H1743" s="1" t="str">
        <f t="shared" ref="H1743:I1743" si="1745">IF(C1743&lt;&gt;"",DEC2HEX(C1743,2),"")</f>
        <v/>
      </c>
      <c r="I1743" s="1" t="str">
        <f t="shared" si="1745"/>
        <v/>
      </c>
      <c r="J1743" s="1" t="str">
        <f t="shared" si="3"/>
        <v/>
      </c>
      <c r="L1743" s="1" t="s">
        <v>2852</v>
      </c>
      <c r="M1743" s="1" t="str">
        <f t="shared" si="4"/>
        <v>15, 25, KRABBY</v>
      </c>
    </row>
    <row r="1744" ht="12.75" customHeight="1">
      <c r="A1744" s="3" t="s">
        <v>3259</v>
      </c>
      <c r="B1744" s="3" t="str">
        <f t="shared" si="1"/>
        <v>15, 25, REMORAID</v>
      </c>
      <c r="C1744" s="1" t="str">
        <f t="array" ref="C1744">IF(B1743="NEW ROUTE",TEXTSPLIT(B1744,","),"")</f>
        <v/>
      </c>
      <c r="H1744" s="1" t="str">
        <f t="shared" ref="H1744:I1744" si="1746">IF(C1744&lt;&gt;"",DEC2HEX(C1744,2),"")</f>
        <v/>
      </c>
      <c r="I1744" s="1" t="str">
        <f t="shared" si="1746"/>
        <v/>
      </c>
      <c r="J1744" s="1" t="str">
        <f t="shared" si="3"/>
        <v/>
      </c>
      <c r="L1744" s="1" t="s">
        <v>3259</v>
      </c>
      <c r="M1744" s="1" t="str">
        <f t="shared" si="4"/>
        <v>15, 25, REMORAID</v>
      </c>
    </row>
    <row r="1745" ht="12.75" customHeight="1">
      <c r="A1745" s="3" t="s">
        <v>2854</v>
      </c>
      <c r="B1745" s="3" t="str">
        <f t="shared" si="1"/>
        <v>15, 25, GYARADOS</v>
      </c>
      <c r="C1745" s="1" t="str">
        <f t="array" ref="C1745">IF(B1744="NEW ROUTE",TEXTSPLIT(B1745,","),"")</f>
        <v/>
      </c>
      <c r="H1745" s="1" t="str">
        <f t="shared" ref="H1745:I1745" si="1747">IF(C1745&lt;&gt;"",DEC2HEX(C1745,2),"")</f>
        <v/>
      </c>
      <c r="I1745" s="1" t="str">
        <f t="shared" si="1747"/>
        <v/>
      </c>
      <c r="J1745" s="1" t="str">
        <f t="shared" si="3"/>
        <v/>
      </c>
      <c r="L1745" s="1" t="s">
        <v>2854</v>
      </c>
      <c r="M1745" s="1" t="str">
        <f t="shared" si="4"/>
        <v>15, 25, GYARADOS</v>
      </c>
    </row>
    <row r="1746" ht="12.75" customHeight="1">
      <c r="A1746" s="3" t="s">
        <v>3178</v>
      </c>
      <c r="B1746" s="3" t="str">
        <f t="shared" si="1"/>
        <v>25, 35, KINGLER</v>
      </c>
      <c r="C1746" s="1" t="str">
        <f t="array" ref="C1746">IF(B1745="NEW ROUTE",TEXTSPLIT(B1746,","),"")</f>
        <v/>
      </c>
      <c r="H1746" s="1" t="str">
        <f t="shared" ref="H1746:I1746" si="1748">IF(C1746&lt;&gt;"",DEC2HEX(C1746,2),"")</f>
        <v/>
      </c>
      <c r="I1746" s="1" t="str">
        <f t="shared" si="1748"/>
        <v/>
      </c>
      <c r="J1746" s="1" t="str">
        <f t="shared" si="3"/>
        <v/>
      </c>
      <c r="L1746" s="1" t="s">
        <v>3178</v>
      </c>
      <c r="M1746" s="1" t="str">
        <f t="shared" si="4"/>
        <v>25, 35, KINGLER</v>
      </c>
    </row>
    <row r="1747" ht="12.75" customHeight="1">
      <c r="A1747" s="3" t="s">
        <v>2856</v>
      </c>
      <c r="B1747" s="3" t="str">
        <f t="shared" si="1"/>
        <v>25, 35, SLOWPOKE</v>
      </c>
      <c r="C1747" s="1" t="str">
        <f t="array" ref="C1747">IF(B1746="NEW ROUTE",TEXTSPLIT(B1747,","),"")</f>
        <v/>
      </c>
      <c r="H1747" s="1" t="str">
        <f t="shared" ref="H1747:I1747" si="1749">IF(C1747&lt;&gt;"",DEC2HEX(C1747,2),"")</f>
        <v/>
      </c>
      <c r="I1747" s="1" t="str">
        <f t="shared" si="1749"/>
        <v/>
      </c>
      <c r="J1747" s="1" t="str">
        <f t="shared" si="3"/>
        <v/>
      </c>
      <c r="L1747" s="1" t="s">
        <v>2856</v>
      </c>
      <c r="M1747" s="1" t="str">
        <f t="shared" si="4"/>
        <v>25, 35, SLOWPOKE</v>
      </c>
    </row>
    <row r="1748" ht="12.75" customHeight="1">
      <c r="A1748" s="3" t="s">
        <v>2539</v>
      </c>
      <c r="B1748" s="3" t="str">
        <f t="shared" si="1"/>
        <v>NEW ROUTE</v>
      </c>
      <c r="C1748" s="1" t="str">
        <f t="array" ref="C1748">IF(B1747="NEW ROUTE",TEXTSPLIT(B1748,","),"")</f>
        <v/>
      </c>
      <c r="H1748" s="1" t="str">
        <f t="shared" ref="H1748:I1748" si="1750">IF(C1748&lt;&gt;"",DEC2HEX(C1748,2),"")</f>
        <v/>
      </c>
      <c r="I1748" s="1" t="str">
        <f t="shared" si="1750"/>
        <v/>
      </c>
      <c r="J1748" s="1" t="str">
        <f t="shared" si="3"/>
        <v/>
      </c>
      <c r="L1748" s="1" t="s">
        <v>2539</v>
      </c>
      <c r="M1748" s="1" t="str">
        <f t="shared" si="4"/>
        <v>NEW ROUTE</v>
      </c>
    </row>
    <row r="1749" ht="12.75" customHeight="1">
      <c r="A1749" s="3" t="s">
        <v>3277</v>
      </c>
      <c r="B1749" s="3" t="str">
        <f t="shared" si="1"/>
        <v>3, 59, 0, &lt;null&gt;,</v>
      </c>
      <c r="C1749" s="1" t="str">
        <f t="array" ref="C1749">IF(B1748="NEW ROUTE",TEXTSPLIT(B1749,","),"")</f>
        <v>#NAME?</v>
      </c>
      <c r="H1749" s="1" t="str">
        <f t="shared" ref="H1749:I1749" si="1751">IF(C1749&lt;&gt;"",DEC2HEX(C1749,2),"")</f>
        <v>#NAME?</v>
      </c>
      <c r="I1749" s="1" t="str">
        <f t="shared" si="1751"/>
        <v/>
      </c>
      <c r="J1749" s="1" t="str">
        <f t="shared" si="3"/>
        <v>#NAME?</v>
      </c>
      <c r="L1749" s="1" t="s">
        <v>3277</v>
      </c>
      <c r="M1749" s="1" t="str">
        <f t="shared" si="4"/>
        <v>#NAME?</v>
      </c>
    </row>
    <row r="1750" ht="12.75" customHeight="1">
      <c r="A1750" s="3" t="s">
        <v>3173</v>
      </c>
      <c r="B1750" s="3" t="str">
        <f t="shared" si="1"/>
        <v>2, 5, 20, TENTACOOL</v>
      </c>
      <c r="C1750" s="1" t="str">
        <f t="array" ref="C1750">IF(B1749="NEW ROUTE",TEXTSPLIT(B1750,","),"")</f>
        <v/>
      </c>
      <c r="H1750" s="1" t="str">
        <f t="shared" ref="H1750:I1750" si="1752">IF(C1750&lt;&gt;"",DEC2HEX(C1750,2),"")</f>
        <v/>
      </c>
      <c r="I1750" s="1" t="str">
        <f t="shared" si="1752"/>
        <v/>
      </c>
      <c r="J1750" s="1" t="str">
        <f t="shared" si="3"/>
        <v/>
      </c>
      <c r="L1750" s="1" t="s">
        <v>3173</v>
      </c>
      <c r="M1750" s="1" t="str">
        <f t="shared" si="4"/>
        <v>2, 5, 20, TENTACOOL</v>
      </c>
    </row>
    <row r="1751" ht="12.75" customHeight="1">
      <c r="A1751" s="3" t="s">
        <v>3174</v>
      </c>
      <c r="B1751" s="3" t="str">
        <f t="shared" si="1"/>
        <v>20, 35, TENTACOOL</v>
      </c>
      <c r="C1751" s="1" t="str">
        <f t="array" ref="C1751">IF(B1750="NEW ROUTE",TEXTSPLIT(B1751,","),"")</f>
        <v/>
      </c>
      <c r="H1751" s="1" t="str">
        <f t="shared" ref="H1751:I1751" si="1753">IF(C1751&lt;&gt;"",DEC2HEX(C1751,2),"")</f>
        <v/>
      </c>
      <c r="I1751" s="1" t="str">
        <f t="shared" si="1753"/>
        <v/>
      </c>
      <c r="J1751" s="1" t="str">
        <f t="shared" si="3"/>
        <v/>
      </c>
      <c r="L1751" s="1" t="s">
        <v>3174</v>
      </c>
      <c r="M1751" s="1" t="str">
        <f t="shared" si="4"/>
        <v>20, 35, TENTACOOL</v>
      </c>
    </row>
    <row r="1752" ht="12.75" customHeight="1">
      <c r="A1752" s="3" t="s">
        <v>2845</v>
      </c>
      <c r="B1752" s="3" t="str">
        <f t="shared" si="1"/>
        <v>35, 40, TENTACOOL</v>
      </c>
      <c r="C1752" s="1" t="str">
        <f t="array" ref="C1752">IF(B1751="NEW ROUTE",TEXTSPLIT(B1752,","),"")</f>
        <v/>
      </c>
      <c r="H1752" s="1" t="str">
        <f t="shared" ref="H1752:I1752" si="1754">IF(C1752&lt;&gt;"",DEC2HEX(C1752,2),"")</f>
        <v/>
      </c>
      <c r="I1752" s="1" t="str">
        <f t="shared" si="1754"/>
        <v/>
      </c>
      <c r="J1752" s="1" t="str">
        <f t="shared" si="3"/>
        <v/>
      </c>
      <c r="L1752" s="1" t="s">
        <v>2845</v>
      </c>
      <c r="M1752" s="1" t="str">
        <f t="shared" si="4"/>
        <v>35, 40, TENTACOOL</v>
      </c>
    </row>
    <row r="1753" ht="12.75" customHeight="1">
      <c r="A1753" s="3" t="s">
        <v>3232</v>
      </c>
      <c r="B1753" s="3" t="str">
        <f t="shared" si="1"/>
        <v>35, 40, TENTACRUEL</v>
      </c>
      <c r="C1753" s="1" t="str">
        <f t="array" ref="C1753">IF(B1752="NEW ROUTE",TEXTSPLIT(B1753,","),"")</f>
        <v/>
      </c>
      <c r="H1753" s="1" t="str">
        <f t="shared" ref="H1753:I1753" si="1755">IF(C1753&lt;&gt;"",DEC2HEX(C1753,2),"")</f>
        <v/>
      </c>
      <c r="I1753" s="1" t="str">
        <f t="shared" si="1755"/>
        <v/>
      </c>
      <c r="J1753" s="1" t="str">
        <f t="shared" si="3"/>
        <v/>
      </c>
      <c r="L1753" s="1" t="s">
        <v>3232</v>
      </c>
      <c r="M1753" s="1" t="str">
        <f t="shared" si="4"/>
        <v>35, 40, TENTACRUEL</v>
      </c>
    </row>
    <row r="1754" ht="12.75" customHeight="1">
      <c r="A1754" s="3" t="s">
        <v>3232</v>
      </c>
      <c r="B1754" s="3" t="str">
        <f t="shared" si="1"/>
        <v>35, 40, TENTACRUEL</v>
      </c>
      <c r="C1754" s="1" t="str">
        <f t="array" ref="C1754">IF(B1753="NEW ROUTE",TEXTSPLIT(B1754,","),"")</f>
        <v/>
      </c>
      <c r="H1754" s="1" t="str">
        <f t="shared" ref="H1754:I1754" si="1756">IF(C1754&lt;&gt;"",DEC2HEX(C1754,2),"")</f>
        <v/>
      </c>
      <c r="I1754" s="1" t="str">
        <f t="shared" si="1756"/>
        <v/>
      </c>
      <c r="J1754" s="1" t="str">
        <f t="shared" si="3"/>
        <v/>
      </c>
      <c r="L1754" s="1" t="s">
        <v>3232</v>
      </c>
      <c r="M1754" s="1" t="str">
        <f t="shared" si="4"/>
        <v>35, 40, TENTACRUEL</v>
      </c>
    </row>
    <row r="1755" ht="12.75" customHeight="1">
      <c r="A1755" s="3" t="s">
        <v>2926</v>
      </c>
      <c r="B1755" s="3" t="str">
        <f t="shared" si="1"/>
        <v>20, old rod:</v>
      </c>
      <c r="C1755" s="1" t="str">
        <f t="array" ref="C1755">IF(B1754="NEW ROUTE",TEXTSPLIT(B1755,","),"")</f>
        <v/>
      </c>
      <c r="H1755" s="1" t="str">
        <f t="shared" ref="H1755:I1755" si="1757">IF(C1755&lt;&gt;"",DEC2HEX(C1755,2),"")</f>
        <v/>
      </c>
      <c r="I1755" s="1" t="str">
        <f t="shared" si="1757"/>
        <v/>
      </c>
      <c r="J1755" s="1" t="str">
        <f t="shared" si="3"/>
        <v/>
      </c>
      <c r="L1755" s="1" t="s">
        <v>2926</v>
      </c>
      <c r="M1755" s="1" t="str">
        <f t="shared" si="4"/>
        <v>20, old rod:</v>
      </c>
    </row>
    <row r="1756" ht="12.75" customHeight="1">
      <c r="A1756" s="3" t="s">
        <v>417</v>
      </c>
      <c r="B1756" s="3" t="str">
        <f t="shared" si="1"/>
        <v>5, 5, MAGIKARP</v>
      </c>
      <c r="C1756" s="1" t="str">
        <f t="array" ref="C1756">IF(B1755="NEW ROUTE",TEXTSPLIT(B1756,","),"")</f>
        <v/>
      </c>
      <c r="H1756" s="1" t="str">
        <f t="shared" ref="H1756:I1756" si="1758">IF(C1756&lt;&gt;"",DEC2HEX(C1756,2),"")</f>
        <v/>
      </c>
      <c r="I1756" s="1" t="str">
        <f t="shared" si="1758"/>
        <v/>
      </c>
      <c r="J1756" s="1" t="str">
        <f t="shared" si="3"/>
        <v/>
      </c>
      <c r="L1756" s="1" t="s">
        <v>417</v>
      </c>
      <c r="M1756" s="1" t="str">
        <f t="shared" si="4"/>
        <v>5, 5, MAGIKARP</v>
      </c>
    </row>
    <row r="1757" ht="12.75" customHeight="1">
      <c r="A1757" s="3" t="s">
        <v>417</v>
      </c>
      <c r="B1757" s="3" t="str">
        <f t="shared" si="1"/>
        <v>5, 5, MAGIKARP</v>
      </c>
      <c r="C1757" s="1" t="str">
        <f t="array" ref="C1757">IF(B1756="NEW ROUTE",TEXTSPLIT(B1757,","),"")</f>
        <v/>
      </c>
      <c r="H1757" s="1" t="str">
        <f t="shared" ref="H1757:I1757" si="1759">IF(C1757&lt;&gt;"",DEC2HEX(C1757,2),"")</f>
        <v/>
      </c>
      <c r="I1757" s="1" t="str">
        <f t="shared" si="1759"/>
        <v/>
      </c>
      <c r="J1757" s="1" t="str">
        <f t="shared" si="3"/>
        <v/>
      </c>
      <c r="L1757" s="1" t="s">
        <v>417</v>
      </c>
      <c r="M1757" s="1" t="str">
        <f t="shared" si="4"/>
        <v>5, 5, MAGIKARP</v>
      </c>
    </row>
    <row r="1758" ht="12.75" customHeight="1">
      <c r="A1758" s="3" t="s">
        <v>2847</v>
      </c>
      <c r="B1758" s="3" t="str">
        <f t="shared" si="1"/>
        <v>good rod:</v>
      </c>
      <c r="C1758" s="1" t="str">
        <f t="array" ref="C1758">IF(B1757="NEW ROUTE",TEXTSPLIT(B1758,","),"")</f>
        <v/>
      </c>
      <c r="H1758" s="1" t="str">
        <f t="shared" ref="H1758:I1758" si="1760">IF(C1758&lt;&gt;"",DEC2HEX(C1758,2),"")</f>
        <v/>
      </c>
      <c r="I1758" s="1" t="str">
        <f t="shared" si="1760"/>
        <v/>
      </c>
      <c r="J1758" s="1" t="str">
        <f t="shared" si="3"/>
        <v/>
      </c>
      <c r="L1758" s="1" t="s">
        <v>2847</v>
      </c>
      <c r="M1758" s="1" t="str">
        <f t="shared" si="4"/>
        <v>good rod:</v>
      </c>
    </row>
    <row r="1759" ht="12.75" customHeight="1">
      <c r="A1759" s="3" t="s">
        <v>2848</v>
      </c>
      <c r="B1759" s="3" t="str">
        <f t="shared" si="1"/>
        <v>5, 15, KRABBY</v>
      </c>
      <c r="C1759" s="1" t="str">
        <f t="array" ref="C1759">IF(B1758="NEW ROUTE",TEXTSPLIT(B1759,","),"")</f>
        <v/>
      </c>
      <c r="H1759" s="1" t="str">
        <f t="shared" ref="H1759:I1759" si="1761">IF(C1759&lt;&gt;"",DEC2HEX(C1759,2),"")</f>
        <v/>
      </c>
      <c r="I1759" s="1" t="str">
        <f t="shared" si="1761"/>
        <v/>
      </c>
      <c r="J1759" s="1" t="str">
        <f t="shared" si="3"/>
        <v/>
      </c>
      <c r="L1759" s="1" t="s">
        <v>2848</v>
      </c>
      <c r="M1759" s="1" t="str">
        <f t="shared" si="4"/>
        <v>5, 15, KRABBY</v>
      </c>
    </row>
    <row r="1760" ht="12.75" customHeight="1">
      <c r="A1760" s="3" t="s">
        <v>2849</v>
      </c>
      <c r="B1760" s="3" t="str">
        <f t="shared" si="1"/>
        <v>5, 15, MAGIKARP</v>
      </c>
      <c r="C1760" s="1" t="str">
        <f t="array" ref="C1760">IF(B1759="NEW ROUTE",TEXTSPLIT(B1760,","),"")</f>
        <v/>
      </c>
      <c r="H1760" s="1" t="str">
        <f t="shared" ref="H1760:I1760" si="1762">IF(C1760&lt;&gt;"",DEC2HEX(C1760,2),"")</f>
        <v/>
      </c>
      <c r="I1760" s="1" t="str">
        <f t="shared" si="1762"/>
        <v/>
      </c>
      <c r="J1760" s="1" t="str">
        <f t="shared" si="3"/>
        <v/>
      </c>
      <c r="L1760" s="1" t="s">
        <v>2849</v>
      </c>
      <c r="M1760" s="1" t="str">
        <f t="shared" si="4"/>
        <v>5, 15, MAGIKARP</v>
      </c>
    </row>
    <row r="1761" ht="12.75" customHeight="1">
      <c r="A1761" s="3" t="s">
        <v>2848</v>
      </c>
      <c r="B1761" s="3" t="str">
        <f t="shared" si="1"/>
        <v>5, 15, KRABBY</v>
      </c>
      <c r="C1761" s="1" t="str">
        <f t="array" ref="C1761">IF(B1760="NEW ROUTE",TEXTSPLIT(B1761,","),"")</f>
        <v/>
      </c>
      <c r="H1761" s="1" t="str">
        <f t="shared" ref="H1761:I1761" si="1763">IF(C1761&lt;&gt;"",DEC2HEX(C1761,2),"")</f>
        <v/>
      </c>
      <c r="I1761" s="1" t="str">
        <f t="shared" si="1763"/>
        <v/>
      </c>
      <c r="J1761" s="1" t="str">
        <f t="shared" si="3"/>
        <v/>
      </c>
      <c r="L1761" s="1" t="s">
        <v>2848</v>
      </c>
      <c r="M1761" s="1" t="str">
        <f t="shared" si="4"/>
        <v>5, 15, KRABBY</v>
      </c>
    </row>
    <row r="1762" ht="12.75" customHeight="1">
      <c r="A1762" s="3" t="s">
        <v>2851</v>
      </c>
      <c r="B1762" s="3" t="str">
        <f t="shared" si="1"/>
        <v>super rod:</v>
      </c>
      <c r="C1762" s="1" t="str">
        <f t="array" ref="C1762">IF(B1761="NEW ROUTE",TEXTSPLIT(B1762,","),"")</f>
        <v/>
      </c>
      <c r="H1762" s="1" t="str">
        <f t="shared" ref="H1762:I1762" si="1764">IF(C1762&lt;&gt;"",DEC2HEX(C1762,2),"")</f>
        <v/>
      </c>
      <c r="I1762" s="1" t="str">
        <f t="shared" si="1764"/>
        <v/>
      </c>
      <c r="J1762" s="1" t="str">
        <f t="shared" si="3"/>
        <v/>
      </c>
      <c r="L1762" s="1" t="s">
        <v>2851</v>
      </c>
      <c r="M1762" s="1" t="str">
        <f t="shared" si="4"/>
        <v>super rod:</v>
      </c>
    </row>
    <row r="1763" ht="12.75" customHeight="1">
      <c r="A1763" s="3" t="s">
        <v>2852</v>
      </c>
      <c r="B1763" s="3" t="str">
        <f t="shared" si="1"/>
        <v>15, 25, KRABBY</v>
      </c>
      <c r="C1763" s="1" t="str">
        <f t="array" ref="C1763">IF(B1762="NEW ROUTE",TEXTSPLIT(B1763,","),"")</f>
        <v/>
      </c>
      <c r="H1763" s="1" t="str">
        <f t="shared" ref="H1763:I1763" si="1765">IF(C1763&lt;&gt;"",DEC2HEX(C1763,2),"")</f>
        <v/>
      </c>
      <c r="I1763" s="1" t="str">
        <f t="shared" si="1765"/>
        <v/>
      </c>
      <c r="J1763" s="1" t="str">
        <f t="shared" si="3"/>
        <v/>
      </c>
      <c r="L1763" s="1" t="s">
        <v>2852</v>
      </c>
      <c r="M1763" s="1" t="str">
        <f t="shared" si="4"/>
        <v>15, 25, KRABBY</v>
      </c>
    </row>
    <row r="1764" ht="12.75" customHeight="1">
      <c r="A1764" s="3" t="s">
        <v>3259</v>
      </c>
      <c r="B1764" s="3" t="str">
        <f t="shared" si="1"/>
        <v>15, 25, REMORAID</v>
      </c>
      <c r="C1764" s="1" t="str">
        <f t="array" ref="C1764">IF(B1763="NEW ROUTE",TEXTSPLIT(B1764,","),"")</f>
        <v/>
      </c>
      <c r="H1764" s="1" t="str">
        <f t="shared" ref="H1764:I1764" si="1766">IF(C1764&lt;&gt;"",DEC2HEX(C1764,2),"")</f>
        <v/>
      </c>
      <c r="I1764" s="1" t="str">
        <f t="shared" si="1766"/>
        <v/>
      </c>
      <c r="J1764" s="1" t="str">
        <f t="shared" si="3"/>
        <v/>
      </c>
      <c r="L1764" s="1" t="s">
        <v>3259</v>
      </c>
      <c r="M1764" s="1" t="str">
        <f t="shared" si="4"/>
        <v>15, 25, REMORAID</v>
      </c>
    </row>
    <row r="1765" ht="12.75" customHeight="1">
      <c r="A1765" s="3" t="s">
        <v>2854</v>
      </c>
      <c r="B1765" s="3" t="str">
        <f t="shared" si="1"/>
        <v>15, 25, GYARADOS</v>
      </c>
      <c r="C1765" s="1" t="str">
        <f t="array" ref="C1765">IF(B1764="NEW ROUTE",TEXTSPLIT(B1765,","),"")</f>
        <v/>
      </c>
      <c r="H1765" s="1" t="str">
        <f t="shared" ref="H1765:I1765" si="1767">IF(C1765&lt;&gt;"",DEC2HEX(C1765,2),"")</f>
        <v/>
      </c>
      <c r="I1765" s="1" t="str">
        <f t="shared" si="1767"/>
        <v/>
      </c>
      <c r="J1765" s="1" t="str">
        <f t="shared" si="3"/>
        <v/>
      </c>
      <c r="L1765" s="1" t="s">
        <v>2854</v>
      </c>
      <c r="M1765" s="1" t="str">
        <f t="shared" si="4"/>
        <v>15, 25, GYARADOS</v>
      </c>
    </row>
    <row r="1766" ht="12.75" customHeight="1">
      <c r="A1766" s="3" t="s">
        <v>3178</v>
      </c>
      <c r="B1766" s="3" t="str">
        <f t="shared" si="1"/>
        <v>25, 35, KINGLER</v>
      </c>
      <c r="C1766" s="1" t="str">
        <f t="array" ref="C1766">IF(B1765="NEW ROUTE",TEXTSPLIT(B1766,","),"")</f>
        <v/>
      </c>
      <c r="H1766" s="1" t="str">
        <f t="shared" ref="H1766:I1766" si="1768">IF(C1766&lt;&gt;"",DEC2HEX(C1766,2),"")</f>
        <v/>
      </c>
      <c r="I1766" s="1" t="str">
        <f t="shared" si="1768"/>
        <v/>
      </c>
      <c r="J1766" s="1" t="str">
        <f t="shared" si="3"/>
        <v/>
      </c>
      <c r="L1766" s="1" t="s">
        <v>3178</v>
      </c>
      <c r="M1766" s="1" t="str">
        <f t="shared" si="4"/>
        <v>25, 35, KINGLER</v>
      </c>
    </row>
    <row r="1767" ht="12.75" customHeight="1">
      <c r="A1767" s="3" t="s">
        <v>2856</v>
      </c>
      <c r="B1767" s="3" t="str">
        <f t="shared" si="1"/>
        <v>25, 35, SLOWPOKE</v>
      </c>
      <c r="C1767" s="1" t="str">
        <f t="array" ref="C1767">IF(B1766="NEW ROUTE",TEXTSPLIT(B1767,","),"")</f>
        <v/>
      </c>
      <c r="H1767" s="1" t="str">
        <f t="shared" ref="H1767:I1767" si="1769">IF(C1767&lt;&gt;"",DEC2HEX(C1767,2),"")</f>
        <v/>
      </c>
      <c r="I1767" s="1" t="str">
        <f t="shared" si="1769"/>
        <v/>
      </c>
      <c r="J1767" s="1" t="str">
        <f t="shared" si="3"/>
        <v/>
      </c>
      <c r="L1767" s="1" t="s">
        <v>2856</v>
      </c>
      <c r="M1767" s="1" t="str">
        <f t="shared" si="4"/>
        <v>25, 35, SLOWPOKE</v>
      </c>
    </row>
    <row r="1768" ht="12.75" customHeight="1">
      <c r="A1768" s="3" t="s">
        <v>2539</v>
      </c>
      <c r="B1768" s="3" t="str">
        <f t="shared" si="1"/>
        <v>NEW ROUTE</v>
      </c>
      <c r="C1768" s="1" t="str">
        <f t="array" ref="C1768">IF(B1767="NEW ROUTE",TEXTSPLIT(B1768,","),"")</f>
        <v/>
      </c>
      <c r="H1768" s="1" t="str">
        <f t="shared" ref="H1768:I1768" si="1770">IF(C1768&lt;&gt;"",DEC2HEX(C1768,2),"")</f>
        <v/>
      </c>
      <c r="I1768" s="1" t="str">
        <f t="shared" si="1770"/>
        <v/>
      </c>
      <c r="J1768" s="1" t="str">
        <f t="shared" si="3"/>
        <v/>
      </c>
      <c r="L1768" s="1" t="s">
        <v>2539</v>
      </c>
      <c r="M1768" s="1" t="str">
        <f t="shared" si="4"/>
        <v>NEW ROUTE</v>
      </c>
    </row>
    <row r="1769" ht="12.75" customHeight="1">
      <c r="A1769" s="3" t="s">
        <v>3278</v>
      </c>
      <c r="B1769" s="3" t="str">
        <f t="shared" si="1"/>
        <v>3, 60, 0,</v>
      </c>
      <c r="C1769" s="1" t="str">
        <f t="array" ref="C1769">IF(B1768="NEW ROUTE",TEXTSPLIT(B1769,","),"")</f>
        <v>#NAME?</v>
      </c>
      <c r="H1769" s="1" t="str">
        <f t="shared" ref="H1769:I1769" si="1771">IF(C1769&lt;&gt;"",DEC2HEX(C1769,2),"")</f>
        <v>#NAME?</v>
      </c>
      <c r="I1769" s="1" t="str">
        <f t="shared" si="1771"/>
        <v/>
      </c>
      <c r="J1769" s="1" t="str">
        <f t="shared" si="3"/>
        <v>#NAME?</v>
      </c>
      <c r="L1769" s="1" t="s">
        <v>3278</v>
      </c>
      <c r="M1769" s="1" t="str">
        <f t="shared" si="4"/>
        <v>#NAME?</v>
      </c>
    </row>
    <row r="1770" ht="12.75" customHeight="1">
      <c r="A1770" s="3" t="s">
        <v>2909</v>
      </c>
      <c r="B1770" s="3" t="str">
        <f t="shared" si="1"/>
        <v>20%</v>
      </c>
      <c r="C1770" s="1" t="str">
        <f t="array" ref="C1770">IF(B1769="NEW ROUTE",TEXTSPLIT(B1770,","),"")</f>
        <v/>
      </c>
      <c r="H1770" s="1" t="str">
        <f t="shared" ref="H1770:I1770" si="1772">IF(C1770&lt;&gt;"",DEC2HEX(C1770,2),"")</f>
        <v/>
      </c>
      <c r="I1770" s="1" t="str">
        <f t="shared" si="1772"/>
        <v/>
      </c>
      <c r="J1770" s="1" t="str">
        <f t="shared" si="3"/>
        <v/>
      </c>
      <c r="L1770" s="1" t="s">
        <v>2799</v>
      </c>
      <c r="M1770" s="1" t="str">
        <f t="shared" si="4"/>
        <v>20%</v>
      </c>
    </row>
    <row r="1771" ht="12.75" customHeight="1">
      <c r="A1771" s="3" t="s">
        <v>887</v>
      </c>
      <c r="B1771" s="3" t="str">
        <f t="shared" si="1"/>
        <v>44, 44, SPEAROW</v>
      </c>
      <c r="C1771" s="1" t="str">
        <f t="array" ref="C1771">IF(B1770="NEW ROUTE",TEXTSPLIT(B1771,","),"")</f>
        <v/>
      </c>
      <c r="H1771" s="1" t="str">
        <f t="shared" ref="H1771:I1771" si="1773">IF(C1771&lt;&gt;"",DEC2HEX(C1771,2),"")</f>
        <v/>
      </c>
      <c r="I1771" s="1" t="str">
        <f t="shared" si="1773"/>
        <v/>
      </c>
      <c r="J1771" s="1" t="str">
        <f t="shared" si="3"/>
        <v/>
      </c>
      <c r="L1771" s="1" t="s">
        <v>887</v>
      </c>
      <c r="M1771" s="1" t="str">
        <f t="shared" si="4"/>
        <v>44, 44, SPEAROW</v>
      </c>
    </row>
    <row r="1772" ht="12.75" customHeight="1">
      <c r="A1772" s="3" t="s">
        <v>3262</v>
      </c>
      <c r="B1772" s="3" t="str">
        <f t="shared" si="1"/>
        <v>10, 10, SENTRET</v>
      </c>
      <c r="C1772" s="1" t="str">
        <f t="array" ref="C1772">IF(B1771="NEW ROUTE",TEXTSPLIT(B1772,","),"")</f>
        <v/>
      </c>
      <c r="H1772" s="1" t="str">
        <f t="shared" ref="H1772:I1772" si="1774">IF(C1772&lt;&gt;"",DEC2HEX(C1772,2),"")</f>
        <v/>
      </c>
      <c r="I1772" s="1" t="str">
        <f t="shared" si="1774"/>
        <v/>
      </c>
      <c r="J1772" s="1" t="str">
        <f t="shared" si="3"/>
        <v/>
      </c>
      <c r="L1772" s="1" t="s">
        <v>3262</v>
      </c>
      <c r="M1772" s="1" t="str">
        <f t="shared" si="4"/>
        <v>10, 10, SENTRET</v>
      </c>
    </row>
    <row r="1773" ht="12.75" customHeight="1">
      <c r="A1773" s="3" t="s">
        <v>2802</v>
      </c>
      <c r="B1773" s="3" t="str">
        <f t="shared" si="1"/>
        <v>0.1</v>
      </c>
      <c r="C1773" s="1" t="str">
        <f t="array" ref="C1773">IF(B1772="NEW ROUTE",TEXTSPLIT(B1773,","),"")</f>
        <v/>
      </c>
      <c r="H1773" s="1" t="str">
        <f t="shared" ref="H1773:I1773" si="1775">IF(C1773&lt;&gt;"",DEC2HEX(C1773,2),"")</f>
        <v/>
      </c>
      <c r="I1773" s="1" t="str">
        <f t="shared" si="1775"/>
        <v/>
      </c>
      <c r="J1773" s="1" t="str">
        <f t="shared" si="3"/>
        <v/>
      </c>
      <c r="L1773" s="1" t="s">
        <v>2802</v>
      </c>
      <c r="M1773" s="1" t="str">
        <f t="shared" si="4"/>
        <v>0.1</v>
      </c>
    </row>
    <row r="1774" ht="12.75" customHeight="1">
      <c r="A1774" s="3" t="s">
        <v>3279</v>
      </c>
      <c r="B1774" s="3" t="str">
        <f t="shared" si="1"/>
        <v>44, 44, BELLSPROUT</v>
      </c>
      <c r="C1774" s="1" t="str">
        <f t="array" ref="C1774">IF(B1773="NEW ROUTE",TEXTSPLIT(B1774,","),"")</f>
        <v/>
      </c>
      <c r="H1774" s="1" t="str">
        <f t="shared" ref="H1774:I1774" si="1776">IF(C1774&lt;&gt;"",DEC2HEX(C1774,2),"")</f>
        <v/>
      </c>
      <c r="I1774" s="1" t="str">
        <f t="shared" si="1776"/>
        <v/>
      </c>
      <c r="J1774" s="1" t="str">
        <f t="shared" si="3"/>
        <v/>
      </c>
      <c r="L1774" s="1" t="s">
        <v>3279</v>
      </c>
      <c r="M1774" s="1" t="str">
        <f t="shared" si="4"/>
        <v>44, 44, BELLSPROUT</v>
      </c>
    </row>
    <row r="1775" ht="12.75" customHeight="1">
      <c r="A1775" s="3" t="s">
        <v>3280</v>
      </c>
      <c r="B1775" s="3" t="str">
        <f t="shared" si="1"/>
        <v>48, 48, FEAROW</v>
      </c>
      <c r="C1775" s="1" t="str">
        <f t="array" ref="C1775">IF(B1774="NEW ROUTE",TEXTSPLIT(B1775,","),"")</f>
        <v/>
      </c>
      <c r="H1775" s="1" t="str">
        <f t="shared" ref="H1775:I1775" si="1777">IF(C1775&lt;&gt;"",DEC2HEX(C1775,2),"")</f>
        <v/>
      </c>
      <c r="I1775" s="1" t="str">
        <f t="shared" si="1777"/>
        <v/>
      </c>
      <c r="J1775" s="1" t="str">
        <f t="shared" si="3"/>
        <v/>
      </c>
      <c r="L1775" s="1" t="s">
        <v>3280</v>
      </c>
      <c r="M1775" s="1" t="str">
        <f t="shared" si="4"/>
        <v>48, 48, FEAROW</v>
      </c>
    </row>
    <row r="1776" ht="12.75" customHeight="1">
      <c r="A1776" s="3" t="s">
        <v>3264</v>
      </c>
      <c r="B1776" s="3" t="str">
        <f t="shared" si="1"/>
        <v>15, 15, SENTRET</v>
      </c>
      <c r="C1776" s="1" t="str">
        <f t="array" ref="C1776">IF(B1775="NEW ROUTE",TEXTSPLIT(B1776,","),"")</f>
        <v/>
      </c>
      <c r="H1776" s="1" t="str">
        <f t="shared" ref="H1776:I1776" si="1778">IF(C1776&lt;&gt;"",DEC2HEX(C1776,2),"")</f>
        <v/>
      </c>
      <c r="I1776" s="1" t="str">
        <f t="shared" si="1778"/>
        <v/>
      </c>
      <c r="J1776" s="1" t="str">
        <f t="shared" si="3"/>
        <v/>
      </c>
      <c r="L1776" s="1" t="s">
        <v>3264</v>
      </c>
      <c r="M1776" s="1" t="str">
        <f t="shared" si="4"/>
        <v>15, 15, SENTRET</v>
      </c>
    </row>
    <row r="1777" ht="12.75" customHeight="1">
      <c r="A1777" s="3" t="s">
        <v>3265</v>
      </c>
      <c r="B1777" s="3" t="str">
        <f t="shared" si="1"/>
        <v>41, 41, MEOWTH</v>
      </c>
      <c r="C1777" s="1" t="str">
        <f t="array" ref="C1777">IF(B1776="NEW ROUTE",TEXTSPLIT(B1777,","),"")</f>
        <v/>
      </c>
      <c r="H1777" s="1" t="str">
        <f t="shared" ref="H1777:I1777" si="1779">IF(C1777&lt;&gt;"",DEC2HEX(C1777,2),"")</f>
        <v/>
      </c>
      <c r="I1777" s="1" t="str">
        <f t="shared" si="1779"/>
        <v/>
      </c>
      <c r="J1777" s="1" t="str">
        <f t="shared" si="3"/>
        <v/>
      </c>
      <c r="L1777" s="1" t="s">
        <v>3265</v>
      </c>
      <c r="M1777" s="1" t="str">
        <f t="shared" si="4"/>
        <v>41, 41, MEOWTH</v>
      </c>
    </row>
    <row r="1778" ht="12.75" customHeight="1">
      <c r="A1778" s="3" t="s">
        <v>2807</v>
      </c>
      <c r="B1778" s="3" t="str">
        <f t="shared" si="1"/>
        <v>0.05</v>
      </c>
      <c r="C1778" s="1" t="str">
        <f t="array" ref="C1778">IF(B1777="NEW ROUTE",TEXTSPLIT(B1778,","),"")</f>
        <v/>
      </c>
      <c r="H1778" s="1" t="str">
        <f t="shared" ref="H1778:I1778" si="1780">IF(C1778&lt;&gt;"",DEC2HEX(C1778,2),"")</f>
        <v/>
      </c>
      <c r="I1778" s="1" t="str">
        <f t="shared" si="1780"/>
        <v/>
      </c>
      <c r="J1778" s="1" t="str">
        <f t="shared" si="3"/>
        <v/>
      </c>
      <c r="L1778" s="1" t="s">
        <v>2807</v>
      </c>
      <c r="M1778" s="1" t="str">
        <f t="shared" si="4"/>
        <v>0.05</v>
      </c>
    </row>
    <row r="1779" ht="12.75" customHeight="1">
      <c r="A1779" s="3" t="s">
        <v>3281</v>
      </c>
      <c r="B1779" s="3" t="str">
        <f t="shared" si="1"/>
        <v>48, 48, WEEPINBELL</v>
      </c>
      <c r="C1779" s="1" t="str">
        <f t="array" ref="C1779">IF(B1778="NEW ROUTE",TEXTSPLIT(B1779,","),"")</f>
        <v/>
      </c>
      <c r="H1779" s="1" t="str">
        <f t="shared" ref="H1779:I1779" si="1781">IF(C1779&lt;&gt;"",DEC2HEX(C1779,2),"")</f>
        <v/>
      </c>
      <c r="I1779" s="1" t="str">
        <f t="shared" si="1781"/>
        <v/>
      </c>
      <c r="J1779" s="1" t="str">
        <f t="shared" si="3"/>
        <v/>
      </c>
      <c r="L1779" s="1" t="s">
        <v>3281</v>
      </c>
      <c r="M1779" s="1" t="str">
        <f t="shared" si="4"/>
        <v>48, 48, WEEPINBELL</v>
      </c>
    </row>
    <row r="1780" ht="12.75" customHeight="1">
      <c r="A1780" s="3" t="s">
        <v>3155</v>
      </c>
      <c r="B1780" s="3" t="str">
        <f t="shared" si="1"/>
        <v>41, 41, SLOWPOKE</v>
      </c>
      <c r="C1780" s="1" t="str">
        <f t="array" ref="C1780">IF(B1779="NEW ROUTE",TEXTSPLIT(B1780,","),"")</f>
        <v/>
      </c>
      <c r="H1780" s="1" t="str">
        <f t="shared" ref="H1780:I1780" si="1782">IF(C1780&lt;&gt;"",DEC2HEX(C1780,2),"")</f>
        <v/>
      </c>
      <c r="I1780" s="1" t="str">
        <f t="shared" si="1782"/>
        <v/>
      </c>
      <c r="J1780" s="1" t="str">
        <f t="shared" si="3"/>
        <v/>
      </c>
      <c r="L1780" s="1" t="s">
        <v>3155</v>
      </c>
      <c r="M1780" s="1" t="str">
        <f t="shared" si="4"/>
        <v>41, 41, SLOWPOKE</v>
      </c>
    </row>
    <row r="1781" ht="12.75" customHeight="1">
      <c r="A1781" s="3" t="s">
        <v>2810</v>
      </c>
      <c r="B1781" s="3" t="str">
        <f t="shared" si="1"/>
        <v>0.04</v>
      </c>
      <c r="C1781" s="1" t="str">
        <f t="array" ref="C1781">IF(B1780="NEW ROUTE",TEXTSPLIT(B1781,","),"")</f>
        <v/>
      </c>
      <c r="H1781" s="1" t="str">
        <f t="shared" ref="H1781:I1781" si="1783">IF(C1781&lt;&gt;"",DEC2HEX(C1781,2),"")</f>
        <v/>
      </c>
      <c r="I1781" s="1" t="str">
        <f t="shared" si="1783"/>
        <v/>
      </c>
      <c r="J1781" s="1" t="str">
        <f t="shared" si="3"/>
        <v/>
      </c>
      <c r="L1781" s="1" t="s">
        <v>2810</v>
      </c>
      <c r="M1781" s="1" t="str">
        <f t="shared" si="4"/>
        <v>0.04</v>
      </c>
    </row>
    <row r="1782" ht="12.75" customHeight="1">
      <c r="A1782" s="3" t="s">
        <v>3282</v>
      </c>
      <c r="B1782" s="3" t="str">
        <f t="shared" si="1"/>
        <v>50, 50, FEAROW</v>
      </c>
      <c r="C1782" s="1" t="str">
        <f t="array" ref="C1782">IF(B1781="NEW ROUTE",TEXTSPLIT(B1782,","),"")</f>
        <v/>
      </c>
      <c r="H1782" s="1" t="str">
        <f t="shared" ref="H1782:I1782" si="1784">IF(C1782&lt;&gt;"",DEC2HEX(C1782,2),"")</f>
        <v/>
      </c>
      <c r="I1782" s="1" t="str">
        <f t="shared" si="1784"/>
        <v/>
      </c>
      <c r="J1782" s="1" t="str">
        <f t="shared" si="3"/>
        <v/>
      </c>
      <c r="L1782" s="1" t="s">
        <v>3282</v>
      </c>
      <c r="M1782" s="1" t="str">
        <f t="shared" si="4"/>
        <v>50, 50, FEAROW</v>
      </c>
    </row>
    <row r="1783" ht="12.75" customHeight="1">
      <c r="A1783" s="3" t="s">
        <v>3268</v>
      </c>
      <c r="B1783" s="3" t="str">
        <f t="shared" si="1"/>
        <v>47, 47, PERSIAN</v>
      </c>
      <c r="C1783" s="1" t="str">
        <f t="array" ref="C1783">IF(B1782="NEW ROUTE",TEXTSPLIT(B1783,","),"")</f>
        <v/>
      </c>
      <c r="H1783" s="1" t="str">
        <f t="shared" ref="H1783:I1783" si="1785">IF(C1783&lt;&gt;"",DEC2HEX(C1783,2),"")</f>
        <v/>
      </c>
      <c r="I1783" s="1" t="str">
        <f t="shared" si="1785"/>
        <v/>
      </c>
      <c r="J1783" s="1" t="str">
        <f t="shared" si="3"/>
        <v/>
      </c>
      <c r="L1783" s="1" t="s">
        <v>3268</v>
      </c>
      <c r="M1783" s="1" t="str">
        <f t="shared" si="4"/>
        <v>47, 47, PERSIAN</v>
      </c>
    </row>
    <row r="1784" ht="12.75" customHeight="1">
      <c r="A1784" s="3" t="s">
        <v>2813</v>
      </c>
      <c r="B1784" s="3" t="str">
        <f t="shared" si="1"/>
        <v>0.01</v>
      </c>
      <c r="C1784" s="1" t="str">
        <f t="array" ref="C1784">IF(B1783="NEW ROUTE",TEXTSPLIT(B1784,","),"")</f>
        <v/>
      </c>
      <c r="H1784" s="1" t="str">
        <f t="shared" ref="H1784:I1784" si="1786">IF(C1784&lt;&gt;"",DEC2HEX(C1784,2),"")</f>
        <v/>
      </c>
      <c r="I1784" s="1" t="str">
        <f t="shared" si="1786"/>
        <v/>
      </c>
      <c r="J1784" s="1" t="str">
        <f t="shared" si="3"/>
        <v/>
      </c>
      <c r="L1784" s="1" t="s">
        <v>2813</v>
      </c>
      <c r="M1784" s="1" t="str">
        <f t="shared" si="4"/>
        <v>0.01</v>
      </c>
    </row>
    <row r="1785" ht="12.75" customHeight="1">
      <c r="A1785" s="3" t="s">
        <v>3282</v>
      </c>
      <c r="B1785" s="3" t="str">
        <f t="shared" si="1"/>
        <v>50, 50, FEAROW</v>
      </c>
      <c r="C1785" s="1" t="str">
        <f t="array" ref="C1785">IF(B1784="NEW ROUTE",TEXTSPLIT(B1785,","),"")</f>
        <v/>
      </c>
      <c r="H1785" s="1" t="str">
        <f t="shared" ref="H1785:I1785" si="1787">IF(C1785&lt;&gt;"",DEC2HEX(C1785,2),"")</f>
        <v/>
      </c>
      <c r="I1785" s="1" t="str">
        <f t="shared" si="1787"/>
        <v/>
      </c>
      <c r="J1785" s="1" t="str">
        <f t="shared" si="3"/>
        <v/>
      </c>
      <c r="L1785" s="1" t="s">
        <v>3282</v>
      </c>
      <c r="M1785" s="1" t="str">
        <f t="shared" si="4"/>
        <v>50, 50, FEAROW</v>
      </c>
    </row>
    <row r="1786" ht="12.75" customHeight="1">
      <c r="A1786" s="3" t="s">
        <v>3269</v>
      </c>
      <c r="B1786" s="3" t="str">
        <f t="shared" si="1"/>
        <v>50, 50, PERSIAN</v>
      </c>
      <c r="C1786" s="1" t="str">
        <f t="array" ref="C1786">IF(B1785="NEW ROUTE",TEXTSPLIT(B1786,","),"")</f>
        <v/>
      </c>
      <c r="H1786" s="1" t="str">
        <f t="shared" ref="H1786:I1786" si="1788">IF(C1786&lt;&gt;"",DEC2HEX(C1786,2),"")</f>
        <v/>
      </c>
      <c r="I1786" s="1" t="str">
        <f t="shared" si="1788"/>
        <v/>
      </c>
      <c r="J1786" s="1" t="str">
        <f t="shared" si="3"/>
        <v/>
      </c>
      <c r="L1786" s="1" t="s">
        <v>3269</v>
      </c>
      <c r="M1786" s="1" t="str">
        <f t="shared" si="4"/>
        <v>50, 50, PERSIAN</v>
      </c>
    </row>
    <row r="1787" ht="12.75" customHeight="1">
      <c r="A1787" s="3" t="s">
        <v>3173</v>
      </c>
      <c r="B1787" s="3" t="str">
        <f t="shared" si="1"/>
        <v>2, 5, 20, TENTACOOL</v>
      </c>
      <c r="C1787" s="1" t="str">
        <f t="array" ref="C1787">IF(B1786="NEW ROUTE",TEXTSPLIT(B1787,","),"")</f>
        <v/>
      </c>
      <c r="H1787" s="1" t="str">
        <f t="shared" ref="H1787:I1787" si="1789">IF(C1787&lt;&gt;"",DEC2HEX(C1787,2),"")</f>
        <v/>
      </c>
      <c r="I1787" s="1" t="str">
        <f t="shared" si="1789"/>
        <v/>
      </c>
      <c r="J1787" s="1" t="str">
        <f t="shared" si="3"/>
        <v/>
      </c>
      <c r="L1787" s="1" t="s">
        <v>3173</v>
      </c>
      <c r="M1787" s="1" t="str">
        <f t="shared" si="4"/>
        <v>2, 5, 20, TENTACOOL</v>
      </c>
    </row>
    <row r="1788" ht="12.75" customHeight="1">
      <c r="A1788" s="3" t="s">
        <v>3174</v>
      </c>
      <c r="B1788" s="3" t="str">
        <f t="shared" si="1"/>
        <v>20, 35, TENTACOOL</v>
      </c>
      <c r="C1788" s="1" t="str">
        <f t="array" ref="C1788">IF(B1787="NEW ROUTE",TEXTSPLIT(B1788,","),"")</f>
        <v/>
      </c>
      <c r="H1788" s="1" t="str">
        <f t="shared" ref="H1788:I1788" si="1790">IF(C1788&lt;&gt;"",DEC2HEX(C1788,2),"")</f>
        <v/>
      </c>
      <c r="I1788" s="1" t="str">
        <f t="shared" si="1790"/>
        <v/>
      </c>
      <c r="J1788" s="1" t="str">
        <f t="shared" si="3"/>
        <v/>
      </c>
      <c r="L1788" s="1" t="s">
        <v>3174</v>
      </c>
      <c r="M1788" s="1" t="str">
        <f t="shared" si="4"/>
        <v>20, 35, TENTACOOL</v>
      </c>
    </row>
    <row r="1789" ht="12.75" customHeight="1">
      <c r="A1789" s="3" t="s">
        <v>2845</v>
      </c>
      <c r="B1789" s="3" t="str">
        <f t="shared" si="1"/>
        <v>35, 40, TENTACOOL</v>
      </c>
      <c r="C1789" s="1" t="str">
        <f t="array" ref="C1789">IF(B1788="NEW ROUTE",TEXTSPLIT(B1789,","),"")</f>
        <v/>
      </c>
      <c r="H1789" s="1" t="str">
        <f t="shared" ref="H1789:I1789" si="1791">IF(C1789&lt;&gt;"",DEC2HEX(C1789,2),"")</f>
        <v/>
      </c>
      <c r="I1789" s="1" t="str">
        <f t="shared" si="1791"/>
        <v/>
      </c>
      <c r="J1789" s="1" t="str">
        <f t="shared" si="3"/>
        <v/>
      </c>
      <c r="L1789" s="1" t="s">
        <v>2845</v>
      </c>
      <c r="M1789" s="1" t="str">
        <f t="shared" si="4"/>
        <v>35, 40, TENTACOOL</v>
      </c>
    </row>
    <row r="1790" ht="12.75" customHeight="1">
      <c r="A1790" s="3" t="s">
        <v>3232</v>
      </c>
      <c r="B1790" s="3" t="str">
        <f t="shared" si="1"/>
        <v>35, 40, TENTACRUEL</v>
      </c>
      <c r="C1790" s="1" t="str">
        <f t="array" ref="C1790">IF(B1789="NEW ROUTE",TEXTSPLIT(B1790,","),"")</f>
        <v/>
      </c>
      <c r="H1790" s="1" t="str">
        <f t="shared" ref="H1790:I1790" si="1792">IF(C1790&lt;&gt;"",DEC2HEX(C1790,2),"")</f>
        <v/>
      </c>
      <c r="I1790" s="1" t="str">
        <f t="shared" si="1792"/>
        <v/>
      </c>
      <c r="J1790" s="1" t="str">
        <f t="shared" si="3"/>
        <v/>
      </c>
      <c r="L1790" s="1" t="s">
        <v>3232</v>
      </c>
      <c r="M1790" s="1" t="str">
        <f t="shared" si="4"/>
        <v>35, 40, TENTACRUEL</v>
      </c>
    </row>
    <row r="1791" ht="12.75" customHeight="1">
      <c r="A1791" s="3" t="s">
        <v>3232</v>
      </c>
      <c r="B1791" s="3" t="str">
        <f t="shared" si="1"/>
        <v>35, 40, TENTACRUEL</v>
      </c>
      <c r="C1791" s="1" t="str">
        <f t="array" ref="C1791">IF(B1790="NEW ROUTE",TEXTSPLIT(B1791,","),"")</f>
        <v/>
      </c>
      <c r="H1791" s="1" t="str">
        <f t="shared" ref="H1791:I1791" si="1793">IF(C1791&lt;&gt;"",DEC2HEX(C1791,2),"")</f>
        <v/>
      </c>
      <c r="I1791" s="1" t="str">
        <f t="shared" si="1793"/>
        <v/>
      </c>
      <c r="J1791" s="1" t="str">
        <f t="shared" si="3"/>
        <v/>
      </c>
      <c r="L1791" s="1" t="s">
        <v>3232</v>
      </c>
      <c r="M1791" s="1" t="str">
        <f t="shared" si="4"/>
        <v>35, 40, TENTACRUEL</v>
      </c>
    </row>
    <row r="1792" ht="12.75" customHeight="1">
      <c r="A1792" s="3" t="s">
        <v>2926</v>
      </c>
      <c r="B1792" s="3" t="str">
        <f t="shared" si="1"/>
        <v>20, old rod:</v>
      </c>
      <c r="C1792" s="1" t="str">
        <f t="array" ref="C1792">IF(B1791="NEW ROUTE",TEXTSPLIT(B1792,","),"")</f>
        <v/>
      </c>
      <c r="H1792" s="1" t="str">
        <f t="shared" ref="H1792:I1792" si="1794">IF(C1792&lt;&gt;"",DEC2HEX(C1792,2),"")</f>
        <v/>
      </c>
      <c r="I1792" s="1" t="str">
        <f t="shared" si="1794"/>
        <v/>
      </c>
      <c r="J1792" s="1" t="str">
        <f t="shared" si="3"/>
        <v/>
      </c>
      <c r="L1792" s="1" t="s">
        <v>2926</v>
      </c>
      <c r="M1792" s="1" t="str">
        <f t="shared" si="4"/>
        <v>20, old rod:</v>
      </c>
    </row>
    <row r="1793" ht="12.75" customHeight="1">
      <c r="A1793" s="3" t="s">
        <v>417</v>
      </c>
      <c r="B1793" s="3" t="str">
        <f t="shared" si="1"/>
        <v>5, 5, MAGIKARP</v>
      </c>
      <c r="C1793" s="1" t="str">
        <f t="array" ref="C1793">IF(B1792="NEW ROUTE",TEXTSPLIT(B1793,","),"")</f>
        <v/>
      </c>
      <c r="H1793" s="1" t="str">
        <f t="shared" ref="H1793:I1793" si="1795">IF(C1793&lt;&gt;"",DEC2HEX(C1793,2),"")</f>
        <v/>
      </c>
      <c r="I1793" s="1" t="str">
        <f t="shared" si="1795"/>
        <v/>
      </c>
      <c r="J1793" s="1" t="str">
        <f t="shared" si="3"/>
        <v/>
      </c>
      <c r="L1793" s="1" t="s">
        <v>417</v>
      </c>
      <c r="M1793" s="1" t="str">
        <f t="shared" si="4"/>
        <v>5, 5, MAGIKARP</v>
      </c>
    </row>
    <row r="1794" ht="12.75" customHeight="1">
      <c r="A1794" s="3" t="s">
        <v>417</v>
      </c>
      <c r="B1794" s="3" t="str">
        <f t="shared" si="1"/>
        <v>5, 5, MAGIKARP</v>
      </c>
      <c r="C1794" s="1" t="str">
        <f t="array" ref="C1794">IF(B1793="NEW ROUTE",TEXTSPLIT(B1794,","),"")</f>
        <v/>
      </c>
      <c r="H1794" s="1" t="str">
        <f t="shared" ref="H1794:I1794" si="1796">IF(C1794&lt;&gt;"",DEC2HEX(C1794,2),"")</f>
        <v/>
      </c>
      <c r="I1794" s="1" t="str">
        <f t="shared" si="1796"/>
        <v/>
      </c>
      <c r="J1794" s="1" t="str">
        <f t="shared" si="3"/>
        <v/>
      </c>
      <c r="L1794" s="1" t="s">
        <v>417</v>
      </c>
      <c r="M1794" s="1" t="str">
        <f t="shared" si="4"/>
        <v>5, 5, MAGIKARP</v>
      </c>
    </row>
    <row r="1795" ht="12.75" customHeight="1">
      <c r="A1795" s="3" t="s">
        <v>2847</v>
      </c>
      <c r="B1795" s="3" t="str">
        <f t="shared" si="1"/>
        <v>good rod:</v>
      </c>
      <c r="C1795" s="1" t="str">
        <f t="array" ref="C1795">IF(B1794="NEW ROUTE",TEXTSPLIT(B1795,","),"")</f>
        <v/>
      </c>
      <c r="H1795" s="1" t="str">
        <f t="shared" ref="H1795:I1795" si="1797">IF(C1795&lt;&gt;"",DEC2HEX(C1795,2),"")</f>
        <v/>
      </c>
      <c r="I1795" s="1" t="str">
        <f t="shared" si="1797"/>
        <v/>
      </c>
      <c r="J1795" s="1" t="str">
        <f t="shared" si="3"/>
        <v/>
      </c>
      <c r="L1795" s="1" t="s">
        <v>2847</v>
      </c>
      <c r="M1795" s="1" t="str">
        <f t="shared" si="4"/>
        <v>good rod:</v>
      </c>
    </row>
    <row r="1796" ht="12.75" customHeight="1">
      <c r="A1796" s="3" t="s">
        <v>2848</v>
      </c>
      <c r="B1796" s="3" t="str">
        <f t="shared" si="1"/>
        <v>5, 15, KRABBY</v>
      </c>
      <c r="C1796" s="1" t="str">
        <f t="array" ref="C1796">IF(B1795="NEW ROUTE",TEXTSPLIT(B1796,","),"")</f>
        <v/>
      </c>
      <c r="H1796" s="1" t="str">
        <f t="shared" ref="H1796:I1796" si="1798">IF(C1796&lt;&gt;"",DEC2HEX(C1796,2),"")</f>
        <v/>
      </c>
      <c r="I1796" s="1" t="str">
        <f t="shared" si="1798"/>
        <v/>
      </c>
      <c r="J1796" s="1" t="str">
        <f t="shared" si="3"/>
        <v/>
      </c>
      <c r="L1796" s="1" t="s">
        <v>2848</v>
      </c>
      <c r="M1796" s="1" t="str">
        <f t="shared" si="4"/>
        <v>5, 15, KRABBY</v>
      </c>
    </row>
    <row r="1797" ht="12.75" customHeight="1">
      <c r="A1797" s="3" t="s">
        <v>2849</v>
      </c>
      <c r="B1797" s="3" t="str">
        <f t="shared" si="1"/>
        <v>5, 15, MAGIKARP</v>
      </c>
      <c r="C1797" s="1" t="str">
        <f t="array" ref="C1797">IF(B1796="NEW ROUTE",TEXTSPLIT(B1797,","),"")</f>
        <v/>
      </c>
      <c r="H1797" s="1" t="str">
        <f t="shared" ref="H1797:I1797" si="1799">IF(C1797&lt;&gt;"",DEC2HEX(C1797,2),"")</f>
        <v/>
      </c>
      <c r="I1797" s="1" t="str">
        <f t="shared" si="1799"/>
        <v/>
      </c>
      <c r="J1797" s="1" t="str">
        <f t="shared" si="3"/>
        <v/>
      </c>
      <c r="L1797" s="1" t="s">
        <v>2849</v>
      </c>
      <c r="M1797" s="1" t="str">
        <f t="shared" si="4"/>
        <v>5, 15, MAGIKARP</v>
      </c>
    </row>
    <row r="1798" ht="12.75" customHeight="1">
      <c r="A1798" s="3" t="s">
        <v>2848</v>
      </c>
      <c r="B1798" s="3" t="str">
        <f t="shared" si="1"/>
        <v>5, 15, KRABBY</v>
      </c>
      <c r="C1798" s="1" t="str">
        <f t="array" ref="C1798">IF(B1797="NEW ROUTE",TEXTSPLIT(B1798,","),"")</f>
        <v/>
      </c>
      <c r="H1798" s="1" t="str">
        <f t="shared" ref="H1798:I1798" si="1800">IF(C1798&lt;&gt;"",DEC2HEX(C1798,2),"")</f>
        <v/>
      </c>
      <c r="I1798" s="1" t="str">
        <f t="shared" si="1800"/>
        <v/>
      </c>
      <c r="J1798" s="1" t="str">
        <f t="shared" si="3"/>
        <v/>
      </c>
      <c r="L1798" s="1" t="s">
        <v>2848</v>
      </c>
      <c r="M1798" s="1" t="str">
        <f t="shared" si="4"/>
        <v>5, 15, KRABBY</v>
      </c>
    </row>
    <row r="1799" ht="12.75" customHeight="1">
      <c r="A1799" s="3" t="s">
        <v>2851</v>
      </c>
      <c r="B1799" s="3" t="str">
        <f t="shared" si="1"/>
        <v>super rod:</v>
      </c>
      <c r="C1799" s="1" t="str">
        <f t="array" ref="C1799">IF(B1798="NEW ROUTE",TEXTSPLIT(B1799,","),"")</f>
        <v/>
      </c>
      <c r="H1799" s="1" t="str">
        <f t="shared" ref="H1799:I1799" si="1801">IF(C1799&lt;&gt;"",DEC2HEX(C1799,2),"")</f>
        <v/>
      </c>
      <c r="I1799" s="1" t="str">
        <f t="shared" si="1801"/>
        <v/>
      </c>
      <c r="J1799" s="1" t="str">
        <f t="shared" si="3"/>
        <v/>
      </c>
      <c r="L1799" s="1" t="s">
        <v>2851</v>
      </c>
      <c r="M1799" s="1" t="str">
        <f t="shared" si="4"/>
        <v>super rod:</v>
      </c>
    </row>
    <row r="1800" ht="12.75" customHeight="1">
      <c r="A1800" s="3" t="s">
        <v>2852</v>
      </c>
      <c r="B1800" s="3" t="str">
        <f t="shared" si="1"/>
        <v>15, 25, KRABBY</v>
      </c>
      <c r="C1800" s="1" t="str">
        <f t="array" ref="C1800">IF(B1799="NEW ROUTE",TEXTSPLIT(B1800,","),"")</f>
        <v/>
      </c>
      <c r="H1800" s="1" t="str">
        <f t="shared" ref="H1800:I1800" si="1802">IF(C1800&lt;&gt;"",DEC2HEX(C1800,2),"")</f>
        <v/>
      </c>
      <c r="I1800" s="1" t="str">
        <f t="shared" si="1802"/>
        <v/>
      </c>
      <c r="J1800" s="1" t="str">
        <f t="shared" si="3"/>
        <v/>
      </c>
      <c r="L1800" s="1" t="s">
        <v>2852</v>
      </c>
      <c r="M1800" s="1" t="str">
        <f t="shared" si="4"/>
        <v>15, 25, KRABBY</v>
      </c>
    </row>
    <row r="1801" ht="12.75" customHeight="1">
      <c r="A1801" s="3" t="s">
        <v>3259</v>
      </c>
      <c r="B1801" s="3" t="str">
        <f t="shared" si="1"/>
        <v>15, 25, REMORAID</v>
      </c>
      <c r="C1801" s="1" t="str">
        <f t="array" ref="C1801">IF(B1800="NEW ROUTE",TEXTSPLIT(B1801,","),"")</f>
        <v/>
      </c>
      <c r="H1801" s="1" t="str">
        <f t="shared" ref="H1801:I1801" si="1803">IF(C1801&lt;&gt;"",DEC2HEX(C1801,2),"")</f>
        <v/>
      </c>
      <c r="I1801" s="1" t="str">
        <f t="shared" si="1803"/>
        <v/>
      </c>
      <c r="J1801" s="1" t="str">
        <f t="shared" si="3"/>
        <v/>
      </c>
      <c r="L1801" s="1" t="s">
        <v>3259</v>
      </c>
      <c r="M1801" s="1" t="str">
        <f t="shared" si="4"/>
        <v>15, 25, REMORAID</v>
      </c>
    </row>
    <row r="1802" ht="12.75" customHeight="1">
      <c r="A1802" s="3" t="s">
        <v>2854</v>
      </c>
      <c r="B1802" s="3" t="str">
        <f t="shared" si="1"/>
        <v>15, 25, GYARADOS</v>
      </c>
      <c r="C1802" s="1" t="str">
        <f t="array" ref="C1802">IF(B1801="NEW ROUTE",TEXTSPLIT(B1802,","),"")</f>
        <v/>
      </c>
      <c r="H1802" s="1" t="str">
        <f t="shared" ref="H1802:I1802" si="1804">IF(C1802&lt;&gt;"",DEC2HEX(C1802,2),"")</f>
        <v/>
      </c>
      <c r="I1802" s="1" t="str">
        <f t="shared" si="1804"/>
        <v/>
      </c>
      <c r="J1802" s="1" t="str">
        <f t="shared" si="3"/>
        <v/>
      </c>
      <c r="L1802" s="1" t="s">
        <v>2854</v>
      </c>
      <c r="M1802" s="1" t="str">
        <f t="shared" si="4"/>
        <v>15, 25, GYARADOS</v>
      </c>
    </row>
    <row r="1803" ht="12.75" customHeight="1">
      <c r="A1803" s="3" t="s">
        <v>3178</v>
      </c>
      <c r="B1803" s="3" t="str">
        <f t="shared" si="1"/>
        <v>25, 35, KINGLER</v>
      </c>
      <c r="C1803" s="1" t="str">
        <f t="array" ref="C1803">IF(B1802="NEW ROUTE",TEXTSPLIT(B1803,","),"")</f>
        <v/>
      </c>
      <c r="H1803" s="1" t="str">
        <f t="shared" ref="H1803:I1803" si="1805">IF(C1803&lt;&gt;"",DEC2HEX(C1803,2),"")</f>
        <v/>
      </c>
      <c r="I1803" s="1" t="str">
        <f t="shared" si="1805"/>
        <v/>
      </c>
      <c r="J1803" s="1" t="str">
        <f t="shared" si="3"/>
        <v/>
      </c>
      <c r="L1803" s="1" t="s">
        <v>3178</v>
      </c>
      <c r="M1803" s="1" t="str">
        <f t="shared" si="4"/>
        <v>25, 35, KINGLER</v>
      </c>
    </row>
    <row r="1804" ht="12.75" customHeight="1">
      <c r="A1804" s="3" t="s">
        <v>2856</v>
      </c>
      <c r="B1804" s="3" t="str">
        <f t="shared" si="1"/>
        <v>25, 35, SLOWPOKE</v>
      </c>
      <c r="C1804" s="1" t="str">
        <f t="array" ref="C1804">IF(B1803="NEW ROUTE",TEXTSPLIT(B1804,","),"")</f>
        <v/>
      </c>
      <c r="H1804" s="1" t="str">
        <f t="shared" ref="H1804:I1804" si="1806">IF(C1804&lt;&gt;"",DEC2HEX(C1804,2),"")</f>
        <v/>
      </c>
      <c r="I1804" s="1" t="str">
        <f t="shared" si="1806"/>
        <v/>
      </c>
      <c r="J1804" s="1" t="str">
        <f t="shared" si="3"/>
        <v/>
      </c>
      <c r="L1804" s="1" t="s">
        <v>2856</v>
      </c>
      <c r="M1804" s="1" t="str">
        <f t="shared" si="4"/>
        <v>25, 35, SLOWPOKE</v>
      </c>
    </row>
    <row r="1805" ht="12.75" customHeight="1">
      <c r="A1805" s="3" t="s">
        <v>2539</v>
      </c>
      <c r="B1805" s="3" t="str">
        <f t="shared" si="1"/>
        <v>NEW ROUTE</v>
      </c>
      <c r="C1805" s="1" t="str">
        <f t="array" ref="C1805">IF(B1804="NEW ROUTE",TEXTSPLIT(B1805,","),"")</f>
        <v/>
      </c>
      <c r="H1805" s="1" t="str">
        <f t="shared" ref="H1805:I1805" si="1807">IF(C1805&lt;&gt;"",DEC2HEX(C1805,2),"")</f>
        <v/>
      </c>
      <c r="I1805" s="1" t="str">
        <f t="shared" si="1807"/>
        <v/>
      </c>
      <c r="J1805" s="1" t="str">
        <f t="shared" si="3"/>
        <v/>
      </c>
      <c r="L1805" s="1" t="s">
        <v>2539</v>
      </c>
      <c r="M1805" s="1" t="str">
        <f t="shared" si="4"/>
        <v>NEW ROUTE</v>
      </c>
    </row>
    <row r="1806" ht="12.75" customHeight="1">
      <c r="A1806" s="3" t="s">
        <v>3283</v>
      </c>
      <c r="B1806" s="3" t="str">
        <f t="shared" si="1"/>
        <v>3, 61, 0,</v>
      </c>
      <c r="C1806" s="1" t="str">
        <f t="array" ref="C1806">IF(B1805="NEW ROUTE",TEXTSPLIT(B1806,","),"")</f>
        <v>#NAME?</v>
      </c>
      <c r="H1806" s="1" t="str">
        <f t="shared" ref="H1806:I1806" si="1808">IF(C1806&lt;&gt;"",DEC2HEX(C1806,2),"")</f>
        <v>#NAME?</v>
      </c>
      <c r="I1806" s="1" t="str">
        <f t="shared" si="1808"/>
        <v/>
      </c>
      <c r="J1806" s="1" t="str">
        <f t="shared" si="3"/>
        <v>#NAME?</v>
      </c>
      <c r="L1806" s="1" t="s">
        <v>3283</v>
      </c>
      <c r="M1806" s="1" t="str">
        <f t="shared" si="4"/>
        <v>#NAME?</v>
      </c>
    </row>
    <row r="1807" ht="12.75" customHeight="1">
      <c r="A1807" s="3" t="s">
        <v>2909</v>
      </c>
      <c r="B1807" s="3" t="str">
        <f t="shared" si="1"/>
        <v>20%</v>
      </c>
      <c r="C1807" s="1" t="str">
        <f t="array" ref="C1807">IF(B1806="NEW ROUTE",TEXTSPLIT(B1807,","),"")</f>
        <v/>
      </c>
      <c r="H1807" s="1" t="str">
        <f t="shared" ref="H1807:I1807" si="1809">IF(C1807&lt;&gt;"",DEC2HEX(C1807,2),"")</f>
        <v/>
      </c>
      <c r="I1807" s="1" t="str">
        <f t="shared" si="1809"/>
        <v/>
      </c>
      <c r="J1807" s="1" t="str">
        <f t="shared" si="3"/>
        <v/>
      </c>
      <c r="L1807" s="1" t="s">
        <v>2799</v>
      </c>
      <c r="M1807" s="1" t="str">
        <f t="shared" si="4"/>
        <v>20%</v>
      </c>
    </row>
    <row r="1808" ht="12.75" customHeight="1">
      <c r="A1808" s="3" t="s">
        <v>894</v>
      </c>
      <c r="B1808" s="3" t="str">
        <f t="shared" si="1"/>
        <v>15, 15, NATU</v>
      </c>
      <c r="C1808" s="1" t="str">
        <f t="array" ref="C1808">IF(B1807="NEW ROUTE",TEXTSPLIT(B1808,","),"")</f>
        <v/>
      </c>
      <c r="H1808" s="1" t="str">
        <f t="shared" ref="H1808:I1808" si="1810">IF(C1808&lt;&gt;"",DEC2HEX(C1808,2),"")</f>
        <v/>
      </c>
      <c r="I1808" s="1" t="str">
        <f t="shared" si="1810"/>
        <v/>
      </c>
      <c r="J1808" s="1" t="str">
        <f t="shared" si="3"/>
        <v/>
      </c>
      <c r="L1808" s="1" t="s">
        <v>894</v>
      </c>
      <c r="M1808" s="1" t="str">
        <f t="shared" si="4"/>
        <v>15, 15, NATU</v>
      </c>
    </row>
    <row r="1809" ht="12.75" customHeight="1">
      <c r="A1809" s="3" t="s">
        <v>887</v>
      </c>
      <c r="B1809" s="3" t="str">
        <f t="shared" si="1"/>
        <v>44, 44, SPEAROW</v>
      </c>
      <c r="C1809" s="1" t="str">
        <f t="array" ref="C1809">IF(B1808="NEW ROUTE",TEXTSPLIT(B1809,","),"")</f>
        <v/>
      </c>
      <c r="H1809" s="1" t="str">
        <f t="shared" ref="H1809:I1809" si="1811">IF(C1809&lt;&gt;"",DEC2HEX(C1809,2),"")</f>
        <v/>
      </c>
      <c r="I1809" s="1" t="str">
        <f t="shared" si="1811"/>
        <v/>
      </c>
      <c r="J1809" s="1" t="str">
        <f t="shared" si="3"/>
        <v/>
      </c>
      <c r="L1809" s="1" t="s">
        <v>887</v>
      </c>
      <c r="M1809" s="1" t="str">
        <f t="shared" si="4"/>
        <v>44, 44, SPEAROW</v>
      </c>
    </row>
    <row r="1810" ht="12.75" customHeight="1">
      <c r="A1810" s="3" t="s">
        <v>2802</v>
      </c>
      <c r="B1810" s="3" t="str">
        <f t="shared" si="1"/>
        <v>0.1</v>
      </c>
      <c r="C1810" s="1" t="str">
        <f t="array" ref="C1810">IF(B1809="NEW ROUTE",TEXTSPLIT(B1810,","),"")</f>
        <v/>
      </c>
      <c r="H1810" s="1" t="str">
        <f t="shared" ref="H1810:I1810" si="1812">IF(C1810&lt;&gt;"",DEC2HEX(C1810,2),"")</f>
        <v/>
      </c>
      <c r="I1810" s="1" t="str">
        <f t="shared" si="1812"/>
        <v/>
      </c>
      <c r="J1810" s="1" t="str">
        <f t="shared" si="3"/>
        <v/>
      </c>
      <c r="L1810" s="1" t="s">
        <v>2802</v>
      </c>
      <c r="M1810" s="1" t="str">
        <f t="shared" si="4"/>
        <v>0.1</v>
      </c>
    </row>
    <row r="1811" ht="12.75" customHeight="1">
      <c r="A1811" s="3" t="s">
        <v>3284</v>
      </c>
      <c r="B1811" s="3" t="str">
        <f t="shared" si="1"/>
        <v>18, 18, YANMA</v>
      </c>
      <c r="C1811" s="1" t="str">
        <f t="array" ref="C1811">IF(B1810="NEW ROUTE",TEXTSPLIT(B1811,","),"")</f>
        <v/>
      </c>
      <c r="H1811" s="1" t="str">
        <f t="shared" ref="H1811:I1811" si="1813">IF(C1811&lt;&gt;"",DEC2HEX(C1811,2),"")</f>
        <v/>
      </c>
      <c r="I1811" s="1" t="str">
        <f t="shared" si="1813"/>
        <v/>
      </c>
      <c r="J1811" s="1" t="str">
        <f t="shared" si="3"/>
        <v/>
      </c>
      <c r="L1811" s="1" t="s">
        <v>3284</v>
      </c>
      <c r="M1811" s="1" t="str">
        <f t="shared" si="4"/>
        <v>18, 18, YANMA</v>
      </c>
    </row>
    <row r="1812" ht="12.75" customHeight="1">
      <c r="A1812" s="3" t="s">
        <v>3285</v>
      </c>
      <c r="B1812" s="3" t="str">
        <f t="shared" si="1"/>
        <v>15, 15, MARILL</v>
      </c>
      <c r="C1812" s="1" t="str">
        <f t="array" ref="C1812">IF(B1811="NEW ROUTE",TEXTSPLIT(B1812,","),"")</f>
        <v/>
      </c>
      <c r="H1812" s="1" t="str">
        <f t="shared" ref="H1812:I1812" si="1814">IF(C1812&lt;&gt;"",DEC2HEX(C1812,2),"")</f>
        <v/>
      </c>
      <c r="I1812" s="1" t="str">
        <f t="shared" si="1814"/>
        <v/>
      </c>
      <c r="J1812" s="1" t="str">
        <f t="shared" si="3"/>
        <v/>
      </c>
      <c r="L1812" s="1" t="s">
        <v>3285</v>
      </c>
      <c r="M1812" s="1" t="str">
        <f t="shared" si="4"/>
        <v>15, 15, MARILL</v>
      </c>
    </row>
    <row r="1813" ht="12.75" customHeight="1">
      <c r="A1813" s="3" t="s">
        <v>3286</v>
      </c>
      <c r="B1813" s="3" t="str">
        <f t="shared" si="1"/>
        <v>49, 49, FEAROW</v>
      </c>
      <c r="C1813" s="1" t="str">
        <f t="array" ref="C1813">IF(B1812="NEW ROUTE",TEXTSPLIT(B1813,","),"")</f>
        <v/>
      </c>
      <c r="H1813" s="1" t="str">
        <f t="shared" ref="H1813:I1813" si="1815">IF(C1813&lt;&gt;"",DEC2HEX(C1813,2),"")</f>
        <v/>
      </c>
      <c r="I1813" s="1" t="str">
        <f t="shared" si="1815"/>
        <v/>
      </c>
      <c r="J1813" s="1" t="str">
        <f t="shared" si="3"/>
        <v/>
      </c>
      <c r="L1813" s="1" t="s">
        <v>3286</v>
      </c>
      <c r="M1813" s="1" t="str">
        <f t="shared" si="4"/>
        <v>49, 49, FEAROW</v>
      </c>
    </row>
    <row r="1814" ht="12.75" customHeight="1">
      <c r="A1814" s="3" t="s">
        <v>3287</v>
      </c>
      <c r="B1814" s="3" t="str">
        <f t="shared" si="1"/>
        <v>43, 43, MEOWTH</v>
      </c>
      <c r="C1814" s="1" t="str">
        <f t="array" ref="C1814">IF(B1813="NEW ROUTE",TEXTSPLIT(B1814,","),"")</f>
        <v/>
      </c>
      <c r="H1814" s="1" t="str">
        <f t="shared" ref="H1814:I1814" si="1816">IF(C1814&lt;&gt;"",DEC2HEX(C1814,2),"")</f>
        <v/>
      </c>
      <c r="I1814" s="1" t="str">
        <f t="shared" si="1816"/>
        <v/>
      </c>
      <c r="J1814" s="1" t="str">
        <f t="shared" si="3"/>
        <v/>
      </c>
      <c r="L1814" s="1" t="s">
        <v>3287</v>
      </c>
      <c r="M1814" s="1" t="str">
        <f t="shared" si="4"/>
        <v>43, 43, MEOWTH</v>
      </c>
    </row>
    <row r="1815" ht="12.75" customHeight="1">
      <c r="A1815" s="3" t="s">
        <v>2807</v>
      </c>
      <c r="B1815" s="3" t="str">
        <f t="shared" si="1"/>
        <v>0.05</v>
      </c>
      <c r="C1815" s="1" t="str">
        <f t="array" ref="C1815">IF(B1814="NEW ROUTE",TEXTSPLIT(B1815,","),"")</f>
        <v/>
      </c>
      <c r="H1815" s="1" t="str">
        <f t="shared" ref="H1815:I1815" si="1817">IF(C1815&lt;&gt;"",DEC2HEX(C1815,2),"")</f>
        <v/>
      </c>
      <c r="I1815" s="1" t="str">
        <f t="shared" si="1817"/>
        <v/>
      </c>
      <c r="J1815" s="1" t="str">
        <f t="shared" si="3"/>
        <v/>
      </c>
      <c r="L1815" s="1" t="s">
        <v>2807</v>
      </c>
      <c r="M1815" s="1" t="str">
        <f t="shared" si="4"/>
        <v>0.05</v>
      </c>
    </row>
    <row r="1816" ht="12.75" customHeight="1">
      <c r="A1816" s="3" t="s">
        <v>3288</v>
      </c>
      <c r="B1816" s="3" t="str">
        <f t="shared" si="1"/>
        <v>25, 25, WOBBUFFET</v>
      </c>
      <c r="C1816" s="1" t="str">
        <f t="array" ref="C1816">IF(B1815="NEW ROUTE",TEXTSPLIT(B1816,","),"")</f>
        <v/>
      </c>
      <c r="H1816" s="1" t="str">
        <f t="shared" ref="H1816:I1816" si="1818">IF(C1816&lt;&gt;"",DEC2HEX(C1816,2),"")</f>
        <v/>
      </c>
      <c r="I1816" s="1" t="str">
        <f t="shared" si="1818"/>
        <v/>
      </c>
      <c r="J1816" s="1" t="str">
        <f t="shared" si="3"/>
        <v/>
      </c>
      <c r="L1816" s="1" t="s">
        <v>3288</v>
      </c>
      <c r="M1816" s="1" t="str">
        <f t="shared" si="4"/>
        <v>25, 25, WOBBUFFET</v>
      </c>
    </row>
    <row r="1817" ht="12.75" customHeight="1">
      <c r="A1817" s="3" t="s">
        <v>3155</v>
      </c>
      <c r="B1817" s="3" t="str">
        <f t="shared" si="1"/>
        <v>41, 41, SLOWPOKE</v>
      </c>
      <c r="C1817" s="1" t="str">
        <f t="array" ref="C1817">IF(B1816="NEW ROUTE",TEXTSPLIT(B1817,","),"")</f>
        <v/>
      </c>
      <c r="H1817" s="1" t="str">
        <f t="shared" ref="H1817:I1817" si="1819">IF(C1817&lt;&gt;"",DEC2HEX(C1817,2),"")</f>
        <v/>
      </c>
      <c r="I1817" s="1" t="str">
        <f t="shared" si="1819"/>
        <v/>
      </c>
      <c r="J1817" s="1" t="str">
        <f t="shared" si="3"/>
        <v/>
      </c>
      <c r="L1817" s="1" t="s">
        <v>3155</v>
      </c>
      <c r="M1817" s="1" t="str">
        <f t="shared" si="4"/>
        <v>41, 41, SLOWPOKE</v>
      </c>
    </row>
    <row r="1818" ht="12.75" customHeight="1">
      <c r="A1818" s="3" t="s">
        <v>2810</v>
      </c>
      <c r="B1818" s="3" t="str">
        <f t="shared" si="1"/>
        <v>0.04</v>
      </c>
      <c r="C1818" s="1" t="str">
        <f t="array" ref="C1818">IF(B1817="NEW ROUTE",TEXTSPLIT(B1818,","),"")</f>
        <v/>
      </c>
      <c r="H1818" s="1" t="str">
        <f t="shared" ref="H1818:I1818" si="1820">IF(C1818&lt;&gt;"",DEC2HEX(C1818,2),"")</f>
        <v/>
      </c>
      <c r="I1818" s="1" t="str">
        <f t="shared" si="1820"/>
        <v/>
      </c>
      <c r="J1818" s="1" t="str">
        <f t="shared" si="3"/>
        <v/>
      </c>
      <c r="L1818" s="1" t="s">
        <v>2810</v>
      </c>
      <c r="M1818" s="1" t="str">
        <f t="shared" si="4"/>
        <v>0.04</v>
      </c>
    </row>
    <row r="1819" ht="12.75" customHeight="1">
      <c r="A1819" s="3" t="s">
        <v>3289</v>
      </c>
      <c r="B1819" s="3" t="str">
        <f t="shared" si="1"/>
        <v>20, 20, NATU</v>
      </c>
      <c r="C1819" s="1" t="str">
        <f t="array" ref="C1819">IF(B1818="NEW ROUTE",TEXTSPLIT(B1819,","),"")</f>
        <v/>
      </c>
      <c r="H1819" s="1" t="str">
        <f t="shared" ref="H1819:I1819" si="1821">IF(C1819&lt;&gt;"",DEC2HEX(C1819,2),"")</f>
        <v/>
      </c>
      <c r="I1819" s="1" t="str">
        <f t="shared" si="1821"/>
        <v/>
      </c>
      <c r="J1819" s="1" t="str">
        <f t="shared" si="3"/>
        <v/>
      </c>
      <c r="L1819" s="1" t="s">
        <v>3289</v>
      </c>
      <c r="M1819" s="1" t="str">
        <f t="shared" si="4"/>
        <v>20, 20, NATU</v>
      </c>
    </row>
    <row r="1820" ht="12.75" customHeight="1">
      <c r="A1820" s="3" t="s">
        <v>3290</v>
      </c>
      <c r="B1820" s="3" t="str">
        <f t="shared" si="1"/>
        <v>49, 49, PERSIAN</v>
      </c>
      <c r="C1820" s="1" t="str">
        <f t="array" ref="C1820">IF(B1819="NEW ROUTE",TEXTSPLIT(B1820,","),"")</f>
        <v/>
      </c>
      <c r="H1820" s="1" t="str">
        <f t="shared" ref="H1820:I1820" si="1822">IF(C1820&lt;&gt;"",DEC2HEX(C1820,2),"")</f>
        <v/>
      </c>
      <c r="I1820" s="1" t="str">
        <f t="shared" si="1822"/>
        <v/>
      </c>
      <c r="J1820" s="1" t="str">
        <f t="shared" si="3"/>
        <v/>
      </c>
      <c r="L1820" s="1" t="s">
        <v>3290</v>
      </c>
      <c r="M1820" s="1" t="str">
        <f t="shared" si="4"/>
        <v>49, 49, PERSIAN</v>
      </c>
    </row>
    <row r="1821" ht="12.75" customHeight="1">
      <c r="A1821" s="3" t="s">
        <v>2813</v>
      </c>
      <c r="B1821" s="3" t="str">
        <f t="shared" si="1"/>
        <v>0.01</v>
      </c>
      <c r="C1821" s="1" t="str">
        <f t="array" ref="C1821">IF(B1820="NEW ROUTE",TEXTSPLIT(B1821,","),"")</f>
        <v/>
      </c>
      <c r="H1821" s="1" t="str">
        <f t="shared" ref="H1821:I1821" si="1823">IF(C1821&lt;&gt;"",DEC2HEX(C1821,2),"")</f>
        <v/>
      </c>
      <c r="I1821" s="1" t="str">
        <f t="shared" si="1823"/>
        <v/>
      </c>
      <c r="J1821" s="1" t="str">
        <f t="shared" si="3"/>
        <v/>
      </c>
      <c r="L1821" s="1" t="s">
        <v>2813</v>
      </c>
      <c r="M1821" s="1" t="str">
        <f t="shared" si="4"/>
        <v>0.01</v>
      </c>
    </row>
    <row r="1822" ht="12.75" customHeight="1">
      <c r="A1822" s="3" t="s">
        <v>3289</v>
      </c>
      <c r="B1822" s="3" t="str">
        <f t="shared" si="1"/>
        <v>20, 20, NATU</v>
      </c>
      <c r="C1822" s="1" t="str">
        <f t="array" ref="C1822">IF(B1821="NEW ROUTE",TEXTSPLIT(B1822,","),"")</f>
        <v/>
      </c>
      <c r="H1822" s="1" t="str">
        <f t="shared" ref="H1822:I1822" si="1824">IF(C1822&lt;&gt;"",DEC2HEX(C1822,2),"")</f>
        <v/>
      </c>
      <c r="I1822" s="1" t="str">
        <f t="shared" si="1824"/>
        <v/>
      </c>
      <c r="J1822" s="1" t="str">
        <f t="shared" si="3"/>
        <v/>
      </c>
      <c r="L1822" s="1" t="s">
        <v>3289</v>
      </c>
      <c r="M1822" s="1" t="str">
        <f t="shared" si="4"/>
        <v>20, 20, NATU</v>
      </c>
    </row>
    <row r="1823" ht="12.75" customHeight="1">
      <c r="A1823" s="3" t="s">
        <v>3291</v>
      </c>
      <c r="B1823" s="3" t="str">
        <f t="shared" si="1"/>
        <v>52, 52, PERSIAN</v>
      </c>
      <c r="C1823" s="1" t="str">
        <f t="array" ref="C1823">IF(B1822="NEW ROUTE",TEXTSPLIT(B1823,","),"")</f>
        <v/>
      </c>
      <c r="H1823" s="1" t="str">
        <f t="shared" ref="H1823:I1823" si="1825">IF(C1823&lt;&gt;"",DEC2HEX(C1823,2),"")</f>
        <v/>
      </c>
      <c r="I1823" s="1" t="str">
        <f t="shared" si="1825"/>
        <v/>
      </c>
      <c r="J1823" s="1" t="str">
        <f t="shared" si="3"/>
        <v/>
      </c>
      <c r="L1823" s="1" t="s">
        <v>3291</v>
      </c>
      <c r="M1823" s="1" t="str">
        <f t="shared" si="4"/>
        <v>52, 52, PERSIAN</v>
      </c>
    </row>
    <row r="1824" ht="12.75" customHeight="1">
      <c r="A1824" s="3" t="s">
        <v>3292</v>
      </c>
      <c r="B1824" s="3" t="str">
        <f t="shared" si="1"/>
        <v>2, 5, 20, MARILL</v>
      </c>
      <c r="C1824" s="1" t="str">
        <f t="array" ref="C1824">IF(B1823="NEW ROUTE",TEXTSPLIT(B1824,","),"")</f>
        <v/>
      </c>
      <c r="H1824" s="1" t="str">
        <f t="shared" ref="H1824:I1824" si="1826">IF(C1824&lt;&gt;"",DEC2HEX(C1824,2),"")</f>
        <v/>
      </c>
      <c r="I1824" s="1" t="str">
        <f t="shared" si="1826"/>
        <v/>
      </c>
      <c r="J1824" s="1" t="str">
        <f t="shared" si="3"/>
        <v/>
      </c>
      <c r="L1824" s="1" t="s">
        <v>3292</v>
      </c>
      <c r="M1824" s="1" t="str">
        <f t="shared" si="4"/>
        <v>2, 5, 20, MARILL</v>
      </c>
    </row>
    <row r="1825" ht="12.75" customHeight="1">
      <c r="A1825" s="3" t="s">
        <v>3293</v>
      </c>
      <c r="B1825" s="3" t="str">
        <f t="shared" si="1"/>
        <v>10, 20, MARILL</v>
      </c>
      <c r="C1825" s="1" t="str">
        <f t="array" ref="C1825">IF(B1824="NEW ROUTE",TEXTSPLIT(B1825,","),"")</f>
        <v/>
      </c>
      <c r="H1825" s="1" t="str">
        <f t="shared" ref="H1825:I1825" si="1827">IF(C1825&lt;&gt;"",DEC2HEX(C1825,2),"")</f>
        <v/>
      </c>
      <c r="I1825" s="1" t="str">
        <f t="shared" si="1827"/>
        <v/>
      </c>
      <c r="J1825" s="1" t="str">
        <f t="shared" si="3"/>
        <v/>
      </c>
      <c r="L1825" s="1" t="s">
        <v>3293</v>
      </c>
      <c r="M1825" s="1" t="str">
        <f t="shared" si="4"/>
        <v>10, 20, MARILL</v>
      </c>
    </row>
    <row r="1826" ht="12.75" customHeight="1">
      <c r="A1826" s="3" t="s">
        <v>3294</v>
      </c>
      <c r="B1826" s="3" t="str">
        <f t="shared" si="1"/>
        <v>15, 25, MARILL</v>
      </c>
      <c r="C1826" s="1" t="str">
        <f t="array" ref="C1826">IF(B1825="NEW ROUTE",TEXTSPLIT(B1826,","),"")</f>
        <v/>
      </c>
      <c r="H1826" s="1" t="str">
        <f t="shared" ref="H1826:I1826" si="1828">IF(C1826&lt;&gt;"",DEC2HEX(C1826,2),"")</f>
        <v/>
      </c>
      <c r="I1826" s="1" t="str">
        <f t="shared" si="1828"/>
        <v/>
      </c>
      <c r="J1826" s="1" t="str">
        <f t="shared" si="3"/>
        <v/>
      </c>
      <c r="L1826" s="1" t="s">
        <v>3294</v>
      </c>
      <c r="M1826" s="1" t="str">
        <f t="shared" si="4"/>
        <v>15, 25, MARILL</v>
      </c>
    </row>
    <row r="1827" ht="12.75" customHeight="1">
      <c r="A1827" s="3" t="s">
        <v>3295</v>
      </c>
      <c r="B1827" s="3" t="str">
        <f t="shared" si="1"/>
        <v>20, 25, MARILL</v>
      </c>
      <c r="C1827" s="1" t="str">
        <f t="array" ref="C1827">IF(B1826="NEW ROUTE",TEXTSPLIT(B1827,","),"")</f>
        <v/>
      </c>
      <c r="H1827" s="1" t="str">
        <f t="shared" ref="H1827:I1827" si="1829">IF(C1827&lt;&gt;"",DEC2HEX(C1827,2),"")</f>
        <v/>
      </c>
      <c r="I1827" s="1" t="str">
        <f t="shared" si="1829"/>
        <v/>
      </c>
      <c r="J1827" s="1" t="str">
        <f t="shared" si="3"/>
        <v/>
      </c>
      <c r="L1827" s="1" t="s">
        <v>3295</v>
      </c>
      <c r="M1827" s="1" t="str">
        <f t="shared" si="4"/>
        <v>20, 25, MARILL</v>
      </c>
    </row>
    <row r="1828" ht="12.75" customHeight="1">
      <c r="A1828" s="3" t="s">
        <v>3295</v>
      </c>
      <c r="B1828" s="3" t="str">
        <f t="shared" si="1"/>
        <v>20, 25, MARILL</v>
      </c>
      <c r="C1828" s="1" t="str">
        <f t="array" ref="C1828">IF(B1827="NEW ROUTE",TEXTSPLIT(B1828,","),"")</f>
        <v/>
      </c>
      <c r="H1828" s="1" t="str">
        <f t="shared" ref="H1828:I1828" si="1830">IF(C1828&lt;&gt;"",DEC2HEX(C1828,2),"")</f>
        <v/>
      </c>
      <c r="I1828" s="1" t="str">
        <f t="shared" si="1830"/>
        <v/>
      </c>
      <c r="J1828" s="1" t="str">
        <f t="shared" si="3"/>
        <v/>
      </c>
      <c r="L1828" s="1" t="s">
        <v>3295</v>
      </c>
      <c r="M1828" s="1" t="str">
        <f t="shared" si="4"/>
        <v>20, 25, MARILL</v>
      </c>
    </row>
    <row r="1829" ht="12.75" customHeight="1">
      <c r="A1829" s="3" t="s">
        <v>2926</v>
      </c>
      <c r="B1829" s="3" t="str">
        <f t="shared" si="1"/>
        <v>20, old rod:</v>
      </c>
      <c r="C1829" s="1" t="str">
        <f t="array" ref="C1829">IF(B1828="NEW ROUTE",TEXTSPLIT(B1829,","),"")</f>
        <v/>
      </c>
      <c r="H1829" s="1" t="str">
        <f t="shared" ref="H1829:I1829" si="1831">IF(C1829&lt;&gt;"",DEC2HEX(C1829,2),"")</f>
        <v/>
      </c>
      <c r="I1829" s="1" t="str">
        <f t="shared" si="1831"/>
        <v/>
      </c>
      <c r="J1829" s="1" t="str">
        <f t="shared" si="3"/>
        <v/>
      </c>
      <c r="L1829" s="1" t="s">
        <v>2926</v>
      </c>
      <c r="M1829" s="1" t="str">
        <f t="shared" si="4"/>
        <v>20, old rod:</v>
      </c>
    </row>
    <row r="1830" ht="12.75" customHeight="1">
      <c r="A1830" s="3" t="s">
        <v>417</v>
      </c>
      <c r="B1830" s="3" t="str">
        <f t="shared" si="1"/>
        <v>5, 5, MAGIKARP</v>
      </c>
      <c r="C1830" s="1" t="str">
        <f t="array" ref="C1830">IF(B1829="NEW ROUTE",TEXTSPLIT(B1830,","),"")</f>
        <v/>
      </c>
      <c r="H1830" s="1" t="str">
        <f t="shared" ref="H1830:I1830" si="1832">IF(C1830&lt;&gt;"",DEC2HEX(C1830,2),"")</f>
        <v/>
      </c>
      <c r="I1830" s="1" t="str">
        <f t="shared" si="1832"/>
        <v/>
      </c>
      <c r="J1830" s="1" t="str">
        <f t="shared" si="3"/>
        <v/>
      </c>
      <c r="L1830" s="1" t="s">
        <v>417</v>
      </c>
      <c r="M1830" s="1" t="str">
        <f t="shared" si="4"/>
        <v>5, 5, MAGIKARP</v>
      </c>
    </row>
    <row r="1831" ht="12.75" customHeight="1">
      <c r="A1831" s="3" t="s">
        <v>417</v>
      </c>
      <c r="B1831" s="3" t="str">
        <f t="shared" si="1"/>
        <v>5, 5, MAGIKARP</v>
      </c>
      <c r="C1831" s="1" t="str">
        <f t="array" ref="C1831">IF(B1830="NEW ROUTE",TEXTSPLIT(B1831,","),"")</f>
        <v/>
      </c>
      <c r="H1831" s="1" t="str">
        <f t="shared" ref="H1831:I1831" si="1833">IF(C1831&lt;&gt;"",DEC2HEX(C1831,2),"")</f>
        <v/>
      </c>
      <c r="I1831" s="1" t="str">
        <f t="shared" si="1833"/>
        <v/>
      </c>
      <c r="J1831" s="1" t="str">
        <f t="shared" si="3"/>
        <v/>
      </c>
      <c r="L1831" s="1" t="s">
        <v>417</v>
      </c>
      <c r="M1831" s="1" t="str">
        <f t="shared" si="4"/>
        <v>5, 5, MAGIKARP</v>
      </c>
    </row>
    <row r="1832" ht="12.75" customHeight="1">
      <c r="A1832" s="3" t="s">
        <v>2847</v>
      </c>
      <c r="B1832" s="3" t="str">
        <f t="shared" si="1"/>
        <v>good rod:</v>
      </c>
      <c r="C1832" s="1" t="str">
        <f t="array" ref="C1832">IF(B1831="NEW ROUTE",TEXTSPLIT(B1832,","),"")</f>
        <v/>
      </c>
      <c r="H1832" s="1" t="str">
        <f t="shared" ref="H1832:I1832" si="1834">IF(C1832&lt;&gt;"",DEC2HEX(C1832,2),"")</f>
        <v/>
      </c>
      <c r="I1832" s="1" t="str">
        <f t="shared" si="1834"/>
        <v/>
      </c>
      <c r="J1832" s="1" t="str">
        <f t="shared" si="3"/>
        <v/>
      </c>
      <c r="L1832" s="1" t="s">
        <v>2847</v>
      </c>
      <c r="M1832" s="1" t="str">
        <f t="shared" si="4"/>
        <v>good rod:</v>
      </c>
    </row>
    <row r="1833" ht="12.75" customHeight="1">
      <c r="A1833" s="3" t="s">
        <v>3144</v>
      </c>
      <c r="B1833" s="3" t="str">
        <f t="shared" si="1"/>
        <v>5, 15, POLIWAG</v>
      </c>
      <c r="C1833" s="1" t="str">
        <f t="array" ref="C1833">IF(B1832="NEW ROUTE",TEXTSPLIT(B1833,","),"")</f>
        <v/>
      </c>
      <c r="H1833" s="1" t="str">
        <f t="shared" ref="H1833:I1833" si="1835">IF(C1833&lt;&gt;"",DEC2HEX(C1833,2),"")</f>
        <v/>
      </c>
      <c r="I1833" s="1" t="str">
        <f t="shared" si="1835"/>
        <v/>
      </c>
      <c r="J1833" s="1" t="str">
        <f t="shared" si="3"/>
        <v/>
      </c>
      <c r="L1833" s="1" t="s">
        <v>3144</v>
      </c>
      <c r="M1833" s="1" t="str">
        <f t="shared" si="4"/>
        <v>5, 15, POLIWAG</v>
      </c>
    </row>
    <row r="1834" ht="12.75" customHeight="1">
      <c r="A1834" s="3" t="s">
        <v>2849</v>
      </c>
      <c r="B1834" s="3" t="str">
        <f t="shared" si="1"/>
        <v>5, 15, MAGIKARP</v>
      </c>
      <c r="C1834" s="1" t="str">
        <f t="array" ref="C1834">IF(B1833="NEW ROUTE",TEXTSPLIT(B1834,","),"")</f>
        <v/>
      </c>
      <c r="H1834" s="1" t="str">
        <f t="shared" ref="H1834:I1834" si="1836">IF(C1834&lt;&gt;"",DEC2HEX(C1834,2),"")</f>
        <v/>
      </c>
      <c r="I1834" s="1" t="str">
        <f t="shared" si="1836"/>
        <v/>
      </c>
      <c r="J1834" s="1" t="str">
        <f t="shared" si="3"/>
        <v/>
      </c>
      <c r="L1834" s="1" t="s">
        <v>2849</v>
      </c>
      <c r="M1834" s="1" t="str">
        <f t="shared" si="4"/>
        <v>5, 15, MAGIKARP</v>
      </c>
    </row>
    <row r="1835" ht="12.75" customHeight="1">
      <c r="A1835" s="3" t="s">
        <v>3143</v>
      </c>
      <c r="B1835" s="3" t="str">
        <f t="shared" si="1"/>
        <v>5, 15, GOLDEEN</v>
      </c>
      <c r="C1835" s="1" t="str">
        <f t="array" ref="C1835">IF(B1834="NEW ROUTE",TEXTSPLIT(B1835,","),"")</f>
        <v/>
      </c>
      <c r="H1835" s="1" t="str">
        <f t="shared" ref="H1835:I1835" si="1837">IF(C1835&lt;&gt;"",DEC2HEX(C1835,2),"")</f>
        <v/>
      </c>
      <c r="I1835" s="1" t="str">
        <f t="shared" si="1837"/>
        <v/>
      </c>
      <c r="J1835" s="1" t="str">
        <f t="shared" si="3"/>
        <v/>
      </c>
      <c r="L1835" s="1" t="s">
        <v>3143</v>
      </c>
      <c r="M1835" s="1" t="str">
        <f t="shared" si="4"/>
        <v>5, 15, GOLDEEN</v>
      </c>
    </row>
    <row r="1836" ht="12.75" customHeight="1">
      <c r="A1836" s="3" t="s">
        <v>2851</v>
      </c>
      <c r="B1836" s="3" t="str">
        <f t="shared" si="1"/>
        <v>super rod:</v>
      </c>
      <c r="C1836" s="1" t="str">
        <f t="array" ref="C1836">IF(B1835="NEW ROUTE",TEXTSPLIT(B1836,","),"")</f>
        <v/>
      </c>
      <c r="H1836" s="1" t="str">
        <f t="shared" ref="H1836:I1836" si="1838">IF(C1836&lt;&gt;"",DEC2HEX(C1836,2),"")</f>
        <v/>
      </c>
      <c r="I1836" s="1" t="str">
        <f t="shared" si="1838"/>
        <v/>
      </c>
      <c r="J1836" s="1" t="str">
        <f t="shared" si="3"/>
        <v/>
      </c>
      <c r="L1836" s="1" t="s">
        <v>2851</v>
      </c>
      <c r="M1836" s="1" t="str">
        <f t="shared" si="4"/>
        <v>super rod:</v>
      </c>
    </row>
    <row r="1837" ht="12.75" customHeight="1">
      <c r="A1837" s="3" t="s">
        <v>3162</v>
      </c>
      <c r="B1837" s="3" t="str">
        <f t="shared" si="1"/>
        <v>15, 25, POLIWAG</v>
      </c>
      <c r="C1837" s="1" t="str">
        <f t="array" ref="C1837">IF(B1836="NEW ROUTE",TEXTSPLIT(B1837,","),"")</f>
        <v/>
      </c>
      <c r="H1837" s="1" t="str">
        <f t="shared" ref="H1837:I1837" si="1839">IF(C1837&lt;&gt;"",DEC2HEX(C1837,2),"")</f>
        <v/>
      </c>
      <c r="I1837" s="1" t="str">
        <f t="shared" si="1839"/>
        <v/>
      </c>
      <c r="J1837" s="1" t="str">
        <f t="shared" si="3"/>
        <v/>
      </c>
      <c r="L1837" s="1" t="s">
        <v>3162</v>
      </c>
      <c r="M1837" s="1" t="str">
        <f t="shared" si="4"/>
        <v>15, 25, POLIWAG</v>
      </c>
    </row>
    <row r="1838" ht="12.75" customHeight="1">
      <c r="A1838" s="3" t="s">
        <v>3163</v>
      </c>
      <c r="B1838" s="3" t="str">
        <f t="shared" si="1"/>
        <v>20, 30, POLIWHIRL</v>
      </c>
      <c r="C1838" s="1" t="str">
        <f t="array" ref="C1838">IF(B1837="NEW ROUTE",TEXTSPLIT(B1838,","),"")</f>
        <v/>
      </c>
      <c r="H1838" s="1" t="str">
        <f t="shared" ref="H1838:I1838" si="1840">IF(C1838&lt;&gt;"",DEC2HEX(C1838,2),"")</f>
        <v/>
      </c>
      <c r="I1838" s="1" t="str">
        <f t="shared" si="1840"/>
        <v/>
      </c>
      <c r="J1838" s="1" t="str">
        <f t="shared" si="3"/>
        <v/>
      </c>
      <c r="L1838" s="1" t="s">
        <v>3163</v>
      </c>
      <c r="M1838" s="1" t="str">
        <f t="shared" si="4"/>
        <v>20, 30, POLIWHIRL</v>
      </c>
    </row>
    <row r="1839" ht="12.75" customHeight="1">
      <c r="A1839" s="3" t="s">
        <v>2854</v>
      </c>
      <c r="B1839" s="3" t="str">
        <f t="shared" si="1"/>
        <v>15, 25, GYARADOS</v>
      </c>
      <c r="C1839" s="1" t="str">
        <f t="array" ref="C1839">IF(B1838="NEW ROUTE",TEXTSPLIT(B1839,","),"")</f>
        <v/>
      </c>
      <c r="H1839" s="1" t="str">
        <f t="shared" ref="H1839:I1839" si="1841">IF(C1839&lt;&gt;"",DEC2HEX(C1839,2),"")</f>
        <v/>
      </c>
      <c r="I1839" s="1" t="str">
        <f t="shared" si="1841"/>
        <v/>
      </c>
      <c r="J1839" s="1" t="str">
        <f t="shared" si="3"/>
        <v/>
      </c>
      <c r="L1839" s="1" t="s">
        <v>2854</v>
      </c>
      <c r="M1839" s="1" t="str">
        <f t="shared" si="4"/>
        <v>15, 25, GYARADOS</v>
      </c>
    </row>
    <row r="1840" ht="12.75" customHeight="1">
      <c r="A1840" s="3" t="s">
        <v>3147</v>
      </c>
      <c r="B1840" s="3" t="str">
        <f t="shared" si="1"/>
        <v>15, 25, SLOWPOKE</v>
      </c>
      <c r="C1840" s="1" t="str">
        <f t="array" ref="C1840">IF(B1839="NEW ROUTE",TEXTSPLIT(B1840,","),"")</f>
        <v/>
      </c>
      <c r="H1840" s="1" t="str">
        <f t="shared" ref="H1840:I1840" si="1842">IF(C1840&lt;&gt;"",DEC2HEX(C1840,2),"")</f>
        <v/>
      </c>
      <c r="I1840" s="1" t="str">
        <f t="shared" si="1842"/>
        <v/>
      </c>
      <c r="J1840" s="1" t="str">
        <f t="shared" si="3"/>
        <v/>
      </c>
      <c r="L1840" s="1" t="s">
        <v>3147</v>
      </c>
      <c r="M1840" s="1" t="str">
        <f t="shared" si="4"/>
        <v>15, 25, SLOWPOKE</v>
      </c>
    </row>
    <row r="1841" ht="12.75" customHeight="1">
      <c r="A1841" s="3" t="s">
        <v>2856</v>
      </c>
      <c r="B1841" s="3" t="str">
        <f t="shared" si="1"/>
        <v>25, 35, SLOWPOKE</v>
      </c>
      <c r="C1841" s="1" t="str">
        <f t="array" ref="C1841">IF(B1840="NEW ROUTE",TEXTSPLIT(B1841,","),"")</f>
        <v/>
      </c>
      <c r="H1841" s="1" t="str">
        <f t="shared" ref="H1841:I1841" si="1843">IF(C1841&lt;&gt;"",DEC2HEX(C1841,2),"")</f>
        <v/>
      </c>
      <c r="I1841" s="1" t="str">
        <f t="shared" si="1843"/>
        <v/>
      </c>
      <c r="J1841" s="1" t="str">
        <f t="shared" si="3"/>
        <v/>
      </c>
      <c r="L1841" s="1" t="s">
        <v>2856</v>
      </c>
      <c r="M1841" s="1" t="str">
        <f t="shared" si="4"/>
        <v>25, 35, SLOWPOKE</v>
      </c>
    </row>
    <row r="1842" ht="12.75" customHeight="1">
      <c r="A1842" s="3" t="s">
        <v>2539</v>
      </c>
      <c r="B1842" s="3" t="str">
        <f t="shared" si="1"/>
        <v>NEW ROUTE</v>
      </c>
      <c r="C1842" s="1" t="str">
        <f t="array" ref="C1842">IF(B1841="NEW ROUTE",TEXTSPLIT(B1842,","),"")</f>
        <v/>
      </c>
      <c r="H1842" s="1" t="str">
        <f t="shared" ref="H1842:I1842" si="1844">IF(C1842&lt;&gt;"",DEC2HEX(C1842,2),"")</f>
        <v/>
      </c>
      <c r="I1842" s="1" t="str">
        <f t="shared" si="1844"/>
        <v/>
      </c>
      <c r="J1842" s="1" t="str">
        <f t="shared" si="3"/>
        <v/>
      </c>
      <c r="L1842" s="1" t="s">
        <v>2539</v>
      </c>
      <c r="M1842" s="1" t="str">
        <f t="shared" si="4"/>
        <v>NEW ROUTE</v>
      </c>
    </row>
    <row r="1843" ht="12.75" customHeight="1">
      <c r="A1843" s="3" t="s">
        <v>3296</v>
      </c>
      <c r="B1843" s="3" t="str">
        <f t="shared" si="1"/>
        <v>3, 62, 0, &lt;null&gt;,</v>
      </c>
      <c r="C1843" s="1" t="str">
        <f t="array" ref="C1843">IF(B1842="NEW ROUTE",TEXTSPLIT(B1843,","),"")</f>
        <v>#NAME?</v>
      </c>
      <c r="H1843" s="1" t="str">
        <f t="shared" ref="H1843:I1843" si="1845">IF(C1843&lt;&gt;"",DEC2HEX(C1843,2),"")</f>
        <v>#NAME?</v>
      </c>
      <c r="I1843" s="1" t="str">
        <f t="shared" si="1845"/>
        <v/>
      </c>
      <c r="J1843" s="1" t="str">
        <f t="shared" si="3"/>
        <v>#NAME?</v>
      </c>
      <c r="L1843" s="1" t="s">
        <v>3296</v>
      </c>
      <c r="M1843" s="1" t="str">
        <f t="shared" si="4"/>
        <v>#NAME?</v>
      </c>
    </row>
    <row r="1844" ht="12.75" customHeight="1">
      <c r="A1844" s="3" t="s">
        <v>3173</v>
      </c>
      <c r="B1844" s="3" t="str">
        <f t="shared" si="1"/>
        <v>2, 5, 20, TENTACOOL</v>
      </c>
      <c r="C1844" s="1" t="str">
        <f t="array" ref="C1844">IF(B1843="NEW ROUTE",TEXTSPLIT(B1844,","),"")</f>
        <v/>
      </c>
      <c r="H1844" s="1" t="str">
        <f t="shared" ref="H1844:I1844" si="1846">IF(C1844&lt;&gt;"",DEC2HEX(C1844,2),"")</f>
        <v/>
      </c>
      <c r="I1844" s="1" t="str">
        <f t="shared" si="1846"/>
        <v/>
      </c>
      <c r="J1844" s="1" t="str">
        <f t="shared" si="3"/>
        <v/>
      </c>
      <c r="L1844" s="1" t="s">
        <v>3173</v>
      </c>
      <c r="M1844" s="1" t="str">
        <f t="shared" si="4"/>
        <v>2, 5, 20, TENTACOOL</v>
      </c>
    </row>
    <row r="1845" ht="12.75" customHeight="1">
      <c r="A1845" s="3" t="s">
        <v>3174</v>
      </c>
      <c r="B1845" s="3" t="str">
        <f t="shared" si="1"/>
        <v>20, 35, TENTACOOL</v>
      </c>
      <c r="C1845" s="1" t="str">
        <f t="array" ref="C1845">IF(B1844="NEW ROUTE",TEXTSPLIT(B1845,","),"")</f>
        <v/>
      </c>
      <c r="H1845" s="1" t="str">
        <f t="shared" ref="H1845:I1845" si="1847">IF(C1845&lt;&gt;"",DEC2HEX(C1845,2),"")</f>
        <v/>
      </c>
      <c r="I1845" s="1" t="str">
        <f t="shared" si="1847"/>
        <v/>
      </c>
      <c r="J1845" s="1" t="str">
        <f t="shared" si="3"/>
        <v/>
      </c>
      <c r="L1845" s="1" t="s">
        <v>3174</v>
      </c>
      <c r="M1845" s="1" t="str">
        <f t="shared" si="4"/>
        <v>20, 35, TENTACOOL</v>
      </c>
    </row>
    <row r="1846" ht="12.75" customHeight="1">
      <c r="A1846" s="3" t="s">
        <v>3297</v>
      </c>
      <c r="B1846" s="3" t="str">
        <f t="shared" si="1"/>
        <v>35, 40, MANTINE</v>
      </c>
      <c r="C1846" s="1" t="str">
        <f t="array" ref="C1846">IF(B1845="NEW ROUTE",TEXTSPLIT(B1846,","),"")</f>
        <v/>
      </c>
      <c r="H1846" s="1" t="str">
        <f t="shared" ref="H1846:I1846" si="1848">IF(C1846&lt;&gt;"",DEC2HEX(C1846,2),"")</f>
        <v/>
      </c>
      <c r="I1846" s="1" t="str">
        <f t="shared" si="1848"/>
        <v/>
      </c>
      <c r="J1846" s="1" t="str">
        <f t="shared" si="3"/>
        <v/>
      </c>
      <c r="L1846" s="1" t="s">
        <v>3297</v>
      </c>
      <c r="M1846" s="1" t="str">
        <f t="shared" si="4"/>
        <v>35, 40, MANTINE</v>
      </c>
    </row>
    <row r="1847" ht="12.75" customHeight="1">
      <c r="A1847" s="3" t="s">
        <v>3232</v>
      </c>
      <c r="B1847" s="3" t="str">
        <f t="shared" si="1"/>
        <v>35, 40, TENTACRUEL</v>
      </c>
      <c r="C1847" s="1" t="str">
        <f t="array" ref="C1847">IF(B1846="NEW ROUTE",TEXTSPLIT(B1847,","),"")</f>
        <v/>
      </c>
      <c r="H1847" s="1" t="str">
        <f t="shared" ref="H1847:I1847" si="1849">IF(C1847&lt;&gt;"",DEC2HEX(C1847,2),"")</f>
        <v/>
      </c>
      <c r="I1847" s="1" t="str">
        <f t="shared" si="1849"/>
        <v/>
      </c>
      <c r="J1847" s="1" t="str">
        <f t="shared" si="3"/>
        <v/>
      </c>
      <c r="L1847" s="1" t="s">
        <v>3232</v>
      </c>
      <c r="M1847" s="1" t="str">
        <f t="shared" si="4"/>
        <v>35, 40, TENTACRUEL</v>
      </c>
    </row>
    <row r="1848" ht="12.75" customHeight="1">
      <c r="A1848" s="3" t="s">
        <v>3232</v>
      </c>
      <c r="B1848" s="3" t="str">
        <f t="shared" si="1"/>
        <v>35, 40, TENTACRUEL</v>
      </c>
      <c r="C1848" s="1" t="str">
        <f t="array" ref="C1848">IF(B1847="NEW ROUTE",TEXTSPLIT(B1848,","),"")</f>
        <v/>
      </c>
      <c r="H1848" s="1" t="str">
        <f t="shared" ref="H1848:I1848" si="1850">IF(C1848&lt;&gt;"",DEC2HEX(C1848,2),"")</f>
        <v/>
      </c>
      <c r="I1848" s="1" t="str">
        <f t="shared" si="1850"/>
        <v/>
      </c>
      <c r="J1848" s="1" t="str">
        <f t="shared" si="3"/>
        <v/>
      </c>
      <c r="L1848" s="1" t="s">
        <v>3232</v>
      </c>
      <c r="M1848" s="1" t="str">
        <f t="shared" si="4"/>
        <v>35, 40, TENTACRUEL</v>
      </c>
    </row>
    <row r="1849" ht="12.75" customHeight="1">
      <c r="A1849" s="3" t="s">
        <v>2926</v>
      </c>
      <c r="B1849" s="3" t="str">
        <f t="shared" si="1"/>
        <v>20, old rod:</v>
      </c>
      <c r="C1849" s="1" t="str">
        <f t="array" ref="C1849">IF(B1848="NEW ROUTE",TEXTSPLIT(B1849,","),"")</f>
        <v/>
      </c>
      <c r="H1849" s="1" t="str">
        <f t="shared" ref="H1849:I1849" si="1851">IF(C1849&lt;&gt;"",DEC2HEX(C1849,2),"")</f>
        <v/>
      </c>
      <c r="I1849" s="1" t="str">
        <f t="shared" si="1851"/>
        <v/>
      </c>
      <c r="J1849" s="1" t="str">
        <f t="shared" si="3"/>
        <v/>
      </c>
      <c r="L1849" s="1" t="s">
        <v>2926</v>
      </c>
      <c r="M1849" s="1" t="str">
        <f t="shared" si="4"/>
        <v>20, old rod:</v>
      </c>
    </row>
    <row r="1850" ht="12.75" customHeight="1">
      <c r="A1850" s="3" t="s">
        <v>417</v>
      </c>
      <c r="B1850" s="3" t="str">
        <f t="shared" si="1"/>
        <v>5, 5, MAGIKARP</v>
      </c>
      <c r="C1850" s="1" t="str">
        <f t="array" ref="C1850">IF(B1849="NEW ROUTE",TEXTSPLIT(B1850,","),"")</f>
        <v/>
      </c>
      <c r="H1850" s="1" t="str">
        <f t="shared" ref="H1850:I1850" si="1852">IF(C1850&lt;&gt;"",DEC2HEX(C1850,2),"")</f>
        <v/>
      </c>
      <c r="I1850" s="1" t="str">
        <f t="shared" si="1852"/>
        <v/>
      </c>
      <c r="J1850" s="1" t="str">
        <f t="shared" si="3"/>
        <v/>
      </c>
      <c r="L1850" s="1" t="s">
        <v>417</v>
      </c>
      <c r="M1850" s="1" t="str">
        <f t="shared" si="4"/>
        <v>5, 5, MAGIKARP</v>
      </c>
    </row>
    <row r="1851" ht="12.75" customHeight="1">
      <c r="A1851" s="3" t="s">
        <v>417</v>
      </c>
      <c r="B1851" s="3" t="str">
        <f t="shared" si="1"/>
        <v>5, 5, MAGIKARP</v>
      </c>
      <c r="C1851" s="1" t="str">
        <f t="array" ref="C1851">IF(B1850="NEW ROUTE",TEXTSPLIT(B1851,","),"")</f>
        <v/>
      </c>
      <c r="H1851" s="1" t="str">
        <f t="shared" ref="H1851:I1851" si="1853">IF(C1851&lt;&gt;"",DEC2HEX(C1851,2),"")</f>
        <v/>
      </c>
      <c r="I1851" s="1" t="str">
        <f t="shared" si="1853"/>
        <v/>
      </c>
      <c r="J1851" s="1" t="str">
        <f t="shared" si="3"/>
        <v/>
      </c>
      <c r="L1851" s="1" t="s">
        <v>417</v>
      </c>
      <c r="M1851" s="1" t="str">
        <f t="shared" si="4"/>
        <v>5, 5, MAGIKARP</v>
      </c>
    </row>
    <row r="1852" ht="12.75" customHeight="1">
      <c r="A1852" s="3" t="s">
        <v>2847</v>
      </c>
      <c r="B1852" s="3" t="str">
        <f t="shared" si="1"/>
        <v>good rod:</v>
      </c>
      <c r="C1852" s="1" t="str">
        <f t="array" ref="C1852">IF(B1851="NEW ROUTE",TEXTSPLIT(B1852,","),"")</f>
        <v/>
      </c>
      <c r="H1852" s="1" t="str">
        <f t="shared" ref="H1852:I1852" si="1854">IF(C1852&lt;&gt;"",DEC2HEX(C1852,2),"")</f>
        <v/>
      </c>
      <c r="I1852" s="1" t="str">
        <f t="shared" si="1854"/>
        <v/>
      </c>
      <c r="J1852" s="1" t="str">
        <f t="shared" si="3"/>
        <v/>
      </c>
      <c r="L1852" s="1" t="s">
        <v>2847</v>
      </c>
      <c r="M1852" s="1" t="str">
        <f t="shared" si="4"/>
        <v>good rod:</v>
      </c>
    </row>
    <row r="1853" ht="12.75" customHeight="1">
      <c r="A1853" s="3" t="s">
        <v>2848</v>
      </c>
      <c r="B1853" s="3" t="str">
        <f t="shared" si="1"/>
        <v>5, 15, KRABBY</v>
      </c>
      <c r="C1853" s="1" t="str">
        <f t="array" ref="C1853">IF(B1852="NEW ROUTE",TEXTSPLIT(B1853,","),"")</f>
        <v/>
      </c>
      <c r="H1853" s="1" t="str">
        <f t="shared" ref="H1853:I1853" si="1855">IF(C1853&lt;&gt;"",DEC2HEX(C1853,2),"")</f>
        <v/>
      </c>
      <c r="I1853" s="1" t="str">
        <f t="shared" si="1855"/>
        <v/>
      </c>
      <c r="J1853" s="1" t="str">
        <f t="shared" si="3"/>
        <v/>
      </c>
      <c r="L1853" s="1" t="s">
        <v>2848</v>
      </c>
      <c r="M1853" s="1" t="str">
        <f t="shared" si="4"/>
        <v>5, 15, KRABBY</v>
      </c>
    </row>
    <row r="1854" ht="12.75" customHeight="1">
      <c r="A1854" s="3" t="s">
        <v>2849</v>
      </c>
      <c r="B1854" s="3" t="str">
        <f t="shared" si="1"/>
        <v>5, 15, MAGIKARP</v>
      </c>
      <c r="C1854" s="1" t="str">
        <f t="array" ref="C1854">IF(B1853="NEW ROUTE",TEXTSPLIT(B1854,","),"")</f>
        <v/>
      </c>
      <c r="H1854" s="1" t="str">
        <f t="shared" ref="H1854:I1854" si="1856">IF(C1854&lt;&gt;"",DEC2HEX(C1854,2),"")</f>
        <v/>
      </c>
      <c r="I1854" s="1" t="str">
        <f t="shared" si="1856"/>
        <v/>
      </c>
      <c r="J1854" s="1" t="str">
        <f t="shared" si="3"/>
        <v/>
      </c>
      <c r="L1854" s="1" t="s">
        <v>2849</v>
      </c>
      <c r="M1854" s="1" t="str">
        <f t="shared" si="4"/>
        <v>5, 15, MAGIKARP</v>
      </c>
    </row>
    <row r="1855" ht="12.75" customHeight="1">
      <c r="A1855" s="3" t="s">
        <v>2848</v>
      </c>
      <c r="B1855" s="3" t="str">
        <f t="shared" si="1"/>
        <v>5, 15, KRABBY</v>
      </c>
      <c r="C1855" s="1" t="str">
        <f t="array" ref="C1855">IF(B1854="NEW ROUTE",TEXTSPLIT(B1855,","),"")</f>
        <v/>
      </c>
      <c r="H1855" s="1" t="str">
        <f t="shared" ref="H1855:I1855" si="1857">IF(C1855&lt;&gt;"",DEC2HEX(C1855,2),"")</f>
        <v/>
      </c>
      <c r="I1855" s="1" t="str">
        <f t="shared" si="1857"/>
        <v/>
      </c>
      <c r="J1855" s="1" t="str">
        <f t="shared" si="3"/>
        <v/>
      </c>
      <c r="L1855" s="1" t="s">
        <v>2848</v>
      </c>
      <c r="M1855" s="1" t="str">
        <f t="shared" si="4"/>
        <v>5, 15, KRABBY</v>
      </c>
    </row>
    <row r="1856" ht="12.75" customHeight="1">
      <c r="A1856" s="3" t="s">
        <v>2851</v>
      </c>
      <c r="B1856" s="3" t="str">
        <f t="shared" si="1"/>
        <v>super rod:</v>
      </c>
      <c r="C1856" s="1" t="str">
        <f t="array" ref="C1856">IF(B1855="NEW ROUTE",TEXTSPLIT(B1856,","),"")</f>
        <v/>
      </c>
      <c r="H1856" s="1" t="str">
        <f t="shared" ref="H1856:I1856" si="1858">IF(C1856&lt;&gt;"",DEC2HEX(C1856,2),"")</f>
        <v/>
      </c>
      <c r="I1856" s="1" t="str">
        <f t="shared" si="1858"/>
        <v/>
      </c>
      <c r="J1856" s="1" t="str">
        <f t="shared" si="3"/>
        <v/>
      </c>
      <c r="L1856" s="1" t="s">
        <v>2851</v>
      </c>
      <c r="M1856" s="1" t="str">
        <f t="shared" si="4"/>
        <v>super rod:</v>
      </c>
    </row>
    <row r="1857" ht="12.75" customHeight="1">
      <c r="A1857" s="3" t="s">
        <v>2852</v>
      </c>
      <c r="B1857" s="3" t="str">
        <f t="shared" si="1"/>
        <v>15, 25, KRABBY</v>
      </c>
      <c r="C1857" s="1" t="str">
        <f t="array" ref="C1857">IF(B1856="NEW ROUTE",TEXTSPLIT(B1857,","),"")</f>
        <v/>
      </c>
      <c r="H1857" s="1" t="str">
        <f t="shared" ref="H1857:I1857" si="1859">IF(C1857&lt;&gt;"",DEC2HEX(C1857,2),"")</f>
        <v/>
      </c>
      <c r="I1857" s="1" t="str">
        <f t="shared" si="1859"/>
        <v/>
      </c>
      <c r="J1857" s="1" t="str">
        <f t="shared" si="3"/>
        <v/>
      </c>
      <c r="L1857" s="1" t="s">
        <v>2852</v>
      </c>
      <c r="M1857" s="1" t="str">
        <f t="shared" si="4"/>
        <v>15, 25, KRABBY</v>
      </c>
    </row>
    <row r="1858" ht="12.75" customHeight="1">
      <c r="A1858" s="3" t="s">
        <v>3259</v>
      </c>
      <c r="B1858" s="3" t="str">
        <f t="shared" si="1"/>
        <v>15, 25, REMORAID</v>
      </c>
      <c r="C1858" s="1" t="str">
        <f t="array" ref="C1858">IF(B1857="NEW ROUTE",TEXTSPLIT(B1858,","),"")</f>
        <v/>
      </c>
      <c r="H1858" s="1" t="str">
        <f t="shared" ref="H1858:I1858" si="1860">IF(C1858&lt;&gt;"",DEC2HEX(C1858,2),"")</f>
        <v/>
      </c>
      <c r="I1858" s="1" t="str">
        <f t="shared" si="1860"/>
        <v/>
      </c>
      <c r="J1858" s="1" t="str">
        <f t="shared" si="3"/>
        <v/>
      </c>
      <c r="L1858" s="1" t="s">
        <v>3259</v>
      </c>
      <c r="M1858" s="1" t="str">
        <f t="shared" si="4"/>
        <v>15, 25, REMORAID</v>
      </c>
    </row>
    <row r="1859" ht="12.75" customHeight="1">
      <c r="A1859" s="3" t="s">
        <v>2854</v>
      </c>
      <c r="B1859" s="3" t="str">
        <f t="shared" si="1"/>
        <v>15, 25, GYARADOS</v>
      </c>
      <c r="C1859" s="1" t="str">
        <f t="array" ref="C1859">IF(B1858="NEW ROUTE",TEXTSPLIT(B1859,","),"")</f>
        <v/>
      </c>
      <c r="H1859" s="1" t="str">
        <f t="shared" ref="H1859:I1859" si="1861">IF(C1859&lt;&gt;"",DEC2HEX(C1859,2),"")</f>
        <v/>
      </c>
      <c r="I1859" s="1" t="str">
        <f t="shared" si="1861"/>
        <v/>
      </c>
      <c r="J1859" s="1" t="str">
        <f t="shared" si="3"/>
        <v/>
      </c>
      <c r="L1859" s="1" t="s">
        <v>2854</v>
      </c>
      <c r="M1859" s="1" t="str">
        <f t="shared" si="4"/>
        <v>15, 25, GYARADOS</v>
      </c>
    </row>
    <row r="1860" ht="12.75" customHeight="1">
      <c r="A1860" s="3" t="s">
        <v>3178</v>
      </c>
      <c r="B1860" s="3" t="str">
        <f t="shared" si="1"/>
        <v>25, 35, KINGLER</v>
      </c>
      <c r="C1860" s="1" t="str">
        <f t="array" ref="C1860">IF(B1859="NEW ROUTE",TEXTSPLIT(B1860,","),"")</f>
        <v/>
      </c>
      <c r="H1860" s="1" t="str">
        <f t="shared" ref="H1860:I1860" si="1862">IF(C1860&lt;&gt;"",DEC2HEX(C1860,2),"")</f>
        <v/>
      </c>
      <c r="I1860" s="1" t="str">
        <f t="shared" si="1862"/>
        <v/>
      </c>
      <c r="J1860" s="1" t="str">
        <f t="shared" si="3"/>
        <v/>
      </c>
      <c r="L1860" s="1" t="s">
        <v>3178</v>
      </c>
      <c r="M1860" s="1" t="str">
        <f t="shared" si="4"/>
        <v>25, 35, KINGLER</v>
      </c>
    </row>
    <row r="1861" ht="12.75" customHeight="1">
      <c r="A1861" s="3" t="s">
        <v>2856</v>
      </c>
      <c r="B1861" s="3" t="str">
        <f t="shared" si="1"/>
        <v>25, 35, SLOWPOKE</v>
      </c>
      <c r="C1861" s="1" t="str">
        <f t="array" ref="C1861">IF(B1860="NEW ROUTE",TEXTSPLIT(B1861,","),"")</f>
        <v/>
      </c>
      <c r="H1861" s="1" t="str">
        <f t="shared" ref="H1861:I1861" si="1863">IF(C1861&lt;&gt;"",DEC2HEX(C1861,2),"")</f>
        <v/>
      </c>
      <c r="I1861" s="1" t="str">
        <f t="shared" si="1863"/>
        <v/>
      </c>
      <c r="J1861" s="1" t="str">
        <f t="shared" si="3"/>
        <v/>
      </c>
      <c r="L1861" s="1" t="s">
        <v>2856</v>
      </c>
      <c r="M1861" s="1" t="str">
        <f t="shared" si="4"/>
        <v>25, 35, SLOWPOKE</v>
      </c>
    </row>
    <row r="1862" ht="12.75" customHeight="1">
      <c r="A1862" s="3" t="s">
        <v>2539</v>
      </c>
      <c r="B1862" s="3" t="str">
        <f t="shared" si="1"/>
        <v>NEW ROUTE</v>
      </c>
      <c r="C1862" s="1" t="str">
        <f t="array" ref="C1862">IF(B1861="NEW ROUTE",TEXTSPLIT(B1862,","),"")</f>
        <v/>
      </c>
      <c r="H1862" s="1" t="str">
        <f t="shared" ref="H1862:I1862" si="1864">IF(C1862&lt;&gt;"",DEC2HEX(C1862,2),"")</f>
        <v/>
      </c>
      <c r="I1862" s="1" t="str">
        <f t="shared" si="1864"/>
        <v/>
      </c>
      <c r="J1862" s="1" t="str">
        <f t="shared" si="3"/>
        <v/>
      </c>
      <c r="L1862" s="1" t="s">
        <v>2539</v>
      </c>
      <c r="M1862" s="1" t="str">
        <f t="shared" si="4"/>
        <v>NEW ROUTE</v>
      </c>
    </row>
    <row r="1863" ht="12.75" customHeight="1">
      <c r="A1863" s="3" t="s">
        <v>3298</v>
      </c>
      <c r="B1863" s="3" t="str">
        <f t="shared" si="1"/>
        <v>3, 63, 0,</v>
      </c>
      <c r="C1863" s="1" t="str">
        <f t="array" ref="C1863">IF(B1862="NEW ROUTE",TEXTSPLIT(B1863,","),"")</f>
        <v>#NAME?</v>
      </c>
      <c r="H1863" s="1" t="str">
        <f t="shared" ref="H1863:I1863" si="1865">IF(C1863&lt;&gt;"",DEC2HEX(C1863,2),"")</f>
        <v>#NAME?</v>
      </c>
      <c r="I1863" s="1" t="str">
        <f t="shared" si="1865"/>
        <v/>
      </c>
      <c r="J1863" s="1" t="str">
        <f t="shared" si="3"/>
        <v>#NAME?</v>
      </c>
      <c r="L1863" s="1" t="s">
        <v>3298</v>
      </c>
      <c r="M1863" s="1" t="str">
        <f t="shared" si="4"/>
        <v>#NAME?</v>
      </c>
    </row>
    <row r="1864" ht="12.75" customHeight="1">
      <c r="A1864" s="3" t="s">
        <v>2909</v>
      </c>
      <c r="B1864" s="3" t="str">
        <f t="shared" si="1"/>
        <v>20%</v>
      </c>
      <c r="C1864" s="1" t="str">
        <f t="array" ref="C1864">IF(B1863="NEW ROUTE",TEXTSPLIT(B1864,","),"")</f>
        <v/>
      </c>
      <c r="H1864" s="1" t="str">
        <f t="shared" ref="H1864:I1864" si="1866">IF(C1864&lt;&gt;"",DEC2HEX(C1864,2),"")</f>
        <v/>
      </c>
      <c r="I1864" s="1" t="str">
        <f t="shared" si="1866"/>
        <v/>
      </c>
      <c r="J1864" s="1" t="str">
        <f t="shared" si="3"/>
        <v/>
      </c>
      <c r="L1864" s="1" t="s">
        <v>2799</v>
      </c>
      <c r="M1864" s="1" t="str">
        <f t="shared" si="4"/>
        <v>20%</v>
      </c>
    </row>
    <row r="1865" ht="12.75" customHeight="1">
      <c r="A1865" s="3" t="s">
        <v>887</v>
      </c>
      <c r="B1865" s="3" t="str">
        <f t="shared" si="1"/>
        <v>44, 44, SPEAROW</v>
      </c>
      <c r="C1865" s="1" t="str">
        <f t="array" ref="C1865">IF(B1864="NEW ROUTE",TEXTSPLIT(B1865,","),"")</f>
        <v/>
      </c>
      <c r="H1865" s="1" t="str">
        <f t="shared" ref="H1865:I1865" si="1867">IF(C1865&lt;&gt;"",DEC2HEX(C1865,2),"")</f>
        <v/>
      </c>
      <c r="I1865" s="1" t="str">
        <f t="shared" si="1867"/>
        <v/>
      </c>
      <c r="J1865" s="1" t="str">
        <f t="shared" si="3"/>
        <v/>
      </c>
      <c r="L1865" s="1" t="s">
        <v>887</v>
      </c>
      <c r="M1865" s="1" t="str">
        <f t="shared" si="4"/>
        <v>44, 44, SPEAROW</v>
      </c>
    </row>
    <row r="1866" ht="12.75" customHeight="1">
      <c r="A1866" s="3" t="s">
        <v>3262</v>
      </c>
      <c r="B1866" s="3" t="str">
        <f t="shared" si="1"/>
        <v>10, 10, SENTRET</v>
      </c>
      <c r="C1866" s="1" t="str">
        <f t="array" ref="C1866">IF(B1865="NEW ROUTE",TEXTSPLIT(B1866,","),"")</f>
        <v/>
      </c>
      <c r="H1866" s="1" t="str">
        <f t="shared" ref="H1866:I1866" si="1868">IF(C1866&lt;&gt;"",DEC2HEX(C1866,2),"")</f>
        <v/>
      </c>
      <c r="I1866" s="1" t="str">
        <f t="shared" si="1868"/>
        <v/>
      </c>
      <c r="J1866" s="1" t="str">
        <f t="shared" si="3"/>
        <v/>
      </c>
      <c r="L1866" s="1" t="s">
        <v>3262</v>
      </c>
      <c r="M1866" s="1" t="str">
        <f t="shared" si="4"/>
        <v>10, 10, SENTRET</v>
      </c>
    </row>
    <row r="1867" ht="12.75" customHeight="1">
      <c r="A1867" s="3" t="s">
        <v>2802</v>
      </c>
      <c r="B1867" s="3" t="str">
        <f t="shared" si="1"/>
        <v>0.1</v>
      </c>
      <c r="C1867" s="1" t="str">
        <f t="array" ref="C1867">IF(B1866="NEW ROUTE",TEXTSPLIT(B1867,","),"")</f>
        <v/>
      </c>
      <c r="H1867" s="1" t="str">
        <f t="shared" ref="H1867:I1867" si="1869">IF(C1867&lt;&gt;"",DEC2HEX(C1867,2),"")</f>
        <v/>
      </c>
      <c r="I1867" s="1" t="str">
        <f t="shared" si="1869"/>
        <v/>
      </c>
      <c r="J1867" s="1" t="str">
        <f t="shared" si="3"/>
        <v/>
      </c>
      <c r="L1867" s="1" t="s">
        <v>2802</v>
      </c>
      <c r="M1867" s="1" t="str">
        <f t="shared" si="4"/>
        <v>0.1</v>
      </c>
    </row>
    <row r="1868" ht="12.75" customHeight="1">
      <c r="A1868" s="3" t="s">
        <v>3299</v>
      </c>
      <c r="B1868" s="3" t="str">
        <f t="shared" si="1"/>
        <v>10, 10, PHANPY</v>
      </c>
      <c r="C1868" s="1" t="str">
        <f t="array" ref="C1868">IF(B1867="NEW ROUTE",TEXTSPLIT(B1868,","),"")</f>
        <v/>
      </c>
      <c r="H1868" s="1" t="str">
        <f t="shared" ref="H1868:I1868" si="1870">IF(C1868&lt;&gt;"",DEC2HEX(C1868,2),"")</f>
        <v/>
      </c>
      <c r="I1868" s="1" t="str">
        <f t="shared" si="1870"/>
        <v/>
      </c>
      <c r="J1868" s="1" t="str">
        <f t="shared" si="3"/>
        <v/>
      </c>
      <c r="L1868" s="1" t="s">
        <v>3299</v>
      </c>
      <c r="M1868" s="1" t="str">
        <f t="shared" si="4"/>
        <v>10, 10, PHANPY</v>
      </c>
    </row>
    <row r="1869" ht="12.75" customHeight="1">
      <c r="A1869" s="3" t="s">
        <v>3280</v>
      </c>
      <c r="B1869" s="3" t="str">
        <f t="shared" si="1"/>
        <v>48, 48, FEAROW</v>
      </c>
      <c r="C1869" s="1" t="str">
        <f t="array" ref="C1869">IF(B1868="NEW ROUTE",TEXTSPLIT(B1869,","),"")</f>
        <v/>
      </c>
      <c r="H1869" s="1" t="str">
        <f t="shared" ref="H1869:I1869" si="1871">IF(C1869&lt;&gt;"",DEC2HEX(C1869,2),"")</f>
        <v/>
      </c>
      <c r="I1869" s="1" t="str">
        <f t="shared" si="1871"/>
        <v/>
      </c>
      <c r="J1869" s="1" t="str">
        <f t="shared" si="3"/>
        <v/>
      </c>
      <c r="L1869" s="1" t="s">
        <v>3280</v>
      </c>
      <c r="M1869" s="1" t="str">
        <f t="shared" si="4"/>
        <v>48, 48, FEAROW</v>
      </c>
    </row>
    <row r="1870" ht="12.75" customHeight="1">
      <c r="A1870" s="3" t="s">
        <v>3264</v>
      </c>
      <c r="B1870" s="3" t="str">
        <f t="shared" si="1"/>
        <v>15, 15, SENTRET</v>
      </c>
      <c r="C1870" s="1" t="str">
        <f t="array" ref="C1870">IF(B1869="NEW ROUTE",TEXTSPLIT(B1870,","),"")</f>
        <v/>
      </c>
      <c r="H1870" s="1" t="str">
        <f t="shared" ref="H1870:I1870" si="1872">IF(C1870&lt;&gt;"",DEC2HEX(C1870,2),"")</f>
        <v/>
      </c>
      <c r="I1870" s="1" t="str">
        <f t="shared" si="1872"/>
        <v/>
      </c>
      <c r="J1870" s="1" t="str">
        <f t="shared" si="3"/>
        <v/>
      </c>
      <c r="L1870" s="1" t="s">
        <v>3264</v>
      </c>
      <c r="M1870" s="1" t="str">
        <f t="shared" si="4"/>
        <v>15, 15, SENTRET</v>
      </c>
    </row>
    <row r="1871" ht="12.75" customHeight="1">
      <c r="A1871" s="3" t="s">
        <v>3265</v>
      </c>
      <c r="B1871" s="3" t="str">
        <f t="shared" si="1"/>
        <v>41, 41, MEOWTH</v>
      </c>
      <c r="C1871" s="1" t="str">
        <f t="array" ref="C1871">IF(B1870="NEW ROUTE",TEXTSPLIT(B1871,","),"")</f>
        <v/>
      </c>
      <c r="H1871" s="1" t="str">
        <f t="shared" ref="H1871:I1871" si="1873">IF(C1871&lt;&gt;"",DEC2HEX(C1871,2),"")</f>
        <v/>
      </c>
      <c r="I1871" s="1" t="str">
        <f t="shared" si="1873"/>
        <v/>
      </c>
      <c r="J1871" s="1" t="str">
        <f t="shared" si="3"/>
        <v/>
      </c>
      <c r="L1871" s="1" t="s">
        <v>3265</v>
      </c>
      <c r="M1871" s="1" t="str">
        <f t="shared" si="4"/>
        <v>41, 41, MEOWTH</v>
      </c>
    </row>
    <row r="1872" ht="12.75" customHeight="1">
      <c r="A1872" s="3" t="s">
        <v>2807</v>
      </c>
      <c r="B1872" s="3" t="str">
        <f t="shared" si="1"/>
        <v>0.05</v>
      </c>
      <c r="C1872" s="1" t="str">
        <f t="array" ref="C1872">IF(B1871="NEW ROUTE",TEXTSPLIT(B1872,","),"")</f>
        <v/>
      </c>
      <c r="H1872" s="1" t="str">
        <f t="shared" ref="H1872:I1872" si="1874">IF(C1872&lt;&gt;"",DEC2HEX(C1872,2),"")</f>
        <v/>
      </c>
      <c r="I1872" s="1" t="str">
        <f t="shared" si="1874"/>
        <v/>
      </c>
      <c r="J1872" s="1" t="str">
        <f t="shared" si="3"/>
        <v/>
      </c>
      <c r="L1872" s="1" t="s">
        <v>2807</v>
      </c>
      <c r="M1872" s="1" t="str">
        <f t="shared" si="4"/>
        <v>0.05</v>
      </c>
    </row>
    <row r="1873" ht="12.75" customHeight="1">
      <c r="A1873" s="3" t="s">
        <v>3282</v>
      </c>
      <c r="B1873" s="3" t="str">
        <f t="shared" si="1"/>
        <v>50, 50, FEAROW</v>
      </c>
      <c r="C1873" s="1" t="str">
        <f t="array" ref="C1873">IF(B1872="NEW ROUTE",TEXTSPLIT(B1873,","),"")</f>
        <v/>
      </c>
      <c r="H1873" s="1" t="str">
        <f t="shared" ref="H1873:I1873" si="1875">IF(C1873&lt;&gt;"",DEC2HEX(C1873,2),"")</f>
        <v/>
      </c>
      <c r="I1873" s="1" t="str">
        <f t="shared" si="1875"/>
        <v/>
      </c>
      <c r="J1873" s="1" t="str">
        <f t="shared" si="3"/>
        <v/>
      </c>
      <c r="L1873" s="1" t="s">
        <v>3282</v>
      </c>
      <c r="M1873" s="1" t="str">
        <f t="shared" si="4"/>
        <v>50, 50, FEAROW</v>
      </c>
    </row>
    <row r="1874" ht="12.75" customHeight="1">
      <c r="A1874" s="3" t="s">
        <v>3155</v>
      </c>
      <c r="B1874" s="3" t="str">
        <f t="shared" si="1"/>
        <v>41, 41, SLOWPOKE</v>
      </c>
      <c r="C1874" s="1" t="str">
        <f t="array" ref="C1874">IF(B1873="NEW ROUTE",TEXTSPLIT(B1874,","),"")</f>
        <v/>
      </c>
      <c r="H1874" s="1" t="str">
        <f t="shared" ref="H1874:I1874" si="1876">IF(C1874&lt;&gt;"",DEC2HEX(C1874,2),"")</f>
        <v/>
      </c>
      <c r="I1874" s="1" t="str">
        <f t="shared" si="1876"/>
        <v/>
      </c>
      <c r="J1874" s="1" t="str">
        <f t="shared" si="3"/>
        <v/>
      </c>
      <c r="L1874" s="1" t="s">
        <v>3155</v>
      </c>
      <c r="M1874" s="1" t="str">
        <f t="shared" si="4"/>
        <v>41, 41, SLOWPOKE</v>
      </c>
    </row>
    <row r="1875" ht="12.75" customHeight="1">
      <c r="A1875" s="3" t="s">
        <v>2810</v>
      </c>
      <c r="B1875" s="3" t="str">
        <f t="shared" si="1"/>
        <v>0.04</v>
      </c>
      <c r="C1875" s="1" t="str">
        <f t="array" ref="C1875">IF(B1874="NEW ROUTE",TEXTSPLIT(B1875,","),"")</f>
        <v/>
      </c>
      <c r="H1875" s="1" t="str">
        <f t="shared" ref="H1875:I1875" si="1877">IF(C1875&lt;&gt;"",DEC2HEX(C1875,2),"")</f>
        <v/>
      </c>
      <c r="I1875" s="1" t="str">
        <f t="shared" si="1877"/>
        <v/>
      </c>
      <c r="J1875" s="1" t="str">
        <f t="shared" si="3"/>
        <v/>
      </c>
      <c r="L1875" s="1" t="s">
        <v>2810</v>
      </c>
      <c r="M1875" s="1" t="str">
        <f t="shared" si="4"/>
        <v>0.04</v>
      </c>
    </row>
    <row r="1876" ht="12.75" customHeight="1">
      <c r="A1876" s="3" t="s">
        <v>3300</v>
      </c>
      <c r="B1876" s="3" t="str">
        <f t="shared" si="1"/>
        <v>15, 15, PHANPY</v>
      </c>
      <c r="C1876" s="1" t="str">
        <f t="array" ref="C1876">IF(B1875="NEW ROUTE",TEXTSPLIT(B1876,","),"")</f>
        <v/>
      </c>
      <c r="H1876" s="1" t="str">
        <f t="shared" ref="H1876:I1876" si="1878">IF(C1876&lt;&gt;"",DEC2HEX(C1876,2),"")</f>
        <v/>
      </c>
      <c r="I1876" s="1" t="str">
        <f t="shared" si="1878"/>
        <v/>
      </c>
      <c r="J1876" s="1" t="str">
        <f t="shared" si="3"/>
        <v/>
      </c>
      <c r="L1876" s="1" t="s">
        <v>3300</v>
      </c>
      <c r="M1876" s="1" t="str">
        <f t="shared" si="4"/>
        <v>15, 15, PHANPY</v>
      </c>
    </row>
    <row r="1877" ht="12.75" customHeight="1">
      <c r="A1877" s="3" t="s">
        <v>3268</v>
      </c>
      <c r="B1877" s="3" t="str">
        <f t="shared" si="1"/>
        <v>47, 47, PERSIAN</v>
      </c>
      <c r="C1877" s="1" t="str">
        <f t="array" ref="C1877">IF(B1876="NEW ROUTE",TEXTSPLIT(B1877,","),"")</f>
        <v/>
      </c>
      <c r="H1877" s="1" t="str">
        <f t="shared" ref="H1877:I1877" si="1879">IF(C1877&lt;&gt;"",DEC2HEX(C1877,2),"")</f>
        <v/>
      </c>
      <c r="I1877" s="1" t="str">
        <f t="shared" si="1879"/>
        <v/>
      </c>
      <c r="J1877" s="1" t="str">
        <f t="shared" si="3"/>
        <v/>
      </c>
      <c r="L1877" s="1" t="s">
        <v>3268</v>
      </c>
      <c r="M1877" s="1" t="str">
        <f t="shared" si="4"/>
        <v>47, 47, PERSIAN</v>
      </c>
    </row>
    <row r="1878" ht="12.75" customHeight="1">
      <c r="A1878" s="3" t="s">
        <v>2813</v>
      </c>
      <c r="B1878" s="3" t="str">
        <f t="shared" si="1"/>
        <v>0.01</v>
      </c>
      <c r="C1878" s="1" t="str">
        <f t="array" ref="C1878">IF(B1877="NEW ROUTE",TEXTSPLIT(B1878,","),"")</f>
        <v/>
      </c>
      <c r="H1878" s="1" t="str">
        <f t="shared" ref="H1878:I1878" si="1880">IF(C1878&lt;&gt;"",DEC2HEX(C1878,2),"")</f>
        <v/>
      </c>
      <c r="I1878" s="1" t="str">
        <f t="shared" si="1880"/>
        <v/>
      </c>
      <c r="J1878" s="1" t="str">
        <f t="shared" si="3"/>
        <v/>
      </c>
      <c r="L1878" s="1" t="s">
        <v>2813</v>
      </c>
      <c r="M1878" s="1" t="str">
        <f t="shared" si="4"/>
        <v>0.01</v>
      </c>
    </row>
    <row r="1879" ht="12.75" customHeight="1">
      <c r="A1879" s="3" t="s">
        <v>3300</v>
      </c>
      <c r="B1879" s="3" t="str">
        <f t="shared" si="1"/>
        <v>15, 15, PHANPY</v>
      </c>
      <c r="C1879" s="1" t="str">
        <f t="array" ref="C1879">IF(B1878="NEW ROUTE",TEXTSPLIT(B1879,","),"")</f>
        <v/>
      </c>
      <c r="H1879" s="1" t="str">
        <f t="shared" ref="H1879:I1879" si="1881">IF(C1879&lt;&gt;"",DEC2HEX(C1879,2),"")</f>
        <v/>
      </c>
      <c r="I1879" s="1" t="str">
        <f t="shared" si="1881"/>
        <v/>
      </c>
      <c r="J1879" s="1" t="str">
        <f t="shared" si="3"/>
        <v/>
      </c>
      <c r="L1879" s="1" t="s">
        <v>3300</v>
      </c>
      <c r="M1879" s="1" t="str">
        <f t="shared" si="4"/>
        <v>15, 15, PHANPY</v>
      </c>
    </row>
    <row r="1880" ht="12.75" customHeight="1">
      <c r="A1880" s="3" t="s">
        <v>3301</v>
      </c>
      <c r="B1880" s="3" t="str">
        <f t="shared" si="1"/>
        <v>50, 50, PERSIAN , &lt;null&gt;, &lt;null&gt;, &lt;null&gt;</v>
      </c>
      <c r="C1880" s="1" t="str">
        <f t="array" ref="C1880">IF(B1879="NEW ROUTE",TEXTSPLIT(B1880,","),"")</f>
        <v/>
      </c>
      <c r="H1880" s="1" t="str">
        <f t="shared" ref="H1880:I1880" si="1882">IF(C1880&lt;&gt;"",DEC2HEX(C1880,2),"")</f>
        <v/>
      </c>
      <c r="I1880" s="1" t="str">
        <f t="shared" si="1882"/>
        <v/>
      </c>
      <c r="J1880" s="1" t="str">
        <f t="shared" si="3"/>
        <v/>
      </c>
      <c r="L1880" s="1" t="s">
        <v>3301</v>
      </c>
      <c r="M1880" s="1" t="str">
        <f t="shared" si="4"/>
        <v>50, 50, PERSIAN , &lt;null&gt;, &lt;null&gt;, &lt;null&gt;</v>
      </c>
    </row>
    <row r="1881" ht="12.75" customHeight="1">
      <c r="A1881" s="3" t="s">
        <v>2539</v>
      </c>
      <c r="B1881" s="3" t="str">
        <f t="shared" si="1"/>
        <v>NEW ROUTE</v>
      </c>
      <c r="C1881" s="1" t="str">
        <f t="array" ref="C1881">IF(B1880="NEW ROUTE",TEXTSPLIT(B1881,","),"")</f>
        <v/>
      </c>
      <c r="H1881" s="1" t="str">
        <f t="shared" ref="H1881:I1881" si="1883">IF(C1881&lt;&gt;"",DEC2HEX(C1881,2),"")</f>
        <v/>
      </c>
      <c r="I1881" s="1" t="str">
        <f t="shared" si="1883"/>
        <v/>
      </c>
      <c r="J1881" s="1" t="str">
        <f t="shared" si="3"/>
        <v/>
      </c>
      <c r="L1881" s="1" t="s">
        <v>2539</v>
      </c>
      <c r="M1881" s="1" t="str">
        <f t="shared" si="4"/>
        <v>NEW ROUTE</v>
      </c>
    </row>
    <row r="1882" ht="12.75" customHeight="1">
      <c r="A1882" s="3" t="s">
        <v>3302</v>
      </c>
      <c r="B1882" s="3" t="str">
        <f t="shared" si="1"/>
        <v>3, 64, 0,</v>
      </c>
      <c r="C1882" s="1" t="str">
        <f t="array" ref="C1882">IF(B1881="NEW ROUTE",TEXTSPLIT(B1882,","),"")</f>
        <v>#NAME?</v>
      </c>
      <c r="H1882" s="1" t="str">
        <f t="shared" ref="H1882:I1882" si="1884">IF(C1882&lt;&gt;"",DEC2HEX(C1882,2),"")</f>
        <v>#NAME?</v>
      </c>
      <c r="I1882" s="1" t="str">
        <f t="shared" si="1884"/>
        <v/>
      </c>
      <c r="J1882" s="1" t="str">
        <f t="shared" si="3"/>
        <v>#NAME?</v>
      </c>
      <c r="L1882" s="1" t="s">
        <v>3302</v>
      </c>
      <c r="M1882" s="1" t="str">
        <f t="shared" si="4"/>
        <v>#NAME?</v>
      </c>
    </row>
    <row r="1883" ht="12.75" customHeight="1">
      <c r="A1883" s="3" t="s">
        <v>2909</v>
      </c>
      <c r="B1883" s="3" t="str">
        <f t="shared" si="1"/>
        <v>20%</v>
      </c>
      <c r="C1883" s="1" t="str">
        <f t="array" ref="C1883">IF(B1882="NEW ROUTE",TEXTSPLIT(B1883,","),"")</f>
        <v/>
      </c>
      <c r="H1883" s="1" t="str">
        <f t="shared" ref="H1883:I1883" si="1885">IF(C1883&lt;&gt;"",DEC2HEX(C1883,2),"")</f>
        <v/>
      </c>
      <c r="I1883" s="1" t="str">
        <f t="shared" si="1885"/>
        <v/>
      </c>
      <c r="J1883" s="1" t="str">
        <f t="shared" si="3"/>
        <v/>
      </c>
      <c r="L1883" s="1" t="s">
        <v>2799</v>
      </c>
      <c r="M1883" s="1" t="str">
        <f t="shared" si="4"/>
        <v>20%</v>
      </c>
    </row>
    <row r="1884" ht="12.75" customHeight="1">
      <c r="A1884" s="3" t="s">
        <v>915</v>
      </c>
      <c r="B1884" s="3" t="str">
        <f t="shared" si="1"/>
        <v>46, 46, GEODUDE</v>
      </c>
      <c r="C1884" s="1" t="str">
        <f t="array" ref="C1884">IF(B1883="NEW ROUTE",TEXTSPLIT(B1884,","),"")</f>
        <v/>
      </c>
      <c r="H1884" s="1" t="str">
        <f t="shared" ref="H1884:I1884" si="1886">IF(C1884&lt;&gt;"",DEC2HEX(C1884,2),"")</f>
        <v/>
      </c>
      <c r="I1884" s="1" t="str">
        <f t="shared" si="1886"/>
        <v/>
      </c>
      <c r="J1884" s="1" t="str">
        <f t="shared" si="3"/>
        <v/>
      </c>
      <c r="L1884" s="1" t="s">
        <v>915</v>
      </c>
      <c r="M1884" s="1" t="str">
        <f t="shared" si="4"/>
        <v>46, 46, GEODUDE</v>
      </c>
    </row>
    <row r="1885" ht="12.75" customHeight="1">
      <c r="A1885" s="3" t="s">
        <v>3300</v>
      </c>
      <c r="B1885" s="3" t="str">
        <f t="shared" si="1"/>
        <v>15, 15, PHANPY</v>
      </c>
      <c r="C1885" s="1" t="str">
        <f t="array" ref="C1885">IF(B1884="NEW ROUTE",TEXTSPLIT(B1885,","),"")</f>
        <v/>
      </c>
      <c r="H1885" s="1" t="str">
        <f t="shared" ref="H1885:I1885" si="1887">IF(C1885&lt;&gt;"",DEC2HEX(C1885,2),"")</f>
        <v/>
      </c>
      <c r="I1885" s="1" t="str">
        <f t="shared" si="1887"/>
        <v/>
      </c>
      <c r="J1885" s="1" t="str">
        <f t="shared" si="3"/>
        <v/>
      </c>
      <c r="L1885" s="1" t="s">
        <v>3300</v>
      </c>
      <c r="M1885" s="1" t="str">
        <f t="shared" si="4"/>
        <v>15, 15, PHANPY</v>
      </c>
    </row>
    <row r="1886" ht="12.75" customHeight="1">
      <c r="A1886" s="3" t="s">
        <v>2802</v>
      </c>
      <c r="B1886" s="3" t="str">
        <f t="shared" si="1"/>
        <v>0.1</v>
      </c>
      <c r="C1886" s="1" t="str">
        <f t="array" ref="C1886">IF(B1885="NEW ROUTE",TEXTSPLIT(B1886,","),"")</f>
        <v/>
      </c>
      <c r="H1886" s="1" t="str">
        <f t="shared" ref="H1886:I1886" si="1888">IF(C1886&lt;&gt;"",DEC2HEX(C1886,2),"")</f>
        <v/>
      </c>
      <c r="I1886" s="1" t="str">
        <f t="shared" si="1888"/>
        <v/>
      </c>
      <c r="J1886" s="1" t="str">
        <f t="shared" si="3"/>
        <v/>
      </c>
      <c r="L1886" s="1" t="s">
        <v>2802</v>
      </c>
      <c r="M1886" s="1" t="str">
        <f t="shared" si="4"/>
        <v>0.1</v>
      </c>
    </row>
    <row r="1887" ht="12.75" customHeight="1">
      <c r="A1887" s="3" t="s">
        <v>3303</v>
      </c>
      <c r="B1887" s="3" t="str">
        <f t="shared" si="1"/>
        <v>46, 46, CUBONE</v>
      </c>
      <c r="C1887" s="1" t="str">
        <f t="array" ref="C1887">IF(B1886="NEW ROUTE",TEXTSPLIT(B1887,","),"")</f>
        <v/>
      </c>
      <c r="H1887" s="1" t="str">
        <f t="shared" ref="H1887:I1887" si="1889">IF(C1887&lt;&gt;"",DEC2HEX(C1887,2),"")</f>
        <v/>
      </c>
      <c r="I1887" s="1" t="str">
        <f t="shared" si="1889"/>
        <v/>
      </c>
      <c r="J1887" s="1" t="str">
        <f t="shared" si="3"/>
        <v/>
      </c>
      <c r="L1887" s="1" t="s">
        <v>3303</v>
      </c>
      <c r="M1887" s="1" t="str">
        <f t="shared" si="4"/>
        <v>46, 46, CUBONE</v>
      </c>
    </row>
    <row r="1888" ht="12.75" customHeight="1">
      <c r="A1888" s="3" t="s">
        <v>3282</v>
      </c>
      <c r="B1888" s="3" t="str">
        <f t="shared" si="1"/>
        <v>50, 50, FEAROW</v>
      </c>
      <c r="C1888" s="1" t="str">
        <f t="array" ref="C1888">IF(B1887="NEW ROUTE",TEXTSPLIT(B1888,","),"")</f>
        <v/>
      </c>
      <c r="H1888" s="1" t="str">
        <f t="shared" ref="H1888:I1888" si="1890">IF(C1888&lt;&gt;"",DEC2HEX(C1888,2),"")</f>
        <v/>
      </c>
      <c r="I1888" s="1" t="str">
        <f t="shared" si="1890"/>
        <v/>
      </c>
      <c r="J1888" s="1" t="str">
        <f t="shared" si="3"/>
        <v/>
      </c>
      <c r="L1888" s="1" t="s">
        <v>3282</v>
      </c>
      <c r="M1888" s="1" t="str">
        <f t="shared" si="4"/>
        <v>50, 50, FEAROW</v>
      </c>
    </row>
    <row r="1889" ht="12.75" customHeight="1">
      <c r="A1889" s="3" t="s">
        <v>3304</v>
      </c>
      <c r="B1889" s="3" t="str">
        <f t="shared" si="1"/>
        <v>52, 52, MAROWAK</v>
      </c>
      <c r="C1889" s="1" t="str">
        <f t="array" ref="C1889">IF(B1888="NEW ROUTE",TEXTSPLIT(B1889,","),"")</f>
        <v/>
      </c>
      <c r="H1889" s="1" t="str">
        <f t="shared" ref="H1889:I1889" si="1891">IF(C1889&lt;&gt;"",DEC2HEX(C1889,2),"")</f>
        <v/>
      </c>
      <c r="I1889" s="1" t="str">
        <f t="shared" si="1891"/>
        <v/>
      </c>
      <c r="J1889" s="1" t="str">
        <f t="shared" si="3"/>
        <v/>
      </c>
      <c r="L1889" s="1" t="s">
        <v>3304</v>
      </c>
      <c r="M1889" s="1" t="str">
        <f t="shared" si="4"/>
        <v>52, 52, MAROWAK</v>
      </c>
    </row>
    <row r="1890" ht="12.75" customHeight="1">
      <c r="A1890" s="3" t="s">
        <v>3287</v>
      </c>
      <c r="B1890" s="3" t="str">
        <f t="shared" si="1"/>
        <v>43, 43, MEOWTH</v>
      </c>
      <c r="C1890" s="1" t="str">
        <f t="array" ref="C1890">IF(B1889="NEW ROUTE",TEXTSPLIT(B1890,","),"")</f>
        <v/>
      </c>
      <c r="H1890" s="1" t="str">
        <f t="shared" ref="H1890:I1890" si="1892">IF(C1890&lt;&gt;"",DEC2HEX(C1890,2),"")</f>
        <v/>
      </c>
      <c r="I1890" s="1" t="str">
        <f t="shared" si="1892"/>
        <v/>
      </c>
      <c r="J1890" s="1" t="str">
        <f t="shared" si="3"/>
        <v/>
      </c>
      <c r="L1890" s="1" t="s">
        <v>3287</v>
      </c>
      <c r="M1890" s="1" t="str">
        <f t="shared" si="4"/>
        <v>43, 43, MEOWTH</v>
      </c>
    </row>
    <row r="1891" ht="12.75" customHeight="1">
      <c r="A1891" s="3" t="s">
        <v>2807</v>
      </c>
      <c r="B1891" s="3" t="str">
        <f t="shared" si="1"/>
        <v>0.05</v>
      </c>
      <c r="C1891" s="1" t="str">
        <f t="array" ref="C1891">IF(B1890="NEW ROUTE",TEXTSPLIT(B1891,","),"")</f>
        <v/>
      </c>
      <c r="H1891" s="1" t="str">
        <f t="shared" ref="H1891:I1891" si="1893">IF(C1891&lt;&gt;"",DEC2HEX(C1891,2),"")</f>
        <v/>
      </c>
      <c r="I1891" s="1" t="str">
        <f t="shared" si="1893"/>
        <v/>
      </c>
      <c r="J1891" s="1" t="str">
        <f t="shared" si="3"/>
        <v/>
      </c>
      <c r="L1891" s="1" t="s">
        <v>2807</v>
      </c>
      <c r="M1891" s="1" t="str">
        <f t="shared" si="4"/>
        <v>0.05</v>
      </c>
    </row>
    <row r="1892" ht="12.75" customHeight="1">
      <c r="A1892" s="3" t="s">
        <v>3305</v>
      </c>
      <c r="B1892" s="3" t="str">
        <f t="shared" si="1"/>
        <v>54, 54, ONIX</v>
      </c>
      <c r="C1892" s="1" t="str">
        <f t="array" ref="C1892">IF(B1891="NEW ROUTE",TEXTSPLIT(B1892,","),"")</f>
        <v/>
      </c>
      <c r="H1892" s="1" t="str">
        <f t="shared" ref="H1892:I1892" si="1894">IF(C1892&lt;&gt;"",DEC2HEX(C1892,2),"")</f>
        <v/>
      </c>
      <c r="I1892" s="1" t="str">
        <f t="shared" si="1894"/>
        <v/>
      </c>
      <c r="J1892" s="1" t="str">
        <f t="shared" si="3"/>
        <v/>
      </c>
      <c r="L1892" s="1" t="s">
        <v>3305</v>
      </c>
      <c r="M1892" s="1" t="str">
        <f t="shared" si="4"/>
        <v>54, 54, ONIX</v>
      </c>
    </row>
    <row r="1893" ht="12.75" customHeight="1">
      <c r="A1893" s="3" t="s">
        <v>3282</v>
      </c>
      <c r="B1893" s="3" t="str">
        <f t="shared" si="1"/>
        <v>50, 50, FEAROW</v>
      </c>
      <c r="C1893" s="1" t="str">
        <f t="array" ref="C1893">IF(B1892="NEW ROUTE",TEXTSPLIT(B1893,","),"")</f>
        <v/>
      </c>
      <c r="H1893" s="1" t="str">
        <f t="shared" ref="H1893:I1893" si="1895">IF(C1893&lt;&gt;"",DEC2HEX(C1893,2),"")</f>
        <v/>
      </c>
      <c r="I1893" s="1" t="str">
        <f t="shared" si="1895"/>
        <v/>
      </c>
      <c r="J1893" s="1" t="str">
        <f t="shared" si="3"/>
        <v/>
      </c>
      <c r="L1893" s="1" t="s">
        <v>3282</v>
      </c>
      <c r="M1893" s="1" t="str">
        <f t="shared" si="4"/>
        <v>50, 50, FEAROW</v>
      </c>
    </row>
    <row r="1894" ht="12.75" customHeight="1">
      <c r="A1894" s="3" t="s">
        <v>2810</v>
      </c>
      <c r="B1894" s="3" t="str">
        <f t="shared" si="1"/>
        <v>0.04</v>
      </c>
      <c r="C1894" s="1" t="str">
        <f t="array" ref="C1894">IF(B1893="NEW ROUTE",TEXTSPLIT(B1894,","),"")</f>
        <v/>
      </c>
      <c r="H1894" s="1" t="str">
        <f t="shared" ref="H1894:I1894" si="1896">IF(C1894&lt;&gt;"",DEC2HEX(C1894,2),"")</f>
        <v/>
      </c>
      <c r="I1894" s="1" t="str">
        <f t="shared" si="1896"/>
        <v/>
      </c>
      <c r="J1894" s="1" t="str">
        <f t="shared" si="3"/>
        <v/>
      </c>
      <c r="L1894" s="1" t="s">
        <v>2810</v>
      </c>
      <c r="M1894" s="1" t="str">
        <f t="shared" si="4"/>
        <v>0.04</v>
      </c>
    </row>
    <row r="1895" ht="12.75" customHeight="1">
      <c r="A1895" s="3" t="s">
        <v>3306</v>
      </c>
      <c r="B1895" s="3" t="str">
        <f t="shared" si="1"/>
        <v>15, 15, LARVITAR</v>
      </c>
      <c r="C1895" s="1" t="str">
        <f t="array" ref="C1895">IF(B1894="NEW ROUTE",TEXTSPLIT(B1895,","),"")</f>
        <v/>
      </c>
      <c r="H1895" s="1" t="str">
        <f t="shared" ref="H1895:I1895" si="1897">IF(C1895&lt;&gt;"",DEC2HEX(C1895,2),"")</f>
        <v/>
      </c>
      <c r="I1895" s="1" t="str">
        <f t="shared" si="1897"/>
        <v/>
      </c>
      <c r="J1895" s="1" t="str">
        <f t="shared" si="3"/>
        <v/>
      </c>
      <c r="L1895" s="1" t="s">
        <v>3306</v>
      </c>
      <c r="M1895" s="1" t="str">
        <f t="shared" si="4"/>
        <v>15, 15, LARVITAR</v>
      </c>
    </row>
    <row r="1896" ht="12.75" customHeight="1">
      <c r="A1896" s="3" t="s">
        <v>3290</v>
      </c>
      <c r="B1896" s="3" t="str">
        <f t="shared" si="1"/>
        <v>49, 49, PERSIAN</v>
      </c>
      <c r="C1896" s="1" t="str">
        <f t="array" ref="C1896">IF(B1895="NEW ROUTE",TEXTSPLIT(B1896,","),"")</f>
        <v/>
      </c>
      <c r="H1896" s="1" t="str">
        <f t="shared" ref="H1896:I1896" si="1898">IF(C1896&lt;&gt;"",DEC2HEX(C1896,2),"")</f>
        <v/>
      </c>
      <c r="I1896" s="1" t="str">
        <f t="shared" si="1898"/>
        <v/>
      </c>
      <c r="J1896" s="1" t="str">
        <f t="shared" si="3"/>
        <v/>
      </c>
      <c r="L1896" s="1" t="s">
        <v>3290</v>
      </c>
      <c r="M1896" s="1" t="str">
        <f t="shared" si="4"/>
        <v>49, 49, PERSIAN</v>
      </c>
    </row>
    <row r="1897" ht="12.75" customHeight="1">
      <c r="A1897" s="3" t="s">
        <v>2813</v>
      </c>
      <c r="B1897" s="3" t="str">
        <f t="shared" si="1"/>
        <v>0.01</v>
      </c>
      <c r="C1897" s="1" t="str">
        <f t="array" ref="C1897">IF(B1896="NEW ROUTE",TEXTSPLIT(B1897,","),"")</f>
        <v/>
      </c>
      <c r="H1897" s="1" t="str">
        <f t="shared" ref="H1897:I1897" si="1899">IF(C1897&lt;&gt;"",DEC2HEX(C1897,2),"")</f>
        <v/>
      </c>
      <c r="I1897" s="1" t="str">
        <f t="shared" si="1899"/>
        <v/>
      </c>
      <c r="J1897" s="1" t="str">
        <f t="shared" si="3"/>
        <v/>
      </c>
      <c r="L1897" s="1" t="s">
        <v>2813</v>
      </c>
      <c r="M1897" s="1" t="str">
        <f t="shared" si="4"/>
        <v>0.01</v>
      </c>
    </row>
    <row r="1898" ht="12.75" customHeight="1">
      <c r="A1898" s="3" t="s">
        <v>3307</v>
      </c>
      <c r="B1898" s="3" t="str">
        <f t="shared" si="1"/>
        <v>20, 20, LARVITAR</v>
      </c>
      <c r="C1898" s="1" t="str">
        <f t="array" ref="C1898">IF(B1897="NEW ROUTE",TEXTSPLIT(B1898,","),"")</f>
        <v/>
      </c>
      <c r="H1898" s="1" t="str">
        <f t="shared" ref="H1898:I1898" si="1900">IF(C1898&lt;&gt;"",DEC2HEX(C1898,2),"")</f>
        <v/>
      </c>
      <c r="I1898" s="1" t="str">
        <f t="shared" si="1900"/>
        <v/>
      </c>
      <c r="J1898" s="1" t="str">
        <f t="shared" si="3"/>
        <v/>
      </c>
      <c r="L1898" s="1" t="s">
        <v>3307</v>
      </c>
      <c r="M1898" s="1" t="str">
        <f t="shared" si="4"/>
        <v>20, 20, LARVITAR</v>
      </c>
    </row>
    <row r="1899" ht="12.75" customHeight="1">
      <c r="A1899" s="3" t="s">
        <v>3291</v>
      </c>
      <c r="B1899" s="3" t="str">
        <f t="shared" si="1"/>
        <v>52, 52, PERSIAN</v>
      </c>
      <c r="C1899" s="1" t="str">
        <f t="array" ref="C1899">IF(B1898="NEW ROUTE",TEXTSPLIT(B1899,","),"")</f>
        <v/>
      </c>
      <c r="H1899" s="1" t="str">
        <f t="shared" ref="H1899:I1899" si="1901">IF(C1899&lt;&gt;"",DEC2HEX(C1899,2),"")</f>
        <v/>
      </c>
      <c r="I1899" s="1" t="str">
        <f t="shared" si="1901"/>
        <v/>
      </c>
      <c r="J1899" s="1" t="str">
        <f t="shared" si="3"/>
        <v/>
      </c>
      <c r="L1899" s="1" t="s">
        <v>3291</v>
      </c>
      <c r="M1899" s="1" t="str">
        <f t="shared" si="4"/>
        <v>52, 52, PERSIAN</v>
      </c>
    </row>
    <row r="1900" ht="12.75" customHeight="1">
      <c r="A1900" s="3" t="s">
        <v>3308</v>
      </c>
      <c r="B1900" s="3" t="str">
        <f t="shared" si="1"/>
        <v>25, 25, 35, GEODUDE</v>
      </c>
      <c r="C1900" s="1" t="str">
        <f t="array" ref="C1900">IF(B1899="NEW ROUTE",TEXTSPLIT(B1900,","),"")</f>
        <v/>
      </c>
      <c r="H1900" s="1" t="str">
        <f t="shared" ref="H1900:I1900" si="1902">IF(C1900&lt;&gt;"",DEC2HEX(C1900,2),"")</f>
        <v/>
      </c>
      <c r="I1900" s="1" t="str">
        <f t="shared" si="1902"/>
        <v/>
      </c>
      <c r="J1900" s="1" t="str">
        <f t="shared" si="3"/>
        <v/>
      </c>
      <c r="L1900" s="1" t="s">
        <v>3308</v>
      </c>
      <c r="M1900" s="1" t="str">
        <f t="shared" si="4"/>
        <v>25, 25, 35, GEODUDE</v>
      </c>
    </row>
    <row r="1901" ht="12.75" customHeight="1">
      <c r="A1901" s="3" t="s">
        <v>3103</v>
      </c>
      <c r="B1901" s="3" t="str">
        <f t="shared" si="1"/>
        <v>30, 45, GRAVELER</v>
      </c>
      <c r="C1901" s="1" t="str">
        <f t="array" ref="C1901">IF(B1900="NEW ROUTE",TEXTSPLIT(B1901,","),"")</f>
        <v/>
      </c>
      <c r="H1901" s="1" t="str">
        <f t="shared" ref="H1901:I1901" si="1903">IF(C1901&lt;&gt;"",DEC2HEX(C1901,2),"")</f>
        <v/>
      </c>
      <c r="I1901" s="1" t="str">
        <f t="shared" si="1903"/>
        <v/>
      </c>
      <c r="J1901" s="1" t="str">
        <f t="shared" si="3"/>
        <v/>
      </c>
      <c r="L1901" s="1" t="s">
        <v>3103</v>
      </c>
      <c r="M1901" s="1" t="str">
        <f t="shared" si="4"/>
        <v>30, 45, GRAVELER</v>
      </c>
    </row>
    <row r="1902" ht="12.75" customHeight="1">
      <c r="A1902" s="3" t="s">
        <v>3104</v>
      </c>
      <c r="B1902" s="3" t="str">
        <f t="shared" si="1"/>
        <v>35, 50, GRAVELER</v>
      </c>
      <c r="C1902" s="1" t="str">
        <f t="array" ref="C1902">IF(B1901="NEW ROUTE",TEXTSPLIT(B1902,","),"")</f>
        <v/>
      </c>
      <c r="H1902" s="1" t="str">
        <f t="shared" ref="H1902:I1902" si="1904">IF(C1902&lt;&gt;"",DEC2HEX(C1902,2),"")</f>
        <v/>
      </c>
      <c r="I1902" s="1" t="str">
        <f t="shared" si="1904"/>
        <v/>
      </c>
      <c r="J1902" s="1" t="str">
        <f t="shared" si="3"/>
        <v/>
      </c>
      <c r="L1902" s="1" t="s">
        <v>3104</v>
      </c>
      <c r="M1902" s="1" t="str">
        <f t="shared" si="4"/>
        <v>35, 50, GRAVELER</v>
      </c>
    </row>
    <row r="1903" ht="12.75" customHeight="1">
      <c r="A1903" s="3" t="s">
        <v>3105</v>
      </c>
      <c r="B1903" s="3" t="str">
        <f t="shared" si="1"/>
        <v>30, 40, GEODUDE</v>
      </c>
      <c r="C1903" s="1" t="str">
        <f t="array" ref="C1903">IF(B1902="NEW ROUTE",TEXTSPLIT(B1903,","),"")</f>
        <v/>
      </c>
      <c r="H1903" s="1" t="str">
        <f t="shared" ref="H1903:I1903" si="1905">IF(C1903&lt;&gt;"",DEC2HEX(C1903,2),"")</f>
        <v/>
      </c>
      <c r="I1903" s="1" t="str">
        <f t="shared" si="1905"/>
        <v/>
      </c>
      <c r="J1903" s="1" t="str">
        <f t="shared" si="3"/>
        <v/>
      </c>
      <c r="L1903" s="1" t="s">
        <v>3105</v>
      </c>
      <c r="M1903" s="1" t="str">
        <f t="shared" si="4"/>
        <v>30, 40, GEODUDE</v>
      </c>
    </row>
    <row r="1904" ht="12.75" customHeight="1">
      <c r="A1904" s="3" t="s">
        <v>3106</v>
      </c>
      <c r="B1904" s="3" t="str">
        <f t="shared" si="1"/>
        <v>30, 40, GEODUDE , &lt;null&gt;</v>
      </c>
      <c r="C1904" s="1" t="str">
        <f t="array" ref="C1904">IF(B1903="NEW ROUTE",TEXTSPLIT(B1904,","),"")</f>
        <v/>
      </c>
      <c r="H1904" s="1" t="str">
        <f t="shared" ref="H1904:I1904" si="1906">IF(C1904&lt;&gt;"",DEC2HEX(C1904,2),"")</f>
        <v/>
      </c>
      <c r="I1904" s="1" t="str">
        <f t="shared" si="1906"/>
        <v/>
      </c>
      <c r="J1904" s="1" t="str">
        <f t="shared" si="3"/>
        <v/>
      </c>
      <c r="L1904" s="1" t="s">
        <v>3106</v>
      </c>
      <c r="M1904" s="1" t="str">
        <f t="shared" si="4"/>
        <v>30, 40, GEODUDE , &lt;null&gt;</v>
      </c>
    </row>
    <row r="1905" ht="12.75" customHeight="1">
      <c r="A1905" s="3" t="s">
        <v>2539</v>
      </c>
      <c r="B1905" s="3" t="str">
        <f t="shared" si="1"/>
        <v>NEW ROUTE</v>
      </c>
      <c r="C1905" s="1" t="str">
        <f t="array" ref="C1905">IF(B1904="NEW ROUTE",TEXTSPLIT(B1905,","),"")</f>
        <v/>
      </c>
      <c r="H1905" s="1" t="str">
        <f t="shared" ref="H1905:I1905" si="1907">IF(C1905&lt;&gt;"",DEC2HEX(C1905,2),"")</f>
        <v/>
      </c>
      <c r="I1905" s="1" t="str">
        <f t="shared" si="1907"/>
        <v/>
      </c>
      <c r="J1905" s="1" t="str">
        <f t="shared" si="3"/>
        <v/>
      </c>
      <c r="L1905" s="1" t="s">
        <v>2539</v>
      </c>
      <c r="M1905" s="1" t="str">
        <f t="shared" si="4"/>
        <v>NEW ROUTE</v>
      </c>
    </row>
    <row r="1906" ht="12.75" customHeight="1">
      <c r="A1906" s="3" t="s">
        <v>3309</v>
      </c>
      <c r="B1906" s="3" t="str">
        <f t="shared" si="1"/>
        <v>3, 65, 0, &lt;null&gt;,</v>
      </c>
      <c r="C1906" s="1" t="str">
        <f t="array" ref="C1906">IF(B1905="NEW ROUTE",TEXTSPLIT(B1906,","),"")</f>
        <v>#NAME?</v>
      </c>
      <c r="H1906" s="1" t="str">
        <f t="shared" ref="H1906:I1906" si="1908">IF(C1906&lt;&gt;"",DEC2HEX(C1906,2),"")</f>
        <v>#NAME?</v>
      </c>
      <c r="I1906" s="1" t="str">
        <f t="shared" si="1908"/>
        <v/>
      </c>
      <c r="J1906" s="1" t="str">
        <f t="shared" si="3"/>
        <v>#NAME?</v>
      </c>
      <c r="L1906" s="1" t="s">
        <v>3309</v>
      </c>
      <c r="M1906" s="1" t="str">
        <f t="shared" si="4"/>
        <v>#NAME?</v>
      </c>
    </row>
    <row r="1907" ht="12.75" customHeight="1">
      <c r="A1907" s="3" t="s">
        <v>3173</v>
      </c>
      <c r="B1907" s="3" t="str">
        <f t="shared" si="1"/>
        <v>2, 5, 20, TENTACOOL</v>
      </c>
      <c r="C1907" s="1" t="str">
        <f t="array" ref="C1907">IF(B1906="NEW ROUTE",TEXTSPLIT(B1907,","),"")</f>
        <v/>
      </c>
      <c r="H1907" s="1" t="str">
        <f t="shared" ref="H1907:I1907" si="1909">IF(C1907&lt;&gt;"",DEC2HEX(C1907,2),"")</f>
        <v/>
      </c>
      <c r="I1907" s="1" t="str">
        <f t="shared" si="1909"/>
        <v/>
      </c>
      <c r="J1907" s="1" t="str">
        <f t="shared" si="3"/>
        <v/>
      </c>
      <c r="L1907" s="1" t="s">
        <v>3173</v>
      </c>
      <c r="M1907" s="1" t="str">
        <f t="shared" si="4"/>
        <v>2, 5, 20, TENTACOOL</v>
      </c>
    </row>
    <row r="1908" ht="12.75" customHeight="1">
      <c r="A1908" s="3" t="s">
        <v>3174</v>
      </c>
      <c r="B1908" s="3" t="str">
        <f t="shared" si="1"/>
        <v>20, 35, TENTACOOL</v>
      </c>
      <c r="C1908" s="1" t="str">
        <f t="array" ref="C1908">IF(B1907="NEW ROUTE",TEXTSPLIT(B1908,","),"")</f>
        <v/>
      </c>
      <c r="H1908" s="1" t="str">
        <f t="shared" ref="H1908:I1908" si="1910">IF(C1908&lt;&gt;"",DEC2HEX(C1908,2),"")</f>
        <v/>
      </c>
      <c r="I1908" s="1" t="str">
        <f t="shared" si="1910"/>
        <v/>
      </c>
      <c r="J1908" s="1" t="str">
        <f t="shared" si="3"/>
        <v/>
      </c>
      <c r="L1908" s="1" t="s">
        <v>3174</v>
      </c>
      <c r="M1908" s="1" t="str">
        <f t="shared" si="4"/>
        <v>20, 35, TENTACOOL</v>
      </c>
    </row>
    <row r="1909" ht="12.75" customHeight="1">
      <c r="A1909" s="3" t="s">
        <v>3297</v>
      </c>
      <c r="B1909" s="3" t="str">
        <f t="shared" si="1"/>
        <v>35, 40, MANTINE</v>
      </c>
      <c r="C1909" s="1" t="str">
        <f t="array" ref="C1909">IF(B1908="NEW ROUTE",TEXTSPLIT(B1909,","),"")</f>
        <v/>
      </c>
      <c r="H1909" s="1" t="str">
        <f t="shared" ref="H1909:I1909" si="1911">IF(C1909&lt;&gt;"",DEC2HEX(C1909,2),"")</f>
        <v/>
      </c>
      <c r="I1909" s="1" t="str">
        <f t="shared" si="1911"/>
        <v/>
      </c>
      <c r="J1909" s="1" t="str">
        <f t="shared" si="3"/>
        <v/>
      </c>
      <c r="L1909" s="1" t="s">
        <v>3297</v>
      </c>
      <c r="M1909" s="1" t="str">
        <f t="shared" si="4"/>
        <v>35, 40, MANTINE</v>
      </c>
    </row>
    <row r="1910" ht="12.75" customHeight="1">
      <c r="A1910" s="3" t="s">
        <v>3232</v>
      </c>
      <c r="B1910" s="3" t="str">
        <f t="shared" si="1"/>
        <v>35, 40, TENTACRUEL</v>
      </c>
      <c r="C1910" s="1" t="str">
        <f t="array" ref="C1910">IF(B1909="NEW ROUTE",TEXTSPLIT(B1910,","),"")</f>
        <v/>
      </c>
      <c r="H1910" s="1" t="str">
        <f t="shared" ref="H1910:I1910" si="1912">IF(C1910&lt;&gt;"",DEC2HEX(C1910,2),"")</f>
        <v/>
      </c>
      <c r="I1910" s="1" t="str">
        <f t="shared" si="1912"/>
        <v/>
      </c>
      <c r="J1910" s="1" t="str">
        <f t="shared" si="3"/>
        <v/>
      </c>
      <c r="L1910" s="1" t="s">
        <v>3232</v>
      </c>
      <c r="M1910" s="1" t="str">
        <f t="shared" si="4"/>
        <v>35, 40, TENTACRUEL</v>
      </c>
    </row>
    <row r="1911" ht="12.75" customHeight="1">
      <c r="A1911" s="3" t="s">
        <v>3232</v>
      </c>
      <c r="B1911" s="3" t="str">
        <f t="shared" si="1"/>
        <v>35, 40, TENTACRUEL</v>
      </c>
      <c r="C1911" s="1" t="str">
        <f t="array" ref="C1911">IF(B1910="NEW ROUTE",TEXTSPLIT(B1911,","),"")</f>
        <v/>
      </c>
      <c r="H1911" s="1" t="str">
        <f t="shared" ref="H1911:I1911" si="1913">IF(C1911&lt;&gt;"",DEC2HEX(C1911,2),"")</f>
        <v/>
      </c>
      <c r="I1911" s="1" t="str">
        <f t="shared" si="1913"/>
        <v/>
      </c>
      <c r="J1911" s="1" t="str">
        <f t="shared" si="3"/>
        <v/>
      </c>
      <c r="L1911" s="1" t="s">
        <v>3232</v>
      </c>
      <c r="M1911" s="1" t="str">
        <f t="shared" si="4"/>
        <v>35, 40, TENTACRUEL</v>
      </c>
    </row>
    <row r="1912" ht="12.75" customHeight="1">
      <c r="A1912" s="3" t="s">
        <v>2926</v>
      </c>
      <c r="B1912" s="3" t="str">
        <f t="shared" si="1"/>
        <v>20, old rod:</v>
      </c>
      <c r="C1912" s="1" t="str">
        <f t="array" ref="C1912">IF(B1911="NEW ROUTE",TEXTSPLIT(B1912,","),"")</f>
        <v/>
      </c>
      <c r="H1912" s="1" t="str">
        <f t="shared" ref="H1912:I1912" si="1914">IF(C1912&lt;&gt;"",DEC2HEX(C1912,2),"")</f>
        <v/>
      </c>
      <c r="I1912" s="1" t="str">
        <f t="shared" si="1914"/>
        <v/>
      </c>
      <c r="J1912" s="1" t="str">
        <f t="shared" si="3"/>
        <v/>
      </c>
      <c r="L1912" s="1" t="s">
        <v>2926</v>
      </c>
      <c r="M1912" s="1" t="str">
        <f t="shared" si="4"/>
        <v>20, old rod:</v>
      </c>
    </row>
    <row r="1913" ht="12.75" customHeight="1">
      <c r="A1913" s="3" t="s">
        <v>417</v>
      </c>
      <c r="B1913" s="3" t="str">
        <f t="shared" si="1"/>
        <v>5, 5, MAGIKARP</v>
      </c>
      <c r="C1913" s="1" t="str">
        <f t="array" ref="C1913">IF(B1912="NEW ROUTE",TEXTSPLIT(B1913,","),"")</f>
        <v/>
      </c>
      <c r="H1913" s="1" t="str">
        <f t="shared" ref="H1913:I1913" si="1915">IF(C1913&lt;&gt;"",DEC2HEX(C1913,2),"")</f>
        <v/>
      </c>
      <c r="I1913" s="1" t="str">
        <f t="shared" si="1915"/>
        <v/>
      </c>
      <c r="J1913" s="1" t="str">
        <f t="shared" si="3"/>
        <v/>
      </c>
      <c r="L1913" s="1" t="s">
        <v>417</v>
      </c>
      <c r="M1913" s="1" t="str">
        <f t="shared" si="4"/>
        <v>5, 5, MAGIKARP</v>
      </c>
    </row>
    <row r="1914" ht="12.75" customHeight="1">
      <c r="A1914" s="3" t="s">
        <v>417</v>
      </c>
      <c r="B1914" s="3" t="str">
        <f t="shared" si="1"/>
        <v>5, 5, MAGIKARP</v>
      </c>
      <c r="C1914" s="1" t="str">
        <f t="array" ref="C1914">IF(B1913="NEW ROUTE",TEXTSPLIT(B1914,","),"")</f>
        <v/>
      </c>
      <c r="H1914" s="1" t="str">
        <f t="shared" ref="H1914:I1914" si="1916">IF(C1914&lt;&gt;"",DEC2HEX(C1914,2),"")</f>
        <v/>
      </c>
      <c r="I1914" s="1" t="str">
        <f t="shared" si="1916"/>
        <v/>
      </c>
      <c r="J1914" s="1" t="str">
        <f t="shared" si="3"/>
        <v/>
      </c>
      <c r="L1914" s="1" t="s">
        <v>417</v>
      </c>
      <c r="M1914" s="1" t="str">
        <f t="shared" si="4"/>
        <v>5, 5, MAGIKARP</v>
      </c>
    </row>
    <row r="1915" ht="12.75" customHeight="1">
      <c r="A1915" s="3" t="s">
        <v>2847</v>
      </c>
      <c r="B1915" s="3" t="str">
        <f t="shared" si="1"/>
        <v>good rod:</v>
      </c>
      <c r="C1915" s="1" t="str">
        <f t="array" ref="C1915">IF(B1914="NEW ROUTE",TEXTSPLIT(B1915,","),"")</f>
        <v/>
      </c>
      <c r="H1915" s="1" t="str">
        <f t="shared" ref="H1915:I1915" si="1917">IF(C1915&lt;&gt;"",DEC2HEX(C1915,2),"")</f>
        <v/>
      </c>
      <c r="I1915" s="1" t="str">
        <f t="shared" si="1917"/>
        <v/>
      </c>
      <c r="J1915" s="1" t="str">
        <f t="shared" si="3"/>
        <v/>
      </c>
      <c r="L1915" s="1" t="s">
        <v>2847</v>
      </c>
      <c r="M1915" s="1" t="str">
        <f t="shared" si="4"/>
        <v>good rod:</v>
      </c>
    </row>
    <row r="1916" ht="12.75" customHeight="1">
      <c r="A1916" s="3" t="s">
        <v>2848</v>
      </c>
      <c r="B1916" s="3" t="str">
        <f t="shared" si="1"/>
        <v>5, 15, KRABBY</v>
      </c>
      <c r="C1916" s="1" t="str">
        <f t="array" ref="C1916">IF(B1915="NEW ROUTE",TEXTSPLIT(B1916,","),"")</f>
        <v/>
      </c>
      <c r="H1916" s="1" t="str">
        <f t="shared" ref="H1916:I1916" si="1918">IF(C1916&lt;&gt;"",DEC2HEX(C1916,2),"")</f>
        <v/>
      </c>
      <c r="I1916" s="1" t="str">
        <f t="shared" si="1918"/>
        <v/>
      </c>
      <c r="J1916" s="1" t="str">
        <f t="shared" si="3"/>
        <v/>
      </c>
      <c r="L1916" s="1" t="s">
        <v>2848</v>
      </c>
      <c r="M1916" s="1" t="str">
        <f t="shared" si="4"/>
        <v>5, 15, KRABBY</v>
      </c>
    </row>
    <row r="1917" ht="12.75" customHeight="1">
      <c r="A1917" s="3" t="s">
        <v>2849</v>
      </c>
      <c r="B1917" s="3" t="str">
        <f t="shared" si="1"/>
        <v>5, 15, MAGIKARP</v>
      </c>
      <c r="C1917" s="1" t="str">
        <f t="array" ref="C1917">IF(B1916="NEW ROUTE",TEXTSPLIT(B1917,","),"")</f>
        <v/>
      </c>
      <c r="H1917" s="1" t="str">
        <f t="shared" ref="H1917:I1917" si="1919">IF(C1917&lt;&gt;"",DEC2HEX(C1917,2),"")</f>
        <v/>
      </c>
      <c r="I1917" s="1" t="str">
        <f t="shared" si="1919"/>
        <v/>
      </c>
      <c r="J1917" s="1" t="str">
        <f t="shared" si="3"/>
        <v/>
      </c>
      <c r="L1917" s="1" t="s">
        <v>2849</v>
      </c>
      <c r="M1917" s="1" t="str">
        <f t="shared" si="4"/>
        <v>5, 15, MAGIKARP</v>
      </c>
    </row>
    <row r="1918" ht="12.75" customHeight="1">
      <c r="A1918" s="3" t="s">
        <v>2848</v>
      </c>
      <c r="B1918" s="3" t="str">
        <f t="shared" si="1"/>
        <v>5, 15, KRABBY</v>
      </c>
      <c r="C1918" s="1" t="str">
        <f t="array" ref="C1918">IF(B1917="NEW ROUTE",TEXTSPLIT(B1918,","),"")</f>
        <v/>
      </c>
      <c r="H1918" s="1" t="str">
        <f t="shared" ref="H1918:I1918" si="1920">IF(C1918&lt;&gt;"",DEC2HEX(C1918,2),"")</f>
        <v/>
      </c>
      <c r="I1918" s="1" t="str">
        <f t="shared" si="1920"/>
        <v/>
      </c>
      <c r="J1918" s="1" t="str">
        <f t="shared" si="3"/>
        <v/>
      </c>
      <c r="L1918" s="1" t="s">
        <v>2848</v>
      </c>
      <c r="M1918" s="1" t="str">
        <f t="shared" si="4"/>
        <v>5, 15, KRABBY</v>
      </c>
    </row>
    <row r="1919" ht="12.75" customHeight="1">
      <c r="A1919" s="3" t="s">
        <v>2851</v>
      </c>
      <c r="B1919" s="3" t="str">
        <f t="shared" si="1"/>
        <v>super rod:</v>
      </c>
      <c r="C1919" s="1" t="str">
        <f t="array" ref="C1919">IF(B1918="NEW ROUTE",TEXTSPLIT(B1919,","),"")</f>
        <v/>
      </c>
      <c r="H1919" s="1" t="str">
        <f t="shared" ref="H1919:I1919" si="1921">IF(C1919&lt;&gt;"",DEC2HEX(C1919,2),"")</f>
        <v/>
      </c>
      <c r="I1919" s="1" t="str">
        <f t="shared" si="1921"/>
        <v/>
      </c>
      <c r="J1919" s="1" t="str">
        <f t="shared" si="3"/>
        <v/>
      </c>
      <c r="L1919" s="1" t="s">
        <v>2851</v>
      </c>
      <c r="M1919" s="1" t="str">
        <f t="shared" si="4"/>
        <v>super rod:</v>
      </c>
    </row>
    <row r="1920" ht="12.75" customHeight="1">
      <c r="A1920" s="3" t="s">
        <v>2852</v>
      </c>
      <c r="B1920" s="3" t="str">
        <f t="shared" si="1"/>
        <v>15, 25, KRABBY</v>
      </c>
      <c r="C1920" s="1" t="str">
        <f t="array" ref="C1920">IF(B1919="NEW ROUTE",TEXTSPLIT(B1920,","),"")</f>
        <v/>
      </c>
      <c r="H1920" s="1" t="str">
        <f t="shared" ref="H1920:I1920" si="1922">IF(C1920&lt;&gt;"",DEC2HEX(C1920,2),"")</f>
        <v/>
      </c>
      <c r="I1920" s="1" t="str">
        <f t="shared" si="1922"/>
        <v/>
      </c>
      <c r="J1920" s="1" t="str">
        <f t="shared" si="3"/>
        <v/>
      </c>
      <c r="L1920" s="1" t="s">
        <v>2852</v>
      </c>
      <c r="M1920" s="1" t="str">
        <f t="shared" si="4"/>
        <v>15, 25, KRABBY</v>
      </c>
    </row>
    <row r="1921" ht="12.75" customHeight="1">
      <c r="A1921" s="3" t="s">
        <v>3259</v>
      </c>
      <c r="B1921" s="3" t="str">
        <f t="shared" si="1"/>
        <v>15, 25, REMORAID</v>
      </c>
      <c r="C1921" s="1" t="str">
        <f t="array" ref="C1921">IF(B1920="NEW ROUTE",TEXTSPLIT(B1921,","),"")</f>
        <v/>
      </c>
      <c r="H1921" s="1" t="str">
        <f t="shared" ref="H1921:I1921" si="1923">IF(C1921&lt;&gt;"",DEC2HEX(C1921,2),"")</f>
        <v/>
      </c>
      <c r="I1921" s="1" t="str">
        <f t="shared" si="1923"/>
        <v/>
      </c>
      <c r="J1921" s="1" t="str">
        <f t="shared" si="3"/>
        <v/>
      </c>
      <c r="L1921" s="1" t="s">
        <v>3259</v>
      </c>
      <c r="M1921" s="1" t="str">
        <f t="shared" si="4"/>
        <v>15, 25, REMORAID</v>
      </c>
    </row>
    <row r="1922" ht="12.75" customHeight="1">
      <c r="A1922" s="3" t="s">
        <v>2854</v>
      </c>
      <c r="B1922" s="3" t="str">
        <f t="shared" si="1"/>
        <v>15, 25, GYARADOS</v>
      </c>
      <c r="C1922" s="1" t="str">
        <f t="array" ref="C1922">IF(B1921="NEW ROUTE",TEXTSPLIT(B1922,","),"")</f>
        <v/>
      </c>
      <c r="H1922" s="1" t="str">
        <f t="shared" ref="H1922:I1922" si="1924">IF(C1922&lt;&gt;"",DEC2HEX(C1922,2),"")</f>
        <v/>
      </c>
      <c r="I1922" s="1" t="str">
        <f t="shared" si="1924"/>
        <v/>
      </c>
      <c r="J1922" s="1" t="str">
        <f t="shared" si="3"/>
        <v/>
      </c>
      <c r="L1922" s="1" t="s">
        <v>2854</v>
      </c>
      <c r="M1922" s="1" t="str">
        <f t="shared" si="4"/>
        <v>15, 25, GYARADOS</v>
      </c>
    </row>
    <row r="1923" ht="12.75" customHeight="1">
      <c r="A1923" s="3" t="s">
        <v>3178</v>
      </c>
      <c r="B1923" s="3" t="str">
        <f t="shared" si="1"/>
        <v>25, 35, KINGLER</v>
      </c>
      <c r="C1923" s="1" t="str">
        <f t="array" ref="C1923">IF(B1922="NEW ROUTE",TEXTSPLIT(B1923,","),"")</f>
        <v/>
      </c>
      <c r="H1923" s="1" t="str">
        <f t="shared" ref="H1923:I1923" si="1925">IF(C1923&lt;&gt;"",DEC2HEX(C1923,2),"")</f>
        <v/>
      </c>
      <c r="I1923" s="1" t="str">
        <f t="shared" si="1925"/>
        <v/>
      </c>
      <c r="J1923" s="1" t="str">
        <f t="shared" si="3"/>
        <v/>
      </c>
      <c r="L1923" s="1" t="s">
        <v>3178</v>
      </c>
      <c r="M1923" s="1" t="str">
        <f t="shared" si="4"/>
        <v>25, 35, KINGLER</v>
      </c>
    </row>
    <row r="1924" ht="12.75" customHeight="1">
      <c r="A1924" s="3" t="s">
        <v>2856</v>
      </c>
      <c r="B1924" s="3" t="str">
        <f t="shared" si="1"/>
        <v>25, 35, SLOWPOKE</v>
      </c>
      <c r="C1924" s="1" t="str">
        <f t="array" ref="C1924">IF(B1923="NEW ROUTE",TEXTSPLIT(B1924,","),"")</f>
        <v/>
      </c>
      <c r="H1924" s="1" t="str">
        <f t="shared" ref="H1924:I1924" si="1926">IF(C1924&lt;&gt;"",DEC2HEX(C1924,2),"")</f>
        <v/>
      </c>
      <c r="I1924" s="1" t="str">
        <f t="shared" si="1926"/>
        <v/>
      </c>
      <c r="J1924" s="1" t="str">
        <f t="shared" si="3"/>
        <v/>
      </c>
      <c r="L1924" s="1" t="s">
        <v>2856</v>
      </c>
      <c r="M1924" s="1" t="str">
        <f t="shared" si="4"/>
        <v>25, 35, SLOWPOKE</v>
      </c>
    </row>
    <row r="1925" ht="12.75" customHeight="1">
      <c r="A1925" s="3" t="s">
        <v>2539</v>
      </c>
      <c r="B1925" s="3" t="str">
        <f t="shared" si="1"/>
        <v>NEW ROUTE</v>
      </c>
      <c r="C1925" s="1" t="str">
        <f t="array" ref="C1925">IF(B1924="NEW ROUTE",TEXTSPLIT(B1925,","),"")</f>
        <v/>
      </c>
      <c r="H1925" s="1" t="str">
        <f t="shared" ref="H1925:I1925" si="1927">IF(C1925&lt;&gt;"",DEC2HEX(C1925,2),"")</f>
        <v/>
      </c>
      <c r="I1925" s="1" t="str">
        <f t="shared" si="1927"/>
        <v/>
      </c>
      <c r="J1925" s="1" t="str">
        <f t="shared" si="3"/>
        <v/>
      </c>
      <c r="L1925" s="1" t="s">
        <v>2539</v>
      </c>
      <c r="M1925" s="1" t="str">
        <f t="shared" si="4"/>
        <v>NEW ROUTE</v>
      </c>
    </row>
    <row r="1926" ht="12.75" customHeight="1">
      <c r="A1926" s="3" t="s">
        <v>3310</v>
      </c>
      <c r="B1926" s="3" t="str">
        <f t="shared" si="1"/>
        <v>3, 19, 0,</v>
      </c>
      <c r="C1926" s="1" t="str">
        <f t="array" ref="C1926">IF(B1925="NEW ROUTE",TEXTSPLIT(B1926,","),"")</f>
        <v>#NAME?</v>
      </c>
      <c r="H1926" s="1" t="str">
        <f t="shared" ref="H1926:I1926" si="1928">IF(C1926&lt;&gt;"",DEC2HEX(C1926,2),"")</f>
        <v>#NAME?</v>
      </c>
      <c r="I1926" s="1" t="str">
        <f t="shared" si="1928"/>
        <v/>
      </c>
      <c r="J1926" s="1" t="str">
        <f t="shared" si="3"/>
        <v>#NAME?</v>
      </c>
      <c r="L1926" s="1" t="s">
        <v>3310</v>
      </c>
      <c r="M1926" s="1" t="str">
        <f t="shared" si="4"/>
        <v>#NAME?</v>
      </c>
    </row>
    <row r="1927" ht="12.75" customHeight="1">
      <c r="A1927" s="3" t="s">
        <v>2909</v>
      </c>
      <c r="B1927" s="3" t="str">
        <f t="shared" si="1"/>
        <v>20%</v>
      </c>
      <c r="C1927" s="1" t="str">
        <f t="array" ref="C1927">IF(B1926="NEW ROUTE",TEXTSPLIT(B1927,","),"")</f>
        <v/>
      </c>
      <c r="H1927" s="1" t="str">
        <f t="shared" ref="H1927:I1927" si="1929">IF(C1927&lt;&gt;"",DEC2HEX(C1927,2),"")</f>
        <v/>
      </c>
      <c r="I1927" s="1" t="str">
        <f t="shared" si="1929"/>
        <v/>
      </c>
      <c r="J1927" s="1" t="str">
        <f t="shared" si="3"/>
        <v/>
      </c>
      <c r="L1927" s="1" t="s">
        <v>2799</v>
      </c>
      <c r="M1927" s="1" t="str">
        <f t="shared" si="4"/>
        <v>20%</v>
      </c>
    </row>
    <row r="1928" ht="12.75" customHeight="1">
      <c r="A1928" s="3" t="s">
        <v>924</v>
      </c>
      <c r="B1928" s="3" t="str">
        <f t="shared" si="1"/>
        <v>2, 5, PIDGEY</v>
      </c>
      <c r="C1928" s="1" t="str">
        <f t="array" ref="C1928">IF(B1927="NEW ROUTE",TEXTSPLIT(B1928,","),"")</f>
        <v/>
      </c>
      <c r="H1928" s="1" t="str">
        <f t="shared" ref="H1928:I1928" si="1930">IF(C1928&lt;&gt;"",DEC2HEX(C1928,2),"")</f>
        <v/>
      </c>
      <c r="I1928" s="1" t="str">
        <f t="shared" si="1930"/>
        <v/>
      </c>
      <c r="J1928" s="1" t="str">
        <f t="shared" si="3"/>
        <v/>
      </c>
      <c r="L1928" s="1" t="s">
        <v>924</v>
      </c>
      <c r="M1928" s="1" t="str">
        <f t="shared" si="4"/>
        <v>2, 5, PIDGEY</v>
      </c>
    </row>
    <row r="1929" ht="12.75" customHeight="1">
      <c r="A1929" s="3" t="s">
        <v>924</v>
      </c>
      <c r="B1929" s="3" t="str">
        <f t="shared" si="1"/>
        <v>2, 5, PIDGEY</v>
      </c>
      <c r="C1929" s="1" t="str">
        <f t="array" ref="C1929">IF(B1928="NEW ROUTE",TEXTSPLIT(B1929,","),"")</f>
        <v/>
      </c>
      <c r="H1929" s="1" t="str">
        <f t="shared" ref="H1929:I1929" si="1931">IF(C1929&lt;&gt;"",DEC2HEX(C1929,2),"")</f>
        <v/>
      </c>
      <c r="I1929" s="1" t="str">
        <f t="shared" si="1931"/>
        <v/>
      </c>
      <c r="J1929" s="1" t="str">
        <f t="shared" si="3"/>
        <v/>
      </c>
      <c r="L1929" s="1" t="s">
        <v>924</v>
      </c>
      <c r="M1929" s="1" t="str">
        <f t="shared" si="4"/>
        <v>2, 5, PIDGEY</v>
      </c>
    </row>
    <row r="1930" ht="12.75" customHeight="1">
      <c r="A1930" s="3" t="s">
        <v>2802</v>
      </c>
      <c r="B1930" s="3" t="str">
        <f t="shared" si="1"/>
        <v>0.1</v>
      </c>
      <c r="C1930" s="1" t="str">
        <f t="array" ref="C1930">IF(B1929="NEW ROUTE",TEXTSPLIT(B1930,","),"")</f>
        <v/>
      </c>
      <c r="H1930" s="1" t="str">
        <f t="shared" ref="H1930:I1930" si="1932">IF(C1930&lt;&gt;"",DEC2HEX(C1930,2),"")</f>
        <v/>
      </c>
      <c r="I1930" s="1" t="str">
        <f t="shared" si="1932"/>
        <v/>
      </c>
      <c r="J1930" s="1" t="str">
        <f t="shared" si="3"/>
        <v/>
      </c>
      <c r="L1930" s="1" t="s">
        <v>2802</v>
      </c>
      <c r="M1930" s="1" t="str">
        <f t="shared" si="4"/>
        <v>0.1</v>
      </c>
    </row>
    <row r="1931" ht="12.75" customHeight="1">
      <c r="A1931" s="3" t="s">
        <v>3311</v>
      </c>
      <c r="B1931" s="3" t="str">
        <f t="shared" si="1"/>
        <v>2, 4, RATTATA</v>
      </c>
      <c r="C1931" s="1" t="str">
        <f t="array" ref="C1931">IF(B1930="NEW ROUTE",TEXTSPLIT(B1931,","),"")</f>
        <v/>
      </c>
      <c r="H1931" s="1" t="str">
        <f t="shared" ref="H1931:I1931" si="1933">IF(C1931&lt;&gt;"",DEC2HEX(C1931,2),"")</f>
        <v/>
      </c>
      <c r="I1931" s="1" t="str">
        <f t="shared" si="1933"/>
        <v/>
      </c>
      <c r="J1931" s="1" t="str">
        <f t="shared" si="3"/>
        <v/>
      </c>
      <c r="L1931" s="1" t="s">
        <v>3311</v>
      </c>
      <c r="M1931" s="1" t="str">
        <f t="shared" si="4"/>
        <v>2, 4, RATTATA</v>
      </c>
    </row>
    <row r="1932" ht="12.75" customHeight="1">
      <c r="A1932" s="3" t="s">
        <v>3311</v>
      </c>
      <c r="B1932" s="3" t="str">
        <f t="shared" si="1"/>
        <v>2, 4, RATTATA</v>
      </c>
      <c r="C1932" s="1" t="str">
        <f t="array" ref="C1932">IF(B1931="NEW ROUTE",TEXTSPLIT(B1932,","),"")</f>
        <v/>
      </c>
      <c r="H1932" s="1" t="str">
        <f t="shared" ref="H1932:I1932" si="1934">IF(C1932&lt;&gt;"",DEC2HEX(C1932,2),"")</f>
        <v/>
      </c>
      <c r="I1932" s="1" t="str">
        <f t="shared" si="1934"/>
        <v/>
      </c>
      <c r="J1932" s="1" t="str">
        <f t="shared" si="3"/>
        <v/>
      </c>
      <c r="L1932" s="1" t="s">
        <v>3311</v>
      </c>
      <c r="M1932" s="1" t="str">
        <f t="shared" si="4"/>
        <v>2, 4, RATTATA</v>
      </c>
    </row>
    <row r="1933" ht="12.75" customHeight="1">
      <c r="A1933" s="3" t="s">
        <v>3312</v>
      </c>
      <c r="B1933" s="3" t="str">
        <f t="shared" si="1"/>
        <v>2, 4, BELLSPROUT</v>
      </c>
      <c r="C1933" s="1" t="str">
        <f t="array" ref="C1933">IF(B1932="NEW ROUTE",TEXTSPLIT(B1933,","),"")</f>
        <v/>
      </c>
      <c r="H1933" s="1" t="str">
        <f t="shared" ref="H1933:I1933" si="1935">IF(C1933&lt;&gt;"",DEC2HEX(C1933,2),"")</f>
        <v/>
      </c>
      <c r="I1933" s="1" t="str">
        <f t="shared" si="1935"/>
        <v/>
      </c>
      <c r="J1933" s="1" t="str">
        <f t="shared" si="3"/>
        <v/>
      </c>
      <c r="L1933" s="1" t="s">
        <v>3312</v>
      </c>
      <c r="M1933" s="1" t="str">
        <f t="shared" si="4"/>
        <v>2, 4, BELLSPROUT</v>
      </c>
    </row>
    <row r="1934" ht="12.75" customHeight="1">
      <c r="A1934" s="3" t="s">
        <v>3312</v>
      </c>
      <c r="B1934" s="3" t="str">
        <f t="shared" si="1"/>
        <v>2, 4, BELLSPROUT</v>
      </c>
      <c r="C1934" s="1" t="str">
        <f t="array" ref="C1934">IF(B1933="NEW ROUTE",TEXTSPLIT(B1934,","),"")</f>
        <v/>
      </c>
      <c r="H1934" s="1" t="str">
        <f t="shared" ref="H1934:I1934" si="1936">IF(C1934&lt;&gt;"",DEC2HEX(C1934,2),"")</f>
        <v/>
      </c>
      <c r="I1934" s="1" t="str">
        <f t="shared" si="1936"/>
        <v/>
      </c>
      <c r="J1934" s="1" t="str">
        <f t="shared" si="3"/>
        <v/>
      </c>
      <c r="L1934" s="1" t="s">
        <v>3312</v>
      </c>
      <c r="M1934" s="1" t="str">
        <f t="shared" si="4"/>
        <v>2, 4, BELLSPROUT</v>
      </c>
    </row>
    <row r="1935" ht="12.75" customHeight="1">
      <c r="A1935" s="3" t="s">
        <v>2807</v>
      </c>
      <c r="B1935" s="3" t="str">
        <f t="shared" si="1"/>
        <v>0.05</v>
      </c>
      <c r="C1935" s="1" t="str">
        <f t="array" ref="C1935">IF(B1934="NEW ROUTE",TEXTSPLIT(B1935,","),"")</f>
        <v/>
      </c>
      <c r="H1935" s="1" t="str">
        <f t="shared" ref="H1935:I1935" si="1937">IF(C1935&lt;&gt;"",DEC2HEX(C1935,2),"")</f>
        <v/>
      </c>
      <c r="I1935" s="1" t="str">
        <f t="shared" si="1937"/>
        <v/>
      </c>
      <c r="J1935" s="1" t="str">
        <f t="shared" si="3"/>
        <v/>
      </c>
      <c r="L1935" s="1" t="s">
        <v>2807</v>
      </c>
      <c r="M1935" s="1" t="str">
        <f t="shared" si="4"/>
        <v>0.05</v>
      </c>
    </row>
    <row r="1936" ht="12.75" customHeight="1">
      <c r="A1936" s="3" t="s">
        <v>3313</v>
      </c>
      <c r="B1936" s="3" t="str">
        <f t="shared" si="1"/>
        <v>2, 4, ODDISH</v>
      </c>
      <c r="C1936" s="1" t="str">
        <f t="array" ref="C1936">IF(B1935="NEW ROUTE",TEXTSPLIT(B1936,","),"")</f>
        <v/>
      </c>
      <c r="H1936" s="1" t="str">
        <f t="shared" ref="H1936:I1936" si="1938">IF(C1936&lt;&gt;"",DEC2HEX(C1936,2),"")</f>
        <v/>
      </c>
      <c r="I1936" s="1" t="str">
        <f t="shared" si="1938"/>
        <v/>
      </c>
      <c r="J1936" s="1" t="str">
        <f t="shared" si="3"/>
        <v/>
      </c>
      <c r="L1936" s="1" t="s">
        <v>3313</v>
      </c>
      <c r="M1936" s="1" t="str">
        <f t="shared" si="4"/>
        <v>2, 4, ODDISH</v>
      </c>
    </row>
    <row r="1937" ht="12.75" customHeight="1">
      <c r="A1937" s="3" t="s">
        <v>3313</v>
      </c>
      <c r="B1937" s="3" t="str">
        <f t="shared" si="1"/>
        <v>2, 4, ODDISH</v>
      </c>
      <c r="C1937" s="1" t="str">
        <f t="array" ref="C1937">IF(B1936="NEW ROUTE",TEXTSPLIT(B1937,","),"")</f>
        <v/>
      </c>
      <c r="H1937" s="1" t="str">
        <f t="shared" ref="H1937:I1937" si="1939">IF(C1937&lt;&gt;"",DEC2HEX(C1937,2),"")</f>
        <v/>
      </c>
      <c r="I1937" s="1" t="str">
        <f t="shared" si="1939"/>
        <v/>
      </c>
      <c r="J1937" s="1" t="str">
        <f t="shared" si="3"/>
        <v/>
      </c>
      <c r="L1937" s="1" t="s">
        <v>3313</v>
      </c>
      <c r="M1937" s="1" t="str">
        <f t="shared" si="4"/>
        <v>2, 4, ODDISH</v>
      </c>
    </row>
    <row r="1938" ht="12.75" customHeight="1">
      <c r="A1938" s="3" t="s">
        <v>2810</v>
      </c>
      <c r="B1938" s="3" t="str">
        <f t="shared" si="1"/>
        <v>0.04</v>
      </c>
      <c r="C1938" s="1" t="str">
        <f t="array" ref="C1938">IF(B1937="NEW ROUTE",TEXTSPLIT(B1938,","),"")</f>
        <v/>
      </c>
      <c r="H1938" s="1" t="str">
        <f t="shared" ref="H1938:I1938" si="1940">IF(C1938&lt;&gt;"",DEC2HEX(C1938,2),"")</f>
        <v/>
      </c>
      <c r="I1938" s="1" t="str">
        <f t="shared" si="1940"/>
        <v/>
      </c>
      <c r="J1938" s="1" t="str">
        <f t="shared" si="3"/>
        <v/>
      </c>
      <c r="L1938" s="1" t="s">
        <v>2810</v>
      </c>
      <c r="M1938" s="1" t="str">
        <f t="shared" si="4"/>
        <v>0.04</v>
      </c>
    </row>
    <row r="1939" ht="12.75" customHeight="1">
      <c r="A1939" s="3" t="s">
        <v>3314</v>
      </c>
      <c r="B1939" s="3" t="str">
        <f t="shared" si="1"/>
        <v>2, 4, VENONAT</v>
      </c>
      <c r="C1939" s="1" t="str">
        <f t="array" ref="C1939">IF(B1938="NEW ROUTE",TEXTSPLIT(B1939,","),"")</f>
        <v/>
      </c>
      <c r="H1939" s="1" t="str">
        <f t="shared" ref="H1939:I1939" si="1941">IF(C1939&lt;&gt;"",DEC2HEX(C1939,2),"")</f>
        <v/>
      </c>
      <c r="I1939" s="1" t="str">
        <f t="shared" si="1941"/>
        <v/>
      </c>
      <c r="J1939" s="1" t="str">
        <f t="shared" si="3"/>
        <v/>
      </c>
      <c r="L1939" s="1" t="s">
        <v>3314</v>
      </c>
      <c r="M1939" s="1" t="str">
        <f t="shared" si="4"/>
        <v>2, 4, VENONAT</v>
      </c>
    </row>
    <row r="1940" ht="12.75" customHeight="1">
      <c r="A1940" s="3" t="s">
        <v>3314</v>
      </c>
      <c r="B1940" s="3" t="str">
        <f t="shared" si="1"/>
        <v>2, 4, VENONAT</v>
      </c>
      <c r="C1940" s="1" t="str">
        <f t="array" ref="C1940">IF(B1939="NEW ROUTE",TEXTSPLIT(B1940,","),"")</f>
        <v/>
      </c>
      <c r="H1940" s="1" t="str">
        <f t="shared" ref="H1940:I1940" si="1942">IF(C1940&lt;&gt;"",DEC2HEX(C1940,2),"")</f>
        <v/>
      </c>
      <c r="I1940" s="1" t="str">
        <f t="shared" si="1942"/>
        <v/>
      </c>
      <c r="J1940" s="1" t="str">
        <f t="shared" si="3"/>
        <v/>
      </c>
      <c r="L1940" s="1" t="s">
        <v>3314</v>
      </c>
      <c r="M1940" s="1" t="str">
        <f t="shared" si="4"/>
        <v>2, 4, VENONAT</v>
      </c>
    </row>
    <row r="1941" ht="12.75" customHeight="1">
      <c r="A1941" s="3" t="s">
        <v>2813</v>
      </c>
      <c r="B1941" s="3" t="str">
        <f t="shared" si="1"/>
        <v>0.01</v>
      </c>
      <c r="C1941" s="1" t="str">
        <f t="array" ref="C1941">IF(B1940="NEW ROUTE",TEXTSPLIT(B1941,","),"")</f>
        <v/>
      </c>
      <c r="H1941" s="1" t="str">
        <f t="shared" ref="H1941:I1941" si="1943">IF(C1941&lt;&gt;"",DEC2HEX(C1941,2),"")</f>
        <v/>
      </c>
      <c r="I1941" s="1" t="str">
        <f t="shared" si="1943"/>
        <v/>
      </c>
      <c r="J1941" s="1" t="str">
        <f t="shared" si="3"/>
        <v/>
      </c>
      <c r="L1941" s="1" t="s">
        <v>2813</v>
      </c>
      <c r="M1941" s="1" t="str">
        <f t="shared" si="4"/>
        <v>0.01</v>
      </c>
    </row>
    <row r="1942" ht="12.75" customHeight="1">
      <c r="A1942" s="3" t="s">
        <v>3315</v>
      </c>
      <c r="B1942" s="3" t="str">
        <f t="shared" si="1"/>
        <v>3, 3, EEVEE</v>
      </c>
      <c r="C1942" s="1" t="str">
        <f t="array" ref="C1942">IF(B1941="NEW ROUTE",TEXTSPLIT(B1942,","),"")</f>
        <v/>
      </c>
      <c r="H1942" s="1" t="str">
        <f t="shared" ref="H1942:I1942" si="1944">IF(C1942&lt;&gt;"",DEC2HEX(C1942,2),"")</f>
        <v/>
      </c>
      <c r="I1942" s="1" t="str">
        <f t="shared" si="1944"/>
        <v/>
      </c>
      <c r="J1942" s="1" t="str">
        <f t="shared" si="3"/>
        <v/>
      </c>
      <c r="L1942" s="1" t="s">
        <v>3315</v>
      </c>
      <c r="M1942" s="1" t="str">
        <f t="shared" si="4"/>
        <v>3, 3, EEVEE</v>
      </c>
    </row>
    <row r="1943" ht="12.75" customHeight="1">
      <c r="A1943" s="3" t="s">
        <v>3316</v>
      </c>
      <c r="B1943" s="3" t="str">
        <f t="shared" si="1"/>
        <v>3, 3, EEVEE , &lt;null&gt;, &lt;null&gt;, &lt;null&gt;</v>
      </c>
      <c r="C1943" s="1" t="str">
        <f t="array" ref="C1943">IF(B1942="NEW ROUTE",TEXTSPLIT(B1943,","),"")</f>
        <v/>
      </c>
      <c r="H1943" s="1" t="str">
        <f t="shared" ref="H1943:I1943" si="1945">IF(C1943&lt;&gt;"",DEC2HEX(C1943,2),"")</f>
        <v/>
      </c>
      <c r="I1943" s="1" t="str">
        <f t="shared" si="1945"/>
        <v/>
      </c>
      <c r="J1943" s="1" t="str">
        <f t="shared" si="3"/>
        <v/>
      </c>
      <c r="L1943" s="1" t="s">
        <v>3316</v>
      </c>
      <c r="M1943" s="1" t="str">
        <f t="shared" si="4"/>
        <v>3, 3, EEVEE , &lt;null&gt;, &lt;null&gt;, &lt;null&gt;</v>
      </c>
    </row>
    <row r="1944" ht="12.75" customHeight="1">
      <c r="A1944" s="3" t="s">
        <v>2539</v>
      </c>
      <c r="B1944" s="3" t="str">
        <f t="shared" si="1"/>
        <v>NEW ROUTE</v>
      </c>
      <c r="C1944" s="1" t="str">
        <f t="array" ref="C1944">IF(B1943="NEW ROUTE",TEXTSPLIT(B1944,","),"")</f>
        <v/>
      </c>
      <c r="H1944" s="1" t="str">
        <f t="shared" ref="H1944:I1944" si="1946">IF(C1944&lt;&gt;"",DEC2HEX(C1944,2),"")</f>
        <v/>
      </c>
      <c r="I1944" s="1" t="str">
        <f t="shared" si="1946"/>
        <v/>
      </c>
      <c r="J1944" s="1" t="str">
        <f t="shared" si="3"/>
        <v/>
      </c>
      <c r="L1944" s="1" t="s">
        <v>2539</v>
      </c>
      <c r="M1944" s="1" t="str">
        <f t="shared" si="4"/>
        <v>NEW ROUTE</v>
      </c>
    </row>
    <row r="1945" ht="12.75" customHeight="1">
      <c r="A1945" s="3" t="s">
        <v>3317</v>
      </c>
      <c r="B1945" s="3" t="str">
        <f t="shared" si="1"/>
        <v>3, 20, 0,</v>
      </c>
      <c r="C1945" s="1" t="str">
        <f t="array" ref="C1945">IF(B1944="NEW ROUTE",TEXTSPLIT(B1945,","),"")</f>
        <v>#NAME?</v>
      </c>
      <c r="H1945" s="1" t="str">
        <f t="shared" ref="H1945:I1945" si="1947">IF(C1945&lt;&gt;"",DEC2HEX(C1945,2),"")</f>
        <v>#NAME?</v>
      </c>
      <c r="I1945" s="1" t="str">
        <f t="shared" si="1947"/>
        <v/>
      </c>
      <c r="J1945" s="1" t="str">
        <f t="shared" si="3"/>
        <v>#NAME?</v>
      </c>
      <c r="L1945" s="1" t="s">
        <v>3317</v>
      </c>
      <c r="M1945" s="1" t="str">
        <f t="shared" si="4"/>
        <v>#NAME?</v>
      </c>
    </row>
    <row r="1946" ht="12.75" customHeight="1">
      <c r="A1946" s="3" t="s">
        <v>2909</v>
      </c>
      <c r="B1946" s="3" t="str">
        <f t="shared" si="1"/>
        <v>20%</v>
      </c>
      <c r="C1946" s="1" t="str">
        <f t="array" ref="C1946">IF(B1945="NEW ROUTE",TEXTSPLIT(B1946,","),"")</f>
        <v/>
      </c>
      <c r="H1946" s="1" t="str">
        <f t="shared" ref="H1946:I1946" si="1948">IF(C1946&lt;&gt;"",DEC2HEX(C1946,2),"")</f>
        <v/>
      </c>
      <c r="I1946" s="1" t="str">
        <f t="shared" si="1948"/>
        <v/>
      </c>
      <c r="J1946" s="1" t="str">
        <f t="shared" si="3"/>
        <v/>
      </c>
      <c r="L1946" s="1" t="s">
        <v>2799</v>
      </c>
      <c r="M1946" s="1" t="str">
        <f t="shared" si="4"/>
        <v>20%</v>
      </c>
    </row>
    <row r="1947" ht="12.75" customHeight="1">
      <c r="A1947" s="3" t="s">
        <v>933</v>
      </c>
      <c r="B1947" s="3" t="str">
        <f t="shared" si="1"/>
        <v>3, 5, CATERPIE</v>
      </c>
      <c r="C1947" s="1" t="str">
        <f t="array" ref="C1947">IF(B1946="NEW ROUTE",TEXTSPLIT(B1947,","),"")</f>
        <v/>
      </c>
      <c r="H1947" s="1" t="str">
        <f t="shared" ref="H1947:I1947" si="1949">IF(C1947&lt;&gt;"",DEC2HEX(C1947,2),"")</f>
        <v/>
      </c>
      <c r="I1947" s="1" t="str">
        <f t="shared" si="1949"/>
        <v/>
      </c>
      <c r="J1947" s="1" t="str">
        <f t="shared" si="3"/>
        <v/>
      </c>
      <c r="L1947" s="1" t="s">
        <v>933</v>
      </c>
      <c r="M1947" s="1" t="str">
        <f t="shared" si="4"/>
        <v>3, 5, CATERPIE</v>
      </c>
    </row>
    <row r="1948" ht="12.75" customHeight="1">
      <c r="A1948" s="3" t="s">
        <v>3318</v>
      </c>
      <c r="B1948" s="3" t="str">
        <f t="shared" si="1"/>
        <v>3, 5, WEEDLE</v>
      </c>
      <c r="C1948" s="1" t="str">
        <f t="array" ref="C1948">IF(B1947="NEW ROUTE",TEXTSPLIT(B1948,","),"")</f>
        <v/>
      </c>
      <c r="H1948" s="1" t="str">
        <f t="shared" ref="H1948:I1948" si="1950">IF(C1948&lt;&gt;"",DEC2HEX(C1948,2),"")</f>
        <v/>
      </c>
      <c r="I1948" s="1" t="str">
        <f t="shared" si="1950"/>
        <v/>
      </c>
      <c r="J1948" s="1" t="str">
        <f t="shared" si="3"/>
        <v/>
      </c>
      <c r="L1948" s="1" t="s">
        <v>3318</v>
      </c>
      <c r="M1948" s="1" t="str">
        <f t="shared" si="4"/>
        <v>3, 5, WEEDLE</v>
      </c>
    </row>
    <row r="1949" ht="12.75" customHeight="1">
      <c r="A1949" s="3" t="s">
        <v>2802</v>
      </c>
      <c r="B1949" s="3" t="str">
        <f t="shared" si="1"/>
        <v>0.1</v>
      </c>
      <c r="C1949" s="1" t="str">
        <f t="array" ref="C1949">IF(B1948="NEW ROUTE",TEXTSPLIT(B1949,","),"")</f>
        <v/>
      </c>
      <c r="H1949" s="1" t="str">
        <f t="shared" ref="H1949:I1949" si="1951">IF(C1949&lt;&gt;"",DEC2HEX(C1949,2),"")</f>
        <v/>
      </c>
      <c r="I1949" s="1" t="str">
        <f t="shared" si="1951"/>
        <v/>
      </c>
      <c r="J1949" s="1" t="str">
        <f t="shared" si="3"/>
        <v/>
      </c>
      <c r="L1949" s="1" t="s">
        <v>2802</v>
      </c>
      <c r="M1949" s="1" t="str">
        <f t="shared" si="4"/>
        <v>0.1</v>
      </c>
    </row>
    <row r="1950" ht="12.75" customHeight="1">
      <c r="A1950" s="3" t="s">
        <v>3319</v>
      </c>
      <c r="B1950" s="3" t="str">
        <f t="shared" si="1"/>
        <v>4, 6, PIDGEY</v>
      </c>
      <c r="C1950" s="1" t="str">
        <f t="array" ref="C1950">IF(B1949="NEW ROUTE",TEXTSPLIT(B1950,","),"")</f>
        <v/>
      </c>
      <c r="H1950" s="1" t="str">
        <f t="shared" ref="H1950:I1950" si="1952">IF(C1950&lt;&gt;"",DEC2HEX(C1950,2),"")</f>
        <v/>
      </c>
      <c r="I1950" s="1" t="str">
        <f t="shared" si="1952"/>
        <v/>
      </c>
      <c r="J1950" s="1" t="str">
        <f t="shared" si="3"/>
        <v/>
      </c>
      <c r="L1950" s="1" t="s">
        <v>3319</v>
      </c>
      <c r="M1950" s="1" t="str">
        <f t="shared" si="4"/>
        <v>4, 6, PIDGEY</v>
      </c>
    </row>
    <row r="1951" ht="12.75" customHeight="1">
      <c r="A1951" s="3" t="s">
        <v>3320</v>
      </c>
      <c r="B1951" s="3" t="str">
        <f t="shared" si="1"/>
        <v>4, 6, RATTATA</v>
      </c>
      <c r="C1951" s="1" t="str">
        <f t="array" ref="C1951">IF(B1950="NEW ROUTE",TEXTSPLIT(B1951,","),"")</f>
        <v/>
      </c>
      <c r="H1951" s="1" t="str">
        <f t="shared" ref="H1951:I1951" si="1953">IF(C1951&lt;&gt;"",DEC2HEX(C1951,2),"")</f>
        <v/>
      </c>
      <c r="I1951" s="1" t="str">
        <f t="shared" si="1953"/>
        <v/>
      </c>
      <c r="J1951" s="1" t="str">
        <f t="shared" si="3"/>
        <v/>
      </c>
      <c r="L1951" s="1" t="s">
        <v>3320</v>
      </c>
      <c r="M1951" s="1" t="str">
        <f t="shared" si="4"/>
        <v>4, 6, RATTATA</v>
      </c>
    </row>
    <row r="1952" ht="12.75" customHeight="1">
      <c r="A1952" s="3" t="s">
        <v>3320</v>
      </c>
      <c r="B1952" s="3" t="str">
        <f t="shared" si="1"/>
        <v>4, 6, RATTATA</v>
      </c>
      <c r="C1952" s="1" t="str">
        <f t="array" ref="C1952">IF(B1951="NEW ROUTE",TEXTSPLIT(B1952,","),"")</f>
        <v/>
      </c>
      <c r="H1952" s="1" t="str">
        <f t="shared" ref="H1952:I1952" si="1954">IF(C1952&lt;&gt;"",DEC2HEX(C1952,2),"")</f>
        <v/>
      </c>
      <c r="I1952" s="1" t="str">
        <f t="shared" si="1954"/>
        <v/>
      </c>
      <c r="J1952" s="1" t="str">
        <f t="shared" si="3"/>
        <v/>
      </c>
      <c r="L1952" s="1" t="s">
        <v>3320</v>
      </c>
      <c r="M1952" s="1" t="str">
        <f t="shared" si="4"/>
        <v>4, 6, RATTATA</v>
      </c>
    </row>
    <row r="1953" ht="12.75" customHeight="1">
      <c r="A1953" s="3" t="s">
        <v>3319</v>
      </c>
      <c r="B1953" s="3" t="str">
        <f t="shared" si="1"/>
        <v>4, 6, PIDGEY</v>
      </c>
      <c r="C1953" s="1" t="str">
        <f t="array" ref="C1953">IF(B1952="NEW ROUTE",TEXTSPLIT(B1953,","),"")</f>
        <v/>
      </c>
      <c r="H1953" s="1" t="str">
        <f t="shared" ref="H1953:I1953" si="1955">IF(C1953&lt;&gt;"",DEC2HEX(C1953,2),"")</f>
        <v/>
      </c>
      <c r="I1953" s="1" t="str">
        <f t="shared" si="1955"/>
        <v/>
      </c>
      <c r="J1953" s="1" t="str">
        <f t="shared" si="3"/>
        <v/>
      </c>
      <c r="L1953" s="1" t="s">
        <v>3319</v>
      </c>
      <c r="M1953" s="1" t="str">
        <f t="shared" si="4"/>
        <v>4, 6, PIDGEY</v>
      </c>
    </row>
    <row r="1954" ht="12.75" customHeight="1">
      <c r="A1954" s="3" t="s">
        <v>2807</v>
      </c>
      <c r="B1954" s="3" t="str">
        <f t="shared" si="1"/>
        <v>0.05</v>
      </c>
      <c r="C1954" s="1" t="str">
        <f t="array" ref="C1954">IF(B1953="NEW ROUTE",TEXTSPLIT(B1954,","),"")</f>
        <v/>
      </c>
      <c r="H1954" s="1" t="str">
        <f t="shared" ref="H1954:I1954" si="1956">IF(C1954&lt;&gt;"",DEC2HEX(C1954,2),"")</f>
        <v/>
      </c>
      <c r="I1954" s="1" t="str">
        <f t="shared" si="1956"/>
        <v/>
      </c>
      <c r="J1954" s="1" t="str">
        <f t="shared" si="3"/>
        <v/>
      </c>
      <c r="L1954" s="1" t="s">
        <v>2807</v>
      </c>
      <c r="M1954" s="1" t="str">
        <f t="shared" si="4"/>
        <v>0.05</v>
      </c>
    </row>
    <row r="1955" ht="12.75" customHeight="1">
      <c r="A1955" s="3" t="s">
        <v>3321</v>
      </c>
      <c r="B1955" s="3" t="str">
        <f t="shared" si="1"/>
        <v>5, 8, MEOWTH</v>
      </c>
      <c r="C1955" s="1" t="str">
        <f t="array" ref="C1955">IF(B1954="NEW ROUTE",TEXTSPLIT(B1955,","),"")</f>
        <v/>
      </c>
      <c r="H1955" s="1" t="str">
        <f t="shared" ref="H1955:I1955" si="1957">IF(C1955&lt;&gt;"",DEC2HEX(C1955,2),"")</f>
        <v/>
      </c>
      <c r="I1955" s="1" t="str">
        <f t="shared" si="1957"/>
        <v/>
      </c>
      <c r="J1955" s="1" t="str">
        <f t="shared" si="3"/>
        <v/>
      </c>
      <c r="L1955" s="1" t="s">
        <v>3321</v>
      </c>
      <c r="M1955" s="1" t="str">
        <f t="shared" si="4"/>
        <v>5, 8, MEOWTH</v>
      </c>
    </row>
    <row r="1956" ht="12.75" customHeight="1">
      <c r="A1956" s="3" t="s">
        <v>3322</v>
      </c>
      <c r="B1956" s="3" t="str">
        <f t="shared" si="1"/>
        <v>5, 8, FARFETCH'D</v>
      </c>
      <c r="C1956" s="1" t="str">
        <f t="array" ref="C1956">IF(B1955="NEW ROUTE",TEXTSPLIT(B1956,","),"")</f>
        <v/>
      </c>
      <c r="H1956" s="1" t="str">
        <f t="shared" ref="H1956:I1956" si="1958">IF(C1956&lt;&gt;"",DEC2HEX(C1956,2),"")</f>
        <v/>
      </c>
      <c r="I1956" s="1" t="str">
        <f t="shared" si="1958"/>
        <v/>
      </c>
      <c r="J1956" s="1" t="str">
        <f t="shared" si="3"/>
        <v/>
      </c>
      <c r="L1956" s="1" t="s">
        <v>3322</v>
      </c>
      <c r="M1956" s="1" t="str">
        <f t="shared" si="4"/>
        <v>5, 8, FARFETCH'D</v>
      </c>
    </row>
    <row r="1957" ht="12.75" customHeight="1">
      <c r="A1957" s="3" t="s">
        <v>2810</v>
      </c>
      <c r="B1957" s="3" t="str">
        <f t="shared" si="1"/>
        <v>0.04</v>
      </c>
      <c r="C1957" s="1" t="str">
        <f t="array" ref="C1957">IF(B1956="NEW ROUTE",TEXTSPLIT(B1957,","),"")</f>
        <v/>
      </c>
      <c r="H1957" s="1" t="str">
        <f t="shared" ref="H1957:I1957" si="1959">IF(C1957&lt;&gt;"",DEC2HEX(C1957,2),"")</f>
        <v/>
      </c>
      <c r="I1957" s="1" t="str">
        <f t="shared" si="1959"/>
        <v/>
      </c>
      <c r="J1957" s="1" t="str">
        <f t="shared" si="3"/>
        <v/>
      </c>
      <c r="L1957" s="1" t="s">
        <v>2810</v>
      </c>
      <c r="M1957" s="1" t="str">
        <f t="shared" si="4"/>
        <v>0.04</v>
      </c>
    </row>
    <row r="1958" ht="12.75" customHeight="1">
      <c r="A1958" s="3" t="s">
        <v>3323</v>
      </c>
      <c r="B1958" s="3" t="str">
        <f t="shared" si="1"/>
        <v>5, 8, MAGNEMITE</v>
      </c>
      <c r="C1958" s="1" t="str">
        <f t="array" ref="C1958">IF(B1957="NEW ROUTE",TEXTSPLIT(B1958,","),"")</f>
        <v/>
      </c>
      <c r="H1958" s="1" t="str">
        <f t="shared" ref="H1958:I1958" si="1960">IF(C1958&lt;&gt;"",DEC2HEX(C1958,2),"")</f>
        <v/>
      </c>
      <c r="I1958" s="1" t="str">
        <f t="shared" si="1960"/>
        <v/>
      </c>
      <c r="J1958" s="1" t="str">
        <f t="shared" si="3"/>
        <v/>
      </c>
      <c r="L1958" s="1" t="s">
        <v>3323</v>
      </c>
      <c r="M1958" s="1" t="str">
        <f t="shared" si="4"/>
        <v>5, 8, MAGNEMITE</v>
      </c>
    </row>
    <row r="1959" ht="12.75" customHeight="1">
      <c r="A1959" s="3" t="s">
        <v>3324</v>
      </c>
      <c r="B1959" s="3" t="str">
        <f t="shared" si="1"/>
        <v>5, 8, GROWLITHE</v>
      </c>
      <c r="C1959" s="1" t="str">
        <f t="array" ref="C1959">IF(B1958="NEW ROUTE",TEXTSPLIT(B1959,","),"")</f>
        <v/>
      </c>
      <c r="H1959" s="1" t="str">
        <f t="shared" ref="H1959:I1959" si="1961">IF(C1959&lt;&gt;"",DEC2HEX(C1959,2),"")</f>
        <v/>
      </c>
      <c r="I1959" s="1" t="str">
        <f t="shared" si="1961"/>
        <v/>
      </c>
      <c r="J1959" s="1" t="str">
        <f t="shared" si="3"/>
        <v/>
      </c>
      <c r="L1959" s="1" t="s">
        <v>3324</v>
      </c>
      <c r="M1959" s="1" t="str">
        <f t="shared" si="4"/>
        <v>5, 8, GROWLITHE</v>
      </c>
    </row>
    <row r="1960" ht="12.75" customHeight="1">
      <c r="A1960" s="3" t="s">
        <v>2813</v>
      </c>
      <c r="B1960" s="3" t="str">
        <f t="shared" si="1"/>
        <v>0.01</v>
      </c>
      <c r="C1960" s="1" t="str">
        <f t="array" ref="C1960">IF(B1959="NEW ROUTE",TEXTSPLIT(B1960,","),"")</f>
        <v/>
      </c>
      <c r="H1960" s="1" t="str">
        <f t="shared" ref="H1960:I1960" si="1962">IF(C1960&lt;&gt;"",DEC2HEX(C1960,2),"")</f>
        <v/>
      </c>
      <c r="I1960" s="1" t="str">
        <f t="shared" si="1962"/>
        <v/>
      </c>
      <c r="J1960" s="1" t="str">
        <f t="shared" si="3"/>
        <v/>
      </c>
      <c r="L1960" s="1" t="s">
        <v>2813</v>
      </c>
      <c r="M1960" s="1" t="str">
        <f t="shared" si="4"/>
        <v>0.01</v>
      </c>
    </row>
    <row r="1961" ht="12.75" customHeight="1">
      <c r="A1961" s="3" t="s">
        <v>3325</v>
      </c>
      <c r="B1961" s="3" t="str">
        <f t="shared" si="1"/>
        <v>7, 7, MAGNEMITE</v>
      </c>
      <c r="C1961" s="1" t="str">
        <f t="array" ref="C1961">IF(B1960="NEW ROUTE",TEXTSPLIT(B1961,","),"")</f>
        <v/>
      </c>
      <c r="H1961" s="1" t="str">
        <f t="shared" ref="H1961:I1961" si="1963">IF(C1961&lt;&gt;"",DEC2HEX(C1961,2),"")</f>
        <v/>
      </c>
      <c r="I1961" s="1" t="str">
        <f t="shared" si="1963"/>
        <v/>
      </c>
      <c r="J1961" s="1" t="str">
        <f t="shared" si="3"/>
        <v/>
      </c>
      <c r="L1961" s="1" t="s">
        <v>3325</v>
      </c>
      <c r="M1961" s="1" t="str">
        <f t="shared" si="4"/>
        <v>7, 7, MAGNEMITE</v>
      </c>
    </row>
    <row r="1962" ht="12.75" customHeight="1">
      <c r="A1962" s="3" t="s">
        <v>3326</v>
      </c>
      <c r="B1962" s="3" t="str">
        <f t="shared" si="1"/>
        <v>7, 7, GROWLITHE , &lt;null&gt;, &lt;null&gt;, &lt;null&gt;</v>
      </c>
      <c r="C1962" s="1" t="str">
        <f t="array" ref="C1962">IF(B1961="NEW ROUTE",TEXTSPLIT(B1962,","),"")</f>
        <v/>
      </c>
      <c r="H1962" s="1" t="str">
        <f t="shared" ref="H1962:I1962" si="1964">IF(C1962&lt;&gt;"",DEC2HEX(C1962,2),"")</f>
        <v/>
      </c>
      <c r="I1962" s="1" t="str">
        <f t="shared" si="1964"/>
        <v/>
      </c>
      <c r="J1962" s="1" t="str">
        <f t="shared" si="3"/>
        <v/>
      </c>
      <c r="L1962" s="1" t="s">
        <v>3326</v>
      </c>
      <c r="M1962" s="1" t="str">
        <f t="shared" si="4"/>
        <v>7, 7, GROWLITHE , &lt;null&gt;, &lt;null&gt;, &lt;null&gt;</v>
      </c>
    </row>
    <row r="1963" ht="12.75" customHeight="1">
      <c r="A1963" s="3" t="s">
        <v>2539</v>
      </c>
      <c r="B1963" s="3" t="str">
        <f t="shared" si="1"/>
        <v>NEW ROUTE</v>
      </c>
      <c r="C1963" s="1" t="str">
        <f t="array" ref="C1963">IF(B1962="NEW ROUTE",TEXTSPLIT(B1963,","),"")</f>
        <v/>
      </c>
      <c r="H1963" s="1" t="str">
        <f t="shared" ref="H1963:I1963" si="1965">IF(C1963&lt;&gt;"",DEC2HEX(C1963,2),"")</f>
        <v/>
      </c>
      <c r="I1963" s="1" t="str">
        <f t="shared" si="1965"/>
        <v/>
      </c>
      <c r="J1963" s="1" t="str">
        <f t="shared" si="3"/>
        <v/>
      </c>
      <c r="L1963" s="1" t="s">
        <v>2539</v>
      </c>
      <c r="M1963" s="1" t="str">
        <f t="shared" si="4"/>
        <v>NEW ROUTE</v>
      </c>
    </row>
    <row r="1964" ht="12.75" customHeight="1">
      <c r="A1964" s="3" t="s">
        <v>3327</v>
      </c>
      <c r="B1964" s="3" t="str">
        <f t="shared" si="1"/>
        <v>3, 21, 0,</v>
      </c>
      <c r="C1964" s="1" t="str">
        <f t="array" ref="C1964">IF(B1963="NEW ROUTE",TEXTSPLIT(B1964,","),"")</f>
        <v>#NAME?</v>
      </c>
      <c r="H1964" s="1" t="str">
        <f t="shared" ref="H1964:I1964" si="1966">IF(C1964&lt;&gt;"",DEC2HEX(C1964,2),"")</f>
        <v>#NAME?</v>
      </c>
      <c r="I1964" s="1" t="str">
        <f t="shared" si="1966"/>
        <v/>
      </c>
      <c r="J1964" s="1" t="str">
        <f t="shared" si="3"/>
        <v>#NAME?</v>
      </c>
      <c r="L1964" s="1" t="s">
        <v>3327</v>
      </c>
      <c r="M1964" s="1" t="str">
        <f t="shared" si="4"/>
        <v>#NAME?</v>
      </c>
    </row>
    <row r="1965" ht="12.75" customHeight="1">
      <c r="A1965" s="3" t="s">
        <v>2909</v>
      </c>
      <c r="B1965" s="3" t="str">
        <f t="shared" si="1"/>
        <v>20%</v>
      </c>
      <c r="C1965" s="1" t="str">
        <f t="array" ref="C1965">IF(B1964="NEW ROUTE",TEXTSPLIT(B1965,","),"")</f>
        <v/>
      </c>
      <c r="H1965" s="1" t="str">
        <f t="shared" ref="H1965:I1965" si="1967">IF(C1965&lt;&gt;"",DEC2HEX(C1965,2),"")</f>
        <v/>
      </c>
      <c r="I1965" s="1" t="str">
        <f t="shared" si="1967"/>
        <v/>
      </c>
      <c r="J1965" s="1" t="str">
        <f t="shared" si="3"/>
        <v/>
      </c>
      <c r="L1965" s="1" t="s">
        <v>2799</v>
      </c>
      <c r="M1965" s="1" t="str">
        <f t="shared" si="4"/>
        <v>20%</v>
      </c>
    </row>
    <row r="1966" ht="12.75" customHeight="1">
      <c r="A1966" s="3" t="s">
        <v>944</v>
      </c>
      <c r="B1966" s="3" t="str">
        <f t="shared" si="1"/>
        <v>7, 9, SPEAROW</v>
      </c>
      <c r="C1966" s="1" t="str">
        <f t="array" ref="C1966">IF(B1965="NEW ROUTE",TEXTSPLIT(B1966,","),"")</f>
        <v/>
      </c>
      <c r="H1966" s="1" t="str">
        <f t="shared" ref="H1966:I1966" si="1968">IF(C1966&lt;&gt;"",DEC2HEX(C1966,2),"")</f>
        <v/>
      </c>
      <c r="I1966" s="1" t="str">
        <f t="shared" si="1968"/>
        <v/>
      </c>
      <c r="J1966" s="1" t="str">
        <f t="shared" si="3"/>
        <v/>
      </c>
      <c r="L1966" s="1" t="s">
        <v>944</v>
      </c>
      <c r="M1966" s="1" t="str">
        <f t="shared" si="4"/>
        <v>7, 9, SPEAROW</v>
      </c>
    </row>
    <row r="1967" ht="12.75" customHeight="1">
      <c r="A1967" s="3" t="s">
        <v>3328</v>
      </c>
      <c r="B1967" s="3" t="str">
        <f t="shared" si="1"/>
        <v>7, 9, PIDGEY</v>
      </c>
      <c r="C1967" s="1" t="str">
        <f t="array" ref="C1967">IF(B1966="NEW ROUTE",TEXTSPLIT(B1967,","),"")</f>
        <v/>
      </c>
      <c r="H1967" s="1" t="str">
        <f t="shared" ref="H1967:I1967" si="1969">IF(C1967&lt;&gt;"",DEC2HEX(C1967,2),"")</f>
        <v/>
      </c>
      <c r="I1967" s="1" t="str">
        <f t="shared" si="1969"/>
        <v/>
      </c>
      <c r="J1967" s="1" t="str">
        <f t="shared" si="3"/>
        <v/>
      </c>
      <c r="L1967" s="1" t="s">
        <v>3328</v>
      </c>
      <c r="M1967" s="1" t="str">
        <f t="shared" si="4"/>
        <v>7, 9, PIDGEY</v>
      </c>
    </row>
    <row r="1968" ht="12.75" customHeight="1">
      <c r="A1968" s="3" t="s">
        <v>2802</v>
      </c>
      <c r="B1968" s="3" t="str">
        <f t="shared" si="1"/>
        <v>0.1</v>
      </c>
      <c r="C1968" s="1" t="str">
        <f t="array" ref="C1968">IF(B1967="NEW ROUTE",TEXTSPLIT(B1968,","),"")</f>
        <v/>
      </c>
      <c r="H1968" s="1" t="str">
        <f t="shared" ref="H1968:I1968" si="1970">IF(C1968&lt;&gt;"",DEC2HEX(C1968,2),"")</f>
        <v/>
      </c>
      <c r="I1968" s="1" t="str">
        <f t="shared" si="1970"/>
        <v/>
      </c>
      <c r="J1968" s="1" t="str">
        <f t="shared" si="3"/>
        <v/>
      </c>
      <c r="L1968" s="1" t="s">
        <v>2802</v>
      </c>
      <c r="M1968" s="1" t="str">
        <f t="shared" si="4"/>
        <v>0.1</v>
      </c>
    </row>
    <row r="1969" ht="12.75" customHeight="1">
      <c r="A1969" s="3" t="s">
        <v>3329</v>
      </c>
      <c r="B1969" s="3" t="str">
        <f t="shared" si="1"/>
        <v>8, 10, NIDORAN\sf</v>
      </c>
      <c r="C1969" s="1" t="str">
        <f t="array" ref="C1969">IF(B1968="NEW ROUTE",TEXTSPLIT(B1969,","),"")</f>
        <v/>
      </c>
      <c r="H1969" s="1" t="str">
        <f t="shared" ref="H1969:I1969" si="1971">IF(C1969&lt;&gt;"",DEC2HEX(C1969,2),"")</f>
        <v/>
      </c>
      <c r="I1969" s="1" t="str">
        <f t="shared" si="1971"/>
        <v/>
      </c>
      <c r="J1969" s="1" t="str">
        <f t="shared" si="3"/>
        <v/>
      </c>
      <c r="L1969" s="1" t="s">
        <v>3329</v>
      </c>
      <c r="M1969" s="1" t="str">
        <f t="shared" si="4"/>
        <v>8, 10, NIDORAN\sf</v>
      </c>
    </row>
    <row r="1970" ht="12.75" customHeight="1">
      <c r="A1970" s="3" t="s">
        <v>3330</v>
      </c>
      <c r="B1970" s="3" t="str">
        <f t="shared" si="1"/>
        <v>8, 10, NIDORAN\sm</v>
      </c>
      <c r="C1970" s="1" t="str">
        <f t="array" ref="C1970">IF(B1969="NEW ROUTE",TEXTSPLIT(B1970,","),"")</f>
        <v/>
      </c>
      <c r="H1970" s="1" t="str">
        <f t="shared" ref="H1970:I1970" si="1972">IF(C1970&lt;&gt;"",DEC2HEX(C1970,2),"")</f>
        <v/>
      </c>
      <c r="I1970" s="1" t="str">
        <f t="shared" si="1972"/>
        <v/>
      </c>
      <c r="J1970" s="1" t="str">
        <f t="shared" si="3"/>
        <v/>
      </c>
      <c r="L1970" s="1" t="s">
        <v>3330</v>
      </c>
      <c r="M1970" s="1" t="str">
        <f t="shared" si="4"/>
        <v>8, 10, NIDORAN\sm</v>
      </c>
    </row>
    <row r="1971" ht="12.75" customHeight="1">
      <c r="A1971" s="3" t="s">
        <v>3331</v>
      </c>
      <c r="B1971" s="3" t="str">
        <f t="shared" si="1"/>
        <v>8, 10, EKANS</v>
      </c>
      <c r="C1971" s="1" t="str">
        <f t="array" ref="C1971">IF(B1970="NEW ROUTE",TEXTSPLIT(B1971,","),"")</f>
        <v/>
      </c>
      <c r="H1971" s="1" t="str">
        <f t="shared" ref="H1971:I1971" si="1973">IF(C1971&lt;&gt;"",DEC2HEX(C1971,2),"")</f>
        <v/>
      </c>
      <c r="I1971" s="1" t="str">
        <f t="shared" si="1973"/>
        <v/>
      </c>
      <c r="J1971" s="1" t="str">
        <f t="shared" si="3"/>
        <v/>
      </c>
      <c r="L1971" s="1" t="s">
        <v>3331</v>
      </c>
      <c r="M1971" s="1" t="str">
        <f t="shared" si="4"/>
        <v>8, 10, EKANS</v>
      </c>
    </row>
    <row r="1972" ht="12.75" customHeight="1">
      <c r="A1972" s="3" t="s">
        <v>3332</v>
      </c>
      <c r="B1972" s="3" t="str">
        <f t="shared" si="1"/>
        <v>8, 10, SANDSHREW</v>
      </c>
      <c r="C1972" s="1" t="str">
        <f t="array" ref="C1972">IF(B1971="NEW ROUTE",TEXTSPLIT(B1972,","),"")</f>
        <v/>
      </c>
      <c r="H1972" s="1" t="str">
        <f t="shared" ref="H1972:I1972" si="1974">IF(C1972&lt;&gt;"",DEC2HEX(C1972,2),"")</f>
        <v/>
      </c>
      <c r="I1972" s="1" t="str">
        <f t="shared" si="1974"/>
        <v/>
      </c>
      <c r="J1972" s="1" t="str">
        <f t="shared" si="3"/>
        <v/>
      </c>
      <c r="L1972" s="1" t="s">
        <v>3332</v>
      </c>
      <c r="M1972" s="1" t="str">
        <f t="shared" si="4"/>
        <v>8, 10, SANDSHREW</v>
      </c>
    </row>
    <row r="1973" ht="12.75" customHeight="1">
      <c r="A1973" s="3" t="s">
        <v>2807</v>
      </c>
      <c r="B1973" s="3" t="str">
        <f t="shared" si="1"/>
        <v>0.05</v>
      </c>
      <c r="C1973" s="1" t="str">
        <f t="array" ref="C1973">IF(B1972="NEW ROUTE",TEXTSPLIT(B1973,","),"")</f>
        <v/>
      </c>
      <c r="H1973" s="1" t="str">
        <f t="shared" ref="H1973:I1973" si="1975">IF(C1973&lt;&gt;"",DEC2HEX(C1973,2),"")</f>
        <v/>
      </c>
      <c r="I1973" s="1" t="str">
        <f t="shared" si="1975"/>
        <v/>
      </c>
      <c r="J1973" s="1" t="str">
        <f t="shared" si="3"/>
        <v/>
      </c>
      <c r="L1973" s="1" t="s">
        <v>2807</v>
      </c>
      <c r="M1973" s="1" t="str">
        <f t="shared" si="4"/>
        <v>0.05</v>
      </c>
    </row>
    <row r="1974" ht="12.75" customHeight="1">
      <c r="A1974" s="3" t="s">
        <v>3333</v>
      </c>
      <c r="B1974" s="3" t="str">
        <f t="shared" si="1"/>
        <v>9, 10, JIGGLYPUFF</v>
      </c>
      <c r="C1974" s="1" t="str">
        <f t="array" ref="C1974">IF(B1973="NEW ROUTE",TEXTSPLIT(B1974,","),"")</f>
        <v/>
      </c>
      <c r="H1974" s="1" t="str">
        <f t="shared" ref="H1974:I1974" si="1976">IF(C1974&lt;&gt;"",DEC2HEX(C1974,2),"")</f>
        <v/>
      </c>
      <c r="I1974" s="1" t="str">
        <f t="shared" si="1976"/>
        <v/>
      </c>
      <c r="J1974" s="1" t="str">
        <f t="shared" si="3"/>
        <v/>
      </c>
      <c r="L1974" s="1" t="s">
        <v>3333</v>
      </c>
      <c r="M1974" s="1" t="str">
        <f t="shared" si="4"/>
        <v>9, 10, JIGGLYPUFF</v>
      </c>
    </row>
    <row r="1975" ht="12.75" customHeight="1">
      <c r="A1975" s="3" t="s">
        <v>3334</v>
      </c>
      <c r="B1975" s="3" t="str">
        <f t="shared" si="1"/>
        <v>9, 10, CLEFAIRY</v>
      </c>
      <c r="C1975" s="1" t="str">
        <f t="array" ref="C1975">IF(B1974="NEW ROUTE",TEXTSPLIT(B1975,","),"")</f>
        <v/>
      </c>
      <c r="H1975" s="1" t="str">
        <f t="shared" ref="H1975:I1975" si="1977">IF(C1975&lt;&gt;"",DEC2HEX(C1975,2),"")</f>
        <v/>
      </c>
      <c r="I1975" s="1" t="str">
        <f t="shared" si="1977"/>
        <v/>
      </c>
      <c r="J1975" s="1" t="str">
        <f t="shared" si="3"/>
        <v/>
      </c>
      <c r="L1975" s="1" t="s">
        <v>3334</v>
      </c>
      <c r="M1975" s="1" t="str">
        <f t="shared" si="4"/>
        <v>9, 10, CLEFAIRY</v>
      </c>
    </row>
    <row r="1976" ht="12.75" customHeight="1">
      <c r="A1976" s="3" t="s">
        <v>2810</v>
      </c>
      <c r="B1976" s="3" t="str">
        <f t="shared" si="1"/>
        <v>0.04</v>
      </c>
      <c r="C1976" s="1" t="str">
        <f t="array" ref="C1976">IF(B1975="NEW ROUTE",TEXTSPLIT(B1976,","),"")</f>
        <v/>
      </c>
      <c r="H1976" s="1" t="str">
        <f t="shared" ref="H1976:I1976" si="1978">IF(C1976&lt;&gt;"",DEC2HEX(C1976,2),"")</f>
        <v/>
      </c>
      <c r="I1976" s="1" t="str">
        <f t="shared" si="1978"/>
        <v/>
      </c>
      <c r="J1976" s="1" t="str">
        <f t="shared" si="3"/>
        <v/>
      </c>
      <c r="L1976" s="1" t="s">
        <v>2810</v>
      </c>
      <c r="M1976" s="1" t="str">
        <f t="shared" si="4"/>
        <v>0.04</v>
      </c>
    </row>
    <row r="1977" ht="12.75" customHeight="1">
      <c r="A1977" s="3" t="s">
        <v>3335</v>
      </c>
      <c r="B1977" s="3" t="str">
        <f t="shared" si="1"/>
        <v>9, 11, MACHOP</v>
      </c>
      <c r="C1977" s="1" t="str">
        <f t="array" ref="C1977">IF(B1976="NEW ROUTE",TEXTSPLIT(B1977,","),"")</f>
        <v/>
      </c>
      <c r="H1977" s="1" t="str">
        <f t="shared" ref="H1977:I1977" si="1979">IF(C1977&lt;&gt;"",DEC2HEX(C1977,2),"")</f>
        <v/>
      </c>
      <c r="I1977" s="1" t="str">
        <f t="shared" si="1979"/>
        <v/>
      </c>
      <c r="J1977" s="1" t="str">
        <f t="shared" si="3"/>
        <v/>
      </c>
      <c r="L1977" s="1" t="s">
        <v>3335</v>
      </c>
      <c r="M1977" s="1" t="str">
        <f t="shared" si="4"/>
        <v>9, 11, MACHOP</v>
      </c>
    </row>
    <row r="1978" ht="12.75" customHeight="1">
      <c r="A1978" s="3" t="s">
        <v>3335</v>
      </c>
      <c r="B1978" s="3" t="str">
        <f t="shared" si="1"/>
        <v>9, 11, MACHOP</v>
      </c>
      <c r="C1978" s="1" t="str">
        <f t="array" ref="C1978">IF(B1977="NEW ROUTE",TEXTSPLIT(B1978,","),"")</f>
        <v/>
      </c>
      <c r="H1978" s="1" t="str">
        <f t="shared" ref="H1978:I1978" si="1980">IF(C1978&lt;&gt;"",DEC2HEX(C1978,2),"")</f>
        <v/>
      </c>
      <c r="I1978" s="1" t="str">
        <f t="shared" si="1980"/>
        <v/>
      </c>
      <c r="J1978" s="1" t="str">
        <f t="shared" si="3"/>
        <v/>
      </c>
      <c r="L1978" s="1" t="s">
        <v>3335</v>
      </c>
      <c r="M1978" s="1" t="str">
        <f t="shared" si="4"/>
        <v>9, 11, MACHOP</v>
      </c>
    </row>
    <row r="1979" ht="12.75" customHeight="1">
      <c r="A1979" s="3" t="s">
        <v>2813</v>
      </c>
      <c r="B1979" s="3" t="str">
        <f t="shared" si="1"/>
        <v>0.01</v>
      </c>
      <c r="C1979" s="1" t="str">
        <f t="array" ref="C1979">IF(B1978="NEW ROUTE",TEXTSPLIT(B1979,","),"")</f>
        <v/>
      </c>
      <c r="H1979" s="1" t="str">
        <f t="shared" ref="H1979:I1979" si="1981">IF(C1979&lt;&gt;"",DEC2HEX(C1979,2),"")</f>
        <v/>
      </c>
      <c r="I1979" s="1" t="str">
        <f t="shared" si="1981"/>
        <v/>
      </c>
      <c r="J1979" s="1" t="str">
        <f t="shared" si="3"/>
        <v/>
      </c>
      <c r="L1979" s="1" t="s">
        <v>2813</v>
      </c>
      <c r="M1979" s="1" t="str">
        <f t="shared" si="4"/>
        <v>0.01</v>
      </c>
    </row>
    <row r="1980" ht="12.75" customHeight="1">
      <c r="A1980" s="3" t="s">
        <v>3336</v>
      </c>
      <c r="B1980" s="3" t="str">
        <f t="shared" si="1"/>
        <v>10, 13, NIDORAN\sf</v>
      </c>
      <c r="C1980" s="1" t="str">
        <f t="array" ref="C1980">IF(B1979="NEW ROUTE",TEXTSPLIT(B1980,","),"")</f>
        <v/>
      </c>
      <c r="H1980" s="1" t="str">
        <f t="shared" ref="H1980:I1980" si="1982">IF(C1980&lt;&gt;"",DEC2HEX(C1980,2),"")</f>
        <v/>
      </c>
      <c r="I1980" s="1" t="str">
        <f t="shared" si="1982"/>
        <v/>
      </c>
      <c r="J1980" s="1" t="str">
        <f t="shared" si="3"/>
        <v/>
      </c>
      <c r="L1980" s="1" t="s">
        <v>3336</v>
      </c>
      <c r="M1980" s="1" t="str">
        <f t="shared" si="4"/>
        <v>10, 13, NIDORAN\sf</v>
      </c>
    </row>
    <row r="1981" ht="12.75" customHeight="1">
      <c r="A1981" s="3" t="s">
        <v>3337</v>
      </c>
      <c r="B1981" s="3" t="str">
        <f t="shared" si="1"/>
        <v>10, 13, NIDORAN\sm , &lt;null&gt;, &lt;null&gt;, &lt;null&gt;</v>
      </c>
      <c r="C1981" s="1" t="str">
        <f t="array" ref="C1981">IF(B1980="NEW ROUTE",TEXTSPLIT(B1981,","),"")</f>
        <v/>
      </c>
      <c r="H1981" s="1" t="str">
        <f t="shared" ref="H1981:I1981" si="1983">IF(C1981&lt;&gt;"",DEC2HEX(C1981,2),"")</f>
        <v/>
      </c>
      <c r="I1981" s="1" t="str">
        <f t="shared" si="1983"/>
        <v/>
      </c>
      <c r="J1981" s="1" t="str">
        <f t="shared" si="3"/>
        <v/>
      </c>
      <c r="L1981" s="1" t="s">
        <v>3337</v>
      </c>
      <c r="M1981" s="1" t="str">
        <f t="shared" si="4"/>
        <v>10, 13, NIDORAN\sm , &lt;null&gt;, &lt;null&gt;, &lt;null&gt;</v>
      </c>
    </row>
    <row r="1982" ht="12.75" customHeight="1">
      <c r="A1982" s="3" t="s">
        <v>2539</v>
      </c>
      <c r="B1982" s="3" t="str">
        <f t="shared" si="1"/>
        <v>NEW ROUTE</v>
      </c>
      <c r="C1982" s="1" t="str">
        <f t="array" ref="C1982">IF(B1981="NEW ROUTE",TEXTSPLIT(B1982,","),"")</f>
        <v/>
      </c>
      <c r="H1982" s="1" t="str">
        <f t="shared" ref="H1982:I1982" si="1984">IF(C1982&lt;&gt;"",DEC2HEX(C1982,2),"")</f>
        <v/>
      </c>
      <c r="I1982" s="1" t="str">
        <f t="shared" si="1984"/>
        <v/>
      </c>
      <c r="J1982" s="1" t="str">
        <f t="shared" si="3"/>
        <v/>
      </c>
      <c r="L1982" s="1" t="s">
        <v>2539</v>
      </c>
      <c r="M1982" s="1" t="str">
        <f t="shared" si="4"/>
        <v>NEW ROUTE</v>
      </c>
    </row>
    <row r="1983" ht="12.75" customHeight="1">
      <c r="A1983" s="3" t="s">
        <v>3338</v>
      </c>
      <c r="B1983" s="3" t="str">
        <f t="shared" si="1"/>
        <v>3, 22, 0,</v>
      </c>
      <c r="C1983" s="1" t="str">
        <f t="array" ref="C1983">IF(B1982="NEW ROUTE",TEXTSPLIT(B1983,","),"")</f>
        <v>#NAME?</v>
      </c>
      <c r="H1983" s="1" t="str">
        <f t="shared" ref="H1983:I1983" si="1985">IF(C1983&lt;&gt;"",DEC2HEX(C1983,2),"")</f>
        <v>#NAME?</v>
      </c>
      <c r="I1983" s="1" t="str">
        <f t="shared" si="1985"/>
        <v/>
      </c>
      <c r="J1983" s="1" t="str">
        <f t="shared" si="3"/>
        <v>#NAME?</v>
      </c>
      <c r="L1983" s="1" t="s">
        <v>3338</v>
      </c>
      <c r="M1983" s="1" t="str">
        <f t="shared" si="4"/>
        <v>#NAME?</v>
      </c>
    </row>
    <row r="1984" ht="12.75" customHeight="1">
      <c r="A1984" s="3" t="s">
        <v>2909</v>
      </c>
      <c r="B1984" s="3" t="str">
        <f t="shared" si="1"/>
        <v>20%</v>
      </c>
      <c r="C1984" s="1" t="str">
        <f t="array" ref="C1984">IF(B1983="NEW ROUTE",TEXTSPLIT(B1984,","),"")</f>
        <v/>
      </c>
      <c r="H1984" s="1" t="str">
        <f t="shared" ref="H1984:I1984" si="1986">IF(C1984&lt;&gt;"",DEC2HEX(C1984,2),"")</f>
        <v/>
      </c>
      <c r="I1984" s="1" t="str">
        <f t="shared" si="1986"/>
        <v/>
      </c>
      <c r="J1984" s="1" t="str">
        <f t="shared" si="3"/>
        <v/>
      </c>
      <c r="L1984" s="1" t="s">
        <v>2799</v>
      </c>
      <c r="M1984" s="1" t="str">
        <f t="shared" si="4"/>
        <v>20%</v>
      </c>
    </row>
    <row r="1985" ht="12.75" customHeight="1">
      <c r="A1985" s="3" t="s">
        <v>956</v>
      </c>
      <c r="B1985" s="3" t="str">
        <f t="shared" si="1"/>
        <v>13, 16, RATTATA</v>
      </c>
      <c r="C1985" s="1" t="str">
        <f t="array" ref="C1985">IF(B1984="NEW ROUTE",TEXTSPLIT(B1985,","),"")</f>
        <v/>
      </c>
      <c r="H1985" s="1" t="str">
        <f t="shared" ref="H1985:I1985" si="1987">IF(C1985&lt;&gt;"",DEC2HEX(C1985,2),"")</f>
        <v/>
      </c>
      <c r="I1985" s="1" t="str">
        <f t="shared" si="1987"/>
        <v/>
      </c>
      <c r="J1985" s="1" t="str">
        <f t="shared" si="3"/>
        <v/>
      </c>
      <c r="L1985" s="1" t="s">
        <v>956</v>
      </c>
      <c r="M1985" s="1" t="str">
        <f t="shared" si="4"/>
        <v>13, 16, RATTATA</v>
      </c>
    </row>
    <row r="1986" ht="12.75" customHeight="1">
      <c r="A1986" s="3" t="s">
        <v>3339</v>
      </c>
      <c r="B1986" s="3" t="str">
        <f t="shared" si="1"/>
        <v>13, 16, SPEAROW</v>
      </c>
      <c r="C1986" s="1" t="str">
        <f t="array" ref="C1986">IF(B1985="NEW ROUTE",TEXTSPLIT(B1986,","),"")</f>
        <v/>
      </c>
      <c r="H1986" s="1" t="str">
        <f t="shared" ref="H1986:I1986" si="1988">IF(C1986&lt;&gt;"",DEC2HEX(C1986,2),"")</f>
        <v/>
      </c>
      <c r="I1986" s="1" t="str">
        <f t="shared" si="1988"/>
        <v/>
      </c>
      <c r="J1986" s="1" t="str">
        <f t="shared" si="3"/>
        <v/>
      </c>
      <c r="L1986" s="1" t="s">
        <v>3339</v>
      </c>
      <c r="M1986" s="1" t="str">
        <f t="shared" si="4"/>
        <v>13, 16, SPEAROW</v>
      </c>
    </row>
    <row r="1987" ht="12.75" customHeight="1">
      <c r="A1987" s="3" t="s">
        <v>2802</v>
      </c>
      <c r="B1987" s="3" t="str">
        <f t="shared" si="1"/>
        <v>0.1</v>
      </c>
      <c r="C1987" s="1" t="str">
        <f t="array" ref="C1987">IF(B1986="NEW ROUTE",TEXTSPLIT(B1987,","),"")</f>
        <v/>
      </c>
      <c r="H1987" s="1" t="str">
        <f t="shared" ref="H1987:I1987" si="1989">IF(C1987&lt;&gt;"",DEC2HEX(C1987,2),"")</f>
        <v/>
      </c>
      <c r="I1987" s="1" t="str">
        <f t="shared" si="1989"/>
        <v/>
      </c>
      <c r="J1987" s="1" t="str">
        <f t="shared" si="3"/>
        <v/>
      </c>
      <c r="L1987" s="1" t="s">
        <v>2802</v>
      </c>
      <c r="M1987" s="1" t="str">
        <f t="shared" si="4"/>
        <v>0.1</v>
      </c>
    </row>
    <row r="1988" ht="12.75" customHeight="1">
      <c r="A1988" s="3" t="s">
        <v>3340</v>
      </c>
      <c r="B1988" s="3" t="str">
        <f t="shared" si="1"/>
        <v>14, 16, PSYDUCK</v>
      </c>
      <c r="C1988" s="1" t="str">
        <f t="array" ref="C1988">IF(B1987="NEW ROUTE",TEXTSPLIT(B1988,","),"")</f>
        <v/>
      </c>
      <c r="H1988" s="1" t="str">
        <f t="shared" ref="H1988:I1988" si="1990">IF(C1988&lt;&gt;"",DEC2HEX(C1988,2),"")</f>
        <v/>
      </c>
      <c r="I1988" s="1" t="str">
        <f t="shared" si="1990"/>
        <v/>
      </c>
      <c r="J1988" s="1" t="str">
        <f t="shared" si="3"/>
        <v/>
      </c>
      <c r="L1988" s="1" t="s">
        <v>3340</v>
      </c>
      <c r="M1988" s="1" t="str">
        <f t="shared" si="4"/>
        <v>14, 16, PSYDUCK</v>
      </c>
    </row>
    <row r="1989" ht="12.75" customHeight="1">
      <c r="A1989" s="3" t="s">
        <v>3341</v>
      </c>
      <c r="B1989" s="3" t="str">
        <f t="shared" si="1"/>
        <v>14, 16, NIDORAN\sm</v>
      </c>
      <c r="C1989" s="1" t="str">
        <f t="array" ref="C1989">IF(B1988="NEW ROUTE",TEXTSPLIT(B1989,","),"")</f>
        <v/>
      </c>
      <c r="H1989" s="1" t="str">
        <f t="shared" ref="H1989:I1989" si="1991">IF(C1989&lt;&gt;"",DEC2HEX(C1989,2),"")</f>
        <v/>
      </c>
      <c r="I1989" s="1" t="str">
        <f t="shared" si="1991"/>
        <v/>
      </c>
      <c r="J1989" s="1" t="str">
        <f t="shared" si="3"/>
        <v/>
      </c>
      <c r="L1989" s="1" t="s">
        <v>3341</v>
      </c>
      <c r="M1989" s="1" t="str">
        <f t="shared" si="4"/>
        <v>14, 16, NIDORAN\sm</v>
      </c>
    </row>
    <row r="1990" ht="12.75" customHeight="1">
      <c r="A1990" s="3" t="s">
        <v>3342</v>
      </c>
      <c r="B1990" s="3" t="str">
        <f t="shared" si="1"/>
        <v>14, 16, NIDORAN\sf</v>
      </c>
      <c r="C1990" s="1" t="str">
        <f t="array" ref="C1990">IF(B1989="NEW ROUTE",TEXTSPLIT(B1990,","),"")</f>
        <v/>
      </c>
      <c r="H1990" s="1" t="str">
        <f t="shared" ref="H1990:I1990" si="1992">IF(C1990&lt;&gt;"",DEC2HEX(C1990,2),"")</f>
        <v/>
      </c>
      <c r="I1990" s="1" t="str">
        <f t="shared" si="1992"/>
        <v/>
      </c>
      <c r="J1990" s="1" t="str">
        <f t="shared" si="3"/>
        <v/>
      </c>
      <c r="L1990" s="1" t="s">
        <v>3342</v>
      </c>
      <c r="M1990" s="1" t="str">
        <f t="shared" si="4"/>
        <v>14, 16, NIDORAN\sf</v>
      </c>
    </row>
    <row r="1991" ht="12.75" customHeight="1">
      <c r="A1991" s="3" t="s">
        <v>3343</v>
      </c>
      <c r="B1991" s="3" t="str">
        <f t="shared" si="1"/>
        <v>14, 16, EKANS</v>
      </c>
      <c r="C1991" s="1" t="str">
        <f t="array" ref="C1991">IF(B1990="NEW ROUTE",TEXTSPLIT(B1991,","),"")</f>
        <v/>
      </c>
      <c r="H1991" s="1" t="str">
        <f t="shared" ref="H1991:I1991" si="1993">IF(C1991&lt;&gt;"",DEC2HEX(C1991,2),"")</f>
        <v/>
      </c>
      <c r="I1991" s="1" t="str">
        <f t="shared" si="1993"/>
        <v/>
      </c>
      <c r="J1991" s="1" t="str">
        <f t="shared" si="3"/>
        <v/>
      </c>
      <c r="L1991" s="1" t="s">
        <v>3343</v>
      </c>
      <c r="M1991" s="1" t="str">
        <f t="shared" si="4"/>
        <v>14, 16, EKANS</v>
      </c>
    </row>
    <row r="1992" ht="12.75" customHeight="1">
      <c r="A1992" s="3" t="s">
        <v>2807</v>
      </c>
      <c r="B1992" s="3" t="str">
        <f t="shared" si="1"/>
        <v>0.05</v>
      </c>
      <c r="C1992" s="1" t="str">
        <f t="array" ref="C1992">IF(B1991="NEW ROUTE",TEXTSPLIT(B1992,","),"")</f>
        <v/>
      </c>
      <c r="H1992" s="1" t="str">
        <f t="shared" ref="H1992:I1992" si="1994">IF(C1992&lt;&gt;"",DEC2HEX(C1992,2),"")</f>
        <v/>
      </c>
      <c r="I1992" s="1" t="str">
        <f t="shared" si="1994"/>
        <v/>
      </c>
      <c r="J1992" s="1" t="str">
        <f t="shared" si="3"/>
        <v/>
      </c>
      <c r="L1992" s="1" t="s">
        <v>2807</v>
      </c>
      <c r="M1992" s="1" t="str">
        <f t="shared" si="4"/>
        <v>0.05</v>
      </c>
    </row>
    <row r="1993" ht="12.75" customHeight="1">
      <c r="A1993" s="3" t="s">
        <v>3344</v>
      </c>
      <c r="B1993" s="3" t="str">
        <f t="shared" si="1"/>
        <v>15, 15, JIGGLYPUFF</v>
      </c>
      <c r="C1993" s="1" t="str">
        <f t="array" ref="C1993">IF(B1992="NEW ROUTE",TEXTSPLIT(B1993,","),"")</f>
        <v/>
      </c>
      <c r="H1993" s="1" t="str">
        <f t="shared" ref="H1993:I1993" si="1995">IF(C1993&lt;&gt;"",DEC2HEX(C1993,2),"")</f>
        <v/>
      </c>
      <c r="I1993" s="1" t="str">
        <f t="shared" si="1995"/>
        <v/>
      </c>
      <c r="J1993" s="1" t="str">
        <f t="shared" si="3"/>
        <v/>
      </c>
      <c r="L1993" s="1" t="s">
        <v>3344</v>
      </c>
      <c r="M1993" s="1" t="str">
        <f t="shared" si="4"/>
        <v>15, 15, JIGGLYPUFF</v>
      </c>
    </row>
    <row r="1994" ht="12.75" customHeight="1">
      <c r="A1994" s="3" t="s">
        <v>3345</v>
      </c>
      <c r="B1994" s="3" t="str">
        <f t="shared" si="1"/>
        <v>15, 15, CLEFAIRY</v>
      </c>
      <c r="C1994" s="1" t="str">
        <f t="array" ref="C1994">IF(B1993="NEW ROUTE",TEXTSPLIT(B1994,","),"")</f>
        <v/>
      </c>
      <c r="H1994" s="1" t="str">
        <f t="shared" ref="H1994:I1994" si="1996">IF(C1994&lt;&gt;"",DEC2HEX(C1994,2),"")</f>
        <v/>
      </c>
      <c r="I1994" s="1" t="str">
        <f t="shared" si="1996"/>
        <v/>
      </c>
      <c r="J1994" s="1" t="str">
        <f t="shared" si="3"/>
        <v/>
      </c>
      <c r="L1994" s="1" t="s">
        <v>3345</v>
      </c>
      <c r="M1994" s="1" t="str">
        <f t="shared" si="4"/>
        <v>15, 15, CLEFAIRY</v>
      </c>
    </row>
    <row r="1995" ht="12.75" customHeight="1">
      <c r="A1995" s="3" t="s">
        <v>2810</v>
      </c>
      <c r="B1995" s="3" t="str">
        <f t="shared" si="1"/>
        <v>0.04</v>
      </c>
      <c r="C1995" s="1" t="str">
        <f t="array" ref="C1995">IF(B1994="NEW ROUTE",TEXTSPLIT(B1995,","),"")</f>
        <v/>
      </c>
      <c r="H1995" s="1" t="str">
        <f t="shared" ref="H1995:I1995" si="1997">IF(C1995&lt;&gt;"",DEC2HEX(C1995,2),"")</f>
        <v/>
      </c>
      <c r="I1995" s="1" t="str">
        <f t="shared" si="1997"/>
        <v/>
      </c>
      <c r="J1995" s="1" t="str">
        <f t="shared" si="3"/>
        <v/>
      </c>
      <c r="L1995" s="1" t="s">
        <v>2810</v>
      </c>
      <c r="M1995" s="1" t="str">
        <f t="shared" si="4"/>
        <v>0.04</v>
      </c>
    </row>
    <row r="1996" ht="12.75" customHeight="1">
      <c r="A1996" s="3" t="s">
        <v>3346</v>
      </c>
      <c r="B1996" s="3" t="str">
        <f t="shared" si="1"/>
        <v>13, 18, MANKEY</v>
      </c>
      <c r="C1996" s="1" t="str">
        <f t="array" ref="C1996">IF(B1995="NEW ROUTE",TEXTSPLIT(B1996,","),"")</f>
        <v/>
      </c>
      <c r="H1996" s="1" t="str">
        <f t="shared" ref="H1996:I1996" si="1998">IF(C1996&lt;&gt;"",DEC2HEX(C1996,2),"")</f>
        <v/>
      </c>
      <c r="I1996" s="1" t="str">
        <f t="shared" si="1998"/>
        <v/>
      </c>
      <c r="J1996" s="1" t="str">
        <f t="shared" si="3"/>
        <v/>
      </c>
      <c r="L1996" s="1" t="s">
        <v>3346</v>
      </c>
      <c r="M1996" s="1" t="str">
        <f t="shared" si="4"/>
        <v>13, 18, MANKEY</v>
      </c>
    </row>
    <row r="1997" ht="12.75" customHeight="1">
      <c r="A1997" s="3" t="s">
        <v>3347</v>
      </c>
      <c r="B1997" s="3" t="str">
        <f t="shared" si="1"/>
        <v>13, 18, MACHOP</v>
      </c>
      <c r="C1997" s="1" t="str">
        <f t="array" ref="C1997">IF(B1996="NEW ROUTE",TEXTSPLIT(B1997,","),"")</f>
        <v/>
      </c>
      <c r="H1997" s="1" t="str">
        <f t="shared" ref="H1997:I1997" si="1999">IF(C1997&lt;&gt;"",DEC2HEX(C1997,2),"")</f>
        <v/>
      </c>
      <c r="I1997" s="1" t="str">
        <f t="shared" si="1999"/>
        <v/>
      </c>
      <c r="J1997" s="1" t="str">
        <f t="shared" si="3"/>
        <v/>
      </c>
      <c r="L1997" s="1" t="s">
        <v>3347</v>
      </c>
      <c r="M1997" s="1" t="str">
        <f t="shared" si="4"/>
        <v>13, 18, MACHOP</v>
      </c>
    </row>
    <row r="1998" ht="12.75" customHeight="1">
      <c r="A1998" s="3" t="s">
        <v>2813</v>
      </c>
      <c r="B1998" s="3" t="str">
        <f t="shared" si="1"/>
        <v>0.01</v>
      </c>
      <c r="C1998" s="1" t="str">
        <f t="array" ref="C1998">IF(B1997="NEW ROUTE",TEXTSPLIT(B1998,","),"")</f>
        <v/>
      </c>
      <c r="H1998" s="1" t="str">
        <f t="shared" ref="H1998:I1998" si="2000">IF(C1998&lt;&gt;"",DEC2HEX(C1998,2),"")</f>
        <v/>
      </c>
      <c r="I1998" s="1" t="str">
        <f t="shared" si="2000"/>
        <v/>
      </c>
      <c r="J1998" s="1" t="str">
        <f t="shared" si="3"/>
        <v/>
      </c>
      <c r="L1998" s="1" t="s">
        <v>2813</v>
      </c>
      <c r="M1998" s="1" t="str">
        <f t="shared" si="4"/>
        <v>0.01</v>
      </c>
    </row>
    <row r="1999" ht="12.75" customHeight="1">
      <c r="A1999" s="3" t="s">
        <v>3348</v>
      </c>
      <c r="B1999" s="3" t="str">
        <f t="shared" si="1"/>
        <v>16, 16, NIDORINO</v>
      </c>
      <c r="C1999" s="1" t="str">
        <f t="array" ref="C1999">IF(B1998="NEW ROUTE",TEXTSPLIT(B1999,","),"")</f>
        <v/>
      </c>
      <c r="H1999" s="1" t="str">
        <f t="shared" ref="H1999:I1999" si="2001">IF(C1999&lt;&gt;"",DEC2HEX(C1999,2),"")</f>
        <v/>
      </c>
      <c r="I1999" s="1" t="str">
        <f t="shared" si="2001"/>
        <v/>
      </c>
      <c r="J1999" s="1" t="str">
        <f t="shared" si="3"/>
        <v/>
      </c>
      <c r="L1999" s="1" t="s">
        <v>3348</v>
      </c>
      <c r="M1999" s="1" t="str">
        <f t="shared" si="4"/>
        <v>16, 16, NIDORINO</v>
      </c>
    </row>
    <row r="2000" ht="12.75" customHeight="1">
      <c r="A2000" s="3" t="s">
        <v>3349</v>
      </c>
      <c r="B2000" s="3" t="str">
        <f t="shared" si="1"/>
        <v>16, 16, NIDORINA</v>
      </c>
      <c r="C2000" s="1" t="str">
        <f t="array" ref="C2000">IF(B1999="NEW ROUTE",TEXTSPLIT(B2000,","),"")</f>
        <v/>
      </c>
      <c r="H2000" s="1" t="str">
        <f t="shared" ref="H2000:I2000" si="2002">IF(C2000&lt;&gt;"",DEC2HEX(C2000,2),"")</f>
        <v/>
      </c>
      <c r="I2000" s="1" t="str">
        <f t="shared" si="2002"/>
        <v/>
      </c>
      <c r="J2000" s="1" t="str">
        <f t="shared" si="3"/>
        <v/>
      </c>
      <c r="L2000" s="1" t="s">
        <v>3349</v>
      </c>
      <c r="M2000" s="1" t="str">
        <f t="shared" si="4"/>
        <v>16, 16, NIDORINA</v>
      </c>
    </row>
    <row r="2001" ht="12.75" customHeight="1">
      <c r="A2001" s="3" t="s">
        <v>3350</v>
      </c>
      <c r="B2001" s="3" t="str">
        <f t="shared" si="1"/>
        <v>2, 38, 42, TENTACOOL</v>
      </c>
      <c r="C2001" s="1" t="str">
        <f t="array" ref="C2001">IF(B2000="NEW ROUTE",TEXTSPLIT(B2001,","),"")</f>
        <v/>
      </c>
      <c r="H2001" s="1" t="str">
        <f t="shared" ref="H2001:I2001" si="2003">IF(C2001&lt;&gt;"",DEC2HEX(C2001,2),"")</f>
        <v/>
      </c>
      <c r="I2001" s="1" t="str">
        <f t="shared" si="2003"/>
        <v/>
      </c>
      <c r="J2001" s="1" t="str">
        <f t="shared" si="3"/>
        <v/>
      </c>
      <c r="L2001" s="1" t="s">
        <v>3350</v>
      </c>
      <c r="M2001" s="1" t="str">
        <f t="shared" si="4"/>
        <v>2, 38, 42, TENTACOOL</v>
      </c>
    </row>
    <row r="2002" ht="12.75" customHeight="1">
      <c r="A2002" s="3" t="s">
        <v>3351</v>
      </c>
      <c r="B2002" s="3" t="str">
        <f t="shared" si="1"/>
        <v>40, 44, PSYDUCK</v>
      </c>
      <c r="C2002" s="1" t="str">
        <f t="array" ref="C2002">IF(B2001="NEW ROUTE",TEXTSPLIT(B2002,","),"")</f>
        <v/>
      </c>
      <c r="H2002" s="1" t="str">
        <f t="shared" ref="H2002:I2002" si="2004">IF(C2002&lt;&gt;"",DEC2HEX(C2002,2),"")</f>
        <v/>
      </c>
      <c r="I2002" s="1" t="str">
        <f t="shared" si="2004"/>
        <v/>
      </c>
      <c r="J2002" s="1" t="str">
        <f t="shared" si="3"/>
        <v/>
      </c>
      <c r="L2002" s="1" t="s">
        <v>3351</v>
      </c>
      <c r="M2002" s="1" t="str">
        <f t="shared" si="4"/>
        <v>40, 44, PSYDUCK</v>
      </c>
    </row>
    <row r="2003" ht="12.75" customHeight="1">
      <c r="A2003" s="3" t="s">
        <v>3352</v>
      </c>
      <c r="B2003" s="3" t="str">
        <f t="shared" si="1"/>
        <v>42, 46, TENTACRUEL</v>
      </c>
      <c r="C2003" s="1" t="str">
        <f t="array" ref="C2003">IF(B2002="NEW ROUTE",TEXTSPLIT(B2003,","),"")</f>
        <v/>
      </c>
      <c r="H2003" s="1" t="str">
        <f t="shared" ref="H2003:I2003" si="2005">IF(C2003&lt;&gt;"",DEC2HEX(C2003,2),"")</f>
        <v/>
      </c>
      <c r="I2003" s="1" t="str">
        <f t="shared" si="2005"/>
        <v/>
      </c>
      <c r="J2003" s="1" t="str">
        <f t="shared" si="3"/>
        <v/>
      </c>
      <c r="L2003" s="1" t="s">
        <v>3352</v>
      </c>
      <c r="M2003" s="1" t="str">
        <f t="shared" si="4"/>
        <v>42, 46, TENTACRUEL</v>
      </c>
    </row>
    <row r="2004" ht="12.75" customHeight="1">
      <c r="A2004" s="3" t="s">
        <v>2924</v>
      </c>
      <c r="B2004" s="3" t="str">
        <f t="shared" si="1"/>
        <v>42, 46, GOLDUCK</v>
      </c>
      <c r="C2004" s="1" t="str">
        <f t="array" ref="C2004">IF(B2003="NEW ROUTE",TEXTSPLIT(B2004,","),"")</f>
        <v/>
      </c>
      <c r="H2004" s="1" t="str">
        <f t="shared" ref="H2004:I2004" si="2006">IF(C2004&lt;&gt;"",DEC2HEX(C2004,2),"")</f>
        <v/>
      </c>
      <c r="I2004" s="1" t="str">
        <f t="shared" si="2006"/>
        <v/>
      </c>
      <c r="J2004" s="1" t="str">
        <f t="shared" si="3"/>
        <v/>
      </c>
      <c r="L2004" s="1" t="s">
        <v>2924</v>
      </c>
      <c r="M2004" s="1" t="str">
        <f t="shared" si="4"/>
        <v>42, 46, GOLDUCK</v>
      </c>
    </row>
    <row r="2005" ht="12.75" customHeight="1">
      <c r="A2005" s="3" t="s">
        <v>2925</v>
      </c>
      <c r="B2005" s="3" t="str">
        <f t="shared" si="1"/>
        <v>44, 48, VAPOREON</v>
      </c>
      <c r="C2005" s="1" t="str">
        <f t="array" ref="C2005">IF(B2004="NEW ROUTE",TEXTSPLIT(B2005,","),"")</f>
        <v/>
      </c>
      <c r="H2005" s="1" t="str">
        <f t="shared" ref="H2005:I2005" si="2007">IF(C2005&lt;&gt;"",DEC2HEX(C2005,2),"")</f>
        <v/>
      </c>
      <c r="I2005" s="1" t="str">
        <f t="shared" si="2007"/>
        <v/>
      </c>
      <c r="J2005" s="1" t="str">
        <f t="shared" si="3"/>
        <v/>
      </c>
      <c r="L2005" s="1" t="s">
        <v>2925</v>
      </c>
      <c r="M2005" s="1" t="str">
        <f t="shared" si="4"/>
        <v>44, 48, VAPOREON</v>
      </c>
    </row>
    <row r="2006" ht="12.75" customHeight="1">
      <c r="A2006" s="3" t="s">
        <v>2926</v>
      </c>
      <c r="B2006" s="3" t="str">
        <f t="shared" si="1"/>
        <v>20, old rod:</v>
      </c>
      <c r="C2006" s="1" t="str">
        <f t="array" ref="C2006">IF(B2005="NEW ROUTE",TEXTSPLIT(B2006,","),"")</f>
        <v/>
      </c>
      <c r="H2006" s="1" t="str">
        <f t="shared" ref="H2006:I2006" si="2008">IF(C2006&lt;&gt;"",DEC2HEX(C2006,2),"")</f>
        <v/>
      </c>
      <c r="I2006" s="1" t="str">
        <f t="shared" si="2008"/>
        <v/>
      </c>
      <c r="J2006" s="1" t="str">
        <f t="shared" si="3"/>
        <v/>
      </c>
      <c r="L2006" s="1" t="s">
        <v>2926</v>
      </c>
      <c r="M2006" s="1" t="str">
        <f t="shared" si="4"/>
        <v>20, old rod:</v>
      </c>
    </row>
    <row r="2007" ht="12.75" customHeight="1">
      <c r="A2007" s="3" t="s">
        <v>500</v>
      </c>
      <c r="B2007" s="3" t="str">
        <f t="shared" si="1"/>
        <v>19, 26, MAGIKARP</v>
      </c>
      <c r="C2007" s="1" t="str">
        <f t="array" ref="C2007">IF(B2006="NEW ROUTE",TEXTSPLIT(B2007,","),"")</f>
        <v/>
      </c>
      <c r="H2007" s="1" t="str">
        <f t="shared" ref="H2007:I2007" si="2009">IF(C2007&lt;&gt;"",DEC2HEX(C2007,2),"")</f>
        <v/>
      </c>
      <c r="I2007" s="1" t="str">
        <f t="shared" si="2009"/>
        <v/>
      </c>
      <c r="J2007" s="1" t="str">
        <f t="shared" si="3"/>
        <v/>
      </c>
      <c r="L2007" s="1" t="s">
        <v>500</v>
      </c>
      <c r="M2007" s="1" t="str">
        <f t="shared" si="4"/>
        <v>19, 26, MAGIKARP</v>
      </c>
    </row>
    <row r="2008" ht="12.75" customHeight="1">
      <c r="A2008" s="3" t="s">
        <v>3353</v>
      </c>
      <c r="B2008" s="3" t="str">
        <f t="shared" si="1"/>
        <v>19, 26, GYARADOS</v>
      </c>
      <c r="C2008" s="1" t="str">
        <f t="array" ref="C2008">IF(B2007="NEW ROUTE",TEXTSPLIT(B2008,","),"")</f>
        <v/>
      </c>
      <c r="H2008" s="1" t="str">
        <f t="shared" ref="H2008:I2008" si="2010">IF(C2008&lt;&gt;"",DEC2HEX(C2008,2),"")</f>
        <v/>
      </c>
      <c r="I2008" s="1" t="str">
        <f t="shared" si="2010"/>
        <v/>
      </c>
      <c r="J2008" s="1" t="str">
        <f t="shared" si="3"/>
        <v/>
      </c>
      <c r="L2008" s="1" t="s">
        <v>3353</v>
      </c>
      <c r="M2008" s="1" t="str">
        <f t="shared" si="4"/>
        <v>19, 26, GYARADOS</v>
      </c>
    </row>
    <row r="2009" ht="12.75" customHeight="1">
      <c r="A2009" s="3" t="s">
        <v>2847</v>
      </c>
      <c r="B2009" s="3" t="str">
        <f t="shared" si="1"/>
        <v>good rod:</v>
      </c>
      <c r="C2009" s="1" t="str">
        <f t="array" ref="C2009">IF(B2008="NEW ROUTE",TEXTSPLIT(B2009,","),"")</f>
        <v/>
      </c>
      <c r="H2009" s="1" t="str">
        <f t="shared" ref="H2009:I2009" si="2011">IF(C2009&lt;&gt;"",DEC2HEX(C2009,2),"")</f>
        <v/>
      </c>
      <c r="I2009" s="1" t="str">
        <f t="shared" si="2011"/>
        <v/>
      </c>
      <c r="J2009" s="1" t="str">
        <f t="shared" si="3"/>
        <v/>
      </c>
      <c r="L2009" s="1" t="s">
        <v>2847</v>
      </c>
      <c r="M2009" s="1" t="str">
        <f t="shared" si="4"/>
        <v>good rod:</v>
      </c>
    </row>
    <row r="2010" ht="12.75" customHeight="1">
      <c r="A2010" s="3" t="s">
        <v>3354</v>
      </c>
      <c r="B2010" s="3" t="str">
        <f t="shared" si="1"/>
        <v>29, 33, SLOWPOKE</v>
      </c>
      <c r="C2010" s="1" t="str">
        <f t="array" ref="C2010">IF(B2009="NEW ROUTE",TEXTSPLIT(B2010,","),"")</f>
        <v/>
      </c>
      <c r="H2010" s="1" t="str">
        <f t="shared" ref="H2010:I2010" si="2012">IF(C2010&lt;&gt;"",DEC2HEX(C2010,2),"")</f>
        <v/>
      </c>
      <c r="I2010" s="1" t="str">
        <f t="shared" si="2012"/>
        <v/>
      </c>
      <c r="J2010" s="1" t="str">
        <f t="shared" si="3"/>
        <v/>
      </c>
      <c r="L2010" s="1" t="s">
        <v>3354</v>
      </c>
      <c r="M2010" s="1" t="str">
        <f t="shared" si="4"/>
        <v>29, 33, SLOWPOKE</v>
      </c>
    </row>
    <row r="2011" ht="12.75" customHeight="1">
      <c r="A2011" s="3" t="s">
        <v>3028</v>
      </c>
      <c r="B2011" s="3" t="str">
        <f t="shared" si="1"/>
        <v>30, 35, KRABBY</v>
      </c>
      <c r="C2011" s="1" t="str">
        <f t="array" ref="C2011">IF(B2010="NEW ROUTE",TEXTSPLIT(B2011,","),"")</f>
        <v/>
      </c>
      <c r="H2011" s="1" t="str">
        <f t="shared" ref="H2011:I2011" si="2013">IF(C2011&lt;&gt;"",DEC2HEX(C2011,2),"")</f>
        <v/>
      </c>
      <c r="I2011" s="1" t="str">
        <f t="shared" si="2013"/>
        <v/>
      </c>
      <c r="J2011" s="1" t="str">
        <f t="shared" si="3"/>
        <v/>
      </c>
      <c r="L2011" s="1" t="s">
        <v>3028</v>
      </c>
      <c r="M2011" s="1" t="str">
        <f t="shared" si="4"/>
        <v>30, 35, KRABBY</v>
      </c>
    </row>
    <row r="2012" ht="12.75" customHeight="1">
      <c r="A2012" s="3" t="s">
        <v>3355</v>
      </c>
      <c r="B2012" s="3" t="str">
        <f t="shared" si="1"/>
        <v>30, 35, PSYDUCK</v>
      </c>
      <c r="C2012" s="1" t="str">
        <f t="array" ref="C2012">IF(B2011="NEW ROUTE",TEXTSPLIT(B2012,","),"")</f>
        <v/>
      </c>
      <c r="H2012" s="1" t="str">
        <f t="shared" ref="H2012:I2012" si="2014">IF(C2012&lt;&gt;"",DEC2HEX(C2012,2),"")</f>
        <v/>
      </c>
      <c r="I2012" s="1" t="str">
        <f t="shared" si="2014"/>
        <v/>
      </c>
      <c r="J2012" s="1" t="str">
        <f t="shared" si="3"/>
        <v/>
      </c>
      <c r="L2012" s="1" t="s">
        <v>3355</v>
      </c>
      <c r="M2012" s="1" t="str">
        <f t="shared" si="4"/>
        <v>30, 35, PSYDUCK</v>
      </c>
    </row>
    <row r="2013" ht="12.75" customHeight="1">
      <c r="A2013" s="3" t="s">
        <v>2851</v>
      </c>
      <c r="B2013" s="3" t="str">
        <f t="shared" si="1"/>
        <v>super rod:</v>
      </c>
      <c r="C2013" s="1" t="str">
        <f t="array" ref="C2013">IF(B2012="NEW ROUTE",TEXTSPLIT(B2013,","),"")</f>
        <v/>
      </c>
      <c r="H2013" s="1" t="str">
        <f t="shared" ref="H2013:I2013" si="2015">IF(C2013&lt;&gt;"",DEC2HEX(C2013,2),"")</f>
        <v/>
      </c>
      <c r="I2013" s="1" t="str">
        <f t="shared" si="2015"/>
        <v/>
      </c>
      <c r="J2013" s="1" t="str">
        <f t="shared" si="3"/>
        <v/>
      </c>
      <c r="L2013" s="1" t="s">
        <v>2851</v>
      </c>
      <c r="M2013" s="1" t="str">
        <f t="shared" si="4"/>
        <v>super rod:</v>
      </c>
    </row>
    <row r="2014" ht="12.75" customHeight="1">
      <c r="A2014" s="3" t="s">
        <v>3356</v>
      </c>
      <c r="B2014" s="3" t="str">
        <f t="shared" si="1"/>
        <v>36, 40, SLOWBRO</v>
      </c>
      <c r="C2014" s="1" t="str">
        <f t="array" ref="C2014">IF(B2013="NEW ROUTE",TEXTSPLIT(B2014,","),"")</f>
        <v/>
      </c>
      <c r="H2014" s="1" t="str">
        <f t="shared" ref="H2014:I2014" si="2016">IF(C2014&lt;&gt;"",DEC2HEX(C2014,2),"")</f>
        <v/>
      </c>
      <c r="I2014" s="1" t="str">
        <f t="shared" si="2016"/>
        <v/>
      </c>
      <c r="J2014" s="1" t="str">
        <f t="shared" si="3"/>
        <v/>
      </c>
      <c r="L2014" s="1" t="s">
        <v>3356</v>
      </c>
      <c r="M2014" s="1" t="str">
        <f t="shared" si="4"/>
        <v>36, 40, SLOWBRO</v>
      </c>
    </row>
    <row r="2015" ht="12.75" customHeight="1">
      <c r="A2015" s="3" t="s">
        <v>3357</v>
      </c>
      <c r="B2015" s="3" t="str">
        <f t="shared" si="1"/>
        <v>36, 40, GYARADOS</v>
      </c>
      <c r="C2015" s="1" t="str">
        <f t="array" ref="C2015">IF(B2014="NEW ROUTE",TEXTSPLIT(B2015,","),"")</f>
        <v/>
      </c>
      <c r="H2015" s="1" t="str">
        <f t="shared" ref="H2015:I2015" si="2017">IF(C2015&lt;&gt;"",DEC2HEX(C2015,2),"")</f>
        <v/>
      </c>
      <c r="I2015" s="1" t="str">
        <f t="shared" si="2017"/>
        <v/>
      </c>
      <c r="J2015" s="1" t="str">
        <f t="shared" si="3"/>
        <v/>
      </c>
      <c r="L2015" s="1" t="s">
        <v>3357</v>
      </c>
      <c r="M2015" s="1" t="str">
        <f t="shared" si="4"/>
        <v>36, 40, GYARADOS</v>
      </c>
    </row>
    <row r="2016" ht="12.75" customHeight="1">
      <c r="A2016" s="3" t="s">
        <v>3358</v>
      </c>
      <c r="B2016" s="3" t="str">
        <f t="shared" si="1"/>
        <v>38, 42, GOLDUCK</v>
      </c>
      <c r="C2016" s="1" t="str">
        <f t="array" ref="C2016">IF(B2015="NEW ROUTE",TEXTSPLIT(B2016,","),"")</f>
        <v/>
      </c>
      <c r="H2016" s="1" t="str">
        <f t="shared" ref="H2016:I2016" si="2018">IF(C2016&lt;&gt;"",DEC2HEX(C2016,2),"")</f>
        <v/>
      </c>
      <c r="I2016" s="1" t="str">
        <f t="shared" si="2018"/>
        <v/>
      </c>
      <c r="J2016" s="1" t="str">
        <f t="shared" si="3"/>
        <v/>
      </c>
      <c r="L2016" s="1" t="s">
        <v>3358</v>
      </c>
      <c r="M2016" s="1" t="str">
        <f t="shared" si="4"/>
        <v>38, 42, GOLDUCK</v>
      </c>
    </row>
    <row r="2017" ht="12.75" customHeight="1">
      <c r="A2017" s="3" t="s">
        <v>3359</v>
      </c>
      <c r="B2017" s="3" t="str">
        <f t="shared" si="1"/>
        <v>38, 42, KINGLER</v>
      </c>
      <c r="C2017" s="1" t="str">
        <f t="array" ref="C2017">IF(B2016="NEW ROUTE",TEXTSPLIT(B2017,","),"")</f>
        <v/>
      </c>
      <c r="H2017" s="1" t="str">
        <f t="shared" ref="H2017:I2017" si="2019">IF(C2017&lt;&gt;"",DEC2HEX(C2017,2),"")</f>
        <v/>
      </c>
      <c r="I2017" s="1" t="str">
        <f t="shared" si="2019"/>
        <v/>
      </c>
      <c r="J2017" s="1" t="str">
        <f t="shared" si="3"/>
        <v/>
      </c>
      <c r="L2017" s="1" t="s">
        <v>3359</v>
      </c>
      <c r="M2017" s="1" t="str">
        <f t="shared" si="4"/>
        <v>38, 42, KINGLER</v>
      </c>
    </row>
    <row r="2018" ht="12.75" customHeight="1">
      <c r="A2018" s="3" t="s">
        <v>3360</v>
      </c>
      <c r="B2018" s="3" t="str">
        <f t="shared" si="1"/>
        <v>40, 44, SLOWMATE</v>
      </c>
      <c r="C2018" s="1" t="str">
        <f t="array" ref="C2018">IF(B2017="NEW ROUTE",TEXTSPLIT(B2018,","),"")</f>
        <v/>
      </c>
      <c r="H2018" s="1" t="str">
        <f t="shared" ref="H2018:I2018" si="2020">IF(C2018&lt;&gt;"",DEC2HEX(C2018,2),"")</f>
        <v/>
      </c>
      <c r="I2018" s="1" t="str">
        <f t="shared" si="2020"/>
        <v/>
      </c>
      <c r="J2018" s="1" t="str">
        <f t="shared" si="3"/>
        <v/>
      </c>
      <c r="L2018" s="1" t="s">
        <v>3360</v>
      </c>
      <c r="M2018" s="1" t="str">
        <f t="shared" si="4"/>
        <v>40, 44, SLOWMATE</v>
      </c>
    </row>
    <row r="2019" ht="12.75" customHeight="1">
      <c r="A2019" s="3" t="s">
        <v>2539</v>
      </c>
      <c r="B2019" s="3" t="str">
        <f t="shared" si="1"/>
        <v>NEW ROUTE</v>
      </c>
      <c r="C2019" s="1" t="str">
        <f t="array" ref="C2019">IF(B2018="NEW ROUTE",TEXTSPLIT(B2019,","),"")</f>
        <v/>
      </c>
      <c r="H2019" s="1" t="str">
        <f t="shared" ref="H2019:I2019" si="2021">IF(C2019&lt;&gt;"",DEC2HEX(C2019,2),"")</f>
        <v/>
      </c>
      <c r="I2019" s="1" t="str">
        <f t="shared" si="2021"/>
        <v/>
      </c>
      <c r="J2019" s="1" t="str">
        <f t="shared" si="3"/>
        <v/>
      </c>
      <c r="L2019" s="1" t="s">
        <v>2539</v>
      </c>
      <c r="M2019" s="1" t="str">
        <f t="shared" si="4"/>
        <v>NEW ROUTE</v>
      </c>
    </row>
    <row r="2020" ht="12.75" customHeight="1">
      <c r="A2020" s="3" t="s">
        <v>3361</v>
      </c>
      <c r="B2020" s="3" t="str">
        <f t="shared" si="1"/>
        <v>3, 23, 0,</v>
      </c>
      <c r="C2020" s="1" t="str">
        <f t="array" ref="C2020">IF(B2019="NEW ROUTE",TEXTSPLIT(B2020,","),"")</f>
        <v>#NAME?</v>
      </c>
      <c r="H2020" s="1" t="str">
        <f t="shared" ref="H2020:I2020" si="2022">IF(C2020&lt;&gt;"",DEC2HEX(C2020,2),"")</f>
        <v>#NAME?</v>
      </c>
      <c r="I2020" s="1" t="str">
        <f t="shared" si="2022"/>
        <v/>
      </c>
      <c r="J2020" s="1" t="str">
        <f t="shared" si="3"/>
        <v>#NAME?</v>
      </c>
      <c r="L2020" s="1" t="s">
        <v>3361</v>
      </c>
      <c r="M2020" s="1" t="str">
        <f t="shared" si="4"/>
        <v>#NAME?</v>
      </c>
    </row>
    <row r="2021" ht="12.75" customHeight="1">
      <c r="A2021" s="3" t="s">
        <v>2909</v>
      </c>
      <c r="B2021" s="3" t="str">
        <f t="shared" si="1"/>
        <v>20%</v>
      </c>
      <c r="C2021" s="1" t="str">
        <f t="array" ref="C2021">IF(B2020="NEW ROUTE",TEXTSPLIT(B2021,","),"")</f>
        <v/>
      </c>
      <c r="H2021" s="1" t="str">
        <f t="shared" ref="H2021:I2021" si="2023">IF(C2021&lt;&gt;"",DEC2HEX(C2021,2),"")</f>
        <v/>
      </c>
      <c r="I2021" s="1" t="str">
        <f t="shared" si="2023"/>
        <v/>
      </c>
      <c r="J2021" s="1" t="str">
        <f t="shared" si="3"/>
        <v/>
      </c>
      <c r="L2021" s="1" t="s">
        <v>2799</v>
      </c>
      <c r="M2021" s="1" t="str">
        <f t="shared" si="4"/>
        <v>20%</v>
      </c>
    </row>
    <row r="2022" ht="12.75" customHeight="1">
      <c r="A2022" s="3" t="s">
        <v>979</v>
      </c>
      <c r="B2022" s="3" t="str">
        <f t="shared" si="1"/>
        <v>15, 17, PIDGEY</v>
      </c>
      <c r="C2022" s="1" t="str">
        <f t="array" ref="C2022">IF(B2021="NEW ROUTE",TEXTSPLIT(B2022,","),"")</f>
        <v/>
      </c>
      <c r="H2022" s="1" t="str">
        <f t="shared" ref="H2022:I2022" si="2024">IF(C2022&lt;&gt;"",DEC2HEX(C2022,2),"")</f>
        <v/>
      </c>
      <c r="I2022" s="1" t="str">
        <f t="shared" si="2024"/>
        <v/>
      </c>
      <c r="J2022" s="1" t="str">
        <f t="shared" si="3"/>
        <v/>
      </c>
      <c r="L2022" s="1" t="s">
        <v>979</v>
      </c>
      <c r="M2022" s="1" t="str">
        <f t="shared" si="4"/>
        <v>15, 17, PIDGEY</v>
      </c>
    </row>
    <row r="2023" ht="12.75" customHeight="1">
      <c r="A2023" s="3" t="s">
        <v>3362</v>
      </c>
      <c r="B2023" s="3" t="str">
        <f t="shared" si="1"/>
        <v>15, 17, MEOWTH</v>
      </c>
      <c r="C2023" s="1" t="str">
        <f t="array" ref="C2023">IF(B2022="NEW ROUTE",TEXTSPLIT(B2023,","),"")</f>
        <v/>
      </c>
      <c r="H2023" s="1" t="str">
        <f t="shared" ref="H2023:I2023" si="2025">IF(C2023&lt;&gt;"",DEC2HEX(C2023,2),"")</f>
        <v/>
      </c>
      <c r="I2023" s="1" t="str">
        <f t="shared" si="2025"/>
        <v/>
      </c>
      <c r="J2023" s="1" t="str">
        <f t="shared" si="3"/>
        <v/>
      </c>
      <c r="L2023" s="1" t="s">
        <v>3362</v>
      </c>
      <c r="M2023" s="1" t="str">
        <f t="shared" si="4"/>
        <v>15, 17, MEOWTH</v>
      </c>
    </row>
    <row r="2024" ht="12.75" customHeight="1">
      <c r="A2024" s="3" t="s">
        <v>2802</v>
      </c>
      <c r="B2024" s="3" t="str">
        <f t="shared" si="1"/>
        <v>0.1</v>
      </c>
      <c r="C2024" s="1" t="str">
        <f t="array" ref="C2024">IF(B2023="NEW ROUTE",TEXTSPLIT(B2024,","),"")</f>
        <v/>
      </c>
      <c r="H2024" s="1" t="str">
        <f t="shared" ref="H2024:I2024" si="2026">IF(C2024&lt;&gt;"",DEC2HEX(C2024,2),"")</f>
        <v/>
      </c>
      <c r="I2024" s="1" t="str">
        <f t="shared" si="2026"/>
        <v/>
      </c>
      <c r="J2024" s="1" t="str">
        <f t="shared" si="3"/>
        <v/>
      </c>
      <c r="L2024" s="1" t="s">
        <v>2802</v>
      </c>
      <c r="M2024" s="1" t="str">
        <f t="shared" si="4"/>
        <v>0.1</v>
      </c>
    </row>
    <row r="2025" ht="12.75" customHeight="1">
      <c r="A2025" s="3" t="s">
        <v>3363</v>
      </c>
      <c r="B2025" s="3" t="str">
        <f t="shared" si="1"/>
        <v>16, 19, ODDISH</v>
      </c>
      <c r="C2025" s="1" t="str">
        <f t="array" ref="C2025">IF(B2024="NEW ROUTE",TEXTSPLIT(B2025,","),"")</f>
        <v/>
      </c>
      <c r="H2025" s="1" t="str">
        <f t="shared" ref="H2025:I2025" si="2027">IF(C2025&lt;&gt;"",DEC2HEX(C2025,2),"")</f>
        <v/>
      </c>
      <c r="I2025" s="1" t="str">
        <f t="shared" si="2027"/>
        <v/>
      </c>
      <c r="J2025" s="1" t="str">
        <f t="shared" si="3"/>
        <v/>
      </c>
      <c r="L2025" s="1" t="s">
        <v>3363</v>
      </c>
      <c r="M2025" s="1" t="str">
        <f t="shared" si="4"/>
        <v>16, 19, ODDISH</v>
      </c>
    </row>
    <row r="2026" ht="12.75" customHeight="1">
      <c r="A2026" s="3" t="s">
        <v>3364</v>
      </c>
      <c r="B2026" s="3" t="str">
        <f t="shared" si="1"/>
        <v>16, 19, BELLSPROUT</v>
      </c>
      <c r="C2026" s="1" t="str">
        <f t="array" ref="C2026">IF(B2025="NEW ROUTE",TEXTSPLIT(B2026,","),"")</f>
        <v/>
      </c>
      <c r="H2026" s="1" t="str">
        <f t="shared" ref="H2026:I2026" si="2028">IF(C2026&lt;&gt;"",DEC2HEX(C2026,2),"")</f>
        <v/>
      </c>
      <c r="I2026" s="1" t="str">
        <f t="shared" si="2028"/>
        <v/>
      </c>
      <c r="J2026" s="1" t="str">
        <f t="shared" si="3"/>
        <v/>
      </c>
      <c r="L2026" s="1" t="s">
        <v>3364</v>
      </c>
      <c r="M2026" s="1" t="str">
        <f t="shared" si="4"/>
        <v>16, 19, BELLSPROUT</v>
      </c>
    </row>
    <row r="2027" ht="12.75" customHeight="1">
      <c r="A2027" s="3" t="s">
        <v>3365</v>
      </c>
      <c r="B2027" s="3" t="str">
        <f t="shared" si="1"/>
        <v>16, 19, EKANS</v>
      </c>
      <c r="C2027" s="1" t="str">
        <f t="array" ref="C2027">IF(B2026="NEW ROUTE",TEXTSPLIT(B2027,","),"")</f>
        <v/>
      </c>
      <c r="H2027" s="1" t="str">
        <f t="shared" ref="H2027:I2027" si="2029">IF(C2027&lt;&gt;"",DEC2HEX(C2027,2),"")</f>
        <v/>
      </c>
      <c r="I2027" s="1" t="str">
        <f t="shared" si="2029"/>
        <v/>
      </c>
      <c r="J2027" s="1" t="str">
        <f t="shared" si="3"/>
        <v/>
      </c>
      <c r="L2027" s="1" t="s">
        <v>3365</v>
      </c>
      <c r="M2027" s="1" t="str">
        <f t="shared" si="4"/>
        <v>16, 19, EKANS</v>
      </c>
    </row>
    <row r="2028" ht="12.75" customHeight="1">
      <c r="A2028" s="3" t="s">
        <v>3366</v>
      </c>
      <c r="B2028" s="3" t="str">
        <f t="shared" si="1"/>
        <v>16, 19, PARAS</v>
      </c>
      <c r="C2028" s="1" t="str">
        <f t="array" ref="C2028">IF(B2027="NEW ROUTE",TEXTSPLIT(B2028,","),"")</f>
        <v/>
      </c>
      <c r="H2028" s="1" t="str">
        <f t="shared" ref="H2028:I2028" si="2030">IF(C2028&lt;&gt;"",DEC2HEX(C2028,2),"")</f>
        <v/>
      </c>
      <c r="I2028" s="1" t="str">
        <f t="shared" si="2030"/>
        <v/>
      </c>
      <c r="J2028" s="1" t="str">
        <f t="shared" si="3"/>
        <v/>
      </c>
      <c r="L2028" s="1" t="s">
        <v>3366</v>
      </c>
      <c r="M2028" s="1" t="str">
        <f t="shared" si="4"/>
        <v>16, 19, PARAS</v>
      </c>
    </row>
    <row r="2029" ht="12.75" customHeight="1">
      <c r="A2029" s="3" t="s">
        <v>2807</v>
      </c>
      <c r="B2029" s="3" t="str">
        <f t="shared" si="1"/>
        <v>0.05</v>
      </c>
      <c r="C2029" s="1" t="str">
        <f t="array" ref="C2029">IF(B2028="NEW ROUTE",TEXTSPLIT(B2029,","),"")</f>
        <v/>
      </c>
      <c r="H2029" s="1" t="str">
        <f t="shared" ref="H2029:I2029" si="2031">IF(C2029&lt;&gt;"",DEC2HEX(C2029,2),"")</f>
        <v/>
      </c>
      <c r="I2029" s="1" t="str">
        <f t="shared" si="2031"/>
        <v/>
      </c>
      <c r="J2029" s="1" t="str">
        <f t="shared" si="3"/>
        <v/>
      </c>
      <c r="L2029" s="1" t="s">
        <v>2807</v>
      </c>
      <c r="M2029" s="1" t="str">
        <f t="shared" si="4"/>
        <v>0.05</v>
      </c>
    </row>
    <row r="2030" ht="12.75" customHeight="1">
      <c r="A2030" s="3" t="s">
        <v>3367</v>
      </c>
      <c r="B2030" s="3" t="str">
        <f t="shared" si="1"/>
        <v>17, 17, VULPIX</v>
      </c>
      <c r="C2030" s="1" t="str">
        <f t="array" ref="C2030">IF(B2029="NEW ROUTE",TEXTSPLIT(B2030,","),"")</f>
        <v/>
      </c>
      <c r="H2030" s="1" t="str">
        <f t="shared" ref="H2030:I2030" si="2032">IF(C2030&lt;&gt;"",DEC2HEX(C2030,2),"")</f>
        <v/>
      </c>
      <c r="I2030" s="1" t="str">
        <f t="shared" si="2032"/>
        <v/>
      </c>
      <c r="J2030" s="1" t="str">
        <f t="shared" si="3"/>
        <v/>
      </c>
      <c r="L2030" s="1" t="s">
        <v>3367</v>
      </c>
      <c r="M2030" s="1" t="str">
        <f t="shared" si="4"/>
        <v>17, 17, VULPIX</v>
      </c>
    </row>
    <row r="2031" ht="12.75" customHeight="1">
      <c r="A2031" s="3" t="s">
        <v>3368</v>
      </c>
      <c r="B2031" s="3" t="str">
        <f t="shared" si="1"/>
        <v>17, 17, GROWLITHE</v>
      </c>
      <c r="C2031" s="1" t="str">
        <f t="array" ref="C2031">IF(B2030="NEW ROUTE",TEXTSPLIT(B2031,","),"")</f>
        <v/>
      </c>
      <c r="H2031" s="1" t="str">
        <f t="shared" ref="H2031:I2031" si="2033">IF(C2031&lt;&gt;"",DEC2HEX(C2031,2),"")</f>
        <v/>
      </c>
      <c r="I2031" s="1" t="str">
        <f t="shared" si="2033"/>
        <v/>
      </c>
      <c r="J2031" s="1" t="str">
        <f t="shared" si="3"/>
        <v/>
      </c>
      <c r="L2031" s="1" t="s">
        <v>3368</v>
      </c>
      <c r="M2031" s="1" t="str">
        <f t="shared" si="4"/>
        <v>17, 17, GROWLITHE</v>
      </c>
    </row>
    <row r="2032" ht="12.75" customHeight="1">
      <c r="A2032" s="3" t="s">
        <v>2810</v>
      </c>
      <c r="B2032" s="3" t="str">
        <f t="shared" si="1"/>
        <v>0.04</v>
      </c>
      <c r="C2032" s="1" t="str">
        <f t="array" ref="C2032">IF(B2031="NEW ROUTE",TEXTSPLIT(B2032,","),"")</f>
        <v/>
      </c>
      <c r="H2032" s="1" t="str">
        <f t="shared" ref="H2032:I2032" si="2034">IF(C2032&lt;&gt;"",DEC2HEX(C2032,2),"")</f>
        <v/>
      </c>
      <c r="I2032" s="1" t="str">
        <f t="shared" si="2034"/>
        <v/>
      </c>
      <c r="J2032" s="1" t="str">
        <f t="shared" si="3"/>
        <v/>
      </c>
      <c r="L2032" s="1" t="s">
        <v>2810</v>
      </c>
      <c r="M2032" s="1" t="str">
        <f t="shared" si="4"/>
        <v>0.04</v>
      </c>
    </row>
    <row r="2033" ht="12.75" customHeight="1">
      <c r="A2033" s="3" t="s">
        <v>3369</v>
      </c>
      <c r="B2033" s="3" t="str">
        <f t="shared" si="1"/>
        <v>16, 18, PIKACHU</v>
      </c>
      <c r="C2033" s="1" t="str">
        <f t="array" ref="C2033">IF(B2032="NEW ROUTE",TEXTSPLIT(B2033,","),"")</f>
        <v/>
      </c>
      <c r="H2033" s="1" t="str">
        <f t="shared" ref="H2033:I2033" si="2035">IF(C2033&lt;&gt;"",DEC2HEX(C2033,2),"")</f>
        <v/>
      </c>
      <c r="I2033" s="1" t="str">
        <f t="shared" si="2035"/>
        <v/>
      </c>
      <c r="J2033" s="1" t="str">
        <f t="shared" si="3"/>
        <v/>
      </c>
      <c r="L2033" s="1" t="s">
        <v>3369</v>
      </c>
      <c r="M2033" s="1" t="str">
        <f t="shared" si="4"/>
        <v>16, 18, PIKACHU</v>
      </c>
    </row>
    <row r="2034" ht="12.75" customHeight="1">
      <c r="A2034" s="3" t="s">
        <v>3370</v>
      </c>
      <c r="B2034" s="3" t="str">
        <f t="shared" si="1"/>
        <v>16, 18, EEVEE</v>
      </c>
      <c r="C2034" s="1" t="str">
        <f t="array" ref="C2034">IF(B2033="NEW ROUTE",TEXTSPLIT(B2034,","),"")</f>
        <v/>
      </c>
      <c r="H2034" s="1" t="str">
        <f t="shared" ref="H2034:I2034" si="2036">IF(C2034&lt;&gt;"",DEC2HEX(C2034,2),"")</f>
        <v/>
      </c>
      <c r="I2034" s="1" t="str">
        <f t="shared" si="2036"/>
        <v/>
      </c>
      <c r="J2034" s="1" t="str">
        <f t="shared" si="3"/>
        <v/>
      </c>
      <c r="L2034" s="1" t="s">
        <v>3370</v>
      </c>
      <c r="M2034" s="1" t="str">
        <f t="shared" si="4"/>
        <v>16, 18, EEVEE</v>
      </c>
    </row>
    <row r="2035" ht="12.75" customHeight="1">
      <c r="A2035" s="3" t="s">
        <v>2813</v>
      </c>
      <c r="B2035" s="3" t="str">
        <f t="shared" si="1"/>
        <v>0.01</v>
      </c>
      <c r="C2035" s="1" t="str">
        <f t="array" ref="C2035">IF(B2034="NEW ROUTE",TEXTSPLIT(B2035,","),"")</f>
        <v/>
      </c>
      <c r="H2035" s="1" t="str">
        <f t="shared" ref="H2035:I2035" si="2037">IF(C2035&lt;&gt;"",DEC2HEX(C2035,2),"")</f>
        <v/>
      </c>
      <c r="I2035" s="1" t="str">
        <f t="shared" si="2037"/>
        <v/>
      </c>
      <c r="J2035" s="1" t="str">
        <f t="shared" si="3"/>
        <v/>
      </c>
      <c r="L2035" s="1" t="s">
        <v>2813</v>
      </c>
      <c r="M2035" s="1" t="str">
        <f t="shared" si="4"/>
        <v>0.01</v>
      </c>
    </row>
    <row r="2036" ht="12.75" customHeight="1">
      <c r="A2036" s="3" t="s">
        <v>3371</v>
      </c>
      <c r="B2036" s="3" t="str">
        <f t="shared" si="1"/>
        <v>20, 20, FEAROW</v>
      </c>
      <c r="C2036" s="1" t="str">
        <f t="array" ref="C2036">IF(B2035="NEW ROUTE",TEXTSPLIT(B2036,","),"")</f>
        <v/>
      </c>
      <c r="H2036" s="1" t="str">
        <f t="shared" ref="H2036:I2036" si="2038">IF(C2036&lt;&gt;"",DEC2HEX(C2036,2),"")</f>
        <v/>
      </c>
      <c r="I2036" s="1" t="str">
        <f t="shared" si="2038"/>
        <v/>
      </c>
      <c r="J2036" s="1" t="str">
        <f t="shared" si="3"/>
        <v/>
      </c>
      <c r="L2036" s="1" t="s">
        <v>3371</v>
      </c>
      <c r="M2036" s="1" t="str">
        <f t="shared" si="4"/>
        <v>20, 20, FEAROW</v>
      </c>
    </row>
    <row r="2037" ht="12.75" customHeight="1">
      <c r="A2037" s="3" t="s">
        <v>3372</v>
      </c>
      <c r="B2037" s="3" t="str">
        <f t="shared" si="1"/>
        <v>20, 20, WEEPINBELL , &lt;null&gt;, &lt;null&gt;, &lt;null&gt;</v>
      </c>
      <c r="C2037" s="1" t="str">
        <f t="array" ref="C2037">IF(B2036="NEW ROUTE",TEXTSPLIT(B2037,","),"")</f>
        <v/>
      </c>
      <c r="H2037" s="1" t="str">
        <f t="shared" ref="H2037:I2037" si="2039">IF(C2037&lt;&gt;"",DEC2HEX(C2037,2),"")</f>
        <v/>
      </c>
      <c r="I2037" s="1" t="str">
        <f t="shared" si="2039"/>
        <v/>
      </c>
      <c r="J2037" s="1" t="str">
        <f t="shared" si="3"/>
        <v/>
      </c>
      <c r="L2037" s="1" t="s">
        <v>3372</v>
      </c>
      <c r="M2037" s="1" t="str">
        <f t="shared" si="4"/>
        <v>20, 20, WEEPINBELL , &lt;null&gt;, &lt;null&gt;, &lt;null&gt;</v>
      </c>
    </row>
    <row r="2038" ht="12.75" customHeight="1">
      <c r="A2038" s="3" t="s">
        <v>2539</v>
      </c>
      <c r="B2038" s="3" t="str">
        <f t="shared" si="1"/>
        <v>NEW ROUTE</v>
      </c>
      <c r="C2038" s="1" t="str">
        <f t="array" ref="C2038">IF(B2037="NEW ROUTE",TEXTSPLIT(B2038,","),"")</f>
        <v/>
      </c>
      <c r="H2038" s="1" t="str">
        <f t="shared" ref="H2038:I2038" si="2040">IF(C2038&lt;&gt;"",DEC2HEX(C2038,2),"")</f>
        <v/>
      </c>
      <c r="I2038" s="1" t="str">
        <f t="shared" si="2040"/>
        <v/>
      </c>
      <c r="J2038" s="1" t="str">
        <f t="shared" si="3"/>
        <v/>
      </c>
      <c r="L2038" s="1" t="s">
        <v>2539</v>
      </c>
      <c r="M2038" s="1" t="str">
        <f t="shared" si="4"/>
        <v>NEW ROUTE</v>
      </c>
    </row>
    <row r="2039" ht="12.75" customHeight="1">
      <c r="A2039" s="3" t="s">
        <v>3373</v>
      </c>
      <c r="B2039" s="3" t="str">
        <f t="shared" si="1"/>
        <v>3, 24, 0,</v>
      </c>
      <c r="C2039" s="1" t="str">
        <f t="array" ref="C2039">IF(B2038="NEW ROUTE",TEXTSPLIT(B2039,","),"")</f>
        <v>#NAME?</v>
      </c>
      <c r="H2039" s="1" t="str">
        <f t="shared" ref="H2039:I2039" si="2041">IF(C2039&lt;&gt;"",DEC2HEX(C2039,2),"")</f>
        <v>#NAME?</v>
      </c>
      <c r="I2039" s="1" t="str">
        <f t="shared" si="2041"/>
        <v/>
      </c>
      <c r="J2039" s="1" t="str">
        <f t="shared" si="3"/>
        <v>#NAME?</v>
      </c>
      <c r="L2039" s="1" t="s">
        <v>3373</v>
      </c>
      <c r="M2039" s="1" t="str">
        <f t="shared" si="4"/>
        <v>#NAME?</v>
      </c>
    </row>
    <row r="2040" ht="12.75" customHeight="1">
      <c r="A2040" s="3" t="s">
        <v>2909</v>
      </c>
      <c r="B2040" s="3" t="str">
        <f t="shared" si="1"/>
        <v>20%</v>
      </c>
      <c r="C2040" s="1" t="str">
        <f t="array" ref="C2040">IF(B2039="NEW ROUTE",TEXTSPLIT(B2040,","),"")</f>
        <v/>
      </c>
      <c r="H2040" s="1" t="str">
        <f t="shared" ref="H2040:I2040" si="2042">IF(C2040&lt;&gt;"",DEC2HEX(C2040,2),"")</f>
        <v/>
      </c>
      <c r="I2040" s="1" t="str">
        <f t="shared" si="2042"/>
        <v/>
      </c>
      <c r="J2040" s="1" t="str">
        <f t="shared" si="3"/>
        <v/>
      </c>
      <c r="L2040" s="1" t="s">
        <v>2799</v>
      </c>
      <c r="M2040" s="1" t="str">
        <f t="shared" si="4"/>
        <v>20%</v>
      </c>
    </row>
    <row r="2041" ht="12.75" customHeight="1">
      <c r="A2041" s="3" t="s">
        <v>979</v>
      </c>
      <c r="B2041" s="3" t="str">
        <f t="shared" si="1"/>
        <v>15, 17, PIDGEY</v>
      </c>
      <c r="C2041" s="1" t="str">
        <f t="array" ref="C2041">IF(B2040="NEW ROUTE",TEXTSPLIT(B2041,","),"")</f>
        <v/>
      </c>
      <c r="H2041" s="1" t="str">
        <f t="shared" ref="H2041:I2041" si="2043">IF(C2041&lt;&gt;"",DEC2HEX(C2041,2),"")</f>
        <v/>
      </c>
      <c r="I2041" s="1" t="str">
        <f t="shared" si="2043"/>
        <v/>
      </c>
      <c r="J2041" s="1" t="str">
        <f t="shared" si="3"/>
        <v/>
      </c>
      <c r="L2041" s="1" t="s">
        <v>979</v>
      </c>
      <c r="M2041" s="1" t="str">
        <f t="shared" si="4"/>
        <v>15, 17, PIDGEY</v>
      </c>
    </row>
    <row r="2042" ht="12.75" customHeight="1">
      <c r="A2042" s="3" t="s">
        <v>3362</v>
      </c>
      <c r="B2042" s="3" t="str">
        <f t="shared" si="1"/>
        <v>15, 17, MEOWTH</v>
      </c>
      <c r="C2042" s="1" t="str">
        <f t="array" ref="C2042">IF(B2041="NEW ROUTE",TEXTSPLIT(B2042,","),"")</f>
        <v/>
      </c>
      <c r="H2042" s="1" t="str">
        <f t="shared" ref="H2042:I2042" si="2044">IF(C2042&lt;&gt;"",DEC2HEX(C2042,2),"")</f>
        <v/>
      </c>
      <c r="I2042" s="1" t="str">
        <f t="shared" si="2044"/>
        <v/>
      </c>
      <c r="J2042" s="1" t="str">
        <f t="shared" si="3"/>
        <v/>
      </c>
      <c r="L2042" s="1" t="s">
        <v>3362</v>
      </c>
      <c r="M2042" s="1" t="str">
        <f t="shared" si="4"/>
        <v>15, 17, MEOWTH</v>
      </c>
    </row>
    <row r="2043" ht="12.75" customHeight="1">
      <c r="A2043" s="3" t="s">
        <v>2802</v>
      </c>
      <c r="B2043" s="3" t="str">
        <f t="shared" si="1"/>
        <v>0.1</v>
      </c>
      <c r="C2043" s="1" t="str">
        <f t="array" ref="C2043">IF(B2042="NEW ROUTE",TEXTSPLIT(B2043,","),"")</f>
        <v/>
      </c>
      <c r="H2043" s="1" t="str">
        <f t="shared" ref="H2043:I2043" si="2045">IF(C2043&lt;&gt;"",DEC2HEX(C2043,2),"")</f>
        <v/>
      </c>
      <c r="I2043" s="1" t="str">
        <f t="shared" si="2045"/>
        <v/>
      </c>
      <c r="J2043" s="1" t="str">
        <f t="shared" si="3"/>
        <v/>
      </c>
      <c r="L2043" s="1" t="s">
        <v>2802</v>
      </c>
      <c r="M2043" s="1" t="str">
        <f t="shared" si="4"/>
        <v>0.1</v>
      </c>
    </row>
    <row r="2044" ht="12.75" customHeight="1">
      <c r="A2044" s="3" t="s">
        <v>3363</v>
      </c>
      <c r="B2044" s="3" t="str">
        <f t="shared" si="1"/>
        <v>16, 19, ODDISH</v>
      </c>
      <c r="C2044" s="1" t="str">
        <f t="array" ref="C2044">IF(B2043="NEW ROUTE",TEXTSPLIT(B2044,","),"")</f>
        <v/>
      </c>
      <c r="H2044" s="1" t="str">
        <f t="shared" ref="H2044:I2044" si="2046">IF(C2044&lt;&gt;"",DEC2HEX(C2044,2),"")</f>
        <v/>
      </c>
      <c r="I2044" s="1" t="str">
        <f t="shared" si="2046"/>
        <v/>
      </c>
      <c r="J2044" s="1" t="str">
        <f t="shared" si="3"/>
        <v/>
      </c>
      <c r="L2044" s="1" t="s">
        <v>3363</v>
      </c>
      <c r="M2044" s="1" t="str">
        <f t="shared" si="4"/>
        <v>16, 19, ODDISH</v>
      </c>
    </row>
    <row r="2045" ht="12.75" customHeight="1">
      <c r="A2045" s="3" t="s">
        <v>3364</v>
      </c>
      <c r="B2045" s="3" t="str">
        <f t="shared" si="1"/>
        <v>16, 19, BELLSPROUT</v>
      </c>
      <c r="C2045" s="1" t="str">
        <f t="array" ref="C2045">IF(B2044="NEW ROUTE",TEXTSPLIT(B2045,","),"")</f>
        <v/>
      </c>
      <c r="H2045" s="1" t="str">
        <f t="shared" ref="H2045:I2045" si="2047">IF(C2045&lt;&gt;"",DEC2HEX(C2045,2),"")</f>
        <v/>
      </c>
      <c r="I2045" s="1" t="str">
        <f t="shared" si="2047"/>
        <v/>
      </c>
      <c r="J2045" s="1" t="str">
        <f t="shared" si="3"/>
        <v/>
      </c>
      <c r="L2045" s="1" t="s">
        <v>3364</v>
      </c>
      <c r="M2045" s="1" t="str">
        <f t="shared" si="4"/>
        <v>16, 19, BELLSPROUT</v>
      </c>
    </row>
    <row r="2046" ht="12.75" customHeight="1">
      <c r="A2046" s="3" t="s">
        <v>3365</v>
      </c>
      <c r="B2046" s="3" t="str">
        <f t="shared" si="1"/>
        <v>16, 19, EKANS</v>
      </c>
      <c r="C2046" s="1" t="str">
        <f t="array" ref="C2046">IF(B2045="NEW ROUTE",TEXTSPLIT(B2046,","),"")</f>
        <v/>
      </c>
      <c r="H2046" s="1" t="str">
        <f t="shared" ref="H2046:I2046" si="2048">IF(C2046&lt;&gt;"",DEC2HEX(C2046,2),"")</f>
        <v/>
      </c>
      <c r="I2046" s="1" t="str">
        <f t="shared" si="2048"/>
        <v/>
      </c>
      <c r="J2046" s="1" t="str">
        <f t="shared" si="3"/>
        <v/>
      </c>
      <c r="L2046" s="1" t="s">
        <v>3365</v>
      </c>
      <c r="M2046" s="1" t="str">
        <f t="shared" si="4"/>
        <v>16, 19, EKANS</v>
      </c>
    </row>
    <row r="2047" ht="12.75" customHeight="1">
      <c r="A2047" s="3" t="s">
        <v>3366</v>
      </c>
      <c r="B2047" s="3" t="str">
        <f t="shared" si="1"/>
        <v>16, 19, PARAS</v>
      </c>
      <c r="C2047" s="1" t="str">
        <f t="array" ref="C2047">IF(B2046="NEW ROUTE",TEXTSPLIT(B2047,","),"")</f>
        <v/>
      </c>
      <c r="H2047" s="1" t="str">
        <f t="shared" ref="H2047:I2047" si="2049">IF(C2047&lt;&gt;"",DEC2HEX(C2047,2),"")</f>
        <v/>
      </c>
      <c r="I2047" s="1" t="str">
        <f t="shared" si="2049"/>
        <v/>
      </c>
      <c r="J2047" s="1" t="str">
        <f t="shared" si="3"/>
        <v/>
      </c>
      <c r="L2047" s="1" t="s">
        <v>3366</v>
      </c>
      <c r="M2047" s="1" t="str">
        <f t="shared" si="4"/>
        <v>16, 19, PARAS</v>
      </c>
    </row>
    <row r="2048" ht="12.75" customHeight="1">
      <c r="A2048" s="3" t="s">
        <v>2807</v>
      </c>
      <c r="B2048" s="3" t="str">
        <f t="shared" si="1"/>
        <v>0.05</v>
      </c>
      <c r="C2048" s="1" t="str">
        <f t="array" ref="C2048">IF(B2047="NEW ROUTE",TEXTSPLIT(B2048,","),"")</f>
        <v/>
      </c>
      <c r="H2048" s="1" t="str">
        <f t="shared" ref="H2048:I2048" si="2050">IF(C2048&lt;&gt;"",DEC2HEX(C2048,2),"")</f>
        <v/>
      </c>
      <c r="I2048" s="1" t="str">
        <f t="shared" si="2050"/>
        <v/>
      </c>
      <c r="J2048" s="1" t="str">
        <f t="shared" si="3"/>
        <v/>
      </c>
      <c r="L2048" s="1" t="s">
        <v>2807</v>
      </c>
      <c r="M2048" s="1" t="str">
        <f t="shared" si="4"/>
        <v>0.05</v>
      </c>
    </row>
    <row r="2049" ht="12.75" customHeight="1">
      <c r="A2049" s="3" t="s">
        <v>3367</v>
      </c>
      <c r="B2049" s="3" t="str">
        <f t="shared" si="1"/>
        <v>17, 17, VULPIX</v>
      </c>
      <c r="C2049" s="1" t="str">
        <f t="array" ref="C2049">IF(B2048="NEW ROUTE",TEXTSPLIT(B2049,","),"")</f>
        <v/>
      </c>
      <c r="H2049" s="1" t="str">
        <f t="shared" ref="H2049:I2049" si="2051">IF(C2049&lt;&gt;"",DEC2HEX(C2049,2),"")</f>
        <v/>
      </c>
      <c r="I2049" s="1" t="str">
        <f t="shared" si="2051"/>
        <v/>
      </c>
      <c r="J2049" s="1" t="str">
        <f t="shared" si="3"/>
        <v/>
      </c>
      <c r="L2049" s="1" t="s">
        <v>3367</v>
      </c>
      <c r="M2049" s="1" t="str">
        <f t="shared" si="4"/>
        <v>17, 17, VULPIX</v>
      </c>
    </row>
    <row r="2050" ht="12.75" customHeight="1">
      <c r="A2050" s="3" t="s">
        <v>3368</v>
      </c>
      <c r="B2050" s="3" t="str">
        <f t="shared" si="1"/>
        <v>17, 17, GROWLITHE</v>
      </c>
      <c r="C2050" s="1" t="str">
        <f t="array" ref="C2050">IF(B2049="NEW ROUTE",TEXTSPLIT(B2050,","),"")</f>
        <v/>
      </c>
      <c r="H2050" s="1" t="str">
        <f t="shared" ref="H2050:I2050" si="2052">IF(C2050&lt;&gt;"",DEC2HEX(C2050,2),"")</f>
        <v/>
      </c>
      <c r="I2050" s="1" t="str">
        <f t="shared" si="2052"/>
        <v/>
      </c>
      <c r="J2050" s="1" t="str">
        <f t="shared" si="3"/>
        <v/>
      </c>
      <c r="L2050" s="1" t="s">
        <v>3368</v>
      </c>
      <c r="M2050" s="1" t="str">
        <f t="shared" si="4"/>
        <v>17, 17, GROWLITHE</v>
      </c>
    </row>
    <row r="2051" ht="12.75" customHeight="1">
      <c r="A2051" s="3" t="s">
        <v>2810</v>
      </c>
      <c r="B2051" s="3" t="str">
        <f t="shared" si="1"/>
        <v>0.04</v>
      </c>
      <c r="C2051" s="1" t="str">
        <f t="array" ref="C2051">IF(B2050="NEW ROUTE",TEXTSPLIT(B2051,","),"")</f>
        <v/>
      </c>
      <c r="H2051" s="1" t="str">
        <f t="shared" ref="H2051:I2051" si="2053">IF(C2051&lt;&gt;"",DEC2HEX(C2051,2),"")</f>
        <v/>
      </c>
      <c r="I2051" s="1" t="str">
        <f t="shared" si="2053"/>
        <v/>
      </c>
      <c r="J2051" s="1" t="str">
        <f t="shared" si="3"/>
        <v/>
      </c>
      <c r="L2051" s="1" t="s">
        <v>2810</v>
      </c>
      <c r="M2051" s="1" t="str">
        <f t="shared" si="4"/>
        <v>0.04</v>
      </c>
    </row>
    <row r="2052" ht="12.75" customHeight="1">
      <c r="A2052" s="3" t="s">
        <v>3369</v>
      </c>
      <c r="B2052" s="3" t="str">
        <f t="shared" si="1"/>
        <v>16, 18, PIKACHU</v>
      </c>
      <c r="C2052" s="1" t="str">
        <f t="array" ref="C2052">IF(B2051="NEW ROUTE",TEXTSPLIT(B2052,","),"")</f>
        <v/>
      </c>
      <c r="H2052" s="1" t="str">
        <f t="shared" ref="H2052:I2052" si="2054">IF(C2052&lt;&gt;"",DEC2HEX(C2052,2),"")</f>
        <v/>
      </c>
      <c r="I2052" s="1" t="str">
        <f t="shared" si="2054"/>
        <v/>
      </c>
      <c r="J2052" s="1" t="str">
        <f t="shared" si="3"/>
        <v/>
      </c>
      <c r="L2052" s="1" t="s">
        <v>3369</v>
      </c>
      <c r="M2052" s="1" t="str">
        <f t="shared" si="4"/>
        <v>16, 18, PIKACHU</v>
      </c>
    </row>
    <row r="2053" ht="12.75" customHeight="1">
      <c r="A2053" s="3" t="s">
        <v>3370</v>
      </c>
      <c r="B2053" s="3" t="str">
        <f t="shared" si="1"/>
        <v>16, 18, EEVEE</v>
      </c>
      <c r="C2053" s="1" t="str">
        <f t="array" ref="C2053">IF(B2052="NEW ROUTE",TEXTSPLIT(B2053,","),"")</f>
        <v/>
      </c>
      <c r="H2053" s="1" t="str">
        <f t="shared" ref="H2053:I2053" si="2055">IF(C2053&lt;&gt;"",DEC2HEX(C2053,2),"")</f>
        <v/>
      </c>
      <c r="I2053" s="1" t="str">
        <f t="shared" si="2055"/>
        <v/>
      </c>
      <c r="J2053" s="1" t="str">
        <f t="shared" si="3"/>
        <v/>
      </c>
      <c r="L2053" s="1" t="s">
        <v>3370</v>
      </c>
      <c r="M2053" s="1" t="str">
        <f t="shared" si="4"/>
        <v>16, 18, EEVEE</v>
      </c>
    </row>
    <row r="2054" ht="12.75" customHeight="1">
      <c r="A2054" s="3" t="s">
        <v>2813</v>
      </c>
      <c r="B2054" s="3" t="str">
        <f t="shared" si="1"/>
        <v>0.01</v>
      </c>
      <c r="C2054" s="1" t="str">
        <f t="array" ref="C2054">IF(B2053="NEW ROUTE",TEXTSPLIT(B2054,","),"")</f>
        <v/>
      </c>
      <c r="H2054" s="1" t="str">
        <f t="shared" ref="H2054:I2054" si="2056">IF(C2054&lt;&gt;"",DEC2HEX(C2054,2),"")</f>
        <v/>
      </c>
      <c r="I2054" s="1" t="str">
        <f t="shared" si="2056"/>
        <v/>
      </c>
      <c r="J2054" s="1" t="str">
        <f t="shared" si="3"/>
        <v/>
      </c>
      <c r="L2054" s="1" t="s">
        <v>2813</v>
      </c>
      <c r="M2054" s="1" t="str">
        <f t="shared" si="4"/>
        <v>0.01</v>
      </c>
    </row>
    <row r="2055" ht="12.75" customHeight="1">
      <c r="A2055" s="3" t="s">
        <v>3371</v>
      </c>
      <c r="B2055" s="3" t="str">
        <f t="shared" si="1"/>
        <v>20, 20, FEAROW</v>
      </c>
      <c r="C2055" s="1" t="str">
        <f t="array" ref="C2055">IF(B2054="NEW ROUTE",TEXTSPLIT(B2055,","),"")</f>
        <v/>
      </c>
      <c r="H2055" s="1" t="str">
        <f t="shared" ref="H2055:I2055" si="2057">IF(C2055&lt;&gt;"",DEC2HEX(C2055,2),"")</f>
        <v/>
      </c>
      <c r="I2055" s="1" t="str">
        <f t="shared" si="2057"/>
        <v/>
      </c>
      <c r="J2055" s="1" t="str">
        <f t="shared" si="3"/>
        <v/>
      </c>
      <c r="L2055" s="1" t="s">
        <v>3371</v>
      </c>
      <c r="M2055" s="1" t="str">
        <f t="shared" si="4"/>
        <v>20, 20, FEAROW</v>
      </c>
    </row>
    <row r="2056" ht="12.75" customHeight="1">
      <c r="A2056" s="3" t="s">
        <v>3374</v>
      </c>
      <c r="B2056" s="3" t="str">
        <f t="shared" si="1"/>
        <v>20, 20, WEEPINBELL</v>
      </c>
      <c r="C2056" s="1" t="str">
        <f t="array" ref="C2056">IF(B2055="NEW ROUTE",TEXTSPLIT(B2056,","),"")</f>
        <v/>
      </c>
      <c r="H2056" s="1" t="str">
        <f t="shared" ref="H2056:I2056" si="2058">IF(C2056&lt;&gt;"",DEC2HEX(C2056,2),"")</f>
        <v/>
      </c>
      <c r="I2056" s="1" t="str">
        <f t="shared" si="2058"/>
        <v/>
      </c>
      <c r="J2056" s="1" t="str">
        <f t="shared" si="3"/>
        <v/>
      </c>
      <c r="L2056" s="1" t="s">
        <v>3374</v>
      </c>
      <c r="M2056" s="1" t="str">
        <f t="shared" si="4"/>
        <v>20, 20, WEEPINBELL</v>
      </c>
    </row>
    <row r="2057" ht="12.75" customHeight="1">
      <c r="A2057" s="3" t="s">
        <v>3350</v>
      </c>
      <c r="B2057" s="3" t="str">
        <f t="shared" si="1"/>
        <v>2, 38, 42, TENTACOOL</v>
      </c>
      <c r="C2057" s="1" t="str">
        <f t="array" ref="C2057">IF(B2056="NEW ROUTE",TEXTSPLIT(B2057,","),"")</f>
        <v/>
      </c>
      <c r="H2057" s="1" t="str">
        <f t="shared" ref="H2057:I2057" si="2059">IF(C2057&lt;&gt;"",DEC2HEX(C2057,2),"")</f>
        <v/>
      </c>
      <c r="I2057" s="1" t="str">
        <f t="shared" si="2059"/>
        <v/>
      </c>
      <c r="J2057" s="1" t="str">
        <f t="shared" si="3"/>
        <v/>
      </c>
      <c r="L2057" s="1" t="s">
        <v>3350</v>
      </c>
      <c r="M2057" s="1" t="str">
        <f t="shared" si="4"/>
        <v>2, 38, 42, TENTACOOL</v>
      </c>
    </row>
    <row r="2058" ht="12.75" customHeight="1">
      <c r="A2058" s="3" t="s">
        <v>3375</v>
      </c>
      <c r="B2058" s="3" t="str">
        <f t="shared" si="1"/>
        <v>40, 44, SLOWPOKE</v>
      </c>
      <c r="C2058" s="1" t="str">
        <f t="array" ref="C2058">IF(B2057="NEW ROUTE",TEXTSPLIT(B2058,","),"")</f>
        <v/>
      </c>
      <c r="H2058" s="1" t="str">
        <f t="shared" ref="H2058:I2058" si="2060">IF(C2058&lt;&gt;"",DEC2HEX(C2058,2),"")</f>
        <v/>
      </c>
      <c r="I2058" s="1" t="str">
        <f t="shared" si="2060"/>
        <v/>
      </c>
      <c r="J2058" s="1" t="str">
        <f t="shared" si="3"/>
        <v/>
      </c>
      <c r="L2058" s="1" t="s">
        <v>3375</v>
      </c>
      <c r="M2058" s="1" t="str">
        <f t="shared" si="4"/>
        <v>40, 44, SLOWPOKE</v>
      </c>
    </row>
    <row r="2059" ht="12.75" customHeight="1">
      <c r="A2059" s="3" t="s">
        <v>3352</v>
      </c>
      <c r="B2059" s="3" t="str">
        <f t="shared" si="1"/>
        <v>42, 46, TENTACRUEL</v>
      </c>
      <c r="C2059" s="1" t="str">
        <f t="array" ref="C2059">IF(B2058="NEW ROUTE",TEXTSPLIT(B2059,","),"")</f>
        <v/>
      </c>
      <c r="H2059" s="1" t="str">
        <f t="shared" ref="H2059:I2059" si="2061">IF(C2059&lt;&gt;"",DEC2HEX(C2059,2),"")</f>
        <v/>
      </c>
      <c r="I2059" s="1" t="str">
        <f t="shared" si="2061"/>
        <v/>
      </c>
      <c r="J2059" s="1" t="str">
        <f t="shared" si="3"/>
        <v/>
      </c>
      <c r="L2059" s="1" t="s">
        <v>3352</v>
      </c>
      <c r="M2059" s="1" t="str">
        <f t="shared" si="4"/>
        <v>42, 46, TENTACRUEL</v>
      </c>
    </row>
    <row r="2060" ht="12.75" customHeight="1">
      <c r="A2060" s="3" t="s">
        <v>2924</v>
      </c>
      <c r="B2060" s="3" t="str">
        <f t="shared" si="1"/>
        <v>42, 46, GOLDUCK</v>
      </c>
      <c r="C2060" s="1" t="str">
        <f t="array" ref="C2060">IF(B2059="NEW ROUTE",TEXTSPLIT(B2060,","),"")</f>
        <v/>
      </c>
      <c r="H2060" s="1" t="str">
        <f t="shared" ref="H2060:I2060" si="2062">IF(C2060&lt;&gt;"",DEC2HEX(C2060,2),"")</f>
        <v/>
      </c>
      <c r="I2060" s="1" t="str">
        <f t="shared" si="2062"/>
        <v/>
      </c>
      <c r="J2060" s="1" t="str">
        <f t="shared" si="3"/>
        <v/>
      </c>
      <c r="L2060" s="1" t="s">
        <v>2924</v>
      </c>
      <c r="M2060" s="1" t="str">
        <f t="shared" si="4"/>
        <v>42, 46, GOLDUCK</v>
      </c>
    </row>
    <row r="2061" ht="12.75" customHeight="1">
      <c r="A2061" s="3" t="s">
        <v>3376</v>
      </c>
      <c r="B2061" s="3" t="str">
        <f t="shared" si="1"/>
        <v>44, 48, SLOWBRO</v>
      </c>
      <c r="C2061" s="1" t="str">
        <f t="array" ref="C2061">IF(B2060="NEW ROUTE",TEXTSPLIT(B2061,","),"")</f>
        <v/>
      </c>
      <c r="H2061" s="1" t="str">
        <f t="shared" ref="H2061:I2061" si="2063">IF(C2061&lt;&gt;"",DEC2HEX(C2061,2),"")</f>
        <v/>
      </c>
      <c r="I2061" s="1" t="str">
        <f t="shared" si="2063"/>
        <v/>
      </c>
      <c r="J2061" s="1" t="str">
        <f t="shared" si="3"/>
        <v/>
      </c>
      <c r="L2061" s="1" t="s">
        <v>3376</v>
      </c>
      <c r="M2061" s="1" t="str">
        <f t="shared" si="4"/>
        <v>44, 48, SLOWBRO</v>
      </c>
    </row>
    <row r="2062" ht="12.75" customHeight="1">
      <c r="A2062" s="3" t="s">
        <v>2926</v>
      </c>
      <c r="B2062" s="3" t="str">
        <f t="shared" si="1"/>
        <v>20, old rod:</v>
      </c>
      <c r="C2062" s="1" t="str">
        <f t="array" ref="C2062">IF(B2061="NEW ROUTE",TEXTSPLIT(B2062,","),"")</f>
        <v/>
      </c>
      <c r="H2062" s="1" t="str">
        <f t="shared" ref="H2062:I2062" si="2064">IF(C2062&lt;&gt;"",DEC2HEX(C2062,2),"")</f>
        <v/>
      </c>
      <c r="I2062" s="1" t="str">
        <f t="shared" si="2064"/>
        <v/>
      </c>
      <c r="J2062" s="1" t="str">
        <f t="shared" si="3"/>
        <v/>
      </c>
      <c r="L2062" s="1" t="s">
        <v>2926</v>
      </c>
      <c r="M2062" s="1" t="str">
        <f t="shared" si="4"/>
        <v>20, old rod:</v>
      </c>
    </row>
    <row r="2063" ht="12.75" customHeight="1">
      <c r="A2063" s="3" t="s">
        <v>500</v>
      </c>
      <c r="B2063" s="3" t="str">
        <f t="shared" si="1"/>
        <v>19, 26, MAGIKARP</v>
      </c>
      <c r="C2063" s="1" t="str">
        <f t="array" ref="C2063">IF(B2062="NEW ROUTE",TEXTSPLIT(B2063,","),"")</f>
        <v/>
      </c>
      <c r="H2063" s="1" t="str">
        <f t="shared" ref="H2063:I2063" si="2065">IF(C2063&lt;&gt;"",DEC2HEX(C2063,2),"")</f>
        <v/>
      </c>
      <c r="I2063" s="1" t="str">
        <f t="shared" si="2065"/>
        <v/>
      </c>
      <c r="J2063" s="1" t="str">
        <f t="shared" si="3"/>
        <v/>
      </c>
      <c r="L2063" s="1" t="s">
        <v>500</v>
      </c>
      <c r="M2063" s="1" t="str">
        <f t="shared" si="4"/>
        <v>19, 26, MAGIKARP</v>
      </c>
    </row>
    <row r="2064" ht="12.75" customHeight="1">
      <c r="A2064" s="3" t="s">
        <v>3353</v>
      </c>
      <c r="B2064" s="3" t="str">
        <f t="shared" si="1"/>
        <v>19, 26, GYARADOS</v>
      </c>
      <c r="C2064" s="1" t="str">
        <f t="array" ref="C2064">IF(B2063="NEW ROUTE",TEXTSPLIT(B2064,","),"")</f>
        <v/>
      </c>
      <c r="H2064" s="1" t="str">
        <f t="shared" ref="H2064:I2064" si="2066">IF(C2064&lt;&gt;"",DEC2HEX(C2064,2),"")</f>
        <v/>
      </c>
      <c r="I2064" s="1" t="str">
        <f t="shared" si="2066"/>
        <v/>
      </c>
      <c r="J2064" s="1" t="str">
        <f t="shared" si="3"/>
        <v/>
      </c>
      <c r="L2064" s="1" t="s">
        <v>3353</v>
      </c>
      <c r="M2064" s="1" t="str">
        <f t="shared" si="4"/>
        <v>19, 26, GYARADOS</v>
      </c>
    </row>
    <row r="2065" ht="12.75" customHeight="1">
      <c r="A2065" s="3" t="s">
        <v>2847</v>
      </c>
      <c r="B2065" s="3" t="str">
        <f t="shared" si="1"/>
        <v>good rod:</v>
      </c>
      <c r="C2065" s="1" t="str">
        <f t="array" ref="C2065">IF(B2064="NEW ROUTE",TEXTSPLIT(B2065,","),"")</f>
        <v/>
      </c>
      <c r="H2065" s="1" t="str">
        <f t="shared" ref="H2065:I2065" si="2067">IF(C2065&lt;&gt;"",DEC2HEX(C2065,2),"")</f>
        <v/>
      </c>
      <c r="I2065" s="1" t="str">
        <f t="shared" si="2067"/>
        <v/>
      </c>
      <c r="J2065" s="1" t="str">
        <f t="shared" si="3"/>
        <v/>
      </c>
      <c r="L2065" s="1" t="s">
        <v>2847</v>
      </c>
      <c r="M2065" s="1" t="str">
        <f t="shared" si="4"/>
        <v>good rod:</v>
      </c>
    </row>
    <row r="2066" ht="12.75" customHeight="1">
      <c r="A2066" s="3" t="s">
        <v>3377</v>
      </c>
      <c r="B2066" s="3" t="str">
        <f t="shared" si="1"/>
        <v>29, 33, POLIWAG</v>
      </c>
      <c r="C2066" s="1" t="str">
        <f t="array" ref="C2066">IF(B2065="NEW ROUTE",TEXTSPLIT(B2066,","),"")</f>
        <v/>
      </c>
      <c r="H2066" s="1" t="str">
        <f t="shared" ref="H2066:I2066" si="2068">IF(C2066&lt;&gt;"",DEC2HEX(C2066,2),"")</f>
        <v/>
      </c>
      <c r="I2066" s="1" t="str">
        <f t="shared" si="2068"/>
        <v/>
      </c>
      <c r="J2066" s="1" t="str">
        <f t="shared" si="3"/>
        <v/>
      </c>
      <c r="L2066" s="1" t="s">
        <v>3377</v>
      </c>
      <c r="M2066" s="1" t="str">
        <f t="shared" si="4"/>
        <v>29, 33, POLIWAG</v>
      </c>
    </row>
    <row r="2067" ht="12.75" customHeight="1">
      <c r="A2067" s="3" t="s">
        <v>2930</v>
      </c>
      <c r="B2067" s="3" t="str">
        <f t="shared" si="1"/>
        <v>30, 35, GOLDEEN</v>
      </c>
      <c r="C2067" s="1" t="str">
        <f t="array" ref="C2067">IF(B2066="NEW ROUTE",TEXTSPLIT(B2067,","),"")</f>
        <v/>
      </c>
      <c r="H2067" s="1" t="str">
        <f t="shared" ref="H2067:I2067" si="2069">IF(C2067&lt;&gt;"",DEC2HEX(C2067,2),"")</f>
        <v/>
      </c>
      <c r="I2067" s="1" t="str">
        <f t="shared" si="2069"/>
        <v/>
      </c>
      <c r="J2067" s="1" t="str">
        <f t="shared" si="3"/>
        <v/>
      </c>
      <c r="L2067" s="1" t="s">
        <v>2930</v>
      </c>
      <c r="M2067" s="1" t="str">
        <f t="shared" si="4"/>
        <v>30, 35, GOLDEEN</v>
      </c>
    </row>
    <row r="2068" ht="12.75" customHeight="1">
      <c r="A2068" s="3" t="s">
        <v>3355</v>
      </c>
      <c r="B2068" s="3" t="str">
        <f t="shared" si="1"/>
        <v>30, 35, PSYDUCK</v>
      </c>
      <c r="C2068" s="1" t="str">
        <f t="array" ref="C2068">IF(B2067="NEW ROUTE",TEXTSPLIT(B2068,","),"")</f>
        <v/>
      </c>
      <c r="H2068" s="1" t="str">
        <f t="shared" ref="H2068:I2068" si="2070">IF(C2068&lt;&gt;"",DEC2HEX(C2068,2),"")</f>
        <v/>
      </c>
      <c r="I2068" s="1" t="str">
        <f t="shared" si="2070"/>
        <v/>
      </c>
      <c r="J2068" s="1" t="str">
        <f t="shared" si="3"/>
        <v/>
      </c>
      <c r="L2068" s="1" t="s">
        <v>3355</v>
      </c>
      <c r="M2068" s="1" t="str">
        <f t="shared" si="4"/>
        <v>30, 35, PSYDUCK</v>
      </c>
    </row>
    <row r="2069" ht="12.75" customHeight="1">
      <c r="A2069" s="3" t="s">
        <v>2851</v>
      </c>
      <c r="B2069" s="3" t="str">
        <f t="shared" si="1"/>
        <v>super rod:</v>
      </c>
      <c r="C2069" s="1" t="str">
        <f t="array" ref="C2069">IF(B2068="NEW ROUTE",TEXTSPLIT(B2069,","),"")</f>
        <v/>
      </c>
      <c r="H2069" s="1" t="str">
        <f t="shared" ref="H2069:I2069" si="2071">IF(C2069&lt;&gt;"",DEC2HEX(C2069,2),"")</f>
        <v/>
      </c>
      <c r="I2069" s="1" t="str">
        <f t="shared" si="2071"/>
        <v/>
      </c>
      <c r="J2069" s="1" t="str">
        <f t="shared" si="3"/>
        <v/>
      </c>
      <c r="L2069" s="1" t="s">
        <v>2851</v>
      </c>
      <c r="M2069" s="1" t="str">
        <f t="shared" si="4"/>
        <v>super rod:</v>
      </c>
    </row>
    <row r="2070" ht="12.75" customHeight="1">
      <c r="A2070" s="3" t="s">
        <v>2931</v>
      </c>
      <c r="B2070" s="3" t="str">
        <f t="shared" si="1"/>
        <v>36, 40, POLIWHIRL</v>
      </c>
      <c r="C2070" s="1" t="str">
        <f t="array" ref="C2070">IF(B2069="NEW ROUTE",TEXTSPLIT(B2070,","),"")</f>
        <v/>
      </c>
      <c r="H2070" s="1" t="str">
        <f t="shared" ref="H2070:I2070" si="2072">IF(C2070&lt;&gt;"",DEC2HEX(C2070,2),"")</f>
        <v/>
      </c>
      <c r="I2070" s="1" t="str">
        <f t="shared" si="2072"/>
        <v/>
      </c>
      <c r="J2070" s="1" t="str">
        <f t="shared" si="3"/>
        <v/>
      </c>
      <c r="L2070" s="1" t="s">
        <v>2931</v>
      </c>
      <c r="M2070" s="1" t="str">
        <f t="shared" si="4"/>
        <v>36, 40, POLIWHIRL</v>
      </c>
    </row>
    <row r="2071" ht="12.75" customHeight="1">
      <c r="A2071" s="3" t="s">
        <v>2932</v>
      </c>
      <c r="B2071" s="3" t="str">
        <f t="shared" si="1"/>
        <v>36, 40, SEAKING</v>
      </c>
      <c r="C2071" s="1" t="str">
        <f t="array" ref="C2071">IF(B2070="NEW ROUTE",TEXTSPLIT(B2071,","),"")</f>
        <v/>
      </c>
      <c r="H2071" s="1" t="str">
        <f t="shared" ref="H2071:I2071" si="2073">IF(C2071&lt;&gt;"",DEC2HEX(C2071,2),"")</f>
        <v/>
      </c>
      <c r="I2071" s="1" t="str">
        <f t="shared" si="2073"/>
        <v/>
      </c>
      <c r="J2071" s="1" t="str">
        <f t="shared" si="3"/>
        <v/>
      </c>
      <c r="L2071" s="1" t="s">
        <v>2932</v>
      </c>
      <c r="M2071" s="1" t="str">
        <f t="shared" si="4"/>
        <v>36, 40, SEAKING</v>
      </c>
    </row>
    <row r="2072" ht="12.75" customHeight="1">
      <c r="A2072" s="3" t="s">
        <v>3378</v>
      </c>
      <c r="B2072" s="3" t="str">
        <f t="shared" si="1"/>
        <v>38, 42, GYARADOS</v>
      </c>
      <c r="C2072" s="1" t="str">
        <f t="array" ref="C2072">IF(B2071="NEW ROUTE",TEXTSPLIT(B2072,","),"")</f>
        <v/>
      </c>
      <c r="H2072" s="1" t="str">
        <f t="shared" ref="H2072:I2072" si="2074">IF(C2072&lt;&gt;"",DEC2HEX(C2072,2),"")</f>
        <v/>
      </c>
      <c r="I2072" s="1" t="str">
        <f t="shared" si="2074"/>
        <v/>
      </c>
      <c r="J2072" s="1" t="str">
        <f t="shared" si="3"/>
        <v/>
      </c>
      <c r="L2072" s="1" t="s">
        <v>3378</v>
      </c>
      <c r="M2072" s="1" t="str">
        <f t="shared" si="4"/>
        <v>38, 42, GYARADOS</v>
      </c>
    </row>
    <row r="2073" ht="12.75" customHeight="1">
      <c r="A2073" s="3" t="s">
        <v>3379</v>
      </c>
      <c r="B2073" s="3" t="str">
        <f t="shared" si="1"/>
        <v>38, 42, POLIWRATH</v>
      </c>
      <c r="C2073" s="1" t="str">
        <f t="array" ref="C2073">IF(B2072="NEW ROUTE",TEXTSPLIT(B2073,","),"")</f>
        <v/>
      </c>
      <c r="H2073" s="1" t="str">
        <f t="shared" ref="H2073:I2073" si="2075">IF(C2073&lt;&gt;"",DEC2HEX(C2073,2),"")</f>
        <v/>
      </c>
      <c r="I2073" s="1" t="str">
        <f t="shared" si="2075"/>
        <v/>
      </c>
      <c r="J2073" s="1" t="str">
        <f t="shared" si="3"/>
        <v/>
      </c>
      <c r="L2073" s="1" t="s">
        <v>3379</v>
      </c>
      <c r="M2073" s="1" t="str">
        <f t="shared" si="4"/>
        <v>38, 42, POLIWRATH</v>
      </c>
    </row>
    <row r="2074" ht="12.75" customHeight="1">
      <c r="A2074" s="3" t="s">
        <v>3380</v>
      </c>
      <c r="B2074" s="3" t="str">
        <f t="shared" si="1"/>
        <v>40, 44, POLITOES</v>
      </c>
      <c r="C2074" s="1" t="str">
        <f t="array" ref="C2074">IF(B2073="NEW ROUTE",TEXTSPLIT(B2074,","),"")</f>
        <v/>
      </c>
      <c r="H2074" s="1" t="str">
        <f t="shared" ref="H2074:I2074" si="2076">IF(C2074&lt;&gt;"",DEC2HEX(C2074,2),"")</f>
        <v/>
      </c>
      <c r="I2074" s="1" t="str">
        <f t="shared" si="2076"/>
        <v/>
      </c>
      <c r="J2074" s="1" t="str">
        <f t="shared" si="3"/>
        <v/>
      </c>
      <c r="L2074" s="1" t="s">
        <v>3380</v>
      </c>
      <c r="M2074" s="1" t="str">
        <f t="shared" si="4"/>
        <v>40, 44, POLITOES</v>
      </c>
    </row>
    <row r="2075" ht="12.75" customHeight="1">
      <c r="A2075" s="3" t="s">
        <v>2539</v>
      </c>
      <c r="B2075" s="3" t="str">
        <f t="shared" si="1"/>
        <v>NEW ROUTE</v>
      </c>
      <c r="C2075" s="1" t="str">
        <f t="array" ref="C2075">IF(B2074="NEW ROUTE",TEXTSPLIT(B2075,","),"")</f>
        <v/>
      </c>
      <c r="H2075" s="1" t="str">
        <f t="shared" ref="H2075:I2075" si="2077">IF(C2075&lt;&gt;"",DEC2HEX(C2075,2),"")</f>
        <v/>
      </c>
      <c r="I2075" s="1" t="str">
        <f t="shared" si="2077"/>
        <v/>
      </c>
      <c r="J2075" s="1" t="str">
        <f t="shared" si="3"/>
        <v/>
      </c>
      <c r="L2075" s="1" t="s">
        <v>2539</v>
      </c>
      <c r="M2075" s="1" t="str">
        <f t="shared" si="4"/>
        <v>NEW ROUTE</v>
      </c>
    </row>
    <row r="2076" ht="12.75" customHeight="1">
      <c r="A2076" s="3" t="s">
        <v>3381</v>
      </c>
      <c r="B2076" s="3" t="str">
        <f t="shared" si="1"/>
        <v>3, 25, 0,</v>
      </c>
      <c r="C2076" s="1" t="str">
        <f t="array" ref="C2076">IF(B2075="NEW ROUTE",TEXTSPLIT(B2076,","),"")</f>
        <v>#NAME?</v>
      </c>
      <c r="H2076" s="1" t="str">
        <f t="shared" ref="H2076:I2076" si="2078">IF(C2076&lt;&gt;"",DEC2HEX(C2076,2),"")</f>
        <v>#NAME?</v>
      </c>
      <c r="I2076" s="1" t="str">
        <f t="shared" si="2078"/>
        <v/>
      </c>
      <c r="J2076" s="1" t="str">
        <f t="shared" si="3"/>
        <v>#NAME?</v>
      </c>
      <c r="L2076" s="1" t="s">
        <v>3381</v>
      </c>
      <c r="M2076" s="1" t="str">
        <f t="shared" si="4"/>
        <v>#NAME?</v>
      </c>
    </row>
    <row r="2077" ht="12.75" customHeight="1">
      <c r="A2077" s="3" t="s">
        <v>2909</v>
      </c>
      <c r="B2077" s="3" t="str">
        <f t="shared" si="1"/>
        <v>20%</v>
      </c>
      <c r="C2077" s="1" t="str">
        <f t="array" ref="C2077">IF(B2076="NEW ROUTE",TEXTSPLIT(B2077,","),"")</f>
        <v/>
      </c>
      <c r="H2077" s="1" t="str">
        <f t="shared" ref="H2077:I2077" si="2079">IF(C2077&lt;&gt;"",DEC2HEX(C2077,2),"")</f>
        <v/>
      </c>
      <c r="I2077" s="1" t="str">
        <f t="shared" si="2079"/>
        <v/>
      </c>
      <c r="J2077" s="1" t="str">
        <f t="shared" si="3"/>
        <v/>
      </c>
      <c r="L2077" s="1" t="s">
        <v>2799</v>
      </c>
      <c r="M2077" s="1" t="str">
        <f t="shared" si="4"/>
        <v>20%</v>
      </c>
    </row>
    <row r="2078" ht="12.75" customHeight="1">
      <c r="A2078" s="3" t="s">
        <v>1000</v>
      </c>
      <c r="B2078" s="3" t="str">
        <f t="shared" si="1"/>
        <v>24, 26, PONYTA</v>
      </c>
      <c r="C2078" s="1" t="str">
        <f t="array" ref="C2078">IF(B2077="NEW ROUTE",TEXTSPLIT(B2078,","),"")</f>
        <v/>
      </c>
      <c r="H2078" s="1" t="str">
        <f t="shared" ref="H2078:I2078" si="2080">IF(C2078&lt;&gt;"",DEC2HEX(C2078,2),"")</f>
        <v/>
      </c>
      <c r="I2078" s="1" t="str">
        <f t="shared" si="2080"/>
        <v/>
      </c>
      <c r="J2078" s="1" t="str">
        <f t="shared" si="3"/>
        <v/>
      </c>
      <c r="L2078" s="1" t="s">
        <v>1000</v>
      </c>
      <c r="M2078" s="1" t="str">
        <f t="shared" si="4"/>
        <v>24, 26, PONYTA</v>
      </c>
    </row>
    <row r="2079" ht="12.75" customHeight="1">
      <c r="A2079" s="3" t="s">
        <v>3382</v>
      </c>
      <c r="B2079" s="3" t="str">
        <f t="shared" si="1"/>
        <v>24, 26, KOFFING</v>
      </c>
      <c r="C2079" s="1" t="str">
        <f t="array" ref="C2079">IF(B2078="NEW ROUTE",TEXTSPLIT(B2079,","),"")</f>
        <v/>
      </c>
      <c r="H2079" s="1" t="str">
        <f t="shared" ref="H2079:I2079" si="2081">IF(C2079&lt;&gt;"",DEC2HEX(C2079,2),"")</f>
        <v/>
      </c>
      <c r="I2079" s="1" t="str">
        <f t="shared" si="2081"/>
        <v/>
      </c>
      <c r="J2079" s="1" t="str">
        <f t="shared" si="3"/>
        <v/>
      </c>
      <c r="L2079" s="1" t="s">
        <v>3382</v>
      </c>
      <c r="M2079" s="1" t="str">
        <f t="shared" si="4"/>
        <v>24, 26, KOFFING</v>
      </c>
    </row>
    <row r="2080" ht="12.75" customHeight="1">
      <c r="A2080" s="3" t="s">
        <v>2802</v>
      </c>
      <c r="B2080" s="3" t="str">
        <f t="shared" si="1"/>
        <v>0.1</v>
      </c>
      <c r="C2080" s="1" t="str">
        <f t="array" ref="C2080">IF(B2079="NEW ROUTE",TEXTSPLIT(B2080,","),"")</f>
        <v/>
      </c>
      <c r="H2080" s="1" t="str">
        <f t="shared" ref="H2080:I2080" si="2082">IF(C2080&lt;&gt;"",DEC2HEX(C2080,2),"")</f>
        <v/>
      </c>
      <c r="I2080" s="1" t="str">
        <f t="shared" si="2082"/>
        <v/>
      </c>
      <c r="J2080" s="1" t="str">
        <f t="shared" si="3"/>
        <v/>
      </c>
      <c r="L2080" s="1" t="s">
        <v>2802</v>
      </c>
      <c r="M2080" s="1" t="str">
        <f t="shared" si="4"/>
        <v>0.1</v>
      </c>
    </row>
    <row r="2081" ht="12.75" customHeight="1">
      <c r="A2081" s="3" t="s">
        <v>3383</v>
      </c>
      <c r="B2081" s="3" t="str">
        <f t="shared" si="1"/>
        <v>25, 27, SANDSHREW</v>
      </c>
      <c r="C2081" s="1" t="str">
        <f t="array" ref="C2081">IF(B2080="NEW ROUTE",TEXTSPLIT(B2081,","),"")</f>
        <v/>
      </c>
      <c r="H2081" s="1" t="str">
        <f t="shared" ref="H2081:I2081" si="2083">IF(C2081&lt;&gt;"",DEC2HEX(C2081,2),"")</f>
        <v/>
      </c>
      <c r="I2081" s="1" t="str">
        <f t="shared" si="2083"/>
        <v/>
      </c>
      <c r="J2081" s="1" t="str">
        <f t="shared" si="3"/>
        <v/>
      </c>
      <c r="L2081" s="1" t="s">
        <v>3383</v>
      </c>
      <c r="M2081" s="1" t="str">
        <f t="shared" si="4"/>
        <v>25, 27, SANDSHREW</v>
      </c>
    </row>
    <row r="2082" ht="12.75" customHeight="1">
      <c r="A2082" s="3" t="s">
        <v>3384</v>
      </c>
      <c r="B2082" s="3" t="str">
        <f t="shared" si="1"/>
        <v>25, 27, MEOWTH</v>
      </c>
      <c r="C2082" s="1" t="str">
        <f t="array" ref="C2082">IF(B2081="NEW ROUTE",TEXTSPLIT(B2082,","),"")</f>
        <v/>
      </c>
      <c r="H2082" s="1" t="str">
        <f t="shared" ref="H2082:I2082" si="2084">IF(C2082&lt;&gt;"",DEC2HEX(C2082,2),"")</f>
        <v/>
      </c>
      <c r="I2082" s="1" t="str">
        <f t="shared" si="2084"/>
        <v/>
      </c>
      <c r="J2082" s="1" t="str">
        <f t="shared" si="3"/>
        <v/>
      </c>
      <c r="L2082" s="1" t="s">
        <v>3384</v>
      </c>
      <c r="M2082" s="1" t="str">
        <f t="shared" si="4"/>
        <v>25, 27, MEOWTH</v>
      </c>
    </row>
    <row r="2083" ht="12.75" customHeight="1">
      <c r="A2083" s="3" t="s">
        <v>3385</v>
      </c>
      <c r="B2083" s="3" t="str">
        <f t="shared" si="1"/>
        <v>25, 27, PARAS</v>
      </c>
      <c r="C2083" s="1" t="str">
        <f t="array" ref="C2083">IF(B2082="NEW ROUTE",TEXTSPLIT(B2083,","),"")</f>
        <v/>
      </c>
      <c r="H2083" s="1" t="str">
        <f t="shared" ref="H2083:I2083" si="2085">IF(C2083&lt;&gt;"",DEC2HEX(C2083,2),"")</f>
        <v/>
      </c>
      <c r="I2083" s="1" t="str">
        <f t="shared" si="2085"/>
        <v/>
      </c>
      <c r="J2083" s="1" t="str">
        <f t="shared" si="3"/>
        <v/>
      </c>
      <c r="L2083" s="1" t="s">
        <v>3385</v>
      </c>
      <c r="M2083" s="1" t="str">
        <f t="shared" si="4"/>
        <v>25, 27, PARAS</v>
      </c>
    </row>
    <row r="2084" ht="12.75" customHeight="1">
      <c r="A2084" s="3" t="s">
        <v>3386</v>
      </c>
      <c r="B2084" s="3" t="str">
        <f t="shared" si="1"/>
        <v>25, 27, VULPIX</v>
      </c>
      <c r="C2084" s="1" t="str">
        <f t="array" ref="C2084">IF(B2083="NEW ROUTE",TEXTSPLIT(B2084,","),"")</f>
        <v/>
      </c>
      <c r="H2084" s="1" t="str">
        <f t="shared" ref="H2084:I2084" si="2086">IF(C2084&lt;&gt;"",DEC2HEX(C2084,2),"")</f>
        <v/>
      </c>
      <c r="I2084" s="1" t="str">
        <f t="shared" si="2086"/>
        <v/>
      </c>
      <c r="J2084" s="1" t="str">
        <f t="shared" si="3"/>
        <v/>
      </c>
      <c r="L2084" s="1" t="s">
        <v>3386</v>
      </c>
      <c r="M2084" s="1" t="str">
        <f t="shared" si="4"/>
        <v>25, 27, VULPIX</v>
      </c>
    </row>
    <row r="2085" ht="12.75" customHeight="1">
      <c r="A2085" s="3" t="s">
        <v>2807</v>
      </c>
      <c r="B2085" s="3" t="str">
        <f t="shared" si="1"/>
        <v>0.05</v>
      </c>
      <c r="C2085" s="1" t="str">
        <f t="array" ref="C2085">IF(B2084="NEW ROUTE",TEXTSPLIT(B2085,","),"")</f>
        <v/>
      </c>
      <c r="H2085" s="1" t="str">
        <f t="shared" ref="H2085:I2085" si="2087">IF(C2085&lt;&gt;"",DEC2HEX(C2085,2),"")</f>
        <v/>
      </c>
      <c r="I2085" s="1" t="str">
        <f t="shared" si="2087"/>
        <v/>
      </c>
      <c r="J2085" s="1" t="str">
        <f t="shared" si="3"/>
        <v/>
      </c>
      <c r="L2085" s="1" t="s">
        <v>2807</v>
      </c>
      <c r="M2085" s="1" t="str">
        <f t="shared" si="4"/>
        <v>0.05</v>
      </c>
    </row>
    <row r="2086" ht="12.75" customHeight="1">
      <c r="A2086" s="3" t="s">
        <v>3387</v>
      </c>
      <c r="B2086" s="3" t="str">
        <f t="shared" si="1"/>
        <v>24, 28, WEEZING</v>
      </c>
      <c r="C2086" s="1" t="str">
        <f t="array" ref="C2086">IF(B2085="NEW ROUTE",TEXTSPLIT(B2086,","),"")</f>
        <v/>
      </c>
      <c r="H2086" s="1" t="str">
        <f t="shared" ref="H2086:I2086" si="2088">IF(C2086&lt;&gt;"",DEC2HEX(C2086,2),"")</f>
        <v/>
      </c>
      <c r="I2086" s="1" t="str">
        <f t="shared" si="2088"/>
        <v/>
      </c>
      <c r="J2086" s="1" t="str">
        <f t="shared" si="3"/>
        <v/>
      </c>
      <c r="L2086" s="1" t="s">
        <v>3387</v>
      </c>
      <c r="M2086" s="1" t="str">
        <f t="shared" si="4"/>
        <v>24, 28, WEEZING</v>
      </c>
    </row>
    <row r="2087" ht="12.75" customHeight="1">
      <c r="A2087" s="3" t="s">
        <v>3388</v>
      </c>
      <c r="B2087" s="3" t="str">
        <f t="shared" si="1"/>
        <v>24, 28, LICKITUNG</v>
      </c>
      <c r="C2087" s="1" t="str">
        <f t="array" ref="C2087">IF(B2086="NEW ROUTE",TEXTSPLIT(B2087,","),"")</f>
        <v/>
      </c>
      <c r="H2087" s="1" t="str">
        <f t="shared" ref="H2087:I2087" si="2089">IF(C2087&lt;&gt;"",DEC2HEX(C2087,2),"")</f>
        <v/>
      </c>
      <c r="I2087" s="1" t="str">
        <f t="shared" si="2089"/>
        <v/>
      </c>
      <c r="J2087" s="1" t="str">
        <f t="shared" si="3"/>
        <v/>
      </c>
      <c r="L2087" s="1" t="s">
        <v>3388</v>
      </c>
      <c r="M2087" s="1" t="str">
        <f t="shared" si="4"/>
        <v>24, 28, LICKITUNG</v>
      </c>
    </row>
    <row r="2088" ht="12.75" customHeight="1">
      <c r="A2088" s="3" t="s">
        <v>2810</v>
      </c>
      <c r="B2088" s="3" t="str">
        <f t="shared" si="1"/>
        <v>0.04</v>
      </c>
      <c r="C2088" s="1" t="str">
        <f t="array" ref="C2088">IF(B2087="NEW ROUTE",TEXTSPLIT(B2088,","),"")</f>
        <v/>
      </c>
      <c r="H2088" s="1" t="str">
        <f t="shared" ref="H2088:I2088" si="2090">IF(C2088&lt;&gt;"",DEC2HEX(C2088,2),"")</f>
        <v/>
      </c>
      <c r="I2088" s="1" t="str">
        <f t="shared" si="2090"/>
        <v/>
      </c>
      <c r="J2088" s="1" t="str">
        <f t="shared" si="3"/>
        <v/>
      </c>
      <c r="L2088" s="1" t="s">
        <v>2810</v>
      </c>
      <c r="M2088" s="1" t="str">
        <f t="shared" si="4"/>
        <v>0.04</v>
      </c>
    </row>
    <row r="2089" ht="12.75" customHeight="1">
      <c r="A2089" s="3" t="s">
        <v>3389</v>
      </c>
      <c r="B2089" s="3" t="str">
        <f t="shared" si="1"/>
        <v>26, 26, PERSIAN</v>
      </c>
      <c r="C2089" s="1" t="str">
        <f t="array" ref="C2089">IF(B2088="NEW ROUTE",TEXTSPLIT(B2089,","),"")</f>
        <v/>
      </c>
      <c r="H2089" s="1" t="str">
        <f t="shared" ref="H2089:I2089" si="2091">IF(C2089&lt;&gt;"",DEC2HEX(C2089,2),"")</f>
        <v/>
      </c>
      <c r="I2089" s="1" t="str">
        <f t="shared" si="2091"/>
        <v/>
      </c>
      <c r="J2089" s="1" t="str">
        <f t="shared" si="3"/>
        <v/>
      </c>
      <c r="L2089" s="1" t="s">
        <v>3389</v>
      </c>
      <c r="M2089" s="1" t="str">
        <f t="shared" si="4"/>
        <v>26, 26, PERSIAN</v>
      </c>
    </row>
    <row r="2090" ht="12.75" customHeight="1">
      <c r="A2090" s="3" t="s">
        <v>3390</v>
      </c>
      <c r="B2090" s="3" t="str">
        <f t="shared" si="1"/>
        <v>21, 26, EEVEE</v>
      </c>
      <c r="C2090" s="1" t="str">
        <f t="array" ref="C2090">IF(B2089="NEW ROUTE",TEXTSPLIT(B2090,","),"")</f>
        <v/>
      </c>
      <c r="H2090" s="1" t="str">
        <f t="shared" ref="H2090:I2090" si="2092">IF(C2090&lt;&gt;"",DEC2HEX(C2090,2),"")</f>
        <v/>
      </c>
      <c r="I2090" s="1" t="str">
        <f t="shared" si="2092"/>
        <v/>
      </c>
      <c r="J2090" s="1" t="str">
        <f t="shared" si="3"/>
        <v/>
      </c>
      <c r="L2090" s="1" t="s">
        <v>3390</v>
      </c>
      <c r="M2090" s="1" t="str">
        <f t="shared" si="4"/>
        <v>21, 26, EEVEE</v>
      </c>
    </row>
    <row r="2091" ht="12.75" customHeight="1">
      <c r="A2091" s="3" t="s">
        <v>2813</v>
      </c>
      <c r="B2091" s="3" t="str">
        <f t="shared" si="1"/>
        <v>0.01</v>
      </c>
      <c r="C2091" s="1" t="str">
        <f t="array" ref="C2091">IF(B2090="NEW ROUTE",TEXTSPLIT(B2091,","),"")</f>
        <v/>
      </c>
      <c r="H2091" s="1" t="str">
        <f t="shared" ref="H2091:I2091" si="2093">IF(C2091&lt;&gt;"",DEC2HEX(C2091,2),"")</f>
        <v/>
      </c>
      <c r="I2091" s="1" t="str">
        <f t="shared" si="2093"/>
        <v/>
      </c>
      <c r="J2091" s="1" t="str">
        <f t="shared" si="3"/>
        <v/>
      </c>
      <c r="L2091" s="1" t="s">
        <v>2813</v>
      </c>
      <c r="M2091" s="1" t="str">
        <f t="shared" si="4"/>
        <v>0.01</v>
      </c>
    </row>
    <row r="2092" ht="12.75" customHeight="1">
      <c r="A2092" s="3" t="s">
        <v>3391</v>
      </c>
      <c r="B2092" s="3" t="str">
        <f t="shared" si="1"/>
        <v>24, 28, SANDSLASH</v>
      </c>
      <c r="C2092" s="1" t="str">
        <f t="array" ref="C2092">IF(B2091="NEW ROUTE",TEXTSPLIT(B2092,","),"")</f>
        <v/>
      </c>
      <c r="H2092" s="1" t="str">
        <f t="shared" ref="H2092:I2092" si="2094">IF(C2092&lt;&gt;"",DEC2HEX(C2092,2),"")</f>
        <v/>
      </c>
      <c r="I2092" s="1" t="str">
        <f t="shared" si="2094"/>
        <v/>
      </c>
      <c r="J2092" s="1" t="str">
        <f t="shared" si="3"/>
        <v/>
      </c>
      <c r="L2092" s="1" t="s">
        <v>3391</v>
      </c>
      <c r="M2092" s="1" t="str">
        <f t="shared" si="4"/>
        <v>24, 28, SANDSLASH</v>
      </c>
    </row>
    <row r="2093" ht="12.75" customHeight="1">
      <c r="A2093" s="3" t="s">
        <v>3392</v>
      </c>
      <c r="B2093" s="3" t="str">
        <f t="shared" si="1"/>
        <v>24, 28, PARASECT , &lt;null&gt;, &lt;null&gt;, &lt;null&gt;</v>
      </c>
      <c r="C2093" s="1" t="str">
        <f t="array" ref="C2093">IF(B2092="NEW ROUTE",TEXTSPLIT(B2093,","),"")</f>
        <v/>
      </c>
      <c r="H2093" s="1" t="str">
        <f t="shared" ref="H2093:I2093" si="2095">IF(C2093&lt;&gt;"",DEC2HEX(C2093,2),"")</f>
        <v/>
      </c>
      <c r="I2093" s="1" t="str">
        <f t="shared" si="2095"/>
        <v/>
      </c>
      <c r="J2093" s="1" t="str">
        <f t="shared" si="3"/>
        <v/>
      </c>
      <c r="L2093" s="1" t="s">
        <v>3392</v>
      </c>
      <c r="M2093" s="1" t="str">
        <f t="shared" si="4"/>
        <v>24, 28, PARASECT , &lt;null&gt;, &lt;null&gt;, &lt;null&gt;</v>
      </c>
    </row>
    <row r="2094" ht="12.75" customHeight="1">
      <c r="A2094" s="3" t="s">
        <v>2539</v>
      </c>
      <c r="B2094" s="3" t="str">
        <f t="shared" si="1"/>
        <v>NEW ROUTE</v>
      </c>
      <c r="C2094" s="1" t="str">
        <f t="array" ref="C2094">IF(B2093="NEW ROUTE",TEXTSPLIT(B2094,","),"")</f>
        <v/>
      </c>
      <c r="H2094" s="1" t="str">
        <f t="shared" ref="H2094:I2094" si="2096">IF(C2094&lt;&gt;"",DEC2HEX(C2094,2),"")</f>
        <v/>
      </c>
      <c r="I2094" s="1" t="str">
        <f t="shared" si="2096"/>
        <v/>
      </c>
      <c r="J2094" s="1" t="str">
        <f t="shared" si="3"/>
        <v/>
      </c>
      <c r="L2094" s="1" t="s">
        <v>2539</v>
      </c>
      <c r="M2094" s="1" t="str">
        <f t="shared" si="4"/>
        <v>NEW ROUTE</v>
      </c>
    </row>
    <row r="2095" ht="12.75" customHeight="1">
      <c r="A2095" s="3" t="s">
        <v>3393</v>
      </c>
      <c r="B2095" s="3" t="str">
        <f t="shared" si="1"/>
        <v>3, 26, 0,</v>
      </c>
      <c r="C2095" s="1" t="str">
        <f t="array" ref="C2095">IF(B2094="NEW ROUTE",TEXTSPLIT(B2095,","),"")</f>
        <v>#NAME?</v>
      </c>
      <c r="H2095" s="1" t="str">
        <f t="shared" ref="H2095:I2095" si="2097">IF(C2095&lt;&gt;"",DEC2HEX(C2095,2),"")</f>
        <v>#NAME?</v>
      </c>
      <c r="I2095" s="1" t="str">
        <f t="shared" si="2097"/>
        <v/>
      </c>
      <c r="J2095" s="1" t="str">
        <f t="shared" si="3"/>
        <v>#NAME?</v>
      </c>
      <c r="L2095" s="1" t="s">
        <v>3393</v>
      </c>
      <c r="M2095" s="1" t="str">
        <f t="shared" si="4"/>
        <v>#NAME?</v>
      </c>
    </row>
    <row r="2096" ht="12.75" customHeight="1">
      <c r="A2096" s="3" t="s">
        <v>2909</v>
      </c>
      <c r="B2096" s="3" t="str">
        <f t="shared" si="1"/>
        <v>20%</v>
      </c>
      <c r="C2096" s="1" t="str">
        <f t="array" ref="C2096">IF(B2095="NEW ROUTE",TEXTSPLIT(B2096,","),"")</f>
        <v/>
      </c>
      <c r="H2096" s="1" t="str">
        <f t="shared" ref="H2096:I2096" si="2098">IF(C2096&lt;&gt;"",DEC2HEX(C2096,2),"")</f>
        <v/>
      </c>
      <c r="I2096" s="1" t="str">
        <f t="shared" si="2098"/>
        <v/>
      </c>
      <c r="J2096" s="1" t="str">
        <f t="shared" si="3"/>
        <v/>
      </c>
      <c r="L2096" s="1" t="s">
        <v>2799</v>
      </c>
      <c r="M2096" s="1" t="str">
        <f t="shared" si="4"/>
        <v>20%</v>
      </c>
    </row>
    <row r="2097" ht="12.75" customHeight="1">
      <c r="A2097" s="3" t="s">
        <v>1013</v>
      </c>
      <c r="B2097" s="3" t="str">
        <f t="shared" si="1"/>
        <v>23, 25, PONYTA</v>
      </c>
      <c r="C2097" s="1" t="str">
        <f t="array" ref="C2097">IF(B2096="NEW ROUTE",TEXTSPLIT(B2097,","),"")</f>
        <v/>
      </c>
      <c r="H2097" s="1" t="str">
        <f t="shared" ref="H2097:I2097" si="2099">IF(C2097&lt;&gt;"",DEC2HEX(C2097,2),"")</f>
        <v/>
      </c>
      <c r="I2097" s="1" t="str">
        <f t="shared" si="2099"/>
        <v/>
      </c>
      <c r="J2097" s="1" t="str">
        <f t="shared" si="3"/>
        <v/>
      </c>
      <c r="L2097" s="1" t="s">
        <v>1013</v>
      </c>
      <c r="M2097" s="1" t="str">
        <f t="shared" si="4"/>
        <v>23, 25, PONYTA</v>
      </c>
    </row>
    <row r="2098" ht="12.75" customHeight="1">
      <c r="A2098" s="3" t="s">
        <v>3394</v>
      </c>
      <c r="B2098" s="3" t="str">
        <f t="shared" si="1"/>
        <v>23, 25, EKANS</v>
      </c>
      <c r="C2098" s="1" t="str">
        <f t="array" ref="C2098">IF(B2097="NEW ROUTE",TEXTSPLIT(B2098,","),"")</f>
        <v/>
      </c>
      <c r="H2098" s="1" t="str">
        <f t="shared" ref="H2098:I2098" si="2100">IF(C2098&lt;&gt;"",DEC2HEX(C2098,2),"")</f>
        <v/>
      </c>
      <c r="I2098" s="1" t="str">
        <f t="shared" si="2100"/>
        <v/>
      </c>
      <c r="J2098" s="1" t="str">
        <f t="shared" si="3"/>
        <v/>
      </c>
      <c r="L2098" s="1" t="s">
        <v>3394</v>
      </c>
      <c r="M2098" s="1" t="str">
        <f t="shared" si="4"/>
        <v>23, 25, EKANS</v>
      </c>
    </row>
    <row r="2099" ht="12.75" customHeight="1">
      <c r="A2099" s="3" t="s">
        <v>2802</v>
      </c>
      <c r="B2099" s="3" t="str">
        <f t="shared" si="1"/>
        <v>0.1</v>
      </c>
      <c r="C2099" s="1" t="str">
        <f t="array" ref="C2099">IF(B2098="NEW ROUTE",TEXTSPLIT(B2099,","),"")</f>
        <v/>
      </c>
      <c r="H2099" s="1" t="str">
        <f t="shared" ref="H2099:I2099" si="2101">IF(C2099&lt;&gt;"",DEC2HEX(C2099,2),"")</f>
        <v/>
      </c>
      <c r="I2099" s="1" t="str">
        <f t="shared" si="2101"/>
        <v/>
      </c>
      <c r="J2099" s="1" t="str">
        <f t="shared" si="3"/>
        <v/>
      </c>
      <c r="L2099" s="1" t="s">
        <v>2802</v>
      </c>
      <c r="M2099" s="1" t="str">
        <f t="shared" si="4"/>
        <v>0.1</v>
      </c>
    </row>
    <row r="2100" ht="12.75" customHeight="1">
      <c r="A2100" s="3" t="s">
        <v>3395</v>
      </c>
      <c r="B2100" s="3" t="str">
        <f t="shared" si="1"/>
        <v>24, 26, SANDSHREW</v>
      </c>
      <c r="C2100" s="1" t="str">
        <f t="array" ref="C2100">IF(B2099="NEW ROUTE",TEXTSPLIT(B2100,","),"")</f>
        <v/>
      </c>
      <c r="H2100" s="1" t="str">
        <f t="shared" ref="H2100:I2100" si="2102">IF(C2100&lt;&gt;"",DEC2HEX(C2100,2),"")</f>
        <v/>
      </c>
      <c r="I2100" s="1" t="str">
        <f t="shared" si="2102"/>
        <v/>
      </c>
      <c r="J2100" s="1" t="str">
        <f t="shared" si="3"/>
        <v/>
      </c>
      <c r="L2100" s="1" t="s">
        <v>3395</v>
      </c>
      <c r="M2100" s="1" t="str">
        <f t="shared" si="4"/>
        <v>24, 26, SANDSHREW</v>
      </c>
    </row>
    <row r="2101" ht="12.75" customHeight="1">
      <c r="A2101" s="3" t="s">
        <v>3396</v>
      </c>
      <c r="B2101" s="3" t="str">
        <f t="shared" si="1"/>
        <v>24, 26, MEOWTH</v>
      </c>
      <c r="C2101" s="1" t="str">
        <f t="array" ref="C2101">IF(B2100="NEW ROUTE",TEXTSPLIT(B2101,","),"")</f>
        <v/>
      </c>
      <c r="H2101" s="1" t="str">
        <f t="shared" ref="H2101:I2101" si="2103">IF(C2101&lt;&gt;"",DEC2HEX(C2101,2),"")</f>
        <v/>
      </c>
      <c r="I2101" s="1" t="str">
        <f t="shared" si="2103"/>
        <v/>
      </c>
      <c r="J2101" s="1" t="str">
        <f t="shared" si="3"/>
        <v/>
      </c>
      <c r="L2101" s="1" t="s">
        <v>3396</v>
      </c>
      <c r="M2101" s="1" t="str">
        <f t="shared" si="4"/>
        <v>24, 26, MEOWTH</v>
      </c>
    </row>
    <row r="2102" ht="12.75" customHeight="1">
      <c r="A2102" s="3" t="s">
        <v>3397</v>
      </c>
      <c r="B2102" s="3" t="str">
        <f t="shared" si="1"/>
        <v>24, 26, VENONAT</v>
      </c>
      <c r="C2102" s="1" t="str">
        <f t="array" ref="C2102">IF(B2101="NEW ROUTE",TEXTSPLIT(B2102,","),"")</f>
        <v/>
      </c>
      <c r="H2102" s="1" t="str">
        <f t="shared" ref="H2102:I2102" si="2104">IF(C2102&lt;&gt;"",DEC2HEX(C2102,2),"")</f>
        <v/>
      </c>
      <c r="I2102" s="1" t="str">
        <f t="shared" si="2104"/>
        <v/>
      </c>
      <c r="J2102" s="1" t="str">
        <f t="shared" si="3"/>
        <v/>
      </c>
      <c r="L2102" s="1" t="s">
        <v>3397</v>
      </c>
      <c r="M2102" s="1" t="str">
        <f t="shared" si="4"/>
        <v>24, 26, VENONAT</v>
      </c>
    </row>
    <row r="2103" ht="12.75" customHeight="1">
      <c r="A2103" s="3" t="s">
        <v>3398</v>
      </c>
      <c r="B2103" s="3" t="str">
        <f t="shared" si="1"/>
        <v>24, 26, GROWLITHE</v>
      </c>
      <c r="C2103" s="1" t="str">
        <f t="array" ref="C2103">IF(B2102="NEW ROUTE",TEXTSPLIT(B2103,","),"")</f>
        <v/>
      </c>
      <c r="H2103" s="1" t="str">
        <f t="shared" ref="H2103:I2103" si="2105">IF(C2103&lt;&gt;"",DEC2HEX(C2103,2),"")</f>
        <v/>
      </c>
      <c r="I2103" s="1" t="str">
        <f t="shared" si="2105"/>
        <v/>
      </c>
      <c r="J2103" s="1" t="str">
        <f t="shared" si="3"/>
        <v/>
      </c>
      <c r="L2103" s="1" t="s">
        <v>3398</v>
      </c>
      <c r="M2103" s="1" t="str">
        <f t="shared" si="4"/>
        <v>24, 26, GROWLITHE</v>
      </c>
    </row>
    <row r="2104" ht="12.75" customHeight="1">
      <c r="A2104" s="3" t="s">
        <v>2807</v>
      </c>
      <c r="B2104" s="3" t="str">
        <f t="shared" si="1"/>
        <v>0.05</v>
      </c>
      <c r="C2104" s="1" t="str">
        <f t="array" ref="C2104">IF(B2103="NEW ROUTE",TEXTSPLIT(B2104,","),"")</f>
        <v/>
      </c>
      <c r="H2104" s="1" t="str">
        <f t="shared" ref="H2104:I2104" si="2106">IF(C2104&lt;&gt;"",DEC2HEX(C2104,2),"")</f>
        <v/>
      </c>
      <c r="I2104" s="1" t="str">
        <f t="shared" si="2106"/>
        <v/>
      </c>
      <c r="J2104" s="1" t="str">
        <f t="shared" si="3"/>
        <v/>
      </c>
      <c r="L2104" s="1" t="s">
        <v>2807</v>
      </c>
      <c r="M2104" s="1" t="str">
        <f t="shared" si="4"/>
        <v>0.05</v>
      </c>
    </row>
    <row r="2105" ht="12.75" customHeight="1">
      <c r="A2105" s="3" t="s">
        <v>3399</v>
      </c>
      <c r="B2105" s="3" t="str">
        <f t="shared" si="1"/>
        <v>23, 27, ARBOK</v>
      </c>
      <c r="C2105" s="1" t="str">
        <f t="array" ref="C2105">IF(B2104="NEW ROUTE",TEXTSPLIT(B2105,","),"")</f>
        <v/>
      </c>
      <c r="H2105" s="1" t="str">
        <f t="shared" ref="H2105:I2105" si="2107">IF(C2105&lt;&gt;"",DEC2HEX(C2105,2),"")</f>
        <v/>
      </c>
      <c r="I2105" s="1" t="str">
        <f t="shared" si="2107"/>
        <v/>
      </c>
      <c r="J2105" s="1" t="str">
        <f t="shared" si="3"/>
        <v/>
      </c>
      <c r="L2105" s="1" t="s">
        <v>3399</v>
      </c>
      <c r="M2105" s="1" t="str">
        <f t="shared" si="4"/>
        <v>23, 27, ARBOK</v>
      </c>
    </row>
    <row r="2106" ht="12.75" customHeight="1">
      <c r="A2106" s="3" t="s">
        <v>3400</v>
      </c>
      <c r="B2106" s="3" t="str">
        <f t="shared" si="1"/>
        <v>23, 27, LICKITUNG</v>
      </c>
      <c r="C2106" s="1" t="str">
        <f t="array" ref="C2106">IF(B2105="NEW ROUTE",TEXTSPLIT(B2106,","),"")</f>
        <v/>
      </c>
      <c r="H2106" s="1" t="str">
        <f t="shared" ref="H2106:I2106" si="2108">IF(C2106&lt;&gt;"",DEC2HEX(C2106,2),"")</f>
        <v/>
      </c>
      <c r="I2106" s="1" t="str">
        <f t="shared" si="2108"/>
        <v/>
      </c>
      <c r="J2106" s="1" t="str">
        <f t="shared" si="3"/>
        <v/>
      </c>
      <c r="L2106" s="1" t="s">
        <v>3400</v>
      </c>
      <c r="M2106" s="1" t="str">
        <f t="shared" si="4"/>
        <v>23, 27, LICKITUNG</v>
      </c>
    </row>
    <row r="2107" ht="12.75" customHeight="1">
      <c r="A2107" s="3" t="s">
        <v>2810</v>
      </c>
      <c r="B2107" s="3" t="str">
        <f t="shared" si="1"/>
        <v>0.04</v>
      </c>
      <c r="C2107" s="1" t="str">
        <f t="array" ref="C2107">IF(B2106="NEW ROUTE",TEXTSPLIT(B2107,","),"")</f>
        <v/>
      </c>
      <c r="H2107" s="1" t="str">
        <f t="shared" ref="H2107:I2107" si="2109">IF(C2107&lt;&gt;"",DEC2HEX(C2107,2),"")</f>
        <v/>
      </c>
      <c r="I2107" s="1" t="str">
        <f t="shared" si="2109"/>
        <v/>
      </c>
      <c r="J2107" s="1" t="str">
        <f t="shared" si="3"/>
        <v/>
      </c>
      <c r="L2107" s="1" t="s">
        <v>2810</v>
      </c>
      <c r="M2107" s="1" t="str">
        <f t="shared" si="4"/>
        <v>0.04</v>
      </c>
    </row>
    <row r="2108" ht="12.75" customHeight="1">
      <c r="A2108" s="3" t="s">
        <v>3401</v>
      </c>
      <c r="B2108" s="3" t="str">
        <f t="shared" si="1"/>
        <v>25, 25, PERSIAN</v>
      </c>
      <c r="C2108" s="1" t="str">
        <f t="array" ref="C2108">IF(B2107="NEW ROUTE",TEXTSPLIT(B2108,","),"")</f>
        <v/>
      </c>
      <c r="H2108" s="1" t="str">
        <f t="shared" ref="H2108:I2108" si="2110">IF(C2108&lt;&gt;"",DEC2HEX(C2108,2),"")</f>
        <v/>
      </c>
      <c r="I2108" s="1" t="str">
        <f t="shared" si="2110"/>
        <v/>
      </c>
      <c r="J2108" s="1" t="str">
        <f t="shared" si="3"/>
        <v/>
      </c>
      <c r="L2108" s="1" t="s">
        <v>3401</v>
      </c>
      <c r="M2108" s="1" t="str">
        <f t="shared" si="4"/>
        <v>25, 25, PERSIAN</v>
      </c>
    </row>
    <row r="2109" ht="12.75" customHeight="1">
      <c r="A2109" s="3" t="s">
        <v>3402</v>
      </c>
      <c r="B2109" s="3" t="str">
        <f t="shared" si="1"/>
        <v>20, 25, EEVEE</v>
      </c>
      <c r="C2109" s="1" t="str">
        <f t="array" ref="C2109">IF(B2108="NEW ROUTE",TEXTSPLIT(B2109,","),"")</f>
        <v/>
      </c>
      <c r="H2109" s="1" t="str">
        <f t="shared" ref="H2109:I2109" si="2111">IF(C2109&lt;&gt;"",DEC2HEX(C2109,2),"")</f>
        <v/>
      </c>
      <c r="I2109" s="1" t="str">
        <f t="shared" si="2111"/>
        <v/>
      </c>
      <c r="J2109" s="1" t="str">
        <f t="shared" si="3"/>
        <v/>
      </c>
      <c r="L2109" s="1" t="s">
        <v>3402</v>
      </c>
      <c r="M2109" s="1" t="str">
        <f t="shared" si="4"/>
        <v>20, 25, EEVEE</v>
      </c>
    </row>
    <row r="2110" ht="12.75" customHeight="1">
      <c r="A2110" s="3" t="s">
        <v>2813</v>
      </c>
      <c r="B2110" s="3" t="str">
        <f t="shared" si="1"/>
        <v>0.01</v>
      </c>
      <c r="C2110" s="1" t="str">
        <f t="array" ref="C2110">IF(B2109="NEW ROUTE",TEXTSPLIT(B2110,","),"")</f>
        <v/>
      </c>
      <c r="H2110" s="1" t="str">
        <f t="shared" ref="H2110:I2110" si="2112">IF(C2110&lt;&gt;"",DEC2HEX(C2110,2),"")</f>
        <v/>
      </c>
      <c r="I2110" s="1" t="str">
        <f t="shared" si="2112"/>
        <v/>
      </c>
      <c r="J2110" s="1" t="str">
        <f t="shared" si="3"/>
        <v/>
      </c>
      <c r="L2110" s="1" t="s">
        <v>2813</v>
      </c>
      <c r="M2110" s="1" t="str">
        <f t="shared" si="4"/>
        <v>0.01</v>
      </c>
    </row>
    <row r="2111" ht="12.75" customHeight="1">
      <c r="A2111" s="3" t="s">
        <v>3403</v>
      </c>
      <c r="B2111" s="3" t="str">
        <f t="shared" si="1"/>
        <v>23, 27, SANDSLASH</v>
      </c>
      <c r="C2111" s="1" t="str">
        <f t="array" ref="C2111">IF(B2110="NEW ROUTE",TEXTSPLIT(B2111,","),"")</f>
        <v/>
      </c>
      <c r="H2111" s="1" t="str">
        <f t="shared" ref="H2111:I2111" si="2113">IF(C2111&lt;&gt;"",DEC2HEX(C2111,2),"")</f>
        <v/>
      </c>
      <c r="I2111" s="1" t="str">
        <f t="shared" si="2113"/>
        <v/>
      </c>
      <c r="J2111" s="1" t="str">
        <f t="shared" si="3"/>
        <v/>
      </c>
      <c r="L2111" s="1" t="s">
        <v>3403</v>
      </c>
      <c r="M2111" s="1" t="str">
        <f t="shared" si="4"/>
        <v>23, 27, SANDSLASH</v>
      </c>
    </row>
    <row r="2112" ht="12.75" customHeight="1">
      <c r="A2112" s="3" t="s">
        <v>3404</v>
      </c>
      <c r="B2112" s="3" t="str">
        <f t="shared" si="1"/>
        <v>23, 27, VENOMOTH , &lt;null&gt;, &lt;null&gt;, &lt;null&gt;</v>
      </c>
      <c r="C2112" s="1" t="str">
        <f t="array" ref="C2112">IF(B2111="NEW ROUTE",TEXTSPLIT(B2112,","),"")</f>
        <v/>
      </c>
      <c r="H2112" s="1" t="str">
        <f t="shared" ref="H2112:I2112" si="2114">IF(C2112&lt;&gt;"",DEC2HEX(C2112,2),"")</f>
        <v/>
      </c>
      <c r="I2112" s="1" t="str">
        <f t="shared" si="2114"/>
        <v/>
      </c>
      <c r="J2112" s="1" t="str">
        <f t="shared" si="3"/>
        <v/>
      </c>
      <c r="L2112" s="1" t="s">
        <v>3404</v>
      </c>
      <c r="M2112" s="1" t="str">
        <f t="shared" si="4"/>
        <v>23, 27, VENOMOTH , &lt;null&gt;, &lt;null&gt;, &lt;null&gt;</v>
      </c>
    </row>
    <row r="2113" ht="12.75" customHeight="1">
      <c r="A2113" s="3" t="s">
        <v>2539</v>
      </c>
      <c r="B2113" s="3" t="str">
        <f t="shared" si="1"/>
        <v>NEW ROUTE</v>
      </c>
      <c r="C2113" s="1" t="str">
        <f t="array" ref="C2113">IF(B2112="NEW ROUTE",TEXTSPLIT(B2113,","),"")</f>
        <v/>
      </c>
      <c r="H2113" s="1" t="str">
        <f t="shared" ref="H2113:I2113" si="2115">IF(C2113&lt;&gt;"",DEC2HEX(C2113,2),"")</f>
        <v/>
      </c>
      <c r="I2113" s="1" t="str">
        <f t="shared" si="2115"/>
        <v/>
      </c>
      <c r="J2113" s="1" t="str">
        <f t="shared" si="3"/>
        <v/>
      </c>
      <c r="L2113" s="1" t="s">
        <v>2539</v>
      </c>
      <c r="M2113" s="1" t="str">
        <f t="shared" si="4"/>
        <v>NEW ROUTE</v>
      </c>
    </row>
    <row r="2114" ht="12.75" customHeight="1">
      <c r="A2114" s="3" t="s">
        <v>3405</v>
      </c>
      <c r="B2114" s="3" t="str">
        <f t="shared" si="1"/>
        <v>3, 27, 0,</v>
      </c>
      <c r="C2114" s="1" t="str">
        <f t="array" ref="C2114">IF(B2113="NEW ROUTE",TEXTSPLIT(B2114,","),"")</f>
        <v>#NAME?</v>
      </c>
      <c r="H2114" s="1" t="str">
        <f t="shared" ref="H2114:I2114" si="2116">IF(C2114&lt;&gt;"",DEC2HEX(C2114,2),"")</f>
        <v>#NAME?</v>
      </c>
      <c r="I2114" s="1" t="str">
        <f t="shared" si="2116"/>
        <v/>
      </c>
      <c r="J2114" s="1" t="str">
        <f t="shared" si="3"/>
        <v>#NAME?</v>
      </c>
      <c r="L2114" s="1" t="s">
        <v>3405</v>
      </c>
      <c r="M2114" s="1" t="str">
        <f t="shared" si="4"/>
        <v>#NAME?</v>
      </c>
    </row>
    <row r="2115" ht="12.75" customHeight="1">
      <c r="A2115" s="3" t="s">
        <v>2909</v>
      </c>
      <c r="B2115" s="3" t="str">
        <f t="shared" si="1"/>
        <v>20%</v>
      </c>
      <c r="C2115" s="1" t="str">
        <f t="array" ref="C2115">IF(B2114="NEW ROUTE",TEXTSPLIT(B2115,","),"")</f>
        <v/>
      </c>
      <c r="H2115" s="1" t="str">
        <f t="shared" ref="H2115:I2115" si="2117">IF(C2115&lt;&gt;"",DEC2HEX(C2115,2),"")</f>
        <v/>
      </c>
      <c r="I2115" s="1" t="str">
        <f t="shared" si="2117"/>
        <v/>
      </c>
      <c r="J2115" s="1" t="str">
        <f t="shared" si="3"/>
        <v/>
      </c>
      <c r="L2115" s="1" t="s">
        <v>2799</v>
      </c>
      <c r="M2115" s="1" t="str">
        <f t="shared" si="4"/>
        <v>20%</v>
      </c>
    </row>
    <row r="2116" ht="12.75" customHeight="1">
      <c r="A2116" s="3" t="s">
        <v>1026</v>
      </c>
      <c r="B2116" s="3" t="str">
        <f t="shared" si="1"/>
        <v>17, 22, NIDORINA</v>
      </c>
      <c r="C2116" s="1" t="str">
        <f t="array" ref="C2116">IF(B2115="NEW ROUTE",TEXTSPLIT(B2116,","),"")</f>
        <v/>
      </c>
      <c r="H2116" s="1" t="str">
        <f t="shared" ref="H2116:I2116" si="2118">IF(C2116&lt;&gt;"",DEC2HEX(C2116,2),"")</f>
        <v/>
      </c>
      <c r="I2116" s="1" t="str">
        <f t="shared" si="2118"/>
        <v/>
      </c>
      <c r="J2116" s="1" t="str">
        <f t="shared" si="3"/>
        <v/>
      </c>
      <c r="L2116" s="1" t="s">
        <v>1026</v>
      </c>
      <c r="M2116" s="1" t="str">
        <f t="shared" si="4"/>
        <v>17, 22, NIDORINA</v>
      </c>
    </row>
    <row r="2117" ht="12.75" customHeight="1">
      <c r="A2117" s="3" t="s">
        <v>3406</v>
      </c>
      <c r="B2117" s="3" t="str">
        <f t="shared" si="1"/>
        <v>17, 22, NIDORINO</v>
      </c>
      <c r="C2117" s="1" t="str">
        <f t="array" ref="C2117">IF(B2116="NEW ROUTE",TEXTSPLIT(B2117,","),"")</f>
        <v/>
      </c>
      <c r="H2117" s="1" t="str">
        <f t="shared" ref="H2117:I2117" si="2119">IF(C2117&lt;&gt;"",DEC2HEX(C2117,2),"")</f>
        <v/>
      </c>
      <c r="I2117" s="1" t="str">
        <f t="shared" si="2119"/>
        <v/>
      </c>
      <c r="J2117" s="1" t="str">
        <f t="shared" si="3"/>
        <v/>
      </c>
      <c r="L2117" s="1" t="s">
        <v>3406</v>
      </c>
      <c r="M2117" s="1" t="str">
        <f t="shared" si="4"/>
        <v>17, 22, NIDORINO</v>
      </c>
    </row>
    <row r="2118" ht="12.75" customHeight="1">
      <c r="A2118" s="3" t="s">
        <v>2802</v>
      </c>
      <c r="B2118" s="3" t="str">
        <f t="shared" si="1"/>
        <v>0.1</v>
      </c>
      <c r="C2118" s="1" t="str">
        <f t="array" ref="C2118">IF(B2117="NEW ROUTE",TEXTSPLIT(B2118,","),"")</f>
        <v/>
      </c>
      <c r="H2118" s="1" t="str">
        <f t="shared" ref="H2118:I2118" si="2120">IF(C2118&lt;&gt;"",DEC2HEX(C2118,2),"")</f>
        <v/>
      </c>
      <c r="I2118" s="1" t="str">
        <f t="shared" si="2120"/>
        <v/>
      </c>
      <c r="J2118" s="1" t="str">
        <f t="shared" si="3"/>
        <v/>
      </c>
      <c r="L2118" s="1" t="s">
        <v>2802</v>
      </c>
      <c r="M2118" s="1" t="str">
        <f t="shared" si="4"/>
        <v>0.1</v>
      </c>
    </row>
    <row r="2119" ht="12.75" customHeight="1">
      <c r="A2119" s="3" t="s">
        <v>3407</v>
      </c>
      <c r="B2119" s="3" t="str">
        <f t="shared" si="1"/>
        <v>16, 19, SPEAROW</v>
      </c>
      <c r="C2119" s="1" t="str">
        <f t="array" ref="C2119">IF(B2118="NEW ROUTE",TEXTSPLIT(B2119,","),"")</f>
        <v/>
      </c>
      <c r="H2119" s="1" t="str">
        <f t="shared" ref="H2119:I2119" si="2121">IF(C2119&lt;&gt;"",DEC2HEX(C2119,2),"")</f>
        <v/>
      </c>
      <c r="I2119" s="1" t="str">
        <f t="shared" si="2121"/>
        <v/>
      </c>
      <c r="J2119" s="1" t="str">
        <f t="shared" si="3"/>
        <v/>
      </c>
      <c r="L2119" s="1" t="s">
        <v>3407</v>
      </c>
      <c r="M2119" s="1" t="str">
        <f t="shared" si="4"/>
        <v>16, 19, SPEAROW</v>
      </c>
    </row>
    <row r="2120" ht="12.75" customHeight="1">
      <c r="A2120" s="3" t="s">
        <v>3408</v>
      </c>
      <c r="B2120" s="3" t="str">
        <f t="shared" si="1"/>
        <v>16, 19, CUBONE</v>
      </c>
      <c r="C2120" s="1" t="str">
        <f t="array" ref="C2120">IF(B2119="NEW ROUTE",TEXTSPLIT(B2120,","),"")</f>
        <v/>
      </c>
      <c r="H2120" s="1" t="str">
        <f t="shared" ref="H2120:I2120" si="2122">IF(C2120&lt;&gt;"",DEC2HEX(C2120,2),"")</f>
        <v/>
      </c>
      <c r="I2120" s="1" t="str">
        <f t="shared" si="2122"/>
        <v/>
      </c>
      <c r="J2120" s="1" t="str">
        <f t="shared" si="3"/>
        <v/>
      </c>
      <c r="L2120" s="1" t="s">
        <v>3408</v>
      </c>
      <c r="M2120" s="1" t="str">
        <f t="shared" si="4"/>
        <v>16, 19, CUBONE</v>
      </c>
    </row>
    <row r="2121" ht="12.75" customHeight="1">
      <c r="A2121" s="3" t="s">
        <v>3409</v>
      </c>
      <c r="B2121" s="3" t="str">
        <f t="shared" si="1"/>
        <v>16, 19, MACHOP</v>
      </c>
      <c r="C2121" s="1" t="str">
        <f t="array" ref="C2121">IF(B2120="NEW ROUTE",TEXTSPLIT(B2121,","),"")</f>
        <v/>
      </c>
      <c r="H2121" s="1" t="str">
        <f t="shared" ref="H2121:I2121" si="2123">IF(C2121&lt;&gt;"",DEC2HEX(C2121,2),"")</f>
        <v/>
      </c>
      <c r="I2121" s="1" t="str">
        <f t="shared" si="2123"/>
        <v/>
      </c>
      <c r="J2121" s="1" t="str">
        <f t="shared" si="3"/>
        <v/>
      </c>
      <c r="L2121" s="1" t="s">
        <v>3409</v>
      </c>
      <c r="M2121" s="1" t="str">
        <f t="shared" si="4"/>
        <v>16, 19, MACHOP</v>
      </c>
    </row>
    <row r="2122" ht="12.75" customHeight="1">
      <c r="A2122" s="3" t="s">
        <v>3410</v>
      </c>
      <c r="B2122" s="3" t="str">
        <f t="shared" si="1"/>
        <v>16, 19, SANDSHREW</v>
      </c>
      <c r="C2122" s="1" t="str">
        <f t="array" ref="C2122">IF(B2121="NEW ROUTE",TEXTSPLIT(B2122,","),"")</f>
        <v/>
      </c>
      <c r="H2122" s="1" t="str">
        <f t="shared" ref="H2122:I2122" si="2124">IF(C2122&lt;&gt;"",DEC2HEX(C2122,2),"")</f>
        <v/>
      </c>
      <c r="I2122" s="1" t="str">
        <f t="shared" si="2124"/>
        <v/>
      </c>
      <c r="J2122" s="1" t="str">
        <f t="shared" si="3"/>
        <v/>
      </c>
      <c r="L2122" s="1" t="s">
        <v>3410</v>
      </c>
      <c r="M2122" s="1" t="str">
        <f t="shared" si="4"/>
        <v>16, 19, SANDSHREW</v>
      </c>
    </row>
    <row r="2123" ht="12.75" customHeight="1">
      <c r="A2123" s="3" t="s">
        <v>2807</v>
      </c>
      <c r="B2123" s="3" t="str">
        <f t="shared" si="1"/>
        <v>0.05</v>
      </c>
      <c r="C2123" s="1" t="str">
        <f t="array" ref="C2123">IF(B2122="NEW ROUTE",TEXTSPLIT(B2123,","),"")</f>
        <v/>
      </c>
      <c r="H2123" s="1" t="str">
        <f t="shared" ref="H2123:I2123" si="2125">IF(C2123&lt;&gt;"",DEC2HEX(C2123,2),"")</f>
        <v/>
      </c>
      <c r="I2123" s="1" t="str">
        <f t="shared" si="2125"/>
        <v/>
      </c>
      <c r="J2123" s="1" t="str">
        <f t="shared" si="3"/>
        <v/>
      </c>
      <c r="L2123" s="1" t="s">
        <v>2807</v>
      </c>
      <c r="M2123" s="1" t="str">
        <f t="shared" si="4"/>
        <v>0.05</v>
      </c>
    </row>
    <row r="2124" ht="12.75" customHeight="1">
      <c r="A2124" s="3" t="s">
        <v>3411</v>
      </c>
      <c r="B2124" s="3" t="str">
        <f t="shared" si="1"/>
        <v>17, 18, DODUO</v>
      </c>
      <c r="C2124" s="1" t="str">
        <f t="array" ref="C2124">IF(B2123="NEW ROUTE",TEXTSPLIT(B2124,","),"")</f>
        <v/>
      </c>
      <c r="H2124" s="1" t="str">
        <f t="shared" ref="H2124:I2124" si="2126">IF(C2124&lt;&gt;"",DEC2HEX(C2124,2),"")</f>
        <v/>
      </c>
      <c r="I2124" s="1" t="str">
        <f t="shared" si="2126"/>
        <v/>
      </c>
      <c r="J2124" s="1" t="str">
        <f t="shared" si="3"/>
        <v/>
      </c>
      <c r="L2124" s="1" t="s">
        <v>3411</v>
      </c>
      <c r="M2124" s="1" t="str">
        <f t="shared" si="4"/>
        <v>17, 18, DODUO</v>
      </c>
    </row>
    <row r="2125" ht="12.75" customHeight="1">
      <c r="A2125" s="3" t="s">
        <v>3412</v>
      </c>
      <c r="B2125" s="3" t="str">
        <f t="shared" si="1"/>
        <v>17, 18, DROWZEE</v>
      </c>
      <c r="C2125" s="1" t="str">
        <f t="array" ref="C2125">IF(B2124="NEW ROUTE",TEXTSPLIT(B2125,","),"")</f>
        <v/>
      </c>
      <c r="H2125" s="1" t="str">
        <f t="shared" ref="H2125:I2125" si="2127">IF(C2125&lt;&gt;"",DEC2HEX(C2125,2),"")</f>
        <v/>
      </c>
      <c r="I2125" s="1" t="str">
        <f t="shared" si="2127"/>
        <v/>
      </c>
      <c r="J2125" s="1" t="str">
        <f t="shared" si="3"/>
        <v/>
      </c>
      <c r="L2125" s="1" t="s">
        <v>3412</v>
      </c>
      <c r="M2125" s="1" t="str">
        <f t="shared" si="4"/>
        <v>17, 18, DROWZEE</v>
      </c>
    </row>
    <row r="2126" ht="12.75" customHeight="1">
      <c r="A2126" s="3" t="s">
        <v>2810</v>
      </c>
      <c r="B2126" s="3" t="str">
        <f t="shared" si="1"/>
        <v>0.04</v>
      </c>
      <c r="C2126" s="1" t="str">
        <f t="array" ref="C2126">IF(B2125="NEW ROUTE",TEXTSPLIT(B2126,","),"")</f>
        <v/>
      </c>
      <c r="H2126" s="1" t="str">
        <f t="shared" ref="H2126:I2126" si="2128">IF(C2126&lt;&gt;"",DEC2HEX(C2126,2),"")</f>
        <v/>
      </c>
      <c r="I2126" s="1" t="str">
        <f t="shared" si="2128"/>
        <v/>
      </c>
      <c r="J2126" s="1" t="str">
        <f t="shared" si="3"/>
        <v/>
      </c>
      <c r="L2126" s="1" t="s">
        <v>2810</v>
      </c>
      <c r="M2126" s="1" t="str">
        <f t="shared" si="4"/>
        <v>0.04</v>
      </c>
    </row>
    <row r="2127" ht="12.75" customHeight="1">
      <c r="A2127" s="3" t="s">
        <v>3413</v>
      </c>
      <c r="B2127" s="3" t="str">
        <f t="shared" si="1"/>
        <v>16, 25, FEAROW</v>
      </c>
      <c r="C2127" s="1" t="str">
        <f t="array" ref="C2127">IF(B2126="NEW ROUTE",TEXTSPLIT(B2127,","),"")</f>
        <v/>
      </c>
      <c r="H2127" s="1" t="str">
        <f t="shared" ref="H2127:I2127" si="2129">IF(C2127&lt;&gt;"",DEC2HEX(C2127,2),"")</f>
        <v/>
      </c>
      <c r="I2127" s="1" t="str">
        <f t="shared" si="2129"/>
        <v/>
      </c>
      <c r="J2127" s="1" t="str">
        <f t="shared" si="3"/>
        <v/>
      </c>
      <c r="L2127" s="1" t="s">
        <v>3413</v>
      </c>
      <c r="M2127" s="1" t="str">
        <f t="shared" si="4"/>
        <v>16, 25, FEAROW</v>
      </c>
    </row>
    <row r="2128" ht="12.75" customHeight="1">
      <c r="A2128" s="3" t="s">
        <v>3414</v>
      </c>
      <c r="B2128" s="3" t="str">
        <f t="shared" si="1"/>
        <v>22, 22, SANDSLASH</v>
      </c>
      <c r="C2128" s="1" t="str">
        <f t="array" ref="C2128">IF(B2127="NEW ROUTE",TEXTSPLIT(B2128,","),"")</f>
        <v/>
      </c>
      <c r="H2128" s="1" t="str">
        <f t="shared" ref="H2128:I2128" si="2130">IF(C2128&lt;&gt;"",DEC2HEX(C2128,2),"")</f>
        <v/>
      </c>
      <c r="I2128" s="1" t="str">
        <f t="shared" si="2130"/>
        <v/>
      </c>
      <c r="J2128" s="1" t="str">
        <f t="shared" si="3"/>
        <v/>
      </c>
      <c r="L2128" s="1" t="s">
        <v>3414</v>
      </c>
      <c r="M2128" s="1" t="str">
        <f t="shared" si="4"/>
        <v>22, 22, SANDSLASH</v>
      </c>
    </row>
    <row r="2129" ht="12.75" customHeight="1">
      <c r="A2129" s="3" t="s">
        <v>2813</v>
      </c>
      <c r="B2129" s="3" t="str">
        <f t="shared" si="1"/>
        <v>0.01</v>
      </c>
      <c r="C2129" s="1" t="str">
        <f t="array" ref="C2129">IF(B2128="NEW ROUTE",TEXTSPLIT(B2129,","),"")</f>
        <v/>
      </c>
      <c r="H2129" s="1" t="str">
        <f t="shared" ref="H2129:I2129" si="2131">IF(C2129&lt;&gt;"",DEC2HEX(C2129,2),"")</f>
        <v/>
      </c>
      <c r="I2129" s="1" t="str">
        <f t="shared" si="2131"/>
        <v/>
      </c>
      <c r="J2129" s="1" t="str">
        <f t="shared" si="3"/>
        <v/>
      </c>
      <c r="L2129" s="1" t="s">
        <v>2813</v>
      </c>
      <c r="M2129" s="1" t="str">
        <f t="shared" si="4"/>
        <v>0.01</v>
      </c>
    </row>
    <row r="2130" ht="12.75" customHeight="1">
      <c r="A2130" s="3" t="s">
        <v>3415</v>
      </c>
      <c r="B2130" s="3" t="str">
        <f t="shared" si="1"/>
        <v>14, 17, KANGAKID</v>
      </c>
      <c r="C2130" s="1" t="str">
        <f t="array" ref="C2130">IF(B2129="NEW ROUTE",TEXTSPLIT(B2130,","),"")</f>
        <v/>
      </c>
      <c r="H2130" s="1" t="str">
        <f t="shared" ref="H2130:I2130" si="2132">IF(C2130&lt;&gt;"",DEC2HEX(C2130,2),"")</f>
        <v/>
      </c>
      <c r="I2130" s="1" t="str">
        <f t="shared" si="2132"/>
        <v/>
      </c>
      <c r="J2130" s="1" t="str">
        <f t="shared" si="3"/>
        <v/>
      </c>
      <c r="L2130" s="1" t="s">
        <v>3415</v>
      </c>
      <c r="M2130" s="1" t="str">
        <f t="shared" si="4"/>
        <v>14, 17, KANGAKID</v>
      </c>
    </row>
    <row r="2131" ht="12.75" customHeight="1">
      <c r="A2131" s="3" t="s">
        <v>3416</v>
      </c>
      <c r="B2131" s="3" t="str">
        <f t="shared" si="1"/>
        <v>18, 18, KANGAKID , &lt;null&gt;, &lt;null&gt;, &lt;null&gt;</v>
      </c>
      <c r="C2131" s="1" t="str">
        <f t="array" ref="C2131">IF(B2130="NEW ROUTE",TEXTSPLIT(B2131,","),"")</f>
        <v/>
      </c>
      <c r="H2131" s="1" t="str">
        <f t="shared" ref="H2131:I2131" si="2133">IF(C2131&lt;&gt;"",DEC2HEX(C2131,2),"")</f>
        <v/>
      </c>
      <c r="I2131" s="1" t="str">
        <f t="shared" si="2133"/>
        <v/>
      </c>
      <c r="J2131" s="1" t="str">
        <f t="shared" si="3"/>
        <v/>
      </c>
      <c r="L2131" s="1" t="s">
        <v>3416</v>
      </c>
      <c r="M2131" s="1" t="str">
        <f t="shared" si="4"/>
        <v>18, 18, KANGAKID , &lt;null&gt;, &lt;null&gt;, &lt;null&gt;</v>
      </c>
    </row>
    <row r="2132" ht="12.75" customHeight="1">
      <c r="A2132" s="3" t="s">
        <v>2539</v>
      </c>
      <c r="B2132" s="3" t="str">
        <f t="shared" si="1"/>
        <v>NEW ROUTE</v>
      </c>
      <c r="C2132" s="1" t="str">
        <f t="array" ref="C2132">IF(B2131="NEW ROUTE",TEXTSPLIT(B2132,","),"")</f>
        <v/>
      </c>
      <c r="H2132" s="1" t="str">
        <f t="shared" ref="H2132:I2132" si="2134">IF(C2132&lt;&gt;"",DEC2HEX(C2132,2),"")</f>
        <v/>
      </c>
      <c r="I2132" s="1" t="str">
        <f t="shared" si="2134"/>
        <v/>
      </c>
      <c r="J2132" s="1" t="str">
        <f t="shared" si="3"/>
        <v/>
      </c>
      <c r="L2132" s="1" t="s">
        <v>2539</v>
      </c>
      <c r="M2132" s="1" t="str">
        <f t="shared" si="4"/>
        <v>NEW ROUTE</v>
      </c>
    </row>
    <row r="2133" ht="12.75" customHeight="1">
      <c r="A2133" s="3" t="s">
        <v>3417</v>
      </c>
      <c r="B2133" s="3" t="str">
        <f t="shared" si="1"/>
        <v>3, 28, 0,</v>
      </c>
      <c r="C2133" s="1" t="str">
        <f t="array" ref="C2133">IF(B2132="NEW ROUTE",TEXTSPLIT(B2133,","),"")</f>
        <v>#NAME?</v>
      </c>
      <c r="H2133" s="1" t="str">
        <f t="shared" ref="H2133:I2133" si="2135">IF(C2133&lt;&gt;"",DEC2HEX(C2133,2),"")</f>
        <v>#NAME?</v>
      </c>
      <c r="I2133" s="1" t="str">
        <f t="shared" si="2135"/>
        <v/>
      </c>
      <c r="J2133" s="1" t="str">
        <f t="shared" si="3"/>
        <v>#NAME?</v>
      </c>
      <c r="L2133" s="1" t="s">
        <v>3417</v>
      </c>
      <c r="M2133" s="1" t="str">
        <f t="shared" si="4"/>
        <v>#NAME?</v>
      </c>
    </row>
    <row r="2134" ht="12.75" customHeight="1">
      <c r="A2134" s="3" t="s">
        <v>2909</v>
      </c>
      <c r="B2134" s="3" t="str">
        <f t="shared" si="1"/>
        <v>20%</v>
      </c>
      <c r="C2134" s="1" t="str">
        <f t="array" ref="C2134">IF(B2133="NEW ROUTE",TEXTSPLIT(B2134,","),"")</f>
        <v/>
      </c>
      <c r="H2134" s="1" t="str">
        <f t="shared" ref="H2134:I2134" si="2136">IF(C2134&lt;&gt;"",DEC2HEX(C2134,2),"")</f>
        <v/>
      </c>
      <c r="I2134" s="1" t="str">
        <f t="shared" si="2136"/>
        <v/>
      </c>
      <c r="J2134" s="1" t="str">
        <f t="shared" si="3"/>
        <v/>
      </c>
      <c r="L2134" s="1" t="s">
        <v>2799</v>
      </c>
      <c r="M2134" s="1" t="str">
        <f t="shared" si="4"/>
        <v>20%</v>
      </c>
    </row>
    <row r="2135" ht="12.75" customHeight="1">
      <c r="A2135" s="3" t="s">
        <v>1039</v>
      </c>
      <c r="B2135" s="3" t="str">
        <f t="shared" si="1"/>
        <v>19, 23, NIDORINA</v>
      </c>
      <c r="C2135" s="1" t="str">
        <f t="array" ref="C2135">IF(B2134="NEW ROUTE",TEXTSPLIT(B2135,","),"")</f>
        <v/>
      </c>
      <c r="H2135" s="1" t="str">
        <f t="shared" ref="H2135:I2135" si="2137">IF(C2135&lt;&gt;"",DEC2HEX(C2135,2),"")</f>
        <v/>
      </c>
      <c r="I2135" s="1" t="str">
        <f t="shared" si="2137"/>
        <v/>
      </c>
      <c r="J2135" s="1" t="str">
        <f t="shared" si="3"/>
        <v/>
      </c>
      <c r="L2135" s="1" t="s">
        <v>1039</v>
      </c>
      <c r="M2135" s="1" t="str">
        <f t="shared" si="4"/>
        <v>19, 23, NIDORINA</v>
      </c>
    </row>
    <row r="2136" ht="12.75" customHeight="1">
      <c r="A2136" s="3" t="s">
        <v>3418</v>
      </c>
      <c r="B2136" s="3" t="str">
        <f t="shared" si="1"/>
        <v>19, 23, NIDORINO</v>
      </c>
      <c r="C2136" s="1" t="str">
        <f t="array" ref="C2136">IF(B2135="NEW ROUTE",TEXTSPLIT(B2136,","),"")</f>
        <v/>
      </c>
      <c r="H2136" s="1" t="str">
        <f t="shared" ref="H2136:I2136" si="2138">IF(C2136&lt;&gt;"",DEC2HEX(C2136,2),"")</f>
        <v/>
      </c>
      <c r="I2136" s="1" t="str">
        <f t="shared" si="2138"/>
        <v/>
      </c>
      <c r="J2136" s="1" t="str">
        <f t="shared" si="3"/>
        <v/>
      </c>
      <c r="L2136" s="1" t="s">
        <v>3418</v>
      </c>
      <c r="M2136" s="1" t="str">
        <f t="shared" si="4"/>
        <v>19, 23, NIDORINO</v>
      </c>
    </row>
    <row r="2137" ht="12.75" customHeight="1">
      <c r="A2137" s="3" t="s">
        <v>2802</v>
      </c>
      <c r="B2137" s="3" t="str">
        <f t="shared" si="1"/>
        <v>0.1</v>
      </c>
      <c r="C2137" s="1" t="str">
        <f t="array" ref="C2137">IF(B2136="NEW ROUTE",TEXTSPLIT(B2137,","),"")</f>
        <v/>
      </c>
      <c r="H2137" s="1" t="str">
        <f t="shared" ref="H2137:I2137" si="2139">IF(C2137&lt;&gt;"",DEC2HEX(C2137,2),"")</f>
        <v/>
      </c>
      <c r="I2137" s="1" t="str">
        <f t="shared" si="2139"/>
        <v/>
      </c>
      <c r="J2137" s="1" t="str">
        <f t="shared" si="3"/>
        <v/>
      </c>
      <c r="L2137" s="1" t="s">
        <v>2802</v>
      </c>
      <c r="M2137" s="1" t="str">
        <f t="shared" si="4"/>
        <v>0.1</v>
      </c>
    </row>
    <row r="2138" ht="12.75" customHeight="1">
      <c r="A2138" s="3" t="s">
        <v>3419</v>
      </c>
      <c r="B2138" s="3" t="str">
        <f t="shared" si="1"/>
        <v>18, 20, SPEAROW</v>
      </c>
      <c r="C2138" s="1" t="str">
        <f t="array" ref="C2138">IF(B2137="NEW ROUTE",TEXTSPLIT(B2138,","),"")</f>
        <v/>
      </c>
      <c r="H2138" s="1" t="str">
        <f t="shared" ref="H2138:I2138" si="2140">IF(C2138&lt;&gt;"",DEC2HEX(C2138,2),"")</f>
        <v/>
      </c>
      <c r="I2138" s="1" t="str">
        <f t="shared" si="2140"/>
        <v/>
      </c>
      <c r="J2138" s="1" t="str">
        <f t="shared" si="3"/>
        <v/>
      </c>
      <c r="L2138" s="1" t="s">
        <v>3419</v>
      </c>
      <c r="M2138" s="1" t="str">
        <f t="shared" si="4"/>
        <v>18, 20, SPEAROW</v>
      </c>
    </row>
    <row r="2139" ht="12.75" customHeight="1">
      <c r="A2139" s="3" t="s">
        <v>3420</v>
      </c>
      <c r="B2139" s="3" t="str">
        <f t="shared" si="1"/>
        <v>18, 20, CUBONE</v>
      </c>
      <c r="C2139" s="1" t="str">
        <f t="array" ref="C2139">IF(B2138="NEW ROUTE",TEXTSPLIT(B2139,","),"")</f>
        <v/>
      </c>
      <c r="H2139" s="1" t="str">
        <f t="shared" ref="H2139:I2139" si="2141">IF(C2139&lt;&gt;"",DEC2HEX(C2139,2),"")</f>
        <v/>
      </c>
      <c r="I2139" s="1" t="str">
        <f t="shared" si="2141"/>
        <v/>
      </c>
      <c r="J2139" s="1" t="str">
        <f t="shared" si="3"/>
        <v/>
      </c>
      <c r="L2139" s="1" t="s">
        <v>3420</v>
      </c>
      <c r="M2139" s="1" t="str">
        <f t="shared" si="4"/>
        <v>18, 20, CUBONE</v>
      </c>
    </row>
    <row r="2140" ht="12.75" customHeight="1">
      <c r="A2140" s="3" t="s">
        <v>3421</v>
      </c>
      <c r="B2140" s="3" t="str">
        <f t="shared" si="1"/>
        <v>18, 20, MAGNEMITE</v>
      </c>
      <c r="C2140" s="1" t="str">
        <f t="array" ref="C2140">IF(B2139="NEW ROUTE",TEXTSPLIT(B2140,","),"")</f>
        <v/>
      </c>
      <c r="H2140" s="1" t="str">
        <f t="shared" ref="H2140:I2140" si="2142">IF(C2140&lt;&gt;"",DEC2HEX(C2140,2),"")</f>
        <v/>
      </c>
      <c r="I2140" s="1" t="str">
        <f t="shared" si="2142"/>
        <v/>
      </c>
      <c r="J2140" s="1" t="str">
        <f t="shared" si="3"/>
        <v/>
      </c>
      <c r="L2140" s="1" t="s">
        <v>3421</v>
      </c>
      <c r="M2140" s="1" t="str">
        <f t="shared" si="4"/>
        <v>18, 20, MAGNEMITE</v>
      </c>
    </row>
    <row r="2141" ht="12.75" customHeight="1">
      <c r="A2141" s="3" t="s">
        <v>3422</v>
      </c>
      <c r="B2141" s="3" t="str">
        <f t="shared" si="1"/>
        <v>18, 20, POLIWAG</v>
      </c>
      <c r="C2141" s="1" t="str">
        <f t="array" ref="C2141">IF(B2140="NEW ROUTE",TEXTSPLIT(B2141,","),"")</f>
        <v/>
      </c>
      <c r="H2141" s="1" t="str">
        <f t="shared" ref="H2141:I2141" si="2143">IF(C2141&lt;&gt;"",DEC2HEX(C2141,2),"")</f>
        <v/>
      </c>
      <c r="I2141" s="1" t="str">
        <f t="shared" si="2143"/>
        <v/>
      </c>
      <c r="J2141" s="1" t="str">
        <f t="shared" si="3"/>
        <v/>
      </c>
      <c r="L2141" s="1" t="s">
        <v>3422</v>
      </c>
      <c r="M2141" s="1" t="str">
        <f t="shared" si="4"/>
        <v>18, 20, POLIWAG</v>
      </c>
    </row>
    <row r="2142" ht="12.75" customHeight="1">
      <c r="A2142" s="3" t="s">
        <v>2807</v>
      </c>
      <c r="B2142" s="3" t="str">
        <f t="shared" si="1"/>
        <v>0.05</v>
      </c>
      <c r="C2142" s="1" t="str">
        <f t="array" ref="C2142">IF(B2141="NEW ROUTE",TEXTSPLIT(B2142,","),"")</f>
        <v/>
      </c>
      <c r="H2142" s="1" t="str">
        <f t="shared" ref="H2142:I2142" si="2144">IF(C2142&lt;&gt;"",DEC2HEX(C2142,2),"")</f>
        <v/>
      </c>
      <c r="I2142" s="1" t="str">
        <f t="shared" si="2144"/>
        <v/>
      </c>
      <c r="J2142" s="1" t="str">
        <f t="shared" si="3"/>
        <v/>
      </c>
      <c r="L2142" s="1" t="s">
        <v>2807</v>
      </c>
      <c r="M2142" s="1" t="str">
        <f t="shared" si="4"/>
        <v>0.05</v>
      </c>
    </row>
    <row r="2143" ht="12.75" customHeight="1">
      <c r="A2143" s="3" t="s">
        <v>3423</v>
      </c>
      <c r="B2143" s="3" t="str">
        <f t="shared" si="1"/>
        <v>19, 19, DODUO</v>
      </c>
      <c r="C2143" s="1" t="str">
        <f t="array" ref="C2143">IF(B2142="NEW ROUTE",TEXTSPLIT(B2143,","),"")</f>
        <v/>
      </c>
      <c r="H2143" s="1" t="str">
        <f t="shared" ref="H2143:I2143" si="2145">IF(C2143&lt;&gt;"",DEC2HEX(C2143,2),"")</f>
        <v/>
      </c>
      <c r="I2143" s="1" t="str">
        <f t="shared" si="2145"/>
        <v/>
      </c>
      <c r="J2143" s="1" t="str">
        <f t="shared" si="3"/>
        <v/>
      </c>
      <c r="L2143" s="1" t="s">
        <v>3423</v>
      </c>
      <c r="M2143" s="1" t="str">
        <f t="shared" si="4"/>
        <v>19, 19, DODUO</v>
      </c>
    </row>
    <row r="2144" ht="12.75" customHeight="1">
      <c r="A2144" s="3" t="s">
        <v>3424</v>
      </c>
      <c r="B2144" s="3" t="str">
        <f t="shared" si="1"/>
        <v>19, 19, VOLTORB</v>
      </c>
      <c r="C2144" s="1" t="str">
        <f t="array" ref="C2144">IF(B2143="NEW ROUTE",TEXTSPLIT(B2144,","),"")</f>
        <v/>
      </c>
      <c r="H2144" s="1" t="str">
        <f t="shared" ref="H2144:I2144" si="2146">IF(C2144&lt;&gt;"",DEC2HEX(C2144,2),"")</f>
        <v/>
      </c>
      <c r="I2144" s="1" t="str">
        <f t="shared" si="2146"/>
        <v/>
      </c>
      <c r="J2144" s="1" t="str">
        <f t="shared" si="3"/>
        <v/>
      </c>
      <c r="L2144" s="1" t="s">
        <v>3424</v>
      </c>
      <c r="M2144" s="1" t="str">
        <f t="shared" si="4"/>
        <v>19, 19, VOLTORB</v>
      </c>
    </row>
    <row r="2145" ht="12.75" customHeight="1">
      <c r="A2145" s="3" t="s">
        <v>2810</v>
      </c>
      <c r="B2145" s="3" t="str">
        <f t="shared" si="1"/>
        <v>0.04</v>
      </c>
      <c r="C2145" s="1" t="str">
        <f t="array" ref="C2145">IF(B2144="NEW ROUTE",TEXTSPLIT(B2145,","),"")</f>
        <v/>
      </c>
      <c r="H2145" s="1" t="str">
        <f t="shared" ref="H2145:I2145" si="2147">IF(C2145&lt;&gt;"",DEC2HEX(C2145,2),"")</f>
        <v/>
      </c>
      <c r="I2145" s="1" t="str">
        <f t="shared" si="2147"/>
        <v/>
      </c>
      <c r="J2145" s="1" t="str">
        <f t="shared" si="3"/>
        <v/>
      </c>
      <c r="L2145" s="1" t="s">
        <v>2810</v>
      </c>
      <c r="M2145" s="1" t="str">
        <f t="shared" si="4"/>
        <v>0.04</v>
      </c>
    </row>
    <row r="2146" ht="12.75" customHeight="1">
      <c r="A2146" s="3" t="s">
        <v>3425</v>
      </c>
      <c r="B2146" s="3" t="str">
        <f t="shared" si="1"/>
        <v>20, 25, FEAROW</v>
      </c>
      <c r="C2146" s="1" t="str">
        <f t="array" ref="C2146">IF(B2145="NEW ROUTE",TEXTSPLIT(B2146,","),"")</f>
        <v/>
      </c>
      <c r="H2146" s="1" t="str">
        <f t="shared" ref="H2146:I2146" si="2148">IF(C2146&lt;&gt;"",DEC2HEX(C2146,2),"")</f>
        <v/>
      </c>
      <c r="I2146" s="1" t="str">
        <f t="shared" si="2148"/>
        <v/>
      </c>
      <c r="J2146" s="1" t="str">
        <f t="shared" si="3"/>
        <v/>
      </c>
      <c r="L2146" s="1" t="s">
        <v>3425</v>
      </c>
      <c r="M2146" s="1" t="str">
        <f t="shared" si="4"/>
        <v>20, 25, FEAROW</v>
      </c>
    </row>
    <row r="2147" ht="12.75" customHeight="1">
      <c r="A2147" s="3" t="s">
        <v>3426</v>
      </c>
      <c r="B2147" s="3" t="str">
        <f t="shared" si="1"/>
        <v>22, 22, POLIWHIRL</v>
      </c>
      <c r="C2147" s="1" t="str">
        <f t="array" ref="C2147">IF(B2146="NEW ROUTE",TEXTSPLIT(B2147,","),"")</f>
        <v/>
      </c>
      <c r="H2147" s="1" t="str">
        <f t="shared" ref="H2147:I2147" si="2149">IF(C2147&lt;&gt;"",DEC2HEX(C2147,2),"")</f>
        <v/>
      </c>
      <c r="I2147" s="1" t="str">
        <f t="shared" si="2149"/>
        <v/>
      </c>
      <c r="J2147" s="1" t="str">
        <f t="shared" si="3"/>
        <v/>
      </c>
      <c r="L2147" s="1" t="s">
        <v>3426</v>
      </c>
      <c r="M2147" s="1" t="str">
        <f t="shared" si="4"/>
        <v>22, 22, POLIWHIRL</v>
      </c>
    </row>
    <row r="2148" ht="12.75" customHeight="1">
      <c r="A2148" s="3" t="s">
        <v>2813</v>
      </c>
      <c r="B2148" s="3" t="str">
        <f t="shared" si="1"/>
        <v>0.01</v>
      </c>
      <c r="C2148" s="1" t="str">
        <f t="array" ref="C2148">IF(B2147="NEW ROUTE",TEXTSPLIT(B2148,","),"")</f>
        <v/>
      </c>
      <c r="H2148" s="1" t="str">
        <f t="shared" ref="H2148:I2148" si="2150">IF(C2148&lt;&gt;"",DEC2HEX(C2148,2),"")</f>
        <v/>
      </c>
      <c r="I2148" s="1" t="str">
        <f t="shared" si="2150"/>
        <v/>
      </c>
      <c r="J2148" s="1" t="str">
        <f t="shared" si="3"/>
        <v/>
      </c>
      <c r="L2148" s="1" t="s">
        <v>2813</v>
      </c>
      <c r="M2148" s="1" t="str">
        <f t="shared" si="4"/>
        <v>0.01</v>
      </c>
    </row>
    <row r="2149" ht="12.75" customHeight="1">
      <c r="A2149" s="3" t="s">
        <v>3427</v>
      </c>
      <c r="B2149" s="3" t="str">
        <f t="shared" si="1"/>
        <v>19, 21, TANGELA</v>
      </c>
      <c r="C2149" s="1" t="str">
        <f t="array" ref="C2149">IF(B2148="NEW ROUTE",TEXTSPLIT(B2149,","),"")</f>
        <v/>
      </c>
      <c r="H2149" s="1" t="str">
        <f t="shared" ref="H2149:I2149" si="2151">IF(C2149&lt;&gt;"",DEC2HEX(C2149,2),"")</f>
        <v/>
      </c>
      <c r="I2149" s="1" t="str">
        <f t="shared" si="2151"/>
        <v/>
      </c>
      <c r="J2149" s="1" t="str">
        <f t="shared" si="3"/>
        <v/>
      </c>
      <c r="L2149" s="1" t="s">
        <v>3427</v>
      </c>
      <c r="M2149" s="1" t="str">
        <f t="shared" si="4"/>
        <v>19, 21, TANGELA</v>
      </c>
    </row>
    <row r="2150" ht="12.75" customHeight="1">
      <c r="A2150" s="3" t="s">
        <v>3428</v>
      </c>
      <c r="B2150" s="3" t="str">
        <f t="shared" si="1"/>
        <v>19, 21, PONYTA</v>
      </c>
      <c r="C2150" s="1" t="str">
        <f t="array" ref="C2150">IF(B2149="NEW ROUTE",TEXTSPLIT(B2150,","),"")</f>
        <v/>
      </c>
      <c r="H2150" s="1" t="str">
        <f t="shared" ref="H2150:I2150" si="2152">IF(C2150&lt;&gt;"",DEC2HEX(C2150,2),"")</f>
        <v/>
      </c>
      <c r="I2150" s="1" t="str">
        <f t="shared" si="2152"/>
        <v/>
      </c>
      <c r="J2150" s="1" t="str">
        <f t="shared" si="3"/>
        <v/>
      </c>
      <c r="L2150" s="1" t="s">
        <v>3428</v>
      </c>
      <c r="M2150" s="1" t="str">
        <f t="shared" si="4"/>
        <v>19, 21, PONYTA</v>
      </c>
    </row>
    <row r="2151" ht="12.75" customHeight="1">
      <c r="A2151" s="3" t="s">
        <v>3350</v>
      </c>
      <c r="B2151" s="3" t="str">
        <f t="shared" si="1"/>
        <v>2, 38, 42, TENTACOOL</v>
      </c>
      <c r="C2151" s="1" t="str">
        <f t="array" ref="C2151">IF(B2150="NEW ROUTE",TEXTSPLIT(B2151,","),"")</f>
        <v/>
      </c>
      <c r="H2151" s="1" t="str">
        <f t="shared" ref="H2151:I2151" si="2153">IF(C2151&lt;&gt;"",DEC2HEX(C2151,2),"")</f>
        <v/>
      </c>
      <c r="I2151" s="1" t="str">
        <f t="shared" si="2153"/>
        <v/>
      </c>
      <c r="J2151" s="1" t="str">
        <f t="shared" si="3"/>
        <v/>
      </c>
      <c r="L2151" s="1" t="s">
        <v>3350</v>
      </c>
      <c r="M2151" s="1" t="str">
        <f t="shared" si="4"/>
        <v>2, 38, 42, TENTACOOL</v>
      </c>
    </row>
    <row r="2152" ht="12.75" customHeight="1">
      <c r="A2152" s="3" t="s">
        <v>3429</v>
      </c>
      <c r="B2152" s="3" t="str">
        <f t="shared" si="1"/>
        <v>40, 44, TENTACRUEL</v>
      </c>
      <c r="C2152" s="1" t="str">
        <f t="array" ref="C2152">IF(B2151="NEW ROUTE",TEXTSPLIT(B2152,","),"")</f>
        <v/>
      </c>
      <c r="H2152" s="1" t="str">
        <f t="shared" ref="H2152:I2152" si="2154">IF(C2152&lt;&gt;"",DEC2HEX(C2152,2),"")</f>
        <v/>
      </c>
      <c r="I2152" s="1" t="str">
        <f t="shared" si="2154"/>
        <v/>
      </c>
      <c r="J2152" s="1" t="str">
        <f t="shared" si="3"/>
        <v/>
      </c>
      <c r="L2152" s="1" t="s">
        <v>3429</v>
      </c>
      <c r="M2152" s="1" t="str">
        <f t="shared" si="4"/>
        <v>40, 44, TENTACRUEL</v>
      </c>
    </row>
    <row r="2153" ht="12.75" customHeight="1">
      <c r="A2153" s="3" t="s">
        <v>3025</v>
      </c>
      <c r="B2153" s="3" t="str">
        <f t="shared" si="1"/>
        <v>42, 46, LAPRAS</v>
      </c>
      <c r="C2153" s="1" t="str">
        <f t="array" ref="C2153">IF(B2152="NEW ROUTE",TEXTSPLIT(B2153,","),"")</f>
        <v/>
      </c>
      <c r="H2153" s="1" t="str">
        <f t="shared" ref="H2153:I2153" si="2155">IF(C2153&lt;&gt;"",DEC2HEX(C2153,2),"")</f>
        <v/>
      </c>
      <c r="I2153" s="1" t="str">
        <f t="shared" si="2155"/>
        <v/>
      </c>
      <c r="J2153" s="1" t="str">
        <f t="shared" si="3"/>
        <v/>
      </c>
      <c r="L2153" s="1" t="s">
        <v>3025</v>
      </c>
      <c r="M2153" s="1" t="str">
        <f t="shared" si="4"/>
        <v>42, 46, LAPRAS</v>
      </c>
    </row>
    <row r="2154" ht="12.75" customHeight="1">
      <c r="A2154" s="3" t="s">
        <v>3430</v>
      </c>
      <c r="B2154" s="3" t="str">
        <f t="shared" si="1"/>
        <v>42, 46, TENTACATE</v>
      </c>
      <c r="C2154" s="1" t="str">
        <f t="array" ref="C2154">IF(B2153="NEW ROUTE",TEXTSPLIT(B2154,","),"")</f>
        <v/>
      </c>
      <c r="H2154" s="1" t="str">
        <f t="shared" ref="H2154:I2154" si="2156">IF(C2154&lt;&gt;"",DEC2HEX(C2154,2),"")</f>
        <v/>
      </c>
      <c r="I2154" s="1" t="str">
        <f t="shared" si="2156"/>
        <v/>
      </c>
      <c r="J2154" s="1" t="str">
        <f t="shared" si="3"/>
        <v/>
      </c>
      <c r="L2154" s="1" t="s">
        <v>3430</v>
      </c>
      <c r="M2154" s="1" t="str">
        <f t="shared" si="4"/>
        <v>42, 46, TENTACATE</v>
      </c>
    </row>
    <row r="2155" ht="12.75" customHeight="1">
      <c r="A2155" s="3" t="s">
        <v>2925</v>
      </c>
      <c r="B2155" s="3" t="str">
        <f t="shared" si="1"/>
        <v>44, 48, VAPOREON</v>
      </c>
      <c r="C2155" s="1" t="str">
        <f t="array" ref="C2155">IF(B2154="NEW ROUTE",TEXTSPLIT(B2155,","),"")</f>
        <v/>
      </c>
      <c r="H2155" s="1" t="str">
        <f t="shared" ref="H2155:I2155" si="2157">IF(C2155&lt;&gt;"",DEC2HEX(C2155,2),"")</f>
        <v/>
      </c>
      <c r="I2155" s="1" t="str">
        <f t="shared" si="2157"/>
        <v/>
      </c>
      <c r="J2155" s="1" t="str">
        <f t="shared" si="3"/>
        <v/>
      </c>
      <c r="L2155" s="1" t="s">
        <v>2925</v>
      </c>
      <c r="M2155" s="1" t="str">
        <f t="shared" si="4"/>
        <v>44, 48, VAPOREON</v>
      </c>
    </row>
    <row r="2156" ht="12.75" customHeight="1">
      <c r="A2156" s="3" t="s">
        <v>2926</v>
      </c>
      <c r="B2156" s="3" t="str">
        <f t="shared" si="1"/>
        <v>20, old rod:</v>
      </c>
      <c r="C2156" s="1" t="str">
        <f t="array" ref="C2156">IF(B2155="NEW ROUTE",TEXTSPLIT(B2156,","),"")</f>
        <v/>
      </c>
      <c r="H2156" s="1" t="str">
        <f t="shared" ref="H2156:I2156" si="2158">IF(C2156&lt;&gt;"",DEC2HEX(C2156,2),"")</f>
        <v/>
      </c>
      <c r="I2156" s="1" t="str">
        <f t="shared" si="2158"/>
        <v/>
      </c>
      <c r="J2156" s="1" t="str">
        <f t="shared" si="3"/>
        <v/>
      </c>
      <c r="L2156" s="1" t="s">
        <v>2926</v>
      </c>
      <c r="M2156" s="1" t="str">
        <f t="shared" si="4"/>
        <v>20, old rod:</v>
      </c>
    </row>
    <row r="2157" ht="12.75" customHeight="1">
      <c r="A2157" s="3" t="s">
        <v>602</v>
      </c>
      <c r="B2157" s="3" t="str">
        <f t="shared" si="1"/>
        <v>19, 26, HORSEA</v>
      </c>
      <c r="C2157" s="1" t="str">
        <f t="array" ref="C2157">IF(B2156="NEW ROUTE",TEXTSPLIT(B2157,","),"")</f>
        <v/>
      </c>
      <c r="H2157" s="1" t="str">
        <f t="shared" ref="H2157:I2157" si="2159">IF(C2157&lt;&gt;"",DEC2HEX(C2157,2),"")</f>
        <v/>
      </c>
      <c r="I2157" s="1" t="str">
        <f t="shared" si="2159"/>
        <v/>
      </c>
      <c r="J2157" s="1" t="str">
        <f t="shared" si="3"/>
        <v/>
      </c>
      <c r="L2157" s="1" t="s">
        <v>602</v>
      </c>
      <c r="M2157" s="1" t="str">
        <f t="shared" si="4"/>
        <v>19, 26, HORSEA</v>
      </c>
    </row>
    <row r="2158" ht="12.75" customHeight="1">
      <c r="A2158" s="3" t="s">
        <v>1159</v>
      </c>
      <c r="B2158" s="3" t="str">
        <f t="shared" si="1"/>
        <v>19, 26, PSYDUCK</v>
      </c>
      <c r="C2158" s="1" t="str">
        <f t="array" ref="C2158">IF(B2157="NEW ROUTE",TEXTSPLIT(B2158,","),"")</f>
        <v/>
      </c>
      <c r="H2158" s="1" t="str">
        <f t="shared" ref="H2158:I2158" si="2160">IF(C2158&lt;&gt;"",DEC2HEX(C2158,2),"")</f>
        <v/>
      </c>
      <c r="I2158" s="1" t="str">
        <f t="shared" si="2160"/>
        <v/>
      </c>
      <c r="J2158" s="1" t="str">
        <f t="shared" si="3"/>
        <v/>
      </c>
      <c r="L2158" s="1" t="s">
        <v>1159</v>
      </c>
      <c r="M2158" s="1" t="str">
        <f t="shared" si="4"/>
        <v>19, 26, PSYDUCK</v>
      </c>
    </row>
    <row r="2159" ht="12.75" customHeight="1">
      <c r="A2159" s="3" t="s">
        <v>2847</v>
      </c>
      <c r="B2159" s="3" t="str">
        <f t="shared" si="1"/>
        <v>good rod:</v>
      </c>
      <c r="C2159" s="1" t="str">
        <f t="array" ref="C2159">IF(B2158="NEW ROUTE",TEXTSPLIT(B2159,","),"")</f>
        <v/>
      </c>
      <c r="H2159" s="1" t="str">
        <f t="shared" ref="H2159:I2159" si="2161">IF(C2159&lt;&gt;"",DEC2HEX(C2159,2),"")</f>
        <v/>
      </c>
      <c r="I2159" s="1" t="str">
        <f t="shared" si="2161"/>
        <v/>
      </c>
      <c r="J2159" s="1" t="str">
        <f t="shared" si="3"/>
        <v/>
      </c>
      <c r="L2159" s="1" t="s">
        <v>2847</v>
      </c>
      <c r="M2159" s="1" t="str">
        <f t="shared" si="4"/>
        <v>good rod:</v>
      </c>
    </row>
    <row r="2160" ht="12.75" customHeight="1">
      <c r="A2160" s="3" t="s">
        <v>3431</v>
      </c>
      <c r="B2160" s="3" t="str">
        <f t="shared" si="1"/>
        <v>29, 33, HORSEA</v>
      </c>
      <c r="C2160" s="1" t="str">
        <f t="array" ref="C2160">IF(B2159="NEW ROUTE",TEXTSPLIT(B2160,","),"")</f>
        <v/>
      </c>
      <c r="H2160" s="1" t="str">
        <f t="shared" ref="H2160:I2160" si="2162">IF(C2160&lt;&gt;"",DEC2HEX(C2160,2),"")</f>
        <v/>
      </c>
      <c r="I2160" s="1" t="str">
        <f t="shared" si="2162"/>
        <v/>
      </c>
      <c r="J2160" s="1" t="str">
        <f t="shared" si="3"/>
        <v/>
      </c>
      <c r="L2160" s="1" t="s">
        <v>3431</v>
      </c>
      <c r="M2160" s="1" t="str">
        <f t="shared" si="4"/>
        <v>29, 33, HORSEA</v>
      </c>
    </row>
    <row r="2161" ht="12.75" customHeight="1">
      <c r="A2161" s="3" t="s">
        <v>3432</v>
      </c>
      <c r="B2161" s="3" t="str">
        <f t="shared" si="1"/>
        <v>30, 35, SLOWPOKE</v>
      </c>
      <c r="C2161" s="1" t="str">
        <f t="array" ref="C2161">IF(B2160="NEW ROUTE",TEXTSPLIT(B2161,","),"")</f>
        <v/>
      </c>
      <c r="H2161" s="1" t="str">
        <f t="shared" ref="H2161:I2161" si="2163">IF(C2161&lt;&gt;"",DEC2HEX(C2161,2),"")</f>
        <v/>
      </c>
      <c r="I2161" s="1" t="str">
        <f t="shared" si="2163"/>
        <v/>
      </c>
      <c r="J2161" s="1" t="str">
        <f t="shared" si="3"/>
        <v/>
      </c>
      <c r="L2161" s="1" t="s">
        <v>3432</v>
      </c>
      <c r="M2161" s="1" t="str">
        <f t="shared" si="4"/>
        <v>30, 35, SLOWPOKE</v>
      </c>
    </row>
    <row r="2162" ht="12.75" customHeight="1">
      <c r="A2162" s="3" t="s">
        <v>3355</v>
      </c>
      <c r="B2162" s="3" t="str">
        <f t="shared" si="1"/>
        <v>30, 35, PSYDUCK</v>
      </c>
      <c r="C2162" s="1" t="str">
        <f t="array" ref="C2162">IF(B2161="NEW ROUTE",TEXTSPLIT(B2162,","),"")</f>
        <v/>
      </c>
      <c r="H2162" s="1" t="str">
        <f t="shared" ref="H2162:I2162" si="2164">IF(C2162&lt;&gt;"",DEC2HEX(C2162,2),"")</f>
        <v/>
      </c>
      <c r="I2162" s="1" t="str">
        <f t="shared" si="2164"/>
        <v/>
      </c>
      <c r="J2162" s="1" t="str">
        <f t="shared" si="3"/>
        <v/>
      </c>
      <c r="L2162" s="1" t="s">
        <v>3355</v>
      </c>
      <c r="M2162" s="1" t="str">
        <f t="shared" si="4"/>
        <v>30, 35, PSYDUCK</v>
      </c>
    </row>
    <row r="2163" ht="12.75" customHeight="1">
      <c r="A2163" s="3" t="s">
        <v>2851</v>
      </c>
      <c r="B2163" s="3" t="str">
        <f t="shared" si="1"/>
        <v>super rod:</v>
      </c>
      <c r="C2163" s="1" t="str">
        <f t="array" ref="C2163">IF(B2162="NEW ROUTE",TEXTSPLIT(B2163,","),"")</f>
        <v/>
      </c>
      <c r="H2163" s="1" t="str">
        <f t="shared" ref="H2163:I2163" si="2165">IF(C2163&lt;&gt;"",DEC2HEX(C2163,2),"")</f>
        <v/>
      </c>
      <c r="I2163" s="1" t="str">
        <f t="shared" si="2165"/>
        <v/>
      </c>
      <c r="J2163" s="1" t="str">
        <f t="shared" si="3"/>
        <v/>
      </c>
      <c r="L2163" s="1" t="s">
        <v>2851</v>
      </c>
      <c r="M2163" s="1" t="str">
        <f t="shared" si="4"/>
        <v>super rod:</v>
      </c>
    </row>
    <row r="2164" ht="12.75" customHeight="1">
      <c r="A2164" s="3" t="s">
        <v>3433</v>
      </c>
      <c r="B2164" s="3" t="str">
        <f t="shared" si="1"/>
        <v>36, 40, SEADRA</v>
      </c>
      <c r="C2164" s="1" t="str">
        <f t="array" ref="C2164">IF(B2163="NEW ROUTE",TEXTSPLIT(B2164,","),"")</f>
        <v/>
      </c>
      <c r="H2164" s="1" t="str">
        <f t="shared" ref="H2164:I2164" si="2166">IF(C2164&lt;&gt;"",DEC2HEX(C2164,2),"")</f>
        <v/>
      </c>
      <c r="I2164" s="1" t="str">
        <f t="shared" si="2166"/>
        <v/>
      </c>
      <c r="J2164" s="1" t="str">
        <f t="shared" si="3"/>
        <v/>
      </c>
      <c r="L2164" s="1" t="s">
        <v>3433</v>
      </c>
      <c r="M2164" s="1" t="str">
        <f t="shared" si="4"/>
        <v>36, 40, SEADRA</v>
      </c>
    </row>
    <row r="2165" ht="12.75" customHeight="1">
      <c r="A2165" s="3" t="s">
        <v>3434</v>
      </c>
      <c r="B2165" s="3" t="str">
        <f t="shared" si="1"/>
        <v>36, 40, GOLDUCK</v>
      </c>
      <c r="C2165" s="1" t="str">
        <f t="array" ref="C2165">IF(B2164="NEW ROUTE",TEXTSPLIT(B2165,","),"")</f>
        <v/>
      </c>
      <c r="H2165" s="1" t="str">
        <f t="shared" ref="H2165:I2165" si="2167">IF(C2165&lt;&gt;"",DEC2HEX(C2165,2),"")</f>
        <v/>
      </c>
      <c r="I2165" s="1" t="str">
        <f t="shared" si="2167"/>
        <v/>
      </c>
      <c r="J2165" s="1" t="str">
        <f t="shared" si="3"/>
        <v/>
      </c>
      <c r="L2165" s="1" t="s">
        <v>3434</v>
      </c>
      <c r="M2165" s="1" t="str">
        <f t="shared" si="4"/>
        <v>36, 40, GOLDUCK</v>
      </c>
    </row>
    <row r="2166" ht="12.75" customHeight="1">
      <c r="A2166" s="3" t="s">
        <v>3435</v>
      </c>
      <c r="B2166" s="3" t="str">
        <f t="shared" si="1"/>
        <v>38, 42, SLOWBRO</v>
      </c>
      <c r="C2166" s="1" t="str">
        <f t="array" ref="C2166">IF(B2165="NEW ROUTE",TEXTSPLIT(B2166,","),"")</f>
        <v/>
      </c>
      <c r="H2166" s="1" t="str">
        <f t="shared" ref="H2166:I2166" si="2168">IF(C2166&lt;&gt;"",DEC2HEX(C2166,2),"")</f>
        <v/>
      </c>
      <c r="I2166" s="1" t="str">
        <f t="shared" si="2168"/>
        <v/>
      </c>
      <c r="J2166" s="1" t="str">
        <f t="shared" si="3"/>
        <v/>
      </c>
      <c r="L2166" s="1" t="s">
        <v>3435</v>
      </c>
      <c r="M2166" s="1" t="str">
        <f t="shared" si="4"/>
        <v>38, 42, SLOWBRO</v>
      </c>
    </row>
    <row r="2167" ht="12.75" customHeight="1">
      <c r="A2167" s="3" t="s">
        <v>3436</v>
      </c>
      <c r="B2167" s="3" t="str">
        <f t="shared" si="1"/>
        <v>38, 42, KINGDRA</v>
      </c>
      <c r="C2167" s="1" t="str">
        <f t="array" ref="C2167">IF(B2166="NEW ROUTE",TEXTSPLIT(B2167,","),"")</f>
        <v/>
      </c>
      <c r="H2167" s="1" t="str">
        <f t="shared" ref="H2167:I2167" si="2169">IF(C2167&lt;&gt;"",DEC2HEX(C2167,2),"")</f>
        <v/>
      </c>
      <c r="I2167" s="1" t="str">
        <f t="shared" si="2169"/>
        <v/>
      </c>
      <c r="J2167" s="1" t="str">
        <f t="shared" si="3"/>
        <v/>
      </c>
      <c r="L2167" s="1" t="s">
        <v>3436</v>
      </c>
      <c r="M2167" s="1" t="str">
        <f t="shared" si="4"/>
        <v>38, 42, KINGDRA</v>
      </c>
    </row>
    <row r="2168" ht="12.75" customHeight="1">
      <c r="A2168" s="3" t="s">
        <v>3437</v>
      </c>
      <c r="B2168" s="3" t="str">
        <f t="shared" si="1"/>
        <v>40, 44, GILDUCK</v>
      </c>
      <c r="C2168" s="1" t="str">
        <f t="array" ref="C2168">IF(B2167="NEW ROUTE",TEXTSPLIT(B2168,","),"")</f>
        <v/>
      </c>
      <c r="H2168" s="1" t="str">
        <f t="shared" ref="H2168:I2168" si="2170">IF(C2168&lt;&gt;"",DEC2HEX(C2168,2),"")</f>
        <v/>
      </c>
      <c r="I2168" s="1" t="str">
        <f t="shared" si="2170"/>
        <v/>
      </c>
      <c r="J2168" s="1" t="str">
        <f t="shared" si="3"/>
        <v/>
      </c>
      <c r="L2168" s="1" t="s">
        <v>3437</v>
      </c>
      <c r="M2168" s="1" t="str">
        <f t="shared" si="4"/>
        <v>40, 44, GILDUCK</v>
      </c>
    </row>
    <row r="2169" ht="12.75" customHeight="1">
      <c r="A2169" s="3" t="s">
        <v>2539</v>
      </c>
      <c r="B2169" s="3" t="str">
        <f t="shared" si="1"/>
        <v>NEW ROUTE</v>
      </c>
      <c r="C2169" s="1" t="str">
        <f t="array" ref="C2169">IF(B2168="NEW ROUTE",TEXTSPLIT(B2169,","),"")</f>
        <v/>
      </c>
      <c r="H2169" s="1" t="str">
        <f t="shared" ref="H2169:I2169" si="2171">IF(C2169&lt;&gt;"",DEC2HEX(C2169,2),"")</f>
        <v/>
      </c>
      <c r="I2169" s="1" t="str">
        <f t="shared" si="2171"/>
        <v/>
      </c>
      <c r="J2169" s="1" t="str">
        <f t="shared" si="3"/>
        <v/>
      </c>
      <c r="L2169" s="1" t="s">
        <v>2539</v>
      </c>
      <c r="M2169" s="1" t="str">
        <f t="shared" si="4"/>
        <v>NEW ROUTE</v>
      </c>
    </row>
    <row r="2170" ht="12.75" customHeight="1">
      <c r="A2170" s="3" t="s">
        <v>3438</v>
      </c>
      <c r="B2170" s="3" t="str">
        <f t="shared" si="1"/>
        <v>3, 29, 0,</v>
      </c>
      <c r="C2170" s="1" t="str">
        <f t="array" ref="C2170">IF(B2169="NEW ROUTE",TEXTSPLIT(B2170,","),"")</f>
        <v>#NAME?</v>
      </c>
      <c r="H2170" s="1" t="str">
        <f t="shared" ref="H2170:I2170" si="2172">IF(C2170&lt;&gt;"",DEC2HEX(C2170,2),"")</f>
        <v>#NAME?</v>
      </c>
      <c r="I2170" s="1" t="str">
        <f t="shared" si="2172"/>
        <v/>
      </c>
      <c r="J2170" s="1" t="str">
        <f t="shared" si="3"/>
        <v>#NAME?</v>
      </c>
      <c r="L2170" s="1" t="s">
        <v>3438</v>
      </c>
      <c r="M2170" s="1" t="str">
        <f t="shared" si="4"/>
        <v>#NAME?</v>
      </c>
    </row>
    <row r="2171" ht="12.75" customHeight="1">
      <c r="A2171" s="3" t="s">
        <v>2909</v>
      </c>
      <c r="B2171" s="3" t="str">
        <f t="shared" si="1"/>
        <v>20%</v>
      </c>
      <c r="C2171" s="1" t="str">
        <f t="array" ref="C2171">IF(B2170="NEW ROUTE",TEXTSPLIT(B2171,","),"")</f>
        <v/>
      </c>
      <c r="H2171" s="1" t="str">
        <f t="shared" ref="H2171:I2171" si="2173">IF(C2171&lt;&gt;"",DEC2HEX(C2171,2),"")</f>
        <v/>
      </c>
      <c r="I2171" s="1" t="str">
        <f t="shared" si="2173"/>
        <v/>
      </c>
      <c r="J2171" s="1" t="str">
        <f t="shared" si="3"/>
        <v/>
      </c>
      <c r="L2171" s="1" t="s">
        <v>2799</v>
      </c>
      <c r="M2171" s="1" t="str">
        <f t="shared" si="4"/>
        <v>20%</v>
      </c>
    </row>
    <row r="2172" ht="12.75" customHeight="1">
      <c r="A2172" s="3" t="s">
        <v>1062</v>
      </c>
      <c r="B2172" s="3" t="str">
        <f t="shared" si="1"/>
        <v>16, 18, EKANS</v>
      </c>
      <c r="C2172" s="1" t="str">
        <f t="array" ref="C2172">IF(B2171="NEW ROUTE",TEXTSPLIT(B2172,","),"")</f>
        <v/>
      </c>
      <c r="H2172" s="1" t="str">
        <f t="shared" ref="H2172:I2172" si="2174">IF(C2172&lt;&gt;"",DEC2HEX(C2172,2),"")</f>
        <v/>
      </c>
      <c r="I2172" s="1" t="str">
        <f t="shared" si="2174"/>
        <v/>
      </c>
      <c r="J2172" s="1" t="str">
        <f t="shared" si="3"/>
        <v/>
      </c>
      <c r="L2172" s="1" t="s">
        <v>1062</v>
      </c>
      <c r="M2172" s="1" t="str">
        <f t="shared" si="4"/>
        <v>16, 18, EKANS</v>
      </c>
    </row>
    <row r="2173" ht="12.75" customHeight="1">
      <c r="A2173" s="3" t="s">
        <v>3439</v>
      </c>
      <c r="B2173" s="3" t="str">
        <f t="shared" si="1"/>
        <v>16, 18, SPEAROW</v>
      </c>
      <c r="C2173" s="1" t="str">
        <f t="array" ref="C2173">IF(B2172="NEW ROUTE",TEXTSPLIT(B2173,","),"")</f>
        <v/>
      </c>
      <c r="H2173" s="1" t="str">
        <f t="shared" ref="H2173:I2173" si="2175">IF(C2173&lt;&gt;"",DEC2HEX(C2173,2),"")</f>
        <v/>
      </c>
      <c r="I2173" s="1" t="str">
        <f t="shared" si="2175"/>
        <v/>
      </c>
      <c r="J2173" s="1" t="str">
        <f t="shared" si="3"/>
        <v/>
      </c>
      <c r="L2173" s="1" t="s">
        <v>3439</v>
      </c>
      <c r="M2173" s="1" t="str">
        <f t="shared" si="4"/>
        <v>16, 18, SPEAROW</v>
      </c>
    </row>
    <row r="2174" ht="12.75" customHeight="1">
      <c r="A2174" s="3" t="s">
        <v>2802</v>
      </c>
      <c r="B2174" s="3" t="str">
        <f t="shared" si="1"/>
        <v>0.1</v>
      </c>
      <c r="C2174" s="1" t="str">
        <f t="array" ref="C2174">IF(B2173="NEW ROUTE",TEXTSPLIT(B2174,","),"")</f>
        <v/>
      </c>
      <c r="H2174" s="1" t="str">
        <f t="shared" ref="H2174:I2174" si="2176">IF(C2174&lt;&gt;"",DEC2HEX(C2174,2),"")</f>
        <v/>
      </c>
      <c r="I2174" s="1" t="str">
        <f t="shared" si="2176"/>
        <v/>
      </c>
      <c r="J2174" s="1" t="str">
        <f t="shared" si="3"/>
        <v/>
      </c>
      <c r="L2174" s="1" t="s">
        <v>2802</v>
      </c>
      <c r="M2174" s="1" t="str">
        <f t="shared" si="4"/>
        <v>0.1</v>
      </c>
    </row>
    <row r="2175" ht="12.75" customHeight="1">
      <c r="A2175" s="3" t="s">
        <v>3440</v>
      </c>
      <c r="B2175" s="3" t="str">
        <f t="shared" si="1"/>
        <v>17, 20, SANDSHREW</v>
      </c>
      <c r="C2175" s="1" t="str">
        <f t="array" ref="C2175">IF(B2174="NEW ROUTE",TEXTSPLIT(B2175,","),"")</f>
        <v/>
      </c>
      <c r="H2175" s="1" t="str">
        <f t="shared" ref="H2175:I2175" si="2177">IF(C2175&lt;&gt;"",DEC2HEX(C2175,2),"")</f>
        <v/>
      </c>
      <c r="I2175" s="1" t="str">
        <f t="shared" si="2177"/>
        <v/>
      </c>
      <c r="J2175" s="1" t="str">
        <f t="shared" si="3"/>
        <v/>
      </c>
      <c r="L2175" s="1" t="s">
        <v>3440</v>
      </c>
      <c r="M2175" s="1" t="str">
        <f t="shared" si="4"/>
        <v>17, 20, SANDSHREW</v>
      </c>
    </row>
    <row r="2176" ht="12.75" customHeight="1">
      <c r="A2176" s="3" t="s">
        <v>3441</v>
      </c>
      <c r="B2176" s="3" t="str">
        <f t="shared" si="1"/>
        <v>17, 20, DROWZEE</v>
      </c>
      <c r="C2176" s="1" t="str">
        <f t="array" ref="C2176">IF(B2175="NEW ROUTE",TEXTSPLIT(B2176,","),"")</f>
        <v/>
      </c>
      <c r="H2176" s="1" t="str">
        <f t="shared" ref="H2176:I2176" si="2178">IF(C2176&lt;&gt;"",DEC2HEX(C2176,2),"")</f>
        <v/>
      </c>
      <c r="I2176" s="1" t="str">
        <f t="shared" si="2178"/>
        <v/>
      </c>
      <c r="J2176" s="1" t="str">
        <f t="shared" si="3"/>
        <v/>
      </c>
      <c r="L2176" s="1" t="s">
        <v>3441</v>
      </c>
      <c r="M2176" s="1" t="str">
        <f t="shared" si="4"/>
        <v>17, 20, DROWZEE</v>
      </c>
    </row>
    <row r="2177" ht="12.75" customHeight="1">
      <c r="A2177" s="3" t="s">
        <v>3442</v>
      </c>
      <c r="B2177" s="3" t="str">
        <f t="shared" si="1"/>
        <v>17, 20, MAGNEMITE</v>
      </c>
      <c r="C2177" s="1" t="str">
        <f t="array" ref="C2177">IF(B2176="NEW ROUTE",TEXTSPLIT(B2177,","),"")</f>
        <v/>
      </c>
      <c r="H2177" s="1" t="str">
        <f t="shared" ref="H2177:I2177" si="2179">IF(C2177&lt;&gt;"",DEC2HEX(C2177,2),"")</f>
        <v/>
      </c>
      <c r="I2177" s="1" t="str">
        <f t="shared" si="2179"/>
        <v/>
      </c>
      <c r="J2177" s="1" t="str">
        <f t="shared" si="3"/>
        <v/>
      </c>
      <c r="L2177" s="1" t="s">
        <v>3442</v>
      </c>
      <c r="M2177" s="1" t="str">
        <f t="shared" si="4"/>
        <v>17, 20, MAGNEMITE</v>
      </c>
    </row>
    <row r="2178" ht="12.75" customHeight="1">
      <c r="A2178" s="3" t="s">
        <v>3443</v>
      </c>
      <c r="B2178" s="3" t="str">
        <f t="shared" si="1"/>
        <v>17, 20, VOLTORB</v>
      </c>
      <c r="C2178" s="1" t="str">
        <f t="array" ref="C2178">IF(B2177="NEW ROUTE",TEXTSPLIT(B2178,","),"")</f>
        <v/>
      </c>
      <c r="H2178" s="1" t="str">
        <f t="shared" ref="H2178:I2178" si="2180">IF(C2178&lt;&gt;"",DEC2HEX(C2178,2),"")</f>
        <v/>
      </c>
      <c r="I2178" s="1" t="str">
        <f t="shared" si="2180"/>
        <v/>
      </c>
      <c r="J2178" s="1" t="str">
        <f t="shared" si="3"/>
        <v/>
      </c>
      <c r="L2178" s="1" t="s">
        <v>3443</v>
      </c>
      <c r="M2178" s="1" t="str">
        <f t="shared" si="4"/>
        <v>17, 20, VOLTORB</v>
      </c>
    </row>
    <row r="2179" ht="12.75" customHeight="1">
      <c r="A2179" s="3" t="s">
        <v>2807</v>
      </c>
      <c r="B2179" s="3" t="str">
        <f t="shared" si="1"/>
        <v>0.05</v>
      </c>
      <c r="C2179" s="1" t="str">
        <f t="array" ref="C2179">IF(B2178="NEW ROUTE",TEXTSPLIT(B2179,","),"")</f>
        <v/>
      </c>
      <c r="H2179" s="1" t="str">
        <f t="shared" ref="H2179:I2179" si="2181">IF(C2179&lt;&gt;"",DEC2HEX(C2179,2),"")</f>
        <v/>
      </c>
      <c r="I2179" s="1" t="str">
        <f t="shared" si="2181"/>
        <v/>
      </c>
      <c r="J2179" s="1" t="str">
        <f t="shared" si="3"/>
        <v/>
      </c>
      <c r="L2179" s="1" t="s">
        <v>2807</v>
      </c>
      <c r="M2179" s="1" t="str">
        <f t="shared" si="4"/>
        <v>0.05</v>
      </c>
    </row>
    <row r="2180" ht="12.75" customHeight="1">
      <c r="A2180" s="3" t="s">
        <v>3444</v>
      </c>
      <c r="B2180" s="3" t="str">
        <f t="shared" si="1"/>
        <v>18, 18, FARFETCH'D</v>
      </c>
      <c r="C2180" s="1" t="str">
        <f t="array" ref="C2180">IF(B2179="NEW ROUTE",TEXTSPLIT(B2180,","),"")</f>
        <v/>
      </c>
      <c r="H2180" s="1" t="str">
        <f t="shared" ref="H2180:I2180" si="2182">IF(C2180&lt;&gt;"",DEC2HEX(C2180,2),"")</f>
        <v/>
      </c>
      <c r="I2180" s="1" t="str">
        <f t="shared" si="2182"/>
        <v/>
      </c>
      <c r="J2180" s="1" t="str">
        <f t="shared" si="3"/>
        <v/>
      </c>
      <c r="L2180" s="1" t="s">
        <v>3444</v>
      </c>
      <c r="M2180" s="1" t="str">
        <f t="shared" si="4"/>
        <v>18, 18, FARFETCH'D</v>
      </c>
    </row>
    <row r="2181" ht="12.75" customHeight="1">
      <c r="A2181" s="3" t="s">
        <v>3445</v>
      </c>
      <c r="B2181" s="3" t="str">
        <f t="shared" si="1"/>
        <v>18, 18, ABRA</v>
      </c>
      <c r="C2181" s="1" t="str">
        <f t="array" ref="C2181">IF(B2180="NEW ROUTE",TEXTSPLIT(B2181,","),"")</f>
        <v/>
      </c>
      <c r="H2181" s="1" t="str">
        <f t="shared" ref="H2181:I2181" si="2183">IF(C2181&lt;&gt;"",DEC2HEX(C2181,2),"")</f>
        <v/>
      </c>
      <c r="I2181" s="1" t="str">
        <f t="shared" si="2183"/>
        <v/>
      </c>
      <c r="J2181" s="1" t="str">
        <f t="shared" si="3"/>
        <v/>
      </c>
      <c r="L2181" s="1" t="s">
        <v>3445</v>
      </c>
      <c r="M2181" s="1" t="str">
        <f t="shared" si="4"/>
        <v>18, 18, ABRA</v>
      </c>
    </row>
    <row r="2182" ht="12.75" customHeight="1">
      <c r="A2182" s="3" t="s">
        <v>2810</v>
      </c>
      <c r="B2182" s="3" t="str">
        <f t="shared" si="1"/>
        <v>0.04</v>
      </c>
      <c r="C2182" s="1" t="str">
        <f t="array" ref="C2182">IF(B2181="NEW ROUTE",TEXTSPLIT(B2182,","),"")</f>
        <v/>
      </c>
      <c r="H2182" s="1" t="str">
        <f t="shared" ref="H2182:I2182" si="2184">IF(C2182&lt;&gt;"",DEC2HEX(C2182,2),"")</f>
        <v/>
      </c>
      <c r="I2182" s="1" t="str">
        <f t="shared" si="2184"/>
        <v/>
      </c>
      <c r="J2182" s="1" t="str">
        <f t="shared" si="3"/>
        <v/>
      </c>
      <c r="L2182" s="1" t="s">
        <v>2810</v>
      </c>
      <c r="M2182" s="1" t="str">
        <f t="shared" si="4"/>
        <v>0.04</v>
      </c>
    </row>
    <row r="2183" ht="12.75" customHeight="1">
      <c r="A2183" s="3" t="s">
        <v>3446</v>
      </c>
      <c r="B2183" s="3" t="str">
        <f t="shared" si="1"/>
        <v>15, 19, PIKACHU</v>
      </c>
      <c r="C2183" s="1" t="str">
        <f t="array" ref="C2183">IF(B2182="NEW ROUTE",TEXTSPLIT(B2183,","),"")</f>
        <v/>
      </c>
      <c r="H2183" s="1" t="str">
        <f t="shared" ref="H2183:I2183" si="2185">IF(C2183&lt;&gt;"",DEC2HEX(C2183,2),"")</f>
        <v/>
      </c>
      <c r="I2183" s="1" t="str">
        <f t="shared" si="2185"/>
        <v/>
      </c>
      <c r="J2183" s="1" t="str">
        <f t="shared" si="3"/>
        <v/>
      </c>
      <c r="L2183" s="1" t="s">
        <v>3446</v>
      </c>
      <c r="M2183" s="1" t="str">
        <f t="shared" si="4"/>
        <v>15, 19, PIKACHU</v>
      </c>
    </row>
    <row r="2184" ht="12.75" customHeight="1">
      <c r="A2184" s="3" t="s">
        <v>3447</v>
      </c>
      <c r="B2184" s="3" t="str">
        <f t="shared" si="1"/>
        <v>15, 19, KADABRA</v>
      </c>
      <c r="C2184" s="1" t="str">
        <f t="array" ref="C2184">IF(B2183="NEW ROUTE",TEXTSPLIT(B2184,","),"")</f>
        <v/>
      </c>
      <c r="H2184" s="1" t="str">
        <f t="shared" ref="H2184:I2184" si="2186">IF(C2184&lt;&gt;"",DEC2HEX(C2184,2),"")</f>
        <v/>
      </c>
      <c r="I2184" s="1" t="str">
        <f t="shared" si="2186"/>
        <v/>
      </c>
      <c r="J2184" s="1" t="str">
        <f t="shared" si="3"/>
        <v/>
      </c>
      <c r="L2184" s="1" t="s">
        <v>3447</v>
      </c>
      <c r="M2184" s="1" t="str">
        <f t="shared" si="4"/>
        <v>15, 19, KADABRA</v>
      </c>
    </row>
    <row r="2185" ht="12.75" customHeight="1">
      <c r="A2185" s="3" t="s">
        <v>2813</v>
      </c>
      <c r="B2185" s="3" t="str">
        <f t="shared" si="1"/>
        <v>0.01</v>
      </c>
      <c r="C2185" s="1" t="str">
        <f t="array" ref="C2185">IF(B2184="NEW ROUTE",TEXTSPLIT(B2185,","),"")</f>
        <v/>
      </c>
      <c r="H2185" s="1" t="str">
        <f t="shared" ref="H2185:I2185" si="2187">IF(C2185&lt;&gt;"",DEC2HEX(C2185,2),"")</f>
        <v/>
      </c>
      <c r="I2185" s="1" t="str">
        <f t="shared" si="2187"/>
        <v/>
      </c>
      <c r="J2185" s="1" t="str">
        <f t="shared" si="3"/>
        <v/>
      </c>
      <c r="L2185" s="1" t="s">
        <v>2813</v>
      </c>
      <c r="M2185" s="1" t="str">
        <f t="shared" si="4"/>
        <v>0.01</v>
      </c>
    </row>
    <row r="2186" ht="12.75" customHeight="1">
      <c r="A2186" s="3" t="s">
        <v>3448</v>
      </c>
      <c r="B2186" s="3" t="str">
        <f t="shared" si="1"/>
        <v>22, 22, ARBOK</v>
      </c>
      <c r="C2186" s="1" t="str">
        <f t="array" ref="C2186">IF(B2185="NEW ROUTE",TEXTSPLIT(B2186,","),"")</f>
        <v/>
      </c>
      <c r="H2186" s="1" t="str">
        <f t="shared" ref="H2186:I2186" si="2188">IF(C2186&lt;&gt;"",DEC2HEX(C2186,2),"")</f>
        <v/>
      </c>
      <c r="I2186" s="1" t="str">
        <f t="shared" si="2188"/>
        <v/>
      </c>
      <c r="J2186" s="1" t="str">
        <f t="shared" si="3"/>
        <v/>
      </c>
      <c r="L2186" s="1" t="s">
        <v>3448</v>
      </c>
      <c r="M2186" s="1" t="str">
        <f t="shared" si="4"/>
        <v>22, 22, ARBOK</v>
      </c>
    </row>
    <row r="2187" ht="12.75" customHeight="1">
      <c r="A2187" s="3" t="s">
        <v>3449</v>
      </c>
      <c r="B2187" s="3" t="str">
        <f t="shared" si="1"/>
        <v>22, 22, LICKITUNG</v>
      </c>
      <c r="C2187" s="1" t="str">
        <f t="array" ref="C2187">IF(B2186="NEW ROUTE",TEXTSPLIT(B2187,","),"")</f>
        <v/>
      </c>
      <c r="H2187" s="1" t="str">
        <f t="shared" ref="H2187:I2187" si="2189">IF(C2187&lt;&gt;"",DEC2HEX(C2187,2),"")</f>
        <v/>
      </c>
      <c r="I2187" s="1" t="str">
        <f t="shared" si="2189"/>
        <v/>
      </c>
      <c r="J2187" s="1" t="str">
        <f t="shared" si="3"/>
        <v/>
      </c>
      <c r="L2187" s="1" t="s">
        <v>3449</v>
      </c>
      <c r="M2187" s="1" t="str">
        <f t="shared" si="4"/>
        <v>22, 22, LICKITUNG</v>
      </c>
    </row>
    <row r="2188" ht="12.75" customHeight="1">
      <c r="A2188" s="3" t="s">
        <v>3350</v>
      </c>
      <c r="B2188" s="3" t="str">
        <f t="shared" si="1"/>
        <v>2, 38, 42, TENTACOOL</v>
      </c>
      <c r="C2188" s="1" t="str">
        <f t="array" ref="C2188">IF(B2187="NEW ROUTE",TEXTSPLIT(B2188,","),"")</f>
        <v/>
      </c>
      <c r="H2188" s="1" t="str">
        <f t="shared" ref="H2188:I2188" si="2190">IF(C2188&lt;&gt;"",DEC2HEX(C2188,2),"")</f>
        <v/>
      </c>
      <c r="I2188" s="1" t="str">
        <f t="shared" si="2190"/>
        <v/>
      </c>
      <c r="J2188" s="1" t="str">
        <f t="shared" si="3"/>
        <v/>
      </c>
      <c r="L2188" s="1" t="s">
        <v>3350</v>
      </c>
      <c r="M2188" s="1" t="str">
        <f t="shared" si="4"/>
        <v>2, 38, 42, TENTACOOL</v>
      </c>
    </row>
    <row r="2189" ht="12.75" customHeight="1">
      <c r="A2189" s="3" t="s">
        <v>3429</v>
      </c>
      <c r="B2189" s="3" t="str">
        <f t="shared" si="1"/>
        <v>40, 44, TENTACRUEL</v>
      </c>
      <c r="C2189" s="1" t="str">
        <f t="array" ref="C2189">IF(B2188="NEW ROUTE",TEXTSPLIT(B2189,","),"")</f>
        <v/>
      </c>
      <c r="H2189" s="1" t="str">
        <f t="shared" ref="H2189:I2189" si="2191">IF(C2189&lt;&gt;"",DEC2HEX(C2189,2),"")</f>
        <v/>
      </c>
      <c r="I2189" s="1" t="str">
        <f t="shared" si="2191"/>
        <v/>
      </c>
      <c r="J2189" s="1" t="str">
        <f t="shared" si="3"/>
        <v/>
      </c>
      <c r="L2189" s="1" t="s">
        <v>3429</v>
      </c>
      <c r="M2189" s="1" t="str">
        <f t="shared" si="4"/>
        <v>40, 44, TENTACRUEL</v>
      </c>
    </row>
    <row r="2190" ht="12.75" customHeight="1">
      <c r="A2190" s="3" t="s">
        <v>3025</v>
      </c>
      <c r="B2190" s="3" t="str">
        <f t="shared" si="1"/>
        <v>42, 46, LAPRAS</v>
      </c>
      <c r="C2190" s="1" t="str">
        <f t="array" ref="C2190">IF(B2189="NEW ROUTE",TEXTSPLIT(B2190,","),"")</f>
        <v/>
      </c>
      <c r="H2190" s="1" t="str">
        <f t="shared" ref="H2190:I2190" si="2192">IF(C2190&lt;&gt;"",DEC2HEX(C2190,2),"")</f>
        <v/>
      </c>
      <c r="I2190" s="1" t="str">
        <f t="shared" si="2192"/>
        <v/>
      </c>
      <c r="J2190" s="1" t="str">
        <f t="shared" si="3"/>
        <v/>
      </c>
      <c r="L2190" s="1" t="s">
        <v>3025</v>
      </c>
      <c r="M2190" s="1" t="str">
        <f t="shared" si="4"/>
        <v>42, 46, LAPRAS</v>
      </c>
    </row>
    <row r="2191" ht="12.75" customHeight="1">
      <c r="A2191" s="3" t="s">
        <v>3430</v>
      </c>
      <c r="B2191" s="3" t="str">
        <f t="shared" si="1"/>
        <v>42, 46, TENTACATE</v>
      </c>
      <c r="C2191" s="1" t="str">
        <f t="array" ref="C2191">IF(B2190="NEW ROUTE",TEXTSPLIT(B2191,","),"")</f>
        <v/>
      </c>
      <c r="H2191" s="1" t="str">
        <f t="shared" ref="H2191:I2191" si="2193">IF(C2191&lt;&gt;"",DEC2HEX(C2191,2),"")</f>
        <v/>
      </c>
      <c r="I2191" s="1" t="str">
        <f t="shared" si="2193"/>
        <v/>
      </c>
      <c r="J2191" s="1" t="str">
        <f t="shared" si="3"/>
        <v/>
      </c>
      <c r="L2191" s="1" t="s">
        <v>3430</v>
      </c>
      <c r="M2191" s="1" t="str">
        <f t="shared" si="4"/>
        <v>42, 46, TENTACATE</v>
      </c>
    </row>
    <row r="2192" ht="12.75" customHeight="1">
      <c r="A2192" s="3" t="s">
        <v>3450</v>
      </c>
      <c r="B2192" s="3" t="str">
        <f t="shared" si="1"/>
        <v>44, 48, LOCHLASS</v>
      </c>
      <c r="C2192" s="1" t="str">
        <f t="array" ref="C2192">IF(B2191="NEW ROUTE",TEXTSPLIT(B2192,","),"")</f>
        <v/>
      </c>
      <c r="H2192" s="1" t="str">
        <f t="shared" ref="H2192:I2192" si="2194">IF(C2192&lt;&gt;"",DEC2HEX(C2192,2),"")</f>
        <v/>
      </c>
      <c r="I2192" s="1" t="str">
        <f t="shared" si="2194"/>
        <v/>
      </c>
      <c r="J2192" s="1" t="str">
        <f t="shared" si="3"/>
        <v/>
      </c>
      <c r="L2192" s="1" t="s">
        <v>3450</v>
      </c>
      <c r="M2192" s="1" t="str">
        <f t="shared" si="4"/>
        <v>44, 48, LOCHLASS</v>
      </c>
    </row>
    <row r="2193" ht="12.75" customHeight="1">
      <c r="A2193" s="3" t="s">
        <v>2926</v>
      </c>
      <c r="B2193" s="3" t="str">
        <f t="shared" si="1"/>
        <v>20, old rod:</v>
      </c>
      <c r="C2193" s="1" t="str">
        <f t="array" ref="C2193">IF(B2192="NEW ROUTE",TEXTSPLIT(B2193,","),"")</f>
        <v/>
      </c>
      <c r="H2193" s="1" t="str">
        <f t="shared" ref="H2193:I2193" si="2195">IF(C2193&lt;&gt;"",DEC2HEX(C2193,2),"")</f>
        <v/>
      </c>
      <c r="I2193" s="1" t="str">
        <f t="shared" si="2195"/>
        <v/>
      </c>
      <c r="J2193" s="1" t="str">
        <f t="shared" si="3"/>
        <v/>
      </c>
      <c r="L2193" s="1" t="s">
        <v>2926</v>
      </c>
      <c r="M2193" s="1" t="str">
        <f t="shared" si="4"/>
        <v>20, old rod:</v>
      </c>
    </row>
    <row r="2194" ht="12.75" customHeight="1">
      <c r="A2194" s="3" t="s">
        <v>500</v>
      </c>
      <c r="B2194" s="3" t="str">
        <f t="shared" si="1"/>
        <v>19, 26, MAGIKARP</v>
      </c>
      <c r="C2194" s="1" t="str">
        <f t="array" ref="C2194">IF(B2193="NEW ROUTE",TEXTSPLIT(B2194,","),"")</f>
        <v/>
      </c>
      <c r="H2194" s="1" t="str">
        <f t="shared" ref="H2194:I2194" si="2196">IF(C2194&lt;&gt;"",DEC2HEX(C2194,2),"")</f>
        <v/>
      </c>
      <c r="I2194" s="1" t="str">
        <f t="shared" si="2196"/>
        <v/>
      </c>
      <c r="J2194" s="1" t="str">
        <f t="shared" si="3"/>
        <v/>
      </c>
      <c r="L2194" s="1" t="s">
        <v>500</v>
      </c>
      <c r="M2194" s="1" t="str">
        <f t="shared" si="4"/>
        <v>19, 26, MAGIKARP</v>
      </c>
    </row>
    <row r="2195" ht="12.75" customHeight="1">
      <c r="A2195" s="3" t="s">
        <v>3353</v>
      </c>
      <c r="B2195" s="3" t="str">
        <f t="shared" si="1"/>
        <v>19, 26, GYARADOS</v>
      </c>
      <c r="C2195" s="1" t="str">
        <f t="array" ref="C2195">IF(B2194="NEW ROUTE",TEXTSPLIT(B2195,","),"")</f>
        <v/>
      </c>
      <c r="H2195" s="1" t="str">
        <f t="shared" ref="H2195:I2195" si="2197">IF(C2195&lt;&gt;"",DEC2HEX(C2195,2),"")</f>
        <v/>
      </c>
      <c r="I2195" s="1" t="str">
        <f t="shared" si="2197"/>
        <v/>
      </c>
      <c r="J2195" s="1" t="str">
        <f t="shared" si="3"/>
        <v/>
      </c>
      <c r="L2195" s="1" t="s">
        <v>3353</v>
      </c>
      <c r="M2195" s="1" t="str">
        <f t="shared" si="4"/>
        <v>19, 26, GYARADOS</v>
      </c>
    </row>
    <row r="2196" ht="12.75" customHeight="1">
      <c r="A2196" s="3" t="s">
        <v>2847</v>
      </c>
      <c r="B2196" s="3" t="str">
        <f t="shared" si="1"/>
        <v>good rod:</v>
      </c>
      <c r="C2196" s="1" t="str">
        <f t="array" ref="C2196">IF(B2195="NEW ROUTE",TEXTSPLIT(B2196,","),"")</f>
        <v/>
      </c>
      <c r="H2196" s="1" t="str">
        <f t="shared" ref="H2196:I2196" si="2198">IF(C2196&lt;&gt;"",DEC2HEX(C2196,2),"")</f>
        <v/>
      </c>
      <c r="I2196" s="1" t="str">
        <f t="shared" si="2198"/>
        <v/>
      </c>
      <c r="J2196" s="1" t="str">
        <f t="shared" si="3"/>
        <v/>
      </c>
      <c r="L2196" s="1" t="s">
        <v>2847</v>
      </c>
      <c r="M2196" s="1" t="str">
        <f t="shared" si="4"/>
        <v>good rod:</v>
      </c>
    </row>
    <row r="2197" ht="12.75" customHeight="1">
      <c r="A2197" s="3" t="s">
        <v>3431</v>
      </c>
      <c r="B2197" s="3" t="str">
        <f t="shared" si="1"/>
        <v>29, 33, HORSEA</v>
      </c>
      <c r="C2197" s="1" t="str">
        <f t="array" ref="C2197">IF(B2196="NEW ROUTE",TEXTSPLIT(B2197,","),"")</f>
        <v/>
      </c>
      <c r="H2197" s="1" t="str">
        <f t="shared" ref="H2197:I2197" si="2199">IF(C2197&lt;&gt;"",DEC2HEX(C2197,2),"")</f>
        <v/>
      </c>
      <c r="I2197" s="1" t="str">
        <f t="shared" si="2199"/>
        <v/>
      </c>
      <c r="J2197" s="1" t="str">
        <f t="shared" si="3"/>
        <v/>
      </c>
      <c r="L2197" s="1" t="s">
        <v>3431</v>
      </c>
      <c r="M2197" s="1" t="str">
        <f t="shared" si="4"/>
        <v>29, 33, HORSEA</v>
      </c>
    </row>
    <row r="2198" ht="12.75" customHeight="1">
      <c r="A2198" s="3" t="s">
        <v>3451</v>
      </c>
      <c r="B2198" s="3" t="str">
        <f t="shared" si="1"/>
        <v>30, 35, SHELLDER</v>
      </c>
      <c r="C2198" s="1" t="str">
        <f t="array" ref="C2198">IF(B2197="NEW ROUTE",TEXTSPLIT(B2198,","),"")</f>
        <v/>
      </c>
      <c r="H2198" s="1" t="str">
        <f t="shared" ref="H2198:I2198" si="2200">IF(C2198&lt;&gt;"",DEC2HEX(C2198,2),"")</f>
        <v/>
      </c>
      <c r="I2198" s="1" t="str">
        <f t="shared" si="2200"/>
        <v/>
      </c>
      <c r="J2198" s="1" t="str">
        <f t="shared" si="3"/>
        <v/>
      </c>
      <c r="L2198" s="1" t="s">
        <v>3451</v>
      </c>
      <c r="M2198" s="1" t="str">
        <f t="shared" si="4"/>
        <v>30, 35, SHELLDER</v>
      </c>
    </row>
    <row r="2199" ht="12.75" customHeight="1">
      <c r="A2199" s="3" t="s">
        <v>3452</v>
      </c>
      <c r="B2199" s="3" t="str">
        <f t="shared" si="1"/>
        <v>30, 35, STARYU</v>
      </c>
      <c r="C2199" s="1" t="str">
        <f t="array" ref="C2199">IF(B2198="NEW ROUTE",TEXTSPLIT(B2199,","),"")</f>
        <v/>
      </c>
      <c r="H2199" s="1" t="str">
        <f t="shared" ref="H2199:I2199" si="2201">IF(C2199&lt;&gt;"",DEC2HEX(C2199,2),"")</f>
        <v/>
      </c>
      <c r="I2199" s="1" t="str">
        <f t="shared" si="2201"/>
        <v/>
      </c>
      <c r="J2199" s="1" t="str">
        <f t="shared" si="3"/>
        <v/>
      </c>
      <c r="L2199" s="1" t="s">
        <v>3452</v>
      </c>
      <c r="M2199" s="1" t="str">
        <f t="shared" si="4"/>
        <v>30, 35, STARYU</v>
      </c>
    </row>
    <row r="2200" ht="12.75" customHeight="1">
      <c r="A2200" s="3" t="s">
        <v>2851</v>
      </c>
      <c r="B2200" s="3" t="str">
        <f t="shared" si="1"/>
        <v>super rod:</v>
      </c>
      <c r="C2200" s="1" t="str">
        <f t="array" ref="C2200">IF(B2199="NEW ROUTE",TEXTSPLIT(B2200,","),"")</f>
        <v/>
      </c>
      <c r="H2200" s="1" t="str">
        <f t="shared" ref="H2200:I2200" si="2202">IF(C2200&lt;&gt;"",DEC2HEX(C2200,2),"")</f>
        <v/>
      </c>
      <c r="I2200" s="1" t="str">
        <f t="shared" si="2202"/>
        <v/>
      </c>
      <c r="J2200" s="1" t="str">
        <f t="shared" si="3"/>
        <v/>
      </c>
      <c r="L2200" s="1" t="s">
        <v>2851</v>
      </c>
      <c r="M2200" s="1" t="str">
        <f t="shared" si="4"/>
        <v>super rod:</v>
      </c>
    </row>
    <row r="2201" ht="12.75" customHeight="1">
      <c r="A2201" s="3" t="s">
        <v>3027</v>
      </c>
      <c r="B2201" s="3" t="str">
        <f t="shared" si="1"/>
        <v>29, 33, SEADRA</v>
      </c>
      <c r="C2201" s="1" t="str">
        <f t="array" ref="C2201">IF(B2200="NEW ROUTE",TEXTSPLIT(B2201,","),"")</f>
        <v/>
      </c>
      <c r="H2201" s="1" t="str">
        <f t="shared" ref="H2201:I2201" si="2203">IF(C2201&lt;&gt;"",DEC2HEX(C2201,2),"")</f>
        <v/>
      </c>
      <c r="I2201" s="1" t="str">
        <f t="shared" si="2203"/>
        <v/>
      </c>
      <c r="J2201" s="1" t="str">
        <f t="shared" si="3"/>
        <v/>
      </c>
      <c r="L2201" s="1" t="s">
        <v>3027</v>
      </c>
      <c r="M2201" s="1" t="str">
        <f t="shared" si="4"/>
        <v>29, 33, SEADRA</v>
      </c>
    </row>
    <row r="2202" ht="12.75" customHeight="1">
      <c r="A2202" s="3" t="s">
        <v>3357</v>
      </c>
      <c r="B2202" s="3" t="str">
        <f t="shared" si="1"/>
        <v>36, 40, GYARADOS</v>
      </c>
      <c r="C2202" s="1" t="str">
        <f t="array" ref="C2202">IF(B2201="NEW ROUTE",TEXTSPLIT(B2202,","),"")</f>
        <v/>
      </c>
      <c r="H2202" s="1" t="str">
        <f t="shared" ref="H2202:I2202" si="2204">IF(C2202&lt;&gt;"",DEC2HEX(C2202,2),"")</f>
        <v/>
      </c>
      <c r="I2202" s="1" t="str">
        <f t="shared" si="2204"/>
        <v/>
      </c>
      <c r="J2202" s="1" t="str">
        <f t="shared" si="3"/>
        <v/>
      </c>
      <c r="L2202" s="1" t="s">
        <v>3357</v>
      </c>
      <c r="M2202" s="1" t="str">
        <f t="shared" si="4"/>
        <v>36, 40, GYARADOS</v>
      </c>
    </row>
    <row r="2203" ht="12.75" customHeight="1">
      <c r="A2203" s="3" t="s">
        <v>3453</v>
      </c>
      <c r="B2203" s="3" t="str">
        <f t="shared" si="1"/>
        <v>38, 42, STARMIE</v>
      </c>
      <c r="C2203" s="1" t="str">
        <f t="array" ref="C2203">IF(B2202="NEW ROUTE",TEXTSPLIT(B2203,","),"")</f>
        <v/>
      </c>
      <c r="H2203" s="1" t="str">
        <f t="shared" ref="H2203:I2203" si="2205">IF(C2203&lt;&gt;"",DEC2HEX(C2203,2),"")</f>
        <v/>
      </c>
      <c r="I2203" s="1" t="str">
        <f t="shared" si="2205"/>
        <v/>
      </c>
      <c r="J2203" s="1" t="str">
        <f t="shared" si="3"/>
        <v/>
      </c>
      <c r="L2203" s="1" t="s">
        <v>3453</v>
      </c>
      <c r="M2203" s="1" t="str">
        <f t="shared" si="4"/>
        <v>38, 42, STARMIE</v>
      </c>
    </row>
    <row r="2204" ht="12.75" customHeight="1">
      <c r="A2204" s="3" t="s">
        <v>3454</v>
      </c>
      <c r="B2204" s="3" t="str">
        <f t="shared" si="1"/>
        <v>38, 42, CLOYSTER</v>
      </c>
      <c r="C2204" s="1" t="str">
        <f t="array" ref="C2204">IF(B2203="NEW ROUTE",TEXTSPLIT(B2204,","),"")</f>
        <v/>
      </c>
      <c r="H2204" s="1" t="str">
        <f t="shared" ref="H2204:I2204" si="2206">IF(C2204&lt;&gt;"",DEC2HEX(C2204,2),"")</f>
        <v/>
      </c>
      <c r="I2204" s="1" t="str">
        <f t="shared" si="2206"/>
        <v/>
      </c>
      <c r="J2204" s="1" t="str">
        <f t="shared" si="3"/>
        <v/>
      </c>
      <c r="L2204" s="1" t="s">
        <v>3454</v>
      </c>
      <c r="M2204" s="1" t="str">
        <f t="shared" si="4"/>
        <v>38, 42, CLOYSTER</v>
      </c>
    </row>
    <row r="2205" ht="12.75" customHeight="1">
      <c r="A2205" s="3" t="s">
        <v>3455</v>
      </c>
      <c r="B2205" s="3" t="str">
        <f t="shared" si="1"/>
        <v>38, 42, STARUS</v>
      </c>
      <c r="C2205" s="1" t="str">
        <f t="array" ref="C2205">IF(B2204="NEW ROUTE",TEXTSPLIT(B2205,","),"")</f>
        <v/>
      </c>
      <c r="H2205" s="1" t="str">
        <f t="shared" ref="H2205:I2205" si="2207">IF(C2205&lt;&gt;"",DEC2HEX(C2205,2),"")</f>
        <v/>
      </c>
      <c r="I2205" s="1" t="str">
        <f t="shared" si="2207"/>
        <v/>
      </c>
      <c r="J2205" s="1" t="str">
        <f t="shared" si="3"/>
        <v/>
      </c>
      <c r="L2205" s="1" t="s">
        <v>3455</v>
      </c>
      <c r="M2205" s="1" t="str">
        <f t="shared" si="4"/>
        <v>38, 42, STARUS</v>
      </c>
    </row>
    <row r="2206" ht="12.75" customHeight="1">
      <c r="A2206" s="3" t="s">
        <v>2539</v>
      </c>
      <c r="B2206" s="3" t="str">
        <f t="shared" si="1"/>
        <v>NEW ROUTE</v>
      </c>
      <c r="C2206" s="1" t="str">
        <f t="array" ref="C2206">IF(B2205="NEW ROUTE",TEXTSPLIT(B2206,","),"")</f>
        <v/>
      </c>
      <c r="H2206" s="1" t="str">
        <f t="shared" ref="H2206:I2206" si="2208">IF(C2206&lt;&gt;"",DEC2HEX(C2206,2),"")</f>
        <v/>
      </c>
      <c r="I2206" s="1" t="str">
        <f t="shared" si="2208"/>
        <v/>
      </c>
      <c r="J2206" s="1" t="str">
        <f t="shared" si="3"/>
        <v/>
      </c>
      <c r="L2206" s="1" t="s">
        <v>2539</v>
      </c>
      <c r="M2206" s="1" t="str">
        <f t="shared" si="4"/>
        <v>NEW ROUTE</v>
      </c>
    </row>
    <row r="2207" ht="12.75" customHeight="1">
      <c r="A2207" s="3" t="s">
        <v>3456</v>
      </c>
      <c r="B2207" s="3" t="str">
        <f t="shared" si="1"/>
        <v>3, 30, 0,</v>
      </c>
      <c r="C2207" s="1" t="str">
        <f t="array" ref="C2207">IF(B2206="NEW ROUTE",TEXTSPLIT(B2207,","),"")</f>
        <v>#NAME?</v>
      </c>
      <c r="H2207" s="1" t="str">
        <f t="shared" ref="H2207:I2207" si="2209">IF(C2207&lt;&gt;"",DEC2HEX(C2207,2),"")</f>
        <v>#NAME?</v>
      </c>
      <c r="I2207" s="1" t="str">
        <f t="shared" si="2209"/>
        <v/>
      </c>
      <c r="J2207" s="1" t="str">
        <f t="shared" si="3"/>
        <v>#NAME?</v>
      </c>
      <c r="L2207" s="1" t="s">
        <v>3456</v>
      </c>
      <c r="M2207" s="1" t="str">
        <f t="shared" si="4"/>
        <v>#NAME?</v>
      </c>
    </row>
    <row r="2208" ht="12.75" customHeight="1">
      <c r="A2208" s="3" t="s">
        <v>2909</v>
      </c>
      <c r="B2208" s="3" t="str">
        <f t="shared" si="1"/>
        <v>20%</v>
      </c>
      <c r="C2208" s="1" t="str">
        <f t="array" ref="C2208">IF(B2207="NEW ROUTE",TEXTSPLIT(B2208,","),"")</f>
        <v/>
      </c>
      <c r="H2208" s="1" t="str">
        <f t="shared" ref="H2208:I2208" si="2210">IF(C2208&lt;&gt;"",DEC2HEX(C2208,2),"")</f>
        <v/>
      </c>
      <c r="I2208" s="1" t="str">
        <f t="shared" si="2210"/>
        <v/>
      </c>
      <c r="J2208" s="1" t="str">
        <f t="shared" si="3"/>
        <v/>
      </c>
      <c r="L2208" s="1" t="s">
        <v>2799</v>
      </c>
      <c r="M2208" s="1" t="str">
        <f t="shared" si="4"/>
        <v>20%</v>
      </c>
    </row>
    <row r="2209" ht="12.75" customHeight="1">
      <c r="A2209" s="3" t="s">
        <v>1081</v>
      </c>
      <c r="B2209" s="3" t="str">
        <f t="shared" si="1"/>
        <v>29, 34, BELLSPROUT</v>
      </c>
      <c r="C2209" s="1" t="str">
        <f t="array" ref="C2209">IF(B2208="NEW ROUTE",TEXTSPLIT(B2209,","),"")</f>
        <v/>
      </c>
      <c r="H2209" s="1" t="str">
        <f t="shared" ref="H2209:I2209" si="2211">IF(C2209&lt;&gt;"",DEC2HEX(C2209,2),"")</f>
        <v/>
      </c>
      <c r="I2209" s="1" t="str">
        <f t="shared" si="2211"/>
        <v/>
      </c>
      <c r="J2209" s="1" t="str">
        <f t="shared" si="3"/>
        <v/>
      </c>
      <c r="L2209" s="1" t="s">
        <v>1081</v>
      </c>
      <c r="M2209" s="1" t="str">
        <f t="shared" si="4"/>
        <v>29, 34, BELLSPROUT</v>
      </c>
    </row>
    <row r="2210" ht="12.75" customHeight="1">
      <c r="A2210" s="3" t="s">
        <v>3457</v>
      </c>
      <c r="B2210" s="3" t="str">
        <f t="shared" si="1"/>
        <v>29, 34, PIDGEOTTO</v>
      </c>
      <c r="C2210" s="1" t="str">
        <f t="array" ref="C2210">IF(B2209="NEW ROUTE",TEXTSPLIT(B2210,","),"")</f>
        <v/>
      </c>
      <c r="H2210" s="1" t="str">
        <f t="shared" ref="H2210:I2210" si="2212">IF(C2210&lt;&gt;"",DEC2HEX(C2210,2),"")</f>
        <v/>
      </c>
      <c r="I2210" s="1" t="str">
        <f t="shared" si="2212"/>
        <v/>
      </c>
      <c r="J2210" s="1" t="str">
        <f t="shared" si="3"/>
        <v/>
      </c>
      <c r="L2210" s="1" t="s">
        <v>3457</v>
      </c>
      <c r="M2210" s="1" t="str">
        <f t="shared" si="4"/>
        <v>29, 34, PIDGEOTTO</v>
      </c>
    </row>
    <row r="2211" ht="12.75" customHeight="1">
      <c r="A2211" s="3" t="s">
        <v>2802</v>
      </c>
      <c r="B2211" s="3" t="str">
        <f t="shared" si="1"/>
        <v>0.1</v>
      </c>
      <c r="C2211" s="1" t="str">
        <f t="array" ref="C2211">IF(B2210="NEW ROUTE",TEXTSPLIT(B2211,","),"")</f>
        <v/>
      </c>
      <c r="H2211" s="1" t="str">
        <f t="shared" ref="H2211:I2211" si="2213">IF(C2211&lt;&gt;"",DEC2HEX(C2211,2),"")</f>
        <v/>
      </c>
      <c r="I2211" s="1" t="str">
        <f t="shared" si="2213"/>
        <v/>
      </c>
      <c r="J2211" s="1" t="str">
        <f t="shared" si="3"/>
        <v/>
      </c>
      <c r="L2211" s="1" t="s">
        <v>2802</v>
      </c>
      <c r="M2211" s="1" t="str">
        <f t="shared" si="4"/>
        <v>0.1</v>
      </c>
    </row>
    <row r="2212" ht="12.75" customHeight="1">
      <c r="A2212" s="3" t="s">
        <v>3458</v>
      </c>
      <c r="B2212" s="3" t="str">
        <f t="shared" si="1"/>
        <v>29, 31, WEEPINBELL</v>
      </c>
      <c r="C2212" s="1" t="str">
        <f t="array" ref="C2212">IF(B2211="NEW ROUTE",TEXTSPLIT(B2212,","),"")</f>
        <v/>
      </c>
      <c r="H2212" s="1" t="str">
        <f t="shared" ref="H2212:I2212" si="2214">IF(C2212&lt;&gt;"",DEC2HEX(C2212,2),"")</f>
        <v/>
      </c>
      <c r="I2212" s="1" t="str">
        <f t="shared" si="2214"/>
        <v/>
      </c>
      <c r="J2212" s="1" t="str">
        <f t="shared" si="3"/>
        <v/>
      </c>
      <c r="L2212" s="1" t="s">
        <v>3458</v>
      </c>
      <c r="M2212" s="1" t="str">
        <f t="shared" si="4"/>
        <v>29, 31, WEEPINBELL</v>
      </c>
    </row>
    <row r="2213" ht="12.75" customHeight="1">
      <c r="A2213" s="3" t="s">
        <v>3459</v>
      </c>
      <c r="B2213" s="3" t="str">
        <f t="shared" si="1"/>
        <v>29, 31, DODUO</v>
      </c>
      <c r="C2213" s="1" t="str">
        <f t="array" ref="C2213">IF(B2212="NEW ROUTE",TEXTSPLIT(B2213,","),"")</f>
        <v/>
      </c>
      <c r="H2213" s="1" t="str">
        <f t="shared" ref="H2213:I2213" si="2215">IF(C2213&lt;&gt;"",DEC2HEX(C2213,2),"")</f>
        <v/>
      </c>
      <c r="I2213" s="1" t="str">
        <f t="shared" si="2215"/>
        <v/>
      </c>
      <c r="J2213" s="1" t="str">
        <f t="shared" si="3"/>
        <v/>
      </c>
      <c r="L2213" s="1" t="s">
        <v>3459</v>
      </c>
      <c r="M2213" s="1" t="str">
        <f t="shared" si="4"/>
        <v>29, 31, DODUO</v>
      </c>
    </row>
    <row r="2214" ht="12.75" customHeight="1">
      <c r="A2214" s="3" t="s">
        <v>3460</v>
      </c>
      <c r="B2214" s="3" t="str">
        <f t="shared" si="1"/>
        <v>31, 31, PIDGEOT</v>
      </c>
      <c r="C2214" s="1" t="str">
        <f t="array" ref="C2214">IF(B2213="NEW ROUTE",TEXTSPLIT(B2214,","),"")</f>
        <v/>
      </c>
      <c r="H2214" s="1" t="str">
        <f t="shared" ref="H2214:I2214" si="2216">IF(C2214&lt;&gt;"",DEC2HEX(C2214,2),"")</f>
        <v/>
      </c>
      <c r="I2214" s="1" t="str">
        <f t="shared" si="2216"/>
        <v/>
      </c>
      <c r="J2214" s="1" t="str">
        <f t="shared" si="3"/>
        <v/>
      </c>
      <c r="L2214" s="1" t="s">
        <v>3460</v>
      </c>
      <c r="M2214" s="1" t="str">
        <f t="shared" si="4"/>
        <v>31, 31, PIDGEOT</v>
      </c>
    </row>
    <row r="2215" ht="12.75" customHeight="1">
      <c r="A2215" s="3" t="s">
        <v>3461</v>
      </c>
      <c r="B2215" s="3" t="str">
        <f t="shared" si="1"/>
        <v>29, 31, EXEGGCUTE</v>
      </c>
      <c r="C2215" s="1" t="str">
        <f t="array" ref="C2215">IF(B2214="NEW ROUTE",TEXTSPLIT(B2215,","),"")</f>
        <v/>
      </c>
      <c r="H2215" s="1" t="str">
        <f t="shared" ref="H2215:I2215" si="2217">IF(C2215&lt;&gt;"",DEC2HEX(C2215,2),"")</f>
        <v/>
      </c>
      <c r="I2215" s="1" t="str">
        <f t="shared" si="2217"/>
        <v/>
      </c>
      <c r="J2215" s="1" t="str">
        <f t="shared" si="3"/>
        <v/>
      </c>
      <c r="L2215" s="1" t="s">
        <v>3461</v>
      </c>
      <c r="M2215" s="1" t="str">
        <f t="shared" si="4"/>
        <v>29, 31, EXEGGCUTE</v>
      </c>
    </row>
    <row r="2216" ht="12.75" customHeight="1">
      <c r="A2216" s="3" t="s">
        <v>2807</v>
      </c>
      <c r="B2216" s="3" t="str">
        <f t="shared" si="1"/>
        <v>0.05</v>
      </c>
      <c r="C2216" s="1" t="str">
        <f t="array" ref="C2216">IF(B2215="NEW ROUTE",TEXTSPLIT(B2216,","),"")</f>
        <v/>
      </c>
      <c r="H2216" s="1" t="str">
        <f t="shared" ref="H2216:I2216" si="2218">IF(C2216&lt;&gt;"",DEC2HEX(C2216,2),"")</f>
        <v/>
      </c>
      <c r="I2216" s="1" t="str">
        <f t="shared" si="2218"/>
        <v/>
      </c>
      <c r="J2216" s="1" t="str">
        <f t="shared" si="3"/>
        <v/>
      </c>
      <c r="L2216" s="1" t="s">
        <v>2807</v>
      </c>
      <c r="M2216" s="1" t="str">
        <f t="shared" si="4"/>
        <v>0.05</v>
      </c>
    </row>
    <row r="2217" ht="12.75" customHeight="1">
      <c r="A2217" s="3" t="s">
        <v>3462</v>
      </c>
      <c r="B2217" s="3" t="str">
        <f t="shared" si="1"/>
        <v>30, 34, SCYTHER</v>
      </c>
      <c r="C2217" s="1" t="str">
        <f t="array" ref="C2217">IF(B2216="NEW ROUTE",TEXTSPLIT(B2217,","),"")</f>
        <v/>
      </c>
      <c r="H2217" s="1" t="str">
        <f t="shared" ref="H2217:I2217" si="2219">IF(C2217&lt;&gt;"",DEC2HEX(C2217,2),"")</f>
        <v/>
      </c>
      <c r="I2217" s="1" t="str">
        <f t="shared" si="2219"/>
        <v/>
      </c>
      <c r="J2217" s="1" t="str">
        <f t="shared" si="3"/>
        <v/>
      </c>
      <c r="L2217" s="1" t="s">
        <v>3462</v>
      </c>
      <c r="M2217" s="1" t="str">
        <f t="shared" si="4"/>
        <v>30, 34, SCYTHER</v>
      </c>
    </row>
    <row r="2218" ht="12.75" customHeight="1">
      <c r="A2218" s="3" t="s">
        <v>3463</v>
      </c>
      <c r="B2218" s="3" t="str">
        <f t="shared" si="1"/>
        <v>30, 34, JYNX</v>
      </c>
      <c r="C2218" s="1" t="str">
        <f t="array" ref="C2218">IF(B2217="NEW ROUTE",TEXTSPLIT(B2218,","),"")</f>
        <v/>
      </c>
      <c r="H2218" s="1" t="str">
        <f t="shared" ref="H2218:I2218" si="2220">IF(C2218&lt;&gt;"",DEC2HEX(C2218,2),"")</f>
        <v/>
      </c>
      <c r="I2218" s="1" t="str">
        <f t="shared" si="2220"/>
        <v/>
      </c>
      <c r="J2218" s="1" t="str">
        <f t="shared" si="3"/>
        <v/>
      </c>
      <c r="L2218" s="1" t="s">
        <v>3463</v>
      </c>
      <c r="M2218" s="1" t="str">
        <f t="shared" si="4"/>
        <v>30, 34, JYNX</v>
      </c>
    </row>
    <row r="2219" ht="12.75" customHeight="1">
      <c r="A2219" s="3" t="s">
        <v>2810</v>
      </c>
      <c r="B2219" s="3" t="str">
        <f t="shared" si="1"/>
        <v>0.04</v>
      </c>
      <c r="C2219" s="1" t="str">
        <f t="array" ref="C2219">IF(B2218="NEW ROUTE",TEXTSPLIT(B2219,","),"")</f>
        <v/>
      </c>
      <c r="H2219" s="1" t="str">
        <f t="shared" ref="H2219:I2219" si="2221">IF(C2219&lt;&gt;"",DEC2HEX(C2219,2),"")</f>
        <v/>
      </c>
      <c r="I2219" s="1" t="str">
        <f t="shared" si="2221"/>
        <v/>
      </c>
      <c r="J2219" s="1" t="str">
        <f t="shared" si="3"/>
        <v/>
      </c>
      <c r="L2219" s="1" t="s">
        <v>2810</v>
      </c>
      <c r="M2219" s="1" t="str">
        <f t="shared" si="4"/>
        <v>0.04</v>
      </c>
    </row>
    <row r="2220" ht="12.75" customHeight="1">
      <c r="A2220" s="3" t="s">
        <v>3464</v>
      </c>
      <c r="B2220" s="3" t="str">
        <f t="shared" si="1"/>
        <v>31, 31, DODRIO</v>
      </c>
      <c r="C2220" s="1" t="str">
        <f t="array" ref="C2220">IF(B2219="NEW ROUTE",TEXTSPLIT(B2220,","),"")</f>
        <v/>
      </c>
      <c r="H2220" s="1" t="str">
        <f t="shared" ref="H2220:I2220" si="2222">IF(C2220&lt;&gt;"",DEC2HEX(C2220,2),"")</f>
        <v/>
      </c>
      <c r="I2220" s="1" t="str">
        <f t="shared" si="2222"/>
        <v/>
      </c>
      <c r="J2220" s="1" t="str">
        <f t="shared" si="3"/>
        <v/>
      </c>
      <c r="L2220" s="1" t="s">
        <v>3464</v>
      </c>
      <c r="M2220" s="1" t="str">
        <f t="shared" si="4"/>
        <v>31, 31, DODRIO</v>
      </c>
    </row>
    <row r="2221" ht="12.75" customHeight="1">
      <c r="A2221" s="3" t="s">
        <v>3465</v>
      </c>
      <c r="B2221" s="3" t="str">
        <f t="shared" si="1"/>
        <v>31, 31, EXEGGUTOR</v>
      </c>
      <c r="C2221" s="1" t="str">
        <f t="array" ref="C2221">IF(B2220="NEW ROUTE",TEXTSPLIT(B2221,","),"")</f>
        <v/>
      </c>
      <c r="H2221" s="1" t="str">
        <f t="shared" ref="H2221:I2221" si="2223">IF(C2221&lt;&gt;"",DEC2HEX(C2221,2),"")</f>
        <v/>
      </c>
      <c r="I2221" s="1" t="str">
        <f t="shared" si="2223"/>
        <v/>
      </c>
      <c r="J2221" s="1" t="str">
        <f t="shared" si="3"/>
        <v/>
      </c>
      <c r="L2221" s="1" t="s">
        <v>3465</v>
      </c>
      <c r="M2221" s="1" t="str">
        <f t="shared" si="4"/>
        <v>31, 31, EXEGGUTOR</v>
      </c>
    </row>
    <row r="2222" ht="12.75" customHeight="1">
      <c r="A2222" s="3" t="s">
        <v>2813</v>
      </c>
      <c r="B2222" s="3" t="str">
        <f t="shared" si="1"/>
        <v>0.01</v>
      </c>
      <c r="C2222" s="1" t="str">
        <f t="array" ref="C2222">IF(B2221="NEW ROUTE",TEXTSPLIT(B2222,","),"")</f>
        <v/>
      </c>
      <c r="H2222" s="1" t="str">
        <f t="shared" ref="H2222:I2222" si="2224">IF(C2222&lt;&gt;"",DEC2HEX(C2222,2),"")</f>
        <v/>
      </c>
      <c r="I2222" s="1" t="str">
        <f t="shared" si="2224"/>
        <v/>
      </c>
      <c r="J2222" s="1" t="str">
        <f t="shared" si="3"/>
        <v/>
      </c>
      <c r="L2222" s="1" t="s">
        <v>2813</v>
      </c>
      <c r="M2222" s="1" t="str">
        <f t="shared" si="4"/>
        <v>0.01</v>
      </c>
    </row>
    <row r="2223" ht="12.75" customHeight="1">
      <c r="A2223" s="3" t="s">
        <v>3466</v>
      </c>
      <c r="B2223" s="3" t="str">
        <f t="shared" si="1"/>
        <v>29, 34, VICTREEBEL</v>
      </c>
      <c r="C2223" s="1" t="str">
        <f t="array" ref="C2223">IF(B2222="NEW ROUTE",TEXTSPLIT(B2223,","),"")</f>
        <v/>
      </c>
      <c r="H2223" s="1" t="str">
        <f t="shared" ref="H2223:I2223" si="2225">IF(C2223&lt;&gt;"",DEC2HEX(C2223,2),"")</f>
        <v/>
      </c>
      <c r="I2223" s="1" t="str">
        <f t="shared" si="2225"/>
        <v/>
      </c>
      <c r="J2223" s="1" t="str">
        <f t="shared" si="3"/>
        <v/>
      </c>
      <c r="L2223" s="1" t="s">
        <v>3466</v>
      </c>
      <c r="M2223" s="1" t="str">
        <f t="shared" si="4"/>
        <v>29, 34, VICTREEBEL</v>
      </c>
    </row>
    <row r="2224" ht="12.75" customHeight="1">
      <c r="A2224" s="3" t="s">
        <v>3467</v>
      </c>
      <c r="B2224" s="3" t="str">
        <f t="shared" si="1"/>
        <v>20, 25, SQUIRTLE</v>
      </c>
      <c r="C2224" s="1" t="str">
        <f t="array" ref="C2224">IF(B2223="NEW ROUTE",TEXTSPLIT(B2224,","),"")</f>
        <v/>
      </c>
      <c r="H2224" s="1" t="str">
        <f t="shared" ref="H2224:I2224" si="2226">IF(C2224&lt;&gt;"",DEC2HEX(C2224,2),"")</f>
        <v/>
      </c>
      <c r="I2224" s="1" t="str">
        <f t="shared" si="2226"/>
        <v/>
      </c>
      <c r="J2224" s="1" t="str">
        <f t="shared" si="3"/>
        <v/>
      </c>
      <c r="L2224" s="1" t="s">
        <v>3467</v>
      </c>
      <c r="M2224" s="1" t="str">
        <f t="shared" si="4"/>
        <v>20, 25, SQUIRTLE</v>
      </c>
    </row>
    <row r="2225" ht="12.75" customHeight="1">
      <c r="A2225" s="3" t="s">
        <v>3350</v>
      </c>
      <c r="B2225" s="3" t="str">
        <f t="shared" si="1"/>
        <v>2, 38, 42, TENTACOOL</v>
      </c>
      <c r="C2225" s="1" t="str">
        <f t="array" ref="C2225">IF(B2224="NEW ROUTE",TEXTSPLIT(B2225,","),"")</f>
        <v/>
      </c>
      <c r="H2225" s="1" t="str">
        <f t="shared" ref="H2225:I2225" si="2227">IF(C2225&lt;&gt;"",DEC2HEX(C2225,2),"")</f>
        <v/>
      </c>
      <c r="I2225" s="1" t="str">
        <f t="shared" si="2227"/>
        <v/>
      </c>
      <c r="J2225" s="1" t="str">
        <f t="shared" si="3"/>
        <v/>
      </c>
      <c r="L2225" s="1" t="s">
        <v>3350</v>
      </c>
      <c r="M2225" s="1" t="str">
        <f t="shared" si="4"/>
        <v>2, 38, 42, TENTACOOL</v>
      </c>
    </row>
    <row r="2226" ht="12.75" customHeight="1">
      <c r="A2226" s="3" t="s">
        <v>3429</v>
      </c>
      <c r="B2226" s="3" t="str">
        <f t="shared" si="1"/>
        <v>40, 44, TENTACRUEL</v>
      </c>
      <c r="C2226" s="1" t="str">
        <f t="array" ref="C2226">IF(B2225="NEW ROUTE",TEXTSPLIT(B2226,","),"")</f>
        <v/>
      </c>
      <c r="H2226" s="1" t="str">
        <f t="shared" ref="H2226:I2226" si="2228">IF(C2226&lt;&gt;"",DEC2HEX(C2226,2),"")</f>
        <v/>
      </c>
      <c r="I2226" s="1" t="str">
        <f t="shared" si="2228"/>
        <v/>
      </c>
      <c r="J2226" s="1" t="str">
        <f t="shared" si="3"/>
        <v/>
      </c>
      <c r="L2226" s="1" t="s">
        <v>3429</v>
      </c>
      <c r="M2226" s="1" t="str">
        <f t="shared" si="4"/>
        <v>40, 44, TENTACRUEL</v>
      </c>
    </row>
    <row r="2227" ht="12.75" customHeight="1">
      <c r="A2227" s="3" t="s">
        <v>3025</v>
      </c>
      <c r="B2227" s="3" t="str">
        <f t="shared" si="1"/>
        <v>42, 46, LAPRAS</v>
      </c>
      <c r="C2227" s="1" t="str">
        <f t="array" ref="C2227">IF(B2226="NEW ROUTE",TEXTSPLIT(B2227,","),"")</f>
        <v/>
      </c>
      <c r="H2227" s="1" t="str">
        <f t="shared" ref="H2227:I2227" si="2229">IF(C2227&lt;&gt;"",DEC2HEX(C2227,2),"")</f>
        <v/>
      </c>
      <c r="I2227" s="1" t="str">
        <f t="shared" si="2229"/>
        <v/>
      </c>
      <c r="J2227" s="1" t="str">
        <f t="shared" si="3"/>
        <v/>
      </c>
      <c r="L2227" s="1" t="s">
        <v>3025</v>
      </c>
      <c r="M2227" s="1" t="str">
        <f t="shared" si="4"/>
        <v>42, 46, LAPRAS</v>
      </c>
    </row>
    <row r="2228" ht="12.75" customHeight="1">
      <c r="A2228" s="3" t="s">
        <v>3430</v>
      </c>
      <c r="B2228" s="3" t="str">
        <f t="shared" si="1"/>
        <v>42, 46, TENTACATE</v>
      </c>
      <c r="C2228" s="1" t="str">
        <f t="array" ref="C2228">IF(B2227="NEW ROUTE",TEXTSPLIT(B2228,","),"")</f>
        <v/>
      </c>
      <c r="H2228" s="1" t="str">
        <f t="shared" ref="H2228:I2228" si="2230">IF(C2228&lt;&gt;"",DEC2HEX(C2228,2),"")</f>
        <v/>
      </c>
      <c r="I2228" s="1" t="str">
        <f t="shared" si="2230"/>
        <v/>
      </c>
      <c r="J2228" s="1" t="str">
        <f t="shared" si="3"/>
        <v/>
      </c>
      <c r="L2228" s="1" t="s">
        <v>3430</v>
      </c>
      <c r="M2228" s="1" t="str">
        <f t="shared" si="4"/>
        <v>42, 46, TENTACATE</v>
      </c>
    </row>
    <row r="2229" ht="12.75" customHeight="1">
      <c r="A2229" s="3" t="s">
        <v>3450</v>
      </c>
      <c r="B2229" s="3" t="str">
        <f t="shared" si="1"/>
        <v>44, 48, LOCHLASS</v>
      </c>
      <c r="C2229" s="1" t="str">
        <f t="array" ref="C2229">IF(B2228="NEW ROUTE",TEXTSPLIT(B2229,","),"")</f>
        <v/>
      </c>
      <c r="H2229" s="1" t="str">
        <f t="shared" ref="H2229:I2229" si="2231">IF(C2229&lt;&gt;"",DEC2HEX(C2229,2),"")</f>
        <v/>
      </c>
      <c r="I2229" s="1" t="str">
        <f t="shared" si="2231"/>
        <v/>
      </c>
      <c r="J2229" s="1" t="str">
        <f t="shared" si="3"/>
        <v/>
      </c>
      <c r="L2229" s="1" t="s">
        <v>3450</v>
      </c>
      <c r="M2229" s="1" t="str">
        <f t="shared" si="4"/>
        <v>44, 48, LOCHLASS</v>
      </c>
    </row>
    <row r="2230" ht="12.75" customHeight="1">
      <c r="A2230" s="3" t="s">
        <v>3468</v>
      </c>
      <c r="B2230" s="3" t="str">
        <f t="shared" si="1"/>
        <v>60, old rod:</v>
      </c>
      <c r="C2230" s="1" t="str">
        <f t="array" ref="C2230">IF(B2229="NEW ROUTE",TEXTSPLIT(B2230,","),"")</f>
        <v/>
      </c>
      <c r="H2230" s="1" t="str">
        <f t="shared" ref="H2230:I2230" si="2232">IF(C2230&lt;&gt;"",DEC2HEX(C2230,2),"")</f>
        <v/>
      </c>
      <c r="I2230" s="1" t="str">
        <f t="shared" si="2232"/>
        <v/>
      </c>
      <c r="J2230" s="1" t="str">
        <f t="shared" si="3"/>
        <v/>
      </c>
      <c r="L2230" s="1" t="s">
        <v>3468</v>
      </c>
      <c r="M2230" s="1" t="str">
        <f t="shared" si="4"/>
        <v>60, old rod:</v>
      </c>
    </row>
    <row r="2231" ht="12.75" customHeight="1">
      <c r="A2231" s="3" t="s">
        <v>500</v>
      </c>
      <c r="B2231" s="3" t="str">
        <f t="shared" si="1"/>
        <v>19, 26, MAGIKARP</v>
      </c>
      <c r="C2231" s="1" t="str">
        <f t="array" ref="C2231">IF(B2230="NEW ROUTE",TEXTSPLIT(B2231,","),"")</f>
        <v/>
      </c>
      <c r="H2231" s="1" t="str">
        <f t="shared" ref="H2231:I2231" si="2233">IF(C2231&lt;&gt;"",DEC2HEX(C2231,2),"")</f>
        <v/>
      </c>
      <c r="I2231" s="1" t="str">
        <f t="shared" si="2233"/>
        <v/>
      </c>
      <c r="J2231" s="1" t="str">
        <f t="shared" si="3"/>
        <v/>
      </c>
      <c r="L2231" s="1" t="s">
        <v>500</v>
      </c>
      <c r="M2231" s="1" t="str">
        <f t="shared" si="4"/>
        <v>19, 26, MAGIKARP</v>
      </c>
    </row>
    <row r="2232" ht="12.75" customHeight="1">
      <c r="A2232" s="3" t="s">
        <v>3353</v>
      </c>
      <c r="B2232" s="3" t="str">
        <f t="shared" si="1"/>
        <v>19, 26, GYARADOS</v>
      </c>
      <c r="C2232" s="1" t="str">
        <f t="array" ref="C2232">IF(B2231="NEW ROUTE",TEXTSPLIT(B2232,","),"")</f>
        <v/>
      </c>
      <c r="H2232" s="1" t="str">
        <f t="shared" ref="H2232:I2232" si="2234">IF(C2232&lt;&gt;"",DEC2HEX(C2232,2),"")</f>
        <v/>
      </c>
      <c r="I2232" s="1" t="str">
        <f t="shared" si="2234"/>
        <v/>
      </c>
      <c r="J2232" s="1" t="str">
        <f t="shared" si="3"/>
        <v/>
      </c>
      <c r="L2232" s="1" t="s">
        <v>3353</v>
      </c>
      <c r="M2232" s="1" t="str">
        <f t="shared" si="4"/>
        <v>19, 26, GYARADOS</v>
      </c>
    </row>
    <row r="2233" ht="12.75" customHeight="1">
      <c r="A2233" s="3" t="s">
        <v>2847</v>
      </c>
      <c r="B2233" s="3" t="str">
        <f t="shared" si="1"/>
        <v>good rod:</v>
      </c>
      <c r="C2233" s="1" t="str">
        <f t="array" ref="C2233">IF(B2232="NEW ROUTE",TEXTSPLIT(B2233,","),"")</f>
        <v/>
      </c>
      <c r="H2233" s="1" t="str">
        <f t="shared" ref="H2233:I2233" si="2235">IF(C2233&lt;&gt;"",DEC2HEX(C2233,2),"")</f>
        <v/>
      </c>
      <c r="I2233" s="1" t="str">
        <f t="shared" si="2235"/>
        <v/>
      </c>
      <c r="J2233" s="1" t="str">
        <f t="shared" si="3"/>
        <v/>
      </c>
      <c r="L2233" s="1" t="s">
        <v>2847</v>
      </c>
      <c r="M2233" s="1" t="str">
        <f t="shared" si="4"/>
        <v>good rod:</v>
      </c>
    </row>
    <row r="2234" ht="12.75" customHeight="1">
      <c r="A2234" s="3" t="s">
        <v>3431</v>
      </c>
      <c r="B2234" s="3" t="str">
        <f t="shared" si="1"/>
        <v>29, 33, HORSEA</v>
      </c>
      <c r="C2234" s="1" t="str">
        <f t="array" ref="C2234">IF(B2233="NEW ROUTE",TEXTSPLIT(B2234,","),"")</f>
        <v/>
      </c>
      <c r="H2234" s="1" t="str">
        <f t="shared" ref="H2234:I2234" si="2236">IF(C2234&lt;&gt;"",DEC2HEX(C2234,2),"")</f>
        <v/>
      </c>
      <c r="I2234" s="1" t="str">
        <f t="shared" si="2236"/>
        <v/>
      </c>
      <c r="J2234" s="1" t="str">
        <f t="shared" si="3"/>
        <v/>
      </c>
      <c r="L2234" s="1" t="s">
        <v>3431</v>
      </c>
      <c r="M2234" s="1" t="str">
        <f t="shared" si="4"/>
        <v>29, 33, HORSEA</v>
      </c>
    </row>
    <row r="2235" ht="12.75" customHeight="1">
      <c r="A2235" s="3" t="s">
        <v>3028</v>
      </c>
      <c r="B2235" s="3" t="str">
        <f t="shared" si="1"/>
        <v>30, 35, KRABBY</v>
      </c>
      <c r="C2235" s="1" t="str">
        <f t="array" ref="C2235">IF(B2234="NEW ROUTE",TEXTSPLIT(B2235,","),"")</f>
        <v/>
      </c>
      <c r="H2235" s="1" t="str">
        <f t="shared" ref="H2235:I2235" si="2237">IF(C2235&lt;&gt;"",DEC2HEX(C2235,2),"")</f>
        <v/>
      </c>
      <c r="I2235" s="1" t="str">
        <f t="shared" si="2237"/>
        <v/>
      </c>
      <c r="J2235" s="1" t="str">
        <f t="shared" si="3"/>
        <v/>
      </c>
      <c r="L2235" s="1" t="s">
        <v>3028</v>
      </c>
      <c r="M2235" s="1" t="str">
        <f t="shared" si="4"/>
        <v>30, 35, KRABBY</v>
      </c>
    </row>
    <row r="2236" ht="12.75" customHeight="1">
      <c r="A2236" s="3" t="s">
        <v>3355</v>
      </c>
      <c r="B2236" s="3" t="str">
        <f t="shared" si="1"/>
        <v>30, 35, PSYDUCK</v>
      </c>
      <c r="C2236" s="1" t="str">
        <f t="array" ref="C2236">IF(B2235="NEW ROUTE",TEXTSPLIT(B2236,","),"")</f>
        <v/>
      </c>
      <c r="H2236" s="1" t="str">
        <f t="shared" ref="H2236:I2236" si="2238">IF(C2236&lt;&gt;"",DEC2HEX(C2236,2),"")</f>
        <v/>
      </c>
      <c r="I2236" s="1" t="str">
        <f t="shared" si="2238"/>
        <v/>
      </c>
      <c r="J2236" s="1" t="str">
        <f t="shared" si="3"/>
        <v/>
      </c>
      <c r="L2236" s="1" t="s">
        <v>3355</v>
      </c>
      <c r="M2236" s="1" t="str">
        <f t="shared" si="4"/>
        <v>30, 35, PSYDUCK</v>
      </c>
    </row>
    <row r="2237" ht="12.75" customHeight="1">
      <c r="A2237" s="3" t="s">
        <v>2851</v>
      </c>
      <c r="B2237" s="3" t="str">
        <f t="shared" si="1"/>
        <v>super rod:</v>
      </c>
      <c r="C2237" s="1" t="str">
        <f t="array" ref="C2237">IF(B2236="NEW ROUTE",TEXTSPLIT(B2237,","),"")</f>
        <v/>
      </c>
      <c r="H2237" s="1" t="str">
        <f t="shared" ref="H2237:I2237" si="2239">IF(C2237&lt;&gt;"",DEC2HEX(C2237,2),"")</f>
        <v/>
      </c>
      <c r="I2237" s="1" t="str">
        <f t="shared" si="2239"/>
        <v/>
      </c>
      <c r="J2237" s="1" t="str">
        <f t="shared" si="3"/>
        <v/>
      </c>
      <c r="L2237" s="1" t="s">
        <v>2851</v>
      </c>
      <c r="M2237" s="1" t="str">
        <f t="shared" si="4"/>
        <v>super rod:</v>
      </c>
    </row>
    <row r="2238" ht="12.75" customHeight="1">
      <c r="A2238" s="3" t="s">
        <v>3433</v>
      </c>
      <c r="B2238" s="3" t="str">
        <f t="shared" si="1"/>
        <v>36, 40, SEADRA</v>
      </c>
      <c r="C2238" s="1" t="str">
        <f t="array" ref="C2238">IF(B2237="NEW ROUTE",TEXTSPLIT(B2238,","),"")</f>
        <v/>
      </c>
      <c r="H2238" s="1" t="str">
        <f t="shared" ref="H2238:I2238" si="2240">IF(C2238&lt;&gt;"",DEC2HEX(C2238,2),"")</f>
        <v/>
      </c>
      <c r="I2238" s="1" t="str">
        <f t="shared" si="2240"/>
        <v/>
      </c>
      <c r="J2238" s="1" t="str">
        <f t="shared" si="3"/>
        <v/>
      </c>
      <c r="L2238" s="1" t="s">
        <v>3433</v>
      </c>
      <c r="M2238" s="1" t="str">
        <f t="shared" si="4"/>
        <v>36, 40, SEADRA</v>
      </c>
    </row>
    <row r="2239" ht="12.75" customHeight="1">
      <c r="A2239" s="3" t="s">
        <v>3357</v>
      </c>
      <c r="B2239" s="3" t="str">
        <f t="shared" si="1"/>
        <v>36, 40, GYARADOS</v>
      </c>
      <c r="C2239" s="1" t="str">
        <f t="array" ref="C2239">IF(B2238="NEW ROUTE",TEXTSPLIT(B2239,","),"")</f>
        <v/>
      </c>
      <c r="H2239" s="1" t="str">
        <f t="shared" ref="H2239:I2239" si="2241">IF(C2239&lt;&gt;"",DEC2HEX(C2239,2),"")</f>
        <v/>
      </c>
      <c r="I2239" s="1" t="str">
        <f t="shared" si="2241"/>
        <v/>
      </c>
      <c r="J2239" s="1" t="str">
        <f t="shared" si="3"/>
        <v/>
      </c>
      <c r="L2239" s="1" t="s">
        <v>3357</v>
      </c>
      <c r="M2239" s="1" t="str">
        <f t="shared" si="4"/>
        <v>36, 40, GYARADOS</v>
      </c>
    </row>
    <row r="2240" ht="12.75" customHeight="1">
      <c r="A2240" s="3" t="s">
        <v>3358</v>
      </c>
      <c r="B2240" s="3" t="str">
        <f t="shared" si="1"/>
        <v>38, 42, GOLDUCK</v>
      </c>
      <c r="C2240" s="1" t="str">
        <f t="array" ref="C2240">IF(B2239="NEW ROUTE",TEXTSPLIT(B2240,","),"")</f>
        <v/>
      </c>
      <c r="H2240" s="1" t="str">
        <f t="shared" ref="H2240:I2240" si="2242">IF(C2240&lt;&gt;"",DEC2HEX(C2240,2),"")</f>
        <v/>
      </c>
      <c r="I2240" s="1" t="str">
        <f t="shared" si="2242"/>
        <v/>
      </c>
      <c r="J2240" s="1" t="str">
        <f t="shared" si="3"/>
        <v/>
      </c>
      <c r="L2240" s="1" t="s">
        <v>3358</v>
      </c>
      <c r="M2240" s="1" t="str">
        <f t="shared" si="4"/>
        <v>38, 42, GOLDUCK</v>
      </c>
    </row>
    <row r="2241" ht="12.75" customHeight="1">
      <c r="A2241" s="3" t="s">
        <v>3359</v>
      </c>
      <c r="B2241" s="3" t="str">
        <f t="shared" si="1"/>
        <v>38, 42, KINGLER</v>
      </c>
      <c r="C2241" s="1" t="str">
        <f t="array" ref="C2241">IF(B2240="NEW ROUTE",TEXTSPLIT(B2241,","),"")</f>
        <v/>
      </c>
      <c r="H2241" s="1" t="str">
        <f t="shared" ref="H2241:I2241" si="2243">IF(C2241&lt;&gt;"",DEC2HEX(C2241,2),"")</f>
        <v/>
      </c>
      <c r="I2241" s="1" t="str">
        <f t="shared" si="2243"/>
        <v/>
      </c>
      <c r="J2241" s="1" t="str">
        <f t="shared" si="3"/>
        <v/>
      </c>
      <c r="L2241" s="1" t="s">
        <v>3359</v>
      </c>
      <c r="M2241" s="1" t="str">
        <f t="shared" si="4"/>
        <v>38, 42, KINGLER</v>
      </c>
    </row>
    <row r="2242" ht="12.75" customHeight="1">
      <c r="A2242" s="3" t="s">
        <v>3437</v>
      </c>
      <c r="B2242" s="3" t="str">
        <f t="shared" si="1"/>
        <v>40, 44, GILDUCK</v>
      </c>
      <c r="C2242" s="1" t="str">
        <f t="array" ref="C2242">IF(B2241="NEW ROUTE",TEXTSPLIT(B2242,","),"")</f>
        <v/>
      </c>
      <c r="H2242" s="1" t="str">
        <f t="shared" ref="H2242:I2242" si="2244">IF(C2242&lt;&gt;"",DEC2HEX(C2242,2),"")</f>
        <v/>
      </c>
      <c r="I2242" s="1" t="str">
        <f t="shared" si="2244"/>
        <v/>
      </c>
      <c r="J2242" s="1" t="str">
        <f t="shared" si="3"/>
        <v/>
      </c>
      <c r="L2242" s="1" t="s">
        <v>3437</v>
      </c>
      <c r="M2242" s="1" t="str">
        <f t="shared" si="4"/>
        <v>40, 44, GILDUCK</v>
      </c>
    </row>
    <row r="2243" ht="12.75" customHeight="1">
      <c r="A2243" s="3" t="s">
        <v>2539</v>
      </c>
      <c r="B2243" s="3" t="str">
        <f t="shared" si="1"/>
        <v>NEW ROUTE</v>
      </c>
      <c r="C2243" s="1" t="str">
        <f t="array" ref="C2243">IF(B2242="NEW ROUTE",TEXTSPLIT(B2243,","),"")</f>
        <v/>
      </c>
      <c r="H2243" s="1" t="str">
        <f t="shared" ref="H2243:I2243" si="2245">IF(C2243&lt;&gt;"",DEC2HEX(C2243,2),"")</f>
        <v/>
      </c>
      <c r="I2243" s="1" t="str">
        <f t="shared" si="2245"/>
        <v/>
      </c>
      <c r="J2243" s="1" t="str">
        <f t="shared" si="3"/>
        <v/>
      </c>
      <c r="L2243" s="1" t="s">
        <v>2539</v>
      </c>
      <c r="M2243" s="1" t="str">
        <f t="shared" si="4"/>
        <v>NEW ROUTE</v>
      </c>
    </row>
    <row r="2244" ht="12.75" customHeight="1">
      <c r="A2244" s="3" t="s">
        <v>3469</v>
      </c>
      <c r="B2244" s="3" t="str">
        <f t="shared" si="1"/>
        <v>3, 31, 0,</v>
      </c>
      <c r="C2244" s="1" t="str">
        <f t="array" ref="C2244">IF(B2243="NEW ROUTE",TEXTSPLIT(B2244,","),"")</f>
        <v>#NAME?</v>
      </c>
      <c r="H2244" s="1" t="str">
        <f t="shared" ref="H2244:I2244" si="2246">IF(C2244&lt;&gt;"",DEC2HEX(C2244,2),"")</f>
        <v>#NAME?</v>
      </c>
      <c r="I2244" s="1" t="str">
        <f t="shared" si="2246"/>
        <v/>
      </c>
      <c r="J2244" s="1" t="str">
        <f t="shared" si="3"/>
        <v>#NAME?</v>
      </c>
      <c r="L2244" s="1" t="s">
        <v>3469</v>
      </c>
      <c r="M2244" s="1" t="str">
        <f t="shared" si="4"/>
        <v>#NAME?</v>
      </c>
    </row>
    <row r="2245" ht="12.75" customHeight="1">
      <c r="A2245" s="3" t="s">
        <v>2909</v>
      </c>
      <c r="B2245" s="3" t="str">
        <f t="shared" si="1"/>
        <v>20%</v>
      </c>
      <c r="C2245" s="1" t="str">
        <f t="array" ref="C2245">IF(B2244="NEW ROUTE",TEXTSPLIT(B2245,","),"")</f>
        <v/>
      </c>
      <c r="H2245" s="1" t="str">
        <f t="shared" ref="H2245:I2245" si="2247">IF(C2245&lt;&gt;"",DEC2HEX(C2245,2),"")</f>
        <v/>
      </c>
      <c r="I2245" s="1" t="str">
        <f t="shared" si="2247"/>
        <v/>
      </c>
      <c r="J2245" s="1" t="str">
        <f t="shared" si="3"/>
        <v/>
      </c>
      <c r="L2245" s="1" t="s">
        <v>2799</v>
      </c>
      <c r="M2245" s="1" t="str">
        <f t="shared" si="4"/>
        <v>20%</v>
      </c>
    </row>
    <row r="2246" ht="12.75" customHeight="1">
      <c r="A2246" s="3" t="s">
        <v>1095</v>
      </c>
      <c r="B2246" s="3" t="str">
        <f t="shared" si="1"/>
        <v>30, 35, BELLSPROUT</v>
      </c>
      <c r="C2246" s="1" t="str">
        <f t="array" ref="C2246">IF(B2245="NEW ROUTE",TEXTSPLIT(B2246,","),"")</f>
        <v/>
      </c>
      <c r="H2246" s="1" t="str">
        <f t="shared" ref="H2246:I2246" si="2248">IF(C2246&lt;&gt;"",DEC2HEX(C2246,2),"")</f>
        <v/>
      </c>
      <c r="I2246" s="1" t="str">
        <f t="shared" si="2248"/>
        <v/>
      </c>
      <c r="J2246" s="1" t="str">
        <f t="shared" si="3"/>
        <v/>
      </c>
      <c r="L2246" s="1" t="s">
        <v>1095</v>
      </c>
      <c r="M2246" s="1" t="str">
        <f t="shared" si="4"/>
        <v>30, 35, BELLSPROUT</v>
      </c>
    </row>
    <row r="2247" ht="12.75" customHeight="1">
      <c r="A2247" s="3" t="s">
        <v>3470</v>
      </c>
      <c r="B2247" s="3" t="str">
        <f t="shared" si="1"/>
        <v>30, 35, PIDGEOTTO</v>
      </c>
      <c r="C2247" s="1" t="str">
        <f t="array" ref="C2247">IF(B2246="NEW ROUTE",TEXTSPLIT(B2247,","),"")</f>
        <v/>
      </c>
      <c r="H2247" s="1" t="str">
        <f t="shared" ref="H2247:I2247" si="2249">IF(C2247&lt;&gt;"",DEC2HEX(C2247,2),"")</f>
        <v/>
      </c>
      <c r="I2247" s="1" t="str">
        <f t="shared" si="2249"/>
        <v/>
      </c>
      <c r="J2247" s="1" t="str">
        <f t="shared" si="3"/>
        <v/>
      </c>
      <c r="L2247" s="1" t="s">
        <v>3470</v>
      </c>
      <c r="M2247" s="1" t="str">
        <f t="shared" si="4"/>
        <v>30, 35, PIDGEOTTO</v>
      </c>
    </row>
    <row r="2248" ht="12.75" customHeight="1">
      <c r="A2248" s="3" t="s">
        <v>2802</v>
      </c>
      <c r="B2248" s="3" t="str">
        <f t="shared" si="1"/>
        <v>0.1</v>
      </c>
      <c r="C2248" s="1" t="str">
        <f t="array" ref="C2248">IF(B2247="NEW ROUTE",TEXTSPLIT(B2248,","),"")</f>
        <v/>
      </c>
      <c r="H2248" s="1" t="str">
        <f t="shared" ref="H2248:I2248" si="2250">IF(C2248&lt;&gt;"",DEC2HEX(C2248,2),"")</f>
        <v/>
      </c>
      <c r="I2248" s="1" t="str">
        <f t="shared" si="2250"/>
        <v/>
      </c>
      <c r="J2248" s="1" t="str">
        <f t="shared" si="3"/>
        <v/>
      </c>
      <c r="L2248" s="1" t="s">
        <v>2802</v>
      </c>
      <c r="M2248" s="1" t="str">
        <f t="shared" si="4"/>
        <v>0.1</v>
      </c>
    </row>
    <row r="2249" ht="12.75" customHeight="1">
      <c r="A2249" s="3" t="s">
        <v>3471</v>
      </c>
      <c r="B2249" s="3" t="str">
        <f t="shared" si="1"/>
        <v>30, 32, WEEPINBELL</v>
      </c>
      <c r="C2249" s="1" t="str">
        <f t="array" ref="C2249">IF(B2248="NEW ROUTE",TEXTSPLIT(B2249,","),"")</f>
        <v/>
      </c>
      <c r="H2249" s="1" t="str">
        <f t="shared" ref="H2249:I2249" si="2251">IF(C2249&lt;&gt;"",DEC2HEX(C2249,2),"")</f>
        <v/>
      </c>
      <c r="I2249" s="1" t="str">
        <f t="shared" si="2251"/>
        <v/>
      </c>
      <c r="J2249" s="1" t="str">
        <f t="shared" si="3"/>
        <v/>
      </c>
      <c r="L2249" s="1" t="s">
        <v>3471</v>
      </c>
      <c r="M2249" s="1" t="str">
        <f t="shared" si="4"/>
        <v>30, 32, WEEPINBELL</v>
      </c>
    </row>
    <row r="2250" ht="12.75" customHeight="1">
      <c r="A2250" s="3" t="s">
        <v>3472</v>
      </c>
      <c r="B2250" s="3" t="str">
        <f t="shared" si="1"/>
        <v>30, 32, DODUO</v>
      </c>
      <c r="C2250" s="1" t="str">
        <f t="array" ref="C2250">IF(B2249="NEW ROUTE",TEXTSPLIT(B2250,","),"")</f>
        <v/>
      </c>
      <c r="H2250" s="1" t="str">
        <f t="shared" ref="H2250:I2250" si="2252">IF(C2250&lt;&gt;"",DEC2HEX(C2250,2),"")</f>
        <v/>
      </c>
      <c r="I2250" s="1" t="str">
        <f t="shared" si="2252"/>
        <v/>
      </c>
      <c r="J2250" s="1" t="str">
        <f t="shared" si="3"/>
        <v/>
      </c>
      <c r="L2250" s="1" t="s">
        <v>3472</v>
      </c>
      <c r="M2250" s="1" t="str">
        <f t="shared" si="4"/>
        <v>30, 32, DODUO</v>
      </c>
    </row>
    <row r="2251" ht="12.75" customHeight="1">
      <c r="A2251" s="3" t="s">
        <v>3473</v>
      </c>
      <c r="B2251" s="3" t="str">
        <f t="shared" si="1"/>
        <v>32, 32, PIDGEOT</v>
      </c>
      <c r="C2251" s="1" t="str">
        <f t="array" ref="C2251">IF(B2250="NEW ROUTE",TEXTSPLIT(B2251,","),"")</f>
        <v/>
      </c>
      <c r="H2251" s="1" t="str">
        <f t="shared" ref="H2251:I2251" si="2253">IF(C2251&lt;&gt;"",DEC2HEX(C2251,2),"")</f>
        <v/>
      </c>
      <c r="I2251" s="1" t="str">
        <f t="shared" si="2253"/>
        <v/>
      </c>
      <c r="J2251" s="1" t="str">
        <f t="shared" si="3"/>
        <v/>
      </c>
      <c r="L2251" s="1" t="s">
        <v>3473</v>
      </c>
      <c r="M2251" s="1" t="str">
        <f t="shared" si="4"/>
        <v>32, 32, PIDGEOT</v>
      </c>
    </row>
    <row r="2252" ht="12.75" customHeight="1">
      <c r="A2252" s="3" t="s">
        <v>3474</v>
      </c>
      <c r="B2252" s="3" t="str">
        <f t="shared" si="1"/>
        <v>30, 32, EXEGGCUTE</v>
      </c>
      <c r="C2252" s="1" t="str">
        <f t="array" ref="C2252">IF(B2251="NEW ROUTE",TEXTSPLIT(B2252,","),"")</f>
        <v/>
      </c>
      <c r="H2252" s="1" t="str">
        <f t="shared" ref="H2252:I2252" si="2254">IF(C2252&lt;&gt;"",DEC2HEX(C2252,2),"")</f>
        <v/>
      </c>
      <c r="I2252" s="1" t="str">
        <f t="shared" si="2254"/>
        <v/>
      </c>
      <c r="J2252" s="1" t="str">
        <f t="shared" si="3"/>
        <v/>
      </c>
      <c r="L2252" s="1" t="s">
        <v>3474</v>
      </c>
      <c r="M2252" s="1" t="str">
        <f t="shared" si="4"/>
        <v>30, 32, EXEGGCUTE</v>
      </c>
    </row>
    <row r="2253" ht="12.75" customHeight="1">
      <c r="A2253" s="3" t="s">
        <v>2807</v>
      </c>
      <c r="B2253" s="3" t="str">
        <f t="shared" si="1"/>
        <v>0.05</v>
      </c>
      <c r="C2253" s="1" t="str">
        <f t="array" ref="C2253">IF(B2252="NEW ROUTE",TEXTSPLIT(B2253,","),"")</f>
        <v/>
      </c>
      <c r="H2253" s="1" t="str">
        <f t="shared" ref="H2253:I2253" si="2255">IF(C2253&lt;&gt;"",DEC2HEX(C2253,2),"")</f>
        <v/>
      </c>
      <c r="I2253" s="1" t="str">
        <f t="shared" si="2255"/>
        <v/>
      </c>
      <c r="J2253" s="1" t="str">
        <f t="shared" si="3"/>
        <v/>
      </c>
      <c r="L2253" s="1" t="s">
        <v>2807</v>
      </c>
      <c r="M2253" s="1" t="str">
        <f t="shared" si="4"/>
        <v>0.05</v>
      </c>
    </row>
    <row r="2254" ht="12.75" customHeight="1">
      <c r="A2254" s="3" t="s">
        <v>3475</v>
      </c>
      <c r="B2254" s="3" t="str">
        <f t="shared" si="1"/>
        <v>31, 35, SCYTHER</v>
      </c>
      <c r="C2254" s="1" t="str">
        <f t="array" ref="C2254">IF(B2253="NEW ROUTE",TEXTSPLIT(B2254,","),"")</f>
        <v/>
      </c>
      <c r="H2254" s="1" t="str">
        <f t="shared" ref="H2254:I2254" si="2256">IF(C2254&lt;&gt;"",DEC2HEX(C2254,2),"")</f>
        <v/>
      </c>
      <c r="I2254" s="1" t="str">
        <f t="shared" si="2256"/>
        <v/>
      </c>
      <c r="J2254" s="1" t="str">
        <f t="shared" si="3"/>
        <v/>
      </c>
      <c r="L2254" s="1" t="s">
        <v>3475</v>
      </c>
      <c r="M2254" s="1" t="str">
        <f t="shared" si="4"/>
        <v>31, 35, SCYTHER</v>
      </c>
    </row>
    <row r="2255" ht="12.75" customHeight="1">
      <c r="A2255" s="3" t="s">
        <v>3476</v>
      </c>
      <c r="B2255" s="3" t="str">
        <f t="shared" si="1"/>
        <v>31, 35, JYNX</v>
      </c>
      <c r="C2255" s="1" t="str">
        <f t="array" ref="C2255">IF(B2254="NEW ROUTE",TEXTSPLIT(B2255,","),"")</f>
        <v/>
      </c>
      <c r="H2255" s="1" t="str">
        <f t="shared" ref="H2255:I2255" si="2257">IF(C2255&lt;&gt;"",DEC2HEX(C2255,2),"")</f>
        <v/>
      </c>
      <c r="I2255" s="1" t="str">
        <f t="shared" si="2257"/>
        <v/>
      </c>
      <c r="J2255" s="1" t="str">
        <f t="shared" si="3"/>
        <v/>
      </c>
      <c r="L2255" s="1" t="s">
        <v>3476</v>
      </c>
      <c r="M2255" s="1" t="str">
        <f t="shared" si="4"/>
        <v>31, 35, JYNX</v>
      </c>
    </row>
    <row r="2256" ht="12.75" customHeight="1">
      <c r="A2256" s="3" t="s">
        <v>2810</v>
      </c>
      <c r="B2256" s="3" t="str">
        <f t="shared" si="1"/>
        <v>0.04</v>
      </c>
      <c r="C2256" s="1" t="str">
        <f t="array" ref="C2256">IF(B2255="NEW ROUTE",TEXTSPLIT(B2256,","),"")</f>
        <v/>
      </c>
      <c r="H2256" s="1" t="str">
        <f t="shared" ref="H2256:I2256" si="2258">IF(C2256&lt;&gt;"",DEC2HEX(C2256,2),"")</f>
        <v/>
      </c>
      <c r="I2256" s="1" t="str">
        <f t="shared" si="2258"/>
        <v/>
      </c>
      <c r="J2256" s="1" t="str">
        <f t="shared" si="3"/>
        <v/>
      </c>
      <c r="L2256" s="1" t="s">
        <v>2810</v>
      </c>
      <c r="M2256" s="1" t="str">
        <f t="shared" si="4"/>
        <v>0.04</v>
      </c>
    </row>
    <row r="2257" ht="12.75" customHeight="1">
      <c r="A2257" s="3" t="s">
        <v>3477</v>
      </c>
      <c r="B2257" s="3" t="str">
        <f t="shared" si="1"/>
        <v>32, 32, DODRIO</v>
      </c>
      <c r="C2257" s="1" t="str">
        <f t="array" ref="C2257">IF(B2256="NEW ROUTE",TEXTSPLIT(B2257,","),"")</f>
        <v/>
      </c>
      <c r="H2257" s="1" t="str">
        <f t="shared" ref="H2257:I2257" si="2259">IF(C2257&lt;&gt;"",DEC2HEX(C2257,2),"")</f>
        <v/>
      </c>
      <c r="I2257" s="1" t="str">
        <f t="shared" si="2259"/>
        <v/>
      </c>
      <c r="J2257" s="1" t="str">
        <f t="shared" si="3"/>
        <v/>
      </c>
      <c r="L2257" s="1" t="s">
        <v>3477</v>
      </c>
      <c r="M2257" s="1" t="str">
        <f t="shared" si="4"/>
        <v>32, 32, DODRIO</v>
      </c>
    </row>
    <row r="2258" ht="12.75" customHeight="1">
      <c r="A2258" s="3" t="s">
        <v>3478</v>
      </c>
      <c r="B2258" s="3" t="str">
        <f t="shared" si="1"/>
        <v>32, 32, EXEGGUTOR</v>
      </c>
      <c r="C2258" s="1" t="str">
        <f t="array" ref="C2258">IF(B2257="NEW ROUTE",TEXTSPLIT(B2258,","),"")</f>
        <v/>
      </c>
      <c r="H2258" s="1" t="str">
        <f t="shared" ref="H2258:I2258" si="2260">IF(C2258&lt;&gt;"",DEC2HEX(C2258,2),"")</f>
        <v/>
      </c>
      <c r="I2258" s="1" t="str">
        <f t="shared" si="2260"/>
        <v/>
      </c>
      <c r="J2258" s="1" t="str">
        <f t="shared" si="3"/>
        <v/>
      </c>
      <c r="L2258" s="1" t="s">
        <v>3478</v>
      </c>
      <c r="M2258" s="1" t="str">
        <f t="shared" si="4"/>
        <v>32, 32, EXEGGUTOR</v>
      </c>
    </row>
    <row r="2259" ht="12.75" customHeight="1">
      <c r="A2259" s="3" t="s">
        <v>2813</v>
      </c>
      <c r="B2259" s="3" t="str">
        <f t="shared" si="1"/>
        <v>0.01</v>
      </c>
      <c r="C2259" s="1" t="str">
        <f t="array" ref="C2259">IF(B2258="NEW ROUTE",TEXTSPLIT(B2259,","),"")</f>
        <v/>
      </c>
      <c r="H2259" s="1" t="str">
        <f t="shared" ref="H2259:I2259" si="2261">IF(C2259&lt;&gt;"",DEC2HEX(C2259,2),"")</f>
        <v/>
      </c>
      <c r="I2259" s="1" t="str">
        <f t="shared" si="2261"/>
        <v/>
      </c>
      <c r="J2259" s="1" t="str">
        <f t="shared" si="3"/>
        <v/>
      </c>
      <c r="L2259" s="1" t="s">
        <v>2813</v>
      </c>
      <c r="M2259" s="1" t="str">
        <f t="shared" si="4"/>
        <v>0.01</v>
      </c>
    </row>
    <row r="2260" ht="12.75" customHeight="1">
      <c r="A2260" s="3" t="s">
        <v>3479</v>
      </c>
      <c r="B2260" s="3" t="str">
        <f t="shared" si="1"/>
        <v>30, 35, VICTREEBEL</v>
      </c>
      <c r="C2260" s="1" t="str">
        <f t="array" ref="C2260">IF(B2259="NEW ROUTE",TEXTSPLIT(B2260,","),"")</f>
        <v/>
      </c>
      <c r="H2260" s="1" t="str">
        <f t="shared" ref="H2260:I2260" si="2262">IF(C2260&lt;&gt;"",DEC2HEX(C2260,2),"")</f>
        <v/>
      </c>
      <c r="I2260" s="1" t="str">
        <f t="shared" si="2262"/>
        <v/>
      </c>
      <c r="J2260" s="1" t="str">
        <f t="shared" si="3"/>
        <v/>
      </c>
      <c r="L2260" s="1" t="s">
        <v>3479</v>
      </c>
      <c r="M2260" s="1" t="str">
        <f t="shared" si="4"/>
        <v>30, 35, VICTREEBEL</v>
      </c>
    </row>
    <row r="2261" ht="12.75" customHeight="1">
      <c r="A2261" s="3" t="s">
        <v>3467</v>
      </c>
      <c r="B2261" s="3" t="str">
        <f t="shared" si="1"/>
        <v>20, 25, SQUIRTLE</v>
      </c>
      <c r="C2261" s="1" t="str">
        <f t="array" ref="C2261">IF(B2260="NEW ROUTE",TEXTSPLIT(B2261,","),"")</f>
        <v/>
      </c>
      <c r="H2261" s="1" t="str">
        <f t="shared" ref="H2261:I2261" si="2263">IF(C2261&lt;&gt;"",DEC2HEX(C2261,2),"")</f>
        <v/>
      </c>
      <c r="I2261" s="1" t="str">
        <f t="shared" si="2263"/>
        <v/>
      </c>
      <c r="J2261" s="1" t="str">
        <f t="shared" si="3"/>
        <v/>
      </c>
      <c r="L2261" s="1" t="s">
        <v>3467</v>
      </c>
      <c r="M2261" s="1" t="str">
        <f t="shared" si="4"/>
        <v>20, 25, SQUIRTLE</v>
      </c>
    </row>
    <row r="2262" ht="12.75" customHeight="1">
      <c r="A2262" s="3" t="s">
        <v>3350</v>
      </c>
      <c r="B2262" s="3" t="str">
        <f t="shared" si="1"/>
        <v>2, 38, 42, TENTACOOL</v>
      </c>
      <c r="C2262" s="1" t="str">
        <f t="array" ref="C2262">IF(B2261="NEW ROUTE",TEXTSPLIT(B2262,","),"")</f>
        <v/>
      </c>
      <c r="H2262" s="1" t="str">
        <f t="shared" ref="H2262:I2262" si="2264">IF(C2262&lt;&gt;"",DEC2HEX(C2262,2),"")</f>
        <v/>
      </c>
      <c r="I2262" s="1" t="str">
        <f t="shared" si="2264"/>
        <v/>
      </c>
      <c r="J2262" s="1" t="str">
        <f t="shared" si="3"/>
        <v/>
      </c>
      <c r="L2262" s="1" t="s">
        <v>3350</v>
      </c>
      <c r="M2262" s="1" t="str">
        <f t="shared" si="4"/>
        <v>2, 38, 42, TENTACOOL</v>
      </c>
    </row>
    <row r="2263" ht="12.75" customHeight="1">
      <c r="A2263" s="3" t="s">
        <v>3429</v>
      </c>
      <c r="B2263" s="3" t="str">
        <f t="shared" si="1"/>
        <v>40, 44, TENTACRUEL</v>
      </c>
      <c r="C2263" s="1" t="str">
        <f t="array" ref="C2263">IF(B2262="NEW ROUTE",TEXTSPLIT(B2263,","),"")</f>
        <v/>
      </c>
      <c r="H2263" s="1" t="str">
        <f t="shared" ref="H2263:I2263" si="2265">IF(C2263&lt;&gt;"",DEC2HEX(C2263,2),"")</f>
        <v/>
      </c>
      <c r="I2263" s="1" t="str">
        <f t="shared" si="2265"/>
        <v/>
      </c>
      <c r="J2263" s="1" t="str">
        <f t="shared" si="3"/>
        <v/>
      </c>
      <c r="L2263" s="1" t="s">
        <v>3429</v>
      </c>
      <c r="M2263" s="1" t="str">
        <f t="shared" si="4"/>
        <v>40, 44, TENTACRUEL</v>
      </c>
    </row>
    <row r="2264" ht="12.75" customHeight="1">
      <c r="A2264" s="3" t="s">
        <v>3025</v>
      </c>
      <c r="B2264" s="3" t="str">
        <f t="shared" si="1"/>
        <v>42, 46, LAPRAS</v>
      </c>
      <c r="C2264" s="1" t="str">
        <f t="array" ref="C2264">IF(B2263="NEW ROUTE",TEXTSPLIT(B2264,","),"")</f>
        <v/>
      </c>
      <c r="H2264" s="1" t="str">
        <f t="shared" ref="H2264:I2264" si="2266">IF(C2264&lt;&gt;"",DEC2HEX(C2264,2),"")</f>
        <v/>
      </c>
      <c r="I2264" s="1" t="str">
        <f t="shared" si="2266"/>
        <v/>
      </c>
      <c r="J2264" s="1" t="str">
        <f t="shared" si="3"/>
        <v/>
      </c>
      <c r="L2264" s="1" t="s">
        <v>3025</v>
      </c>
      <c r="M2264" s="1" t="str">
        <f t="shared" si="4"/>
        <v>42, 46, LAPRAS</v>
      </c>
    </row>
    <row r="2265" ht="12.75" customHeight="1">
      <c r="A2265" s="3" t="s">
        <v>3430</v>
      </c>
      <c r="B2265" s="3" t="str">
        <f t="shared" si="1"/>
        <v>42, 46, TENTACATE</v>
      </c>
      <c r="C2265" s="1" t="str">
        <f t="array" ref="C2265">IF(B2264="NEW ROUTE",TEXTSPLIT(B2265,","),"")</f>
        <v/>
      </c>
      <c r="H2265" s="1" t="str">
        <f t="shared" ref="H2265:I2265" si="2267">IF(C2265&lt;&gt;"",DEC2HEX(C2265,2),"")</f>
        <v/>
      </c>
      <c r="I2265" s="1" t="str">
        <f t="shared" si="2267"/>
        <v/>
      </c>
      <c r="J2265" s="1" t="str">
        <f t="shared" si="3"/>
        <v/>
      </c>
      <c r="L2265" s="1" t="s">
        <v>3430</v>
      </c>
      <c r="M2265" s="1" t="str">
        <f t="shared" si="4"/>
        <v>42, 46, TENTACATE</v>
      </c>
    </row>
    <row r="2266" ht="12.75" customHeight="1">
      <c r="A2266" s="3" t="s">
        <v>3450</v>
      </c>
      <c r="B2266" s="3" t="str">
        <f t="shared" si="1"/>
        <v>44, 48, LOCHLASS</v>
      </c>
      <c r="C2266" s="1" t="str">
        <f t="array" ref="C2266">IF(B2265="NEW ROUTE",TEXTSPLIT(B2266,","),"")</f>
        <v/>
      </c>
      <c r="H2266" s="1" t="str">
        <f t="shared" ref="H2266:I2266" si="2268">IF(C2266&lt;&gt;"",DEC2HEX(C2266,2),"")</f>
        <v/>
      </c>
      <c r="I2266" s="1" t="str">
        <f t="shared" si="2268"/>
        <v/>
      </c>
      <c r="J2266" s="1" t="str">
        <f t="shared" si="3"/>
        <v/>
      </c>
      <c r="L2266" s="1" t="s">
        <v>3450</v>
      </c>
      <c r="M2266" s="1" t="str">
        <f t="shared" si="4"/>
        <v>44, 48, LOCHLASS</v>
      </c>
    </row>
    <row r="2267" ht="12.75" customHeight="1">
      <c r="A2267" s="3" t="s">
        <v>2926</v>
      </c>
      <c r="B2267" s="3" t="str">
        <f t="shared" si="1"/>
        <v>20, old rod:</v>
      </c>
      <c r="C2267" s="1" t="str">
        <f t="array" ref="C2267">IF(B2266="NEW ROUTE",TEXTSPLIT(B2267,","),"")</f>
        <v/>
      </c>
      <c r="H2267" s="1" t="str">
        <f t="shared" ref="H2267:I2267" si="2269">IF(C2267&lt;&gt;"",DEC2HEX(C2267,2),"")</f>
        <v/>
      </c>
      <c r="I2267" s="1" t="str">
        <f t="shared" si="2269"/>
        <v/>
      </c>
      <c r="J2267" s="1" t="str">
        <f t="shared" si="3"/>
        <v/>
      </c>
      <c r="L2267" s="1" t="s">
        <v>2926</v>
      </c>
      <c r="M2267" s="1" t="str">
        <f t="shared" si="4"/>
        <v>20, old rod:</v>
      </c>
    </row>
    <row r="2268" ht="12.75" customHeight="1">
      <c r="A2268" s="3" t="s">
        <v>500</v>
      </c>
      <c r="B2268" s="3" t="str">
        <f t="shared" si="1"/>
        <v>19, 26, MAGIKARP</v>
      </c>
      <c r="C2268" s="1" t="str">
        <f t="array" ref="C2268">IF(B2267="NEW ROUTE",TEXTSPLIT(B2268,","),"")</f>
        <v/>
      </c>
      <c r="H2268" s="1" t="str">
        <f t="shared" ref="H2268:I2268" si="2270">IF(C2268&lt;&gt;"",DEC2HEX(C2268,2),"")</f>
        <v/>
      </c>
      <c r="I2268" s="1" t="str">
        <f t="shared" si="2270"/>
        <v/>
      </c>
      <c r="J2268" s="1" t="str">
        <f t="shared" si="3"/>
        <v/>
      </c>
      <c r="L2268" s="1" t="s">
        <v>500</v>
      </c>
      <c r="M2268" s="1" t="str">
        <f t="shared" si="4"/>
        <v>19, 26, MAGIKARP</v>
      </c>
    </row>
    <row r="2269" ht="12.75" customHeight="1">
      <c r="A2269" s="3" t="s">
        <v>3353</v>
      </c>
      <c r="B2269" s="3" t="str">
        <f t="shared" si="1"/>
        <v>19, 26, GYARADOS</v>
      </c>
      <c r="C2269" s="1" t="str">
        <f t="array" ref="C2269">IF(B2268="NEW ROUTE",TEXTSPLIT(B2269,","),"")</f>
        <v/>
      </c>
      <c r="H2269" s="1" t="str">
        <f t="shared" ref="H2269:I2269" si="2271">IF(C2269&lt;&gt;"",DEC2HEX(C2269,2),"")</f>
        <v/>
      </c>
      <c r="I2269" s="1" t="str">
        <f t="shared" si="2271"/>
        <v/>
      </c>
      <c r="J2269" s="1" t="str">
        <f t="shared" si="3"/>
        <v/>
      </c>
      <c r="L2269" s="1" t="s">
        <v>3353</v>
      </c>
      <c r="M2269" s="1" t="str">
        <f t="shared" si="4"/>
        <v>19, 26, GYARADOS</v>
      </c>
    </row>
    <row r="2270" ht="12.75" customHeight="1">
      <c r="A2270" s="3" t="s">
        <v>2847</v>
      </c>
      <c r="B2270" s="3" t="str">
        <f t="shared" si="1"/>
        <v>good rod:</v>
      </c>
      <c r="C2270" s="1" t="str">
        <f t="array" ref="C2270">IF(B2269="NEW ROUTE",TEXTSPLIT(B2270,","),"")</f>
        <v/>
      </c>
      <c r="H2270" s="1" t="str">
        <f t="shared" ref="H2270:I2270" si="2272">IF(C2270&lt;&gt;"",DEC2HEX(C2270,2),"")</f>
        <v/>
      </c>
      <c r="I2270" s="1" t="str">
        <f t="shared" si="2272"/>
        <v/>
      </c>
      <c r="J2270" s="1" t="str">
        <f t="shared" si="3"/>
        <v/>
      </c>
      <c r="L2270" s="1" t="s">
        <v>2847</v>
      </c>
      <c r="M2270" s="1" t="str">
        <f t="shared" si="4"/>
        <v>good rod:</v>
      </c>
    </row>
    <row r="2271" ht="12.75" customHeight="1">
      <c r="A2271" s="3" t="s">
        <v>3431</v>
      </c>
      <c r="B2271" s="3" t="str">
        <f t="shared" si="1"/>
        <v>29, 33, HORSEA</v>
      </c>
      <c r="C2271" s="1" t="str">
        <f t="array" ref="C2271">IF(B2270="NEW ROUTE",TEXTSPLIT(B2271,","),"")</f>
        <v/>
      </c>
      <c r="H2271" s="1" t="str">
        <f t="shared" ref="H2271:I2271" si="2273">IF(C2271&lt;&gt;"",DEC2HEX(C2271,2),"")</f>
        <v/>
      </c>
      <c r="I2271" s="1" t="str">
        <f t="shared" si="2273"/>
        <v/>
      </c>
      <c r="J2271" s="1" t="str">
        <f t="shared" si="3"/>
        <v/>
      </c>
      <c r="L2271" s="1" t="s">
        <v>3431</v>
      </c>
      <c r="M2271" s="1" t="str">
        <f t="shared" si="4"/>
        <v>29, 33, HORSEA</v>
      </c>
    </row>
    <row r="2272" ht="12.75" customHeight="1">
      <c r="A2272" s="3" t="s">
        <v>3028</v>
      </c>
      <c r="B2272" s="3" t="str">
        <f t="shared" si="1"/>
        <v>30, 35, KRABBY</v>
      </c>
      <c r="C2272" s="1" t="str">
        <f t="array" ref="C2272">IF(B2271="NEW ROUTE",TEXTSPLIT(B2272,","),"")</f>
        <v/>
      </c>
      <c r="H2272" s="1" t="str">
        <f t="shared" ref="H2272:I2272" si="2274">IF(C2272&lt;&gt;"",DEC2HEX(C2272,2),"")</f>
        <v/>
      </c>
      <c r="I2272" s="1" t="str">
        <f t="shared" si="2274"/>
        <v/>
      </c>
      <c r="J2272" s="1" t="str">
        <f t="shared" si="3"/>
        <v/>
      </c>
      <c r="L2272" s="1" t="s">
        <v>3028</v>
      </c>
      <c r="M2272" s="1" t="str">
        <f t="shared" si="4"/>
        <v>30, 35, KRABBY</v>
      </c>
    </row>
    <row r="2273" ht="12.75" customHeight="1">
      <c r="A2273" s="3" t="s">
        <v>3355</v>
      </c>
      <c r="B2273" s="3" t="str">
        <f t="shared" si="1"/>
        <v>30, 35, PSYDUCK</v>
      </c>
      <c r="C2273" s="1" t="str">
        <f t="array" ref="C2273">IF(B2272="NEW ROUTE",TEXTSPLIT(B2273,","),"")</f>
        <v/>
      </c>
      <c r="H2273" s="1" t="str">
        <f t="shared" ref="H2273:I2273" si="2275">IF(C2273&lt;&gt;"",DEC2HEX(C2273,2),"")</f>
        <v/>
      </c>
      <c r="I2273" s="1" t="str">
        <f t="shared" si="2275"/>
        <v/>
      </c>
      <c r="J2273" s="1" t="str">
        <f t="shared" si="3"/>
        <v/>
      </c>
      <c r="L2273" s="1" t="s">
        <v>3355</v>
      </c>
      <c r="M2273" s="1" t="str">
        <f t="shared" si="4"/>
        <v>30, 35, PSYDUCK</v>
      </c>
    </row>
    <row r="2274" ht="12.75" customHeight="1">
      <c r="A2274" s="3" t="s">
        <v>2851</v>
      </c>
      <c r="B2274" s="3" t="str">
        <f t="shared" si="1"/>
        <v>super rod:</v>
      </c>
      <c r="C2274" s="1" t="str">
        <f t="array" ref="C2274">IF(B2273="NEW ROUTE",TEXTSPLIT(B2274,","),"")</f>
        <v/>
      </c>
      <c r="H2274" s="1" t="str">
        <f t="shared" ref="H2274:I2274" si="2276">IF(C2274&lt;&gt;"",DEC2HEX(C2274,2),"")</f>
        <v/>
      </c>
      <c r="I2274" s="1" t="str">
        <f t="shared" si="2276"/>
        <v/>
      </c>
      <c r="J2274" s="1" t="str">
        <f t="shared" si="3"/>
        <v/>
      </c>
      <c r="L2274" s="1" t="s">
        <v>2851</v>
      </c>
      <c r="M2274" s="1" t="str">
        <f t="shared" si="4"/>
        <v>super rod:</v>
      </c>
    </row>
    <row r="2275" ht="12.75" customHeight="1">
      <c r="A2275" s="3" t="s">
        <v>3433</v>
      </c>
      <c r="B2275" s="3" t="str">
        <f t="shared" si="1"/>
        <v>36, 40, SEADRA</v>
      </c>
      <c r="C2275" s="1" t="str">
        <f t="array" ref="C2275">IF(B2274="NEW ROUTE",TEXTSPLIT(B2275,","),"")</f>
        <v/>
      </c>
      <c r="H2275" s="1" t="str">
        <f t="shared" ref="H2275:I2275" si="2277">IF(C2275&lt;&gt;"",DEC2HEX(C2275,2),"")</f>
        <v/>
      </c>
      <c r="I2275" s="1" t="str">
        <f t="shared" si="2277"/>
        <v/>
      </c>
      <c r="J2275" s="1" t="str">
        <f t="shared" si="3"/>
        <v/>
      </c>
      <c r="L2275" s="1" t="s">
        <v>3433</v>
      </c>
      <c r="M2275" s="1" t="str">
        <f t="shared" si="4"/>
        <v>36, 40, SEADRA</v>
      </c>
    </row>
    <row r="2276" ht="12.75" customHeight="1">
      <c r="A2276" s="3" t="s">
        <v>3357</v>
      </c>
      <c r="B2276" s="3" t="str">
        <f t="shared" si="1"/>
        <v>36, 40, GYARADOS</v>
      </c>
      <c r="C2276" s="1" t="str">
        <f t="array" ref="C2276">IF(B2275="NEW ROUTE",TEXTSPLIT(B2276,","),"")</f>
        <v/>
      </c>
      <c r="H2276" s="1" t="str">
        <f t="shared" ref="H2276:I2276" si="2278">IF(C2276&lt;&gt;"",DEC2HEX(C2276,2),"")</f>
        <v/>
      </c>
      <c r="I2276" s="1" t="str">
        <f t="shared" si="2278"/>
        <v/>
      </c>
      <c r="J2276" s="1" t="str">
        <f t="shared" si="3"/>
        <v/>
      </c>
      <c r="L2276" s="1" t="s">
        <v>3357</v>
      </c>
      <c r="M2276" s="1" t="str">
        <f t="shared" si="4"/>
        <v>36, 40, GYARADOS</v>
      </c>
    </row>
    <row r="2277" ht="12.75" customHeight="1">
      <c r="A2277" s="3" t="s">
        <v>3358</v>
      </c>
      <c r="B2277" s="3" t="str">
        <f t="shared" si="1"/>
        <v>38, 42, GOLDUCK</v>
      </c>
      <c r="C2277" s="1" t="str">
        <f t="array" ref="C2277">IF(B2276="NEW ROUTE",TEXTSPLIT(B2277,","),"")</f>
        <v/>
      </c>
      <c r="H2277" s="1" t="str">
        <f t="shared" ref="H2277:I2277" si="2279">IF(C2277&lt;&gt;"",DEC2HEX(C2277,2),"")</f>
        <v/>
      </c>
      <c r="I2277" s="1" t="str">
        <f t="shared" si="2279"/>
        <v/>
      </c>
      <c r="J2277" s="1" t="str">
        <f t="shared" si="3"/>
        <v/>
      </c>
      <c r="L2277" s="1" t="s">
        <v>3358</v>
      </c>
      <c r="M2277" s="1" t="str">
        <f t="shared" si="4"/>
        <v>38, 42, GOLDUCK</v>
      </c>
    </row>
    <row r="2278" ht="12.75" customHeight="1">
      <c r="A2278" s="3" t="s">
        <v>3359</v>
      </c>
      <c r="B2278" s="3" t="str">
        <f t="shared" si="1"/>
        <v>38, 42, KINGLER</v>
      </c>
      <c r="C2278" s="1" t="str">
        <f t="array" ref="C2278">IF(B2277="NEW ROUTE",TEXTSPLIT(B2278,","),"")</f>
        <v/>
      </c>
      <c r="H2278" s="1" t="str">
        <f t="shared" ref="H2278:I2278" si="2280">IF(C2278&lt;&gt;"",DEC2HEX(C2278,2),"")</f>
        <v/>
      </c>
      <c r="I2278" s="1" t="str">
        <f t="shared" si="2280"/>
        <v/>
      </c>
      <c r="J2278" s="1" t="str">
        <f t="shared" si="3"/>
        <v/>
      </c>
      <c r="L2278" s="1" t="s">
        <v>3359</v>
      </c>
      <c r="M2278" s="1" t="str">
        <f t="shared" si="4"/>
        <v>38, 42, KINGLER</v>
      </c>
    </row>
    <row r="2279" ht="12.75" customHeight="1">
      <c r="A2279" s="3" t="s">
        <v>3437</v>
      </c>
      <c r="B2279" s="3" t="str">
        <f t="shared" si="1"/>
        <v>40, 44, GILDUCK</v>
      </c>
      <c r="C2279" s="1" t="str">
        <f t="array" ref="C2279">IF(B2278="NEW ROUTE",TEXTSPLIT(B2279,","),"")</f>
        <v/>
      </c>
      <c r="H2279" s="1" t="str">
        <f t="shared" ref="H2279:I2279" si="2281">IF(C2279&lt;&gt;"",DEC2HEX(C2279,2),"")</f>
        <v/>
      </c>
      <c r="I2279" s="1" t="str">
        <f t="shared" si="2281"/>
        <v/>
      </c>
      <c r="J2279" s="1" t="str">
        <f t="shared" si="3"/>
        <v/>
      </c>
      <c r="L2279" s="1" t="s">
        <v>3437</v>
      </c>
      <c r="M2279" s="1" t="str">
        <f t="shared" si="4"/>
        <v>40, 44, GILDUCK</v>
      </c>
    </row>
    <row r="2280" ht="12.75" customHeight="1">
      <c r="A2280" s="3" t="s">
        <v>2539</v>
      </c>
      <c r="B2280" s="3" t="str">
        <f t="shared" si="1"/>
        <v>NEW ROUTE</v>
      </c>
      <c r="C2280" s="1" t="str">
        <f t="array" ref="C2280">IF(B2279="NEW ROUTE",TEXTSPLIT(B2280,","),"")</f>
        <v/>
      </c>
      <c r="H2280" s="1" t="str">
        <f t="shared" ref="H2280:I2280" si="2282">IF(C2280&lt;&gt;"",DEC2HEX(C2280,2),"")</f>
        <v/>
      </c>
      <c r="I2280" s="1" t="str">
        <f t="shared" si="2282"/>
        <v/>
      </c>
      <c r="J2280" s="1" t="str">
        <f t="shared" si="3"/>
        <v/>
      </c>
      <c r="L2280" s="1" t="s">
        <v>2539</v>
      </c>
      <c r="M2280" s="1" t="str">
        <f t="shared" si="4"/>
        <v>NEW ROUTE</v>
      </c>
    </row>
    <row r="2281" ht="12.75" customHeight="1">
      <c r="A2281" s="3" t="s">
        <v>3480</v>
      </c>
      <c r="B2281" s="3" t="str">
        <f t="shared" si="1"/>
        <v>3, 32, 0,</v>
      </c>
      <c r="C2281" s="1" t="str">
        <f t="array" ref="C2281">IF(B2280="NEW ROUTE",TEXTSPLIT(B2281,","),"")</f>
        <v>#NAME?</v>
      </c>
      <c r="H2281" s="1" t="str">
        <f t="shared" ref="H2281:I2281" si="2283">IF(C2281&lt;&gt;"",DEC2HEX(C2281,2),"")</f>
        <v>#NAME?</v>
      </c>
      <c r="I2281" s="1" t="str">
        <f t="shared" si="2283"/>
        <v/>
      </c>
      <c r="J2281" s="1" t="str">
        <f t="shared" si="3"/>
        <v>#NAME?</v>
      </c>
      <c r="L2281" s="1" t="s">
        <v>3480</v>
      </c>
      <c r="M2281" s="1" t="str">
        <f t="shared" si="4"/>
        <v>#NAME?</v>
      </c>
    </row>
    <row r="2282" ht="12.75" customHeight="1">
      <c r="A2282" s="3" t="s">
        <v>2909</v>
      </c>
      <c r="B2282" s="3" t="str">
        <f t="shared" si="1"/>
        <v>20%</v>
      </c>
      <c r="C2282" s="1" t="str">
        <f t="array" ref="C2282">IF(B2281="NEW ROUTE",TEXTSPLIT(B2282,","),"")</f>
        <v/>
      </c>
      <c r="H2282" s="1" t="str">
        <f t="shared" ref="H2282:I2282" si="2284">IF(C2282&lt;&gt;"",DEC2HEX(C2282,2),"")</f>
        <v/>
      </c>
      <c r="I2282" s="1" t="str">
        <f t="shared" si="2284"/>
        <v/>
      </c>
      <c r="J2282" s="1" t="str">
        <f t="shared" si="3"/>
        <v/>
      </c>
      <c r="L2282" s="1" t="s">
        <v>2799</v>
      </c>
      <c r="M2282" s="1" t="str">
        <f t="shared" si="4"/>
        <v>20%</v>
      </c>
    </row>
    <row r="2283" ht="12.75" customHeight="1">
      <c r="A2283" s="3" t="s">
        <v>1107</v>
      </c>
      <c r="B2283" s="3" t="str">
        <f t="shared" si="1"/>
        <v>32, 36, BELLSPROUT</v>
      </c>
      <c r="C2283" s="1" t="str">
        <f t="array" ref="C2283">IF(B2282="NEW ROUTE",TEXTSPLIT(B2283,","),"")</f>
        <v/>
      </c>
      <c r="H2283" s="1" t="str">
        <f t="shared" ref="H2283:I2283" si="2285">IF(C2283&lt;&gt;"",DEC2HEX(C2283,2),"")</f>
        <v/>
      </c>
      <c r="I2283" s="1" t="str">
        <f t="shared" si="2285"/>
        <v/>
      </c>
      <c r="J2283" s="1" t="str">
        <f t="shared" si="3"/>
        <v/>
      </c>
      <c r="L2283" s="1" t="s">
        <v>1107</v>
      </c>
      <c r="M2283" s="1" t="str">
        <f t="shared" si="4"/>
        <v>32, 36, BELLSPROUT</v>
      </c>
    </row>
    <row r="2284" ht="12.75" customHeight="1">
      <c r="A2284" s="3" t="s">
        <v>3481</v>
      </c>
      <c r="B2284" s="3" t="str">
        <f t="shared" si="1"/>
        <v>32, 36, PIDGEOTTO</v>
      </c>
      <c r="C2284" s="1" t="str">
        <f t="array" ref="C2284">IF(B2283="NEW ROUTE",TEXTSPLIT(B2284,","),"")</f>
        <v/>
      </c>
      <c r="H2284" s="1" t="str">
        <f t="shared" ref="H2284:I2284" si="2286">IF(C2284&lt;&gt;"",DEC2HEX(C2284,2),"")</f>
        <v/>
      </c>
      <c r="I2284" s="1" t="str">
        <f t="shared" si="2286"/>
        <v/>
      </c>
      <c r="J2284" s="1" t="str">
        <f t="shared" si="3"/>
        <v/>
      </c>
      <c r="L2284" s="1" t="s">
        <v>3481</v>
      </c>
      <c r="M2284" s="1" t="str">
        <f t="shared" si="4"/>
        <v>32, 36, PIDGEOTTO</v>
      </c>
    </row>
    <row r="2285" ht="12.75" customHeight="1">
      <c r="A2285" s="3" t="s">
        <v>2802</v>
      </c>
      <c r="B2285" s="3" t="str">
        <f t="shared" si="1"/>
        <v>0.1</v>
      </c>
      <c r="C2285" s="1" t="str">
        <f t="array" ref="C2285">IF(B2284="NEW ROUTE",TEXTSPLIT(B2285,","),"")</f>
        <v/>
      </c>
      <c r="H2285" s="1" t="str">
        <f t="shared" ref="H2285:I2285" si="2287">IF(C2285&lt;&gt;"",DEC2HEX(C2285,2),"")</f>
        <v/>
      </c>
      <c r="I2285" s="1" t="str">
        <f t="shared" si="2287"/>
        <v/>
      </c>
      <c r="J2285" s="1" t="str">
        <f t="shared" si="3"/>
        <v/>
      </c>
      <c r="L2285" s="1" t="s">
        <v>2802</v>
      </c>
      <c r="M2285" s="1" t="str">
        <f t="shared" si="4"/>
        <v>0.1</v>
      </c>
    </row>
    <row r="2286" ht="12.75" customHeight="1">
      <c r="A2286" s="3" t="s">
        <v>3482</v>
      </c>
      <c r="B2286" s="3" t="str">
        <f t="shared" si="1"/>
        <v>31, 33, WEEPINBELL</v>
      </c>
      <c r="C2286" s="1" t="str">
        <f t="array" ref="C2286">IF(B2285="NEW ROUTE",TEXTSPLIT(B2286,","),"")</f>
        <v/>
      </c>
      <c r="H2286" s="1" t="str">
        <f t="shared" ref="H2286:I2286" si="2288">IF(C2286&lt;&gt;"",DEC2HEX(C2286,2),"")</f>
        <v/>
      </c>
      <c r="I2286" s="1" t="str">
        <f t="shared" si="2288"/>
        <v/>
      </c>
      <c r="J2286" s="1" t="str">
        <f t="shared" si="3"/>
        <v/>
      </c>
      <c r="L2286" s="1" t="s">
        <v>3482</v>
      </c>
      <c r="M2286" s="1" t="str">
        <f t="shared" si="4"/>
        <v>31, 33, WEEPINBELL</v>
      </c>
    </row>
    <row r="2287" ht="12.75" customHeight="1">
      <c r="A2287" s="3" t="s">
        <v>3483</v>
      </c>
      <c r="B2287" s="3" t="str">
        <f t="shared" si="1"/>
        <v>31, 33, DODUO</v>
      </c>
      <c r="C2287" s="1" t="str">
        <f t="array" ref="C2287">IF(B2286="NEW ROUTE",TEXTSPLIT(B2287,","),"")</f>
        <v/>
      </c>
      <c r="H2287" s="1" t="str">
        <f t="shared" ref="H2287:I2287" si="2289">IF(C2287&lt;&gt;"",DEC2HEX(C2287,2),"")</f>
        <v/>
      </c>
      <c r="I2287" s="1" t="str">
        <f t="shared" si="2289"/>
        <v/>
      </c>
      <c r="J2287" s="1" t="str">
        <f t="shared" si="3"/>
        <v/>
      </c>
      <c r="L2287" s="1" t="s">
        <v>3483</v>
      </c>
      <c r="M2287" s="1" t="str">
        <f t="shared" si="4"/>
        <v>31, 33, DODUO</v>
      </c>
    </row>
    <row r="2288" ht="12.75" customHeight="1">
      <c r="A2288" s="3" t="s">
        <v>3484</v>
      </c>
      <c r="B2288" s="3" t="str">
        <f t="shared" si="1"/>
        <v>33, 33, PIDGEOT</v>
      </c>
      <c r="C2288" s="1" t="str">
        <f t="array" ref="C2288">IF(B2287="NEW ROUTE",TEXTSPLIT(B2288,","),"")</f>
        <v/>
      </c>
      <c r="H2288" s="1" t="str">
        <f t="shared" ref="H2288:I2288" si="2290">IF(C2288&lt;&gt;"",DEC2HEX(C2288,2),"")</f>
        <v/>
      </c>
      <c r="I2288" s="1" t="str">
        <f t="shared" si="2290"/>
        <v/>
      </c>
      <c r="J2288" s="1" t="str">
        <f t="shared" si="3"/>
        <v/>
      </c>
      <c r="L2288" s="1" t="s">
        <v>3484</v>
      </c>
      <c r="M2288" s="1" t="str">
        <f t="shared" si="4"/>
        <v>33, 33, PIDGEOT</v>
      </c>
    </row>
    <row r="2289" ht="12.75" customHeight="1">
      <c r="A2289" s="3" t="s">
        <v>3485</v>
      </c>
      <c r="B2289" s="3" t="str">
        <f t="shared" si="1"/>
        <v>31, 33, EXEGGCUTE</v>
      </c>
      <c r="C2289" s="1" t="str">
        <f t="array" ref="C2289">IF(B2288="NEW ROUTE",TEXTSPLIT(B2289,","),"")</f>
        <v/>
      </c>
      <c r="H2289" s="1" t="str">
        <f t="shared" ref="H2289:I2289" si="2291">IF(C2289&lt;&gt;"",DEC2HEX(C2289,2),"")</f>
        <v/>
      </c>
      <c r="I2289" s="1" t="str">
        <f t="shared" si="2291"/>
        <v/>
      </c>
      <c r="J2289" s="1" t="str">
        <f t="shared" si="3"/>
        <v/>
      </c>
      <c r="L2289" s="1" t="s">
        <v>3485</v>
      </c>
      <c r="M2289" s="1" t="str">
        <f t="shared" si="4"/>
        <v>31, 33, EXEGGCUTE</v>
      </c>
    </row>
    <row r="2290" ht="12.75" customHeight="1">
      <c r="A2290" s="3" t="s">
        <v>2807</v>
      </c>
      <c r="B2290" s="3" t="str">
        <f t="shared" si="1"/>
        <v>0.05</v>
      </c>
      <c r="C2290" s="1" t="str">
        <f t="array" ref="C2290">IF(B2289="NEW ROUTE",TEXTSPLIT(B2290,","),"")</f>
        <v/>
      </c>
      <c r="H2290" s="1" t="str">
        <f t="shared" ref="H2290:I2290" si="2292">IF(C2290&lt;&gt;"",DEC2HEX(C2290,2),"")</f>
        <v/>
      </c>
      <c r="I2290" s="1" t="str">
        <f t="shared" si="2292"/>
        <v/>
      </c>
      <c r="J2290" s="1" t="str">
        <f t="shared" si="3"/>
        <v/>
      </c>
      <c r="L2290" s="1" t="s">
        <v>2807</v>
      </c>
      <c r="M2290" s="1" t="str">
        <f t="shared" si="4"/>
        <v>0.05</v>
      </c>
    </row>
    <row r="2291" ht="12.75" customHeight="1">
      <c r="A2291" s="3" t="s">
        <v>3486</v>
      </c>
      <c r="B2291" s="3" t="str">
        <f t="shared" si="1"/>
        <v>32, 36, SCYTHER</v>
      </c>
      <c r="C2291" s="1" t="str">
        <f t="array" ref="C2291">IF(B2290="NEW ROUTE",TEXTSPLIT(B2291,","),"")</f>
        <v/>
      </c>
      <c r="H2291" s="1" t="str">
        <f t="shared" ref="H2291:I2291" si="2293">IF(C2291&lt;&gt;"",DEC2HEX(C2291,2),"")</f>
        <v/>
      </c>
      <c r="I2291" s="1" t="str">
        <f t="shared" si="2293"/>
        <v/>
      </c>
      <c r="J2291" s="1" t="str">
        <f t="shared" si="3"/>
        <v/>
      </c>
      <c r="L2291" s="1" t="s">
        <v>3486</v>
      </c>
      <c r="M2291" s="1" t="str">
        <f t="shared" si="4"/>
        <v>32, 36, SCYTHER</v>
      </c>
    </row>
    <row r="2292" ht="12.75" customHeight="1">
      <c r="A2292" s="3" t="s">
        <v>3487</v>
      </c>
      <c r="B2292" s="3" t="str">
        <f t="shared" si="1"/>
        <v>32, 36, JYNX</v>
      </c>
      <c r="C2292" s="1" t="str">
        <f t="array" ref="C2292">IF(B2291="NEW ROUTE",TEXTSPLIT(B2292,","),"")</f>
        <v/>
      </c>
      <c r="H2292" s="1" t="str">
        <f t="shared" ref="H2292:I2292" si="2294">IF(C2292&lt;&gt;"",DEC2HEX(C2292,2),"")</f>
        <v/>
      </c>
      <c r="I2292" s="1" t="str">
        <f t="shared" si="2294"/>
        <v/>
      </c>
      <c r="J2292" s="1" t="str">
        <f t="shared" si="3"/>
        <v/>
      </c>
      <c r="L2292" s="1" t="s">
        <v>3487</v>
      </c>
      <c r="M2292" s="1" t="str">
        <f t="shared" si="4"/>
        <v>32, 36, JYNX</v>
      </c>
    </row>
    <row r="2293" ht="12.75" customHeight="1">
      <c r="A2293" s="3" t="s">
        <v>2810</v>
      </c>
      <c r="B2293" s="3" t="str">
        <f t="shared" si="1"/>
        <v>0.04</v>
      </c>
      <c r="C2293" s="1" t="str">
        <f t="array" ref="C2293">IF(B2292="NEW ROUTE",TEXTSPLIT(B2293,","),"")</f>
        <v/>
      </c>
      <c r="H2293" s="1" t="str">
        <f t="shared" ref="H2293:I2293" si="2295">IF(C2293&lt;&gt;"",DEC2HEX(C2293,2),"")</f>
        <v/>
      </c>
      <c r="I2293" s="1" t="str">
        <f t="shared" si="2295"/>
        <v/>
      </c>
      <c r="J2293" s="1" t="str">
        <f t="shared" si="3"/>
        <v/>
      </c>
      <c r="L2293" s="1" t="s">
        <v>2810</v>
      </c>
      <c r="M2293" s="1" t="str">
        <f t="shared" si="4"/>
        <v>0.04</v>
      </c>
    </row>
    <row r="2294" ht="12.75" customHeight="1">
      <c r="A2294" s="3" t="s">
        <v>3488</v>
      </c>
      <c r="B2294" s="3" t="str">
        <f t="shared" si="1"/>
        <v>33, 33, DODRIO</v>
      </c>
      <c r="C2294" s="1" t="str">
        <f t="array" ref="C2294">IF(B2293="NEW ROUTE",TEXTSPLIT(B2294,","),"")</f>
        <v/>
      </c>
      <c r="H2294" s="1" t="str">
        <f t="shared" ref="H2294:I2294" si="2296">IF(C2294&lt;&gt;"",DEC2HEX(C2294,2),"")</f>
        <v/>
      </c>
      <c r="I2294" s="1" t="str">
        <f t="shared" si="2296"/>
        <v/>
      </c>
      <c r="J2294" s="1" t="str">
        <f t="shared" si="3"/>
        <v/>
      </c>
      <c r="L2294" s="1" t="s">
        <v>3488</v>
      </c>
      <c r="M2294" s="1" t="str">
        <f t="shared" si="4"/>
        <v>33, 33, DODRIO</v>
      </c>
    </row>
    <row r="2295" ht="12.75" customHeight="1">
      <c r="A2295" s="3" t="s">
        <v>3489</v>
      </c>
      <c r="B2295" s="3" t="str">
        <f t="shared" si="1"/>
        <v>33, 33, EXEGGUTOR</v>
      </c>
      <c r="C2295" s="1" t="str">
        <f t="array" ref="C2295">IF(B2294="NEW ROUTE",TEXTSPLIT(B2295,","),"")</f>
        <v/>
      </c>
      <c r="H2295" s="1" t="str">
        <f t="shared" ref="H2295:I2295" si="2297">IF(C2295&lt;&gt;"",DEC2HEX(C2295,2),"")</f>
        <v/>
      </c>
      <c r="I2295" s="1" t="str">
        <f t="shared" si="2297"/>
        <v/>
      </c>
      <c r="J2295" s="1" t="str">
        <f t="shared" si="3"/>
        <v/>
      </c>
      <c r="L2295" s="1" t="s">
        <v>3489</v>
      </c>
      <c r="M2295" s="1" t="str">
        <f t="shared" si="4"/>
        <v>33, 33, EXEGGUTOR</v>
      </c>
    </row>
    <row r="2296" ht="12.75" customHeight="1">
      <c r="A2296" s="3" t="s">
        <v>2813</v>
      </c>
      <c r="B2296" s="3" t="str">
        <f t="shared" si="1"/>
        <v>0.01</v>
      </c>
      <c r="C2296" s="1" t="str">
        <f t="array" ref="C2296">IF(B2295="NEW ROUTE",TEXTSPLIT(B2296,","),"")</f>
        <v/>
      </c>
      <c r="H2296" s="1" t="str">
        <f t="shared" ref="H2296:I2296" si="2298">IF(C2296&lt;&gt;"",DEC2HEX(C2296,2),"")</f>
        <v/>
      </c>
      <c r="I2296" s="1" t="str">
        <f t="shared" si="2298"/>
        <v/>
      </c>
      <c r="J2296" s="1" t="str">
        <f t="shared" si="3"/>
        <v/>
      </c>
      <c r="L2296" s="1" t="s">
        <v>2813</v>
      </c>
      <c r="M2296" s="1" t="str">
        <f t="shared" si="4"/>
        <v>0.01</v>
      </c>
    </row>
    <row r="2297" ht="12.75" customHeight="1">
      <c r="A2297" s="3" t="s">
        <v>3490</v>
      </c>
      <c r="B2297" s="3" t="str">
        <f t="shared" si="1"/>
        <v>31, 36, VICTREEBEL</v>
      </c>
      <c r="C2297" s="1" t="str">
        <f t="array" ref="C2297">IF(B2296="NEW ROUTE",TEXTSPLIT(B2297,","),"")</f>
        <v/>
      </c>
      <c r="H2297" s="1" t="str">
        <f t="shared" ref="H2297:I2297" si="2299">IF(C2297&lt;&gt;"",DEC2HEX(C2297,2),"")</f>
        <v/>
      </c>
      <c r="I2297" s="1" t="str">
        <f t="shared" si="2299"/>
        <v/>
      </c>
      <c r="J2297" s="1" t="str">
        <f t="shared" si="3"/>
        <v/>
      </c>
      <c r="L2297" s="1" t="s">
        <v>3490</v>
      </c>
      <c r="M2297" s="1" t="str">
        <f t="shared" si="4"/>
        <v>31, 36, VICTREEBEL</v>
      </c>
    </row>
    <row r="2298" ht="12.75" customHeight="1">
      <c r="A2298" s="3" t="s">
        <v>3491</v>
      </c>
      <c r="B2298" s="3" t="str">
        <f t="shared" si="1"/>
        <v>20, 25, SQUIRTLE , &lt;null&gt;, &lt;null&gt;, &lt;null&gt;</v>
      </c>
      <c r="C2298" s="1" t="str">
        <f t="array" ref="C2298">IF(B2297="NEW ROUTE",TEXTSPLIT(B2298,","),"")</f>
        <v/>
      </c>
      <c r="H2298" s="1" t="str">
        <f t="shared" ref="H2298:I2298" si="2300">IF(C2298&lt;&gt;"",DEC2HEX(C2298,2),"")</f>
        <v/>
      </c>
      <c r="I2298" s="1" t="str">
        <f t="shared" si="2300"/>
        <v/>
      </c>
      <c r="J2298" s="1" t="str">
        <f t="shared" si="3"/>
        <v/>
      </c>
      <c r="L2298" s="1" t="s">
        <v>3491</v>
      </c>
      <c r="M2298" s="1" t="str">
        <f t="shared" si="4"/>
        <v>20, 25, SQUIRTLE , &lt;null&gt;, &lt;null&gt;, &lt;null&gt;</v>
      </c>
    </row>
    <row r="2299" ht="12.75" customHeight="1">
      <c r="A2299" s="3" t="s">
        <v>2539</v>
      </c>
      <c r="B2299" s="3" t="str">
        <f t="shared" si="1"/>
        <v>NEW ROUTE</v>
      </c>
      <c r="C2299" s="1" t="str">
        <f t="array" ref="C2299">IF(B2298="NEW ROUTE",TEXTSPLIT(B2299,","),"")</f>
        <v/>
      </c>
      <c r="H2299" s="1" t="str">
        <f t="shared" ref="H2299:I2299" si="2301">IF(C2299&lt;&gt;"",DEC2HEX(C2299,2),"")</f>
        <v/>
      </c>
      <c r="I2299" s="1" t="str">
        <f t="shared" si="2301"/>
        <v/>
      </c>
      <c r="J2299" s="1" t="str">
        <f t="shared" si="3"/>
        <v/>
      </c>
      <c r="L2299" s="1" t="s">
        <v>2539</v>
      </c>
      <c r="M2299" s="1" t="str">
        <f t="shared" si="4"/>
        <v>NEW ROUTE</v>
      </c>
    </row>
    <row r="2300" ht="12.75" customHeight="1">
      <c r="A2300" s="3" t="s">
        <v>3492</v>
      </c>
      <c r="B2300" s="3" t="str">
        <f t="shared" si="1"/>
        <v>3, 33, 0,</v>
      </c>
      <c r="C2300" s="1" t="str">
        <f t="array" ref="C2300">IF(B2299="NEW ROUTE",TEXTSPLIT(B2300,","),"")</f>
        <v>#NAME?</v>
      </c>
      <c r="H2300" s="1" t="str">
        <f t="shared" ref="H2300:I2300" si="2302">IF(C2300&lt;&gt;"",DEC2HEX(C2300,2),"")</f>
        <v>#NAME?</v>
      </c>
      <c r="I2300" s="1" t="str">
        <f t="shared" si="2302"/>
        <v/>
      </c>
      <c r="J2300" s="1" t="str">
        <f t="shared" si="3"/>
        <v>#NAME?</v>
      </c>
      <c r="L2300" s="1" t="s">
        <v>3492</v>
      </c>
      <c r="M2300" s="1" t="str">
        <f t="shared" si="4"/>
        <v>#NAME?</v>
      </c>
    </row>
    <row r="2301" ht="12.75" customHeight="1">
      <c r="A2301" s="3" t="s">
        <v>2909</v>
      </c>
      <c r="B2301" s="3" t="str">
        <f t="shared" si="1"/>
        <v>20%</v>
      </c>
      <c r="C2301" s="1" t="str">
        <f t="array" ref="C2301">IF(B2300="NEW ROUTE",TEXTSPLIT(B2301,","),"")</f>
        <v/>
      </c>
      <c r="H2301" s="1" t="str">
        <f t="shared" ref="H2301:I2301" si="2303">IF(C2301&lt;&gt;"",DEC2HEX(C2301,2),"")</f>
        <v/>
      </c>
      <c r="I2301" s="1" t="str">
        <f t="shared" si="2303"/>
        <v/>
      </c>
      <c r="J2301" s="1" t="str">
        <f t="shared" si="3"/>
        <v/>
      </c>
      <c r="L2301" s="1" t="s">
        <v>2799</v>
      </c>
      <c r="M2301" s="1" t="str">
        <f t="shared" si="4"/>
        <v>20%</v>
      </c>
    </row>
    <row r="2302" ht="12.75" customHeight="1">
      <c r="A2302" s="3" t="s">
        <v>1120</v>
      </c>
      <c r="B2302" s="3" t="str">
        <f t="shared" si="1"/>
        <v>33, 37, BELLSPROUT</v>
      </c>
      <c r="C2302" s="1" t="str">
        <f t="array" ref="C2302">IF(B2301="NEW ROUTE",TEXTSPLIT(B2302,","),"")</f>
        <v/>
      </c>
      <c r="H2302" s="1" t="str">
        <f t="shared" ref="H2302:I2302" si="2304">IF(C2302&lt;&gt;"",DEC2HEX(C2302,2),"")</f>
        <v/>
      </c>
      <c r="I2302" s="1" t="str">
        <f t="shared" si="2304"/>
        <v/>
      </c>
      <c r="J2302" s="1" t="str">
        <f t="shared" si="3"/>
        <v/>
      </c>
      <c r="L2302" s="1" t="s">
        <v>1120</v>
      </c>
      <c r="M2302" s="1" t="str">
        <f t="shared" si="4"/>
        <v>33, 37, BELLSPROUT</v>
      </c>
    </row>
    <row r="2303" ht="12.75" customHeight="1">
      <c r="A2303" s="3" t="s">
        <v>3493</v>
      </c>
      <c r="B2303" s="3" t="str">
        <f t="shared" si="1"/>
        <v>33, 37, PIDGEOTTO</v>
      </c>
      <c r="C2303" s="1" t="str">
        <f t="array" ref="C2303">IF(B2302="NEW ROUTE",TEXTSPLIT(B2303,","),"")</f>
        <v/>
      </c>
      <c r="H2303" s="1" t="str">
        <f t="shared" ref="H2303:I2303" si="2305">IF(C2303&lt;&gt;"",DEC2HEX(C2303,2),"")</f>
        <v/>
      </c>
      <c r="I2303" s="1" t="str">
        <f t="shared" si="2305"/>
        <v/>
      </c>
      <c r="J2303" s="1" t="str">
        <f t="shared" si="3"/>
        <v/>
      </c>
      <c r="L2303" s="1" t="s">
        <v>3493</v>
      </c>
      <c r="M2303" s="1" t="str">
        <f t="shared" si="4"/>
        <v>33, 37, PIDGEOTTO</v>
      </c>
    </row>
    <row r="2304" ht="12.75" customHeight="1">
      <c r="A2304" s="3" t="s">
        <v>2802</v>
      </c>
      <c r="B2304" s="3" t="str">
        <f t="shared" si="1"/>
        <v>0.1</v>
      </c>
      <c r="C2304" s="1" t="str">
        <f t="array" ref="C2304">IF(B2303="NEW ROUTE",TEXTSPLIT(B2304,","),"")</f>
        <v/>
      </c>
      <c r="H2304" s="1" t="str">
        <f t="shared" ref="H2304:I2304" si="2306">IF(C2304&lt;&gt;"",DEC2HEX(C2304,2),"")</f>
        <v/>
      </c>
      <c r="I2304" s="1" t="str">
        <f t="shared" si="2306"/>
        <v/>
      </c>
      <c r="J2304" s="1" t="str">
        <f t="shared" si="3"/>
        <v/>
      </c>
      <c r="L2304" s="1" t="s">
        <v>2802</v>
      </c>
      <c r="M2304" s="1" t="str">
        <f t="shared" si="4"/>
        <v>0.1</v>
      </c>
    </row>
    <row r="2305" ht="12.75" customHeight="1">
      <c r="A2305" s="3" t="s">
        <v>3494</v>
      </c>
      <c r="B2305" s="3" t="str">
        <f t="shared" si="1"/>
        <v>32, 34, WEEPINBELL</v>
      </c>
      <c r="C2305" s="1" t="str">
        <f t="array" ref="C2305">IF(B2304="NEW ROUTE",TEXTSPLIT(B2305,","),"")</f>
        <v/>
      </c>
      <c r="H2305" s="1" t="str">
        <f t="shared" ref="H2305:I2305" si="2307">IF(C2305&lt;&gt;"",DEC2HEX(C2305,2),"")</f>
        <v/>
      </c>
      <c r="I2305" s="1" t="str">
        <f t="shared" si="2307"/>
        <v/>
      </c>
      <c r="J2305" s="1" t="str">
        <f t="shared" si="3"/>
        <v/>
      </c>
      <c r="L2305" s="1" t="s">
        <v>3494</v>
      </c>
      <c r="M2305" s="1" t="str">
        <f t="shared" si="4"/>
        <v>32, 34, WEEPINBELL</v>
      </c>
    </row>
    <row r="2306" ht="12.75" customHeight="1">
      <c r="A2306" s="3" t="s">
        <v>3495</v>
      </c>
      <c r="B2306" s="3" t="str">
        <f t="shared" si="1"/>
        <v>32, 34, DODUO</v>
      </c>
      <c r="C2306" s="1" t="str">
        <f t="array" ref="C2306">IF(B2305="NEW ROUTE",TEXTSPLIT(B2306,","),"")</f>
        <v/>
      </c>
      <c r="H2306" s="1" t="str">
        <f t="shared" ref="H2306:I2306" si="2308">IF(C2306&lt;&gt;"",DEC2HEX(C2306,2),"")</f>
        <v/>
      </c>
      <c r="I2306" s="1" t="str">
        <f t="shared" si="2308"/>
        <v/>
      </c>
      <c r="J2306" s="1" t="str">
        <f t="shared" si="3"/>
        <v/>
      </c>
      <c r="L2306" s="1" t="s">
        <v>3495</v>
      </c>
      <c r="M2306" s="1" t="str">
        <f t="shared" si="4"/>
        <v>32, 34, DODUO</v>
      </c>
    </row>
    <row r="2307" ht="12.75" customHeight="1">
      <c r="A2307" s="3" t="s">
        <v>3496</v>
      </c>
      <c r="B2307" s="3" t="str">
        <f t="shared" si="1"/>
        <v>34, 34, PIDGEOT</v>
      </c>
      <c r="C2307" s="1" t="str">
        <f t="array" ref="C2307">IF(B2306="NEW ROUTE",TEXTSPLIT(B2307,","),"")</f>
        <v/>
      </c>
      <c r="H2307" s="1" t="str">
        <f t="shared" ref="H2307:I2307" si="2309">IF(C2307&lt;&gt;"",DEC2HEX(C2307,2),"")</f>
        <v/>
      </c>
      <c r="I2307" s="1" t="str">
        <f t="shared" si="2309"/>
        <v/>
      </c>
      <c r="J2307" s="1" t="str">
        <f t="shared" si="3"/>
        <v/>
      </c>
      <c r="L2307" s="1" t="s">
        <v>3496</v>
      </c>
      <c r="M2307" s="1" t="str">
        <f t="shared" si="4"/>
        <v>34, 34, PIDGEOT</v>
      </c>
    </row>
    <row r="2308" ht="12.75" customHeight="1">
      <c r="A2308" s="3" t="s">
        <v>3497</v>
      </c>
      <c r="B2308" s="3" t="str">
        <f t="shared" si="1"/>
        <v>32, 34, EXEGGCUTE</v>
      </c>
      <c r="C2308" s="1" t="str">
        <f t="array" ref="C2308">IF(B2307="NEW ROUTE",TEXTSPLIT(B2308,","),"")</f>
        <v/>
      </c>
      <c r="H2308" s="1" t="str">
        <f t="shared" ref="H2308:I2308" si="2310">IF(C2308&lt;&gt;"",DEC2HEX(C2308,2),"")</f>
        <v/>
      </c>
      <c r="I2308" s="1" t="str">
        <f t="shared" si="2310"/>
        <v/>
      </c>
      <c r="J2308" s="1" t="str">
        <f t="shared" si="3"/>
        <v/>
      </c>
      <c r="L2308" s="1" t="s">
        <v>3497</v>
      </c>
      <c r="M2308" s="1" t="str">
        <f t="shared" si="4"/>
        <v>32, 34, EXEGGCUTE</v>
      </c>
    </row>
    <row r="2309" ht="12.75" customHeight="1">
      <c r="A2309" s="3" t="s">
        <v>2807</v>
      </c>
      <c r="B2309" s="3" t="str">
        <f t="shared" si="1"/>
        <v>0.05</v>
      </c>
      <c r="C2309" s="1" t="str">
        <f t="array" ref="C2309">IF(B2308="NEW ROUTE",TEXTSPLIT(B2309,","),"")</f>
        <v/>
      </c>
      <c r="H2309" s="1" t="str">
        <f t="shared" ref="H2309:I2309" si="2311">IF(C2309&lt;&gt;"",DEC2HEX(C2309,2),"")</f>
        <v/>
      </c>
      <c r="I2309" s="1" t="str">
        <f t="shared" si="2311"/>
        <v/>
      </c>
      <c r="J2309" s="1" t="str">
        <f t="shared" si="3"/>
        <v/>
      </c>
      <c r="L2309" s="1" t="s">
        <v>2807</v>
      </c>
      <c r="M2309" s="1" t="str">
        <f t="shared" si="4"/>
        <v>0.05</v>
      </c>
    </row>
    <row r="2310" ht="12.75" customHeight="1">
      <c r="A2310" s="3" t="s">
        <v>3498</v>
      </c>
      <c r="B2310" s="3" t="str">
        <f t="shared" si="1"/>
        <v>33, 37, SCYTHER</v>
      </c>
      <c r="C2310" s="1" t="str">
        <f t="array" ref="C2310">IF(B2309="NEW ROUTE",TEXTSPLIT(B2310,","),"")</f>
        <v/>
      </c>
      <c r="H2310" s="1" t="str">
        <f t="shared" ref="H2310:I2310" si="2312">IF(C2310&lt;&gt;"",DEC2HEX(C2310,2),"")</f>
        <v/>
      </c>
      <c r="I2310" s="1" t="str">
        <f t="shared" si="2312"/>
        <v/>
      </c>
      <c r="J2310" s="1" t="str">
        <f t="shared" si="3"/>
        <v/>
      </c>
      <c r="L2310" s="1" t="s">
        <v>3498</v>
      </c>
      <c r="M2310" s="1" t="str">
        <f t="shared" si="4"/>
        <v>33, 37, SCYTHER</v>
      </c>
    </row>
    <row r="2311" ht="12.75" customHeight="1">
      <c r="A2311" s="3" t="s">
        <v>3499</v>
      </c>
      <c r="B2311" s="3" t="str">
        <f t="shared" si="1"/>
        <v>33, 37, JYNX</v>
      </c>
      <c r="C2311" s="1" t="str">
        <f t="array" ref="C2311">IF(B2310="NEW ROUTE",TEXTSPLIT(B2311,","),"")</f>
        <v/>
      </c>
      <c r="H2311" s="1" t="str">
        <f t="shared" ref="H2311:I2311" si="2313">IF(C2311&lt;&gt;"",DEC2HEX(C2311,2),"")</f>
        <v/>
      </c>
      <c r="I2311" s="1" t="str">
        <f t="shared" si="2313"/>
        <v/>
      </c>
      <c r="J2311" s="1" t="str">
        <f t="shared" si="3"/>
        <v/>
      </c>
      <c r="L2311" s="1" t="s">
        <v>3499</v>
      </c>
      <c r="M2311" s="1" t="str">
        <f t="shared" si="4"/>
        <v>33, 37, JYNX</v>
      </c>
    </row>
    <row r="2312" ht="12.75" customHeight="1">
      <c r="A2312" s="3" t="s">
        <v>2810</v>
      </c>
      <c r="B2312" s="3" t="str">
        <f t="shared" si="1"/>
        <v>0.04</v>
      </c>
      <c r="C2312" s="1" t="str">
        <f t="array" ref="C2312">IF(B2311="NEW ROUTE",TEXTSPLIT(B2312,","),"")</f>
        <v/>
      </c>
      <c r="H2312" s="1" t="str">
        <f t="shared" ref="H2312:I2312" si="2314">IF(C2312&lt;&gt;"",DEC2HEX(C2312,2),"")</f>
        <v/>
      </c>
      <c r="I2312" s="1" t="str">
        <f t="shared" si="2314"/>
        <v/>
      </c>
      <c r="J2312" s="1" t="str">
        <f t="shared" si="3"/>
        <v/>
      </c>
      <c r="L2312" s="1" t="s">
        <v>2810</v>
      </c>
      <c r="M2312" s="1" t="str">
        <f t="shared" si="4"/>
        <v>0.04</v>
      </c>
    </row>
    <row r="2313" ht="12.75" customHeight="1">
      <c r="A2313" s="3" t="s">
        <v>3500</v>
      </c>
      <c r="B2313" s="3" t="str">
        <f t="shared" si="1"/>
        <v>34, 34, DODRIO</v>
      </c>
      <c r="C2313" s="1" t="str">
        <f t="array" ref="C2313">IF(B2312="NEW ROUTE",TEXTSPLIT(B2313,","),"")</f>
        <v/>
      </c>
      <c r="H2313" s="1" t="str">
        <f t="shared" ref="H2313:I2313" si="2315">IF(C2313&lt;&gt;"",DEC2HEX(C2313,2),"")</f>
        <v/>
      </c>
      <c r="I2313" s="1" t="str">
        <f t="shared" si="2315"/>
        <v/>
      </c>
      <c r="J2313" s="1" t="str">
        <f t="shared" si="3"/>
        <v/>
      </c>
      <c r="L2313" s="1" t="s">
        <v>3500</v>
      </c>
      <c r="M2313" s="1" t="str">
        <f t="shared" si="4"/>
        <v>34, 34, DODRIO</v>
      </c>
    </row>
    <row r="2314" ht="12.75" customHeight="1">
      <c r="A2314" s="3" t="s">
        <v>3501</v>
      </c>
      <c r="B2314" s="3" t="str">
        <f t="shared" si="1"/>
        <v>34, 34, EXEGGUTOR</v>
      </c>
      <c r="C2314" s="1" t="str">
        <f t="array" ref="C2314">IF(B2313="NEW ROUTE",TEXTSPLIT(B2314,","),"")</f>
        <v/>
      </c>
      <c r="H2314" s="1" t="str">
        <f t="shared" ref="H2314:I2314" si="2316">IF(C2314&lt;&gt;"",DEC2HEX(C2314,2),"")</f>
        <v/>
      </c>
      <c r="I2314" s="1" t="str">
        <f t="shared" si="2316"/>
        <v/>
      </c>
      <c r="J2314" s="1" t="str">
        <f t="shared" si="3"/>
        <v/>
      </c>
      <c r="L2314" s="1" t="s">
        <v>3501</v>
      </c>
      <c r="M2314" s="1" t="str">
        <f t="shared" si="4"/>
        <v>34, 34, EXEGGUTOR</v>
      </c>
    </row>
    <row r="2315" ht="12.75" customHeight="1">
      <c r="A2315" s="3" t="s">
        <v>2813</v>
      </c>
      <c r="B2315" s="3" t="str">
        <f t="shared" si="1"/>
        <v>0.01</v>
      </c>
      <c r="C2315" s="1" t="str">
        <f t="array" ref="C2315">IF(B2314="NEW ROUTE",TEXTSPLIT(B2315,","),"")</f>
        <v/>
      </c>
      <c r="H2315" s="1" t="str">
        <f t="shared" ref="H2315:I2315" si="2317">IF(C2315&lt;&gt;"",DEC2HEX(C2315,2),"")</f>
        <v/>
      </c>
      <c r="I2315" s="1" t="str">
        <f t="shared" si="2317"/>
        <v/>
      </c>
      <c r="J2315" s="1" t="str">
        <f t="shared" si="3"/>
        <v/>
      </c>
      <c r="L2315" s="1" t="s">
        <v>2813</v>
      </c>
      <c r="M2315" s="1" t="str">
        <f t="shared" si="4"/>
        <v>0.01</v>
      </c>
    </row>
    <row r="2316" ht="12.75" customHeight="1">
      <c r="A2316" s="3" t="s">
        <v>3502</v>
      </c>
      <c r="B2316" s="3" t="str">
        <f t="shared" si="1"/>
        <v>32, 37, VICTREEBEL</v>
      </c>
      <c r="C2316" s="1" t="str">
        <f t="array" ref="C2316">IF(B2315="NEW ROUTE",TEXTSPLIT(B2316,","),"")</f>
        <v/>
      </c>
      <c r="H2316" s="1" t="str">
        <f t="shared" ref="H2316:I2316" si="2318">IF(C2316&lt;&gt;"",DEC2HEX(C2316,2),"")</f>
        <v/>
      </c>
      <c r="I2316" s="1" t="str">
        <f t="shared" si="2318"/>
        <v/>
      </c>
      <c r="J2316" s="1" t="str">
        <f t="shared" si="3"/>
        <v/>
      </c>
      <c r="L2316" s="1" t="s">
        <v>3502</v>
      </c>
      <c r="M2316" s="1" t="str">
        <f t="shared" si="4"/>
        <v>32, 37, VICTREEBEL</v>
      </c>
    </row>
    <row r="2317" ht="12.75" customHeight="1">
      <c r="A2317" s="3" t="s">
        <v>3491</v>
      </c>
      <c r="B2317" s="3" t="str">
        <f t="shared" si="1"/>
        <v>20, 25, SQUIRTLE , &lt;null&gt;, &lt;null&gt;, &lt;null&gt;</v>
      </c>
      <c r="C2317" s="1" t="str">
        <f t="array" ref="C2317">IF(B2316="NEW ROUTE",TEXTSPLIT(B2317,","),"")</f>
        <v/>
      </c>
      <c r="H2317" s="1" t="str">
        <f t="shared" ref="H2317:I2317" si="2319">IF(C2317&lt;&gt;"",DEC2HEX(C2317,2),"")</f>
        <v/>
      </c>
      <c r="I2317" s="1" t="str">
        <f t="shared" si="2319"/>
        <v/>
      </c>
      <c r="J2317" s="1" t="str">
        <f t="shared" si="3"/>
        <v/>
      </c>
      <c r="L2317" s="1" t="s">
        <v>3491</v>
      </c>
      <c r="M2317" s="1" t="str">
        <f t="shared" si="4"/>
        <v>20, 25, SQUIRTLE , &lt;null&gt;, &lt;null&gt;, &lt;null&gt;</v>
      </c>
    </row>
    <row r="2318" ht="12.75" customHeight="1">
      <c r="A2318" s="3" t="s">
        <v>2539</v>
      </c>
      <c r="B2318" s="3" t="str">
        <f t="shared" si="1"/>
        <v>NEW ROUTE</v>
      </c>
      <c r="C2318" s="1" t="str">
        <f t="array" ref="C2318">IF(B2317="NEW ROUTE",TEXTSPLIT(B2318,","),"")</f>
        <v/>
      </c>
      <c r="H2318" s="1" t="str">
        <f t="shared" ref="H2318:I2318" si="2320">IF(C2318&lt;&gt;"",DEC2HEX(C2318,2),"")</f>
        <v/>
      </c>
      <c r="I2318" s="1" t="str">
        <f t="shared" si="2320"/>
        <v/>
      </c>
      <c r="J2318" s="1" t="str">
        <f t="shared" si="3"/>
        <v/>
      </c>
      <c r="L2318" s="1" t="s">
        <v>2539</v>
      </c>
      <c r="M2318" s="1" t="str">
        <f t="shared" si="4"/>
        <v>NEW ROUTE</v>
      </c>
    </row>
    <row r="2319" ht="12.75" customHeight="1">
      <c r="A2319" s="3" t="s">
        <v>3503</v>
      </c>
      <c r="B2319" s="3" t="str">
        <f t="shared" si="1"/>
        <v>3, 34, 0,</v>
      </c>
      <c r="C2319" s="1" t="str">
        <f t="array" ref="C2319">IF(B2318="NEW ROUTE",TEXTSPLIT(B2319,","),"")</f>
        <v>#NAME?</v>
      </c>
      <c r="H2319" s="1" t="str">
        <f t="shared" ref="H2319:I2319" si="2321">IF(C2319&lt;&gt;"",DEC2HEX(C2319,2),"")</f>
        <v>#NAME?</v>
      </c>
      <c r="I2319" s="1" t="str">
        <f t="shared" si="2321"/>
        <v/>
      </c>
      <c r="J2319" s="1" t="str">
        <f t="shared" si="3"/>
        <v>#NAME?</v>
      </c>
      <c r="L2319" s="1" t="s">
        <v>3503</v>
      </c>
      <c r="M2319" s="1" t="str">
        <f t="shared" si="4"/>
        <v>#NAME?</v>
      </c>
    </row>
    <row r="2320" ht="12.75" customHeight="1">
      <c r="A2320" s="3" t="s">
        <v>2909</v>
      </c>
      <c r="B2320" s="3" t="str">
        <f t="shared" si="1"/>
        <v>20%</v>
      </c>
      <c r="C2320" s="1" t="str">
        <f t="array" ref="C2320">IF(B2319="NEW ROUTE",TEXTSPLIT(B2320,","),"")</f>
        <v/>
      </c>
      <c r="H2320" s="1" t="str">
        <f t="shared" ref="H2320:I2320" si="2322">IF(C2320&lt;&gt;"",DEC2HEX(C2320,2),"")</f>
        <v/>
      </c>
      <c r="I2320" s="1" t="str">
        <f t="shared" si="2322"/>
        <v/>
      </c>
      <c r="J2320" s="1" t="str">
        <f t="shared" si="3"/>
        <v/>
      </c>
      <c r="L2320" s="1" t="s">
        <v>2799</v>
      </c>
      <c r="M2320" s="1" t="str">
        <f t="shared" si="4"/>
        <v>20%</v>
      </c>
    </row>
    <row r="2321" ht="12.75" customHeight="1">
      <c r="A2321" s="3" t="s">
        <v>1132</v>
      </c>
      <c r="B2321" s="3" t="str">
        <f t="shared" si="1"/>
        <v>29, 34, ODDISH</v>
      </c>
      <c r="C2321" s="1" t="str">
        <f t="array" ref="C2321">IF(B2320="NEW ROUTE",TEXTSPLIT(B2321,","),"")</f>
        <v/>
      </c>
      <c r="H2321" s="1" t="str">
        <f t="shared" ref="H2321:I2321" si="2323">IF(C2321&lt;&gt;"",DEC2HEX(C2321,2),"")</f>
        <v/>
      </c>
      <c r="I2321" s="1" t="str">
        <f t="shared" si="2323"/>
        <v/>
      </c>
      <c r="J2321" s="1" t="str">
        <f t="shared" si="3"/>
        <v/>
      </c>
      <c r="L2321" s="1" t="s">
        <v>1132</v>
      </c>
      <c r="M2321" s="1" t="str">
        <f t="shared" si="4"/>
        <v>29, 34, ODDISH</v>
      </c>
    </row>
    <row r="2322" ht="12.75" customHeight="1">
      <c r="A2322" s="3" t="s">
        <v>3457</v>
      </c>
      <c r="B2322" s="3" t="str">
        <f t="shared" si="1"/>
        <v>29, 34, PIDGEOTTO</v>
      </c>
      <c r="C2322" s="1" t="str">
        <f t="array" ref="C2322">IF(B2321="NEW ROUTE",TEXTSPLIT(B2322,","),"")</f>
        <v/>
      </c>
      <c r="H2322" s="1" t="str">
        <f t="shared" ref="H2322:I2322" si="2324">IF(C2322&lt;&gt;"",DEC2HEX(C2322,2),"")</f>
        <v/>
      </c>
      <c r="I2322" s="1" t="str">
        <f t="shared" si="2324"/>
        <v/>
      </c>
      <c r="J2322" s="1" t="str">
        <f t="shared" si="3"/>
        <v/>
      </c>
      <c r="L2322" s="1" t="s">
        <v>3457</v>
      </c>
      <c r="M2322" s="1" t="str">
        <f t="shared" si="4"/>
        <v>29, 34, PIDGEOTTO</v>
      </c>
    </row>
    <row r="2323" ht="12.75" customHeight="1">
      <c r="A2323" s="3" t="s">
        <v>2802</v>
      </c>
      <c r="B2323" s="3" t="str">
        <f t="shared" si="1"/>
        <v>0.1</v>
      </c>
      <c r="C2323" s="1" t="str">
        <f t="array" ref="C2323">IF(B2322="NEW ROUTE",TEXTSPLIT(B2323,","),"")</f>
        <v/>
      </c>
      <c r="H2323" s="1" t="str">
        <f t="shared" ref="H2323:I2323" si="2325">IF(C2323&lt;&gt;"",DEC2HEX(C2323,2),"")</f>
        <v/>
      </c>
      <c r="I2323" s="1" t="str">
        <f t="shared" si="2325"/>
        <v/>
      </c>
      <c r="J2323" s="1" t="str">
        <f t="shared" si="3"/>
        <v/>
      </c>
      <c r="L2323" s="1" t="s">
        <v>2802</v>
      </c>
      <c r="M2323" s="1" t="str">
        <f t="shared" si="4"/>
        <v>0.1</v>
      </c>
    </row>
    <row r="2324" ht="12.75" customHeight="1">
      <c r="A2324" s="3" t="s">
        <v>3504</v>
      </c>
      <c r="B2324" s="3" t="str">
        <f t="shared" si="1"/>
        <v>29, 31, GLOOM</v>
      </c>
      <c r="C2324" s="1" t="str">
        <f t="array" ref="C2324">IF(B2323="NEW ROUTE",TEXTSPLIT(B2324,","),"")</f>
        <v/>
      </c>
      <c r="H2324" s="1" t="str">
        <f t="shared" ref="H2324:I2324" si="2326">IF(C2324&lt;&gt;"",DEC2HEX(C2324,2),"")</f>
        <v/>
      </c>
      <c r="I2324" s="1" t="str">
        <f t="shared" si="2326"/>
        <v/>
      </c>
      <c r="J2324" s="1" t="str">
        <f t="shared" si="3"/>
        <v/>
      </c>
      <c r="L2324" s="1" t="s">
        <v>3504</v>
      </c>
      <c r="M2324" s="1" t="str">
        <f t="shared" si="4"/>
        <v>29, 31, GLOOM</v>
      </c>
    </row>
    <row r="2325" ht="12.75" customHeight="1">
      <c r="A2325" s="3" t="s">
        <v>3459</v>
      </c>
      <c r="B2325" s="3" t="str">
        <f t="shared" si="1"/>
        <v>29, 31, DODUO</v>
      </c>
      <c r="C2325" s="1" t="str">
        <f t="array" ref="C2325">IF(B2324="NEW ROUTE",TEXTSPLIT(B2325,","),"")</f>
        <v/>
      </c>
      <c r="H2325" s="1" t="str">
        <f t="shared" ref="H2325:I2325" si="2327">IF(C2325&lt;&gt;"",DEC2HEX(C2325,2),"")</f>
        <v/>
      </c>
      <c r="I2325" s="1" t="str">
        <f t="shared" si="2327"/>
        <v/>
      </c>
      <c r="J2325" s="1" t="str">
        <f t="shared" si="3"/>
        <v/>
      </c>
      <c r="L2325" s="1" t="s">
        <v>3459</v>
      </c>
      <c r="M2325" s="1" t="str">
        <f t="shared" si="4"/>
        <v>29, 31, DODUO</v>
      </c>
    </row>
    <row r="2326" ht="12.75" customHeight="1">
      <c r="A2326" s="3" t="s">
        <v>3460</v>
      </c>
      <c r="B2326" s="3" t="str">
        <f t="shared" si="1"/>
        <v>31, 31, PIDGEOT</v>
      </c>
      <c r="C2326" s="1" t="str">
        <f t="array" ref="C2326">IF(B2325="NEW ROUTE",TEXTSPLIT(B2326,","),"")</f>
        <v/>
      </c>
      <c r="H2326" s="1" t="str">
        <f t="shared" ref="H2326:I2326" si="2328">IF(C2326&lt;&gt;"",DEC2HEX(C2326,2),"")</f>
        <v/>
      </c>
      <c r="I2326" s="1" t="str">
        <f t="shared" si="2328"/>
        <v/>
      </c>
      <c r="J2326" s="1" t="str">
        <f t="shared" si="3"/>
        <v/>
      </c>
      <c r="L2326" s="1" t="s">
        <v>3460</v>
      </c>
      <c r="M2326" s="1" t="str">
        <f t="shared" si="4"/>
        <v>31, 31, PIDGEOT</v>
      </c>
    </row>
    <row r="2327" ht="12.75" customHeight="1">
      <c r="A2327" s="3" t="s">
        <v>3505</v>
      </c>
      <c r="B2327" s="3" t="str">
        <f t="shared" si="1"/>
        <v>29, 31, LICKITUNG</v>
      </c>
      <c r="C2327" s="1" t="str">
        <f t="array" ref="C2327">IF(B2326="NEW ROUTE",TEXTSPLIT(B2327,","),"")</f>
        <v/>
      </c>
      <c r="H2327" s="1" t="str">
        <f t="shared" ref="H2327:I2327" si="2329">IF(C2327&lt;&gt;"",DEC2HEX(C2327,2),"")</f>
        <v/>
      </c>
      <c r="I2327" s="1" t="str">
        <f t="shared" si="2329"/>
        <v/>
      </c>
      <c r="J2327" s="1" t="str">
        <f t="shared" si="3"/>
        <v/>
      </c>
      <c r="L2327" s="1" t="s">
        <v>3505</v>
      </c>
      <c r="M2327" s="1" t="str">
        <f t="shared" si="4"/>
        <v>29, 31, LICKITUNG</v>
      </c>
    </row>
    <row r="2328" ht="12.75" customHeight="1">
      <c r="A2328" s="3" t="s">
        <v>2807</v>
      </c>
      <c r="B2328" s="3" t="str">
        <f t="shared" si="1"/>
        <v>0.05</v>
      </c>
      <c r="C2328" s="1" t="str">
        <f t="array" ref="C2328">IF(B2327="NEW ROUTE",TEXTSPLIT(B2328,","),"")</f>
        <v/>
      </c>
      <c r="H2328" s="1" t="str">
        <f t="shared" ref="H2328:I2328" si="2330">IF(C2328&lt;&gt;"",DEC2HEX(C2328,2),"")</f>
        <v/>
      </c>
      <c r="I2328" s="1" t="str">
        <f t="shared" si="2330"/>
        <v/>
      </c>
      <c r="J2328" s="1" t="str">
        <f t="shared" si="3"/>
        <v/>
      </c>
      <c r="L2328" s="1" t="s">
        <v>2807</v>
      </c>
      <c r="M2328" s="1" t="str">
        <f t="shared" si="4"/>
        <v>0.05</v>
      </c>
    </row>
    <row r="2329" ht="12.75" customHeight="1">
      <c r="A2329" s="3" t="s">
        <v>3506</v>
      </c>
      <c r="B2329" s="3" t="str">
        <f t="shared" si="1"/>
        <v>30, 34, TAUROS</v>
      </c>
      <c r="C2329" s="1" t="str">
        <f t="array" ref="C2329">IF(B2328="NEW ROUTE",TEXTSPLIT(B2329,","),"")</f>
        <v/>
      </c>
      <c r="H2329" s="1" t="str">
        <f t="shared" ref="H2329:I2329" si="2331">IF(C2329&lt;&gt;"",DEC2HEX(C2329,2),"")</f>
        <v/>
      </c>
      <c r="I2329" s="1" t="str">
        <f t="shared" si="2331"/>
        <v/>
      </c>
      <c r="J2329" s="1" t="str">
        <f t="shared" si="3"/>
        <v/>
      </c>
      <c r="L2329" s="1" t="s">
        <v>3506</v>
      </c>
      <c r="M2329" s="1" t="str">
        <f t="shared" si="4"/>
        <v>30, 34, TAUROS</v>
      </c>
    </row>
    <row r="2330" ht="12.75" customHeight="1">
      <c r="A2330" s="3" t="s">
        <v>3507</v>
      </c>
      <c r="B2330" s="3" t="str">
        <f t="shared" si="1"/>
        <v>30, 34, "MR. MIME"</v>
      </c>
      <c r="C2330" s="1" t="str">
        <f t="array" ref="C2330">IF(B2329="NEW ROUTE",TEXTSPLIT(B2330,","),"")</f>
        <v/>
      </c>
      <c r="H2330" s="1" t="str">
        <f t="shared" ref="H2330:I2330" si="2332">IF(C2330&lt;&gt;"",DEC2HEX(C2330,2),"")</f>
        <v/>
      </c>
      <c r="I2330" s="1" t="str">
        <f t="shared" si="2332"/>
        <v/>
      </c>
      <c r="J2330" s="1" t="str">
        <f t="shared" si="3"/>
        <v/>
      </c>
      <c r="L2330" s="1" t="s">
        <v>3507</v>
      </c>
      <c r="M2330" s="1" t="str">
        <f t="shared" si="4"/>
        <v>30, 34, "MR. MIME"</v>
      </c>
    </row>
    <row r="2331" ht="12.75" customHeight="1">
      <c r="A2331" s="3" t="s">
        <v>2810</v>
      </c>
      <c r="B2331" s="3" t="str">
        <f t="shared" si="1"/>
        <v>0.04</v>
      </c>
      <c r="C2331" s="1" t="str">
        <f t="array" ref="C2331">IF(B2330="NEW ROUTE",TEXTSPLIT(B2331,","),"")</f>
        <v/>
      </c>
      <c r="H2331" s="1" t="str">
        <f t="shared" ref="H2331:I2331" si="2333">IF(C2331&lt;&gt;"",DEC2HEX(C2331,2),"")</f>
        <v/>
      </c>
      <c r="I2331" s="1" t="str">
        <f t="shared" si="2333"/>
        <v/>
      </c>
      <c r="J2331" s="1" t="str">
        <f t="shared" si="3"/>
        <v/>
      </c>
      <c r="L2331" s="1" t="s">
        <v>2810</v>
      </c>
      <c r="M2331" s="1" t="str">
        <f t="shared" si="4"/>
        <v>0.04</v>
      </c>
    </row>
    <row r="2332" ht="12.75" customHeight="1">
      <c r="A2332" s="3" t="s">
        <v>3464</v>
      </c>
      <c r="B2332" s="3" t="str">
        <f t="shared" si="1"/>
        <v>31, 31, DODRIO</v>
      </c>
      <c r="C2332" s="1" t="str">
        <f t="array" ref="C2332">IF(B2331="NEW ROUTE",TEXTSPLIT(B2332,","),"")</f>
        <v/>
      </c>
      <c r="H2332" s="1" t="str">
        <f t="shared" ref="H2332:I2332" si="2334">IF(C2332&lt;&gt;"",DEC2HEX(C2332,2),"")</f>
        <v/>
      </c>
      <c r="I2332" s="1" t="str">
        <f t="shared" si="2334"/>
        <v/>
      </c>
      <c r="J2332" s="1" t="str">
        <f t="shared" si="3"/>
        <v/>
      </c>
      <c r="L2332" s="1" t="s">
        <v>3464</v>
      </c>
      <c r="M2332" s="1" t="str">
        <f t="shared" si="4"/>
        <v>31, 31, DODRIO</v>
      </c>
    </row>
    <row r="2333" ht="12.75" customHeight="1">
      <c r="A2333" s="3" t="s">
        <v>3508</v>
      </c>
      <c r="B2333" s="3" t="str">
        <f t="shared" si="1"/>
        <v>31, 31, LICKILICKY</v>
      </c>
      <c r="C2333" s="1" t="str">
        <f t="array" ref="C2333">IF(B2332="NEW ROUTE",TEXTSPLIT(B2333,","),"")</f>
        <v/>
      </c>
      <c r="H2333" s="1" t="str">
        <f t="shared" ref="H2333:I2333" si="2335">IF(C2333&lt;&gt;"",DEC2HEX(C2333,2),"")</f>
        <v/>
      </c>
      <c r="I2333" s="1" t="str">
        <f t="shared" si="2335"/>
        <v/>
      </c>
      <c r="J2333" s="1" t="str">
        <f t="shared" si="3"/>
        <v/>
      </c>
      <c r="L2333" s="1" t="s">
        <v>3508</v>
      </c>
      <c r="M2333" s="1" t="str">
        <f t="shared" si="4"/>
        <v>31, 31, LICKILICKY</v>
      </c>
    </row>
    <row r="2334" ht="12.75" customHeight="1">
      <c r="A2334" s="3" t="s">
        <v>2813</v>
      </c>
      <c r="B2334" s="3" t="str">
        <f t="shared" si="1"/>
        <v>0.01</v>
      </c>
      <c r="C2334" s="1" t="str">
        <f t="array" ref="C2334">IF(B2333="NEW ROUTE",TEXTSPLIT(B2334,","),"")</f>
        <v/>
      </c>
      <c r="H2334" s="1" t="str">
        <f t="shared" ref="H2334:I2334" si="2336">IF(C2334&lt;&gt;"",DEC2HEX(C2334,2),"")</f>
        <v/>
      </c>
      <c r="I2334" s="1" t="str">
        <f t="shared" si="2336"/>
        <v/>
      </c>
      <c r="J2334" s="1" t="str">
        <f t="shared" si="3"/>
        <v/>
      </c>
      <c r="L2334" s="1" t="s">
        <v>2813</v>
      </c>
      <c r="M2334" s="1" t="str">
        <f t="shared" si="4"/>
        <v>0.01</v>
      </c>
    </row>
    <row r="2335" ht="12.75" customHeight="1">
      <c r="A2335" s="3" t="s">
        <v>3509</v>
      </c>
      <c r="B2335" s="3" t="str">
        <f t="shared" si="1"/>
        <v>29, 34, VILEPLUME</v>
      </c>
      <c r="C2335" s="1" t="str">
        <f t="array" ref="C2335">IF(B2334="NEW ROUTE",TEXTSPLIT(B2335,","),"")</f>
        <v/>
      </c>
      <c r="H2335" s="1" t="str">
        <f t="shared" ref="H2335:I2335" si="2337">IF(C2335&lt;&gt;"",DEC2HEX(C2335,2),"")</f>
        <v/>
      </c>
      <c r="I2335" s="1" t="str">
        <f t="shared" si="2337"/>
        <v/>
      </c>
      <c r="J2335" s="1" t="str">
        <f t="shared" si="3"/>
        <v/>
      </c>
      <c r="L2335" s="1" t="s">
        <v>3509</v>
      </c>
      <c r="M2335" s="1" t="str">
        <f t="shared" si="4"/>
        <v>29, 34, VILEPLUME</v>
      </c>
    </row>
    <row r="2336" ht="12.75" customHeight="1">
      <c r="A2336" s="3" t="s">
        <v>3510</v>
      </c>
      <c r="B2336" s="3" t="str">
        <f t="shared" si="1"/>
        <v>20, 25, BULBASAUR , &lt;null&gt;, &lt;null&gt;, &lt;null&gt;</v>
      </c>
      <c r="C2336" s="1" t="str">
        <f t="array" ref="C2336">IF(B2335="NEW ROUTE",TEXTSPLIT(B2336,","),"")</f>
        <v/>
      </c>
      <c r="H2336" s="1" t="str">
        <f t="shared" ref="H2336:I2336" si="2338">IF(C2336&lt;&gt;"",DEC2HEX(C2336,2),"")</f>
        <v/>
      </c>
      <c r="I2336" s="1" t="str">
        <f t="shared" si="2338"/>
        <v/>
      </c>
      <c r="J2336" s="1" t="str">
        <f t="shared" si="3"/>
        <v/>
      </c>
      <c r="L2336" s="1" t="s">
        <v>3510</v>
      </c>
      <c r="M2336" s="1" t="str">
        <f t="shared" si="4"/>
        <v>20, 25, BULBASAUR , &lt;null&gt;, &lt;null&gt;, &lt;null&gt;</v>
      </c>
    </row>
    <row r="2337" ht="12.75" customHeight="1">
      <c r="A2337" s="3" t="s">
        <v>2539</v>
      </c>
      <c r="B2337" s="3" t="str">
        <f t="shared" si="1"/>
        <v>NEW ROUTE</v>
      </c>
      <c r="C2337" s="1" t="str">
        <f t="array" ref="C2337">IF(B2336="NEW ROUTE",TEXTSPLIT(B2337,","),"")</f>
        <v/>
      </c>
      <c r="H2337" s="1" t="str">
        <f t="shared" ref="H2337:I2337" si="2339">IF(C2337&lt;&gt;"",DEC2HEX(C2337,2),"")</f>
        <v/>
      </c>
      <c r="I2337" s="1" t="str">
        <f t="shared" si="2339"/>
        <v/>
      </c>
      <c r="J2337" s="1" t="str">
        <f t="shared" si="3"/>
        <v/>
      </c>
      <c r="L2337" s="1" t="s">
        <v>2539</v>
      </c>
      <c r="M2337" s="1" t="str">
        <f t="shared" si="4"/>
        <v>NEW ROUTE</v>
      </c>
    </row>
    <row r="2338" ht="12.75" customHeight="1">
      <c r="A2338" s="3" t="s">
        <v>3511</v>
      </c>
      <c r="B2338" s="3" t="str">
        <f t="shared" si="1"/>
        <v>3, 35, 0,</v>
      </c>
      <c r="C2338" s="1" t="str">
        <f t="array" ref="C2338">IF(B2337="NEW ROUTE",TEXTSPLIT(B2338,","),"")</f>
        <v>#NAME?</v>
      </c>
      <c r="H2338" s="1" t="str">
        <f t="shared" ref="H2338:I2338" si="2340">IF(C2338&lt;&gt;"",DEC2HEX(C2338,2),"")</f>
        <v>#NAME?</v>
      </c>
      <c r="I2338" s="1" t="str">
        <f t="shared" si="2340"/>
        <v/>
      </c>
      <c r="J2338" s="1" t="str">
        <f t="shared" si="3"/>
        <v>#NAME?</v>
      </c>
      <c r="L2338" s="1" t="s">
        <v>3511</v>
      </c>
      <c r="M2338" s="1" t="str">
        <f t="shared" si="4"/>
        <v>#NAME?</v>
      </c>
    </row>
    <row r="2339" ht="12.75" customHeight="1">
      <c r="A2339" s="3" t="s">
        <v>2909</v>
      </c>
      <c r="B2339" s="3" t="str">
        <f t="shared" si="1"/>
        <v>20%</v>
      </c>
      <c r="C2339" s="1" t="str">
        <f t="array" ref="C2339">IF(B2338="NEW ROUTE",TEXTSPLIT(B2339,","),"")</f>
        <v/>
      </c>
      <c r="H2339" s="1" t="str">
        <f t="shared" ref="H2339:I2339" si="2341">IF(C2339&lt;&gt;"",DEC2HEX(C2339,2),"")</f>
        <v/>
      </c>
      <c r="I2339" s="1" t="str">
        <f t="shared" si="2341"/>
        <v/>
      </c>
      <c r="J2339" s="1" t="str">
        <f t="shared" si="3"/>
        <v/>
      </c>
      <c r="L2339" s="1" t="s">
        <v>2799</v>
      </c>
      <c r="M2339" s="1" t="str">
        <f t="shared" si="4"/>
        <v>20%</v>
      </c>
    </row>
    <row r="2340" ht="12.75" customHeight="1">
      <c r="A2340" s="3" t="s">
        <v>1141</v>
      </c>
      <c r="B2340" s="3" t="str">
        <f t="shared" si="1"/>
        <v>30, 35, ODDISH</v>
      </c>
      <c r="C2340" s="1" t="str">
        <f t="array" ref="C2340">IF(B2339="NEW ROUTE",TEXTSPLIT(B2340,","),"")</f>
        <v/>
      </c>
      <c r="H2340" s="1" t="str">
        <f t="shared" ref="H2340:I2340" si="2342">IF(C2340&lt;&gt;"",DEC2HEX(C2340,2),"")</f>
        <v/>
      </c>
      <c r="I2340" s="1" t="str">
        <f t="shared" si="2342"/>
        <v/>
      </c>
      <c r="J2340" s="1" t="str">
        <f t="shared" si="3"/>
        <v/>
      </c>
      <c r="L2340" s="1" t="s">
        <v>1141</v>
      </c>
      <c r="M2340" s="1" t="str">
        <f t="shared" si="4"/>
        <v>30, 35, ODDISH</v>
      </c>
    </row>
    <row r="2341" ht="12.75" customHeight="1">
      <c r="A2341" s="3" t="s">
        <v>3470</v>
      </c>
      <c r="B2341" s="3" t="str">
        <f t="shared" si="1"/>
        <v>30, 35, PIDGEOTTO</v>
      </c>
      <c r="C2341" s="1" t="str">
        <f t="array" ref="C2341">IF(B2340="NEW ROUTE",TEXTSPLIT(B2341,","),"")</f>
        <v/>
      </c>
      <c r="H2341" s="1" t="str">
        <f t="shared" ref="H2341:I2341" si="2343">IF(C2341&lt;&gt;"",DEC2HEX(C2341,2),"")</f>
        <v/>
      </c>
      <c r="I2341" s="1" t="str">
        <f t="shared" si="2343"/>
        <v/>
      </c>
      <c r="J2341" s="1" t="str">
        <f t="shared" si="3"/>
        <v/>
      </c>
      <c r="L2341" s="1" t="s">
        <v>3470</v>
      </c>
      <c r="M2341" s="1" t="str">
        <f t="shared" si="4"/>
        <v>30, 35, PIDGEOTTO</v>
      </c>
    </row>
    <row r="2342" ht="12.75" customHeight="1">
      <c r="A2342" s="3" t="s">
        <v>2802</v>
      </c>
      <c r="B2342" s="3" t="str">
        <f t="shared" si="1"/>
        <v>0.1</v>
      </c>
      <c r="C2342" s="1" t="str">
        <f t="array" ref="C2342">IF(B2341="NEW ROUTE",TEXTSPLIT(B2342,","),"")</f>
        <v/>
      </c>
      <c r="H2342" s="1" t="str">
        <f t="shared" ref="H2342:I2342" si="2344">IF(C2342&lt;&gt;"",DEC2HEX(C2342,2),"")</f>
        <v/>
      </c>
      <c r="I2342" s="1" t="str">
        <f t="shared" si="2344"/>
        <v/>
      </c>
      <c r="J2342" s="1" t="str">
        <f t="shared" si="3"/>
        <v/>
      </c>
      <c r="L2342" s="1" t="s">
        <v>2802</v>
      </c>
      <c r="M2342" s="1" t="str">
        <f t="shared" si="4"/>
        <v>0.1</v>
      </c>
    </row>
    <row r="2343" ht="12.75" customHeight="1">
      <c r="A2343" s="3" t="s">
        <v>3512</v>
      </c>
      <c r="B2343" s="3" t="str">
        <f t="shared" si="1"/>
        <v>30, 35, GLOOM</v>
      </c>
      <c r="C2343" s="1" t="str">
        <f t="array" ref="C2343">IF(B2342="NEW ROUTE",TEXTSPLIT(B2343,","),"")</f>
        <v/>
      </c>
      <c r="H2343" s="1" t="str">
        <f t="shared" ref="H2343:I2343" si="2345">IF(C2343&lt;&gt;"",DEC2HEX(C2343,2),"")</f>
        <v/>
      </c>
      <c r="I2343" s="1" t="str">
        <f t="shared" si="2345"/>
        <v/>
      </c>
      <c r="J2343" s="1" t="str">
        <f t="shared" si="3"/>
        <v/>
      </c>
      <c r="L2343" s="1" t="s">
        <v>3512</v>
      </c>
      <c r="M2343" s="1" t="str">
        <f t="shared" si="4"/>
        <v>30, 35, GLOOM</v>
      </c>
    </row>
    <row r="2344" ht="12.75" customHeight="1">
      <c r="A2344" s="3" t="s">
        <v>3513</v>
      </c>
      <c r="B2344" s="3" t="str">
        <f t="shared" si="1"/>
        <v>30, 35, DODUO</v>
      </c>
      <c r="C2344" s="1" t="str">
        <f t="array" ref="C2344">IF(B2343="NEW ROUTE",TEXTSPLIT(B2344,","),"")</f>
        <v/>
      </c>
      <c r="H2344" s="1" t="str">
        <f t="shared" ref="H2344:I2344" si="2346">IF(C2344&lt;&gt;"",DEC2HEX(C2344,2),"")</f>
        <v/>
      </c>
      <c r="I2344" s="1" t="str">
        <f t="shared" si="2346"/>
        <v/>
      </c>
      <c r="J2344" s="1" t="str">
        <f t="shared" si="3"/>
        <v/>
      </c>
      <c r="L2344" s="1" t="s">
        <v>3513</v>
      </c>
      <c r="M2344" s="1" t="str">
        <f t="shared" si="4"/>
        <v>30, 35, DODUO</v>
      </c>
    </row>
    <row r="2345" ht="12.75" customHeight="1">
      <c r="A2345" s="3" t="s">
        <v>3473</v>
      </c>
      <c r="B2345" s="3" t="str">
        <f t="shared" si="1"/>
        <v>32, 32, PIDGEOT</v>
      </c>
      <c r="C2345" s="1" t="str">
        <f t="array" ref="C2345">IF(B2344="NEW ROUTE",TEXTSPLIT(B2345,","),"")</f>
        <v/>
      </c>
      <c r="H2345" s="1" t="str">
        <f t="shared" ref="H2345:I2345" si="2347">IF(C2345&lt;&gt;"",DEC2HEX(C2345,2),"")</f>
        <v/>
      </c>
      <c r="I2345" s="1" t="str">
        <f t="shared" si="2347"/>
        <v/>
      </c>
      <c r="J2345" s="1" t="str">
        <f t="shared" si="3"/>
        <v/>
      </c>
      <c r="L2345" s="1" t="s">
        <v>3473</v>
      </c>
      <c r="M2345" s="1" t="str">
        <f t="shared" si="4"/>
        <v>32, 32, PIDGEOT</v>
      </c>
    </row>
    <row r="2346" ht="12.75" customHeight="1">
      <c r="A2346" s="3" t="s">
        <v>3514</v>
      </c>
      <c r="B2346" s="3" t="str">
        <f t="shared" si="1"/>
        <v>30, 32, LICKITUNG</v>
      </c>
      <c r="C2346" s="1" t="str">
        <f t="array" ref="C2346">IF(B2345="NEW ROUTE",TEXTSPLIT(B2346,","),"")</f>
        <v/>
      </c>
      <c r="H2346" s="1" t="str">
        <f t="shared" ref="H2346:I2346" si="2348">IF(C2346&lt;&gt;"",DEC2HEX(C2346,2),"")</f>
        <v/>
      </c>
      <c r="I2346" s="1" t="str">
        <f t="shared" si="2348"/>
        <v/>
      </c>
      <c r="J2346" s="1" t="str">
        <f t="shared" si="3"/>
        <v/>
      </c>
      <c r="L2346" s="1" t="s">
        <v>3514</v>
      </c>
      <c r="M2346" s="1" t="str">
        <f t="shared" si="4"/>
        <v>30, 32, LICKITUNG</v>
      </c>
    </row>
    <row r="2347" ht="12.75" customHeight="1">
      <c r="A2347" s="3" t="s">
        <v>2807</v>
      </c>
      <c r="B2347" s="3" t="str">
        <f t="shared" si="1"/>
        <v>0.05</v>
      </c>
      <c r="C2347" s="1" t="str">
        <f t="array" ref="C2347">IF(B2346="NEW ROUTE",TEXTSPLIT(B2347,","),"")</f>
        <v/>
      </c>
      <c r="H2347" s="1" t="str">
        <f t="shared" ref="H2347:I2347" si="2349">IF(C2347&lt;&gt;"",DEC2HEX(C2347,2),"")</f>
        <v/>
      </c>
      <c r="I2347" s="1" t="str">
        <f t="shared" si="2349"/>
        <v/>
      </c>
      <c r="J2347" s="1" t="str">
        <f t="shared" si="3"/>
        <v/>
      </c>
      <c r="L2347" s="1" t="s">
        <v>2807</v>
      </c>
      <c r="M2347" s="1" t="str">
        <f t="shared" si="4"/>
        <v>0.05</v>
      </c>
    </row>
    <row r="2348" ht="12.75" customHeight="1">
      <c r="A2348" s="3" t="s">
        <v>3515</v>
      </c>
      <c r="B2348" s="3" t="str">
        <f t="shared" si="1"/>
        <v>31, 35, TAUROS</v>
      </c>
      <c r="C2348" s="1" t="str">
        <f t="array" ref="C2348">IF(B2347="NEW ROUTE",TEXTSPLIT(B2348,","),"")</f>
        <v/>
      </c>
      <c r="H2348" s="1" t="str">
        <f t="shared" ref="H2348:I2348" si="2350">IF(C2348&lt;&gt;"",DEC2HEX(C2348,2),"")</f>
        <v/>
      </c>
      <c r="I2348" s="1" t="str">
        <f t="shared" si="2350"/>
        <v/>
      </c>
      <c r="J2348" s="1" t="str">
        <f t="shared" si="3"/>
        <v/>
      </c>
      <c r="L2348" s="1" t="s">
        <v>3515</v>
      </c>
      <c r="M2348" s="1" t="str">
        <f t="shared" si="4"/>
        <v>31, 35, TAUROS</v>
      </c>
    </row>
    <row r="2349" ht="12.75" customHeight="1">
      <c r="A2349" s="3" t="s">
        <v>3516</v>
      </c>
      <c r="B2349" s="3" t="str">
        <f t="shared" si="1"/>
        <v>31, 35, "MR. MIME"</v>
      </c>
      <c r="C2349" s="1" t="str">
        <f t="array" ref="C2349">IF(B2348="NEW ROUTE",TEXTSPLIT(B2349,","),"")</f>
        <v/>
      </c>
      <c r="H2349" s="1" t="str">
        <f t="shared" ref="H2349:I2349" si="2351">IF(C2349&lt;&gt;"",DEC2HEX(C2349,2),"")</f>
        <v/>
      </c>
      <c r="I2349" s="1" t="str">
        <f t="shared" si="2351"/>
        <v/>
      </c>
      <c r="J2349" s="1" t="str">
        <f t="shared" si="3"/>
        <v/>
      </c>
      <c r="L2349" s="1" t="s">
        <v>3516</v>
      </c>
      <c r="M2349" s="1" t="str">
        <f t="shared" si="4"/>
        <v>31, 35, "MR. MIME"</v>
      </c>
    </row>
    <row r="2350" ht="12.75" customHeight="1">
      <c r="A2350" s="3" t="s">
        <v>2810</v>
      </c>
      <c r="B2350" s="3" t="str">
        <f t="shared" si="1"/>
        <v>0.04</v>
      </c>
      <c r="C2350" s="1" t="str">
        <f t="array" ref="C2350">IF(B2349="NEW ROUTE",TEXTSPLIT(B2350,","),"")</f>
        <v/>
      </c>
      <c r="H2350" s="1" t="str">
        <f t="shared" ref="H2350:I2350" si="2352">IF(C2350&lt;&gt;"",DEC2HEX(C2350,2),"")</f>
        <v/>
      </c>
      <c r="I2350" s="1" t="str">
        <f t="shared" si="2352"/>
        <v/>
      </c>
      <c r="J2350" s="1" t="str">
        <f t="shared" si="3"/>
        <v/>
      </c>
      <c r="L2350" s="1" t="s">
        <v>2810</v>
      </c>
      <c r="M2350" s="1" t="str">
        <f t="shared" si="4"/>
        <v>0.04</v>
      </c>
    </row>
    <row r="2351" ht="12.75" customHeight="1">
      <c r="A2351" s="3" t="s">
        <v>3477</v>
      </c>
      <c r="B2351" s="3" t="str">
        <f t="shared" si="1"/>
        <v>32, 32, DODRIO</v>
      </c>
      <c r="C2351" s="1" t="str">
        <f t="array" ref="C2351">IF(B2350="NEW ROUTE",TEXTSPLIT(B2351,","),"")</f>
        <v/>
      </c>
      <c r="H2351" s="1" t="str">
        <f t="shared" ref="H2351:I2351" si="2353">IF(C2351&lt;&gt;"",DEC2HEX(C2351,2),"")</f>
        <v/>
      </c>
      <c r="I2351" s="1" t="str">
        <f t="shared" si="2353"/>
        <v/>
      </c>
      <c r="J2351" s="1" t="str">
        <f t="shared" si="3"/>
        <v/>
      </c>
      <c r="L2351" s="1" t="s">
        <v>3477</v>
      </c>
      <c r="M2351" s="1" t="str">
        <f t="shared" si="4"/>
        <v>32, 32, DODRIO</v>
      </c>
    </row>
    <row r="2352" ht="12.75" customHeight="1">
      <c r="A2352" s="3" t="s">
        <v>3517</v>
      </c>
      <c r="B2352" s="3" t="str">
        <f t="shared" si="1"/>
        <v>32, 32, LICKILICKY</v>
      </c>
      <c r="C2352" s="1" t="str">
        <f t="array" ref="C2352">IF(B2351="NEW ROUTE",TEXTSPLIT(B2352,","),"")</f>
        <v/>
      </c>
      <c r="H2352" s="1" t="str">
        <f t="shared" ref="H2352:I2352" si="2354">IF(C2352&lt;&gt;"",DEC2HEX(C2352,2),"")</f>
        <v/>
      </c>
      <c r="I2352" s="1" t="str">
        <f t="shared" si="2354"/>
        <v/>
      </c>
      <c r="J2352" s="1" t="str">
        <f t="shared" si="3"/>
        <v/>
      </c>
      <c r="L2352" s="1" t="s">
        <v>3517</v>
      </c>
      <c r="M2352" s="1" t="str">
        <f t="shared" si="4"/>
        <v>32, 32, LICKILICKY</v>
      </c>
    </row>
    <row r="2353" ht="12.75" customHeight="1">
      <c r="A2353" s="3" t="s">
        <v>2813</v>
      </c>
      <c r="B2353" s="3" t="str">
        <f t="shared" si="1"/>
        <v>0.01</v>
      </c>
      <c r="C2353" s="1" t="str">
        <f t="array" ref="C2353">IF(B2352="NEW ROUTE",TEXTSPLIT(B2353,","),"")</f>
        <v/>
      </c>
      <c r="H2353" s="1" t="str">
        <f t="shared" ref="H2353:I2353" si="2355">IF(C2353&lt;&gt;"",DEC2HEX(C2353,2),"")</f>
        <v/>
      </c>
      <c r="I2353" s="1" t="str">
        <f t="shared" si="2355"/>
        <v/>
      </c>
      <c r="J2353" s="1" t="str">
        <f t="shared" si="3"/>
        <v/>
      </c>
      <c r="L2353" s="1" t="s">
        <v>2813</v>
      </c>
      <c r="M2353" s="1" t="str">
        <f t="shared" si="4"/>
        <v>0.01</v>
      </c>
    </row>
    <row r="2354" ht="12.75" customHeight="1">
      <c r="A2354" s="3" t="s">
        <v>3518</v>
      </c>
      <c r="B2354" s="3" t="str">
        <f t="shared" si="1"/>
        <v>30, 35, VILEPLUME</v>
      </c>
      <c r="C2354" s="1" t="str">
        <f t="array" ref="C2354">IF(B2353="NEW ROUTE",TEXTSPLIT(B2354,","),"")</f>
        <v/>
      </c>
      <c r="H2354" s="1" t="str">
        <f t="shared" ref="H2354:I2354" si="2356">IF(C2354&lt;&gt;"",DEC2HEX(C2354,2),"")</f>
        <v/>
      </c>
      <c r="I2354" s="1" t="str">
        <f t="shared" si="2356"/>
        <v/>
      </c>
      <c r="J2354" s="1" t="str">
        <f t="shared" si="3"/>
        <v/>
      </c>
      <c r="L2354" s="1" t="s">
        <v>3518</v>
      </c>
      <c r="M2354" s="1" t="str">
        <f t="shared" si="4"/>
        <v>30, 35, VILEPLUME</v>
      </c>
    </row>
    <row r="2355" ht="12.75" customHeight="1">
      <c r="A2355" s="3" t="s">
        <v>3510</v>
      </c>
      <c r="B2355" s="3" t="str">
        <f t="shared" si="1"/>
        <v>20, 25, BULBASAUR , &lt;null&gt;, &lt;null&gt;, &lt;null&gt;</v>
      </c>
      <c r="C2355" s="1" t="str">
        <f t="array" ref="C2355">IF(B2354="NEW ROUTE",TEXTSPLIT(B2355,","),"")</f>
        <v/>
      </c>
      <c r="H2355" s="1" t="str">
        <f t="shared" ref="H2355:I2355" si="2357">IF(C2355&lt;&gt;"",DEC2HEX(C2355,2),"")</f>
        <v/>
      </c>
      <c r="I2355" s="1" t="str">
        <f t="shared" si="2357"/>
        <v/>
      </c>
      <c r="J2355" s="1" t="str">
        <f t="shared" si="3"/>
        <v/>
      </c>
      <c r="L2355" s="1" t="s">
        <v>3510</v>
      </c>
      <c r="M2355" s="1" t="str">
        <f t="shared" si="4"/>
        <v>20, 25, BULBASAUR , &lt;null&gt;, &lt;null&gt;, &lt;null&gt;</v>
      </c>
    </row>
    <row r="2356" ht="12.75" customHeight="1">
      <c r="A2356" s="3" t="s">
        <v>2539</v>
      </c>
      <c r="B2356" s="3" t="str">
        <f t="shared" si="1"/>
        <v>NEW ROUTE</v>
      </c>
      <c r="C2356" s="1" t="str">
        <f t="array" ref="C2356">IF(B2355="NEW ROUTE",TEXTSPLIT(B2356,","),"")</f>
        <v/>
      </c>
      <c r="H2356" s="1" t="str">
        <f t="shared" ref="H2356:I2356" si="2358">IF(C2356&lt;&gt;"",DEC2HEX(C2356,2),"")</f>
        <v/>
      </c>
      <c r="I2356" s="1" t="str">
        <f t="shared" si="2358"/>
        <v/>
      </c>
      <c r="J2356" s="1" t="str">
        <f t="shared" si="3"/>
        <v/>
      </c>
      <c r="L2356" s="1" t="s">
        <v>2539</v>
      </c>
      <c r="M2356" s="1" t="str">
        <f t="shared" si="4"/>
        <v>NEW ROUTE</v>
      </c>
    </row>
    <row r="2357" ht="12.75" customHeight="1">
      <c r="A2357" s="3" t="s">
        <v>3519</v>
      </c>
      <c r="B2357" s="3" t="str">
        <f t="shared" si="1"/>
        <v>3, 36, 0,</v>
      </c>
      <c r="C2357" s="1" t="str">
        <f t="array" ref="C2357">IF(B2356="NEW ROUTE",TEXTSPLIT(B2357,","),"")</f>
        <v>#NAME?</v>
      </c>
      <c r="H2357" s="1" t="str">
        <f t="shared" ref="H2357:I2357" si="2359">IF(C2357&lt;&gt;"",DEC2HEX(C2357,2),"")</f>
        <v>#NAME?</v>
      </c>
      <c r="I2357" s="1" t="str">
        <f t="shared" si="2359"/>
        <v/>
      </c>
      <c r="J2357" s="1" t="str">
        <f t="shared" si="3"/>
        <v>#NAME?</v>
      </c>
      <c r="L2357" s="1" t="s">
        <v>3519</v>
      </c>
      <c r="M2357" s="1" t="str">
        <f t="shared" si="4"/>
        <v>#NAME?</v>
      </c>
    </row>
    <row r="2358" ht="12.75" customHeight="1">
      <c r="A2358" s="3" t="s">
        <v>2909</v>
      </c>
      <c r="B2358" s="3" t="str">
        <f t="shared" si="1"/>
        <v>20%</v>
      </c>
      <c r="C2358" s="1" t="str">
        <f t="array" ref="C2358">IF(B2357="NEW ROUTE",TEXTSPLIT(B2358,","),"")</f>
        <v/>
      </c>
      <c r="H2358" s="1" t="str">
        <f t="shared" ref="H2358:I2358" si="2360">IF(C2358&lt;&gt;"",DEC2HEX(C2358,2),"")</f>
        <v/>
      </c>
      <c r="I2358" s="1" t="str">
        <f t="shared" si="2360"/>
        <v/>
      </c>
      <c r="J2358" s="1" t="str">
        <f t="shared" si="3"/>
        <v/>
      </c>
      <c r="L2358" s="1" t="s">
        <v>2799</v>
      </c>
      <c r="M2358" s="1" t="str">
        <f t="shared" si="4"/>
        <v>20%</v>
      </c>
    </row>
    <row r="2359" ht="12.75" customHeight="1">
      <c r="A2359" s="3" t="s">
        <v>1150</v>
      </c>
      <c r="B2359" s="3" t="str">
        <f t="shared" si="1"/>
        <v>32, 36, ODDISH</v>
      </c>
      <c r="C2359" s="1" t="str">
        <f t="array" ref="C2359">IF(B2358="NEW ROUTE",TEXTSPLIT(B2359,","),"")</f>
        <v/>
      </c>
      <c r="H2359" s="1" t="str">
        <f t="shared" ref="H2359:I2359" si="2361">IF(C2359&lt;&gt;"",DEC2HEX(C2359,2),"")</f>
        <v/>
      </c>
      <c r="I2359" s="1" t="str">
        <f t="shared" si="2361"/>
        <v/>
      </c>
      <c r="J2359" s="1" t="str">
        <f t="shared" si="3"/>
        <v/>
      </c>
      <c r="L2359" s="1" t="s">
        <v>1150</v>
      </c>
      <c r="M2359" s="1" t="str">
        <f t="shared" si="4"/>
        <v>32, 36, ODDISH</v>
      </c>
    </row>
    <row r="2360" ht="12.75" customHeight="1">
      <c r="A2360" s="3" t="s">
        <v>3481</v>
      </c>
      <c r="B2360" s="3" t="str">
        <f t="shared" si="1"/>
        <v>32, 36, PIDGEOTTO</v>
      </c>
      <c r="C2360" s="1" t="str">
        <f t="array" ref="C2360">IF(B2359="NEW ROUTE",TEXTSPLIT(B2360,","),"")</f>
        <v/>
      </c>
      <c r="H2360" s="1" t="str">
        <f t="shared" ref="H2360:I2360" si="2362">IF(C2360&lt;&gt;"",DEC2HEX(C2360,2),"")</f>
        <v/>
      </c>
      <c r="I2360" s="1" t="str">
        <f t="shared" si="2362"/>
        <v/>
      </c>
      <c r="J2360" s="1" t="str">
        <f t="shared" si="3"/>
        <v/>
      </c>
      <c r="L2360" s="1" t="s">
        <v>3481</v>
      </c>
      <c r="M2360" s="1" t="str">
        <f t="shared" si="4"/>
        <v>32, 36, PIDGEOTTO</v>
      </c>
    </row>
    <row r="2361" ht="12.75" customHeight="1">
      <c r="A2361" s="3" t="s">
        <v>2802</v>
      </c>
      <c r="B2361" s="3" t="str">
        <f t="shared" si="1"/>
        <v>0.1</v>
      </c>
      <c r="C2361" s="1" t="str">
        <f t="array" ref="C2361">IF(B2360="NEW ROUTE",TEXTSPLIT(B2361,","),"")</f>
        <v/>
      </c>
      <c r="H2361" s="1" t="str">
        <f t="shared" ref="H2361:I2361" si="2363">IF(C2361&lt;&gt;"",DEC2HEX(C2361,2),"")</f>
        <v/>
      </c>
      <c r="I2361" s="1" t="str">
        <f t="shared" si="2363"/>
        <v/>
      </c>
      <c r="J2361" s="1" t="str">
        <f t="shared" si="3"/>
        <v/>
      </c>
      <c r="L2361" s="1" t="s">
        <v>2802</v>
      </c>
      <c r="M2361" s="1" t="str">
        <f t="shared" si="4"/>
        <v>0.1</v>
      </c>
    </row>
    <row r="2362" ht="12.75" customHeight="1">
      <c r="A2362" s="3" t="s">
        <v>3520</v>
      </c>
      <c r="B2362" s="3" t="str">
        <f t="shared" si="1"/>
        <v>31, 33, GLOOM</v>
      </c>
      <c r="C2362" s="1" t="str">
        <f t="array" ref="C2362">IF(B2361="NEW ROUTE",TEXTSPLIT(B2362,","),"")</f>
        <v/>
      </c>
      <c r="H2362" s="1" t="str">
        <f t="shared" ref="H2362:I2362" si="2364">IF(C2362&lt;&gt;"",DEC2HEX(C2362,2),"")</f>
        <v/>
      </c>
      <c r="I2362" s="1" t="str">
        <f t="shared" si="2364"/>
        <v/>
      </c>
      <c r="J2362" s="1" t="str">
        <f t="shared" si="3"/>
        <v/>
      </c>
      <c r="L2362" s="1" t="s">
        <v>3520</v>
      </c>
      <c r="M2362" s="1" t="str">
        <f t="shared" si="4"/>
        <v>31, 33, GLOOM</v>
      </c>
    </row>
    <row r="2363" ht="12.75" customHeight="1">
      <c r="A2363" s="3" t="s">
        <v>3483</v>
      </c>
      <c r="B2363" s="3" t="str">
        <f t="shared" si="1"/>
        <v>31, 33, DODUO</v>
      </c>
      <c r="C2363" s="1" t="str">
        <f t="array" ref="C2363">IF(B2362="NEW ROUTE",TEXTSPLIT(B2363,","),"")</f>
        <v/>
      </c>
      <c r="H2363" s="1" t="str">
        <f t="shared" ref="H2363:I2363" si="2365">IF(C2363&lt;&gt;"",DEC2HEX(C2363,2),"")</f>
        <v/>
      </c>
      <c r="I2363" s="1" t="str">
        <f t="shared" si="2365"/>
        <v/>
      </c>
      <c r="J2363" s="1" t="str">
        <f t="shared" si="3"/>
        <v/>
      </c>
      <c r="L2363" s="1" t="s">
        <v>3483</v>
      </c>
      <c r="M2363" s="1" t="str">
        <f t="shared" si="4"/>
        <v>31, 33, DODUO</v>
      </c>
    </row>
    <row r="2364" ht="12.75" customHeight="1">
      <c r="A2364" s="3" t="s">
        <v>3484</v>
      </c>
      <c r="B2364" s="3" t="str">
        <f t="shared" si="1"/>
        <v>33, 33, PIDGEOT</v>
      </c>
      <c r="C2364" s="1" t="str">
        <f t="array" ref="C2364">IF(B2363="NEW ROUTE",TEXTSPLIT(B2364,","),"")</f>
        <v/>
      </c>
      <c r="H2364" s="1" t="str">
        <f t="shared" ref="H2364:I2364" si="2366">IF(C2364&lt;&gt;"",DEC2HEX(C2364,2),"")</f>
        <v/>
      </c>
      <c r="I2364" s="1" t="str">
        <f t="shared" si="2366"/>
        <v/>
      </c>
      <c r="J2364" s="1" t="str">
        <f t="shared" si="3"/>
        <v/>
      </c>
      <c r="L2364" s="1" t="s">
        <v>3484</v>
      </c>
      <c r="M2364" s="1" t="str">
        <f t="shared" si="4"/>
        <v>33, 33, PIDGEOT</v>
      </c>
    </row>
    <row r="2365" ht="12.75" customHeight="1">
      <c r="A2365" s="3" t="s">
        <v>3521</v>
      </c>
      <c r="B2365" s="3" t="str">
        <f t="shared" si="1"/>
        <v>31, 33, LICKITUNG</v>
      </c>
      <c r="C2365" s="1" t="str">
        <f t="array" ref="C2365">IF(B2364="NEW ROUTE",TEXTSPLIT(B2365,","),"")</f>
        <v/>
      </c>
      <c r="H2365" s="1" t="str">
        <f t="shared" ref="H2365:I2365" si="2367">IF(C2365&lt;&gt;"",DEC2HEX(C2365,2),"")</f>
        <v/>
      </c>
      <c r="I2365" s="1" t="str">
        <f t="shared" si="2367"/>
        <v/>
      </c>
      <c r="J2365" s="1" t="str">
        <f t="shared" si="3"/>
        <v/>
      </c>
      <c r="L2365" s="1" t="s">
        <v>3521</v>
      </c>
      <c r="M2365" s="1" t="str">
        <f t="shared" si="4"/>
        <v>31, 33, LICKITUNG</v>
      </c>
    </row>
    <row r="2366" ht="12.75" customHeight="1">
      <c r="A2366" s="3" t="s">
        <v>2807</v>
      </c>
      <c r="B2366" s="3" t="str">
        <f t="shared" si="1"/>
        <v>0.05</v>
      </c>
      <c r="C2366" s="1" t="str">
        <f t="array" ref="C2366">IF(B2365="NEW ROUTE",TEXTSPLIT(B2366,","),"")</f>
        <v/>
      </c>
      <c r="H2366" s="1" t="str">
        <f t="shared" ref="H2366:I2366" si="2368">IF(C2366&lt;&gt;"",DEC2HEX(C2366,2),"")</f>
        <v/>
      </c>
      <c r="I2366" s="1" t="str">
        <f t="shared" si="2368"/>
        <v/>
      </c>
      <c r="J2366" s="1" t="str">
        <f t="shared" si="3"/>
        <v/>
      </c>
      <c r="L2366" s="1" t="s">
        <v>2807</v>
      </c>
      <c r="M2366" s="1" t="str">
        <f t="shared" si="4"/>
        <v>0.05</v>
      </c>
    </row>
    <row r="2367" ht="12.75" customHeight="1">
      <c r="A2367" s="3" t="s">
        <v>3522</v>
      </c>
      <c r="B2367" s="3" t="str">
        <f t="shared" si="1"/>
        <v>32, 36, TAUROS</v>
      </c>
      <c r="C2367" s="1" t="str">
        <f t="array" ref="C2367">IF(B2366="NEW ROUTE",TEXTSPLIT(B2367,","),"")</f>
        <v/>
      </c>
      <c r="H2367" s="1" t="str">
        <f t="shared" ref="H2367:I2367" si="2369">IF(C2367&lt;&gt;"",DEC2HEX(C2367,2),"")</f>
        <v/>
      </c>
      <c r="I2367" s="1" t="str">
        <f t="shared" si="2369"/>
        <v/>
      </c>
      <c r="J2367" s="1" t="str">
        <f t="shared" si="3"/>
        <v/>
      </c>
      <c r="L2367" s="1" t="s">
        <v>3522</v>
      </c>
      <c r="M2367" s="1" t="str">
        <f t="shared" si="4"/>
        <v>32, 36, TAUROS</v>
      </c>
    </row>
    <row r="2368" ht="12.75" customHeight="1">
      <c r="A2368" s="3" t="s">
        <v>3523</v>
      </c>
      <c r="B2368" s="3" t="str">
        <f t="shared" si="1"/>
        <v>32, 36, "MR. MIME"</v>
      </c>
      <c r="C2368" s="1" t="str">
        <f t="array" ref="C2368">IF(B2367="NEW ROUTE",TEXTSPLIT(B2368,","),"")</f>
        <v/>
      </c>
      <c r="H2368" s="1" t="str">
        <f t="shared" ref="H2368:I2368" si="2370">IF(C2368&lt;&gt;"",DEC2HEX(C2368,2),"")</f>
        <v/>
      </c>
      <c r="I2368" s="1" t="str">
        <f t="shared" si="2370"/>
        <v/>
      </c>
      <c r="J2368" s="1" t="str">
        <f t="shared" si="3"/>
        <v/>
      </c>
      <c r="L2368" s="1" t="s">
        <v>3523</v>
      </c>
      <c r="M2368" s="1" t="str">
        <f t="shared" si="4"/>
        <v>32, 36, "MR. MIME"</v>
      </c>
    </row>
    <row r="2369" ht="12.75" customHeight="1">
      <c r="A2369" s="3" t="s">
        <v>2810</v>
      </c>
      <c r="B2369" s="3" t="str">
        <f t="shared" si="1"/>
        <v>0.04</v>
      </c>
      <c r="C2369" s="1" t="str">
        <f t="array" ref="C2369">IF(B2368="NEW ROUTE",TEXTSPLIT(B2369,","),"")</f>
        <v/>
      </c>
      <c r="H2369" s="1" t="str">
        <f t="shared" ref="H2369:I2369" si="2371">IF(C2369&lt;&gt;"",DEC2HEX(C2369,2),"")</f>
        <v/>
      </c>
      <c r="I2369" s="1" t="str">
        <f t="shared" si="2371"/>
        <v/>
      </c>
      <c r="J2369" s="1" t="str">
        <f t="shared" si="3"/>
        <v/>
      </c>
      <c r="L2369" s="1" t="s">
        <v>2810</v>
      </c>
      <c r="M2369" s="1" t="str">
        <f t="shared" si="4"/>
        <v>0.04</v>
      </c>
    </row>
    <row r="2370" ht="12.75" customHeight="1">
      <c r="A2370" s="3" t="s">
        <v>3524</v>
      </c>
      <c r="B2370" s="3" t="str">
        <f t="shared" si="1"/>
        <v>34, 36, DODRIO</v>
      </c>
      <c r="C2370" s="1" t="str">
        <f t="array" ref="C2370">IF(B2369="NEW ROUTE",TEXTSPLIT(B2370,","),"")</f>
        <v/>
      </c>
      <c r="H2370" s="1" t="str">
        <f t="shared" ref="H2370:I2370" si="2372">IF(C2370&lt;&gt;"",DEC2HEX(C2370,2),"")</f>
        <v/>
      </c>
      <c r="I2370" s="1" t="str">
        <f t="shared" si="2372"/>
        <v/>
      </c>
      <c r="J2370" s="1" t="str">
        <f t="shared" si="3"/>
        <v/>
      </c>
      <c r="L2370" s="1" t="s">
        <v>3524</v>
      </c>
      <c r="M2370" s="1" t="str">
        <f t="shared" si="4"/>
        <v>34, 36, DODRIO</v>
      </c>
    </row>
    <row r="2371" ht="12.75" customHeight="1">
      <c r="A2371" s="3" t="s">
        <v>3525</v>
      </c>
      <c r="B2371" s="3" t="str">
        <f t="shared" si="1"/>
        <v>33, 33, LICKILICKY</v>
      </c>
      <c r="C2371" s="1" t="str">
        <f t="array" ref="C2371">IF(B2370="NEW ROUTE",TEXTSPLIT(B2371,","),"")</f>
        <v/>
      </c>
      <c r="H2371" s="1" t="str">
        <f t="shared" ref="H2371:I2371" si="2373">IF(C2371&lt;&gt;"",DEC2HEX(C2371,2),"")</f>
        <v/>
      </c>
      <c r="I2371" s="1" t="str">
        <f t="shared" si="2373"/>
        <v/>
      </c>
      <c r="J2371" s="1" t="str">
        <f t="shared" si="3"/>
        <v/>
      </c>
      <c r="L2371" s="1" t="s">
        <v>3525</v>
      </c>
      <c r="M2371" s="1" t="str">
        <f t="shared" si="4"/>
        <v>33, 33, LICKILICKY</v>
      </c>
    </row>
    <row r="2372" ht="12.75" customHeight="1">
      <c r="A2372" s="3" t="s">
        <v>2813</v>
      </c>
      <c r="B2372" s="3" t="str">
        <f t="shared" si="1"/>
        <v>0.01</v>
      </c>
      <c r="C2372" s="1" t="str">
        <f t="array" ref="C2372">IF(B2371="NEW ROUTE",TEXTSPLIT(B2372,","),"")</f>
        <v/>
      </c>
      <c r="H2372" s="1" t="str">
        <f t="shared" ref="H2372:I2372" si="2374">IF(C2372&lt;&gt;"",DEC2HEX(C2372,2),"")</f>
        <v/>
      </c>
      <c r="I2372" s="1" t="str">
        <f t="shared" si="2374"/>
        <v/>
      </c>
      <c r="J2372" s="1" t="str">
        <f t="shared" si="3"/>
        <v/>
      </c>
      <c r="L2372" s="1" t="s">
        <v>2813</v>
      </c>
      <c r="M2372" s="1" t="str">
        <f t="shared" si="4"/>
        <v>0.01</v>
      </c>
    </row>
    <row r="2373" ht="12.75" customHeight="1">
      <c r="A2373" s="3" t="s">
        <v>3526</v>
      </c>
      <c r="B2373" s="3" t="str">
        <f t="shared" si="1"/>
        <v>31, 36, VILEPLUME</v>
      </c>
      <c r="C2373" s="1" t="str">
        <f t="array" ref="C2373">IF(B2372="NEW ROUTE",TEXTSPLIT(B2373,","),"")</f>
        <v/>
      </c>
      <c r="H2373" s="1" t="str">
        <f t="shared" ref="H2373:I2373" si="2375">IF(C2373&lt;&gt;"",DEC2HEX(C2373,2),"")</f>
        <v/>
      </c>
      <c r="I2373" s="1" t="str">
        <f t="shared" si="2375"/>
        <v/>
      </c>
      <c r="J2373" s="1" t="str">
        <f t="shared" si="3"/>
        <v/>
      </c>
      <c r="L2373" s="1" t="s">
        <v>3526</v>
      </c>
      <c r="M2373" s="1" t="str">
        <f t="shared" si="4"/>
        <v>31, 36, VILEPLUME</v>
      </c>
    </row>
    <row r="2374" ht="12.75" customHeight="1">
      <c r="A2374" s="3" t="s">
        <v>3510</v>
      </c>
      <c r="B2374" s="3" t="str">
        <f t="shared" si="1"/>
        <v>20, 25, BULBASAUR , &lt;null&gt;, &lt;null&gt;, &lt;null&gt;</v>
      </c>
      <c r="C2374" s="1" t="str">
        <f t="array" ref="C2374">IF(B2373="NEW ROUTE",TEXTSPLIT(B2374,","),"")</f>
        <v/>
      </c>
      <c r="H2374" s="1" t="str">
        <f t="shared" ref="H2374:I2374" si="2376">IF(C2374&lt;&gt;"",DEC2HEX(C2374,2),"")</f>
        <v/>
      </c>
      <c r="I2374" s="1" t="str">
        <f t="shared" si="2376"/>
        <v/>
      </c>
      <c r="J2374" s="1" t="str">
        <f t="shared" si="3"/>
        <v/>
      </c>
      <c r="L2374" s="1" t="s">
        <v>3510</v>
      </c>
      <c r="M2374" s="1" t="str">
        <f t="shared" si="4"/>
        <v>20, 25, BULBASAUR , &lt;null&gt;, &lt;null&gt;, &lt;null&gt;</v>
      </c>
    </row>
    <row r="2375" ht="12.75" customHeight="1">
      <c r="A2375" s="3" t="s">
        <v>2539</v>
      </c>
      <c r="B2375" s="3" t="str">
        <f t="shared" si="1"/>
        <v>NEW ROUTE</v>
      </c>
      <c r="C2375" s="1" t="str">
        <f t="array" ref="C2375">IF(B2374="NEW ROUTE",TEXTSPLIT(B2375,","),"")</f>
        <v/>
      </c>
      <c r="H2375" s="1" t="str">
        <f t="shared" ref="H2375:I2375" si="2377">IF(C2375&lt;&gt;"",DEC2HEX(C2375,2),"")</f>
        <v/>
      </c>
      <c r="I2375" s="1" t="str">
        <f t="shared" si="2377"/>
        <v/>
      </c>
      <c r="J2375" s="1" t="str">
        <f t="shared" si="3"/>
        <v/>
      </c>
      <c r="L2375" s="1" t="s">
        <v>2539</v>
      </c>
      <c r="M2375" s="1" t="str">
        <f t="shared" si="4"/>
        <v>NEW ROUTE</v>
      </c>
    </row>
    <row r="2376" ht="12.75" customHeight="1">
      <c r="A2376" s="3" t="s">
        <v>3527</v>
      </c>
      <c r="B2376" s="3" t="str">
        <f t="shared" si="1"/>
        <v>3, 37, 0, &lt;null&gt;,</v>
      </c>
      <c r="C2376" s="1" t="str">
        <f t="array" ref="C2376">IF(B2375="NEW ROUTE",TEXTSPLIT(B2376,","),"")</f>
        <v>#NAME?</v>
      </c>
      <c r="H2376" s="1" t="str">
        <f t="shared" ref="H2376:I2376" si="2378">IF(C2376&lt;&gt;"",DEC2HEX(C2376,2),"")</f>
        <v>#NAME?</v>
      </c>
      <c r="I2376" s="1" t="str">
        <f t="shared" si="2378"/>
        <v/>
      </c>
      <c r="J2376" s="1" t="str">
        <f t="shared" si="3"/>
        <v>#NAME?</v>
      </c>
      <c r="L2376" s="1" t="s">
        <v>3527</v>
      </c>
      <c r="M2376" s="1" t="str">
        <f t="shared" si="4"/>
        <v>#NAME?</v>
      </c>
    </row>
    <row r="2377" ht="12.75" customHeight="1">
      <c r="A2377" s="3" t="s">
        <v>3350</v>
      </c>
      <c r="B2377" s="3" t="str">
        <f t="shared" si="1"/>
        <v>2, 38, 42, TENTACOOL</v>
      </c>
      <c r="C2377" s="1" t="str">
        <f t="array" ref="C2377">IF(B2376="NEW ROUTE",TEXTSPLIT(B2377,","),"")</f>
        <v/>
      </c>
      <c r="H2377" s="1" t="str">
        <f t="shared" ref="H2377:I2377" si="2379">IF(C2377&lt;&gt;"",DEC2HEX(C2377,2),"")</f>
        <v/>
      </c>
      <c r="I2377" s="1" t="str">
        <f t="shared" si="2379"/>
        <v/>
      </c>
      <c r="J2377" s="1" t="str">
        <f t="shared" si="3"/>
        <v/>
      </c>
      <c r="L2377" s="1" t="s">
        <v>3350</v>
      </c>
      <c r="M2377" s="1" t="str">
        <f t="shared" si="4"/>
        <v>2, 38, 42, TENTACOOL</v>
      </c>
    </row>
    <row r="2378" ht="12.75" customHeight="1">
      <c r="A2378" s="3" t="s">
        <v>3429</v>
      </c>
      <c r="B2378" s="3" t="str">
        <f t="shared" si="1"/>
        <v>40, 44, TENTACRUEL</v>
      </c>
      <c r="C2378" s="1" t="str">
        <f t="array" ref="C2378">IF(B2377="NEW ROUTE",TEXTSPLIT(B2378,","),"")</f>
        <v/>
      </c>
      <c r="H2378" s="1" t="str">
        <f t="shared" ref="H2378:I2378" si="2380">IF(C2378&lt;&gt;"",DEC2HEX(C2378,2),"")</f>
        <v/>
      </c>
      <c r="I2378" s="1" t="str">
        <f t="shared" si="2380"/>
        <v/>
      </c>
      <c r="J2378" s="1" t="str">
        <f t="shared" si="3"/>
        <v/>
      </c>
      <c r="L2378" s="1" t="s">
        <v>3429</v>
      </c>
      <c r="M2378" s="1" t="str">
        <f t="shared" si="4"/>
        <v>40, 44, TENTACRUEL</v>
      </c>
    </row>
    <row r="2379" ht="12.75" customHeight="1">
      <c r="A2379" s="3" t="s">
        <v>3430</v>
      </c>
      <c r="B2379" s="3" t="str">
        <f t="shared" si="1"/>
        <v>42, 46, TENTACATE</v>
      </c>
      <c r="C2379" s="1" t="str">
        <f t="array" ref="C2379">IF(B2378="NEW ROUTE",TEXTSPLIT(B2379,","),"")</f>
        <v/>
      </c>
      <c r="H2379" s="1" t="str">
        <f t="shared" ref="H2379:I2379" si="2381">IF(C2379&lt;&gt;"",DEC2HEX(C2379,2),"")</f>
        <v/>
      </c>
      <c r="I2379" s="1" t="str">
        <f t="shared" si="2381"/>
        <v/>
      </c>
      <c r="J2379" s="1" t="str">
        <f t="shared" si="3"/>
        <v/>
      </c>
      <c r="L2379" s="1" t="s">
        <v>3430</v>
      </c>
      <c r="M2379" s="1" t="str">
        <f t="shared" si="4"/>
        <v>42, 46, TENTACATE</v>
      </c>
    </row>
    <row r="2380" ht="12.75" customHeight="1">
      <c r="A2380" s="3" t="s">
        <v>3025</v>
      </c>
      <c r="B2380" s="3" t="str">
        <f t="shared" si="1"/>
        <v>42, 46, LAPRAS</v>
      </c>
      <c r="C2380" s="1" t="str">
        <f t="array" ref="C2380">IF(B2379="NEW ROUTE",TEXTSPLIT(B2380,","),"")</f>
        <v/>
      </c>
      <c r="H2380" s="1" t="str">
        <f t="shared" ref="H2380:I2380" si="2382">IF(C2380&lt;&gt;"",DEC2HEX(C2380,2),"")</f>
        <v/>
      </c>
      <c r="I2380" s="1" t="str">
        <f t="shared" si="2382"/>
        <v/>
      </c>
      <c r="J2380" s="1" t="str">
        <f t="shared" si="3"/>
        <v/>
      </c>
      <c r="L2380" s="1" t="s">
        <v>3025</v>
      </c>
      <c r="M2380" s="1" t="str">
        <f t="shared" si="4"/>
        <v>42, 46, LAPRAS</v>
      </c>
    </row>
    <row r="2381" ht="12.75" customHeight="1">
      <c r="A2381" s="3" t="s">
        <v>3450</v>
      </c>
      <c r="B2381" s="3" t="str">
        <f t="shared" si="1"/>
        <v>44, 48, LOCHLASS</v>
      </c>
      <c r="C2381" s="1" t="str">
        <f t="array" ref="C2381">IF(B2380="NEW ROUTE",TEXTSPLIT(B2381,","),"")</f>
        <v/>
      </c>
      <c r="H2381" s="1" t="str">
        <f t="shared" ref="H2381:I2381" si="2383">IF(C2381&lt;&gt;"",DEC2HEX(C2381,2),"")</f>
        <v/>
      </c>
      <c r="I2381" s="1" t="str">
        <f t="shared" si="2383"/>
        <v/>
      </c>
      <c r="J2381" s="1" t="str">
        <f t="shared" si="3"/>
        <v/>
      </c>
      <c r="L2381" s="1" t="s">
        <v>3450</v>
      </c>
      <c r="M2381" s="1" t="str">
        <f t="shared" si="4"/>
        <v>44, 48, LOCHLASS</v>
      </c>
    </row>
    <row r="2382" ht="12.75" customHeight="1">
      <c r="A2382" s="3" t="s">
        <v>2926</v>
      </c>
      <c r="B2382" s="3" t="str">
        <f t="shared" si="1"/>
        <v>20, old rod:</v>
      </c>
      <c r="C2382" s="1" t="str">
        <f t="array" ref="C2382">IF(B2381="NEW ROUTE",TEXTSPLIT(B2382,","),"")</f>
        <v/>
      </c>
      <c r="H2382" s="1" t="str">
        <f t="shared" ref="H2382:I2382" si="2384">IF(C2382&lt;&gt;"",DEC2HEX(C2382,2),"")</f>
        <v/>
      </c>
      <c r="I2382" s="1" t="str">
        <f t="shared" si="2384"/>
        <v/>
      </c>
      <c r="J2382" s="1" t="str">
        <f t="shared" si="3"/>
        <v/>
      </c>
      <c r="L2382" s="1" t="s">
        <v>2926</v>
      </c>
      <c r="M2382" s="1" t="str">
        <f t="shared" si="4"/>
        <v>20, old rod:</v>
      </c>
    </row>
    <row r="2383" ht="12.75" customHeight="1">
      <c r="A2383" s="3" t="s">
        <v>1159</v>
      </c>
      <c r="B2383" s="3" t="str">
        <f t="shared" si="1"/>
        <v>19, 26, PSYDUCK</v>
      </c>
      <c r="C2383" s="1" t="str">
        <f t="array" ref="C2383">IF(B2382="NEW ROUTE",TEXTSPLIT(B2383,","),"")</f>
        <v/>
      </c>
      <c r="H2383" s="1" t="str">
        <f t="shared" ref="H2383:I2383" si="2385">IF(C2383&lt;&gt;"",DEC2HEX(C2383,2),"")</f>
        <v/>
      </c>
      <c r="I2383" s="1" t="str">
        <f t="shared" si="2385"/>
        <v/>
      </c>
      <c r="J2383" s="1" t="str">
        <f t="shared" si="3"/>
        <v/>
      </c>
      <c r="L2383" s="1" t="s">
        <v>1159</v>
      </c>
      <c r="M2383" s="1" t="str">
        <f t="shared" si="4"/>
        <v>19, 26, PSYDUCK</v>
      </c>
    </row>
    <row r="2384" ht="12.75" customHeight="1">
      <c r="A2384" s="3" t="s">
        <v>602</v>
      </c>
      <c r="B2384" s="3" t="str">
        <f t="shared" si="1"/>
        <v>19, 26, HORSEA</v>
      </c>
      <c r="C2384" s="1" t="str">
        <f t="array" ref="C2384">IF(B2383="NEW ROUTE",TEXTSPLIT(B2384,","),"")</f>
        <v/>
      </c>
      <c r="H2384" s="1" t="str">
        <f t="shared" ref="H2384:I2384" si="2386">IF(C2384&lt;&gt;"",DEC2HEX(C2384,2),"")</f>
        <v/>
      </c>
      <c r="I2384" s="1" t="str">
        <f t="shared" si="2386"/>
        <v/>
      </c>
      <c r="J2384" s="1" t="str">
        <f t="shared" si="3"/>
        <v/>
      </c>
      <c r="L2384" s="1" t="s">
        <v>602</v>
      </c>
      <c r="M2384" s="1" t="str">
        <f t="shared" si="4"/>
        <v>19, 26, HORSEA</v>
      </c>
    </row>
    <row r="2385" ht="12.75" customHeight="1">
      <c r="A2385" s="3" t="s">
        <v>2847</v>
      </c>
      <c r="B2385" s="3" t="str">
        <f t="shared" si="1"/>
        <v>good rod:</v>
      </c>
      <c r="C2385" s="1" t="str">
        <f t="array" ref="C2385">IF(B2384="NEW ROUTE",TEXTSPLIT(B2385,","),"")</f>
        <v/>
      </c>
      <c r="H2385" s="1" t="str">
        <f t="shared" ref="H2385:I2385" si="2387">IF(C2385&lt;&gt;"",DEC2HEX(C2385,2),"")</f>
        <v/>
      </c>
      <c r="I2385" s="1" t="str">
        <f t="shared" si="2387"/>
        <v/>
      </c>
      <c r="J2385" s="1" t="str">
        <f t="shared" si="3"/>
        <v/>
      </c>
      <c r="L2385" s="1" t="s">
        <v>2847</v>
      </c>
      <c r="M2385" s="1" t="str">
        <f t="shared" si="4"/>
        <v>good rod:</v>
      </c>
    </row>
    <row r="2386" ht="12.75" customHeight="1">
      <c r="A2386" s="3" t="s">
        <v>3027</v>
      </c>
      <c r="B2386" s="3" t="str">
        <f t="shared" si="1"/>
        <v>29, 33, SEADRA</v>
      </c>
      <c r="C2386" s="1" t="str">
        <f t="array" ref="C2386">IF(B2385="NEW ROUTE",TEXTSPLIT(B2386,","),"")</f>
        <v/>
      </c>
      <c r="H2386" s="1" t="str">
        <f t="shared" ref="H2386:I2386" si="2388">IF(C2386&lt;&gt;"",DEC2HEX(C2386,2),"")</f>
        <v/>
      </c>
      <c r="I2386" s="1" t="str">
        <f t="shared" si="2388"/>
        <v/>
      </c>
      <c r="J2386" s="1" t="str">
        <f t="shared" si="3"/>
        <v/>
      </c>
      <c r="L2386" s="1" t="s">
        <v>3027</v>
      </c>
      <c r="M2386" s="1" t="str">
        <f t="shared" si="4"/>
        <v>29, 33, SEADRA</v>
      </c>
    </row>
    <row r="2387" ht="12.75" customHeight="1">
      <c r="A2387" s="3" t="s">
        <v>3028</v>
      </c>
      <c r="B2387" s="3" t="str">
        <f t="shared" si="1"/>
        <v>30, 35, KRABBY</v>
      </c>
      <c r="C2387" s="1" t="str">
        <f t="array" ref="C2387">IF(B2386="NEW ROUTE",TEXTSPLIT(B2387,","),"")</f>
        <v/>
      </c>
      <c r="H2387" s="1" t="str">
        <f t="shared" ref="H2387:I2387" si="2389">IF(C2387&lt;&gt;"",DEC2HEX(C2387,2),"")</f>
        <v/>
      </c>
      <c r="I2387" s="1" t="str">
        <f t="shared" si="2389"/>
        <v/>
      </c>
      <c r="J2387" s="1" t="str">
        <f t="shared" si="3"/>
        <v/>
      </c>
      <c r="L2387" s="1" t="s">
        <v>3028</v>
      </c>
      <c r="M2387" s="1" t="str">
        <f t="shared" si="4"/>
        <v>30, 35, KRABBY</v>
      </c>
    </row>
    <row r="2388" ht="12.75" customHeight="1">
      <c r="A2388" s="3" t="s">
        <v>3029</v>
      </c>
      <c r="B2388" s="3" t="str">
        <f t="shared" si="1"/>
        <v>30, 35, GOLDUCK</v>
      </c>
      <c r="C2388" s="1" t="str">
        <f t="array" ref="C2388">IF(B2387="NEW ROUTE",TEXTSPLIT(B2388,","),"")</f>
        <v/>
      </c>
      <c r="H2388" s="1" t="str">
        <f t="shared" ref="H2388:I2388" si="2390">IF(C2388&lt;&gt;"",DEC2HEX(C2388,2),"")</f>
        <v/>
      </c>
      <c r="I2388" s="1" t="str">
        <f t="shared" si="2390"/>
        <v/>
      </c>
      <c r="J2388" s="1" t="str">
        <f t="shared" si="3"/>
        <v/>
      </c>
      <c r="L2388" s="1" t="s">
        <v>3029</v>
      </c>
      <c r="M2388" s="1" t="str">
        <f t="shared" si="4"/>
        <v>30, 35, GOLDUCK</v>
      </c>
    </row>
    <row r="2389" ht="12.75" customHeight="1">
      <c r="A2389" s="3" t="s">
        <v>2851</v>
      </c>
      <c r="B2389" s="3" t="str">
        <f t="shared" si="1"/>
        <v>super rod:</v>
      </c>
      <c r="C2389" s="1" t="str">
        <f t="array" ref="C2389">IF(B2388="NEW ROUTE",TEXTSPLIT(B2389,","),"")</f>
        <v/>
      </c>
      <c r="H2389" s="1" t="str">
        <f t="shared" ref="H2389:I2389" si="2391">IF(C2389&lt;&gt;"",DEC2HEX(C2389,2),"")</f>
        <v/>
      </c>
      <c r="I2389" s="1" t="str">
        <f t="shared" si="2391"/>
        <v/>
      </c>
      <c r="J2389" s="1" t="str">
        <f t="shared" si="3"/>
        <v/>
      </c>
      <c r="L2389" s="1" t="s">
        <v>2851</v>
      </c>
      <c r="M2389" s="1" t="str">
        <f t="shared" si="4"/>
        <v>super rod:</v>
      </c>
    </row>
    <row r="2390" ht="12.75" customHeight="1">
      <c r="A2390" s="3" t="s">
        <v>3030</v>
      </c>
      <c r="B2390" s="3" t="str">
        <f t="shared" si="1"/>
        <v>36, 40, KINGDRA</v>
      </c>
      <c r="C2390" s="1" t="str">
        <f t="array" ref="C2390">IF(B2389="NEW ROUTE",TEXTSPLIT(B2390,","),"")</f>
        <v/>
      </c>
      <c r="H2390" s="1" t="str">
        <f t="shared" ref="H2390:I2390" si="2392">IF(C2390&lt;&gt;"",DEC2HEX(C2390,2),"")</f>
        <v/>
      </c>
      <c r="I2390" s="1" t="str">
        <f t="shared" si="2392"/>
        <v/>
      </c>
      <c r="J2390" s="1" t="str">
        <f t="shared" si="3"/>
        <v/>
      </c>
      <c r="L2390" s="1" t="s">
        <v>3030</v>
      </c>
      <c r="M2390" s="1" t="str">
        <f t="shared" si="4"/>
        <v>36, 40, KINGDRA</v>
      </c>
    </row>
    <row r="2391" ht="12.75" customHeight="1">
      <c r="A2391" s="3" t="s">
        <v>3528</v>
      </c>
      <c r="B2391" s="3" t="str">
        <f t="shared" si="1"/>
        <v>36, 40, KINGLER</v>
      </c>
      <c r="C2391" s="1" t="str">
        <f t="array" ref="C2391">IF(B2390="NEW ROUTE",TEXTSPLIT(B2391,","),"")</f>
        <v/>
      </c>
      <c r="H2391" s="1" t="str">
        <f t="shared" ref="H2391:I2391" si="2393">IF(C2391&lt;&gt;"",DEC2HEX(C2391,2),"")</f>
        <v/>
      </c>
      <c r="I2391" s="1" t="str">
        <f t="shared" si="2393"/>
        <v/>
      </c>
      <c r="J2391" s="1" t="str">
        <f t="shared" si="3"/>
        <v/>
      </c>
      <c r="L2391" s="1" t="s">
        <v>3528</v>
      </c>
      <c r="M2391" s="1" t="str">
        <f t="shared" si="4"/>
        <v>36, 40, KINGLER</v>
      </c>
    </row>
    <row r="2392" ht="12.75" customHeight="1">
      <c r="A2392" s="3" t="s">
        <v>3032</v>
      </c>
      <c r="B2392" s="3" t="str">
        <f t="shared" si="1"/>
        <v>38, 42, GILDUCK</v>
      </c>
      <c r="C2392" s="1" t="str">
        <f t="array" ref="C2392">IF(B2391="NEW ROUTE",TEXTSPLIT(B2392,","),"")</f>
        <v/>
      </c>
      <c r="H2392" s="1" t="str">
        <f t="shared" ref="H2392:I2392" si="2394">IF(C2392&lt;&gt;"",DEC2HEX(C2392,2),"")</f>
        <v/>
      </c>
      <c r="I2392" s="1" t="str">
        <f t="shared" si="2394"/>
        <v/>
      </c>
      <c r="J2392" s="1" t="str">
        <f t="shared" si="3"/>
        <v/>
      </c>
      <c r="L2392" s="1" t="s">
        <v>3032</v>
      </c>
      <c r="M2392" s="1" t="str">
        <f t="shared" si="4"/>
        <v>38, 42, GILDUCK</v>
      </c>
    </row>
    <row r="2393" ht="12.75" customHeight="1">
      <c r="A2393" s="3" t="s">
        <v>3033</v>
      </c>
      <c r="B2393" s="3" t="str">
        <f t="shared" si="1"/>
        <v>38, 42, KRAKLAW</v>
      </c>
      <c r="C2393" s="1" t="str">
        <f t="array" ref="C2393">IF(B2392="NEW ROUTE",TEXTSPLIT(B2393,","),"")</f>
        <v/>
      </c>
      <c r="H2393" s="1" t="str">
        <f t="shared" ref="H2393:I2393" si="2395">IF(C2393&lt;&gt;"",DEC2HEX(C2393,2),"")</f>
        <v/>
      </c>
      <c r="I2393" s="1" t="str">
        <f t="shared" si="2395"/>
        <v/>
      </c>
      <c r="J2393" s="1" t="str">
        <f t="shared" si="3"/>
        <v/>
      </c>
      <c r="L2393" s="1" t="s">
        <v>3033</v>
      </c>
      <c r="M2393" s="1" t="str">
        <f t="shared" si="4"/>
        <v>38, 42, KRAKLAW</v>
      </c>
    </row>
    <row r="2394" ht="12.75" customHeight="1">
      <c r="A2394" s="3" t="s">
        <v>3034</v>
      </c>
      <c r="B2394" s="3" t="str">
        <f t="shared" si="1"/>
        <v>40, 44, LORDRA</v>
      </c>
      <c r="C2394" s="1" t="str">
        <f t="array" ref="C2394">IF(B2393="NEW ROUTE",TEXTSPLIT(B2394,","),"")</f>
        <v/>
      </c>
      <c r="H2394" s="1" t="str">
        <f t="shared" ref="H2394:I2394" si="2396">IF(C2394&lt;&gt;"",DEC2HEX(C2394,2),"")</f>
        <v/>
      </c>
      <c r="I2394" s="1" t="str">
        <f t="shared" si="2396"/>
        <v/>
      </c>
      <c r="J2394" s="1" t="str">
        <f t="shared" si="3"/>
        <v/>
      </c>
      <c r="L2394" s="1" t="s">
        <v>3034</v>
      </c>
      <c r="M2394" s="1" t="str">
        <f t="shared" si="4"/>
        <v>40, 44, LORDRA</v>
      </c>
    </row>
    <row r="2395" ht="12.75" customHeight="1">
      <c r="A2395" s="3" t="s">
        <v>2539</v>
      </c>
      <c r="B2395" s="3" t="str">
        <f t="shared" si="1"/>
        <v>NEW ROUTE</v>
      </c>
      <c r="C2395" s="1" t="str">
        <f t="array" ref="C2395">IF(B2394="NEW ROUTE",TEXTSPLIT(B2395,","),"")</f>
        <v/>
      </c>
      <c r="H2395" s="1" t="str">
        <f t="shared" ref="H2395:I2395" si="2397">IF(C2395&lt;&gt;"",DEC2HEX(C2395,2),"")</f>
        <v/>
      </c>
      <c r="I2395" s="1" t="str">
        <f t="shared" si="2397"/>
        <v/>
      </c>
      <c r="J2395" s="1" t="str">
        <f t="shared" si="3"/>
        <v/>
      </c>
      <c r="L2395" s="1" t="s">
        <v>2539</v>
      </c>
      <c r="M2395" s="1" t="str">
        <f t="shared" si="4"/>
        <v>NEW ROUTE</v>
      </c>
    </row>
    <row r="2396" ht="12.75" customHeight="1">
      <c r="A2396" s="3" t="s">
        <v>3529</v>
      </c>
      <c r="B2396" s="3" t="str">
        <f t="shared" si="1"/>
        <v>3, 38, 0, &lt;null&gt;,</v>
      </c>
      <c r="C2396" s="1" t="str">
        <f t="array" ref="C2396">IF(B2395="NEW ROUTE",TEXTSPLIT(B2396,","),"")</f>
        <v>#NAME?</v>
      </c>
      <c r="H2396" s="1" t="str">
        <f t="shared" ref="H2396:I2396" si="2398">IF(C2396&lt;&gt;"",DEC2HEX(C2396,2),"")</f>
        <v>#NAME?</v>
      </c>
      <c r="I2396" s="1" t="str">
        <f t="shared" si="2398"/>
        <v/>
      </c>
      <c r="J2396" s="1" t="str">
        <f t="shared" si="3"/>
        <v>#NAME?</v>
      </c>
      <c r="L2396" s="1" t="s">
        <v>3529</v>
      </c>
      <c r="M2396" s="1" t="str">
        <f t="shared" si="4"/>
        <v>#NAME?</v>
      </c>
    </row>
    <row r="2397" ht="12.75" customHeight="1">
      <c r="A2397" s="3" t="s">
        <v>3350</v>
      </c>
      <c r="B2397" s="3" t="str">
        <f t="shared" si="1"/>
        <v>2, 38, 42, TENTACOOL</v>
      </c>
      <c r="C2397" s="1" t="str">
        <f t="array" ref="C2397">IF(B2396="NEW ROUTE",TEXTSPLIT(B2397,","),"")</f>
        <v/>
      </c>
      <c r="H2397" s="1" t="str">
        <f t="shared" ref="H2397:I2397" si="2399">IF(C2397&lt;&gt;"",DEC2HEX(C2397,2),"")</f>
        <v/>
      </c>
      <c r="I2397" s="1" t="str">
        <f t="shared" si="2399"/>
        <v/>
      </c>
      <c r="J2397" s="1" t="str">
        <f t="shared" si="3"/>
        <v/>
      </c>
      <c r="L2397" s="1" t="s">
        <v>3350</v>
      </c>
      <c r="M2397" s="1" t="str">
        <f t="shared" si="4"/>
        <v>2, 38, 42, TENTACOOL</v>
      </c>
    </row>
    <row r="2398" ht="12.75" customHeight="1">
      <c r="A2398" s="3" t="s">
        <v>3429</v>
      </c>
      <c r="B2398" s="3" t="str">
        <f t="shared" si="1"/>
        <v>40, 44, TENTACRUEL</v>
      </c>
      <c r="C2398" s="1" t="str">
        <f t="array" ref="C2398">IF(B2397="NEW ROUTE",TEXTSPLIT(B2398,","),"")</f>
        <v/>
      </c>
      <c r="H2398" s="1" t="str">
        <f t="shared" ref="H2398:I2398" si="2400">IF(C2398&lt;&gt;"",DEC2HEX(C2398,2),"")</f>
        <v/>
      </c>
      <c r="I2398" s="1" t="str">
        <f t="shared" si="2400"/>
        <v/>
      </c>
      <c r="J2398" s="1" t="str">
        <f t="shared" si="3"/>
        <v/>
      </c>
      <c r="L2398" s="1" t="s">
        <v>3429</v>
      </c>
      <c r="M2398" s="1" t="str">
        <f t="shared" si="4"/>
        <v>40, 44, TENTACRUEL</v>
      </c>
    </row>
    <row r="2399" ht="12.75" customHeight="1">
      <c r="A2399" s="3" t="s">
        <v>3430</v>
      </c>
      <c r="B2399" s="3" t="str">
        <f t="shared" si="1"/>
        <v>42, 46, TENTACATE</v>
      </c>
      <c r="C2399" s="1" t="str">
        <f t="array" ref="C2399">IF(B2398="NEW ROUTE",TEXTSPLIT(B2399,","),"")</f>
        <v/>
      </c>
      <c r="H2399" s="1" t="str">
        <f t="shared" ref="H2399:I2399" si="2401">IF(C2399&lt;&gt;"",DEC2HEX(C2399,2),"")</f>
        <v/>
      </c>
      <c r="I2399" s="1" t="str">
        <f t="shared" si="2401"/>
        <v/>
      </c>
      <c r="J2399" s="1" t="str">
        <f t="shared" si="3"/>
        <v/>
      </c>
      <c r="L2399" s="1" t="s">
        <v>3430</v>
      </c>
      <c r="M2399" s="1" t="str">
        <f t="shared" si="4"/>
        <v>42, 46, TENTACATE</v>
      </c>
    </row>
    <row r="2400" ht="12.75" customHeight="1">
      <c r="A2400" s="3" t="s">
        <v>3025</v>
      </c>
      <c r="B2400" s="3" t="str">
        <f t="shared" si="1"/>
        <v>42, 46, LAPRAS</v>
      </c>
      <c r="C2400" s="1" t="str">
        <f t="array" ref="C2400">IF(B2399="NEW ROUTE",TEXTSPLIT(B2400,","),"")</f>
        <v/>
      </c>
      <c r="H2400" s="1" t="str">
        <f t="shared" ref="H2400:I2400" si="2402">IF(C2400&lt;&gt;"",DEC2HEX(C2400,2),"")</f>
        <v/>
      </c>
      <c r="I2400" s="1" t="str">
        <f t="shared" si="2402"/>
        <v/>
      </c>
      <c r="J2400" s="1" t="str">
        <f t="shared" si="3"/>
        <v/>
      </c>
      <c r="L2400" s="1" t="s">
        <v>3025</v>
      </c>
      <c r="M2400" s="1" t="str">
        <f t="shared" si="4"/>
        <v>42, 46, LAPRAS</v>
      </c>
    </row>
    <row r="2401" ht="12.75" customHeight="1">
      <c r="A2401" s="3" t="s">
        <v>3450</v>
      </c>
      <c r="B2401" s="3" t="str">
        <f t="shared" si="1"/>
        <v>44, 48, LOCHLASS</v>
      </c>
      <c r="C2401" s="1" t="str">
        <f t="array" ref="C2401">IF(B2400="NEW ROUTE",TEXTSPLIT(B2401,","),"")</f>
        <v/>
      </c>
      <c r="H2401" s="1" t="str">
        <f t="shared" ref="H2401:I2401" si="2403">IF(C2401&lt;&gt;"",DEC2HEX(C2401,2),"")</f>
        <v/>
      </c>
      <c r="I2401" s="1" t="str">
        <f t="shared" si="2403"/>
        <v/>
      </c>
      <c r="J2401" s="1" t="str">
        <f t="shared" si="3"/>
        <v/>
      </c>
      <c r="L2401" s="1" t="s">
        <v>3450</v>
      </c>
      <c r="M2401" s="1" t="str">
        <f t="shared" si="4"/>
        <v>44, 48, LOCHLASS</v>
      </c>
    </row>
    <row r="2402" ht="12.75" customHeight="1">
      <c r="A2402" s="3" t="s">
        <v>2926</v>
      </c>
      <c r="B2402" s="3" t="str">
        <f t="shared" si="1"/>
        <v>20, old rod:</v>
      </c>
      <c r="C2402" s="1" t="str">
        <f t="array" ref="C2402">IF(B2401="NEW ROUTE",TEXTSPLIT(B2402,","),"")</f>
        <v/>
      </c>
      <c r="H2402" s="1" t="str">
        <f t="shared" ref="H2402:I2402" si="2404">IF(C2402&lt;&gt;"",DEC2HEX(C2402,2),"")</f>
        <v/>
      </c>
      <c r="I2402" s="1" t="str">
        <f t="shared" si="2404"/>
        <v/>
      </c>
      <c r="J2402" s="1" t="str">
        <f t="shared" si="3"/>
        <v/>
      </c>
      <c r="L2402" s="1" t="s">
        <v>2926</v>
      </c>
      <c r="M2402" s="1" t="str">
        <f t="shared" si="4"/>
        <v>20, old rod:</v>
      </c>
    </row>
    <row r="2403" ht="12.75" customHeight="1">
      <c r="A2403" s="3" t="s">
        <v>1159</v>
      </c>
      <c r="B2403" s="3" t="str">
        <f t="shared" si="1"/>
        <v>19, 26, PSYDUCK</v>
      </c>
      <c r="C2403" s="1" t="str">
        <f t="array" ref="C2403">IF(B2402="NEW ROUTE",TEXTSPLIT(B2403,","),"")</f>
        <v/>
      </c>
      <c r="H2403" s="1" t="str">
        <f t="shared" ref="H2403:I2403" si="2405">IF(C2403&lt;&gt;"",DEC2HEX(C2403,2),"")</f>
        <v/>
      </c>
      <c r="I2403" s="1" t="str">
        <f t="shared" si="2405"/>
        <v/>
      </c>
      <c r="J2403" s="1" t="str">
        <f t="shared" si="3"/>
        <v/>
      </c>
      <c r="L2403" s="1" t="s">
        <v>1159</v>
      </c>
      <c r="M2403" s="1" t="str">
        <f t="shared" si="4"/>
        <v>19, 26, PSYDUCK</v>
      </c>
    </row>
    <row r="2404" ht="12.75" customHeight="1">
      <c r="A2404" s="3" t="s">
        <v>602</v>
      </c>
      <c r="B2404" s="3" t="str">
        <f t="shared" si="1"/>
        <v>19, 26, HORSEA</v>
      </c>
      <c r="C2404" s="1" t="str">
        <f t="array" ref="C2404">IF(B2403="NEW ROUTE",TEXTSPLIT(B2404,","),"")</f>
        <v/>
      </c>
      <c r="H2404" s="1" t="str">
        <f t="shared" ref="H2404:I2404" si="2406">IF(C2404&lt;&gt;"",DEC2HEX(C2404,2),"")</f>
        <v/>
      </c>
      <c r="I2404" s="1" t="str">
        <f t="shared" si="2406"/>
        <v/>
      </c>
      <c r="J2404" s="1" t="str">
        <f t="shared" si="3"/>
        <v/>
      </c>
      <c r="L2404" s="1" t="s">
        <v>602</v>
      </c>
      <c r="M2404" s="1" t="str">
        <f t="shared" si="4"/>
        <v>19, 26, HORSEA</v>
      </c>
    </row>
    <row r="2405" ht="12.75" customHeight="1">
      <c r="A2405" s="3" t="s">
        <v>2847</v>
      </c>
      <c r="B2405" s="3" t="str">
        <f t="shared" si="1"/>
        <v>good rod:</v>
      </c>
      <c r="C2405" s="1" t="str">
        <f t="array" ref="C2405">IF(B2404="NEW ROUTE",TEXTSPLIT(B2405,","),"")</f>
        <v/>
      </c>
      <c r="H2405" s="1" t="str">
        <f t="shared" ref="H2405:I2405" si="2407">IF(C2405&lt;&gt;"",DEC2HEX(C2405,2),"")</f>
        <v/>
      </c>
      <c r="I2405" s="1" t="str">
        <f t="shared" si="2407"/>
        <v/>
      </c>
      <c r="J2405" s="1" t="str">
        <f t="shared" si="3"/>
        <v/>
      </c>
      <c r="L2405" s="1" t="s">
        <v>2847</v>
      </c>
      <c r="M2405" s="1" t="str">
        <f t="shared" si="4"/>
        <v>good rod:</v>
      </c>
    </row>
    <row r="2406" ht="12.75" customHeight="1">
      <c r="A2406" s="3" t="s">
        <v>3027</v>
      </c>
      <c r="B2406" s="3" t="str">
        <f t="shared" si="1"/>
        <v>29, 33, SEADRA</v>
      </c>
      <c r="C2406" s="1" t="str">
        <f t="array" ref="C2406">IF(B2405="NEW ROUTE",TEXTSPLIT(B2406,","),"")</f>
        <v/>
      </c>
      <c r="H2406" s="1" t="str">
        <f t="shared" ref="H2406:I2406" si="2408">IF(C2406&lt;&gt;"",DEC2HEX(C2406,2),"")</f>
        <v/>
      </c>
      <c r="I2406" s="1" t="str">
        <f t="shared" si="2408"/>
        <v/>
      </c>
      <c r="J2406" s="1" t="str">
        <f t="shared" si="3"/>
        <v/>
      </c>
      <c r="L2406" s="1" t="s">
        <v>3027</v>
      </c>
      <c r="M2406" s="1" t="str">
        <f t="shared" si="4"/>
        <v>29, 33, SEADRA</v>
      </c>
    </row>
    <row r="2407" ht="12.75" customHeight="1">
      <c r="A2407" s="3" t="s">
        <v>3028</v>
      </c>
      <c r="B2407" s="3" t="str">
        <f t="shared" si="1"/>
        <v>30, 35, KRABBY</v>
      </c>
      <c r="C2407" s="1" t="str">
        <f t="array" ref="C2407">IF(B2406="NEW ROUTE",TEXTSPLIT(B2407,","),"")</f>
        <v/>
      </c>
      <c r="H2407" s="1" t="str">
        <f t="shared" ref="H2407:I2407" si="2409">IF(C2407&lt;&gt;"",DEC2HEX(C2407,2),"")</f>
        <v/>
      </c>
      <c r="I2407" s="1" t="str">
        <f t="shared" si="2409"/>
        <v/>
      </c>
      <c r="J2407" s="1" t="str">
        <f t="shared" si="3"/>
        <v/>
      </c>
      <c r="L2407" s="1" t="s">
        <v>3028</v>
      </c>
      <c r="M2407" s="1" t="str">
        <f t="shared" si="4"/>
        <v>30, 35, KRABBY</v>
      </c>
    </row>
    <row r="2408" ht="12.75" customHeight="1">
      <c r="A2408" s="3" t="s">
        <v>3029</v>
      </c>
      <c r="B2408" s="3" t="str">
        <f t="shared" si="1"/>
        <v>30, 35, GOLDUCK</v>
      </c>
      <c r="C2408" s="1" t="str">
        <f t="array" ref="C2408">IF(B2407="NEW ROUTE",TEXTSPLIT(B2408,","),"")</f>
        <v/>
      </c>
      <c r="H2408" s="1" t="str">
        <f t="shared" ref="H2408:I2408" si="2410">IF(C2408&lt;&gt;"",DEC2HEX(C2408,2),"")</f>
        <v/>
      </c>
      <c r="I2408" s="1" t="str">
        <f t="shared" si="2410"/>
        <v/>
      </c>
      <c r="J2408" s="1" t="str">
        <f t="shared" si="3"/>
        <v/>
      </c>
      <c r="L2408" s="1" t="s">
        <v>3029</v>
      </c>
      <c r="M2408" s="1" t="str">
        <f t="shared" si="4"/>
        <v>30, 35, GOLDUCK</v>
      </c>
    </row>
    <row r="2409" ht="12.75" customHeight="1">
      <c r="A2409" s="3" t="s">
        <v>2851</v>
      </c>
      <c r="B2409" s="3" t="str">
        <f t="shared" si="1"/>
        <v>super rod:</v>
      </c>
      <c r="C2409" s="1" t="str">
        <f t="array" ref="C2409">IF(B2408="NEW ROUTE",TEXTSPLIT(B2409,","),"")</f>
        <v/>
      </c>
      <c r="H2409" s="1" t="str">
        <f t="shared" ref="H2409:I2409" si="2411">IF(C2409&lt;&gt;"",DEC2HEX(C2409,2),"")</f>
        <v/>
      </c>
      <c r="I2409" s="1" t="str">
        <f t="shared" si="2411"/>
        <v/>
      </c>
      <c r="J2409" s="1" t="str">
        <f t="shared" si="3"/>
        <v/>
      </c>
      <c r="L2409" s="1" t="s">
        <v>2851</v>
      </c>
      <c r="M2409" s="1" t="str">
        <f t="shared" si="4"/>
        <v>super rod:</v>
      </c>
    </row>
    <row r="2410" ht="12.75" customHeight="1">
      <c r="A2410" s="3" t="s">
        <v>3030</v>
      </c>
      <c r="B2410" s="3" t="str">
        <f t="shared" si="1"/>
        <v>36, 40, KINGDRA</v>
      </c>
      <c r="C2410" s="1" t="str">
        <f t="array" ref="C2410">IF(B2409="NEW ROUTE",TEXTSPLIT(B2410,","),"")</f>
        <v/>
      </c>
      <c r="H2410" s="1" t="str">
        <f t="shared" ref="H2410:I2410" si="2412">IF(C2410&lt;&gt;"",DEC2HEX(C2410,2),"")</f>
        <v/>
      </c>
      <c r="I2410" s="1" t="str">
        <f t="shared" si="2412"/>
        <v/>
      </c>
      <c r="J2410" s="1" t="str">
        <f t="shared" si="3"/>
        <v/>
      </c>
      <c r="L2410" s="1" t="s">
        <v>3030</v>
      </c>
      <c r="M2410" s="1" t="str">
        <f t="shared" si="4"/>
        <v>36, 40, KINGDRA</v>
      </c>
    </row>
    <row r="2411" ht="12.75" customHeight="1">
      <c r="A2411" s="3" t="s">
        <v>3528</v>
      </c>
      <c r="B2411" s="3" t="str">
        <f t="shared" si="1"/>
        <v>36, 40, KINGLER</v>
      </c>
      <c r="C2411" s="1" t="str">
        <f t="array" ref="C2411">IF(B2410="NEW ROUTE",TEXTSPLIT(B2411,","),"")</f>
        <v/>
      </c>
      <c r="H2411" s="1" t="str">
        <f t="shared" ref="H2411:I2411" si="2413">IF(C2411&lt;&gt;"",DEC2HEX(C2411,2),"")</f>
        <v/>
      </c>
      <c r="I2411" s="1" t="str">
        <f t="shared" si="2413"/>
        <v/>
      </c>
      <c r="J2411" s="1" t="str">
        <f t="shared" si="3"/>
        <v/>
      </c>
      <c r="L2411" s="1" t="s">
        <v>3528</v>
      </c>
      <c r="M2411" s="1" t="str">
        <f t="shared" si="4"/>
        <v>36, 40, KINGLER</v>
      </c>
    </row>
    <row r="2412" ht="12.75" customHeight="1">
      <c r="A2412" s="3" t="s">
        <v>3032</v>
      </c>
      <c r="B2412" s="3" t="str">
        <f t="shared" si="1"/>
        <v>38, 42, GILDUCK</v>
      </c>
      <c r="C2412" s="1" t="str">
        <f t="array" ref="C2412">IF(B2411="NEW ROUTE",TEXTSPLIT(B2412,","),"")</f>
        <v/>
      </c>
      <c r="H2412" s="1" t="str">
        <f t="shared" ref="H2412:I2412" si="2414">IF(C2412&lt;&gt;"",DEC2HEX(C2412,2),"")</f>
        <v/>
      </c>
      <c r="I2412" s="1" t="str">
        <f t="shared" si="2414"/>
        <v/>
      </c>
      <c r="J2412" s="1" t="str">
        <f t="shared" si="3"/>
        <v/>
      </c>
      <c r="L2412" s="1" t="s">
        <v>3032</v>
      </c>
      <c r="M2412" s="1" t="str">
        <f t="shared" si="4"/>
        <v>38, 42, GILDUCK</v>
      </c>
    </row>
    <row r="2413" ht="12.75" customHeight="1">
      <c r="A2413" s="3" t="s">
        <v>3033</v>
      </c>
      <c r="B2413" s="3" t="str">
        <f t="shared" si="1"/>
        <v>38, 42, KRAKLAW</v>
      </c>
      <c r="C2413" s="1" t="str">
        <f t="array" ref="C2413">IF(B2412="NEW ROUTE",TEXTSPLIT(B2413,","),"")</f>
        <v/>
      </c>
      <c r="H2413" s="1" t="str">
        <f t="shared" ref="H2413:I2413" si="2415">IF(C2413&lt;&gt;"",DEC2HEX(C2413,2),"")</f>
        <v/>
      </c>
      <c r="I2413" s="1" t="str">
        <f t="shared" si="2415"/>
        <v/>
      </c>
      <c r="J2413" s="1" t="str">
        <f t="shared" si="3"/>
        <v/>
      </c>
      <c r="L2413" s="1" t="s">
        <v>3033</v>
      </c>
      <c r="M2413" s="1" t="str">
        <f t="shared" si="4"/>
        <v>38, 42, KRAKLAW</v>
      </c>
    </row>
    <row r="2414" ht="12.75" customHeight="1">
      <c r="A2414" s="3" t="s">
        <v>3034</v>
      </c>
      <c r="B2414" s="3" t="str">
        <f t="shared" si="1"/>
        <v>40, 44, LORDRA</v>
      </c>
      <c r="C2414" s="1" t="str">
        <f t="array" ref="C2414">IF(B2413="NEW ROUTE",TEXTSPLIT(B2414,","),"")</f>
        <v/>
      </c>
      <c r="H2414" s="1" t="str">
        <f t="shared" ref="H2414:I2414" si="2416">IF(C2414&lt;&gt;"",DEC2HEX(C2414,2),"")</f>
        <v/>
      </c>
      <c r="I2414" s="1" t="str">
        <f t="shared" si="2416"/>
        <v/>
      </c>
      <c r="J2414" s="1" t="str">
        <f t="shared" si="3"/>
        <v/>
      </c>
      <c r="L2414" s="1" t="s">
        <v>3034</v>
      </c>
      <c r="M2414" s="1" t="str">
        <f t="shared" si="4"/>
        <v>40, 44, LORDRA</v>
      </c>
    </row>
    <row r="2415" ht="12.75" customHeight="1">
      <c r="A2415" s="3" t="s">
        <v>2539</v>
      </c>
      <c r="B2415" s="3" t="str">
        <f t="shared" si="1"/>
        <v>NEW ROUTE</v>
      </c>
      <c r="C2415" s="1" t="str">
        <f t="array" ref="C2415">IF(B2414="NEW ROUTE",TEXTSPLIT(B2415,","),"")</f>
        <v/>
      </c>
      <c r="H2415" s="1" t="str">
        <f t="shared" ref="H2415:I2415" si="2417">IF(C2415&lt;&gt;"",DEC2HEX(C2415,2),"")</f>
        <v/>
      </c>
      <c r="I2415" s="1" t="str">
        <f t="shared" si="2417"/>
        <v/>
      </c>
      <c r="J2415" s="1" t="str">
        <f t="shared" si="3"/>
        <v/>
      </c>
      <c r="L2415" s="1" t="s">
        <v>2539</v>
      </c>
      <c r="M2415" s="1" t="str">
        <f t="shared" si="4"/>
        <v>NEW ROUTE</v>
      </c>
    </row>
    <row r="2416" ht="12.75" customHeight="1">
      <c r="A2416" s="3" t="s">
        <v>3530</v>
      </c>
      <c r="B2416" s="3" t="str">
        <f t="shared" si="1"/>
        <v>3, 39, 0,</v>
      </c>
      <c r="C2416" s="1" t="str">
        <f t="array" ref="C2416">IF(B2415="NEW ROUTE",TEXTSPLIT(B2416,","),"")</f>
        <v>#NAME?</v>
      </c>
      <c r="H2416" s="1" t="str">
        <f t="shared" ref="H2416:I2416" si="2418">IF(C2416&lt;&gt;"",DEC2HEX(C2416,2),"")</f>
        <v>#NAME?</v>
      </c>
      <c r="I2416" s="1" t="str">
        <f t="shared" si="2418"/>
        <v/>
      </c>
      <c r="J2416" s="1" t="str">
        <f t="shared" si="3"/>
        <v>#NAME?</v>
      </c>
      <c r="L2416" s="1" t="s">
        <v>3530</v>
      </c>
      <c r="M2416" s="1" t="str">
        <f t="shared" si="4"/>
        <v>#NAME?</v>
      </c>
    </row>
    <row r="2417" ht="12.75" customHeight="1">
      <c r="A2417" s="3" t="s">
        <v>2798</v>
      </c>
      <c r="B2417" s="3" t="str">
        <f t="shared" si="1"/>
        <v>20%</v>
      </c>
      <c r="C2417" s="1" t="str">
        <f t="array" ref="C2417">IF(B2416="NEW ROUTE",TEXTSPLIT(B2417,","),"")</f>
        <v/>
      </c>
      <c r="H2417" s="1" t="str">
        <f t="shared" ref="H2417:I2417" si="2419">IF(C2417&lt;&gt;"",DEC2HEX(C2417,2),"")</f>
        <v/>
      </c>
      <c r="I2417" s="1" t="str">
        <f t="shared" si="2419"/>
        <v/>
      </c>
      <c r="J2417" s="1" t="str">
        <f t="shared" si="3"/>
        <v/>
      </c>
      <c r="L2417" s="1" t="s">
        <v>2799</v>
      </c>
      <c r="M2417" s="1" t="str">
        <f t="shared" si="4"/>
        <v>20%</v>
      </c>
    </row>
    <row r="2418" ht="12.75" customHeight="1">
      <c r="A2418" s="3" t="s">
        <v>1164</v>
      </c>
      <c r="B2418" s="3" t="str">
        <f t="shared" si="1"/>
        <v>39, 46, TANGROWTH</v>
      </c>
      <c r="C2418" s="1" t="str">
        <f t="array" ref="C2418">IF(B2417="NEW ROUTE",TEXTSPLIT(B2418,","),"")</f>
        <v/>
      </c>
      <c r="H2418" s="1" t="str">
        <f t="shared" ref="H2418:I2418" si="2420">IF(C2418&lt;&gt;"",DEC2HEX(C2418,2),"")</f>
        <v/>
      </c>
      <c r="I2418" s="1" t="str">
        <f t="shared" si="2420"/>
        <v/>
      </c>
      <c r="J2418" s="1" t="str">
        <f t="shared" si="3"/>
        <v/>
      </c>
      <c r="L2418" s="1" t="s">
        <v>1164</v>
      </c>
      <c r="M2418" s="1" t="str">
        <f t="shared" si="4"/>
        <v>39, 46, TANGROWTH</v>
      </c>
    </row>
    <row r="2419" ht="12.75" customHeight="1">
      <c r="A2419" s="3" t="s">
        <v>3531</v>
      </c>
      <c r="B2419" s="3" t="str">
        <f t="shared" si="1"/>
        <v>39, 46, EXEGGUTOR</v>
      </c>
      <c r="C2419" s="1" t="str">
        <f t="array" ref="C2419">IF(B2418="NEW ROUTE",TEXTSPLIT(B2419,","),"")</f>
        <v/>
      </c>
      <c r="H2419" s="1" t="str">
        <f t="shared" ref="H2419:I2419" si="2421">IF(C2419&lt;&gt;"",DEC2HEX(C2419,2),"")</f>
        <v/>
      </c>
      <c r="I2419" s="1" t="str">
        <f t="shared" si="2421"/>
        <v/>
      </c>
      <c r="J2419" s="1" t="str">
        <f t="shared" si="3"/>
        <v/>
      </c>
      <c r="L2419" s="1" t="s">
        <v>3531</v>
      </c>
      <c r="M2419" s="1" t="str">
        <f t="shared" si="4"/>
        <v>39, 46, EXEGGUTOR</v>
      </c>
    </row>
    <row r="2420" ht="12.75" customHeight="1">
      <c r="A2420" s="3" t="s">
        <v>2802</v>
      </c>
      <c r="B2420" s="3" t="str">
        <f t="shared" si="1"/>
        <v>0.1</v>
      </c>
      <c r="C2420" s="1" t="str">
        <f t="array" ref="C2420">IF(B2419="NEW ROUTE",TEXTSPLIT(B2420,","),"")</f>
        <v/>
      </c>
      <c r="H2420" s="1" t="str">
        <f t="shared" ref="H2420:I2420" si="2422">IF(C2420&lt;&gt;"",DEC2HEX(C2420,2),"")</f>
        <v/>
      </c>
      <c r="I2420" s="1" t="str">
        <f t="shared" si="2422"/>
        <v/>
      </c>
      <c r="J2420" s="1" t="str">
        <f t="shared" si="3"/>
        <v/>
      </c>
      <c r="L2420" s="1" t="s">
        <v>2802</v>
      </c>
      <c r="M2420" s="1" t="str">
        <f t="shared" si="4"/>
        <v>0.1</v>
      </c>
    </row>
    <row r="2421" ht="12.75" customHeight="1">
      <c r="A2421" s="3" t="s">
        <v>3532</v>
      </c>
      <c r="B2421" s="3" t="str">
        <f t="shared" si="1"/>
        <v>39, 42, DODRIO</v>
      </c>
      <c r="C2421" s="1" t="str">
        <f t="array" ref="C2421">IF(B2420="NEW ROUTE",TEXTSPLIT(B2421,","),"")</f>
        <v/>
      </c>
      <c r="H2421" s="1" t="str">
        <f t="shared" ref="H2421:I2421" si="2423">IF(C2421&lt;&gt;"",DEC2HEX(C2421,2),"")</f>
        <v/>
      </c>
      <c r="I2421" s="1" t="str">
        <f t="shared" si="2423"/>
        <v/>
      </c>
      <c r="J2421" s="1" t="str">
        <f t="shared" si="3"/>
        <v/>
      </c>
      <c r="L2421" s="1" t="s">
        <v>3532</v>
      </c>
      <c r="M2421" s="1" t="str">
        <f t="shared" si="4"/>
        <v>39, 42, DODRIO</v>
      </c>
    </row>
    <row r="2422" ht="12.75" customHeight="1">
      <c r="A2422" s="3" t="s">
        <v>3533</v>
      </c>
      <c r="B2422" s="3" t="str">
        <f t="shared" si="1"/>
        <v>39, 42, GOLDUCK</v>
      </c>
      <c r="C2422" s="1" t="str">
        <f t="array" ref="C2422">IF(B2421="NEW ROUTE",TEXTSPLIT(B2422,","),"")</f>
        <v/>
      </c>
      <c r="H2422" s="1" t="str">
        <f t="shared" ref="H2422:I2422" si="2424">IF(C2422&lt;&gt;"",DEC2HEX(C2422,2),"")</f>
        <v/>
      </c>
      <c r="I2422" s="1" t="str">
        <f t="shared" si="2424"/>
        <v/>
      </c>
      <c r="J2422" s="1" t="str">
        <f t="shared" si="3"/>
        <v/>
      </c>
      <c r="L2422" s="1" t="s">
        <v>3533</v>
      </c>
      <c r="M2422" s="1" t="str">
        <f t="shared" si="4"/>
        <v>39, 42, GOLDUCK</v>
      </c>
    </row>
    <row r="2423" ht="12.75" customHeight="1">
      <c r="A2423" s="3" t="s">
        <v>3534</v>
      </c>
      <c r="B2423" s="3" t="str">
        <f t="shared" si="1"/>
        <v>43, 46, DODRIO</v>
      </c>
      <c r="C2423" s="1" t="str">
        <f t="array" ref="C2423">IF(B2422="NEW ROUTE",TEXTSPLIT(B2423,","),"")</f>
        <v/>
      </c>
      <c r="H2423" s="1" t="str">
        <f t="shared" ref="H2423:I2423" si="2425">IF(C2423&lt;&gt;"",DEC2HEX(C2423,2),"")</f>
        <v/>
      </c>
      <c r="I2423" s="1" t="str">
        <f t="shared" si="2425"/>
        <v/>
      </c>
      <c r="J2423" s="1" t="str">
        <f t="shared" si="3"/>
        <v/>
      </c>
      <c r="L2423" s="1" t="s">
        <v>3534</v>
      </c>
      <c r="M2423" s="1" t="str">
        <f t="shared" si="4"/>
        <v>43, 46, DODRIO</v>
      </c>
    </row>
    <row r="2424" ht="12.75" customHeight="1">
      <c r="A2424" s="3" t="s">
        <v>3535</v>
      </c>
      <c r="B2424" s="3" t="str">
        <f t="shared" si="1"/>
        <v>43, 46, GOLDUCK</v>
      </c>
      <c r="C2424" s="1" t="str">
        <f t="array" ref="C2424">IF(B2423="NEW ROUTE",TEXTSPLIT(B2424,","),"")</f>
        <v/>
      </c>
      <c r="H2424" s="1" t="str">
        <f t="shared" ref="H2424:I2424" si="2426">IF(C2424&lt;&gt;"",DEC2HEX(C2424,2),"")</f>
        <v/>
      </c>
      <c r="I2424" s="1" t="str">
        <f t="shared" si="2426"/>
        <v/>
      </c>
      <c r="J2424" s="1" t="str">
        <f t="shared" si="3"/>
        <v/>
      </c>
      <c r="L2424" s="1" t="s">
        <v>3535</v>
      </c>
      <c r="M2424" s="1" t="str">
        <f t="shared" si="4"/>
        <v>43, 46, GOLDUCK</v>
      </c>
    </row>
    <row r="2425" ht="12.75" customHeight="1">
      <c r="A2425" s="3" t="s">
        <v>2807</v>
      </c>
      <c r="B2425" s="3" t="str">
        <f t="shared" si="1"/>
        <v>0.05</v>
      </c>
      <c r="C2425" s="1" t="str">
        <f t="array" ref="C2425">IF(B2424="NEW ROUTE",TEXTSPLIT(B2425,","),"")</f>
        <v/>
      </c>
      <c r="H2425" s="1" t="str">
        <f t="shared" ref="H2425:I2425" si="2427">IF(C2425&lt;&gt;"",DEC2HEX(C2425,2),"")</f>
        <v/>
      </c>
      <c r="I2425" s="1" t="str">
        <f t="shared" si="2427"/>
        <v/>
      </c>
      <c r="J2425" s="1" t="str">
        <f t="shared" si="3"/>
        <v/>
      </c>
      <c r="L2425" s="1" t="s">
        <v>2807</v>
      </c>
      <c r="M2425" s="1" t="str">
        <f t="shared" si="4"/>
        <v>0.05</v>
      </c>
    </row>
    <row r="2426" ht="12.75" customHeight="1">
      <c r="A2426" s="3" t="s">
        <v>3536</v>
      </c>
      <c r="B2426" s="3" t="str">
        <f t="shared" si="1"/>
        <v>43, 50, TANGATHER</v>
      </c>
      <c r="C2426" s="1" t="str">
        <f t="array" ref="C2426">IF(B2425="NEW ROUTE",TEXTSPLIT(B2426,","),"")</f>
        <v/>
      </c>
      <c r="H2426" s="1" t="str">
        <f t="shared" ref="H2426:I2426" si="2428">IF(C2426&lt;&gt;"",DEC2HEX(C2426,2),"")</f>
        <v/>
      </c>
      <c r="I2426" s="1" t="str">
        <f t="shared" si="2428"/>
        <v/>
      </c>
      <c r="J2426" s="1" t="str">
        <f t="shared" si="3"/>
        <v/>
      </c>
      <c r="L2426" s="1" t="s">
        <v>3536</v>
      </c>
      <c r="M2426" s="1" t="str">
        <f t="shared" si="4"/>
        <v>43, 50, TANGATHER</v>
      </c>
    </row>
    <row r="2427" ht="12.75" customHeight="1">
      <c r="A2427" s="3" t="s">
        <v>3537</v>
      </c>
      <c r="B2427" s="3" t="str">
        <f t="shared" si="1"/>
        <v>43, 50, EXEGGITY</v>
      </c>
      <c r="C2427" s="1" t="str">
        <f t="array" ref="C2427">IF(B2426="NEW ROUTE",TEXTSPLIT(B2427,","),"")</f>
        <v/>
      </c>
      <c r="H2427" s="1" t="str">
        <f t="shared" ref="H2427:I2427" si="2429">IF(C2427&lt;&gt;"",DEC2HEX(C2427,2),"")</f>
        <v/>
      </c>
      <c r="I2427" s="1" t="str">
        <f t="shared" si="2429"/>
        <v/>
      </c>
      <c r="J2427" s="1" t="str">
        <f t="shared" si="3"/>
        <v/>
      </c>
      <c r="L2427" s="1" t="s">
        <v>3537</v>
      </c>
      <c r="M2427" s="1" t="str">
        <f t="shared" si="4"/>
        <v>43, 50, EXEGGITY</v>
      </c>
    </row>
    <row r="2428" ht="12.75" customHeight="1">
      <c r="A2428" s="3" t="s">
        <v>2810</v>
      </c>
      <c r="B2428" s="3" t="str">
        <f t="shared" si="1"/>
        <v>0.04</v>
      </c>
      <c r="C2428" s="1" t="str">
        <f t="array" ref="C2428">IF(B2427="NEW ROUTE",TEXTSPLIT(B2428,","),"")</f>
        <v/>
      </c>
      <c r="H2428" s="1" t="str">
        <f t="shared" ref="H2428:I2428" si="2430">IF(C2428&lt;&gt;"",DEC2HEX(C2428,2),"")</f>
        <v/>
      </c>
      <c r="I2428" s="1" t="str">
        <f t="shared" si="2430"/>
        <v/>
      </c>
      <c r="J2428" s="1" t="str">
        <f t="shared" si="3"/>
        <v/>
      </c>
      <c r="L2428" s="1" t="s">
        <v>2810</v>
      </c>
      <c r="M2428" s="1" t="str">
        <f t="shared" si="4"/>
        <v>0.04</v>
      </c>
    </row>
    <row r="2429" ht="12.75" customHeight="1">
      <c r="A2429" s="3" t="s">
        <v>3538</v>
      </c>
      <c r="B2429" s="3" t="str">
        <f t="shared" si="1"/>
        <v>43, 50, GILDUCK</v>
      </c>
      <c r="C2429" s="1" t="str">
        <f t="array" ref="C2429">IF(B2428="NEW ROUTE",TEXTSPLIT(B2429,","),"")</f>
        <v/>
      </c>
      <c r="H2429" s="1" t="str">
        <f t="shared" ref="H2429:I2429" si="2431">IF(C2429&lt;&gt;"",DEC2HEX(C2429,2),"")</f>
        <v/>
      </c>
      <c r="I2429" s="1" t="str">
        <f t="shared" si="2431"/>
        <v/>
      </c>
      <c r="J2429" s="1" t="str">
        <f t="shared" si="3"/>
        <v/>
      </c>
      <c r="L2429" s="1" t="s">
        <v>3538</v>
      </c>
      <c r="M2429" s="1" t="str">
        <f t="shared" si="4"/>
        <v>43, 50, GILDUCK</v>
      </c>
    </row>
    <row r="2430" ht="12.75" customHeight="1">
      <c r="A2430" s="3" t="s">
        <v>3539</v>
      </c>
      <c r="B2430" s="3" t="str">
        <f t="shared" si="1"/>
        <v>43, 50, QUADODO</v>
      </c>
      <c r="C2430" s="1" t="str">
        <f t="array" ref="C2430">IF(B2429="NEW ROUTE",TEXTSPLIT(B2430,","),"")</f>
        <v/>
      </c>
      <c r="H2430" s="1" t="str">
        <f t="shared" ref="H2430:I2430" si="2432">IF(C2430&lt;&gt;"",DEC2HEX(C2430,2),"")</f>
        <v/>
      </c>
      <c r="I2430" s="1" t="str">
        <f t="shared" si="2432"/>
        <v/>
      </c>
      <c r="J2430" s="1" t="str">
        <f t="shared" si="3"/>
        <v/>
      </c>
      <c r="L2430" s="1" t="s">
        <v>3539</v>
      </c>
      <c r="M2430" s="1" t="str">
        <f t="shared" si="4"/>
        <v>43, 50, QUADODO</v>
      </c>
    </row>
    <row r="2431" ht="12.75" customHeight="1">
      <c r="A2431" s="3" t="s">
        <v>2813</v>
      </c>
      <c r="B2431" s="3" t="str">
        <f t="shared" si="1"/>
        <v>0.01</v>
      </c>
      <c r="C2431" s="1" t="str">
        <f t="array" ref="C2431">IF(B2430="NEW ROUTE",TEXTSPLIT(B2431,","),"")</f>
        <v/>
      </c>
      <c r="H2431" s="1" t="str">
        <f t="shared" ref="H2431:I2431" si="2433">IF(C2431&lt;&gt;"",DEC2HEX(C2431,2),"")</f>
        <v/>
      </c>
      <c r="I2431" s="1" t="str">
        <f t="shared" si="2433"/>
        <v/>
      </c>
      <c r="J2431" s="1" t="str">
        <f t="shared" si="3"/>
        <v/>
      </c>
      <c r="L2431" s="1" t="s">
        <v>2813</v>
      </c>
      <c r="M2431" s="1" t="str">
        <f t="shared" si="4"/>
        <v>0.01</v>
      </c>
    </row>
    <row r="2432" ht="12.75" customHeight="1">
      <c r="A2432" s="3" t="s">
        <v>3540</v>
      </c>
      <c r="B2432" s="3" t="str">
        <f t="shared" si="1"/>
        <v>45, 52, TANGOLIATH</v>
      </c>
      <c r="C2432" s="1" t="str">
        <f t="array" ref="C2432">IF(B2431="NEW ROUTE",TEXTSPLIT(B2432,","),"")</f>
        <v/>
      </c>
      <c r="H2432" s="1" t="str">
        <f t="shared" ref="H2432:I2432" si="2434">IF(C2432&lt;&gt;"",DEC2HEX(C2432,2),"")</f>
        <v/>
      </c>
      <c r="I2432" s="1" t="str">
        <f t="shared" si="2434"/>
        <v/>
      </c>
      <c r="J2432" s="1" t="str">
        <f t="shared" si="3"/>
        <v/>
      </c>
      <c r="L2432" s="1" t="s">
        <v>3540</v>
      </c>
      <c r="M2432" s="1" t="str">
        <f t="shared" si="4"/>
        <v>45, 52, TANGOLIATH</v>
      </c>
    </row>
    <row r="2433" ht="12.75" customHeight="1">
      <c r="A2433" s="3" t="s">
        <v>3541</v>
      </c>
      <c r="B2433" s="3" t="str">
        <f t="shared" si="1"/>
        <v>44, 44, TANGOLIATH</v>
      </c>
      <c r="C2433" s="1" t="str">
        <f t="array" ref="C2433">IF(B2432="NEW ROUTE",TEXTSPLIT(B2433,","),"")</f>
        <v/>
      </c>
      <c r="H2433" s="1" t="str">
        <f t="shared" ref="H2433:I2433" si="2435">IF(C2433&lt;&gt;"",DEC2HEX(C2433,2),"")</f>
        <v/>
      </c>
      <c r="I2433" s="1" t="str">
        <f t="shared" si="2435"/>
        <v/>
      </c>
      <c r="J2433" s="1" t="str">
        <f t="shared" si="3"/>
        <v/>
      </c>
      <c r="L2433" s="1" t="s">
        <v>3541</v>
      </c>
      <c r="M2433" s="1" t="str">
        <f t="shared" si="4"/>
        <v>44, 44, TANGOLIATH</v>
      </c>
    </row>
    <row r="2434" ht="12.75" customHeight="1">
      <c r="A2434" s="3" t="s">
        <v>3350</v>
      </c>
      <c r="B2434" s="3" t="str">
        <f t="shared" si="1"/>
        <v>2, 38, 42, TENTACOOL</v>
      </c>
      <c r="C2434" s="1" t="str">
        <f t="array" ref="C2434">IF(B2433="NEW ROUTE",TEXTSPLIT(B2434,","),"")</f>
        <v/>
      </c>
      <c r="H2434" s="1" t="str">
        <f t="shared" ref="H2434:I2434" si="2436">IF(C2434&lt;&gt;"",DEC2HEX(C2434,2),"")</f>
        <v/>
      </c>
      <c r="I2434" s="1" t="str">
        <f t="shared" si="2436"/>
        <v/>
      </c>
      <c r="J2434" s="1" t="str">
        <f t="shared" si="3"/>
        <v/>
      </c>
      <c r="L2434" s="1" t="s">
        <v>3350</v>
      </c>
      <c r="M2434" s="1" t="str">
        <f t="shared" si="4"/>
        <v>2, 38, 42, TENTACOOL</v>
      </c>
    </row>
    <row r="2435" ht="12.75" customHeight="1">
      <c r="A2435" s="3" t="s">
        <v>3429</v>
      </c>
      <c r="B2435" s="3" t="str">
        <f t="shared" si="1"/>
        <v>40, 44, TENTACRUEL</v>
      </c>
      <c r="C2435" s="1" t="str">
        <f t="array" ref="C2435">IF(B2434="NEW ROUTE",TEXTSPLIT(B2435,","),"")</f>
        <v/>
      </c>
      <c r="H2435" s="1" t="str">
        <f t="shared" ref="H2435:I2435" si="2437">IF(C2435&lt;&gt;"",DEC2HEX(C2435,2),"")</f>
        <v/>
      </c>
      <c r="I2435" s="1" t="str">
        <f t="shared" si="2437"/>
        <v/>
      </c>
      <c r="J2435" s="1" t="str">
        <f t="shared" si="3"/>
        <v/>
      </c>
      <c r="L2435" s="1" t="s">
        <v>3429</v>
      </c>
      <c r="M2435" s="1" t="str">
        <f t="shared" si="4"/>
        <v>40, 44, TENTACRUEL</v>
      </c>
    </row>
    <row r="2436" ht="12.75" customHeight="1">
      <c r="A2436" s="3" t="s">
        <v>3430</v>
      </c>
      <c r="B2436" s="3" t="str">
        <f t="shared" si="1"/>
        <v>42, 46, TENTACATE</v>
      </c>
      <c r="C2436" s="1" t="str">
        <f t="array" ref="C2436">IF(B2435="NEW ROUTE",TEXTSPLIT(B2436,","),"")</f>
        <v/>
      </c>
      <c r="H2436" s="1" t="str">
        <f t="shared" ref="H2436:I2436" si="2438">IF(C2436&lt;&gt;"",DEC2HEX(C2436,2),"")</f>
        <v/>
      </c>
      <c r="I2436" s="1" t="str">
        <f t="shared" si="2438"/>
        <v/>
      </c>
      <c r="J2436" s="1" t="str">
        <f t="shared" si="3"/>
        <v/>
      </c>
      <c r="L2436" s="1" t="s">
        <v>3430</v>
      </c>
      <c r="M2436" s="1" t="str">
        <f t="shared" si="4"/>
        <v>42, 46, TENTACATE</v>
      </c>
    </row>
    <row r="2437" ht="12.75" customHeight="1">
      <c r="A2437" s="3" t="s">
        <v>3025</v>
      </c>
      <c r="B2437" s="3" t="str">
        <f t="shared" si="1"/>
        <v>42, 46, LAPRAS</v>
      </c>
      <c r="C2437" s="1" t="str">
        <f t="array" ref="C2437">IF(B2436="NEW ROUTE",TEXTSPLIT(B2437,","),"")</f>
        <v/>
      </c>
      <c r="H2437" s="1" t="str">
        <f t="shared" ref="H2437:I2437" si="2439">IF(C2437&lt;&gt;"",DEC2HEX(C2437,2),"")</f>
        <v/>
      </c>
      <c r="I2437" s="1" t="str">
        <f t="shared" si="2439"/>
        <v/>
      </c>
      <c r="J2437" s="1" t="str">
        <f t="shared" si="3"/>
        <v/>
      </c>
      <c r="L2437" s="1" t="s">
        <v>3025</v>
      </c>
      <c r="M2437" s="1" t="str">
        <f t="shared" si="4"/>
        <v>42, 46, LAPRAS</v>
      </c>
    </row>
    <row r="2438" ht="12.75" customHeight="1">
      <c r="A2438" s="3" t="s">
        <v>3450</v>
      </c>
      <c r="B2438" s="3" t="str">
        <f t="shared" si="1"/>
        <v>44, 48, LOCHLASS</v>
      </c>
      <c r="C2438" s="1" t="str">
        <f t="array" ref="C2438">IF(B2437="NEW ROUTE",TEXTSPLIT(B2438,","),"")</f>
        <v/>
      </c>
      <c r="H2438" s="1" t="str">
        <f t="shared" ref="H2438:I2438" si="2440">IF(C2438&lt;&gt;"",DEC2HEX(C2438,2),"")</f>
        <v/>
      </c>
      <c r="I2438" s="1" t="str">
        <f t="shared" si="2440"/>
        <v/>
      </c>
      <c r="J2438" s="1" t="str">
        <f t="shared" si="3"/>
        <v/>
      </c>
      <c r="L2438" s="1" t="s">
        <v>3450</v>
      </c>
      <c r="M2438" s="1" t="str">
        <f t="shared" si="4"/>
        <v>44, 48, LOCHLASS</v>
      </c>
    </row>
    <row r="2439" ht="12.75" customHeight="1">
      <c r="A2439" s="3" t="s">
        <v>2926</v>
      </c>
      <c r="B2439" s="3" t="str">
        <f t="shared" si="1"/>
        <v>20, old rod:</v>
      </c>
      <c r="C2439" s="1" t="str">
        <f t="array" ref="C2439">IF(B2438="NEW ROUTE",TEXTSPLIT(B2439,","),"")</f>
        <v/>
      </c>
      <c r="H2439" s="1" t="str">
        <f t="shared" ref="H2439:I2439" si="2441">IF(C2439&lt;&gt;"",DEC2HEX(C2439,2),"")</f>
        <v/>
      </c>
      <c r="I2439" s="1" t="str">
        <f t="shared" si="2441"/>
        <v/>
      </c>
      <c r="J2439" s="1" t="str">
        <f t="shared" si="3"/>
        <v/>
      </c>
      <c r="L2439" s="1" t="s">
        <v>2926</v>
      </c>
      <c r="M2439" s="1" t="str">
        <f t="shared" si="4"/>
        <v>20, old rod:</v>
      </c>
    </row>
    <row r="2440" ht="12.75" customHeight="1">
      <c r="A2440" s="3" t="s">
        <v>1159</v>
      </c>
      <c r="B2440" s="3" t="str">
        <f t="shared" si="1"/>
        <v>19, 26, PSYDUCK</v>
      </c>
      <c r="C2440" s="1" t="str">
        <f t="array" ref="C2440">IF(B2439="NEW ROUTE",TEXTSPLIT(B2440,","),"")</f>
        <v/>
      </c>
      <c r="H2440" s="1" t="str">
        <f t="shared" ref="H2440:I2440" si="2442">IF(C2440&lt;&gt;"",DEC2HEX(C2440,2),"")</f>
        <v/>
      </c>
      <c r="I2440" s="1" t="str">
        <f t="shared" si="2442"/>
        <v/>
      </c>
      <c r="J2440" s="1" t="str">
        <f t="shared" si="3"/>
        <v/>
      </c>
      <c r="L2440" s="1" t="s">
        <v>1159</v>
      </c>
      <c r="M2440" s="1" t="str">
        <f t="shared" si="4"/>
        <v>19, 26, PSYDUCK</v>
      </c>
    </row>
    <row r="2441" ht="12.75" customHeight="1">
      <c r="A2441" s="3" t="s">
        <v>602</v>
      </c>
      <c r="B2441" s="3" t="str">
        <f t="shared" si="1"/>
        <v>19, 26, HORSEA</v>
      </c>
      <c r="C2441" s="1" t="str">
        <f t="array" ref="C2441">IF(B2440="NEW ROUTE",TEXTSPLIT(B2441,","),"")</f>
        <v/>
      </c>
      <c r="H2441" s="1" t="str">
        <f t="shared" ref="H2441:I2441" si="2443">IF(C2441&lt;&gt;"",DEC2HEX(C2441,2),"")</f>
        <v/>
      </c>
      <c r="I2441" s="1" t="str">
        <f t="shared" si="2443"/>
        <v/>
      </c>
      <c r="J2441" s="1" t="str">
        <f t="shared" si="3"/>
        <v/>
      </c>
      <c r="L2441" s="1" t="s">
        <v>602</v>
      </c>
      <c r="M2441" s="1" t="str">
        <f t="shared" si="4"/>
        <v>19, 26, HORSEA</v>
      </c>
    </row>
    <row r="2442" ht="12.75" customHeight="1">
      <c r="A2442" s="3" t="s">
        <v>2847</v>
      </c>
      <c r="B2442" s="3" t="str">
        <f t="shared" si="1"/>
        <v>good rod:</v>
      </c>
      <c r="C2442" s="1" t="str">
        <f t="array" ref="C2442">IF(B2441="NEW ROUTE",TEXTSPLIT(B2442,","),"")</f>
        <v/>
      </c>
      <c r="H2442" s="1" t="str">
        <f t="shared" ref="H2442:I2442" si="2444">IF(C2442&lt;&gt;"",DEC2HEX(C2442,2),"")</f>
        <v/>
      </c>
      <c r="I2442" s="1" t="str">
        <f t="shared" si="2444"/>
        <v/>
      </c>
      <c r="J2442" s="1" t="str">
        <f t="shared" si="3"/>
        <v/>
      </c>
      <c r="L2442" s="1" t="s">
        <v>2847</v>
      </c>
      <c r="M2442" s="1" t="str">
        <f t="shared" si="4"/>
        <v>good rod:</v>
      </c>
    </row>
    <row r="2443" ht="12.75" customHeight="1">
      <c r="A2443" s="3" t="s">
        <v>3027</v>
      </c>
      <c r="B2443" s="3" t="str">
        <f t="shared" si="1"/>
        <v>29, 33, SEADRA</v>
      </c>
      <c r="C2443" s="1" t="str">
        <f t="array" ref="C2443">IF(B2442="NEW ROUTE",TEXTSPLIT(B2443,","),"")</f>
        <v/>
      </c>
      <c r="H2443" s="1" t="str">
        <f t="shared" ref="H2443:I2443" si="2445">IF(C2443&lt;&gt;"",DEC2HEX(C2443,2),"")</f>
        <v/>
      </c>
      <c r="I2443" s="1" t="str">
        <f t="shared" si="2445"/>
        <v/>
      </c>
      <c r="J2443" s="1" t="str">
        <f t="shared" si="3"/>
        <v/>
      </c>
      <c r="L2443" s="1" t="s">
        <v>3027</v>
      </c>
      <c r="M2443" s="1" t="str">
        <f t="shared" si="4"/>
        <v>29, 33, SEADRA</v>
      </c>
    </row>
    <row r="2444" ht="12.75" customHeight="1">
      <c r="A2444" s="3" t="s">
        <v>3028</v>
      </c>
      <c r="B2444" s="3" t="str">
        <f t="shared" si="1"/>
        <v>30, 35, KRABBY</v>
      </c>
      <c r="C2444" s="1" t="str">
        <f t="array" ref="C2444">IF(B2443="NEW ROUTE",TEXTSPLIT(B2444,","),"")</f>
        <v/>
      </c>
      <c r="H2444" s="1" t="str">
        <f t="shared" ref="H2444:I2444" si="2446">IF(C2444&lt;&gt;"",DEC2HEX(C2444,2),"")</f>
        <v/>
      </c>
      <c r="I2444" s="1" t="str">
        <f t="shared" si="2446"/>
        <v/>
      </c>
      <c r="J2444" s="1" t="str">
        <f t="shared" si="3"/>
        <v/>
      </c>
      <c r="L2444" s="1" t="s">
        <v>3028</v>
      </c>
      <c r="M2444" s="1" t="str">
        <f t="shared" si="4"/>
        <v>30, 35, KRABBY</v>
      </c>
    </row>
    <row r="2445" ht="12.75" customHeight="1">
      <c r="A2445" s="3" t="s">
        <v>3029</v>
      </c>
      <c r="B2445" s="3" t="str">
        <f t="shared" si="1"/>
        <v>30, 35, GOLDUCK</v>
      </c>
      <c r="C2445" s="1" t="str">
        <f t="array" ref="C2445">IF(B2444="NEW ROUTE",TEXTSPLIT(B2445,","),"")</f>
        <v/>
      </c>
      <c r="H2445" s="1" t="str">
        <f t="shared" ref="H2445:I2445" si="2447">IF(C2445&lt;&gt;"",DEC2HEX(C2445,2),"")</f>
        <v/>
      </c>
      <c r="I2445" s="1" t="str">
        <f t="shared" si="2447"/>
        <v/>
      </c>
      <c r="J2445" s="1" t="str">
        <f t="shared" si="3"/>
        <v/>
      </c>
      <c r="L2445" s="1" t="s">
        <v>3029</v>
      </c>
      <c r="M2445" s="1" t="str">
        <f t="shared" si="4"/>
        <v>30, 35, GOLDUCK</v>
      </c>
    </row>
    <row r="2446" ht="12.75" customHeight="1">
      <c r="A2446" s="3" t="s">
        <v>2851</v>
      </c>
      <c r="B2446" s="3" t="str">
        <f t="shared" si="1"/>
        <v>super rod:</v>
      </c>
      <c r="C2446" s="1" t="str">
        <f t="array" ref="C2446">IF(B2445="NEW ROUTE",TEXTSPLIT(B2446,","),"")</f>
        <v/>
      </c>
      <c r="H2446" s="1" t="str">
        <f t="shared" ref="H2446:I2446" si="2448">IF(C2446&lt;&gt;"",DEC2HEX(C2446,2),"")</f>
        <v/>
      </c>
      <c r="I2446" s="1" t="str">
        <f t="shared" si="2448"/>
        <v/>
      </c>
      <c r="J2446" s="1" t="str">
        <f t="shared" si="3"/>
        <v/>
      </c>
      <c r="L2446" s="1" t="s">
        <v>2851</v>
      </c>
      <c r="M2446" s="1" t="str">
        <f t="shared" si="4"/>
        <v>super rod:</v>
      </c>
    </row>
    <row r="2447" ht="12.75" customHeight="1">
      <c r="A2447" s="3" t="s">
        <v>3030</v>
      </c>
      <c r="B2447" s="3" t="str">
        <f t="shared" si="1"/>
        <v>36, 40, KINGDRA</v>
      </c>
      <c r="C2447" s="1" t="str">
        <f t="array" ref="C2447">IF(B2446="NEW ROUTE",TEXTSPLIT(B2447,","),"")</f>
        <v/>
      </c>
      <c r="H2447" s="1" t="str">
        <f t="shared" ref="H2447:I2447" si="2449">IF(C2447&lt;&gt;"",DEC2HEX(C2447,2),"")</f>
        <v/>
      </c>
      <c r="I2447" s="1" t="str">
        <f t="shared" si="2449"/>
        <v/>
      </c>
      <c r="J2447" s="1" t="str">
        <f t="shared" si="3"/>
        <v/>
      </c>
      <c r="L2447" s="1" t="s">
        <v>3030</v>
      </c>
      <c r="M2447" s="1" t="str">
        <f t="shared" si="4"/>
        <v>36, 40, KINGDRA</v>
      </c>
    </row>
    <row r="2448" ht="12.75" customHeight="1">
      <c r="A2448" s="3" t="s">
        <v>3528</v>
      </c>
      <c r="B2448" s="3" t="str">
        <f t="shared" si="1"/>
        <v>36, 40, KINGLER</v>
      </c>
      <c r="C2448" s="1" t="str">
        <f t="array" ref="C2448">IF(B2447="NEW ROUTE",TEXTSPLIT(B2448,","),"")</f>
        <v/>
      </c>
      <c r="H2448" s="1" t="str">
        <f t="shared" ref="H2448:I2448" si="2450">IF(C2448&lt;&gt;"",DEC2HEX(C2448,2),"")</f>
        <v/>
      </c>
      <c r="I2448" s="1" t="str">
        <f t="shared" si="2450"/>
        <v/>
      </c>
      <c r="J2448" s="1" t="str">
        <f t="shared" si="3"/>
        <v/>
      </c>
      <c r="L2448" s="1" t="s">
        <v>3528</v>
      </c>
      <c r="M2448" s="1" t="str">
        <f t="shared" si="4"/>
        <v>36, 40, KINGLER</v>
      </c>
    </row>
    <row r="2449" ht="12.75" customHeight="1">
      <c r="A2449" s="3" t="s">
        <v>3032</v>
      </c>
      <c r="B2449" s="3" t="str">
        <f t="shared" si="1"/>
        <v>38, 42, GILDUCK</v>
      </c>
      <c r="C2449" s="1" t="str">
        <f t="array" ref="C2449">IF(B2448="NEW ROUTE",TEXTSPLIT(B2449,","),"")</f>
        <v/>
      </c>
      <c r="H2449" s="1" t="str">
        <f t="shared" ref="H2449:I2449" si="2451">IF(C2449&lt;&gt;"",DEC2HEX(C2449,2),"")</f>
        <v/>
      </c>
      <c r="I2449" s="1" t="str">
        <f t="shared" si="2451"/>
        <v/>
      </c>
      <c r="J2449" s="1" t="str">
        <f t="shared" si="3"/>
        <v/>
      </c>
      <c r="L2449" s="1" t="s">
        <v>3032</v>
      </c>
      <c r="M2449" s="1" t="str">
        <f t="shared" si="4"/>
        <v>38, 42, GILDUCK</v>
      </c>
    </row>
    <row r="2450" ht="12.75" customHeight="1">
      <c r="A2450" s="3" t="s">
        <v>3033</v>
      </c>
      <c r="B2450" s="3" t="str">
        <f t="shared" si="1"/>
        <v>38, 42, KRAKLAW</v>
      </c>
      <c r="C2450" s="1" t="str">
        <f t="array" ref="C2450">IF(B2449="NEW ROUTE",TEXTSPLIT(B2450,","),"")</f>
        <v/>
      </c>
      <c r="H2450" s="1" t="str">
        <f t="shared" ref="H2450:I2450" si="2452">IF(C2450&lt;&gt;"",DEC2HEX(C2450,2),"")</f>
        <v/>
      </c>
      <c r="I2450" s="1" t="str">
        <f t="shared" si="2452"/>
        <v/>
      </c>
      <c r="J2450" s="1" t="str">
        <f t="shared" si="3"/>
        <v/>
      </c>
      <c r="L2450" s="1" t="s">
        <v>3033</v>
      </c>
      <c r="M2450" s="1" t="str">
        <f t="shared" si="4"/>
        <v>38, 42, KRAKLAW</v>
      </c>
    </row>
    <row r="2451" ht="12.75" customHeight="1">
      <c r="A2451" s="3" t="s">
        <v>3034</v>
      </c>
      <c r="B2451" s="3" t="str">
        <f t="shared" si="1"/>
        <v>40, 44, LORDRA</v>
      </c>
      <c r="C2451" s="1" t="str">
        <f t="array" ref="C2451">IF(B2450="NEW ROUTE",TEXTSPLIT(B2451,","),"")</f>
        <v/>
      </c>
      <c r="H2451" s="1" t="str">
        <f t="shared" ref="H2451:I2451" si="2453">IF(C2451&lt;&gt;"",DEC2HEX(C2451,2),"")</f>
        <v/>
      </c>
      <c r="I2451" s="1" t="str">
        <f t="shared" si="2453"/>
        <v/>
      </c>
      <c r="J2451" s="1" t="str">
        <f t="shared" si="3"/>
        <v/>
      </c>
      <c r="L2451" s="1" t="s">
        <v>3034</v>
      </c>
      <c r="M2451" s="1" t="str">
        <f t="shared" si="4"/>
        <v>40, 44, LORDRA</v>
      </c>
    </row>
    <row r="2452" ht="12.75" customHeight="1">
      <c r="A2452" s="3" t="s">
        <v>2539</v>
      </c>
      <c r="B2452" s="3" t="str">
        <f t="shared" si="1"/>
        <v>NEW ROUTE</v>
      </c>
      <c r="C2452" s="1" t="str">
        <f t="array" ref="C2452">IF(B2451="NEW ROUTE",TEXTSPLIT(B2452,","),"")</f>
        <v/>
      </c>
      <c r="H2452" s="1" t="str">
        <f t="shared" ref="H2452:I2452" si="2454">IF(C2452&lt;&gt;"",DEC2HEX(C2452,2),"")</f>
        <v/>
      </c>
      <c r="I2452" s="1" t="str">
        <f t="shared" si="2454"/>
        <v/>
      </c>
      <c r="J2452" s="1" t="str">
        <f t="shared" si="3"/>
        <v/>
      </c>
      <c r="L2452" s="1" t="s">
        <v>2539</v>
      </c>
      <c r="M2452" s="1" t="str">
        <f t="shared" si="4"/>
        <v>NEW ROUTE</v>
      </c>
    </row>
    <row r="2453" ht="12.75" customHeight="1">
      <c r="A2453" s="3" t="s">
        <v>3542</v>
      </c>
      <c r="B2453" s="3" t="str">
        <f t="shared" si="1"/>
        <v>3, 40, 0,</v>
      </c>
      <c r="C2453" s="1" t="str">
        <f t="array" ref="C2453">IF(B2452="NEW ROUTE",TEXTSPLIT(B2453,","),"")</f>
        <v>#NAME?</v>
      </c>
      <c r="H2453" s="1" t="str">
        <f t="shared" ref="H2453:I2453" si="2455">IF(C2453&lt;&gt;"",DEC2HEX(C2453,2),"")</f>
        <v>#NAME?</v>
      </c>
      <c r="I2453" s="1" t="str">
        <f t="shared" si="2455"/>
        <v/>
      </c>
      <c r="J2453" s="1" t="str">
        <f t="shared" si="3"/>
        <v>#NAME?</v>
      </c>
      <c r="L2453" s="1" t="s">
        <v>3542</v>
      </c>
      <c r="M2453" s="1" t="str">
        <f t="shared" si="4"/>
        <v>#NAME?</v>
      </c>
    </row>
    <row r="2454" ht="12.75" customHeight="1">
      <c r="A2454" s="3" t="s">
        <v>2798</v>
      </c>
      <c r="B2454" s="3" t="str">
        <f t="shared" si="1"/>
        <v>20%</v>
      </c>
      <c r="C2454" s="1" t="str">
        <f t="array" ref="C2454">IF(B2453="NEW ROUTE",TEXTSPLIT(B2454,","),"")</f>
        <v/>
      </c>
      <c r="H2454" s="1" t="str">
        <f t="shared" ref="H2454:I2454" si="2456">IF(C2454&lt;&gt;"",DEC2HEX(C2454,2),"")</f>
        <v/>
      </c>
      <c r="I2454" s="1" t="str">
        <f t="shared" si="2456"/>
        <v/>
      </c>
      <c r="J2454" s="1" t="str">
        <f t="shared" si="3"/>
        <v/>
      </c>
      <c r="L2454" s="1" t="s">
        <v>2799</v>
      </c>
      <c r="M2454" s="1" t="str">
        <f t="shared" si="4"/>
        <v>20%</v>
      </c>
    </row>
    <row r="2455" ht="12.75" customHeight="1">
      <c r="A2455" s="3" t="s">
        <v>1164</v>
      </c>
      <c r="B2455" s="3" t="str">
        <f t="shared" si="1"/>
        <v>39, 46, TANGROWTH</v>
      </c>
      <c r="C2455" s="1" t="str">
        <f t="array" ref="C2455">IF(B2454="NEW ROUTE",TEXTSPLIT(B2455,","),"")</f>
        <v/>
      </c>
      <c r="H2455" s="1" t="str">
        <f t="shared" ref="H2455:I2455" si="2457">IF(C2455&lt;&gt;"",DEC2HEX(C2455,2),"")</f>
        <v/>
      </c>
      <c r="I2455" s="1" t="str">
        <f t="shared" si="2457"/>
        <v/>
      </c>
      <c r="J2455" s="1" t="str">
        <f t="shared" si="3"/>
        <v/>
      </c>
      <c r="L2455" s="1" t="s">
        <v>1164</v>
      </c>
      <c r="M2455" s="1" t="str">
        <f t="shared" si="4"/>
        <v>39, 46, TANGROWTH</v>
      </c>
    </row>
    <row r="2456" ht="12.75" customHeight="1">
      <c r="A2456" s="3" t="s">
        <v>3531</v>
      </c>
      <c r="B2456" s="3" t="str">
        <f t="shared" si="1"/>
        <v>39, 46, EXEGGUTOR</v>
      </c>
      <c r="C2456" s="1" t="str">
        <f t="array" ref="C2456">IF(B2455="NEW ROUTE",TEXTSPLIT(B2456,","),"")</f>
        <v/>
      </c>
      <c r="H2456" s="1" t="str">
        <f t="shared" ref="H2456:I2456" si="2458">IF(C2456&lt;&gt;"",DEC2HEX(C2456,2),"")</f>
        <v/>
      </c>
      <c r="I2456" s="1" t="str">
        <f t="shared" si="2458"/>
        <v/>
      </c>
      <c r="J2456" s="1" t="str">
        <f t="shared" si="3"/>
        <v/>
      </c>
      <c r="L2456" s="1" t="s">
        <v>3531</v>
      </c>
      <c r="M2456" s="1" t="str">
        <f t="shared" si="4"/>
        <v>39, 46, EXEGGUTOR</v>
      </c>
    </row>
    <row r="2457" ht="12.75" customHeight="1">
      <c r="A2457" s="3" t="s">
        <v>2802</v>
      </c>
      <c r="B2457" s="3" t="str">
        <f t="shared" si="1"/>
        <v>0.1</v>
      </c>
      <c r="C2457" s="1" t="str">
        <f t="array" ref="C2457">IF(B2456="NEW ROUTE",TEXTSPLIT(B2457,","),"")</f>
        <v/>
      </c>
      <c r="H2457" s="1" t="str">
        <f t="shared" ref="H2457:I2457" si="2459">IF(C2457&lt;&gt;"",DEC2HEX(C2457,2),"")</f>
        <v/>
      </c>
      <c r="I2457" s="1" t="str">
        <f t="shared" si="2459"/>
        <v/>
      </c>
      <c r="J2457" s="1" t="str">
        <f t="shared" si="3"/>
        <v/>
      </c>
      <c r="L2457" s="1" t="s">
        <v>2802</v>
      </c>
      <c r="M2457" s="1" t="str">
        <f t="shared" si="4"/>
        <v>0.1</v>
      </c>
    </row>
    <row r="2458" ht="12.75" customHeight="1">
      <c r="A2458" s="3" t="s">
        <v>3532</v>
      </c>
      <c r="B2458" s="3" t="str">
        <f t="shared" si="1"/>
        <v>39, 42, DODRIO</v>
      </c>
      <c r="C2458" s="1" t="str">
        <f t="array" ref="C2458">IF(B2457="NEW ROUTE",TEXTSPLIT(B2458,","),"")</f>
        <v/>
      </c>
      <c r="H2458" s="1" t="str">
        <f t="shared" ref="H2458:I2458" si="2460">IF(C2458&lt;&gt;"",DEC2HEX(C2458,2),"")</f>
        <v/>
      </c>
      <c r="I2458" s="1" t="str">
        <f t="shared" si="2460"/>
        <v/>
      </c>
      <c r="J2458" s="1" t="str">
        <f t="shared" si="3"/>
        <v/>
      </c>
      <c r="L2458" s="1" t="s">
        <v>3532</v>
      </c>
      <c r="M2458" s="1" t="str">
        <f t="shared" si="4"/>
        <v>39, 42, DODRIO</v>
      </c>
    </row>
    <row r="2459" ht="12.75" customHeight="1">
      <c r="A2459" s="3" t="s">
        <v>3533</v>
      </c>
      <c r="B2459" s="3" t="str">
        <f t="shared" si="1"/>
        <v>39, 42, GOLDUCK</v>
      </c>
      <c r="C2459" s="1" t="str">
        <f t="array" ref="C2459">IF(B2458="NEW ROUTE",TEXTSPLIT(B2459,","),"")</f>
        <v/>
      </c>
      <c r="H2459" s="1" t="str">
        <f t="shared" ref="H2459:I2459" si="2461">IF(C2459&lt;&gt;"",DEC2HEX(C2459,2),"")</f>
        <v/>
      </c>
      <c r="I2459" s="1" t="str">
        <f t="shared" si="2461"/>
        <v/>
      </c>
      <c r="J2459" s="1" t="str">
        <f t="shared" si="3"/>
        <v/>
      </c>
      <c r="L2459" s="1" t="s">
        <v>3533</v>
      </c>
      <c r="M2459" s="1" t="str">
        <f t="shared" si="4"/>
        <v>39, 42, GOLDUCK</v>
      </c>
    </row>
    <row r="2460" ht="12.75" customHeight="1">
      <c r="A2460" s="3" t="s">
        <v>3534</v>
      </c>
      <c r="B2460" s="3" t="str">
        <f t="shared" si="1"/>
        <v>43, 46, DODRIO</v>
      </c>
      <c r="C2460" s="1" t="str">
        <f t="array" ref="C2460">IF(B2459="NEW ROUTE",TEXTSPLIT(B2460,","),"")</f>
        <v/>
      </c>
      <c r="H2460" s="1" t="str">
        <f t="shared" ref="H2460:I2460" si="2462">IF(C2460&lt;&gt;"",DEC2HEX(C2460,2),"")</f>
        <v/>
      </c>
      <c r="I2460" s="1" t="str">
        <f t="shared" si="2462"/>
        <v/>
      </c>
      <c r="J2460" s="1" t="str">
        <f t="shared" si="3"/>
        <v/>
      </c>
      <c r="L2460" s="1" t="s">
        <v>3534</v>
      </c>
      <c r="M2460" s="1" t="str">
        <f t="shared" si="4"/>
        <v>43, 46, DODRIO</v>
      </c>
    </row>
    <row r="2461" ht="12.75" customHeight="1">
      <c r="A2461" s="3" t="s">
        <v>3535</v>
      </c>
      <c r="B2461" s="3" t="str">
        <f t="shared" si="1"/>
        <v>43, 46, GOLDUCK</v>
      </c>
      <c r="C2461" s="1" t="str">
        <f t="array" ref="C2461">IF(B2460="NEW ROUTE",TEXTSPLIT(B2461,","),"")</f>
        <v/>
      </c>
      <c r="H2461" s="1" t="str">
        <f t="shared" ref="H2461:I2461" si="2463">IF(C2461&lt;&gt;"",DEC2HEX(C2461,2),"")</f>
        <v/>
      </c>
      <c r="I2461" s="1" t="str">
        <f t="shared" si="2463"/>
        <v/>
      </c>
      <c r="J2461" s="1" t="str">
        <f t="shared" si="3"/>
        <v/>
      </c>
      <c r="L2461" s="1" t="s">
        <v>3535</v>
      </c>
      <c r="M2461" s="1" t="str">
        <f t="shared" si="4"/>
        <v>43, 46, GOLDUCK</v>
      </c>
    </row>
    <row r="2462" ht="12.75" customHeight="1">
      <c r="A2462" s="3" t="s">
        <v>2807</v>
      </c>
      <c r="B2462" s="3" t="str">
        <f t="shared" si="1"/>
        <v>0.05</v>
      </c>
      <c r="C2462" s="1" t="str">
        <f t="array" ref="C2462">IF(B2461="NEW ROUTE",TEXTSPLIT(B2462,","),"")</f>
        <v/>
      </c>
      <c r="H2462" s="1" t="str">
        <f t="shared" ref="H2462:I2462" si="2464">IF(C2462&lt;&gt;"",DEC2HEX(C2462,2),"")</f>
        <v/>
      </c>
      <c r="I2462" s="1" t="str">
        <f t="shared" si="2464"/>
        <v/>
      </c>
      <c r="J2462" s="1" t="str">
        <f t="shared" si="3"/>
        <v/>
      </c>
      <c r="L2462" s="1" t="s">
        <v>2807</v>
      </c>
      <c r="M2462" s="1" t="str">
        <f t="shared" si="4"/>
        <v>0.05</v>
      </c>
    </row>
    <row r="2463" ht="12.75" customHeight="1">
      <c r="A2463" s="3" t="s">
        <v>3536</v>
      </c>
      <c r="B2463" s="3" t="str">
        <f t="shared" si="1"/>
        <v>43, 50, TANGATHER</v>
      </c>
      <c r="C2463" s="1" t="str">
        <f t="array" ref="C2463">IF(B2462="NEW ROUTE",TEXTSPLIT(B2463,","),"")</f>
        <v/>
      </c>
      <c r="H2463" s="1" t="str">
        <f t="shared" ref="H2463:I2463" si="2465">IF(C2463&lt;&gt;"",DEC2HEX(C2463,2),"")</f>
        <v/>
      </c>
      <c r="I2463" s="1" t="str">
        <f t="shared" si="2465"/>
        <v/>
      </c>
      <c r="J2463" s="1" t="str">
        <f t="shared" si="3"/>
        <v/>
      </c>
      <c r="L2463" s="1" t="s">
        <v>3536</v>
      </c>
      <c r="M2463" s="1" t="str">
        <f t="shared" si="4"/>
        <v>43, 50, TANGATHER</v>
      </c>
    </row>
    <row r="2464" ht="12.75" customHeight="1">
      <c r="A2464" s="3" t="s">
        <v>3537</v>
      </c>
      <c r="B2464" s="3" t="str">
        <f t="shared" si="1"/>
        <v>43, 50, EXEGGITY</v>
      </c>
      <c r="C2464" s="1" t="str">
        <f t="array" ref="C2464">IF(B2463="NEW ROUTE",TEXTSPLIT(B2464,","),"")</f>
        <v/>
      </c>
      <c r="H2464" s="1" t="str">
        <f t="shared" ref="H2464:I2464" si="2466">IF(C2464&lt;&gt;"",DEC2HEX(C2464,2),"")</f>
        <v/>
      </c>
      <c r="I2464" s="1" t="str">
        <f t="shared" si="2466"/>
        <v/>
      </c>
      <c r="J2464" s="1" t="str">
        <f t="shared" si="3"/>
        <v/>
      </c>
      <c r="L2464" s="1" t="s">
        <v>3537</v>
      </c>
      <c r="M2464" s="1" t="str">
        <f t="shared" si="4"/>
        <v>43, 50, EXEGGITY</v>
      </c>
    </row>
    <row r="2465" ht="12.75" customHeight="1">
      <c r="A2465" s="3" t="s">
        <v>2810</v>
      </c>
      <c r="B2465" s="3" t="str">
        <f t="shared" si="1"/>
        <v>0.04</v>
      </c>
      <c r="C2465" s="1" t="str">
        <f t="array" ref="C2465">IF(B2464="NEW ROUTE",TEXTSPLIT(B2465,","),"")</f>
        <v/>
      </c>
      <c r="H2465" s="1" t="str">
        <f t="shared" ref="H2465:I2465" si="2467">IF(C2465&lt;&gt;"",DEC2HEX(C2465,2),"")</f>
        <v/>
      </c>
      <c r="I2465" s="1" t="str">
        <f t="shared" si="2467"/>
        <v/>
      </c>
      <c r="J2465" s="1" t="str">
        <f t="shared" si="3"/>
        <v/>
      </c>
      <c r="L2465" s="1" t="s">
        <v>2810</v>
      </c>
      <c r="M2465" s="1" t="str">
        <f t="shared" si="4"/>
        <v>0.04</v>
      </c>
    </row>
    <row r="2466" ht="12.75" customHeight="1">
      <c r="A2466" s="3" t="s">
        <v>3538</v>
      </c>
      <c r="B2466" s="3" t="str">
        <f t="shared" si="1"/>
        <v>43, 50, GILDUCK</v>
      </c>
      <c r="C2466" s="1" t="str">
        <f t="array" ref="C2466">IF(B2465="NEW ROUTE",TEXTSPLIT(B2466,","),"")</f>
        <v/>
      </c>
      <c r="H2466" s="1" t="str">
        <f t="shared" ref="H2466:I2466" si="2468">IF(C2466&lt;&gt;"",DEC2HEX(C2466,2),"")</f>
        <v/>
      </c>
      <c r="I2466" s="1" t="str">
        <f t="shared" si="2468"/>
        <v/>
      </c>
      <c r="J2466" s="1" t="str">
        <f t="shared" si="3"/>
        <v/>
      </c>
      <c r="L2466" s="1" t="s">
        <v>3538</v>
      </c>
      <c r="M2466" s="1" t="str">
        <f t="shared" si="4"/>
        <v>43, 50, GILDUCK</v>
      </c>
    </row>
    <row r="2467" ht="12.75" customHeight="1">
      <c r="A2467" s="3" t="s">
        <v>3539</v>
      </c>
      <c r="B2467" s="3" t="str">
        <f t="shared" si="1"/>
        <v>43, 50, QUADODO</v>
      </c>
      <c r="C2467" s="1" t="str">
        <f t="array" ref="C2467">IF(B2466="NEW ROUTE",TEXTSPLIT(B2467,","),"")</f>
        <v/>
      </c>
      <c r="H2467" s="1" t="str">
        <f t="shared" ref="H2467:I2467" si="2469">IF(C2467&lt;&gt;"",DEC2HEX(C2467,2),"")</f>
        <v/>
      </c>
      <c r="I2467" s="1" t="str">
        <f t="shared" si="2469"/>
        <v/>
      </c>
      <c r="J2467" s="1" t="str">
        <f t="shared" si="3"/>
        <v/>
      </c>
      <c r="L2467" s="1" t="s">
        <v>3539</v>
      </c>
      <c r="M2467" s="1" t="str">
        <f t="shared" si="4"/>
        <v>43, 50, QUADODO</v>
      </c>
    </row>
    <row r="2468" ht="12.75" customHeight="1">
      <c r="A2468" s="3" t="s">
        <v>2813</v>
      </c>
      <c r="B2468" s="3" t="str">
        <f t="shared" si="1"/>
        <v>0.01</v>
      </c>
      <c r="C2468" s="1" t="str">
        <f t="array" ref="C2468">IF(B2467="NEW ROUTE",TEXTSPLIT(B2468,","),"")</f>
        <v/>
      </c>
      <c r="H2468" s="1" t="str">
        <f t="shared" ref="H2468:I2468" si="2470">IF(C2468&lt;&gt;"",DEC2HEX(C2468,2),"")</f>
        <v/>
      </c>
      <c r="I2468" s="1" t="str">
        <f t="shared" si="2470"/>
        <v/>
      </c>
      <c r="J2468" s="1" t="str">
        <f t="shared" si="3"/>
        <v/>
      </c>
      <c r="L2468" s="1" t="s">
        <v>2813</v>
      </c>
      <c r="M2468" s="1" t="str">
        <f t="shared" si="4"/>
        <v>0.01</v>
      </c>
    </row>
    <row r="2469" ht="12.75" customHeight="1">
      <c r="A2469" s="3" t="s">
        <v>3540</v>
      </c>
      <c r="B2469" s="3" t="str">
        <f t="shared" si="1"/>
        <v>45, 52, TANGOLIATH</v>
      </c>
      <c r="C2469" s="1" t="str">
        <f t="array" ref="C2469">IF(B2468="NEW ROUTE",TEXTSPLIT(B2469,","),"")</f>
        <v/>
      </c>
      <c r="H2469" s="1" t="str">
        <f t="shared" ref="H2469:I2469" si="2471">IF(C2469&lt;&gt;"",DEC2HEX(C2469,2),"")</f>
        <v/>
      </c>
      <c r="I2469" s="1" t="str">
        <f t="shared" si="2471"/>
        <v/>
      </c>
      <c r="J2469" s="1" t="str">
        <f t="shared" si="3"/>
        <v/>
      </c>
      <c r="L2469" s="1" t="s">
        <v>3540</v>
      </c>
      <c r="M2469" s="1" t="str">
        <f t="shared" si="4"/>
        <v>45, 52, TANGOLIATH</v>
      </c>
    </row>
    <row r="2470" ht="12.75" customHeight="1">
      <c r="A2470" s="3" t="s">
        <v>3541</v>
      </c>
      <c r="B2470" s="3" t="str">
        <f t="shared" si="1"/>
        <v>44, 44, TANGOLIATH</v>
      </c>
      <c r="C2470" s="1" t="str">
        <f t="array" ref="C2470">IF(B2469="NEW ROUTE",TEXTSPLIT(B2470,","),"")</f>
        <v/>
      </c>
      <c r="H2470" s="1" t="str">
        <f t="shared" ref="H2470:I2470" si="2472">IF(C2470&lt;&gt;"",DEC2HEX(C2470,2),"")</f>
        <v/>
      </c>
      <c r="I2470" s="1" t="str">
        <f t="shared" si="2472"/>
        <v/>
      </c>
      <c r="J2470" s="1" t="str">
        <f t="shared" si="3"/>
        <v/>
      </c>
      <c r="L2470" s="1" t="s">
        <v>3541</v>
      </c>
      <c r="M2470" s="1" t="str">
        <f t="shared" si="4"/>
        <v>44, 44, TANGOLIATH</v>
      </c>
    </row>
    <row r="2471" ht="12.75" customHeight="1">
      <c r="A2471" s="3" t="s">
        <v>3350</v>
      </c>
      <c r="B2471" s="3" t="str">
        <f t="shared" si="1"/>
        <v>2, 38, 42, TENTACOOL</v>
      </c>
      <c r="C2471" s="1" t="str">
        <f t="array" ref="C2471">IF(B2470="NEW ROUTE",TEXTSPLIT(B2471,","),"")</f>
        <v/>
      </c>
      <c r="H2471" s="1" t="str">
        <f t="shared" ref="H2471:I2471" si="2473">IF(C2471&lt;&gt;"",DEC2HEX(C2471,2),"")</f>
        <v/>
      </c>
      <c r="I2471" s="1" t="str">
        <f t="shared" si="2473"/>
        <v/>
      </c>
      <c r="J2471" s="1" t="str">
        <f t="shared" si="3"/>
        <v/>
      </c>
      <c r="L2471" s="1" t="s">
        <v>3350</v>
      </c>
      <c r="M2471" s="1" t="str">
        <f t="shared" si="4"/>
        <v>2, 38, 42, TENTACOOL</v>
      </c>
    </row>
    <row r="2472" ht="12.75" customHeight="1">
      <c r="A2472" s="3" t="s">
        <v>3429</v>
      </c>
      <c r="B2472" s="3" t="str">
        <f t="shared" si="1"/>
        <v>40, 44, TENTACRUEL</v>
      </c>
      <c r="C2472" s="1" t="str">
        <f t="array" ref="C2472">IF(B2471="NEW ROUTE",TEXTSPLIT(B2472,","),"")</f>
        <v/>
      </c>
      <c r="H2472" s="1" t="str">
        <f t="shared" ref="H2472:I2472" si="2474">IF(C2472&lt;&gt;"",DEC2HEX(C2472,2),"")</f>
        <v/>
      </c>
      <c r="I2472" s="1" t="str">
        <f t="shared" si="2474"/>
        <v/>
      </c>
      <c r="J2472" s="1" t="str">
        <f t="shared" si="3"/>
        <v/>
      </c>
      <c r="L2472" s="1" t="s">
        <v>3429</v>
      </c>
      <c r="M2472" s="1" t="str">
        <f t="shared" si="4"/>
        <v>40, 44, TENTACRUEL</v>
      </c>
    </row>
    <row r="2473" ht="12.75" customHeight="1">
      <c r="A2473" s="3" t="s">
        <v>3430</v>
      </c>
      <c r="B2473" s="3" t="str">
        <f t="shared" si="1"/>
        <v>42, 46, TENTACATE</v>
      </c>
      <c r="C2473" s="1" t="str">
        <f t="array" ref="C2473">IF(B2472="NEW ROUTE",TEXTSPLIT(B2473,","),"")</f>
        <v/>
      </c>
      <c r="H2473" s="1" t="str">
        <f t="shared" ref="H2473:I2473" si="2475">IF(C2473&lt;&gt;"",DEC2HEX(C2473,2),"")</f>
        <v/>
      </c>
      <c r="I2473" s="1" t="str">
        <f t="shared" si="2475"/>
        <v/>
      </c>
      <c r="J2473" s="1" t="str">
        <f t="shared" si="3"/>
        <v/>
      </c>
      <c r="L2473" s="1" t="s">
        <v>3430</v>
      </c>
      <c r="M2473" s="1" t="str">
        <f t="shared" si="4"/>
        <v>42, 46, TENTACATE</v>
      </c>
    </row>
    <row r="2474" ht="12.75" customHeight="1">
      <c r="A2474" s="3" t="s">
        <v>3025</v>
      </c>
      <c r="B2474" s="3" t="str">
        <f t="shared" si="1"/>
        <v>42, 46, LAPRAS</v>
      </c>
      <c r="C2474" s="1" t="str">
        <f t="array" ref="C2474">IF(B2473="NEW ROUTE",TEXTSPLIT(B2474,","),"")</f>
        <v/>
      </c>
      <c r="H2474" s="1" t="str">
        <f t="shared" ref="H2474:I2474" si="2476">IF(C2474&lt;&gt;"",DEC2HEX(C2474,2),"")</f>
        <v/>
      </c>
      <c r="I2474" s="1" t="str">
        <f t="shared" si="2476"/>
        <v/>
      </c>
      <c r="J2474" s="1" t="str">
        <f t="shared" si="3"/>
        <v/>
      </c>
      <c r="L2474" s="1" t="s">
        <v>3025</v>
      </c>
      <c r="M2474" s="1" t="str">
        <f t="shared" si="4"/>
        <v>42, 46, LAPRAS</v>
      </c>
    </row>
    <row r="2475" ht="12.75" customHeight="1">
      <c r="A2475" s="3" t="s">
        <v>3450</v>
      </c>
      <c r="B2475" s="3" t="str">
        <f t="shared" si="1"/>
        <v>44, 48, LOCHLASS</v>
      </c>
      <c r="C2475" s="1" t="str">
        <f t="array" ref="C2475">IF(B2474="NEW ROUTE",TEXTSPLIT(B2475,","),"")</f>
        <v/>
      </c>
      <c r="H2475" s="1" t="str">
        <f t="shared" ref="H2475:I2475" si="2477">IF(C2475&lt;&gt;"",DEC2HEX(C2475,2),"")</f>
        <v/>
      </c>
      <c r="I2475" s="1" t="str">
        <f t="shared" si="2477"/>
        <v/>
      </c>
      <c r="J2475" s="1" t="str">
        <f t="shared" si="3"/>
        <v/>
      </c>
      <c r="L2475" s="1" t="s">
        <v>3450</v>
      </c>
      <c r="M2475" s="1" t="str">
        <f t="shared" si="4"/>
        <v>44, 48, LOCHLASS</v>
      </c>
    </row>
    <row r="2476" ht="12.75" customHeight="1">
      <c r="A2476" s="3" t="s">
        <v>2926</v>
      </c>
      <c r="B2476" s="3" t="str">
        <f t="shared" si="1"/>
        <v>20, old rod:</v>
      </c>
      <c r="C2476" s="1" t="str">
        <f t="array" ref="C2476">IF(B2475="NEW ROUTE",TEXTSPLIT(B2476,","),"")</f>
        <v/>
      </c>
      <c r="H2476" s="1" t="str">
        <f t="shared" ref="H2476:I2476" si="2478">IF(C2476&lt;&gt;"",DEC2HEX(C2476,2),"")</f>
        <v/>
      </c>
      <c r="I2476" s="1" t="str">
        <f t="shared" si="2478"/>
        <v/>
      </c>
      <c r="J2476" s="1" t="str">
        <f t="shared" si="3"/>
        <v/>
      </c>
      <c r="L2476" s="1" t="s">
        <v>2926</v>
      </c>
      <c r="M2476" s="1" t="str">
        <f t="shared" si="4"/>
        <v>20, old rod:</v>
      </c>
    </row>
    <row r="2477" ht="12.75" customHeight="1">
      <c r="A2477" s="3" t="s">
        <v>1159</v>
      </c>
      <c r="B2477" s="3" t="str">
        <f t="shared" si="1"/>
        <v>19, 26, PSYDUCK</v>
      </c>
      <c r="C2477" s="1" t="str">
        <f t="array" ref="C2477">IF(B2476="NEW ROUTE",TEXTSPLIT(B2477,","),"")</f>
        <v/>
      </c>
      <c r="H2477" s="1" t="str">
        <f t="shared" ref="H2477:I2477" si="2479">IF(C2477&lt;&gt;"",DEC2HEX(C2477,2),"")</f>
        <v/>
      </c>
      <c r="I2477" s="1" t="str">
        <f t="shared" si="2479"/>
        <v/>
      </c>
      <c r="J2477" s="1" t="str">
        <f t="shared" si="3"/>
        <v/>
      </c>
      <c r="L2477" s="1" t="s">
        <v>1159</v>
      </c>
      <c r="M2477" s="1" t="str">
        <f t="shared" si="4"/>
        <v>19, 26, PSYDUCK</v>
      </c>
    </row>
    <row r="2478" ht="12.75" customHeight="1">
      <c r="A2478" s="3" t="s">
        <v>602</v>
      </c>
      <c r="B2478" s="3" t="str">
        <f t="shared" si="1"/>
        <v>19, 26, HORSEA</v>
      </c>
      <c r="C2478" s="1" t="str">
        <f t="array" ref="C2478">IF(B2477="NEW ROUTE",TEXTSPLIT(B2478,","),"")</f>
        <v/>
      </c>
      <c r="H2478" s="1" t="str">
        <f t="shared" ref="H2478:I2478" si="2480">IF(C2478&lt;&gt;"",DEC2HEX(C2478,2),"")</f>
        <v/>
      </c>
      <c r="I2478" s="1" t="str">
        <f t="shared" si="2480"/>
        <v/>
      </c>
      <c r="J2478" s="1" t="str">
        <f t="shared" si="3"/>
        <v/>
      </c>
      <c r="L2478" s="1" t="s">
        <v>602</v>
      </c>
      <c r="M2478" s="1" t="str">
        <f t="shared" si="4"/>
        <v>19, 26, HORSEA</v>
      </c>
    </row>
    <row r="2479" ht="12.75" customHeight="1">
      <c r="A2479" s="3" t="s">
        <v>2847</v>
      </c>
      <c r="B2479" s="3" t="str">
        <f t="shared" si="1"/>
        <v>good rod:</v>
      </c>
      <c r="C2479" s="1" t="str">
        <f t="array" ref="C2479">IF(B2478="NEW ROUTE",TEXTSPLIT(B2479,","),"")</f>
        <v/>
      </c>
      <c r="H2479" s="1" t="str">
        <f t="shared" ref="H2479:I2479" si="2481">IF(C2479&lt;&gt;"",DEC2HEX(C2479,2),"")</f>
        <v/>
      </c>
      <c r="I2479" s="1" t="str">
        <f t="shared" si="2481"/>
        <v/>
      </c>
      <c r="J2479" s="1" t="str">
        <f t="shared" si="3"/>
        <v/>
      </c>
      <c r="L2479" s="1" t="s">
        <v>2847</v>
      </c>
      <c r="M2479" s="1" t="str">
        <f t="shared" si="4"/>
        <v>good rod:</v>
      </c>
    </row>
    <row r="2480" ht="12.75" customHeight="1">
      <c r="A2480" s="3" t="s">
        <v>3027</v>
      </c>
      <c r="B2480" s="3" t="str">
        <f t="shared" si="1"/>
        <v>29, 33, SEADRA</v>
      </c>
      <c r="C2480" s="1" t="str">
        <f t="array" ref="C2480">IF(B2479="NEW ROUTE",TEXTSPLIT(B2480,","),"")</f>
        <v/>
      </c>
      <c r="H2480" s="1" t="str">
        <f t="shared" ref="H2480:I2480" si="2482">IF(C2480&lt;&gt;"",DEC2HEX(C2480,2),"")</f>
        <v/>
      </c>
      <c r="I2480" s="1" t="str">
        <f t="shared" si="2482"/>
        <v/>
      </c>
      <c r="J2480" s="1" t="str">
        <f t="shared" si="3"/>
        <v/>
      </c>
      <c r="L2480" s="1" t="s">
        <v>3027</v>
      </c>
      <c r="M2480" s="1" t="str">
        <f t="shared" si="4"/>
        <v>29, 33, SEADRA</v>
      </c>
    </row>
    <row r="2481" ht="12.75" customHeight="1">
      <c r="A2481" s="3" t="s">
        <v>3028</v>
      </c>
      <c r="B2481" s="3" t="str">
        <f t="shared" si="1"/>
        <v>30, 35, KRABBY</v>
      </c>
      <c r="C2481" s="1" t="str">
        <f t="array" ref="C2481">IF(B2480="NEW ROUTE",TEXTSPLIT(B2481,","),"")</f>
        <v/>
      </c>
      <c r="H2481" s="1" t="str">
        <f t="shared" ref="H2481:I2481" si="2483">IF(C2481&lt;&gt;"",DEC2HEX(C2481,2),"")</f>
        <v/>
      </c>
      <c r="I2481" s="1" t="str">
        <f t="shared" si="2483"/>
        <v/>
      </c>
      <c r="J2481" s="1" t="str">
        <f t="shared" si="3"/>
        <v/>
      </c>
      <c r="L2481" s="1" t="s">
        <v>3028</v>
      </c>
      <c r="M2481" s="1" t="str">
        <f t="shared" si="4"/>
        <v>30, 35, KRABBY</v>
      </c>
    </row>
    <row r="2482" ht="12.75" customHeight="1">
      <c r="A2482" s="3" t="s">
        <v>3029</v>
      </c>
      <c r="B2482" s="3" t="str">
        <f t="shared" si="1"/>
        <v>30, 35, GOLDUCK</v>
      </c>
      <c r="C2482" s="1" t="str">
        <f t="array" ref="C2482">IF(B2481="NEW ROUTE",TEXTSPLIT(B2482,","),"")</f>
        <v/>
      </c>
      <c r="H2482" s="1" t="str">
        <f t="shared" ref="H2482:I2482" si="2484">IF(C2482&lt;&gt;"",DEC2HEX(C2482,2),"")</f>
        <v/>
      </c>
      <c r="I2482" s="1" t="str">
        <f t="shared" si="2484"/>
        <v/>
      </c>
      <c r="J2482" s="1" t="str">
        <f t="shared" si="3"/>
        <v/>
      </c>
      <c r="L2482" s="1" t="s">
        <v>3029</v>
      </c>
      <c r="M2482" s="1" t="str">
        <f t="shared" si="4"/>
        <v>30, 35, GOLDUCK</v>
      </c>
    </row>
    <row r="2483" ht="12.75" customHeight="1">
      <c r="A2483" s="3" t="s">
        <v>2851</v>
      </c>
      <c r="B2483" s="3" t="str">
        <f t="shared" si="1"/>
        <v>super rod:</v>
      </c>
      <c r="C2483" s="1" t="str">
        <f t="array" ref="C2483">IF(B2482="NEW ROUTE",TEXTSPLIT(B2483,","),"")</f>
        <v/>
      </c>
      <c r="H2483" s="1" t="str">
        <f t="shared" ref="H2483:I2483" si="2485">IF(C2483&lt;&gt;"",DEC2HEX(C2483,2),"")</f>
        <v/>
      </c>
      <c r="I2483" s="1" t="str">
        <f t="shared" si="2485"/>
        <v/>
      </c>
      <c r="J2483" s="1" t="str">
        <f t="shared" si="3"/>
        <v/>
      </c>
      <c r="L2483" s="1" t="s">
        <v>2851</v>
      </c>
      <c r="M2483" s="1" t="str">
        <f t="shared" si="4"/>
        <v>super rod:</v>
      </c>
    </row>
    <row r="2484" ht="12.75" customHeight="1">
      <c r="A2484" s="3" t="s">
        <v>3030</v>
      </c>
      <c r="B2484" s="3" t="str">
        <f t="shared" si="1"/>
        <v>36, 40, KINGDRA</v>
      </c>
      <c r="C2484" s="1" t="str">
        <f t="array" ref="C2484">IF(B2483="NEW ROUTE",TEXTSPLIT(B2484,","),"")</f>
        <v/>
      </c>
      <c r="H2484" s="1" t="str">
        <f t="shared" ref="H2484:I2484" si="2486">IF(C2484&lt;&gt;"",DEC2HEX(C2484,2),"")</f>
        <v/>
      </c>
      <c r="I2484" s="1" t="str">
        <f t="shared" si="2486"/>
        <v/>
      </c>
      <c r="J2484" s="1" t="str">
        <f t="shared" si="3"/>
        <v/>
      </c>
      <c r="L2484" s="1" t="s">
        <v>3030</v>
      </c>
      <c r="M2484" s="1" t="str">
        <f t="shared" si="4"/>
        <v>36, 40, KINGDRA</v>
      </c>
    </row>
    <row r="2485" ht="12.75" customHeight="1">
      <c r="A2485" s="3" t="s">
        <v>3528</v>
      </c>
      <c r="B2485" s="3" t="str">
        <f t="shared" si="1"/>
        <v>36, 40, KINGLER</v>
      </c>
      <c r="C2485" s="1" t="str">
        <f t="array" ref="C2485">IF(B2484="NEW ROUTE",TEXTSPLIT(B2485,","),"")</f>
        <v/>
      </c>
      <c r="H2485" s="1" t="str">
        <f t="shared" ref="H2485:I2485" si="2487">IF(C2485&lt;&gt;"",DEC2HEX(C2485,2),"")</f>
        <v/>
      </c>
      <c r="I2485" s="1" t="str">
        <f t="shared" si="2487"/>
        <v/>
      </c>
      <c r="J2485" s="1" t="str">
        <f t="shared" si="3"/>
        <v/>
      </c>
      <c r="L2485" s="1" t="s">
        <v>3528</v>
      </c>
      <c r="M2485" s="1" t="str">
        <f t="shared" si="4"/>
        <v>36, 40, KINGLER</v>
      </c>
    </row>
    <row r="2486" ht="12.75" customHeight="1">
      <c r="A2486" s="3" t="s">
        <v>3032</v>
      </c>
      <c r="B2486" s="3" t="str">
        <f t="shared" si="1"/>
        <v>38, 42, GILDUCK</v>
      </c>
      <c r="C2486" s="1" t="str">
        <f t="array" ref="C2486">IF(B2485="NEW ROUTE",TEXTSPLIT(B2486,","),"")</f>
        <v/>
      </c>
      <c r="H2486" s="1" t="str">
        <f t="shared" ref="H2486:I2486" si="2488">IF(C2486&lt;&gt;"",DEC2HEX(C2486,2),"")</f>
        <v/>
      </c>
      <c r="I2486" s="1" t="str">
        <f t="shared" si="2488"/>
        <v/>
      </c>
      <c r="J2486" s="1" t="str">
        <f t="shared" si="3"/>
        <v/>
      </c>
      <c r="L2486" s="1" t="s">
        <v>3032</v>
      </c>
      <c r="M2486" s="1" t="str">
        <f t="shared" si="4"/>
        <v>38, 42, GILDUCK</v>
      </c>
    </row>
    <row r="2487" ht="12.75" customHeight="1">
      <c r="A2487" s="3" t="s">
        <v>3033</v>
      </c>
      <c r="B2487" s="3" t="str">
        <f t="shared" si="1"/>
        <v>38, 42, KRAKLAW</v>
      </c>
      <c r="C2487" s="1" t="str">
        <f t="array" ref="C2487">IF(B2486="NEW ROUTE",TEXTSPLIT(B2487,","),"")</f>
        <v/>
      </c>
      <c r="H2487" s="1" t="str">
        <f t="shared" ref="H2487:I2487" si="2489">IF(C2487&lt;&gt;"",DEC2HEX(C2487,2),"")</f>
        <v/>
      </c>
      <c r="I2487" s="1" t="str">
        <f t="shared" si="2489"/>
        <v/>
      </c>
      <c r="J2487" s="1" t="str">
        <f t="shared" si="3"/>
        <v/>
      </c>
      <c r="L2487" s="1" t="s">
        <v>3033</v>
      </c>
      <c r="M2487" s="1" t="str">
        <f t="shared" si="4"/>
        <v>38, 42, KRAKLAW</v>
      </c>
    </row>
    <row r="2488" ht="12.75" customHeight="1">
      <c r="A2488" s="3" t="s">
        <v>3034</v>
      </c>
      <c r="B2488" s="3" t="str">
        <f t="shared" si="1"/>
        <v>40, 44, LORDRA</v>
      </c>
      <c r="C2488" s="1" t="str">
        <f t="array" ref="C2488">IF(B2487="NEW ROUTE",TEXTSPLIT(B2488,","),"")</f>
        <v/>
      </c>
      <c r="H2488" s="1" t="str">
        <f t="shared" ref="H2488:I2488" si="2490">IF(C2488&lt;&gt;"",DEC2HEX(C2488,2),"")</f>
        <v/>
      </c>
      <c r="I2488" s="1" t="str">
        <f t="shared" si="2490"/>
        <v/>
      </c>
      <c r="J2488" s="1" t="str">
        <f t="shared" si="3"/>
        <v/>
      </c>
      <c r="L2488" s="1" t="s">
        <v>3034</v>
      </c>
      <c r="M2488" s="1" t="str">
        <f t="shared" si="4"/>
        <v>40, 44, LORDRA</v>
      </c>
    </row>
    <row r="2489" ht="12.75" customHeight="1">
      <c r="A2489" s="3" t="s">
        <v>2539</v>
      </c>
      <c r="B2489" s="3" t="str">
        <f t="shared" si="1"/>
        <v>NEW ROUTE</v>
      </c>
      <c r="C2489" s="1" t="str">
        <f t="array" ref="C2489">IF(B2488="NEW ROUTE",TEXTSPLIT(B2489,","),"")</f>
        <v/>
      </c>
      <c r="H2489" s="1" t="str">
        <f t="shared" ref="H2489:I2489" si="2491">IF(C2489&lt;&gt;"",DEC2HEX(C2489,2),"")</f>
        <v/>
      </c>
      <c r="I2489" s="1" t="str">
        <f t="shared" si="2491"/>
        <v/>
      </c>
      <c r="J2489" s="1" t="str">
        <f t="shared" si="3"/>
        <v/>
      </c>
      <c r="L2489" s="1" t="s">
        <v>2539</v>
      </c>
      <c r="M2489" s="1" t="str">
        <f t="shared" si="4"/>
        <v>NEW ROUTE</v>
      </c>
    </row>
    <row r="2490" ht="12.75" customHeight="1">
      <c r="A2490" s="3" t="s">
        <v>3543</v>
      </c>
      <c r="B2490" s="3" t="str">
        <f t="shared" si="1"/>
        <v>3, 41, 0,</v>
      </c>
      <c r="C2490" s="1" t="str">
        <f t="array" ref="C2490">IF(B2489="NEW ROUTE",TEXTSPLIT(B2490,","),"")</f>
        <v>#NAME?</v>
      </c>
      <c r="H2490" s="1" t="str">
        <f t="shared" ref="H2490:I2490" si="2492">IF(C2490&lt;&gt;"",DEC2HEX(C2490,2),"")</f>
        <v>#NAME?</v>
      </c>
      <c r="I2490" s="1" t="str">
        <f t="shared" si="2492"/>
        <v/>
      </c>
      <c r="J2490" s="1" t="str">
        <f t="shared" si="3"/>
        <v>#NAME?</v>
      </c>
      <c r="L2490" s="1" t="s">
        <v>3543</v>
      </c>
      <c r="M2490" s="1" t="str">
        <f t="shared" si="4"/>
        <v>#NAME?</v>
      </c>
    </row>
    <row r="2491" ht="12.75" customHeight="1">
      <c r="A2491" s="3" t="s">
        <v>2909</v>
      </c>
      <c r="B2491" s="3" t="str">
        <f t="shared" si="1"/>
        <v>20%</v>
      </c>
      <c r="C2491" s="1" t="str">
        <f t="array" ref="C2491">IF(B2490="NEW ROUTE",TEXTSPLIT(B2491,","),"")</f>
        <v/>
      </c>
      <c r="H2491" s="1" t="str">
        <f t="shared" ref="H2491:I2491" si="2493">IF(C2491&lt;&gt;"",DEC2HEX(C2491,2),"")</f>
        <v/>
      </c>
      <c r="I2491" s="1" t="str">
        <f t="shared" si="2493"/>
        <v/>
      </c>
      <c r="J2491" s="1" t="str">
        <f t="shared" si="3"/>
        <v/>
      </c>
      <c r="L2491" s="1" t="s">
        <v>2799</v>
      </c>
      <c r="M2491" s="1" t="str">
        <f t="shared" si="4"/>
        <v>20%</v>
      </c>
    </row>
    <row r="2492" ht="12.75" customHeight="1">
      <c r="A2492" s="3" t="s">
        <v>1178</v>
      </c>
      <c r="B2492" s="3" t="str">
        <f t="shared" si="1"/>
        <v>2, 3, RATTATA</v>
      </c>
      <c r="C2492" s="1" t="str">
        <f t="array" ref="C2492">IF(B2491="NEW ROUTE",TEXTSPLIT(B2492,","),"")</f>
        <v/>
      </c>
      <c r="H2492" s="1" t="str">
        <f t="shared" ref="H2492:I2492" si="2494">IF(C2492&lt;&gt;"",DEC2HEX(C2492,2),"")</f>
        <v/>
      </c>
      <c r="I2492" s="1" t="str">
        <f t="shared" si="2494"/>
        <v/>
      </c>
      <c r="J2492" s="1" t="str">
        <f t="shared" si="3"/>
        <v/>
      </c>
      <c r="L2492" s="1" t="s">
        <v>1178</v>
      </c>
      <c r="M2492" s="1" t="str">
        <f t="shared" si="4"/>
        <v>2, 3, RATTATA</v>
      </c>
    </row>
    <row r="2493" ht="12.75" customHeight="1">
      <c r="A2493" s="3" t="s">
        <v>3544</v>
      </c>
      <c r="B2493" s="3" t="str">
        <f t="shared" si="1"/>
        <v>4, 5, RATTATA</v>
      </c>
      <c r="C2493" s="1" t="str">
        <f t="array" ref="C2493">IF(B2492="NEW ROUTE",TEXTSPLIT(B2493,","),"")</f>
        <v/>
      </c>
      <c r="H2493" s="1" t="str">
        <f t="shared" ref="H2493:I2493" si="2495">IF(C2493&lt;&gt;"",DEC2HEX(C2493,2),"")</f>
        <v/>
      </c>
      <c r="I2493" s="1" t="str">
        <f t="shared" si="2495"/>
        <v/>
      </c>
      <c r="J2493" s="1" t="str">
        <f t="shared" si="3"/>
        <v/>
      </c>
      <c r="L2493" s="1" t="s">
        <v>3544</v>
      </c>
      <c r="M2493" s="1" t="str">
        <f t="shared" si="4"/>
        <v>4, 5, RATTATA</v>
      </c>
    </row>
    <row r="2494" ht="12.75" customHeight="1">
      <c r="A2494" s="3" t="s">
        <v>2802</v>
      </c>
      <c r="B2494" s="3" t="str">
        <f t="shared" si="1"/>
        <v>0.1</v>
      </c>
      <c r="C2494" s="1" t="str">
        <f t="array" ref="C2494">IF(B2493="NEW ROUTE",TEXTSPLIT(B2494,","),"")</f>
        <v/>
      </c>
      <c r="H2494" s="1" t="str">
        <f t="shared" ref="H2494:I2494" si="2496">IF(C2494&lt;&gt;"",DEC2HEX(C2494,2),"")</f>
        <v/>
      </c>
      <c r="I2494" s="1" t="str">
        <f t="shared" si="2496"/>
        <v/>
      </c>
      <c r="J2494" s="1" t="str">
        <f t="shared" si="3"/>
        <v/>
      </c>
      <c r="L2494" s="1" t="s">
        <v>2802</v>
      </c>
      <c r="M2494" s="1" t="str">
        <f t="shared" si="4"/>
        <v>0.1</v>
      </c>
    </row>
    <row r="2495" ht="12.75" customHeight="1">
      <c r="A2495" s="3" t="s">
        <v>3545</v>
      </c>
      <c r="B2495" s="3" t="str">
        <f t="shared" si="1"/>
        <v>2, 3, MEOWTH</v>
      </c>
      <c r="C2495" s="1" t="str">
        <f t="array" ref="C2495">IF(B2494="NEW ROUTE",TEXTSPLIT(B2495,","),"")</f>
        <v/>
      </c>
      <c r="H2495" s="1" t="str">
        <f t="shared" ref="H2495:I2495" si="2497">IF(C2495&lt;&gt;"",DEC2HEX(C2495,2),"")</f>
        <v/>
      </c>
      <c r="I2495" s="1" t="str">
        <f t="shared" si="2497"/>
        <v/>
      </c>
      <c r="J2495" s="1" t="str">
        <f t="shared" si="3"/>
        <v/>
      </c>
      <c r="L2495" s="1" t="s">
        <v>3545</v>
      </c>
      <c r="M2495" s="1" t="str">
        <f t="shared" si="4"/>
        <v>2, 3, MEOWTH</v>
      </c>
    </row>
    <row r="2496" ht="12.75" customHeight="1">
      <c r="A2496" s="3" t="s">
        <v>3546</v>
      </c>
      <c r="B2496" s="3" t="str">
        <f t="shared" si="1"/>
        <v>4, 5, MEOWTH</v>
      </c>
      <c r="C2496" s="1" t="str">
        <f t="array" ref="C2496">IF(B2495="NEW ROUTE",TEXTSPLIT(B2496,","),"")</f>
        <v/>
      </c>
      <c r="H2496" s="1" t="str">
        <f t="shared" ref="H2496:I2496" si="2498">IF(C2496&lt;&gt;"",DEC2HEX(C2496,2),"")</f>
        <v/>
      </c>
      <c r="I2496" s="1" t="str">
        <f t="shared" si="2498"/>
        <v/>
      </c>
      <c r="J2496" s="1" t="str">
        <f t="shared" si="3"/>
        <v/>
      </c>
      <c r="L2496" s="1" t="s">
        <v>3546</v>
      </c>
      <c r="M2496" s="1" t="str">
        <f t="shared" si="4"/>
        <v>4, 5, MEOWTH</v>
      </c>
    </row>
    <row r="2497" ht="12.75" customHeight="1">
      <c r="A2497" s="3" t="s">
        <v>3547</v>
      </c>
      <c r="B2497" s="3" t="str">
        <f t="shared" si="1"/>
        <v>2, 3, SPEAROW</v>
      </c>
      <c r="C2497" s="1" t="str">
        <f t="array" ref="C2497">IF(B2496="NEW ROUTE",TEXTSPLIT(B2497,","),"")</f>
        <v/>
      </c>
      <c r="H2497" s="1" t="str">
        <f t="shared" ref="H2497:I2497" si="2499">IF(C2497&lt;&gt;"",DEC2HEX(C2497,2),"")</f>
        <v/>
      </c>
      <c r="I2497" s="1" t="str">
        <f t="shared" si="2499"/>
        <v/>
      </c>
      <c r="J2497" s="1" t="str">
        <f t="shared" si="3"/>
        <v/>
      </c>
      <c r="L2497" s="1" t="s">
        <v>3547</v>
      </c>
      <c r="M2497" s="1" t="str">
        <f t="shared" si="4"/>
        <v>2, 3, SPEAROW</v>
      </c>
    </row>
    <row r="2498" ht="12.75" customHeight="1">
      <c r="A2498" s="3" t="s">
        <v>3548</v>
      </c>
      <c r="B2498" s="3" t="str">
        <f t="shared" si="1"/>
        <v>4, 5, SPEAROW</v>
      </c>
      <c r="C2498" s="1" t="str">
        <f t="array" ref="C2498">IF(B2497="NEW ROUTE",TEXTSPLIT(B2498,","),"")</f>
        <v/>
      </c>
      <c r="H2498" s="1" t="str">
        <f t="shared" ref="H2498:I2498" si="2500">IF(C2498&lt;&gt;"",DEC2HEX(C2498,2),"")</f>
        <v/>
      </c>
      <c r="I2498" s="1" t="str">
        <f t="shared" si="2500"/>
        <v/>
      </c>
      <c r="J2498" s="1" t="str">
        <f t="shared" si="3"/>
        <v/>
      </c>
      <c r="L2498" s="1" t="s">
        <v>3548</v>
      </c>
      <c r="M2498" s="1" t="str">
        <f t="shared" si="4"/>
        <v>4, 5, SPEAROW</v>
      </c>
    </row>
    <row r="2499" ht="12.75" customHeight="1">
      <c r="A2499" s="3" t="s">
        <v>2807</v>
      </c>
      <c r="B2499" s="3" t="str">
        <f t="shared" si="1"/>
        <v>0.05</v>
      </c>
      <c r="C2499" s="1" t="str">
        <f t="array" ref="C2499">IF(B2498="NEW ROUTE",TEXTSPLIT(B2499,","),"")</f>
        <v/>
      </c>
      <c r="H2499" s="1" t="str">
        <f t="shared" ref="H2499:I2499" si="2501">IF(C2499&lt;&gt;"",DEC2HEX(C2499,2),"")</f>
        <v/>
      </c>
      <c r="I2499" s="1" t="str">
        <f t="shared" si="2501"/>
        <v/>
      </c>
      <c r="J2499" s="1" t="str">
        <f t="shared" si="3"/>
        <v/>
      </c>
      <c r="L2499" s="1" t="s">
        <v>2807</v>
      </c>
      <c r="M2499" s="1" t="str">
        <f t="shared" si="4"/>
        <v>0.05</v>
      </c>
    </row>
    <row r="2500" ht="12.75" customHeight="1">
      <c r="A2500" s="3" t="s">
        <v>3549</v>
      </c>
      <c r="B2500" s="3" t="str">
        <f t="shared" si="1"/>
        <v>2, 3, GROWLITHE</v>
      </c>
      <c r="C2500" s="1" t="str">
        <f t="array" ref="C2500">IF(B2499="NEW ROUTE",TEXTSPLIT(B2500,","),"")</f>
        <v/>
      </c>
      <c r="H2500" s="1" t="str">
        <f t="shared" ref="H2500:I2500" si="2502">IF(C2500&lt;&gt;"",DEC2HEX(C2500,2),"")</f>
        <v/>
      </c>
      <c r="I2500" s="1" t="str">
        <f t="shared" si="2502"/>
        <v/>
      </c>
      <c r="J2500" s="1" t="str">
        <f t="shared" si="3"/>
        <v/>
      </c>
      <c r="L2500" s="1" t="s">
        <v>3549</v>
      </c>
      <c r="M2500" s="1" t="str">
        <f t="shared" si="4"/>
        <v>2, 3, GROWLITHE</v>
      </c>
    </row>
    <row r="2501" ht="12.75" customHeight="1">
      <c r="A2501" s="3" t="s">
        <v>3550</v>
      </c>
      <c r="B2501" s="3" t="str">
        <f t="shared" si="1"/>
        <v>4, 5, GROWLITHE</v>
      </c>
      <c r="C2501" s="1" t="str">
        <f t="array" ref="C2501">IF(B2500="NEW ROUTE",TEXTSPLIT(B2501,","),"")</f>
        <v/>
      </c>
      <c r="H2501" s="1" t="str">
        <f t="shared" ref="H2501:I2501" si="2503">IF(C2501&lt;&gt;"",DEC2HEX(C2501,2),"")</f>
        <v/>
      </c>
      <c r="I2501" s="1" t="str">
        <f t="shared" si="2503"/>
        <v/>
      </c>
      <c r="J2501" s="1" t="str">
        <f t="shared" si="3"/>
        <v/>
      </c>
      <c r="L2501" s="1" t="s">
        <v>3550</v>
      </c>
      <c r="M2501" s="1" t="str">
        <f t="shared" si="4"/>
        <v>4, 5, GROWLITHE</v>
      </c>
    </row>
    <row r="2502" ht="12.75" customHeight="1">
      <c r="A2502" s="3" t="s">
        <v>2810</v>
      </c>
      <c r="B2502" s="3" t="str">
        <f t="shared" si="1"/>
        <v>0.04</v>
      </c>
      <c r="C2502" s="1" t="str">
        <f t="array" ref="C2502">IF(B2501="NEW ROUTE",TEXTSPLIT(B2502,","),"")</f>
        <v/>
      </c>
      <c r="H2502" s="1" t="str">
        <f t="shared" ref="H2502:I2502" si="2504">IF(C2502&lt;&gt;"",DEC2HEX(C2502,2),"")</f>
        <v/>
      </c>
      <c r="I2502" s="1" t="str">
        <f t="shared" si="2504"/>
        <v/>
      </c>
      <c r="J2502" s="1" t="str">
        <f t="shared" si="3"/>
        <v/>
      </c>
      <c r="L2502" s="1" t="s">
        <v>2810</v>
      </c>
      <c r="M2502" s="1" t="str">
        <f t="shared" si="4"/>
        <v>0.04</v>
      </c>
    </row>
    <row r="2503" ht="12.75" customHeight="1">
      <c r="A2503" s="3" t="s">
        <v>3551</v>
      </c>
      <c r="B2503" s="3" t="str">
        <f t="shared" si="1"/>
        <v>2, 5, ABRA</v>
      </c>
      <c r="C2503" s="1" t="str">
        <f t="array" ref="C2503">IF(B2502="NEW ROUTE",TEXTSPLIT(B2503,","),"")</f>
        <v/>
      </c>
      <c r="H2503" s="1" t="str">
        <f t="shared" ref="H2503:I2503" si="2505">IF(C2503&lt;&gt;"",DEC2HEX(C2503,2),"")</f>
        <v/>
      </c>
      <c r="I2503" s="1" t="str">
        <f t="shared" si="2505"/>
        <v/>
      </c>
      <c r="J2503" s="1" t="str">
        <f t="shared" si="3"/>
        <v/>
      </c>
      <c r="L2503" s="1" t="s">
        <v>3551</v>
      </c>
      <c r="M2503" s="1" t="str">
        <f t="shared" si="4"/>
        <v>2, 5, ABRA</v>
      </c>
    </row>
    <row r="2504" ht="12.75" customHeight="1">
      <c r="A2504" s="3" t="s">
        <v>3552</v>
      </c>
      <c r="B2504" s="3" t="str">
        <f t="shared" si="1"/>
        <v>2, 5, KANGAKID</v>
      </c>
      <c r="C2504" s="1" t="str">
        <f t="array" ref="C2504">IF(B2503="NEW ROUTE",TEXTSPLIT(B2504,","),"")</f>
        <v/>
      </c>
      <c r="H2504" s="1" t="str">
        <f t="shared" ref="H2504:I2504" si="2506">IF(C2504&lt;&gt;"",DEC2HEX(C2504,2),"")</f>
        <v/>
      </c>
      <c r="I2504" s="1" t="str">
        <f t="shared" si="2506"/>
        <v/>
      </c>
      <c r="J2504" s="1" t="str">
        <f t="shared" si="3"/>
        <v/>
      </c>
      <c r="L2504" s="1" t="s">
        <v>3552</v>
      </c>
      <c r="M2504" s="1" t="str">
        <f t="shared" si="4"/>
        <v>2, 5, KANGAKID</v>
      </c>
    </row>
    <row r="2505" ht="12.75" customHeight="1">
      <c r="A2505" s="3" t="s">
        <v>2813</v>
      </c>
      <c r="B2505" s="3" t="str">
        <f t="shared" si="1"/>
        <v>0.01</v>
      </c>
      <c r="C2505" s="1" t="str">
        <f t="array" ref="C2505">IF(B2504="NEW ROUTE",TEXTSPLIT(B2505,","),"")</f>
        <v/>
      </c>
      <c r="H2505" s="1" t="str">
        <f t="shared" ref="H2505:I2505" si="2507">IF(C2505&lt;&gt;"",DEC2HEX(C2505,2),"")</f>
        <v/>
      </c>
      <c r="I2505" s="1" t="str">
        <f t="shared" si="2507"/>
        <v/>
      </c>
      <c r="J2505" s="1" t="str">
        <f t="shared" si="3"/>
        <v/>
      </c>
      <c r="L2505" s="1" t="s">
        <v>2813</v>
      </c>
      <c r="M2505" s="1" t="str">
        <f t="shared" si="4"/>
        <v>0.01</v>
      </c>
    </row>
    <row r="2506" ht="12.75" customHeight="1">
      <c r="A2506" s="3" t="s">
        <v>3553</v>
      </c>
      <c r="B2506" s="3" t="str">
        <f t="shared" si="1"/>
        <v>2, 5, EEVEE</v>
      </c>
      <c r="C2506" s="1" t="str">
        <f t="array" ref="C2506">IF(B2505="NEW ROUTE",TEXTSPLIT(B2506,","),"")</f>
        <v/>
      </c>
      <c r="H2506" s="1" t="str">
        <f t="shared" ref="H2506:I2506" si="2508">IF(C2506&lt;&gt;"",DEC2HEX(C2506,2),"")</f>
        <v/>
      </c>
      <c r="I2506" s="1" t="str">
        <f t="shared" si="2508"/>
        <v/>
      </c>
      <c r="J2506" s="1" t="str">
        <f t="shared" si="3"/>
        <v/>
      </c>
      <c r="L2506" s="1" t="s">
        <v>3553</v>
      </c>
      <c r="M2506" s="1" t="str">
        <f t="shared" si="4"/>
        <v>2, 5, EEVEE</v>
      </c>
    </row>
    <row r="2507" ht="12.75" customHeight="1">
      <c r="A2507" s="3" t="s">
        <v>3554</v>
      </c>
      <c r="B2507" s="3" t="str">
        <f t="shared" si="1"/>
        <v>2, 5, SCYTHER</v>
      </c>
      <c r="C2507" s="1" t="str">
        <f t="array" ref="C2507">IF(B2506="NEW ROUTE",TEXTSPLIT(B2507,","),"")</f>
        <v/>
      </c>
      <c r="H2507" s="1" t="str">
        <f t="shared" ref="H2507:I2507" si="2509">IF(C2507&lt;&gt;"",DEC2HEX(C2507,2),"")</f>
        <v/>
      </c>
      <c r="I2507" s="1" t="str">
        <f t="shared" si="2509"/>
        <v/>
      </c>
      <c r="J2507" s="1" t="str">
        <f t="shared" si="3"/>
        <v/>
      </c>
      <c r="L2507" s="1" t="s">
        <v>3554</v>
      </c>
      <c r="M2507" s="1" t="str">
        <f t="shared" si="4"/>
        <v>2, 5, SCYTHER</v>
      </c>
    </row>
    <row r="2508" ht="12.75" customHeight="1">
      <c r="A2508" s="3" t="s">
        <v>3555</v>
      </c>
      <c r="B2508" s="3" t="str">
        <f t="shared" si="1"/>
        <v>2, 40, 44, PSYDUCK</v>
      </c>
      <c r="C2508" s="1" t="str">
        <f t="array" ref="C2508">IF(B2507="NEW ROUTE",TEXTSPLIT(B2508,","),"")</f>
        <v/>
      </c>
      <c r="H2508" s="1" t="str">
        <f t="shared" ref="H2508:I2508" si="2510">IF(C2508&lt;&gt;"",DEC2HEX(C2508,2),"")</f>
        <v/>
      </c>
      <c r="I2508" s="1" t="str">
        <f t="shared" si="2510"/>
        <v/>
      </c>
      <c r="J2508" s="1" t="str">
        <f t="shared" si="3"/>
        <v/>
      </c>
      <c r="L2508" s="1" t="s">
        <v>3555</v>
      </c>
      <c r="M2508" s="1" t="str">
        <f t="shared" si="4"/>
        <v>2, 40, 44, PSYDUCK</v>
      </c>
    </row>
    <row r="2509" ht="12.75" customHeight="1">
      <c r="A2509" s="3" t="s">
        <v>3556</v>
      </c>
      <c r="B2509" s="3" t="str">
        <f t="shared" si="1"/>
        <v>42, 46, SLOWPOKE</v>
      </c>
      <c r="C2509" s="1" t="str">
        <f t="array" ref="C2509">IF(B2508="NEW ROUTE",TEXTSPLIT(B2509,","),"")</f>
        <v/>
      </c>
      <c r="H2509" s="1" t="str">
        <f t="shared" ref="H2509:I2509" si="2511">IF(C2509&lt;&gt;"",DEC2HEX(C2509,2),"")</f>
        <v/>
      </c>
      <c r="I2509" s="1" t="str">
        <f t="shared" si="2511"/>
        <v/>
      </c>
      <c r="J2509" s="1" t="str">
        <f t="shared" si="3"/>
        <v/>
      </c>
      <c r="L2509" s="1" t="s">
        <v>3556</v>
      </c>
      <c r="M2509" s="1" t="str">
        <f t="shared" si="4"/>
        <v>42, 46, SLOWPOKE</v>
      </c>
    </row>
    <row r="2510" ht="12.75" customHeight="1">
      <c r="A2510" s="3" t="s">
        <v>3557</v>
      </c>
      <c r="B2510" s="3" t="str">
        <f t="shared" si="1"/>
        <v>44, 47, GOLDUCK</v>
      </c>
      <c r="C2510" s="1" t="str">
        <f t="array" ref="C2510">IF(B2509="NEW ROUTE",TEXTSPLIT(B2510,","),"")</f>
        <v/>
      </c>
      <c r="H2510" s="1" t="str">
        <f t="shared" ref="H2510:I2510" si="2512">IF(C2510&lt;&gt;"",DEC2HEX(C2510,2),"")</f>
        <v/>
      </c>
      <c r="I2510" s="1" t="str">
        <f t="shared" si="2512"/>
        <v/>
      </c>
      <c r="J2510" s="1" t="str">
        <f t="shared" si="3"/>
        <v/>
      </c>
      <c r="L2510" s="1" t="s">
        <v>3557</v>
      </c>
      <c r="M2510" s="1" t="str">
        <f t="shared" si="4"/>
        <v>44, 47, GOLDUCK</v>
      </c>
    </row>
    <row r="2511" ht="12.75" customHeight="1">
      <c r="A2511" s="3" t="s">
        <v>3558</v>
      </c>
      <c r="B2511" s="3" t="str">
        <f t="shared" si="1"/>
        <v>44, 47, SLOWBRO</v>
      </c>
      <c r="C2511" s="1" t="str">
        <f t="array" ref="C2511">IF(B2510="NEW ROUTE",TEXTSPLIT(B2511,","),"")</f>
        <v/>
      </c>
      <c r="H2511" s="1" t="str">
        <f t="shared" ref="H2511:I2511" si="2513">IF(C2511&lt;&gt;"",DEC2HEX(C2511,2),"")</f>
        <v/>
      </c>
      <c r="I2511" s="1" t="str">
        <f t="shared" si="2513"/>
        <v/>
      </c>
      <c r="J2511" s="1" t="str">
        <f t="shared" si="3"/>
        <v/>
      </c>
      <c r="L2511" s="1" t="s">
        <v>3558</v>
      </c>
      <c r="M2511" s="1" t="str">
        <f t="shared" si="4"/>
        <v>44, 47, SLOWBRO</v>
      </c>
    </row>
    <row r="2512" ht="12.75" customHeight="1">
      <c r="A2512" s="3" t="s">
        <v>3559</v>
      </c>
      <c r="B2512" s="3" t="str">
        <f t="shared" si="1"/>
        <v>45, 50, GILDUCK</v>
      </c>
      <c r="C2512" s="1" t="str">
        <f t="array" ref="C2512">IF(B2511="NEW ROUTE",TEXTSPLIT(B2512,","),"")</f>
        <v/>
      </c>
      <c r="H2512" s="1" t="str">
        <f t="shared" ref="H2512:I2512" si="2514">IF(C2512&lt;&gt;"",DEC2HEX(C2512,2),"")</f>
        <v/>
      </c>
      <c r="I2512" s="1" t="str">
        <f t="shared" si="2514"/>
        <v/>
      </c>
      <c r="J2512" s="1" t="str">
        <f t="shared" si="3"/>
        <v/>
      </c>
      <c r="L2512" s="1" t="s">
        <v>3559</v>
      </c>
      <c r="M2512" s="1" t="str">
        <f t="shared" si="4"/>
        <v>45, 50, GILDUCK</v>
      </c>
    </row>
    <row r="2513" ht="12.75" customHeight="1">
      <c r="A2513" s="3" t="s">
        <v>2926</v>
      </c>
      <c r="B2513" s="3" t="str">
        <f t="shared" si="1"/>
        <v>20, old rod:</v>
      </c>
      <c r="C2513" s="1" t="str">
        <f t="array" ref="C2513">IF(B2512="NEW ROUTE",TEXTSPLIT(B2513,","),"")</f>
        <v/>
      </c>
      <c r="H2513" s="1" t="str">
        <f t="shared" ref="H2513:I2513" si="2515">IF(C2513&lt;&gt;"",DEC2HEX(C2513,2),"")</f>
        <v/>
      </c>
      <c r="I2513" s="1" t="str">
        <f t="shared" si="2515"/>
        <v/>
      </c>
      <c r="J2513" s="1" t="str">
        <f t="shared" si="3"/>
        <v/>
      </c>
      <c r="L2513" s="1" t="s">
        <v>2926</v>
      </c>
      <c r="M2513" s="1" t="str">
        <f t="shared" si="4"/>
        <v>20, old rod:</v>
      </c>
    </row>
    <row r="2514" ht="12.75" customHeight="1">
      <c r="A2514" s="3" t="s">
        <v>500</v>
      </c>
      <c r="B2514" s="3" t="str">
        <f t="shared" si="1"/>
        <v>19, 26, MAGIKARP</v>
      </c>
      <c r="C2514" s="1" t="str">
        <f t="array" ref="C2514">IF(B2513="NEW ROUTE",TEXTSPLIT(B2514,","),"")</f>
        <v/>
      </c>
      <c r="H2514" s="1" t="str">
        <f t="shared" ref="H2514:I2514" si="2516">IF(C2514&lt;&gt;"",DEC2HEX(C2514,2),"")</f>
        <v/>
      </c>
      <c r="I2514" s="1" t="str">
        <f t="shared" si="2516"/>
        <v/>
      </c>
      <c r="J2514" s="1" t="str">
        <f t="shared" si="3"/>
        <v/>
      </c>
      <c r="L2514" s="1" t="s">
        <v>500</v>
      </c>
      <c r="M2514" s="1" t="str">
        <f t="shared" si="4"/>
        <v>19, 26, MAGIKARP</v>
      </c>
    </row>
    <row r="2515" ht="12.75" customHeight="1">
      <c r="A2515" s="3" t="s">
        <v>2927</v>
      </c>
      <c r="B2515" s="3" t="str">
        <f t="shared" si="1"/>
        <v>19, 26, POLIWAG</v>
      </c>
      <c r="C2515" s="1" t="str">
        <f t="array" ref="C2515">IF(B2514="NEW ROUTE",TEXTSPLIT(B2515,","),"")</f>
        <v/>
      </c>
      <c r="H2515" s="1" t="str">
        <f t="shared" ref="H2515:I2515" si="2517">IF(C2515&lt;&gt;"",DEC2HEX(C2515,2),"")</f>
        <v/>
      </c>
      <c r="I2515" s="1" t="str">
        <f t="shared" si="2517"/>
        <v/>
      </c>
      <c r="J2515" s="1" t="str">
        <f t="shared" si="3"/>
        <v/>
      </c>
      <c r="L2515" s="1" t="s">
        <v>2927</v>
      </c>
      <c r="M2515" s="1" t="str">
        <f t="shared" si="4"/>
        <v>19, 26, POLIWAG</v>
      </c>
    </row>
    <row r="2516" ht="12.75" customHeight="1">
      <c r="A2516" s="3" t="s">
        <v>2847</v>
      </c>
      <c r="B2516" s="3" t="str">
        <f t="shared" si="1"/>
        <v>good rod:</v>
      </c>
      <c r="C2516" s="1" t="str">
        <f t="array" ref="C2516">IF(B2515="NEW ROUTE",TEXTSPLIT(B2516,","),"")</f>
        <v/>
      </c>
      <c r="H2516" s="1" t="str">
        <f t="shared" ref="H2516:I2516" si="2518">IF(C2516&lt;&gt;"",DEC2HEX(C2516,2),"")</f>
        <v/>
      </c>
      <c r="I2516" s="1" t="str">
        <f t="shared" si="2518"/>
        <v/>
      </c>
      <c r="J2516" s="1" t="str">
        <f t="shared" si="3"/>
        <v/>
      </c>
      <c r="L2516" s="1" t="s">
        <v>2847</v>
      </c>
      <c r="M2516" s="1" t="str">
        <f t="shared" si="4"/>
        <v>good rod:</v>
      </c>
    </row>
    <row r="2517" ht="12.75" customHeight="1">
      <c r="A2517" s="3" t="s">
        <v>3560</v>
      </c>
      <c r="B2517" s="3" t="str">
        <f t="shared" si="1"/>
        <v>29, 33, MAGIKARP</v>
      </c>
      <c r="C2517" s="1" t="str">
        <f t="array" ref="C2517">IF(B2516="NEW ROUTE",TEXTSPLIT(B2517,","),"")</f>
        <v/>
      </c>
      <c r="H2517" s="1" t="str">
        <f t="shared" ref="H2517:I2517" si="2519">IF(C2517&lt;&gt;"",DEC2HEX(C2517,2),"")</f>
        <v/>
      </c>
      <c r="I2517" s="1" t="str">
        <f t="shared" si="2519"/>
        <v/>
      </c>
      <c r="J2517" s="1" t="str">
        <f t="shared" si="3"/>
        <v/>
      </c>
      <c r="L2517" s="1" t="s">
        <v>3560</v>
      </c>
      <c r="M2517" s="1" t="str">
        <f t="shared" si="4"/>
        <v>29, 33, MAGIKARP</v>
      </c>
    </row>
    <row r="2518" ht="12.75" customHeight="1">
      <c r="A2518" s="3" t="s">
        <v>3561</v>
      </c>
      <c r="B2518" s="3" t="str">
        <f t="shared" si="1"/>
        <v>30, 35, GYARADOS</v>
      </c>
      <c r="C2518" s="1" t="str">
        <f t="array" ref="C2518">IF(B2517="NEW ROUTE",TEXTSPLIT(B2518,","),"")</f>
        <v/>
      </c>
      <c r="H2518" s="1" t="str">
        <f t="shared" ref="H2518:I2518" si="2520">IF(C2518&lt;&gt;"",DEC2HEX(C2518,2),"")</f>
        <v/>
      </c>
      <c r="I2518" s="1" t="str">
        <f t="shared" si="2520"/>
        <v/>
      </c>
      <c r="J2518" s="1" t="str">
        <f t="shared" si="3"/>
        <v/>
      </c>
      <c r="L2518" s="1" t="s">
        <v>3561</v>
      </c>
      <c r="M2518" s="1" t="str">
        <f t="shared" si="4"/>
        <v>30, 35, GYARADOS</v>
      </c>
    </row>
    <row r="2519" ht="12.75" customHeight="1">
      <c r="A2519" s="3" t="s">
        <v>3562</v>
      </c>
      <c r="B2519" s="3" t="str">
        <f t="shared" si="1"/>
        <v>30, 35, POLIWHIRL</v>
      </c>
      <c r="C2519" s="1" t="str">
        <f t="array" ref="C2519">IF(B2518="NEW ROUTE",TEXTSPLIT(B2519,","),"")</f>
        <v/>
      </c>
      <c r="H2519" s="1" t="str">
        <f t="shared" ref="H2519:I2519" si="2521">IF(C2519&lt;&gt;"",DEC2HEX(C2519,2),"")</f>
        <v/>
      </c>
      <c r="I2519" s="1" t="str">
        <f t="shared" si="2521"/>
        <v/>
      </c>
      <c r="J2519" s="1" t="str">
        <f t="shared" si="3"/>
        <v/>
      </c>
      <c r="L2519" s="1" t="s">
        <v>3562</v>
      </c>
      <c r="M2519" s="1" t="str">
        <f t="shared" si="4"/>
        <v>30, 35, POLIWHIRL</v>
      </c>
    </row>
    <row r="2520" ht="12.75" customHeight="1">
      <c r="A2520" s="3" t="s">
        <v>2851</v>
      </c>
      <c r="B2520" s="3" t="str">
        <f t="shared" si="1"/>
        <v>super rod:</v>
      </c>
      <c r="C2520" s="1" t="str">
        <f t="array" ref="C2520">IF(B2519="NEW ROUTE",TEXTSPLIT(B2520,","),"")</f>
        <v/>
      </c>
      <c r="H2520" s="1" t="str">
        <f t="shared" ref="H2520:I2520" si="2522">IF(C2520&lt;&gt;"",DEC2HEX(C2520,2),"")</f>
        <v/>
      </c>
      <c r="I2520" s="1" t="str">
        <f t="shared" si="2522"/>
        <v/>
      </c>
      <c r="J2520" s="1" t="str">
        <f t="shared" si="3"/>
        <v/>
      </c>
      <c r="L2520" s="1" t="s">
        <v>2851</v>
      </c>
      <c r="M2520" s="1" t="str">
        <f t="shared" si="4"/>
        <v>super rod:</v>
      </c>
    </row>
    <row r="2521" ht="12.75" customHeight="1">
      <c r="A2521" s="3" t="s">
        <v>3563</v>
      </c>
      <c r="B2521" s="3" t="str">
        <f t="shared" si="1"/>
        <v>36, 40, MAGIKARP</v>
      </c>
      <c r="C2521" s="1" t="str">
        <f t="array" ref="C2521">IF(B2520="NEW ROUTE",TEXTSPLIT(B2521,","),"")</f>
        <v/>
      </c>
      <c r="H2521" s="1" t="str">
        <f t="shared" ref="H2521:I2521" si="2523">IF(C2521&lt;&gt;"",DEC2HEX(C2521,2),"")</f>
        <v/>
      </c>
      <c r="I2521" s="1" t="str">
        <f t="shared" si="2523"/>
        <v/>
      </c>
      <c r="J2521" s="1" t="str">
        <f t="shared" si="3"/>
        <v/>
      </c>
      <c r="L2521" s="1" t="s">
        <v>3563</v>
      </c>
      <c r="M2521" s="1" t="str">
        <f t="shared" si="4"/>
        <v>36, 40, MAGIKARP</v>
      </c>
    </row>
    <row r="2522" ht="12.75" customHeight="1">
      <c r="A2522" s="3" t="s">
        <v>3357</v>
      </c>
      <c r="B2522" s="3" t="str">
        <f t="shared" si="1"/>
        <v>36, 40, GYARADOS</v>
      </c>
      <c r="C2522" s="1" t="str">
        <f t="array" ref="C2522">IF(B2521="NEW ROUTE",TEXTSPLIT(B2522,","),"")</f>
        <v/>
      </c>
      <c r="H2522" s="1" t="str">
        <f t="shared" ref="H2522:I2522" si="2524">IF(C2522&lt;&gt;"",DEC2HEX(C2522,2),"")</f>
        <v/>
      </c>
      <c r="I2522" s="1" t="str">
        <f t="shared" si="2524"/>
        <v/>
      </c>
      <c r="J2522" s="1" t="str">
        <f t="shared" si="3"/>
        <v/>
      </c>
      <c r="L2522" s="1" t="s">
        <v>3357</v>
      </c>
      <c r="M2522" s="1" t="str">
        <f t="shared" si="4"/>
        <v>36, 40, GYARADOS</v>
      </c>
    </row>
    <row r="2523" ht="12.75" customHeight="1">
      <c r="A2523" s="3" t="s">
        <v>3564</v>
      </c>
      <c r="B2523" s="3" t="str">
        <f t="shared" si="1"/>
        <v>38, 42, POLIWHIRL</v>
      </c>
      <c r="C2523" s="1" t="str">
        <f t="array" ref="C2523">IF(B2522="NEW ROUTE",TEXTSPLIT(B2523,","),"")</f>
        <v/>
      </c>
      <c r="H2523" s="1" t="str">
        <f t="shared" ref="H2523:I2523" si="2525">IF(C2523&lt;&gt;"",DEC2HEX(C2523,2),"")</f>
        <v/>
      </c>
      <c r="I2523" s="1" t="str">
        <f t="shared" si="2525"/>
        <v/>
      </c>
      <c r="J2523" s="1" t="str">
        <f t="shared" si="3"/>
        <v/>
      </c>
      <c r="L2523" s="1" t="s">
        <v>3564</v>
      </c>
      <c r="M2523" s="1" t="str">
        <f t="shared" si="4"/>
        <v>38, 42, POLIWHIRL</v>
      </c>
    </row>
    <row r="2524" ht="12.75" customHeight="1">
      <c r="A2524" s="3" t="s">
        <v>3379</v>
      </c>
      <c r="B2524" s="3" t="str">
        <f t="shared" si="1"/>
        <v>38, 42, POLIWRATH</v>
      </c>
      <c r="C2524" s="1" t="str">
        <f t="array" ref="C2524">IF(B2523="NEW ROUTE",TEXTSPLIT(B2524,","),"")</f>
        <v/>
      </c>
      <c r="H2524" s="1" t="str">
        <f t="shared" ref="H2524:I2524" si="2526">IF(C2524&lt;&gt;"",DEC2HEX(C2524,2),"")</f>
        <v/>
      </c>
      <c r="I2524" s="1" t="str">
        <f t="shared" si="2526"/>
        <v/>
      </c>
      <c r="J2524" s="1" t="str">
        <f t="shared" si="3"/>
        <v/>
      </c>
      <c r="L2524" s="1" t="s">
        <v>3379</v>
      </c>
      <c r="M2524" s="1" t="str">
        <f t="shared" si="4"/>
        <v>38, 42, POLIWRATH</v>
      </c>
    </row>
    <row r="2525" ht="12.75" customHeight="1">
      <c r="A2525" s="3" t="s">
        <v>3380</v>
      </c>
      <c r="B2525" s="3" t="str">
        <f t="shared" si="1"/>
        <v>40, 44, POLITOES</v>
      </c>
      <c r="C2525" s="1" t="str">
        <f t="array" ref="C2525">IF(B2524="NEW ROUTE",TEXTSPLIT(B2525,","),"")</f>
        <v/>
      </c>
      <c r="H2525" s="1" t="str">
        <f t="shared" ref="H2525:I2525" si="2527">IF(C2525&lt;&gt;"",DEC2HEX(C2525,2),"")</f>
        <v/>
      </c>
      <c r="I2525" s="1" t="str">
        <f t="shared" si="2527"/>
        <v/>
      </c>
      <c r="J2525" s="1" t="str">
        <f t="shared" si="3"/>
        <v/>
      </c>
      <c r="L2525" s="1" t="s">
        <v>3380</v>
      </c>
      <c r="M2525" s="1" t="str">
        <f t="shared" si="4"/>
        <v>40, 44, POLITOES</v>
      </c>
    </row>
    <row r="2526" ht="12.75" customHeight="1">
      <c r="A2526" s="3" t="s">
        <v>2539</v>
      </c>
      <c r="B2526" s="3" t="str">
        <f t="shared" si="1"/>
        <v>NEW ROUTE</v>
      </c>
      <c r="C2526" s="1" t="str">
        <f t="array" ref="C2526">IF(B2525="NEW ROUTE",TEXTSPLIT(B2526,","),"")</f>
        <v/>
      </c>
      <c r="H2526" s="1" t="str">
        <f t="shared" ref="H2526:I2526" si="2528">IF(C2526&lt;&gt;"",DEC2HEX(C2526,2),"")</f>
        <v/>
      </c>
      <c r="I2526" s="1" t="str">
        <f t="shared" si="2528"/>
        <v/>
      </c>
      <c r="J2526" s="1" t="str">
        <f t="shared" si="3"/>
        <v/>
      </c>
      <c r="L2526" s="1" t="s">
        <v>2539</v>
      </c>
      <c r="M2526" s="1" t="str">
        <f t="shared" si="4"/>
        <v>NEW ROUTE</v>
      </c>
    </row>
    <row r="2527" ht="12.75" customHeight="1">
      <c r="A2527" s="3" t="s">
        <v>3565</v>
      </c>
      <c r="B2527" s="3" t="str">
        <f t="shared" si="1"/>
        <v>3, 42, 0,</v>
      </c>
      <c r="C2527" s="1" t="str">
        <f t="array" ref="C2527">IF(B2526="NEW ROUTE",TEXTSPLIT(B2527,","),"")</f>
        <v>#NAME?</v>
      </c>
      <c r="H2527" s="1" t="str">
        <f t="shared" ref="H2527:I2527" si="2529">IF(C2527&lt;&gt;"",DEC2HEX(C2527,2),"")</f>
        <v>#NAME?</v>
      </c>
      <c r="I2527" s="1" t="str">
        <f t="shared" si="2529"/>
        <v/>
      </c>
      <c r="J2527" s="1" t="str">
        <f t="shared" si="3"/>
        <v>#NAME?</v>
      </c>
      <c r="L2527" s="1" t="s">
        <v>3565</v>
      </c>
      <c r="M2527" s="1" t="str">
        <f t="shared" si="4"/>
        <v>#NAME?</v>
      </c>
    </row>
    <row r="2528" ht="12.75" customHeight="1">
      <c r="A2528" s="3" t="s">
        <v>2909</v>
      </c>
      <c r="B2528" s="3" t="str">
        <f t="shared" si="1"/>
        <v>20%</v>
      </c>
      <c r="C2528" s="1" t="str">
        <f t="array" ref="C2528">IF(B2527="NEW ROUTE",TEXTSPLIT(B2528,","),"")</f>
        <v/>
      </c>
      <c r="H2528" s="1" t="str">
        <f t="shared" ref="H2528:I2528" si="2530">IF(C2528&lt;&gt;"",DEC2HEX(C2528,2),"")</f>
        <v/>
      </c>
      <c r="I2528" s="1" t="str">
        <f t="shared" si="2530"/>
        <v/>
      </c>
      <c r="J2528" s="1" t="str">
        <f t="shared" si="3"/>
        <v/>
      </c>
      <c r="L2528" s="1" t="s">
        <v>2799</v>
      </c>
      <c r="M2528" s="1" t="str">
        <f t="shared" si="4"/>
        <v>20%</v>
      </c>
    </row>
    <row r="2529" ht="12.75" customHeight="1">
      <c r="A2529" s="3" t="s">
        <v>1200</v>
      </c>
      <c r="B2529" s="3" t="str">
        <f t="shared" si="1"/>
        <v>51, 56, PRIMEAPE</v>
      </c>
      <c r="C2529" s="1" t="str">
        <f t="array" ref="C2529">IF(B2528="NEW ROUTE",TEXTSPLIT(B2529,","),"")</f>
        <v/>
      </c>
      <c r="H2529" s="1" t="str">
        <f t="shared" ref="H2529:I2529" si="2531">IF(C2529&lt;&gt;"",DEC2HEX(C2529,2),"")</f>
        <v/>
      </c>
      <c r="I2529" s="1" t="str">
        <f t="shared" si="2531"/>
        <v/>
      </c>
      <c r="J2529" s="1" t="str">
        <f t="shared" si="3"/>
        <v/>
      </c>
      <c r="L2529" s="1" t="s">
        <v>1200</v>
      </c>
      <c r="M2529" s="1" t="str">
        <f t="shared" si="4"/>
        <v>51, 56, PRIMEAPE</v>
      </c>
    </row>
    <row r="2530" ht="12.75" customHeight="1">
      <c r="A2530" s="3" t="s">
        <v>3566</v>
      </c>
      <c r="B2530" s="3" t="str">
        <f t="shared" si="1"/>
        <v>51, 56, SNEEROW</v>
      </c>
      <c r="C2530" s="1" t="str">
        <f t="array" ref="C2530">IF(B2529="NEW ROUTE",TEXTSPLIT(B2530,","),"")</f>
        <v/>
      </c>
      <c r="H2530" s="1" t="str">
        <f t="shared" ref="H2530:I2530" si="2532">IF(C2530&lt;&gt;"",DEC2HEX(C2530,2),"")</f>
        <v/>
      </c>
      <c r="I2530" s="1" t="str">
        <f t="shared" si="2532"/>
        <v/>
      </c>
      <c r="J2530" s="1" t="str">
        <f t="shared" si="3"/>
        <v/>
      </c>
      <c r="L2530" s="1" t="s">
        <v>3566</v>
      </c>
      <c r="M2530" s="1" t="str">
        <f t="shared" si="4"/>
        <v>51, 56, SNEEROW</v>
      </c>
    </row>
    <row r="2531" ht="12.75" customHeight="1">
      <c r="A2531" s="3" t="s">
        <v>2802</v>
      </c>
      <c r="B2531" s="3" t="str">
        <f t="shared" si="1"/>
        <v>0.1</v>
      </c>
      <c r="C2531" s="1" t="str">
        <f t="array" ref="C2531">IF(B2530="NEW ROUTE",TEXTSPLIT(B2531,","),"")</f>
        <v/>
      </c>
      <c r="H2531" s="1" t="str">
        <f t="shared" ref="H2531:I2531" si="2533">IF(C2531&lt;&gt;"",DEC2HEX(C2531,2),"")</f>
        <v/>
      </c>
      <c r="I2531" s="1" t="str">
        <f t="shared" si="2533"/>
        <v/>
      </c>
      <c r="J2531" s="1" t="str">
        <f t="shared" si="3"/>
        <v/>
      </c>
      <c r="L2531" s="1" t="s">
        <v>2802</v>
      </c>
      <c r="M2531" s="1" t="str">
        <f t="shared" si="4"/>
        <v>0.1</v>
      </c>
    </row>
    <row r="2532" ht="12.75" customHeight="1">
      <c r="A2532" s="3" t="s">
        <v>3567</v>
      </c>
      <c r="B2532" s="3" t="str">
        <f t="shared" si="1"/>
        <v>53, 57, GORILLASH</v>
      </c>
      <c r="C2532" s="1" t="str">
        <f t="array" ref="C2532">IF(B2531="NEW ROUTE",TEXTSPLIT(B2532,","),"")</f>
        <v/>
      </c>
      <c r="H2532" s="1" t="str">
        <f t="shared" ref="H2532:I2532" si="2534">IF(C2532&lt;&gt;"",DEC2HEX(C2532,2),"")</f>
        <v/>
      </c>
      <c r="I2532" s="1" t="str">
        <f t="shared" si="2534"/>
        <v/>
      </c>
      <c r="J2532" s="1" t="str">
        <f t="shared" si="3"/>
        <v/>
      </c>
      <c r="L2532" s="1" t="s">
        <v>3567</v>
      </c>
      <c r="M2532" s="1" t="str">
        <f t="shared" si="4"/>
        <v>53, 57, GORILLASH</v>
      </c>
    </row>
    <row r="2533" ht="12.75" customHeight="1">
      <c r="A2533" s="3" t="s">
        <v>3568</v>
      </c>
      <c r="B2533" s="3" t="str">
        <f t="shared" si="1"/>
        <v>53, 57, ORNITHOW</v>
      </c>
      <c r="C2533" s="1" t="str">
        <f t="array" ref="C2533">IF(B2532="NEW ROUTE",TEXTSPLIT(B2533,","),"")</f>
        <v/>
      </c>
      <c r="H2533" s="1" t="str">
        <f t="shared" ref="H2533:I2533" si="2535">IF(C2533&lt;&gt;"",DEC2HEX(C2533,2),"")</f>
        <v/>
      </c>
      <c r="I2533" s="1" t="str">
        <f t="shared" si="2535"/>
        <v/>
      </c>
      <c r="J2533" s="1" t="str">
        <f t="shared" si="3"/>
        <v/>
      </c>
      <c r="L2533" s="1" t="s">
        <v>3568</v>
      </c>
      <c r="M2533" s="1" t="str">
        <f t="shared" si="4"/>
        <v>53, 57, ORNITHOW</v>
      </c>
    </row>
    <row r="2534" ht="12.75" customHeight="1">
      <c r="A2534" s="3" t="s">
        <v>2873</v>
      </c>
      <c r="B2534" s="3" t="str">
        <f t="shared" si="1"/>
        <v>53, 57, ADNOKANA</v>
      </c>
      <c r="C2534" s="1" t="str">
        <f t="array" ref="C2534">IF(B2533="NEW ROUTE",TEXTSPLIT(B2534,","),"")</f>
        <v/>
      </c>
      <c r="H2534" s="1" t="str">
        <f t="shared" ref="H2534:I2534" si="2536">IF(C2534&lt;&gt;"",DEC2HEX(C2534,2),"")</f>
        <v/>
      </c>
      <c r="I2534" s="1" t="str">
        <f t="shared" si="2536"/>
        <v/>
      </c>
      <c r="J2534" s="1" t="str">
        <f t="shared" si="3"/>
        <v/>
      </c>
      <c r="L2534" s="1" t="s">
        <v>2873</v>
      </c>
      <c r="M2534" s="1" t="str">
        <f t="shared" si="4"/>
        <v>53, 57, ADNOKANA</v>
      </c>
    </row>
    <row r="2535" ht="12.75" customHeight="1">
      <c r="A2535" s="3" t="s">
        <v>3569</v>
      </c>
      <c r="B2535" s="3" t="str">
        <f t="shared" si="1"/>
        <v>53, 57, SANDSLAM</v>
      </c>
      <c r="C2535" s="1" t="str">
        <f t="array" ref="C2535">IF(B2534="NEW ROUTE",TEXTSPLIT(B2535,","),"")</f>
        <v/>
      </c>
      <c r="H2535" s="1" t="str">
        <f t="shared" ref="H2535:I2535" si="2537">IF(C2535&lt;&gt;"",DEC2HEX(C2535,2),"")</f>
        <v/>
      </c>
      <c r="I2535" s="1" t="str">
        <f t="shared" si="2537"/>
        <v/>
      </c>
      <c r="J2535" s="1" t="str">
        <f t="shared" si="3"/>
        <v/>
      </c>
      <c r="L2535" s="1" t="s">
        <v>3569</v>
      </c>
      <c r="M2535" s="1" t="str">
        <f t="shared" si="4"/>
        <v>53, 57, SANDSLAM</v>
      </c>
    </row>
    <row r="2536" ht="12.75" customHeight="1">
      <c r="A2536" s="3" t="s">
        <v>2807</v>
      </c>
      <c r="B2536" s="3" t="str">
        <f t="shared" si="1"/>
        <v>0.05</v>
      </c>
      <c r="C2536" s="1" t="str">
        <f t="array" ref="C2536">IF(B2535="NEW ROUTE",TEXTSPLIT(B2536,","),"")</f>
        <v/>
      </c>
      <c r="H2536" s="1" t="str">
        <f t="shared" ref="H2536:I2536" si="2538">IF(C2536&lt;&gt;"",DEC2HEX(C2536,2),"")</f>
        <v/>
      </c>
      <c r="I2536" s="1" t="str">
        <f t="shared" si="2538"/>
        <v/>
      </c>
      <c r="J2536" s="1" t="str">
        <f t="shared" si="3"/>
        <v/>
      </c>
      <c r="L2536" s="1" t="s">
        <v>2807</v>
      </c>
      <c r="M2536" s="1" t="str">
        <f t="shared" si="4"/>
        <v>0.05</v>
      </c>
    </row>
    <row r="2537" ht="12.75" customHeight="1">
      <c r="A2537" s="3" t="s">
        <v>3570</v>
      </c>
      <c r="B2537" s="3" t="str">
        <f t="shared" si="1"/>
        <v>54, 56, "MR. JEST"</v>
      </c>
      <c r="C2537" s="1" t="str">
        <f t="array" ref="C2537">IF(B2536="NEW ROUTE",TEXTSPLIT(B2537,","),"")</f>
        <v/>
      </c>
      <c r="H2537" s="1" t="str">
        <f t="shared" ref="H2537:I2537" si="2539">IF(C2537&lt;&gt;"",DEC2HEX(C2537,2),"")</f>
        <v/>
      </c>
      <c r="I2537" s="1" t="str">
        <f t="shared" si="2539"/>
        <v/>
      </c>
      <c r="J2537" s="1" t="str">
        <f t="shared" si="3"/>
        <v/>
      </c>
      <c r="L2537" s="1" t="s">
        <v>3570</v>
      </c>
      <c r="M2537" s="1" t="str">
        <f t="shared" si="4"/>
        <v>54, 56, "MR. JEST"</v>
      </c>
    </row>
    <row r="2538" ht="12.75" customHeight="1">
      <c r="A2538" s="3" t="s">
        <v>3571</v>
      </c>
      <c r="B2538" s="3" t="str">
        <f t="shared" si="1"/>
        <v>54, 56, ELECTIVINE</v>
      </c>
      <c r="C2538" s="1" t="str">
        <f t="array" ref="C2538">IF(B2537="NEW ROUTE",TEXTSPLIT(B2538,","),"")</f>
        <v/>
      </c>
      <c r="H2538" s="1" t="str">
        <f t="shared" ref="H2538:I2538" si="2540">IF(C2538&lt;&gt;"",DEC2HEX(C2538,2),"")</f>
        <v/>
      </c>
      <c r="I2538" s="1" t="str">
        <f t="shared" si="2540"/>
        <v/>
      </c>
      <c r="J2538" s="1" t="str">
        <f t="shared" si="3"/>
        <v/>
      </c>
      <c r="L2538" s="1" t="s">
        <v>3571</v>
      </c>
      <c r="M2538" s="1" t="str">
        <f t="shared" si="4"/>
        <v>54, 56, ELECTIVINE</v>
      </c>
    </row>
    <row r="2539" ht="12.75" customHeight="1">
      <c r="A2539" s="3" t="s">
        <v>2810</v>
      </c>
      <c r="B2539" s="3" t="str">
        <f t="shared" si="1"/>
        <v>0.04</v>
      </c>
      <c r="C2539" s="1" t="str">
        <f t="array" ref="C2539">IF(B2538="NEW ROUTE",TEXTSPLIT(B2539,","),"")</f>
        <v/>
      </c>
      <c r="H2539" s="1" t="str">
        <f t="shared" ref="H2539:I2539" si="2541">IF(C2539&lt;&gt;"",DEC2HEX(C2539,2),"")</f>
        <v/>
      </c>
      <c r="I2539" s="1" t="str">
        <f t="shared" si="2541"/>
        <v/>
      </c>
      <c r="J2539" s="1" t="str">
        <f t="shared" si="3"/>
        <v/>
      </c>
      <c r="L2539" s="1" t="s">
        <v>2810</v>
      </c>
      <c r="M2539" s="1" t="str">
        <f t="shared" si="4"/>
        <v>0.04</v>
      </c>
    </row>
    <row r="2540" ht="12.75" customHeight="1">
      <c r="A2540" s="3" t="s">
        <v>3572</v>
      </c>
      <c r="B2540" s="3" t="str">
        <f t="shared" si="1"/>
        <v>54, 55, FELANKH</v>
      </c>
      <c r="C2540" s="1" t="str">
        <f t="array" ref="C2540">IF(B2539="NEW ROUTE",TEXTSPLIT(B2540,","),"")</f>
        <v/>
      </c>
      <c r="H2540" s="1" t="str">
        <f t="shared" ref="H2540:I2540" si="2542">IF(C2540&lt;&gt;"",DEC2HEX(C2540,2),"")</f>
        <v/>
      </c>
      <c r="I2540" s="1" t="str">
        <f t="shared" si="2542"/>
        <v/>
      </c>
      <c r="J2540" s="1" t="str">
        <f t="shared" si="3"/>
        <v/>
      </c>
      <c r="L2540" s="1" t="s">
        <v>3572</v>
      </c>
      <c r="M2540" s="1" t="str">
        <f t="shared" si="4"/>
        <v>54, 55, FELANKH</v>
      </c>
    </row>
    <row r="2541" ht="12.75" customHeight="1">
      <c r="A2541" s="3" t="s">
        <v>3573</v>
      </c>
      <c r="B2541" s="3" t="str">
        <f t="shared" si="1"/>
        <v>56, 57, FELANKH</v>
      </c>
      <c r="C2541" s="1" t="str">
        <f t="array" ref="C2541">IF(B2540="NEW ROUTE",TEXTSPLIT(B2541,","),"")</f>
        <v/>
      </c>
      <c r="H2541" s="1" t="str">
        <f t="shared" ref="H2541:I2541" si="2543">IF(C2541&lt;&gt;"",DEC2HEX(C2541,2),"")</f>
        <v/>
      </c>
      <c r="I2541" s="1" t="str">
        <f t="shared" si="2543"/>
        <v/>
      </c>
      <c r="J2541" s="1" t="str">
        <f t="shared" si="3"/>
        <v/>
      </c>
      <c r="L2541" s="1" t="s">
        <v>3573</v>
      </c>
      <c r="M2541" s="1" t="str">
        <f t="shared" si="4"/>
        <v>56, 57, FELANKH</v>
      </c>
    </row>
    <row r="2542" ht="12.75" customHeight="1">
      <c r="A2542" s="3" t="s">
        <v>2813</v>
      </c>
      <c r="B2542" s="3" t="str">
        <f t="shared" si="1"/>
        <v>0.01</v>
      </c>
      <c r="C2542" s="1" t="str">
        <f t="array" ref="C2542">IF(B2541="NEW ROUTE",TEXTSPLIT(B2542,","),"")</f>
        <v/>
      </c>
      <c r="H2542" s="1" t="str">
        <f t="shared" ref="H2542:I2542" si="2544">IF(C2542&lt;&gt;"",DEC2HEX(C2542,2),"")</f>
        <v/>
      </c>
      <c r="I2542" s="1" t="str">
        <f t="shared" si="2544"/>
        <v/>
      </c>
      <c r="J2542" s="1" t="str">
        <f t="shared" si="3"/>
        <v/>
      </c>
      <c r="L2542" s="1" t="s">
        <v>2813</v>
      </c>
      <c r="M2542" s="1" t="str">
        <f t="shared" si="4"/>
        <v>0.01</v>
      </c>
    </row>
    <row r="2543" ht="12.75" customHeight="1">
      <c r="A2543" s="3" t="s">
        <v>3574</v>
      </c>
      <c r="B2543" s="3" t="str">
        <f t="shared" si="1"/>
        <v>40, 50, AERODACTYL</v>
      </c>
      <c r="C2543" s="1" t="str">
        <f t="array" ref="C2543">IF(B2542="NEW ROUTE",TEXTSPLIT(B2543,","),"")</f>
        <v/>
      </c>
      <c r="H2543" s="1" t="str">
        <f t="shared" ref="H2543:I2543" si="2545">IF(C2543&lt;&gt;"",DEC2HEX(C2543,2),"")</f>
        <v/>
      </c>
      <c r="I2543" s="1" t="str">
        <f t="shared" si="2545"/>
        <v/>
      </c>
      <c r="J2543" s="1" t="str">
        <f t="shared" si="3"/>
        <v/>
      </c>
      <c r="L2543" s="1" t="s">
        <v>3574</v>
      </c>
      <c r="M2543" s="1" t="str">
        <f t="shared" si="4"/>
        <v>40, 50, AERODACTYL</v>
      </c>
    </row>
    <row r="2544" ht="12.75" customHeight="1">
      <c r="A2544" s="3" t="s">
        <v>3575</v>
      </c>
      <c r="B2544" s="3" t="str">
        <f t="shared" si="1"/>
        <v>57, 59, LUKKEY</v>
      </c>
      <c r="C2544" s="1" t="str">
        <f t="array" ref="C2544">IF(B2543="NEW ROUTE",TEXTSPLIT(B2544,","),"")</f>
        <v/>
      </c>
      <c r="H2544" s="1" t="str">
        <f t="shared" ref="H2544:I2544" si="2546">IF(C2544&lt;&gt;"",DEC2HEX(C2544,2),"")</f>
        <v/>
      </c>
      <c r="I2544" s="1" t="str">
        <f t="shared" si="2546"/>
        <v/>
      </c>
      <c r="J2544" s="1" t="str">
        <f t="shared" si="3"/>
        <v/>
      </c>
      <c r="L2544" s="1" t="s">
        <v>3575</v>
      </c>
      <c r="M2544" s="1" t="str">
        <f t="shared" si="4"/>
        <v>57, 59, LUKKEY</v>
      </c>
    </row>
    <row r="2545" ht="12.75" customHeight="1">
      <c r="A2545" s="3" t="s">
        <v>3576</v>
      </c>
      <c r="B2545" s="3" t="str">
        <f t="shared" si="1"/>
        <v>2, 50, 55, GILDUCK</v>
      </c>
      <c r="C2545" s="1" t="str">
        <f t="array" ref="C2545">IF(B2544="NEW ROUTE",TEXTSPLIT(B2545,","),"")</f>
        <v/>
      </c>
      <c r="H2545" s="1" t="str">
        <f t="shared" ref="H2545:I2545" si="2547">IF(C2545&lt;&gt;"",DEC2HEX(C2545,2),"")</f>
        <v/>
      </c>
      <c r="I2545" s="1" t="str">
        <f t="shared" si="2547"/>
        <v/>
      </c>
      <c r="J2545" s="1" t="str">
        <f t="shared" si="3"/>
        <v/>
      </c>
      <c r="L2545" s="1" t="s">
        <v>3576</v>
      </c>
      <c r="M2545" s="1" t="str">
        <f t="shared" si="4"/>
        <v>2, 50, 55, GILDUCK</v>
      </c>
    </row>
    <row r="2546" ht="12.75" customHeight="1">
      <c r="A2546" s="3" t="s">
        <v>3577</v>
      </c>
      <c r="B2546" s="3" t="str">
        <f t="shared" si="1"/>
        <v>50, 55, POLITOES</v>
      </c>
      <c r="C2546" s="1" t="str">
        <f t="array" ref="C2546">IF(B2545="NEW ROUTE",TEXTSPLIT(B2546,","),"")</f>
        <v/>
      </c>
      <c r="H2546" s="1" t="str">
        <f t="shared" ref="H2546:I2546" si="2548">IF(C2546&lt;&gt;"",DEC2HEX(C2546,2),"")</f>
        <v/>
      </c>
      <c r="I2546" s="1" t="str">
        <f t="shared" si="2548"/>
        <v/>
      </c>
      <c r="J2546" s="1" t="str">
        <f t="shared" si="3"/>
        <v/>
      </c>
      <c r="L2546" s="1" t="s">
        <v>3577</v>
      </c>
      <c r="M2546" s="1" t="str">
        <f t="shared" si="4"/>
        <v>50, 55, POLITOES</v>
      </c>
    </row>
    <row r="2547" ht="12.75" customHeight="1">
      <c r="A2547" s="3" t="s">
        <v>3578</v>
      </c>
      <c r="B2547" s="3" t="str">
        <f t="shared" si="1"/>
        <v>52, 57, SLOWMATE</v>
      </c>
      <c r="C2547" s="1" t="str">
        <f t="array" ref="C2547">IF(B2546="NEW ROUTE",TEXTSPLIT(B2547,","),"")</f>
        <v/>
      </c>
      <c r="H2547" s="1" t="str">
        <f t="shared" ref="H2547:I2547" si="2549">IF(C2547&lt;&gt;"",DEC2HEX(C2547,2),"")</f>
        <v/>
      </c>
      <c r="I2547" s="1" t="str">
        <f t="shared" si="2549"/>
        <v/>
      </c>
      <c r="J2547" s="1" t="str">
        <f t="shared" si="3"/>
        <v/>
      </c>
      <c r="L2547" s="1" t="s">
        <v>3578</v>
      </c>
      <c r="M2547" s="1" t="str">
        <f t="shared" si="4"/>
        <v>52, 57, SLOWMATE</v>
      </c>
    </row>
    <row r="2548" ht="12.75" customHeight="1">
      <c r="A2548" s="3" t="s">
        <v>2971</v>
      </c>
      <c r="B2548" s="3" t="str">
        <f t="shared" si="1"/>
        <v>52, 57, POLIWISE</v>
      </c>
      <c r="C2548" s="1" t="str">
        <f t="array" ref="C2548">IF(B2547="NEW ROUTE",TEXTSPLIT(B2548,","),"")</f>
        <v/>
      </c>
      <c r="H2548" s="1" t="str">
        <f t="shared" ref="H2548:I2548" si="2550">IF(C2548&lt;&gt;"",DEC2HEX(C2548,2),"")</f>
        <v/>
      </c>
      <c r="I2548" s="1" t="str">
        <f t="shared" si="2550"/>
        <v/>
      </c>
      <c r="J2548" s="1" t="str">
        <f t="shared" si="3"/>
        <v/>
      </c>
      <c r="L2548" s="1" t="s">
        <v>2971</v>
      </c>
      <c r="M2548" s="1" t="str">
        <f t="shared" si="4"/>
        <v>52, 57, POLIWISE</v>
      </c>
    </row>
    <row r="2549" ht="12.75" customHeight="1">
      <c r="A2549" s="3" t="s">
        <v>3579</v>
      </c>
      <c r="B2549" s="3" t="str">
        <f t="shared" si="1"/>
        <v>53, 58, PLATINUPUS</v>
      </c>
      <c r="C2549" s="1" t="str">
        <f t="array" ref="C2549">IF(B2548="NEW ROUTE",TEXTSPLIT(B2549,","),"")</f>
        <v/>
      </c>
      <c r="H2549" s="1" t="str">
        <f t="shared" ref="H2549:I2549" si="2551">IF(C2549&lt;&gt;"",DEC2HEX(C2549,2),"")</f>
        <v/>
      </c>
      <c r="I2549" s="1" t="str">
        <f t="shared" si="2551"/>
        <v/>
      </c>
      <c r="J2549" s="1" t="str">
        <f t="shared" si="3"/>
        <v/>
      </c>
      <c r="L2549" s="1" t="s">
        <v>3579</v>
      </c>
      <c r="M2549" s="1" t="str">
        <f t="shared" si="4"/>
        <v>53, 58, PLATINUPUS</v>
      </c>
    </row>
    <row r="2550" ht="12.75" customHeight="1">
      <c r="A2550" s="3" t="s">
        <v>2926</v>
      </c>
      <c r="B2550" s="3" t="str">
        <f t="shared" si="1"/>
        <v>20, old rod:</v>
      </c>
      <c r="C2550" s="1" t="str">
        <f t="array" ref="C2550">IF(B2549="NEW ROUTE",TEXTSPLIT(B2550,","),"")</f>
        <v/>
      </c>
      <c r="H2550" s="1" t="str">
        <f t="shared" ref="H2550:I2550" si="2552">IF(C2550&lt;&gt;"",DEC2HEX(C2550,2),"")</f>
        <v/>
      </c>
      <c r="I2550" s="1" t="str">
        <f t="shared" si="2552"/>
        <v/>
      </c>
      <c r="J2550" s="1" t="str">
        <f t="shared" si="3"/>
        <v/>
      </c>
      <c r="L2550" s="1" t="s">
        <v>2926</v>
      </c>
      <c r="M2550" s="1" t="str">
        <f t="shared" si="4"/>
        <v>20, old rod:</v>
      </c>
    </row>
    <row r="2551" ht="12.75" customHeight="1">
      <c r="A2551" s="3" t="s">
        <v>1214</v>
      </c>
      <c r="B2551" s="3" t="str">
        <f t="shared" si="1"/>
        <v>24, 36, GOLDEEN</v>
      </c>
      <c r="C2551" s="1" t="str">
        <f t="array" ref="C2551">IF(B2550="NEW ROUTE",TEXTSPLIT(B2551,","),"")</f>
        <v/>
      </c>
      <c r="H2551" s="1" t="str">
        <f t="shared" ref="H2551:I2551" si="2553">IF(C2551&lt;&gt;"",DEC2HEX(C2551,2),"")</f>
        <v/>
      </c>
      <c r="I2551" s="1" t="str">
        <f t="shared" si="2553"/>
        <v/>
      </c>
      <c r="J2551" s="1" t="str">
        <f t="shared" si="3"/>
        <v/>
      </c>
      <c r="L2551" s="1" t="s">
        <v>1214</v>
      </c>
      <c r="M2551" s="1" t="str">
        <f t="shared" si="4"/>
        <v>24, 36, GOLDEEN</v>
      </c>
    </row>
    <row r="2552" ht="12.75" customHeight="1">
      <c r="A2552" s="3" t="s">
        <v>3580</v>
      </c>
      <c r="B2552" s="3" t="str">
        <f t="shared" si="1"/>
        <v>23, 36, KRABBY</v>
      </c>
      <c r="C2552" s="1" t="str">
        <f t="array" ref="C2552">IF(B2551="NEW ROUTE",TEXTSPLIT(B2552,","),"")</f>
        <v/>
      </c>
      <c r="H2552" s="1" t="str">
        <f t="shared" ref="H2552:I2552" si="2554">IF(C2552&lt;&gt;"",DEC2HEX(C2552,2),"")</f>
        <v/>
      </c>
      <c r="I2552" s="1" t="str">
        <f t="shared" si="2554"/>
        <v/>
      </c>
      <c r="J2552" s="1" t="str">
        <f t="shared" si="3"/>
        <v/>
      </c>
      <c r="L2552" s="1" t="s">
        <v>3580</v>
      </c>
      <c r="M2552" s="1" t="str">
        <f t="shared" si="4"/>
        <v>23, 36, KRABBY</v>
      </c>
    </row>
    <row r="2553" ht="12.75" customHeight="1">
      <c r="A2553" s="3" t="s">
        <v>2847</v>
      </c>
      <c r="B2553" s="3" t="str">
        <f t="shared" si="1"/>
        <v>good rod:</v>
      </c>
      <c r="C2553" s="1" t="str">
        <f t="array" ref="C2553">IF(B2552="NEW ROUTE",TEXTSPLIT(B2553,","),"")</f>
        <v/>
      </c>
      <c r="H2553" s="1" t="str">
        <f t="shared" ref="H2553:I2553" si="2555">IF(C2553&lt;&gt;"",DEC2HEX(C2553,2),"")</f>
        <v/>
      </c>
      <c r="I2553" s="1" t="str">
        <f t="shared" si="2555"/>
        <v/>
      </c>
      <c r="J2553" s="1" t="str">
        <f t="shared" si="3"/>
        <v/>
      </c>
      <c r="L2553" s="1" t="s">
        <v>2847</v>
      </c>
      <c r="M2553" s="1" t="str">
        <f t="shared" si="4"/>
        <v>good rod:</v>
      </c>
    </row>
    <row r="2554" ht="12.75" customHeight="1">
      <c r="A2554" s="3" t="s">
        <v>3581</v>
      </c>
      <c r="B2554" s="3" t="str">
        <f t="shared" si="1"/>
        <v>30, 38, SEAKING</v>
      </c>
      <c r="C2554" s="1" t="str">
        <f t="array" ref="C2554">IF(B2553="NEW ROUTE",TEXTSPLIT(B2554,","),"")</f>
        <v/>
      </c>
      <c r="H2554" s="1" t="str">
        <f t="shared" ref="H2554:I2554" si="2556">IF(C2554&lt;&gt;"",DEC2HEX(C2554,2),"")</f>
        <v/>
      </c>
      <c r="I2554" s="1" t="str">
        <f t="shared" si="2556"/>
        <v/>
      </c>
      <c r="J2554" s="1" t="str">
        <f t="shared" si="3"/>
        <v/>
      </c>
      <c r="L2554" s="1" t="s">
        <v>3581</v>
      </c>
      <c r="M2554" s="1" t="str">
        <f t="shared" si="4"/>
        <v>30, 38, SEAKING</v>
      </c>
    </row>
    <row r="2555" ht="12.75" customHeight="1">
      <c r="A2555" s="3" t="s">
        <v>3582</v>
      </c>
      <c r="B2555" s="3" t="str">
        <f t="shared" si="1"/>
        <v>32, 40, KINGLER</v>
      </c>
      <c r="C2555" s="1" t="str">
        <f t="array" ref="C2555">IF(B2554="NEW ROUTE",TEXTSPLIT(B2555,","),"")</f>
        <v/>
      </c>
      <c r="H2555" s="1" t="str">
        <f t="shared" ref="H2555:I2555" si="2557">IF(C2555&lt;&gt;"",DEC2HEX(C2555,2),"")</f>
        <v/>
      </c>
      <c r="I2555" s="1" t="str">
        <f t="shared" si="2557"/>
        <v/>
      </c>
      <c r="J2555" s="1" t="str">
        <f t="shared" si="3"/>
        <v/>
      </c>
      <c r="L2555" s="1" t="s">
        <v>3582</v>
      </c>
      <c r="M2555" s="1" t="str">
        <f t="shared" si="4"/>
        <v>32, 40, KINGLER</v>
      </c>
    </row>
    <row r="2556" ht="12.75" customHeight="1">
      <c r="A2556" s="3" t="s">
        <v>3583</v>
      </c>
      <c r="B2556" s="3" t="str">
        <f t="shared" si="1"/>
        <v>32, 40, DRAGONAIR</v>
      </c>
      <c r="C2556" s="1" t="str">
        <f t="array" ref="C2556">IF(B2555="NEW ROUTE",TEXTSPLIT(B2556,","),"")</f>
        <v/>
      </c>
      <c r="H2556" s="1" t="str">
        <f t="shared" ref="H2556:I2556" si="2558">IF(C2556&lt;&gt;"",DEC2HEX(C2556,2),"")</f>
        <v/>
      </c>
      <c r="I2556" s="1" t="str">
        <f t="shared" si="2558"/>
        <v/>
      </c>
      <c r="J2556" s="1" t="str">
        <f t="shared" si="3"/>
        <v/>
      </c>
      <c r="L2556" s="1" t="s">
        <v>3583</v>
      </c>
      <c r="M2556" s="1" t="str">
        <f t="shared" si="4"/>
        <v>32, 40, DRAGONAIR</v>
      </c>
    </row>
    <row r="2557" ht="12.75" customHeight="1">
      <c r="A2557" s="3" t="s">
        <v>2851</v>
      </c>
      <c r="B2557" s="3" t="str">
        <f t="shared" si="1"/>
        <v>super rod:</v>
      </c>
      <c r="C2557" s="1" t="str">
        <f t="array" ref="C2557">IF(B2556="NEW ROUTE",TEXTSPLIT(B2557,","),"")</f>
        <v/>
      </c>
      <c r="H2557" s="1" t="str">
        <f t="shared" ref="H2557:I2557" si="2559">IF(C2557&lt;&gt;"",DEC2HEX(C2557,2),"")</f>
        <v/>
      </c>
      <c r="I2557" s="1" t="str">
        <f t="shared" si="2559"/>
        <v/>
      </c>
      <c r="J2557" s="1" t="str">
        <f t="shared" si="3"/>
        <v/>
      </c>
      <c r="L2557" s="1" t="s">
        <v>2851</v>
      </c>
      <c r="M2557" s="1" t="str">
        <f t="shared" si="4"/>
        <v>super rod:</v>
      </c>
    </row>
    <row r="2558" ht="12.75" customHeight="1">
      <c r="A2558" s="3" t="s">
        <v>3584</v>
      </c>
      <c r="B2558" s="3" t="str">
        <f t="shared" si="1"/>
        <v>50, 55, SEAREX</v>
      </c>
      <c r="C2558" s="1" t="str">
        <f t="array" ref="C2558">IF(B2557="NEW ROUTE",TEXTSPLIT(B2558,","),"")</f>
        <v/>
      </c>
      <c r="H2558" s="1" t="str">
        <f t="shared" ref="H2558:I2558" si="2560">IF(C2558&lt;&gt;"",DEC2HEX(C2558,2),"")</f>
        <v/>
      </c>
      <c r="I2558" s="1" t="str">
        <f t="shared" si="2560"/>
        <v/>
      </c>
      <c r="J2558" s="1" t="str">
        <f t="shared" si="3"/>
        <v/>
      </c>
      <c r="L2558" s="1" t="s">
        <v>3584</v>
      </c>
      <c r="M2558" s="1" t="str">
        <f t="shared" si="4"/>
        <v>50, 55, SEAREX</v>
      </c>
    </row>
    <row r="2559" ht="12.75" customHeight="1">
      <c r="A2559" s="3" t="s">
        <v>2970</v>
      </c>
      <c r="B2559" s="3" t="str">
        <f t="shared" si="1"/>
        <v>50, 55, DRAGONITE</v>
      </c>
      <c r="C2559" s="1" t="str">
        <f t="array" ref="C2559">IF(B2558="NEW ROUTE",TEXTSPLIT(B2559,","),"")</f>
        <v/>
      </c>
      <c r="H2559" s="1" t="str">
        <f t="shared" ref="H2559:I2559" si="2561">IF(C2559&lt;&gt;"",DEC2HEX(C2559,2),"")</f>
        <v/>
      </c>
      <c r="I2559" s="1" t="str">
        <f t="shared" si="2561"/>
        <v/>
      </c>
      <c r="J2559" s="1" t="str">
        <f t="shared" si="3"/>
        <v/>
      </c>
      <c r="L2559" s="1" t="s">
        <v>2970</v>
      </c>
      <c r="M2559" s="1" t="str">
        <f t="shared" si="4"/>
        <v>50, 55, DRAGONITE</v>
      </c>
    </row>
    <row r="2560" ht="12.75" customHeight="1">
      <c r="A2560" s="3" t="s">
        <v>3585</v>
      </c>
      <c r="B2560" s="3" t="str">
        <f t="shared" si="1"/>
        <v>52, 57, KRAKLAW</v>
      </c>
      <c r="C2560" s="1" t="str">
        <f t="array" ref="C2560">IF(B2559="NEW ROUTE",TEXTSPLIT(B2560,","),"")</f>
        <v/>
      </c>
      <c r="H2560" s="1" t="str">
        <f t="shared" ref="H2560:I2560" si="2562">IF(C2560&lt;&gt;"",DEC2HEX(C2560,2),"")</f>
        <v/>
      </c>
      <c r="I2560" s="1" t="str">
        <f t="shared" si="2562"/>
        <v/>
      </c>
      <c r="J2560" s="1" t="str">
        <f t="shared" si="3"/>
        <v/>
      </c>
      <c r="L2560" s="1" t="s">
        <v>3585</v>
      </c>
      <c r="M2560" s="1" t="str">
        <f t="shared" si="4"/>
        <v>52, 57, KRAKLAW</v>
      </c>
    </row>
    <row r="2561" ht="12.75" customHeight="1">
      <c r="A2561" s="3" t="s">
        <v>3586</v>
      </c>
      <c r="B2561" s="3" t="str">
        <f t="shared" si="1"/>
        <v>52, 57, CAPRISEA</v>
      </c>
      <c r="C2561" s="1" t="str">
        <f t="array" ref="C2561">IF(B2560="NEW ROUTE",TEXTSPLIT(B2561,","),"")</f>
        <v/>
      </c>
      <c r="H2561" s="1" t="str">
        <f t="shared" ref="H2561:I2561" si="2563">IF(C2561&lt;&gt;"",DEC2HEX(C2561,2),"")</f>
        <v/>
      </c>
      <c r="I2561" s="1" t="str">
        <f t="shared" si="2563"/>
        <v/>
      </c>
      <c r="J2561" s="1" t="str">
        <f t="shared" si="3"/>
        <v/>
      </c>
      <c r="L2561" s="1" t="s">
        <v>3586</v>
      </c>
      <c r="M2561" s="1" t="str">
        <f t="shared" si="4"/>
        <v>52, 57, CAPRISEA</v>
      </c>
    </row>
    <row r="2562" ht="12.75" customHeight="1">
      <c r="A2562" s="3" t="s">
        <v>3587</v>
      </c>
      <c r="B2562" s="3" t="str">
        <f t="shared" si="1"/>
        <v>53, 58, DRAGONIER</v>
      </c>
      <c r="C2562" s="1" t="str">
        <f t="array" ref="C2562">IF(B2561="NEW ROUTE",TEXTSPLIT(B2562,","),"")</f>
        <v/>
      </c>
      <c r="H2562" s="1" t="str">
        <f t="shared" ref="H2562:I2562" si="2564">IF(C2562&lt;&gt;"",DEC2HEX(C2562,2),"")</f>
        <v/>
      </c>
      <c r="I2562" s="1" t="str">
        <f t="shared" si="2564"/>
        <v/>
      </c>
      <c r="J2562" s="1" t="str">
        <f t="shared" si="3"/>
        <v/>
      </c>
      <c r="L2562" s="1" t="s">
        <v>3587</v>
      </c>
      <c r="M2562" s="1" t="str">
        <f t="shared" si="4"/>
        <v>53, 58, DRAGONIER</v>
      </c>
    </row>
    <row r="2563" ht="12.75" customHeight="1">
      <c r="A2563" s="3" t="s">
        <v>2539</v>
      </c>
      <c r="B2563" s="3" t="str">
        <f t="shared" si="1"/>
        <v>NEW ROUTE</v>
      </c>
      <c r="C2563" s="1" t="str">
        <f t="array" ref="C2563">IF(B2562="NEW ROUTE",TEXTSPLIT(B2563,","),"")</f>
        <v/>
      </c>
      <c r="H2563" s="1" t="str">
        <f t="shared" ref="H2563:I2563" si="2565">IF(C2563&lt;&gt;"",DEC2HEX(C2563,2),"")</f>
        <v/>
      </c>
      <c r="I2563" s="1" t="str">
        <f t="shared" si="2565"/>
        <v/>
      </c>
      <c r="J2563" s="1" t="str">
        <f t="shared" si="3"/>
        <v/>
      </c>
      <c r="L2563" s="1" t="s">
        <v>2539</v>
      </c>
      <c r="M2563" s="1" t="str">
        <f t="shared" si="4"/>
        <v>NEW ROUTE</v>
      </c>
    </row>
    <row r="2564" ht="12.75" customHeight="1">
      <c r="A2564" s="3" t="s">
        <v>3588</v>
      </c>
      <c r="B2564" s="3" t="str">
        <f t="shared" si="1"/>
        <v>3, 43, 0,</v>
      </c>
      <c r="C2564" s="1" t="str">
        <f t="array" ref="C2564">IF(B2563="NEW ROUTE",TEXTSPLIT(B2564,","),"")</f>
        <v>#NAME?</v>
      </c>
      <c r="H2564" s="1" t="str">
        <f t="shared" ref="H2564:I2564" si="2566">IF(C2564&lt;&gt;"",DEC2HEX(C2564,2),"")</f>
        <v>#NAME?</v>
      </c>
      <c r="I2564" s="1" t="str">
        <f t="shared" si="2566"/>
        <v/>
      </c>
      <c r="J2564" s="1" t="str">
        <f t="shared" si="3"/>
        <v>#NAME?</v>
      </c>
      <c r="L2564" s="1" t="s">
        <v>3588</v>
      </c>
      <c r="M2564" s="1" t="str">
        <f t="shared" si="4"/>
        <v>#NAME?</v>
      </c>
    </row>
    <row r="2565" ht="12.75" customHeight="1">
      <c r="A2565" s="3" t="s">
        <v>2909</v>
      </c>
      <c r="B2565" s="3" t="str">
        <f t="shared" si="1"/>
        <v>20%</v>
      </c>
      <c r="C2565" s="1" t="str">
        <f t="array" ref="C2565">IF(B2564="NEW ROUTE",TEXTSPLIT(B2565,","),"")</f>
        <v/>
      </c>
      <c r="H2565" s="1" t="str">
        <f t="shared" ref="H2565:I2565" si="2567">IF(C2565&lt;&gt;"",DEC2HEX(C2565,2),"")</f>
        <v/>
      </c>
      <c r="I2565" s="1" t="str">
        <f t="shared" si="2567"/>
        <v/>
      </c>
      <c r="J2565" s="1" t="str">
        <f t="shared" si="3"/>
        <v/>
      </c>
      <c r="L2565" s="1" t="s">
        <v>2799</v>
      </c>
      <c r="M2565" s="1" t="str">
        <f t="shared" si="4"/>
        <v>20%</v>
      </c>
    </row>
    <row r="2566" ht="12.75" customHeight="1">
      <c r="A2566" s="3" t="s">
        <v>1224</v>
      </c>
      <c r="B2566" s="3" t="str">
        <f t="shared" si="1"/>
        <v>13, 17, PIDGEY</v>
      </c>
      <c r="C2566" s="1" t="str">
        <f t="array" ref="C2566">IF(B2565="NEW ROUTE",TEXTSPLIT(B2566,","),"")</f>
        <v/>
      </c>
      <c r="H2566" s="1" t="str">
        <f t="shared" ref="H2566:I2566" si="2568">IF(C2566&lt;&gt;"",DEC2HEX(C2566,2),"")</f>
        <v/>
      </c>
      <c r="I2566" s="1" t="str">
        <f t="shared" si="2568"/>
        <v/>
      </c>
      <c r="J2566" s="1" t="str">
        <f t="shared" si="3"/>
        <v/>
      </c>
      <c r="L2566" s="1" t="s">
        <v>1224</v>
      </c>
      <c r="M2566" s="1" t="str">
        <f t="shared" si="4"/>
        <v>13, 17, PIDGEY</v>
      </c>
    </row>
    <row r="2567" ht="12.75" customHeight="1">
      <c r="A2567" s="3" t="s">
        <v>3589</v>
      </c>
      <c r="B2567" s="3" t="str">
        <f t="shared" si="1"/>
        <v>13, 17, ODDISH</v>
      </c>
      <c r="C2567" s="1" t="str">
        <f t="array" ref="C2567">IF(B2566="NEW ROUTE",TEXTSPLIT(B2567,","),"")</f>
        <v/>
      </c>
      <c r="H2567" s="1" t="str">
        <f t="shared" ref="H2567:I2567" si="2569">IF(C2567&lt;&gt;"",DEC2HEX(C2567,2),"")</f>
        <v/>
      </c>
      <c r="I2567" s="1" t="str">
        <f t="shared" si="2569"/>
        <v/>
      </c>
      <c r="J2567" s="1" t="str">
        <f t="shared" si="3"/>
        <v/>
      </c>
      <c r="L2567" s="1" t="s">
        <v>3589</v>
      </c>
      <c r="M2567" s="1" t="str">
        <f t="shared" si="4"/>
        <v>13, 17, ODDISH</v>
      </c>
    </row>
    <row r="2568" ht="12.75" customHeight="1">
      <c r="A2568" s="3" t="s">
        <v>2802</v>
      </c>
      <c r="B2568" s="3" t="str">
        <f t="shared" si="1"/>
        <v>0.1</v>
      </c>
      <c r="C2568" s="1" t="str">
        <f t="array" ref="C2568">IF(B2567="NEW ROUTE",TEXTSPLIT(B2568,","),"")</f>
        <v/>
      </c>
      <c r="H2568" s="1" t="str">
        <f t="shared" ref="H2568:I2568" si="2570">IF(C2568&lt;&gt;"",DEC2HEX(C2568,2),"")</f>
        <v/>
      </c>
      <c r="I2568" s="1" t="str">
        <f t="shared" si="2570"/>
        <v/>
      </c>
      <c r="J2568" s="1" t="str">
        <f t="shared" si="3"/>
        <v/>
      </c>
      <c r="L2568" s="1" t="s">
        <v>2802</v>
      </c>
      <c r="M2568" s="1" t="str">
        <f t="shared" si="4"/>
        <v>0.1</v>
      </c>
    </row>
    <row r="2569" ht="12.75" customHeight="1">
      <c r="A2569" s="3" t="s">
        <v>3590</v>
      </c>
      <c r="B2569" s="3" t="str">
        <f t="shared" si="1"/>
        <v>14, 17, BELLSPROUT</v>
      </c>
      <c r="C2569" s="1" t="str">
        <f t="array" ref="C2569">IF(B2568="NEW ROUTE",TEXTSPLIT(B2569,","),"")</f>
        <v/>
      </c>
      <c r="H2569" s="1" t="str">
        <f t="shared" ref="H2569:I2569" si="2571">IF(C2569&lt;&gt;"",DEC2HEX(C2569,2),"")</f>
        <v/>
      </c>
      <c r="I2569" s="1" t="str">
        <f t="shared" si="2571"/>
        <v/>
      </c>
      <c r="J2569" s="1" t="str">
        <f t="shared" si="3"/>
        <v/>
      </c>
      <c r="L2569" s="1" t="s">
        <v>3590</v>
      </c>
      <c r="M2569" s="1" t="str">
        <f t="shared" si="4"/>
        <v>14, 17, BELLSPROUT</v>
      </c>
    </row>
    <row r="2570" ht="12.75" customHeight="1">
      <c r="A2570" s="3" t="s">
        <v>3591</v>
      </c>
      <c r="B2570" s="3" t="str">
        <f t="shared" si="1"/>
        <v>14, 17, MEOWTH</v>
      </c>
      <c r="C2570" s="1" t="str">
        <f t="array" ref="C2570">IF(B2569="NEW ROUTE",TEXTSPLIT(B2570,","),"")</f>
        <v/>
      </c>
      <c r="H2570" s="1" t="str">
        <f t="shared" ref="H2570:I2570" si="2572">IF(C2570&lt;&gt;"",DEC2HEX(C2570,2),"")</f>
        <v/>
      </c>
      <c r="I2570" s="1" t="str">
        <f t="shared" si="2572"/>
        <v/>
      </c>
      <c r="J2570" s="1" t="str">
        <f t="shared" si="3"/>
        <v/>
      </c>
      <c r="L2570" s="1" t="s">
        <v>3591</v>
      </c>
      <c r="M2570" s="1" t="str">
        <f t="shared" si="4"/>
        <v>14, 17, MEOWTH</v>
      </c>
    </row>
    <row r="2571" ht="12.75" customHeight="1">
      <c r="A2571" s="3" t="s">
        <v>3592</v>
      </c>
      <c r="B2571" s="3" t="str">
        <f t="shared" si="1"/>
        <v>14, 17, PSYDUCK</v>
      </c>
      <c r="C2571" s="1" t="str">
        <f t="array" ref="C2571">IF(B2570="NEW ROUTE",TEXTSPLIT(B2571,","),"")</f>
        <v/>
      </c>
      <c r="H2571" s="1" t="str">
        <f t="shared" ref="H2571:I2571" si="2573">IF(C2571&lt;&gt;"",DEC2HEX(C2571,2),"")</f>
        <v/>
      </c>
      <c r="I2571" s="1" t="str">
        <f t="shared" si="2573"/>
        <v/>
      </c>
      <c r="J2571" s="1" t="str">
        <f t="shared" si="3"/>
        <v/>
      </c>
      <c r="L2571" s="1" t="s">
        <v>3592</v>
      </c>
      <c r="M2571" s="1" t="str">
        <f t="shared" si="4"/>
        <v>14, 17, PSYDUCK</v>
      </c>
    </row>
    <row r="2572" ht="12.75" customHeight="1">
      <c r="A2572" s="3" t="s">
        <v>3593</v>
      </c>
      <c r="B2572" s="3" t="str">
        <f t="shared" si="1"/>
        <v>14, 17, PIDGEOTTO</v>
      </c>
      <c r="C2572" s="1" t="str">
        <f t="array" ref="C2572">IF(B2571="NEW ROUTE",TEXTSPLIT(B2572,","),"")</f>
        <v/>
      </c>
      <c r="H2572" s="1" t="str">
        <f t="shared" ref="H2572:I2572" si="2574">IF(C2572&lt;&gt;"",DEC2HEX(C2572,2),"")</f>
        <v/>
      </c>
      <c r="I2572" s="1" t="str">
        <f t="shared" si="2574"/>
        <v/>
      </c>
      <c r="J2572" s="1" t="str">
        <f t="shared" si="3"/>
        <v/>
      </c>
      <c r="L2572" s="1" t="s">
        <v>3593</v>
      </c>
      <c r="M2572" s="1" t="str">
        <f t="shared" si="4"/>
        <v>14, 17, PIDGEOTTO</v>
      </c>
    </row>
    <row r="2573" ht="12.75" customHeight="1">
      <c r="A2573" s="3" t="s">
        <v>2807</v>
      </c>
      <c r="B2573" s="3" t="str">
        <f t="shared" si="1"/>
        <v>0.05</v>
      </c>
      <c r="C2573" s="1" t="str">
        <f t="array" ref="C2573">IF(B2572="NEW ROUTE",TEXTSPLIT(B2573,","),"")</f>
        <v/>
      </c>
      <c r="H2573" s="1" t="str">
        <f t="shared" ref="H2573:I2573" si="2575">IF(C2573&lt;&gt;"",DEC2HEX(C2573,2),"")</f>
        <v/>
      </c>
      <c r="I2573" s="1" t="str">
        <f t="shared" si="2575"/>
        <v/>
      </c>
      <c r="J2573" s="1" t="str">
        <f t="shared" si="3"/>
        <v/>
      </c>
      <c r="L2573" s="1" t="s">
        <v>2807</v>
      </c>
      <c r="M2573" s="1" t="str">
        <f t="shared" si="4"/>
        <v>0.05</v>
      </c>
    </row>
    <row r="2574" ht="12.75" customHeight="1">
      <c r="A2574" s="3" t="s">
        <v>3594</v>
      </c>
      <c r="B2574" s="3" t="str">
        <f t="shared" si="1"/>
        <v>16, 16, PIKACHU</v>
      </c>
      <c r="C2574" s="1" t="str">
        <f t="array" ref="C2574">IF(B2573="NEW ROUTE",TEXTSPLIT(B2574,","),"")</f>
        <v/>
      </c>
      <c r="H2574" s="1" t="str">
        <f t="shared" ref="H2574:I2574" si="2576">IF(C2574&lt;&gt;"",DEC2HEX(C2574,2),"")</f>
        <v/>
      </c>
      <c r="I2574" s="1" t="str">
        <f t="shared" si="2576"/>
        <v/>
      </c>
      <c r="J2574" s="1" t="str">
        <f t="shared" si="3"/>
        <v/>
      </c>
      <c r="L2574" s="1" t="s">
        <v>3594</v>
      </c>
      <c r="M2574" s="1" t="str">
        <f t="shared" si="4"/>
        <v>16, 16, PIKACHU</v>
      </c>
    </row>
    <row r="2575" ht="12.75" customHeight="1">
      <c r="A2575" s="3" t="s">
        <v>3595</v>
      </c>
      <c r="B2575" s="3" t="str">
        <f t="shared" si="1"/>
        <v>16, 16, ABRA</v>
      </c>
      <c r="C2575" s="1" t="str">
        <f t="array" ref="C2575">IF(B2574="NEW ROUTE",TEXTSPLIT(B2575,","),"")</f>
        <v/>
      </c>
      <c r="H2575" s="1" t="str">
        <f t="shared" ref="H2575:I2575" si="2577">IF(C2575&lt;&gt;"",DEC2HEX(C2575,2),"")</f>
        <v/>
      </c>
      <c r="I2575" s="1" t="str">
        <f t="shared" si="2577"/>
        <v/>
      </c>
      <c r="J2575" s="1" t="str">
        <f t="shared" si="3"/>
        <v/>
      </c>
      <c r="L2575" s="1" t="s">
        <v>3595</v>
      </c>
      <c r="M2575" s="1" t="str">
        <f t="shared" si="4"/>
        <v>16, 16, ABRA</v>
      </c>
    </row>
    <row r="2576" ht="12.75" customHeight="1">
      <c r="A2576" s="3" t="s">
        <v>2810</v>
      </c>
      <c r="B2576" s="3" t="str">
        <f t="shared" si="1"/>
        <v>0.04</v>
      </c>
      <c r="C2576" s="1" t="str">
        <f t="array" ref="C2576">IF(B2575="NEW ROUTE",TEXTSPLIT(B2576,","),"")</f>
        <v/>
      </c>
      <c r="H2576" s="1" t="str">
        <f t="shared" ref="H2576:I2576" si="2578">IF(C2576&lt;&gt;"",DEC2HEX(C2576,2),"")</f>
        <v/>
      </c>
      <c r="I2576" s="1" t="str">
        <f t="shared" si="2578"/>
        <v/>
      </c>
      <c r="J2576" s="1" t="str">
        <f t="shared" si="3"/>
        <v/>
      </c>
      <c r="L2576" s="1" t="s">
        <v>2810</v>
      </c>
      <c r="M2576" s="1" t="str">
        <f t="shared" si="4"/>
        <v>0.04</v>
      </c>
    </row>
    <row r="2577" ht="12.75" customHeight="1">
      <c r="A2577" s="3" t="s">
        <v>3596</v>
      </c>
      <c r="B2577" s="3" t="str">
        <f t="shared" si="1"/>
        <v>15, 18, VENONAT</v>
      </c>
      <c r="C2577" s="1" t="str">
        <f t="array" ref="C2577">IF(B2576="NEW ROUTE",TEXTSPLIT(B2577,","),"")</f>
        <v/>
      </c>
      <c r="H2577" s="1" t="str">
        <f t="shared" ref="H2577:I2577" si="2579">IF(C2577&lt;&gt;"",DEC2HEX(C2577,2),"")</f>
        <v/>
      </c>
      <c r="I2577" s="1" t="str">
        <f t="shared" si="2579"/>
        <v/>
      </c>
      <c r="J2577" s="1" t="str">
        <f t="shared" si="3"/>
        <v/>
      </c>
      <c r="L2577" s="1" t="s">
        <v>3596</v>
      </c>
      <c r="M2577" s="1" t="str">
        <f t="shared" si="4"/>
        <v>15, 18, VENONAT</v>
      </c>
    </row>
    <row r="2578" ht="12.75" customHeight="1">
      <c r="A2578" s="3" t="s">
        <v>3597</v>
      </c>
      <c r="B2578" s="3" t="str">
        <f t="shared" si="1"/>
        <v>15, 18, GLOOM</v>
      </c>
      <c r="C2578" s="1" t="str">
        <f t="array" ref="C2578">IF(B2577="NEW ROUTE",TEXTSPLIT(B2578,","),"")</f>
        <v/>
      </c>
      <c r="H2578" s="1" t="str">
        <f t="shared" ref="H2578:I2578" si="2580">IF(C2578&lt;&gt;"",DEC2HEX(C2578,2),"")</f>
        <v/>
      </c>
      <c r="I2578" s="1" t="str">
        <f t="shared" si="2580"/>
        <v/>
      </c>
      <c r="J2578" s="1" t="str">
        <f t="shared" si="3"/>
        <v/>
      </c>
      <c r="L2578" s="1" t="s">
        <v>3597</v>
      </c>
      <c r="M2578" s="1" t="str">
        <f t="shared" si="4"/>
        <v>15, 18, GLOOM</v>
      </c>
    </row>
    <row r="2579" ht="12.75" customHeight="1">
      <c r="A2579" s="3" t="s">
        <v>2813</v>
      </c>
      <c r="B2579" s="3" t="str">
        <f t="shared" si="1"/>
        <v>0.01</v>
      </c>
      <c r="C2579" s="1" t="str">
        <f t="array" ref="C2579">IF(B2578="NEW ROUTE",TEXTSPLIT(B2579,","),"")</f>
        <v/>
      </c>
      <c r="H2579" s="1" t="str">
        <f t="shared" ref="H2579:I2579" si="2581">IF(C2579&lt;&gt;"",DEC2HEX(C2579,2),"")</f>
        <v/>
      </c>
      <c r="I2579" s="1" t="str">
        <f t="shared" si="2581"/>
        <v/>
      </c>
      <c r="J2579" s="1" t="str">
        <f t="shared" si="3"/>
        <v/>
      </c>
      <c r="L2579" s="1" t="s">
        <v>2813</v>
      </c>
      <c r="M2579" s="1" t="str">
        <f t="shared" si="4"/>
        <v>0.01</v>
      </c>
    </row>
    <row r="2580" ht="12.75" customHeight="1">
      <c r="A2580" s="3" t="s">
        <v>3598</v>
      </c>
      <c r="B2580" s="3" t="str">
        <f t="shared" si="1"/>
        <v>17, 17, KADABRA</v>
      </c>
      <c r="C2580" s="1" t="str">
        <f t="array" ref="C2580">IF(B2579="NEW ROUTE",TEXTSPLIT(B2580,","),"")</f>
        <v/>
      </c>
      <c r="H2580" s="1" t="str">
        <f t="shared" ref="H2580:I2580" si="2582">IF(C2580&lt;&gt;"",DEC2HEX(C2580,2),"")</f>
        <v/>
      </c>
      <c r="I2580" s="1" t="str">
        <f t="shared" si="2582"/>
        <v/>
      </c>
      <c r="J2580" s="1" t="str">
        <f t="shared" si="3"/>
        <v/>
      </c>
      <c r="L2580" s="1" t="s">
        <v>3598</v>
      </c>
      <c r="M2580" s="1" t="str">
        <f t="shared" si="4"/>
        <v>17, 17, KADABRA</v>
      </c>
    </row>
    <row r="2581" ht="12.75" customHeight="1">
      <c r="A2581" s="3" t="s">
        <v>3598</v>
      </c>
      <c r="B2581" s="3" t="str">
        <f t="shared" si="1"/>
        <v>17, 17, KADABRA</v>
      </c>
      <c r="C2581" s="1" t="str">
        <f t="array" ref="C2581">IF(B2580="NEW ROUTE",TEXTSPLIT(B2581,","),"")</f>
        <v/>
      </c>
      <c r="H2581" s="1" t="str">
        <f t="shared" ref="H2581:I2581" si="2583">IF(C2581&lt;&gt;"",DEC2HEX(C2581,2),"")</f>
        <v/>
      </c>
      <c r="I2581" s="1" t="str">
        <f t="shared" si="2583"/>
        <v/>
      </c>
      <c r="J2581" s="1" t="str">
        <f t="shared" si="3"/>
        <v/>
      </c>
      <c r="L2581" s="1" t="s">
        <v>3598</v>
      </c>
      <c r="M2581" s="1" t="str">
        <f t="shared" si="4"/>
        <v>17, 17, KADABRA</v>
      </c>
    </row>
    <row r="2582" ht="12.75" customHeight="1">
      <c r="A2582" s="3" t="s">
        <v>3599</v>
      </c>
      <c r="B2582" s="3" t="str">
        <f t="shared" si="1"/>
        <v>2, 34, 40, TENTACOOL</v>
      </c>
      <c r="C2582" s="1" t="str">
        <f t="array" ref="C2582">IF(B2581="NEW ROUTE",TEXTSPLIT(B2582,","),"")</f>
        <v/>
      </c>
      <c r="H2582" s="1" t="str">
        <f t="shared" ref="H2582:I2582" si="2584">IF(C2582&lt;&gt;"",DEC2HEX(C2582,2),"")</f>
        <v/>
      </c>
      <c r="I2582" s="1" t="str">
        <f t="shared" si="2584"/>
        <v/>
      </c>
      <c r="J2582" s="1" t="str">
        <f t="shared" si="3"/>
        <v/>
      </c>
      <c r="L2582" s="1" t="s">
        <v>3599</v>
      </c>
      <c r="M2582" s="1" t="str">
        <f t="shared" si="4"/>
        <v>2, 34, 40, TENTACOOL</v>
      </c>
    </row>
    <row r="2583" ht="12.75" customHeight="1">
      <c r="A2583" s="3" t="s">
        <v>3600</v>
      </c>
      <c r="B2583" s="3" t="str">
        <f t="shared" si="1"/>
        <v>34, 40, PSYDUCK</v>
      </c>
      <c r="C2583" s="1" t="str">
        <f t="array" ref="C2583">IF(B2582="NEW ROUTE",TEXTSPLIT(B2583,","),"")</f>
        <v/>
      </c>
      <c r="H2583" s="1" t="str">
        <f t="shared" ref="H2583:I2583" si="2585">IF(C2583&lt;&gt;"",DEC2HEX(C2583,2),"")</f>
        <v/>
      </c>
      <c r="I2583" s="1" t="str">
        <f t="shared" si="2585"/>
        <v/>
      </c>
      <c r="J2583" s="1" t="str">
        <f t="shared" si="3"/>
        <v/>
      </c>
      <c r="L2583" s="1" t="s">
        <v>3600</v>
      </c>
      <c r="M2583" s="1" t="str">
        <f t="shared" si="4"/>
        <v>34, 40, PSYDUCK</v>
      </c>
    </row>
    <row r="2584" ht="12.75" customHeight="1">
      <c r="A2584" s="3" t="s">
        <v>3601</v>
      </c>
      <c r="B2584" s="3" t="str">
        <f t="shared" si="1"/>
        <v>36, 42, TENTACRUEL</v>
      </c>
      <c r="C2584" s="1" t="str">
        <f t="array" ref="C2584">IF(B2583="NEW ROUTE",TEXTSPLIT(B2584,","),"")</f>
        <v/>
      </c>
      <c r="H2584" s="1" t="str">
        <f t="shared" ref="H2584:I2584" si="2586">IF(C2584&lt;&gt;"",DEC2HEX(C2584,2),"")</f>
        <v/>
      </c>
      <c r="I2584" s="1" t="str">
        <f t="shared" si="2586"/>
        <v/>
      </c>
      <c r="J2584" s="1" t="str">
        <f t="shared" si="3"/>
        <v/>
      </c>
      <c r="L2584" s="1" t="s">
        <v>3601</v>
      </c>
      <c r="M2584" s="1" t="str">
        <f t="shared" si="4"/>
        <v>36, 42, TENTACRUEL</v>
      </c>
    </row>
    <row r="2585" ht="12.75" customHeight="1">
      <c r="A2585" s="3" t="s">
        <v>3533</v>
      </c>
      <c r="B2585" s="3" t="str">
        <f t="shared" si="1"/>
        <v>39, 42, GOLDUCK</v>
      </c>
      <c r="C2585" s="1" t="str">
        <f t="array" ref="C2585">IF(B2584="NEW ROUTE",TEXTSPLIT(B2585,","),"")</f>
        <v/>
      </c>
      <c r="H2585" s="1" t="str">
        <f t="shared" ref="H2585:I2585" si="2587">IF(C2585&lt;&gt;"",DEC2HEX(C2585,2),"")</f>
        <v/>
      </c>
      <c r="I2585" s="1" t="str">
        <f t="shared" si="2587"/>
        <v/>
      </c>
      <c r="J2585" s="1" t="str">
        <f t="shared" si="3"/>
        <v/>
      </c>
      <c r="L2585" s="1" t="s">
        <v>3533</v>
      </c>
      <c r="M2585" s="1" t="str">
        <f t="shared" si="4"/>
        <v>39, 42, GOLDUCK</v>
      </c>
    </row>
    <row r="2586" ht="12.75" customHeight="1">
      <c r="A2586" s="3" t="s">
        <v>3602</v>
      </c>
      <c r="B2586" s="3" t="str">
        <f t="shared" si="1"/>
        <v>39, 42, VAPOREON</v>
      </c>
      <c r="C2586" s="1" t="str">
        <f t="array" ref="C2586">IF(B2585="NEW ROUTE",TEXTSPLIT(B2586,","),"")</f>
        <v/>
      </c>
      <c r="H2586" s="1" t="str">
        <f t="shared" ref="H2586:I2586" si="2588">IF(C2586&lt;&gt;"",DEC2HEX(C2586,2),"")</f>
        <v/>
      </c>
      <c r="I2586" s="1" t="str">
        <f t="shared" si="2588"/>
        <v/>
      </c>
      <c r="J2586" s="1" t="str">
        <f t="shared" si="3"/>
        <v/>
      </c>
      <c r="L2586" s="1" t="s">
        <v>3602</v>
      </c>
      <c r="M2586" s="1" t="str">
        <f t="shared" si="4"/>
        <v>39, 42, VAPOREON</v>
      </c>
    </row>
    <row r="2587" ht="12.75" customHeight="1">
      <c r="A2587" s="3" t="s">
        <v>2926</v>
      </c>
      <c r="B2587" s="3" t="str">
        <f t="shared" si="1"/>
        <v>20, old rod:</v>
      </c>
      <c r="C2587" s="1" t="str">
        <f t="array" ref="C2587">IF(B2586="NEW ROUTE",TEXTSPLIT(B2587,","),"")</f>
        <v/>
      </c>
      <c r="H2587" s="1" t="str">
        <f t="shared" ref="H2587:I2587" si="2589">IF(C2587&lt;&gt;"",DEC2HEX(C2587,2),"")</f>
        <v/>
      </c>
      <c r="I2587" s="1" t="str">
        <f t="shared" si="2589"/>
        <v/>
      </c>
      <c r="J2587" s="1" t="str">
        <f t="shared" si="3"/>
        <v/>
      </c>
      <c r="L2587" s="1" t="s">
        <v>2926</v>
      </c>
      <c r="M2587" s="1" t="str">
        <f t="shared" si="4"/>
        <v>20, old rod:</v>
      </c>
    </row>
    <row r="2588" ht="12.75" customHeight="1">
      <c r="A2588" s="3" t="s">
        <v>500</v>
      </c>
      <c r="B2588" s="3" t="str">
        <f t="shared" si="1"/>
        <v>19, 26, MAGIKARP</v>
      </c>
      <c r="C2588" s="1" t="str">
        <f t="array" ref="C2588">IF(B2587="NEW ROUTE",TEXTSPLIT(B2588,","),"")</f>
        <v/>
      </c>
      <c r="H2588" s="1" t="str">
        <f t="shared" ref="H2588:I2588" si="2590">IF(C2588&lt;&gt;"",DEC2HEX(C2588,2),"")</f>
        <v/>
      </c>
      <c r="I2588" s="1" t="str">
        <f t="shared" si="2590"/>
        <v/>
      </c>
      <c r="J2588" s="1" t="str">
        <f t="shared" si="3"/>
        <v/>
      </c>
      <c r="L2588" s="1" t="s">
        <v>500</v>
      </c>
      <c r="M2588" s="1" t="str">
        <f t="shared" si="4"/>
        <v>19, 26, MAGIKARP</v>
      </c>
    </row>
    <row r="2589" ht="12.75" customHeight="1">
      <c r="A2589" s="3" t="s">
        <v>3353</v>
      </c>
      <c r="B2589" s="3" t="str">
        <f t="shared" si="1"/>
        <v>19, 26, GYARADOS</v>
      </c>
      <c r="C2589" s="1" t="str">
        <f t="array" ref="C2589">IF(B2588="NEW ROUTE",TEXTSPLIT(B2589,","),"")</f>
        <v/>
      </c>
      <c r="H2589" s="1" t="str">
        <f t="shared" ref="H2589:I2589" si="2591">IF(C2589&lt;&gt;"",DEC2HEX(C2589,2),"")</f>
        <v/>
      </c>
      <c r="I2589" s="1" t="str">
        <f t="shared" si="2591"/>
        <v/>
      </c>
      <c r="J2589" s="1" t="str">
        <f t="shared" si="3"/>
        <v/>
      </c>
      <c r="L2589" s="1" t="s">
        <v>3353</v>
      </c>
      <c r="M2589" s="1" t="str">
        <f t="shared" si="4"/>
        <v>19, 26, GYARADOS</v>
      </c>
    </row>
    <row r="2590" ht="12.75" customHeight="1">
      <c r="A2590" s="3" t="s">
        <v>2847</v>
      </c>
      <c r="B2590" s="3" t="str">
        <f t="shared" si="1"/>
        <v>good rod:</v>
      </c>
      <c r="C2590" s="1" t="str">
        <f t="array" ref="C2590">IF(B2589="NEW ROUTE",TEXTSPLIT(B2590,","),"")</f>
        <v/>
      </c>
      <c r="H2590" s="1" t="str">
        <f t="shared" ref="H2590:I2590" si="2592">IF(C2590&lt;&gt;"",DEC2HEX(C2590,2),"")</f>
        <v/>
      </c>
      <c r="I2590" s="1" t="str">
        <f t="shared" si="2592"/>
        <v/>
      </c>
      <c r="J2590" s="1" t="str">
        <f t="shared" si="3"/>
        <v/>
      </c>
      <c r="L2590" s="1" t="s">
        <v>2847</v>
      </c>
      <c r="M2590" s="1" t="str">
        <f t="shared" si="4"/>
        <v>good rod:</v>
      </c>
    </row>
    <row r="2591" ht="12.75" customHeight="1">
      <c r="A2591" s="3" t="s">
        <v>3354</v>
      </c>
      <c r="B2591" s="3" t="str">
        <f t="shared" si="1"/>
        <v>29, 33, SLOWPOKE</v>
      </c>
      <c r="C2591" s="1" t="str">
        <f t="array" ref="C2591">IF(B2590="NEW ROUTE",TEXTSPLIT(B2591,","),"")</f>
        <v/>
      </c>
      <c r="H2591" s="1" t="str">
        <f t="shared" ref="H2591:I2591" si="2593">IF(C2591&lt;&gt;"",DEC2HEX(C2591,2),"")</f>
        <v/>
      </c>
      <c r="I2591" s="1" t="str">
        <f t="shared" si="2593"/>
        <v/>
      </c>
      <c r="J2591" s="1" t="str">
        <f t="shared" si="3"/>
        <v/>
      </c>
      <c r="L2591" s="1" t="s">
        <v>3354</v>
      </c>
      <c r="M2591" s="1" t="str">
        <f t="shared" si="4"/>
        <v>29, 33, SLOWPOKE</v>
      </c>
    </row>
    <row r="2592" ht="12.75" customHeight="1">
      <c r="A2592" s="3" t="s">
        <v>3028</v>
      </c>
      <c r="B2592" s="3" t="str">
        <f t="shared" si="1"/>
        <v>30, 35, KRABBY</v>
      </c>
      <c r="C2592" s="1" t="str">
        <f t="array" ref="C2592">IF(B2591="NEW ROUTE",TEXTSPLIT(B2592,","),"")</f>
        <v/>
      </c>
      <c r="H2592" s="1" t="str">
        <f t="shared" ref="H2592:I2592" si="2594">IF(C2592&lt;&gt;"",DEC2HEX(C2592,2),"")</f>
        <v/>
      </c>
      <c r="I2592" s="1" t="str">
        <f t="shared" si="2594"/>
        <v/>
      </c>
      <c r="J2592" s="1" t="str">
        <f t="shared" si="3"/>
        <v/>
      </c>
      <c r="L2592" s="1" t="s">
        <v>3028</v>
      </c>
      <c r="M2592" s="1" t="str">
        <f t="shared" si="4"/>
        <v>30, 35, KRABBY</v>
      </c>
    </row>
    <row r="2593" ht="12.75" customHeight="1">
      <c r="A2593" s="3" t="s">
        <v>3355</v>
      </c>
      <c r="B2593" s="3" t="str">
        <f t="shared" si="1"/>
        <v>30, 35, PSYDUCK</v>
      </c>
      <c r="C2593" s="1" t="str">
        <f t="array" ref="C2593">IF(B2592="NEW ROUTE",TEXTSPLIT(B2593,","),"")</f>
        <v/>
      </c>
      <c r="H2593" s="1" t="str">
        <f t="shared" ref="H2593:I2593" si="2595">IF(C2593&lt;&gt;"",DEC2HEX(C2593,2),"")</f>
        <v/>
      </c>
      <c r="I2593" s="1" t="str">
        <f t="shared" si="2595"/>
        <v/>
      </c>
      <c r="J2593" s="1" t="str">
        <f t="shared" si="3"/>
        <v/>
      </c>
      <c r="L2593" s="1" t="s">
        <v>3355</v>
      </c>
      <c r="M2593" s="1" t="str">
        <f t="shared" si="4"/>
        <v>30, 35, PSYDUCK</v>
      </c>
    </row>
    <row r="2594" ht="12.75" customHeight="1">
      <c r="A2594" s="3" t="s">
        <v>2851</v>
      </c>
      <c r="B2594" s="3" t="str">
        <f t="shared" si="1"/>
        <v>super rod:</v>
      </c>
      <c r="C2594" s="1" t="str">
        <f t="array" ref="C2594">IF(B2593="NEW ROUTE",TEXTSPLIT(B2594,","),"")</f>
        <v/>
      </c>
      <c r="H2594" s="1" t="str">
        <f t="shared" ref="H2594:I2594" si="2596">IF(C2594&lt;&gt;"",DEC2HEX(C2594,2),"")</f>
        <v/>
      </c>
      <c r="I2594" s="1" t="str">
        <f t="shared" si="2596"/>
        <v/>
      </c>
      <c r="J2594" s="1" t="str">
        <f t="shared" si="3"/>
        <v/>
      </c>
      <c r="L2594" s="1" t="s">
        <v>2851</v>
      </c>
      <c r="M2594" s="1" t="str">
        <f t="shared" si="4"/>
        <v>super rod:</v>
      </c>
    </row>
    <row r="2595" ht="12.75" customHeight="1">
      <c r="A2595" s="3" t="s">
        <v>3356</v>
      </c>
      <c r="B2595" s="3" t="str">
        <f t="shared" si="1"/>
        <v>36, 40, SLOWBRO</v>
      </c>
      <c r="C2595" s="1" t="str">
        <f t="array" ref="C2595">IF(B2594="NEW ROUTE",TEXTSPLIT(B2595,","),"")</f>
        <v/>
      </c>
      <c r="H2595" s="1" t="str">
        <f t="shared" ref="H2595:I2595" si="2597">IF(C2595&lt;&gt;"",DEC2HEX(C2595,2),"")</f>
        <v/>
      </c>
      <c r="I2595" s="1" t="str">
        <f t="shared" si="2597"/>
        <v/>
      </c>
      <c r="J2595" s="1" t="str">
        <f t="shared" si="3"/>
        <v/>
      </c>
      <c r="L2595" s="1" t="s">
        <v>3356</v>
      </c>
      <c r="M2595" s="1" t="str">
        <f t="shared" si="4"/>
        <v>36, 40, SLOWBRO</v>
      </c>
    </row>
    <row r="2596" ht="12.75" customHeight="1">
      <c r="A2596" s="3" t="s">
        <v>3357</v>
      </c>
      <c r="B2596" s="3" t="str">
        <f t="shared" si="1"/>
        <v>36, 40, GYARADOS</v>
      </c>
      <c r="C2596" s="1" t="str">
        <f t="array" ref="C2596">IF(B2595="NEW ROUTE",TEXTSPLIT(B2596,","),"")</f>
        <v/>
      </c>
      <c r="H2596" s="1" t="str">
        <f t="shared" ref="H2596:I2596" si="2598">IF(C2596&lt;&gt;"",DEC2HEX(C2596,2),"")</f>
        <v/>
      </c>
      <c r="I2596" s="1" t="str">
        <f t="shared" si="2598"/>
        <v/>
      </c>
      <c r="J2596" s="1" t="str">
        <f t="shared" si="3"/>
        <v/>
      </c>
      <c r="L2596" s="1" t="s">
        <v>3357</v>
      </c>
      <c r="M2596" s="1" t="str">
        <f t="shared" si="4"/>
        <v>36, 40, GYARADOS</v>
      </c>
    </row>
    <row r="2597" ht="12.75" customHeight="1">
      <c r="A2597" s="3" t="s">
        <v>3358</v>
      </c>
      <c r="B2597" s="3" t="str">
        <f t="shared" si="1"/>
        <v>38, 42, GOLDUCK</v>
      </c>
      <c r="C2597" s="1" t="str">
        <f t="array" ref="C2597">IF(B2596="NEW ROUTE",TEXTSPLIT(B2597,","),"")</f>
        <v/>
      </c>
      <c r="H2597" s="1" t="str">
        <f t="shared" ref="H2597:I2597" si="2599">IF(C2597&lt;&gt;"",DEC2HEX(C2597,2),"")</f>
        <v/>
      </c>
      <c r="I2597" s="1" t="str">
        <f t="shared" si="2599"/>
        <v/>
      </c>
      <c r="J2597" s="1" t="str">
        <f t="shared" si="3"/>
        <v/>
      </c>
      <c r="L2597" s="1" t="s">
        <v>3358</v>
      </c>
      <c r="M2597" s="1" t="str">
        <f t="shared" si="4"/>
        <v>38, 42, GOLDUCK</v>
      </c>
    </row>
    <row r="2598" ht="12.75" customHeight="1">
      <c r="A2598" s="3" t="s">
        <v>3359</v>
      </c>
      <c r="B2598" s="3" t="str">
        <f t="shared" si="1"/>
        <v>38, 42, KINGLER</v>
      </c>
      <c r="C2598" s="1" t="str">
        <f t="array" ref="C2598">IF(B2597="NEW ROUTE",TEXTSPLIT(B2598,","),"")</f>
        <v/>
      </c>
      <c r="H2598" s="1" t="str">
        <f t="shared" ref="H2598:I2598" si="2600">IF(C2598&lt;&gt;"",DEC2HEX(C2598,2),"")</f>
        <v/>
      </c>
      <c r="I2598" s="1" t="str">
        <f t="shared" si="2600"/>
        <v/>
      </c>
      <c r="J2598" s="1" t="str">
        <f t="shared" si="3"/>
        <v/>
      </c>
      <c r="L2598" s="1" t="s">
        <v>3359</v>
      </c>
      <c r="M2598" s="1" t="str">
        <f t="shared" si="4"/>
        <v>38, 42, KINGLER</v>
      </c>
    </row>
    <row r="2599" ht="12.75" customHeight="1">
      <c r="A2599" s="3" t="s">
        <v>3360</v>
      </c>
      <c r="B2599" s="3" t="str">
        <f t="shared" si="1"/>
        <v>40, 44, SLOWMATE</v>
      </c>
      <c r="C2599" s="1" t="str">
        <f t="array" ref="C2599">IF(B2598="NEW ROUTE",TEXTSPLIT(B2599,","),"")</f>
        <v/>
      </c>
      <c r="H2599" s="1" t="str">
        <f t="shared" ref="H2599:I2599" si="2601">IF(C2599&lt;&gt;"",DEC2HEX(C2599,2),"")</f>
        <v/>
      </c>
      <c r="I2599" s="1" t="str">
        <f t="shared" si="2601"/>
        <v/>
      </c>
      <c r="J2599" s="1" t="str">
        <f t="shared" si="3"/>
        <v/>
      </c>
      <c r="L2599" s="1" t="s">
        <v>3360</v>
      </c>
      <c r="M2599" s="1" t="str">
        <f t="shared" si="4"/>
        <v>40, 44, SLOWMATE</v>
      </c>
    </row>
    <row r="2600" ht="12.75" customHeight="1">
      <c r="A2600" s="3" t="s">
        <v>2539</v>
      </c>
      <c r="B2600" s="3" t="str">
        <f t="shared" si="1"/>
        <v>NEW ROUTE</v>
      </c>
      <c r="C2600" s="1" t="str">
        <f t="array" ref="C2600">IF(B2599="NEW ROUTE",TEXTSPLIT(B2600,","),"")</f>
        <v/>
      </c>
      <c r="H2600" s="1" t="str">
        <f t="shared" ref="H2600:I2600" si="2602">IF(C2600&lt;&gt;"",DEC2HEX(C2600,2),"")</f>
        <v/>
      </c>
      <c r="I2600" s="1" t="str">
        <f t="shared" si="2602"/>
        <v/>
      </c>
      <c r="J2600" s="1" t="str">
        <f t="shared" si="3"/>
        <v/>
      </c>
      <c r="L2600" s="1" t="s">
        <v>2539</v>
      </c>
      <c r="M2600" s="1" t="str">
        <f t="shared" si="4"/>
        <v>NEW ROUTE</v>
      </c>
    </row>
    <row r="2601" ht="12.75" customHeight="1">
      <c r="A2601" s="3" t="s">
        <v>3603</v>
      </c>
      <c r="B2601" s="3" t="str">
        <f t="shared" si="1"/>
        <v>3, 44, 0,</v>
      </c>
      <c r="C2601" s="1" t="str">
        <f t="array" ref="C2601">IF(B2600="NEW ROUTE",TEXTSPLIT(B2601,","),"")</f>
        <v>#NAME?</v>
      </c>
      <c r="H2601" s="1" t="str">
        <f t="shared" ref="H2601:I2601" si="2603">IF(C2601&lt;&gt;"",DEC2HEX(C2601,2),"")</f>
        <v>#NAME?</v>
      </c>
      <c r="I2601" s="1" t="str">
        <f t="shared" si="2603"/>
        <v/>
      </c>
      <c r="J2601" s="1" t="str">
        <f t="shared" si="3"/>
        <v>#NAME?</v>
      </c>
      <c r="L2601" s="1" t="s">
        <v>3603</v>
      </c>
      <c r="M2601" s="1" t="str">
        <f t="shared" si="4"/>
        <v>#NAME?</v>
      </c>
    </row>
    <row r="2602" ht="12.75" customHeight="1">
      <c r="A2602" s="3" t="s">
        <v>2909</v>
      </c>
      <c r="B2602" s="3" t="str">
        <f t="shared" si="1"/>
        <v>20%</v>
      </c>
      <c r="C2602" s="1" t="str">
        <f t="array" ref="C2602">IF(B2601="NEW ROUTE",TEXTSPLIT(B2602,","),"")</f>
        <v/>
      </c>
      <c r="H2602" s="1" t="str">
        <f t="shared" ref="H2602:I2602" si="2604">IF(C2602&lt;&gt;"",DEC2HEX(C2602,2),"")</f>
        <v/>
      </c>
      <c r="I2602" s="1" t="str">
        <f t="shared" si="2604"/>
        <v/>
      </c>
      <c r="J2602" s="1" t="str">
        <f t="shared" si="3"/>
        <v/>
      </c>
      <c r="L2602" s="1" t="s">
        <v>2799</v>
      </c>
      <c r="M2602" s="1" t="str">
        <f t="shared" si="4"/>
        <v>20%</v>
      </c>
    </row>
    <row r="2603" ht="12.75" customHeight="1">
      <c r="A2603" s="3" t="s">
        <v>1240</v>
      </c>
      <c r="B2603" s="3" t="str">
        <f t="shared" si="1"/>
        <v>14, 17, PIDGEY</v>
      </c>
      <c r="C2603" s="1" t="str">
        <f t="array" ref="C2603">IF(B2602="NEW ROUTE",TEXTSPLIT(B2603,","),"")</f>
        <v/>
      </c>
      <c r="H2603" s="1" t="str">
        <f t="shared" ref="H2603:I2603" si="2605">IF(C2603&lt;&gt;"",DEC2HEX(C2603,2),"")</f>
        <v/>
      </c>
      <c r="I2603" s="1" t="str">
        <f t="shared" si="2605"/>
        <v/>
      </c>
      <c r="J2603" s="1" t="str">
        <f t="shared" si="3"/>
        <v/>
      </c>
      <c r="L2603" s="1" t="s">
        <v>1240</v>
      </c>
      <c r="M2603" s="1" t="str">
        <f t="shared" si="4"/>
        <v>14, 17, PIDGEY</v>
      </c>
    </row>
    <row r="2604" ht="12.75" customHeight="1">
      <c r="A2604" s="3" t="s">
        <v>3604</v>
      </c>
      <c r="B2604" s="3" t="str">
        <f t="shared" si="1"/>
        <v>14, 17, ODDISH</v>
      </c>
      <c r="C2604" s="1" t="str">
        <f t="array" ref="C2604">IF(B2603="NEW ROUTE",TEXTSPLIT(B2604,","),"")</f>
        <v/>
      </c>
      <c r="H2604" s="1" t="str">
        <f t="shared" ref="H2604:I2604" si="2606">IF(C2604&lt;&gt;"",DEC2HEX(C2604,2),"")</f>
        <v/>
      </c>
      <c r="I2604" s="1" t="str">
        <f t="shared" si="2606"/>
        <v/>
      </c>
      <c r="J2604" s="1" t="str">
        <f t="shared" si="3"/>
        <v/>
      </c>
      <c r="L2604" s="1" t="s">
        <v>3604</v>
      </c>
      <c r="M2604" s="1" t="str">
        <f t="shared" si="4"/>
        <v>14, 17, ODDISH</v>
      </c>
    </row>
    <row r="2605" ht="12.75" customHeight="1">
      <c r="A2605" s="3" t="s">
        <v>2802</v>
      </c>
      <c r="B2605" s="3" t="str">
        <f t="shared" si="1"/>
        <v>0.1</v>
      </c>
      <c r="C2605" s="1" t="str">
        <f t="array" ref="C2605">IF(B2604="NEW ROUTE",TEXTSPLIT(B2605,","),"")</f>
        <v/>
      </c>
      <c r="H2605" s="1" t="str">
        <f t="shared" ref="H2605:I2605" si="2607">IF(C2605&lt;&gt;"",DEC2HEX(C2605,2),"")</f>
        <v/>
      </c>
      <c r="I2605" s="1" t="str">
        <f t="shared" si="2607"/>
        <v/>
      </c>
      <c r="J2605" s="1" t="str">
        <f t="shared" si="3"/>
        <v/>
      </c>
      <c r="L2605" s="1" t="s">
        <v>2802</v>
      </c>
      <c r="M2605" s="1" t="str">
        <f t="shared" si="4"/>
        <v>0.1</v>
      </c>
    </row>
    <row r="2606" ht="12.75" customHeight="1">
      <c r="A2606" s="3" t="s">
        <v>3605</v>
      </c>
      <c r="B2606" s="3" t="str">
        <f t="shared" si="1"/>
        <v>15, 17, BELLSPROUT</v>
      </c>
      <c r="C2606" s="1" t="str">
        <f t="array" ref="C2606">IF(B2605="NEW ROUTE",TEXTSPLIT(B2606,","),"")</f>
        <v/>
      </c>
      <c r="H2606" s="1" t="str">
        <f t="shared" ref="H2606:I2606" si="2608">IF(C2606&lt;&gt;"",DEC2HEX(C2606,2),"")</f>
        <v/>
      </c>
      <c r="I2606" s="1" t="str">
        <f t="shared" si="2608"/>
        <v/>
      </c>
      <c r="J2606" s="1" t="str">
        <f t="shared" si="3"/>
        <v/>
      </c>
      <c r="L2606" s="1" t="s">
        <v>3605</v>
      </c>
      <c r="M2606" s="1" t="str">
        <f t="shared" si="4"/>
        <v>15, 17, BELLSPROUT</v>
      </c>
    </row>
    <row r="2607" ht="12.75" customHeight="1">
      <c r="A2607" s="3" t="s">
        <v>3362</v>
      </c>
      <c r="B2607" s="3" t="str">
        <f t="shared" si="1"/>
        <v>15, 17, MEOWTH</v>
      </c>
      <c r="C2607" s="1" t="str">
        <f t="array" ref="C2607">IF(B2606="NEW ROUTE",TEXTSPLIT(B2607,","),"")</f>
        <v/>
      </c>
      <c r="H2607" s="1" t="str">
        <f t="shared" ref="H2607:I2607" si="2609">IF(C2607&lt;&gt;"",DEC2HEX(C2607,2),"")</f>
        <v/>
      </c>
      <c r="I2607" s="1" t="str">
        <f t="shared" si="2609"/>
        <v/>
      </c>
      <c r="J2607" s="1" t="str">
        <f t="shared" si="3"/>
        <v/>
      </c>
      <c r="L2607" s="1" t="s">
        <v>3362</v>
      </c>
      <c r="M2607" s="1" t="str">
        <f t="shared" si="4"/>
        <v>15, 17, MEOWTH</v>
      </c>
    </row>
    <row r="2608" ht="12.75" customHeight="1">
      <c r="A2608" s="3" t="s">
        <v>3606</v>
      </c>
      <c r="B2608" s="3" t="str">
        <f t="shared" si="1"/>
        <v>15, 17, PSYDUCK</v>
      </c>
      <c r="C2608" s="1" t="str">
        <f t="array" ref="C2608">IF(B2607="NEW ROUTE",TEXTSPLIT(B2608,","),"")</f>
        <v/>
      </c>
      <c r="H2608" s="1" t="str">
        <f t="shared" ref="H2608:I2608" si="2610">IF(C2608&lt;&gt;"",DEC2HEX(C2608,2),"")</f>
        <v/>
      </c>
      <c r="I2608" s="1" t="str">
        <f t="shared" si="2610"/>
        <v/>
      </c>
      <c r="J2608" s="1" t="str">
        <f t="shared" si="3"/>
        <v/>
      </c>
      <c r="L2608" s="1" t="s">
        <v>3606</v>
      </c>
      <c r="M2608" s="1" t="str">
        <f t="shared" si="4"/>
        <v>15, 17, PSYDUCK</v>
      </c>
    </row>
    <row r="2609" ht="12.75" customHeight="1">
      <c r="A2609" s="3" t="s">
        <v>3607</v>
      </c>
      <c r="B2609" s="3" t="str">
        <f t="shared" si="1"/>
        <v>15, 17, PIDGEOTTO</v>
      </c>
      <c r="C2609" s="1" t="str">
        <f t="array" ref="C2609">IF(B2608="NEW ROUTE",TEXTSPLIT(B2609,","),"")</f>
        <v/>
      </c>
      <c r="H2609" s="1" t="str">
        <f t="shared" ref="H2609:I2609" si="2611">IF(C2609&lt;&gt;"",DEC2HEX(C2609,2),"")</f>
        <v/>
      </c>
      <c r="I2609" s="1" t="str">
        <f t="shared" si="2611"/>
        <v/>
      </c>
      <c r="J2609" s="1" t="str">
        <f t="shared" si="3"/>
        <v/>
      </c>
      <c r="L2609" s="1" t="s">
        <v>3607</v>
      </c>
      <c r="M2609" s="1" t="str">
        <f t="shared" si="4"/>
        <v>15, 17, PIDGEOTTO</v>
      </c>
    </row>
    <row r="2610" ht="12.75" customHeight="1">
      <c r="A2610" s="3" t="s">
        <v>2807</v>
      </c>
      <c r="B2610" s="3" t="str">
        <f t="shared" si="1"/>
        <v>0.05</v>
      </c>
      <c r="C2610" s="1" t="str">
        <f t="array" ref="C2610">IF(B2609="NEW ROUTE",TEXTSPLIT(B2610,","),"")</f>
        <v/>
      </c>
      <c r="H2610" s="1" t="str">
        <f t="shared" ref="H2610:I2610" si="2612">IF(C2610&lt;&gt;"",DEC2HEX(C2610,2),"")</f>
        <v/>
      </c>
      <c r="I2610" s="1" t="str">
        <f t="shared" si="2612"/>
        <v/>
      </c>
      <c r="J2610" s="1" t="str">
        <f t="shared" si="3"/>
        <v/>
      </c>
      <c r="L2610" s="1" t="s">
        <v>2807</v>
      </c>
      <c r="M2610" s="1" t="str">
        <f t="shared" si="4"/>
        <v>0.05</v>
      </c>
    </row>
    <row r="2611" ht="12.75" customHeight="1">
      <c r="A2611" s="3" t="s">
        <v>3594</v>
      </c>
      <c r="B2611" s="3" t="str">
        <f t="shared" si="1"/>
        <v>16, 16, PIKACHU</v>
      </c>
      <c r="C2611" s="1" t="str">
        <f t="array" ref="C2611">IF(B2610="NEW ROUTE",TEXTSPLIT(B2611,","),"")</f>
        <v/>
      </c>
      <c r="H2611" s="1" t="str">
        <f t="shared" ref="H2611:I2611" si="2613">IF(C2611&lt;&gt;"",DEC2HEX(C2611,2),"")</f>
        <v/>
      </c>
      <c r="I2611" s="1" t="str">
        <f t="shared" si="2613"/>
        <v/>
      </c>
      <c r="J2611" s="1" t="str">
        <f t="shared" si="3"/>
        <v/>
      </c>
      <c r="L2611" s="1" t="s">
        <v>3594</v>
      </c>
      <c r="M2611" s="1" t="str">
        <f t="shared" si="4"/>
        <v>16, 16, PIKACHU</v>
      </c>
    </row>
    <row r="2612" ht="12.75" customHeight="1">
      <c r="A2612" s="3" t="s">
        <v>3595</v>
      </c>
      <c r="B2612" s="3" t="str">
        <f t="shared" si="1"/>
        <v>16, 16, ABRA</v>
      </c>
      <c r="C2612" s="1" t="str">
        <f t="array" ref="C2612">IF(B2611="NEW ROUTE",TEXTSPLIT(B2612,","),"")</f>
        <v/>
      </c>
      <c r="H2612" s="1" t="str">
        <f t="shared" ref="H2612:I2612" si="2614">IF(C2612&lt;&gt;"",DEC2HEX(C2612,2),"")</f>
        <v/>
      </c>
      <c r="I2612" s="1" t="str">
        <f t="shared" si="2614"/>
        <v/>
      </c>
      <c r="J2612" s="1" t="str">
        <f t="shared" si="3"/>
        <v/>
      </c>
      <c r="L2612" s="1" t="s">
        <v>3595</v>
      </c>
      <c r="M2612" s="1" t="str">
        <f t="shared" si="4"/>
        <v>16, 16, ABRA</v>
      </c>
    </row>
    <row r="2613" ht="12.75" customHeight="1">
      <c r="A2613" s="3" t="s">
        <v>2810</v>
      </c>
      <c r="B2613" s="3" t="str">
        <f t="shared" si="1"/>
        <v>0.04</v>
      </c>
      <c r="C2613" s="1" t="str">
        <f t="array" ref="C2613">IF(B2612="NEW ROUTE",TEXTSPLIT(B2613,","),"")</f>
        <v/>
      </c>
      <c r="H2613" s="1" t="str">
        <f t="shared" ref="H2613:I2613" si="2615">IF(C2613&lt;&gt;"",DEC2HEX(C2613,2),"")</f>
        <v/>
      </c>
      <c r="I2613" s="1" t="str">
        <f t="shared" si="2615"/>
        <v/>
      </c>
      <c r="J2613" s="1" t="str">
        <f t="shared" si="3"/>
        <v/>
      </c>
      <c r="L2613" s="1" t="s">
        <v>2810</v>
      </c>
      <c r="M2613" s="1" t="str">
        <f t="shared" si="4"/>
        <v>0.04</v>
      </c>
    </row>
    <row r="2614" ht="12.75" customHeight="1">
      <c r="A2614" s="3" t="s">
        <v>3596</v>
      </c>
      <c r="B2614" s="3" t="str">
        <f t="shared" si="1"/>
        <v>15, 18, VENONAT</v>
      </c>
      <c r="C2614" s="1" t="str">
        <f t="array" ref="C2614">IF(B2613="NEW ROUTE",TEXTSPLIT(B2614,","),"")</f>
        <v/>
      </c>
      <c r="H2614" s="1" t="str">
        <f t="shared" ref="H2614:I2614" si="2616">IF(C2614&lt;&gt;"",DEC2HEX(C2614,2),"")</f>
        <v/>
      </c>
      <c r="I2614" s="1" t="str">
        <f t="shared" si="2616"/>
        <v/>
      </c>
      <c r="J2614" s="1" t="str">
        <f t="shared" si="3"/>
        <v/>
      </c>
      <c r="L2614" s="1" t="s">
        <v>3596</v>
      </c>
      <c r="M2614" s="1" t="str">
        <f t="shared" si="4"/>
        <v>15, 18, VENONAT</v>
      </c>
    </row>
    <row r="2615" ht="12.75" customHeight="1">
      <c r="A2615" s="3" t="s">
        <v>3597</v>
      </c>
      <c r="B2615" s="3" t="str">
        <f t="shared" si="1"/>
        <v>15, 18, GLOOM</v>
      </c>
      <c r="C2615" s="1" t="str">
        <f t="array" ref="C2615">IF(B2614="NEW ROUTE",TEXTSPLIT(B2615,","),"")</f>
        <v/>
      </c>
      <c r="H2615" s="1" t="str">
        <f t="shared" ref="H2615:I2615" si="2617">IF(C2615&lt;&gt;"",DEC2HEX(C2615,2),"")</f>
        <v/>
      </c>
      <c r="I2615" s="1" t="str">
        <f t="shared" si="2617"/>
        <v/>
      </c>
      <c r="J2615" s="1" t="str">
        <f t="shared" si="3"/>
        <v/>
      </c>
      <c r="L2615" s="1" t="s">
        <v>3597</v>
      </c>
      <c r="M2615" s="1" t="str">
        <f t="shared" si="4"/>
        <v>15, 18, GLOOM</v>
      </c>
    </row>
    <row r="2616" ht="12.75" customHeight="1">
      <c r="A2616" s="3" t="s">
        <v>2813</v>
      </c>
      <c r="B2616" s="3" t="str">
        <f t="shared" si="1"/>
        <v>0.01</v>
      </c>
      <c r="C2616" s="1" t="str">
        <f t="array" ref="C2616">IF(B2615="NEW ROUTE",TEXTSPLIT(B2616,","),"")</f>
        <v/>
      </c>
      <c r="H2616" s="1" t="str">
        <f t="shared" ref="H2616:I2616" si="2618">IF(C2616&lt;&gt;"",DEC2HEX(C2616,2),"")</f>
        <v/>
      </c>
      <c r="I2616" s="1" t="str">
        <f t="shared" si="2618"/>
        <v/>
      </c>
      <c r="J2616" s="1" t="str">
        <f t="shared" si="3"/>
        <v/>
      </c>
      <c r="L2616" s="1" t="s">
        <v>2813</v>
      </c>
      <c r="M2616" s="1" t="str">
        <f t="shared" si="4"/>
        <v>0.01</v>
      </c>
    </row>
    <row r="2617" ht="12.75" customHeight="1">
      <c r="A2617" s="3" t="s">
        <v>3608</v>
      </c>
      <c r="B2617" s="3" t="str">
        <f t="shared" si="1"/>
        <v>18, 18, KADABRA</v>
      </c>
      <c r="C2617" s="1" t="str">
        <f t="array" ref="C2617">IF(B2616="NEW ROUTE",TEXTSPLIT(B2617,","),"")</f>
        <v/>
      </c>
      <c r="H2617" s="1" t="str">
        <f t="shared" ref="H2617:I2617" si="2619">IF(C2617&lt;&gt;"",DEC2HEX(C2617,2),"")</f>
        <v/>
      </c>
      <c r="I2617" s="1" t="str">
        <f t="shared" si="2619"/>
        <v/>
      </c>
      <c r="J2617" s="1" t="str">
        <f t="shared" si="3"/>
        <v/>
      </c>
      <c r="L2617" s="1" t="s">
        <v>3608</v>
      </c>
      <c r="M2617" s="1" t="str">
        <f t="shared" si="4"/>
        <v>18, 18, KADABRA</v>
      </c>
    </row>
    <row r="2618" ht="12.75" customHeight="1">
      <c r="A2618" s="3" t="s">
        <v>3608</v>
      </c>
      <c r="B2618" s="3" t="str">
        <f t="shared" si="1"/>
        <v>18, 18, KADABRA</v>
      </c>
      <c r="C2618" s="1" t="str">
        <f t="array" ref="C2618">IF(B2617="NEW ROUTE",TEXTSPLIT(B2618,","),"")</f>
        <v/>
      </c>
      <c r="H2618" s="1" t="str">
        <f t="shared" ref="H2618:I2618" si="2620">IF(C2618&lt;&gt;"",DEC2HEX(C2618,2),"")</f>
        <v/>
      </c>
      <c r="I2618" s="1" t="str">
        <f t="shared" si="2620"/>
        <v/>
      </c>
      <c r="J2618" s="1" t="str">
        <f t="shared" si="3"/>
        <v/>
      </c>
      <c r="L2618" s="1" t="s">
        <v>3608</v>
      </c>
      <c r="M2618" s="1" t="str">
        <f t="shared" si="4"/>
        <v>18, 18, KADABRA</v>
      </c>
    </row>
    <row r="2619" ht="12.75" customHeight="1">
      <c r="A2619" s="3" t="s">
        <v>3599</v>
      </c>
      <c r="B2619" s="3" t="str">
        <f t="shared" si="1"/>
        <v>2, 34, 40, TENTACOOL</v>
      </c>
      <c r="C2619" s="1" t="str">
        <f t="array" ref="C2619">IF(B2618="NEW ROUTE",TEXTSPLIT(B2619,","),"")</f>
        <v/>
      </c>
      <c r="H2619" s="1" t="str">
        <f t="shared" ref="H2619:I2619" si="2621">IF(C2619&lt;&gt;"",DEC2HEX(C2619,2),"")</f>
        <v/>
      </c>
      <c r="I2619" s="1" t="str">
        <f t="shared" si="2621"/>
        <v/>
      </c>
      <c r="J2619" s="1" t="str">
        <f t="shared" si="3"/>
        <v/>
      </c>
      <c r="L2619" s="1" t="s">
        <v>3599</v>
      </c>
      <c r="M2619" s="1" t="str">
        <f t="shared" si="4"/>
        <v>2, 34, 40, TENTACOOL</v>
      </c>
    </row>
    <row r="2620" ht="12.75" customHeight="1">
      <c r="A2620" s="3" t="s">
        <v>3600</v>
      </c>
      <c r="B2620" s="3" t="str">
        <f t="shared" si="1"/>
        <v>34, 40, PSYDUCK</v>
      </c>
      <c r="C2620" s="1" t="str">
        <f t="array" ref="C2620">IF(B2619="NEW ROUTE",TEXTSPLIT(B2620,","),"")</f>
        <v/>
      </c>
      <c r="H2620" s="1" t="str">
        <f t="shared" ref="H2620:I2620" si="2622">IF(C2620&lt;&gt;"",DEC2HEX(C2620,2),"")</f>
        <v/>
      </c>
      <c r="I2620" s="1" t="str">
        <f t="shared" si="2622"/>
        <v/>
      </c>
      <c r="J2620" s="1" t="str">
        <f t="shared" si="3"/>
        <v/>
      </c>
      <c r="L2620" s="1" t="s">
        <v>3600</v>
      </c>
      <c r="M2620" s="1" t="str">
        <f t="shared" si="4"/>
        <v>34, 40, PSYDUCK</v>
      </c>
    </row>
    <row r="2621" ht="12.75" customHeight="1">
      <c r="A2621" s="3" t="s">
        <v>3601</v>
      </c>
      <c r="B2621" s="3" t="str">
        <f t="shared" si="1"/>
        <v>36, 42, TENTACRUEL</v>
      </c>
      <c r="C2621" s="1" t="str">
        <f t="array" ref="C2621">IF(B2620="NEW ROUTE",TEXTSPLIT(B2621,","),"")</f>
        <v/>
      </c>
      <c r="H2621" s="1" t="str">
        <f t="shared" ref="H2621:I2621" si="2623">IF(C2621&lt;&gt;"",DEC2HEX(C2621,2),"")</f>
        <v/>
      </c>
      <c r="I2621" s="1" t="str">
        <f t="shared" si="2623"/>
        <v/>
      </c>
      <c r="J2621" s="1" t="str">
        <f t="shared" si="3"/>
        <v/>
      </c>
      <c r="L2621" s="1" t="s">
        <v>3601</v>
      </c>
      <c r="M2621" s="1" t="str">
        <f t="shared" si="4"/>
        <v>36, 42, TENTACRUEL</v>
      </c>
    </row>
    <row r="2622" ht="12.75" customHeight="1">
      <c r="A2622" s="3" t="s">
        <v>3533</v>
      </c>
      <c r="B2622" s="3" t="str">
        <f t="shared" si="1"/>
        <v>39, 42, GOLDUCK</v>
      </c>
      <c r="C2622" s="1" t="str">
        <f t="array" ref="C2622">IF(B2621="NEW ROUTE",TEXTSPLIT(B2622,","),"")</f>
        <v/>
      </c>
      <c r="H2622" s="1" t="str">
        <f t="shared" ref="H2622:I2622" si="2624">IF(C2622&lt;&gt;"",DEC2HEX(C2622,2),"")</f>
        <v/>
      </c>
      <c r="I2622" s="1" t="str">
        <f t="shared" si="2624"/>
        <v/>
      </c>
      <c r="J2622" s="1" t="str">
        <f t="shared" si="3"/>
        <v/>
      </c>
      <c r="L2622" s="1" t="s">
        <v>3533</v>
      </c>
      <c r="M2622" s="1" t="str">
        <f t="shared" si="4"/>
        <v>39, 42, GOLDUCK</v>
      </c>
    </row>
    <row r="2623" ht="12.75" customHeight="1">
      <c r="A2623" s="3" t="s">
        <v>3602</v>
      </c>
      <c r="B2623" s="3" t="str">
        <f t="shared" si="1"/>
        <v>39, 42, VAPOREON</v>
      </c>
      <c r="C2623" s="1" t="str">
        <f t="array" ref="C2623">IF(B2622="NEW ROUTE",TEXTSPLIT(B2623,","),"")</f>
        <v/>
      </c>
      <c r="H2623" s="1" t="str">
        <f t="shared" ref="H2623:I2623" si="2625">IF(C2623&lt;&gt;"",DEC2HEX(C2623,2),"")</f>
        <v/>
      </c>
      <c r="I2623" s="1" t="str">
        <f t="shared" si="2625"/>
        <v/>
      </c>
      <c r="J2623" s="1" t="str">
        <f t="shared" si="3"/>
        <v/>
      </c>
      <c r="L2623" s="1" t="s">
        <v>3602</v>
      </c>
      <c r="M2623" s="1" t="str">
        <f t="shared" si="4"/>
        <v>39, 42, VAPOREON</v>
      </c>
    </row>
    <row r="2624" ht="12.75" customHeight="1">
      <c r="A2624" s="3" t="s">
        <v>2926</v>
      </c>
      <c r="B2624" s="3" t="str">
        <f t="shared" si="1"/>
        <v>20, old rod:</v>
      </c>
      <c r="C2624" s="1" t="str">
        <f t="array" ref="C2624">IF(B2623="NEW ROUTE",TEXTSPLIT(B2624,","),"")</f>
        <v/>
      </c>
      <c r="H2624" s="1" t="str">
        <f t="shared" ref="H2624:I2624" si="2626">IF(C2624&lt;&gt;"",DEC2HEX(C2624,2),"")</f>
        <v/>
      </c>
      <c r="I2624" s="1" t="str">
        <f t="shared" si="2626"/>
        <v/>
      </c>
      <c r="J2624" s="1" t="str">
        <f t="shared" si="3"/>
        <v/>
      </c>
      <c r="L2624" s="1" t="s">
        <v>2926</v>
      </c>
      <c r="M2624" s="1" t="str">
        <f t="shared" si="4"/>
        <v>20, old rod:</v>
      </c>
    </row>
    <row r="2625" ht="12.75" customHeight="1">
      <c r="A2625" s="3" t="s">
        <v>500</v>
      </c>
      <c r="B2625" s="3" t="str">
        <f t="shared" si="1"/>
        <v>19, 26, MAGIKARP</v>
      </c>
      <c r="C2625" s="1" t="str">
        <f t="array" ref="C2625">IF(B2624="NEW ROUTE",TEXTSPLIT(B2625,","),"")</f>
        <v/>
      </c>
      <c r="H2625" s="1" t="str">
        <f t="shared" ref="H2625:I2625" si="2627">IF(C2625&lt;&gt;"",DEC2HEX(C2625,2),"")</f>
        <v/>
      </c>
      <c r="I2625" s="1" t="str">
        <f t="shared" si="2627"/>
        <v/>
      </c>
      <c r="J2625" s="1" t="str">
        <f t="shared" si="3"/>
        <v/>
      </c>
      <c r="L2625" s="1" t="s">
        <v>500</v>
      </c>
      <c r="M2625" s="1" t="str">
        <f t="shared" si="4"/>
        <v>19, 26, MAGIKARP</v>
      </c>
    </row>
    <row r="2626" ht="12.75" customHeight="1">
      <c r="A2626" s="3" t="s">
        <v>3353</v>
      </c>
      <c r="B2626" s="3" t="str">
        <f t="shared" si="1"/>
        <v>19, 26, GYARADOS</v>
      </c>
      <c r="C2626" s="1" t="str">
        <f t="array" ref="C2626">IF(B2625="NEW ROUTE",TEXTSPLIT(B2626,","),"")</f>
        <v/>
      </c>
      <c r="H2626" s="1" t="str">
        <f t="shared" ref="H2626:I2626" si="2628">IF(C2626&lt;&gt;"",DEC2HEX(C2626,2),"")</f>
        <v/>
      </c>
      <c r="I2626" s="1" t="str">
        <f t="shared" si="2628"/>
        <v/>
      </c>
      <c r="J2626" s="1" t="str">
        <f t="shared" si="3"/>
        <v/>
      </c>
      <c r="L2626" s="1" t="s">
        <v>3353</v>
      </c>
      <c r="M2626" s="1" t="str">
        <f t="shared" si="4"/>
        <v>19, 26, GYARADOS</v>
      </c>
    </row>
    <row r="2627" ht="12.75" customHeight="1">
      <c r="A2627" s="3" t="s">
        <v>2847</v>
      </c>
      <c r="B2627" s="3" t="str">
        <f t="shared" si="1"/>
        <v>good rod:</v>
      </c>
      <c r="C2627" s="1" t="str">
        <f t="array" ref="C2627">IF(B2626="NEW ROUTE",TEXTSPLIT(B2627,","),"")</f>
        <v/>
      </c>
      <c r="H2627" s="1" t="str">
        <f t="shared" ref="H2627:I2627" si="2629">IF(C2627&lt;&gt;"",DEC2HEX(C2627,2),"")</f>
        <v/>
      </c>
      <c r="I2627" s="1" t="str">
        <f t="shared" si="2629"/>
        <v/>
      </c>
      <c r="J2627" s="1" t="str">
        <f t="shared" si="3"/>
        <v/>
      </c>
      <c r="L2627" s="1" t="s">
        <v>2847</v>
      </c>
      <c r="M2627" s="1" t="str">
        <f t="shared" si="4"/>
        <v>good rod:</v>
      </c>
    </row>
    <row r="2628" ht="12.75" customHeight="1">
      <c r="A2628" s="3" t="s">
        <v>3354</v>
      </c>
      <c r="B2628" s="3" t="str">
        <f t="shared" si="1"/>
        <v>29, 33, SLOWPOKE</v>
      </c>
      <c r="C2628" s="1" t="str">
        <f t="array" ref="C2628">IF(B2627="NEW ROUTE",TEXTSPLIT(B2628,","),"")</f>
        <v/>
      </c>
      <c r="H2628" s="1" t="str">
        <f t="shared" ref="H2628:I2628" si="2630">IF(C2628&lt;&gt;"",DEC2HEX(C2628,2),"")</f>
        <v/>
      </c>
      <c r="I2628" s="1" t="str">
        <f t="shared" si="2630"/>
        <v/>
      </c>
      <c r="J2628" s="1" t="str">
        <f t="shared" si="3"/>
        <v/>
      </c>
      <c r="L2628" s="1" t="s">
        <v>3354</v>
      </c>
      <c r="M2628" s="1" t="str">
        <f t="shared" si="4"/>
        <v>29, 33, SLOWPOKE</v>
      </c>
    </row>
    <row r="2629" ht="12.75" customHeight="1">
      <c r="A2629" s="3" t="s">
        <v>3028</v>
      </c>
      <c r="B2629" s="3" t="str">
        <f t="shared" si="1"/>
        <v>30, 35, KRABBY</v>
      </c>
      <c r="C2629" s="1" t="str">
        <f t="array" ref="C2629">IF(B2628="NEW ROUTE",TEXTSPLIT(B2629,","),"")</f>
        <v/>
      </c>
      <c r="H2629" s="1" t="str">
        <f t="shared" ref="H2629:I2629" si="2631">IF(C2629&lt;&gt;"",DEC2HEX(C2629,2),"")</f>
        <v/>
      </c>
      <c r="I2629" s="1" t="str">
        <f t="shared" si="2631"/>
        <v/>
      </c>
      <c r="J2629" s="1" t="str">
        <f t="shared" si="3"/>
        <v/>
      </c>
      <c r="L2629" s="1" t="s">
        <v>3028</v>
      </c>
      <c r="M2629" s="1" t="str">
        <f t="shared" si="4"/>
        <v>30, 35, KRABBY</v>
      </c>
    </row>
    <row r="2630" ht="12.75" customHeight="1">
      <c r="A2630" s="3" t="s">
        <v>3355</v>
      </c>
      <c r="B2630" s="3" t="str">
        <f t="shared" si="1"/>
        <v>30, 35, PSYDUCK</v>
      </c>
      <c r="C2630" s="1" t="str">
        <f t="array" ref="C2630">IF(B2629="NEW ROUTE",TEXTSPLIT(B2630,","),"")</f>
        <v/>
      </c>
      <c r="H2630" s="1" t="str">
        <f t="shared" ref="H2630:I2630" si="2632">IF(C2630&lt;&gt;"",DEC2HEX(C2630,2),"")</f>
        <v/>
      </c>
      <c r="I2630" s="1" t="str">
        <f t="shared" si="2632"/>
        <v/>
      </c>
      <c r="J2630" s="1" t="str">
        <f t="shared" si="3"/>
        <v/>
      </c>
      <c r="L2630" s="1" t="s">
        <v>3355</v>
      </c>
      <c r="M2630" s="1" t="str">
        <f t="shared" si="4"/>
        <v>30, 35, PSYDUCK</v>
      </c>
    </row>
    <row r="2631" ht="12.75" customHeight="1">
      <c r="A2631" s="3" t="s">
        <v>2851</v>
      </c>
      <c r="B2631" s="3" t="str">
        <f t="shared" si="1"/>
        <v>super rod:</v>
      </c>
      <c r="C2631" s="1" t="str">
        <f t="array" ref="C2631">IF(B2630="NEW ROUTE",TEXTSPLIT(B2631,","),"")</f>
        <v/>
      </c>
      <c r="H2631" s="1" t="str">
        <f t="shared" ref="H2631:I2631" si="2633">IF(C2631&lt;&gt;"",DEC2HEX(C2631,2),"")</f>
        <v/>
      </c>
      <c r="I2631" s="1" t="str">
        <f t="shared" si="2633"/>
        <v/>
      </c>
      <c r="J2631" s="1" t="str">
        <f t="shared" si="3"/>
        <v/>
      </c>
      <c r="L2631" s="1" t="s">
        <v>2851</v>
      </c>
      <c r="M2631" s="1" t="str">
        <f t="shared" si="4"/>
        <v>super rod:</v>
      </c>
    </row>
    <row r="2632" ht="12.75" customHeight="1">
      <c r="A2632" s="3" t="s">
        <v>3356</v>
      </c>
      <c r="B2632" s="3" t="str">
        <f t="shared" si="1"/>
        <v>36, 40, SLOWBRO</v>
      </c>
      <c r="C2632" s="1" t="str">
        <f t="array" ref="C2632">IF(B2631="NEW ROUTE",TEXTSPLIT(B2632,","),"")</f>
        <v/>
      </c>
      <c r="H2632" s="1" t="str">
        <f t="shared" ref="H2632:I2632" si="2634">IF(C2632&lt;&gt;"",DEC2HEX(C2632,2),"")</f>
        <v/>
      </c>
      <c r="I2632" s="1" t="str">
        <f t="shared" si="2634"/>
        <v/>
      </c>
      <c r="J2632" s="1" t="str">
        <f t="shared" si="3"/>
        <v/>
      </c>
      <c r="L2632" s="1" t="s">
        <v>3356</v>
      </c>
      <c r="M2632" s="1" t="str">
        <f t="shared" si="4"/>
        <v>36, 40, SLOWBRO</v>
      </c>
    </row>
    <row r="2633" ht="12.75" customHeight="1">
      <c r="A2633" s="3" t="s">
        <v>3357</v>
      </c>
      <c r="B2633" s="3" t="str">
        <f t="shared" si="1"/>
        <v>36, 40, GYARADOS</v>
      </c>
      <c r="C2633" s="1" t="str">
        <f t="array" ref="C2633">IF(B2632="NEW ROUTE",TEXTSPLIT(B2633,","),"")</f>
        <v/>
      </c>
      <c r="H2633" s="1" t="str">
        <f t="shared" ref="H2633:I2633" si="2635">IF(C2633&lt;&gt;"",DEC2HEX(C2633,2),"")</f>
        <v/>
      </c>
      <c r="I2633" s="1" t="str">
        <f t="shared" si="2635"/>
        <v/>
      </c>
      <c r="J2633" s="1" t="str">
        <f t="shared" si="3"/>
        <v/>
      </c>
      <c r="L2633" s="1" t="s">
        <v>3357</v>
      </c>
      <c r="M2633" s="1" t="str">
        <f t="shared" si="4"/>
        <v>36, 40, GYARADOS</v>
      </c>
    </row>
    <row r="2634" ht="12.75" customHeight="1">
      <c r="A2634" s="3" t="s">
        <v>3358</v>
      </c>
      <c r="B2634" s="3" t="str">
        <f t="shared" si="1"/>
        <v>38, 42, GOLDUCK</v>
      </c>
      <c r="C2634" s="1" t="str">
        <f t="array" ref="C2634">IF(B2633="NEW ROUTE",TEXTSPLIT(B2634,","),"")</f>
        <v/>
      </c>
      <c r="H2634" s="1" t="str">
        <f t="shared" ref="H2634:I2634" si="2636">IF(C2634&lt;&gt;"",DEC2HEX(C2634,2),"")</f>
        <v/>
      </c>
      <c r="I2634" s="1" t="str">
        <f t="shared" si="2636"/>
        <v/>
      </c>
      <c r="J2634" s="1" t="str">
        <f t="shared" si="3"/>
        <v/>
      </c>
      <c r="L2634" s="1" t="s">
        <v>3358</v>
      </c>
      <c r="M2634" s="1" t="str">
        <f t="shared" si="4"/>
        <v>38, 42, GOLDUCK</v>
      </c>
    </row>
    <row r="2635" ht="12.75" customHeight="1">
      <c r="A2635" s="3" t="s">
        <v>3359</v>
      </c>
      <c r="B2635" s="3" t="str">
        <f t="shared" si="1"/>
        <v>38, 42, KINGLER</v>
      </c>
      <c r="C2635" s="1" t="str">
        <f t="array" ref="C2635">IF(B2634="NEW ROUTE",TEXTSPLIT(B2635,","),"")</f>
        <v/>
      </c>
      <c r="H2635" s="1" t="str">
        <f t="shared" ref="H2635:I2635" si="2637">IF(C2635&lt;&gt;"",DEC2HEX(C2635,2),"")</f>
        <v/>
      </c>
      <c r="I2635" s="1" t="str">
        <f t="shared" si="2637"/>
        <v/>
      </c>
      <c r="J2635" s="1" t="str">
        <f t="shared" si="3"/>
        <v/>
      </c>
      <c r="L2635" s="1" t="s">
        <v>3359</v>
      </c>
      <c r="M2635" s="1" t="str">
        <f t="shared" si="4"/>
        <v>38, 42, KINGLER</v>
      </c>
    </row>
    <row r="2636" ht="12.75" customHeight="1">
      <c r="A2636" s="3" t="s">
        <v>3360</v>
      </c>
      <c r="B2636" s="3" t="str">
        <f t="shared" si="1"/>
        <v>40, 44, SLOWMATE</v>
      </c>
      <c r="C2636" s="1" t="str">
        <f t="array" ref="C2636">IF(B2635="NEW ROUTE",TEXTSPLIT(B2636,","),"")</f>
        <v/>
      </c>
      <c r="H2636" s="1" t="str">
        <f t="shared" ref="H2636:I2636" si="2638">IF(C2636&lt;&gt;"",DEC2HEX(C2636,2),"")</f>
        <v/>
      </c>
      <c r="I2636" s="1" t="str">
        <f t="shared" si="2638"/>
        <v/>
      </c>
      <c r="J2636" s="1" t="str">
        <f t="shared" si="3"/>
        <v/>
      </c>
      <c r="L2636" s="1" t="s">
        <v>3360</v>
      </c>
      <c r="M2636" s="1" t="str">
        <f t="shared" si="4"/>
        <v>40, 44, SLOWMATE</v>
      </c>
    </row>
    <row r="2637" ht="12.75" customHeight="1">
      <c r="A2637" s="3" t="s">
        <v>2539</v>
      </c>
      <c r="B2637" s="3" t="str">
        <f t="shared" si="1"/>
        <v>NEW ROUTE</v>
      </c>
      <c r="C2637" s="1" t="str">
        <f t="array" ref="C2637">IF(B2636="NEW ROUTE",TEXTSPLIT(B2637,","),"")</f>
        <v/>
      </c>
      <c r="H2637" s="1" t="str">
        <f t="shared" ref="H2637:I2637" si="2639">IF(C2637&lt;&gt;"",DEC2HEX(C2637,2),"")</f>
        <v/>
      </c>
      <c r="I2637" s="1" t="str">
        <f t="shared" si="2639"/>
        <v/>
      </c>
      <c r="J2637" s="1" t="str">
        <f t="shared" si="3"/>
        <v/>
      </c>
      <c r="L2637" s="1" t="s">
        <v>2539</v>
      </c>
      <c r="M2637" s="1" t="str">
        <f t="shared" si="4"/>
        <v>NEW ROUTE</v>
      </c>
    </row>
    <row r="2638" ht="12.75" customHeight="1">
      <c r="A2638" s="3" t="s">
        <v>3609</v>
      </c>
      <c r="B2638" s="3" t="str">
        <f t="shared" si="1"/>
        <v>3, 0, 0, &lt;null&gt;,</v>
      </c>
      <c r="C2638" s="1" t="str">
        <f t="array" ref="C2638">IF(B2637="NEW ROUTE",TEXTSPLIT(B2638,","),"")</f>
        <v>#NAME?</v>
      </c>
      <c r="H2638" s="1" t="str">
        <f t="shared" ref="H2638:I2638" si="2640">IF(C2638&lt;&gt;"",DEC2HEX(C2638,2),"")</f>
        <v>#NAME?</v>
      </c>
      <c r="I2638" s="1" t="str">
        <f t="shared" si="2640"/>
        <v/>
      </c>
      <c r="J2638" s="1" t="str">
        <f t="shared" si="3"/>
        <v>#NAME?</v>
      </c>
      <c r="L2638" s="1" t="s">
        <v>3609</v>
      </c>
      <c r="M2638" s="1" t="str">
        <f t="shared" si="4"/>
        <v>#NAME?</v>
      </c>
    </row>
    <row r="2639" ht="12.75" customHeight="1">
      <c r="A2639" s="3" t="s">
        <v>3610</v>
      </c>
      <c r="B2639" s="3" t="str">
        <f t="shared" si="1"/>
        <v>1, 38, 42, TENTACOOL</v>
      </c>
      <c r="C2639" s="1" t="str">
        <f t="array" ref="C2639">IF(B2638="NEW ROUTE",TEXTSPLIT(B2639,","),"")</f>
        <v/>
      </c>
      <c r="H2639" s="1" t="str">
        <f t="shared" ref="H2639:I2639" si="2641">IF(C2639&lt;&gt;"",DEC2HEX(C2639,2),"")</f>
        <v/>
      </c>
      <c r="I2639" s="1" t="str">
        <f t="shared" si="2641"/>
        <v/>
      </c>
      <c r="J2639" s="1" t="str">
        <f t="shared" si="3"/>
        <v/>
      </c>
      <c r="L2639" s="1" t="s">
        <v>3610</v>
      </c>
      <c r="M2639" s="1" t="str">
        <f t="shared" si="4"/>
        <v>1, 38, 42, TENTACOOL</v>
      </c>
    </row>
    <row r="2640" ht="12.75" customHeight="1">
      <c r="A2640" s="3" t="s">
        <v>3429</v>
      </c>
      <c r="B2640" s="3" t="str">
        <f t="shared" si="1"/>
        <v>40, 44, TENTACRUEL</v>
      </c>
      <c r="C2640" s="1" t="str">
        <f t="array" ref="C2640">IF(B2639="NEW ROUTE",TEXTSPLIT(B2640,","),"")</f>
        <v/>
      </c>
      <c r="H2640" s="1" t="str">
        <f t="shared" ref="H2640:I2640" si="2642">IF(C2640&lt;&gt;"",DEC2HEX(C2640,2),"")</f>
        <v/>
      </c>
      <c r="I2640" s="1" t="str">
        <f t="shared" si="2642"/>
        <v/>
      </c>
      <c r="J2640" s="1" t="str">
        <f t="shared" si="3"/>
        <v/>
      </c>
      <c r="L2640" s="1" t="s">
        <v>3429</v>
      </c>
      <c r="M2640" s="1" t="str">
        <f t="shared" si="4"/>
        <v>40, 44, TENTACRUEL</v>
      </c>
    </row>
    <row r="2641" ht="12.75" customHeight="1">
      <c r="A2641" s="3" t="s">
        <v>3025</v>
      </c>
      <c r="B2641" s="3" t="str">
        <f t="shared" si="1"/>
        <v>42, 46, LAPRAS</v>
      </c>
      <c r="C2641" s="1" t="str">
        <f t="array" ref="C2641">IF(B2640="NEW ROUTE",TEXTSPLIT(B2641,","),"")</f>
        <v/>
      </c>
      <c r="H2641" s="1" t="str">
        <f t="shared" ref="H2641:I2641" si="2643">IF(C2641&lt;&gt;"",DEC2HEX(C2641,2),"")</f>
        <v/>
      </c>
      <c r="I2641" s="1" t="str">
        <f t="shared" si="2643"/>
        <v/>
      </c>
      <c r="J2641" s="1" t="str">
        <f t="shared" si="3"/>
        <v/>
      </c>
      <c r="L2641" s="1" t="s">
        <v>3025</v>
      </c>
      <c r="M2641" s="1" t="str">
        <f t="shared" si="4"/>
        <v>42, 46, LAPRAS</v>
      </c>
    </row>
    <row r="2642" ht="12.75" customHeight="1">
      <c r="A2642" s="3" t="s">
        <v>3430</v>
      </c>
      <c r="B2642" s="3" t="str">
        <f t="shared" si="1"/>
        <v>42, 46, TENTACATE</v>
      </c>
      <c r="C2642" s="1" t="str">
        <f t="array" ref="C2642">IF(B2641="NEW ROUTE",TEXTSPLIT(B2642,","),"")</f>
        <v/>
      </c>
      <c r="H2642" s="1" t="str">
        <f t="shared" ref="H2642:I2642" si="2644">IF(C2642&lt;&gt;"",DEC2HEX(C2642,2),"")</f>
        <v/>
      </c>
      <c r="I2642" s="1" t="str">
        <f t="shared" si="2644"/>
        <v/>
      </c>
      <c r="J2642" s="1" t="str">
        <f t="shared" si="3"/>
        <v/>
      </c>
      <c r="L2642" s="1" t="s">
        <v>3430</v>
      </c>
      <c r="M2642" s="1" t="str">
        <f t="shared" si="4"/>
        <v>42, 46, TENTACATE</v>
      </c>
    </row>
    <row r="2643" ht="12.75" customHeight="1">
      <c r="A2643" s="3" t="s">
        <v>3450</v>
      </c>
      <c r="B2643" s="3" t="str">
        <f t="shared" si="1"/>
        <v>44, 48, LOCHLASS</v>
      </c>
      <c r="C2643" s="1" t="str">
        <f t="array" ref="C2643">IF(B2642="NEW ROUTE",TEXTSPLIT(B2643,","),"")</f>
        <v/>
      </c>
      <c r="H2643" s="1" t="str">
        <f t="shared" ref="H2643:I2643" si="2645">IF(C2643&lt;&gt;"",DEC2HEX(C2643,2),"")</f>
        <v/>
      </c>
      <c r="I2643" s="1" t="str">
        <f t="shared" si="2645"/>
        <v/>
      </c>
      <c r="J2643" s="1" t="str">
        <f t="shared" si="3"/>
        <v/>
      </c>
      <c r="L2643" s="1" t="s">
        <v>3450</v>
      </c>
      <c r="M2643" s="1" t="str">
        <f t="shared" si="4"/>
        <v>44, 48, LOCHLASS</v>
      </c>
    </row>
    <row r="2644" ht="12.75" customHeight="1">
      <c r="A2644" s="3" t="s">
        <v>2846</v>
      </c>
      <c r="B2644" s="3" t="str">
        <f t="shared" si="1"/>
        <v>10, old rod:</v>
      </c>
      <c r="C2644" s="1" t="str">
        <f t="array" ref="C2644">IF(B2643="NEW ROUTE",TEXTSPLIT(B2644,","),"")</f>
        <v/>
      </c>
      <c r="H2644" s="1" t="str">
        <f t="shared" ref="H2644:I2644" si="2646">IF(C2644&lt;&gt;"",DEC2HEX(C2644,2),"")</f>
        <v/>
      </c>
      <c r="I2644" s="1" t="str">
        <f t="shared" si="2646"/>
        <v/>
      </c>
      <c r="J2644" s="1" t="str">
        <f t="shared" si="3"/>
        <v/>
      </c>
      <c r="L2644" s="1" t="s">
        <v>2846</v>
      </c>
      <c r="M2644" s="1" t="str">
        <f t="shared" si="4"/>
        <v>10, old rod:</v>
      </c>
    </row>
    <row r="2645" ht="12.75" customHeight="1">
      <c r="A2645" s="3" t="s">
        <v>500</v>
      </c>
      <c r="B2645" s="3" t="str">
        <f t="shared" si="1"/>
        <v>19, 26, MAGIKARP</v>
      </c>
      <c r="C2645" s="1" t="str">
        <f t="array" ref="C2645">IF(B2644="NEW ROUTE",TEXTSPLIT(B2645,","),"")</f>
        <v/>
      </c>
      <c r="H2645" s="1" t="str">
        <f t="shared" ref="H2645:I2645" si="2647">IF(C2645&lt;&gt;"",DEC2HEX(C2645,2),"")</f>
        <v/>
      </c>
      <c r="I2645" s="1" t="str">
        <f t="shared" si="2647"/>
        <v/>
      </c>
      <c r="J2645" s="1" t="str">
        <f t="shared" si="3"/>
        <v/>
      </c>
      <c r="L2645" s="1" t="s">
        <v>500</v>
      </c>
      <c r="M2645" s="1" t="str">
        <f t="shared" si="4"/>
        <v>19, 26, MAGIKARP</v>
      </c>
    </row>
    <row r="2646" ht="12.75" customHeight="1">
      <c r="A2646" s="3" t="s">
        <v>3353</v>
      </c>
      <c r="B2646" s="3" t="str">
        <f t="shared" si="1"/>
        <v>19, 26, GYARADOS</v>
      </c>
      <c r="C2646" s="1" t="str">
        <f t="array" ref="C2646">IF(B2645="NEW ROUTE",TEXTSPLIT(B2646,","),"")</f>
        <v/>
      </c>
      <c r="H2646" s="1" t="str">
        <f t="shared" ref="H2646:I2646" si="2648">IF(C2646&lt;&gt;"",DEC2HEX(C2646,2),"")</f>
        <v/>
      </c>
      <c r="I2646" s="1" t="str">
        <f t="shared" si="2648"/>
        <v/>
      </c>
      <c r="J2646" s="1" t="str">
        <f t="shared" si="3"/>
        <v/>
      </c>
      <c r="L2646" s="1" t="s">
        <v>3353</v>
      </c>
      <c r="M2646" s="1" t="str">
        <f t="shared" si="4"/>
        <v>19, 26, GYARADOS</v>
      </c>
    </row>
    <row r="2647" ht="12.75" customHeight="1">
      <c r="A2647" s="3" t="s">
        <v>2847</v>
      </c>
      <c r="B2647" s="3" t="str">
        <f t="shared" si="1"/>
        <v>good rod:</v>
      </c>
      <c r="C2647" s="1" t="str">
        <f t="array" ref="C2647">IF(B2646="NEW ROUTE",TEXTSPLIT(B2647,","),"")</f>
        <v/>
      </c>
      <c r="H2647" s="1" t="str">
        <f t="shared" ref="H2647:I2647" si="2649">IF(C2647&lt;&gt;"",DEC2HEX(C2647,2),"")</f>
        <v/>
      </c>
      <c r="I2647" s="1" t="str">
        <f t="shared" si="2649"/>
        <v/>
      </c>
      <c r="J2647" s="1" t="str">
        <f t="shared" si="3"/>
        <v/>
      </c>
      <c r="L2647" s="1" t="s">
        <v>2847</v>
      </c>
      <c r="M2647" s="1" t="str">
        <f t="shared" si="4"/>
        <v>good rod:</v>
      </c>
    </row>
    <row r="2648" ht="12.75" customHeight="1">
      <c r="A2648" s="3" t="s">
        <v>3431</v>
      </c>
      <c r="B2648" s="3" t="str">
        <f t="shared" si="1"/>
        <v>29, 33, HORSEA</v>
      </c>
      <c r="C2648" s="1" t="str">
        <f t="array" ref="C2648">IF(B2647="NEW ROUTE",TEXTSPLIT(B2648,","),"")</f>
        <v/>
      </c>
      <c r="H2648" s="1" t="str">
        <f t="shared" ref="H2648:I2648" si="2650">IF(C2648&lt;&gt;"",DEC2HEX(C2648,2),"")</f>
        <v/>
      </c>
      <c r="I2648" s="1" t="str">
        <f t="shared" si="2650"/>
        <v/>
      </c>
      <c r="J2648" s="1" t="str">
        <f t="shared" si="3"/>
        <v/>
      </c>
      <c r="L2648" s="1" t="s">
        <v>3431</v>
      </c>
      <c r="M2648" s="1" t="str">
        <f t="shared" si="4"/>
        <v>29, 33, HORSEA</v>
      </c>
    </row>
    <row r="2649" ht="12.75" customHeight="1">
      <c r="A2649" s="3" t="s">
        <v>3028</v>
      </c>
      <c r="B2649" s="3" t="str">
        <f t="shared" si="1"/>
        <v>30, 35, KRABBY</v>
      </c>
      <c r="C2649" s="1" t="str">
        <f t="array" ref="C2649">IF(B2648="NEW ROUTE",TEXTSPLIT(B2649,","),"")</f>
        <v/>
      </c>
      <c r="H2649" s="1" t="str">
        <f t="shared" ref="H2649:I2649" si="2651">IF(C2649&lt;&gt;"",DEC2HEX(C2649,2),"")</f>
        <v/>
      </c>
      <c r="I2649" s="1" t="str">
        <f t="shared" si="2651"/>
        <v/>
      </c>
      <c r="J2649" s="1" t="str">
        <f t="shared" si="3"/>
        <v/>
      </c>
      <c r="L2649" s="1" t="s">
        <v>3028</v>
      </c>
      <c r="M2649" s="1" t="str">
        <f t="shared" si="4"/>
        <v>30, 35, KRABBY</v>
      </c>
    </row>
    <row r="2650" ht="12.75" customHeight="1">
      <c r="A2650" s="3" t="s">
        <v>3452</v>
      </c>
      <c r="B2650" s="3" t="str">
        <f t="shared" si="1"/>
        <v>30, 35, STARYU</v>
      </c>
      <c r="C2650" s="1" t="str">
        <f t="array" ref="C2650">IF(B2649="NEW ROUTE",TEXTSPLIT(B2650,","),"")</f>
        <v/>
      </c>
      <c r="H2650" s="1" t="str">
        <f t="shared" ref="H2650:I2650" si="2652">IF(C2650&lt;&gt;"",DEC2HEX(C2650,2),"")</f>
        <v/>
      </c>
      <c r="I2650" s="1" t="str">
        <f t="shared" si="2652"/>
        <v/>
      </c>
      <c r="J2650" s="1" t="str">
        <f t="shared" si="3"/>
        <v/>
      </c>
      <c r="L2650" s="1" t="s">
        <v>3452</v>
      </c>
      <c r="M2650" s="1" t="str">
        <f t="shared" si="4"/>
        <v>30, 35, STARYU</v>
      </c>
    </row>
    <row r="2651" ht="12.75" customHeight="1">
      <c r="A2651" s="3" t="s">
        <v>2851</v>
      </c>
      <c r="B2651" s="3" t="str">
        <f t="shared" si="1"/>
        <v>super rod:</v>
      </c>
      <c r="C2651" s="1" t="str">
        <f t="array" ref="C2651">IF(B2650="NEW ROUTE",TEXTSPLIT(B2651,","),"")</f>
        <v/>
      </c>
      <c r="H2651" s="1" t="str">
        <f t="shared" ref="H2651:I2651" si="2653">IF(C2651&lt;&gt;"",DEC2HEX(C2651,2),"")</f>
        <v/>
      </c>
      <c r="I2651" s="1" t="str">
        <f t="shared" si="2653"/>
        <v/>
      </c>
      <c r="J2651" s="1" t="str">
        <f t="shared" si="3"/>
        <v/>
      </c>
      <c r="L2651" s="1" t="s">
        <v>2851</v>
      </c>
      <c r="M2651" s="1" t="str">
        <f t="shared" si="4"/>
        <v>super rod:</v>
      </c>
    </row>
    <row r="2652" ht="12.75" customHeight="1">
      <c r="A2652" s="3" t="s">
        <v>3433</v>
      </c>
      <c r="B2652" s="3" t="str">
        <f t="shared" si="1"/>
        <v>36, 40, SEADRA</v>
      </c>
      <c r="C2652" s="1" t="str">
        <f t="array" ref="C2652">IF(B2651="NEW ROUTE",TEXTSPLIT(B2652,","),"")</f>
        <v/>
      </c>
      <c r="H2652" s="1" t="str">
        <f t="shared" ref="H2652:I2652" si="2654">IF(C2652&lt;&gt;"",DEC2HEX(C2652,2),"")</f>
        <v/>
      </c>
      <c r="I2652" s="1" t="str">
        <f t="shared" si="2654"/>
        <v/>
      </c>
      <c r="J2652" s="1" t="str">
        <f t="shared" si="3"/>
        <v/>
      </c>
      <c r="L2652" s="1" t="s">
        <v>3433</v>
      </c>
      <c r="M2652" s="1" t="str">
        <f t="shared" si="4"/>
        <v>36, 40, SEADRA</v>
      </c>
    </row>
    <row r="2653" ht="12.75" customHeight="1">
      <c r="A2653" s="3" t="s">
        <v>3357</v>
      </c>
      <c r="B2653" s="3" t="str">
        <f t="shared" si="1"/>
        <v>36, 40, GYARADOS</v>
      </c>
      <c r="C2653" s="1" t="str">
        <f t="array" ref="C2653">IF(B2652="NEW ROUTE",TEXTSPLIT(B2653,","),"")</f>
        <v/>
      </c>
      <c r="H2653" s="1" t="str">
        <f t="shared" ref="H2653:I2653" si="2655">IF(C2653&lt;&gt;"",DEC2HEX(C2653,2),"")</f>
        <v/>
      </c>
      <c r="I2653" s="1" t="str">
        <f t="shared" si="2655"/>
        <v/>
      </c>
      <c r="J2653" s="1" t="str">
        <f t="shared" si="3"/>
        <v/>
      </c>
      <c r="L2653" s="1" t="s">
        <v>3357</v>
      </c>
      <c r="M2653" s="1" t="str">
        <f t="shared" si="4"/>
        <v>36, 40, GYARADOS</v>
      </c>
    </row>
    <row r="2654" ht="12.75" customHeight="1">
      <c r="A2654" s="3" t="s">
        <v>3453</v>
      </c>
      <c r="B2654" s="3" t="str">
        <f t="shared" si="1"/>
        <v>38, 42, STARMIE</v>
      </c>
      <c r="C2654" s="1" t="str">
        <f t="array" ref="C2654">IF(B2653="NEW ROUTE",TEXTSPLIT(B2654,","),"")</f>
        <v/>
      </c>
      <c r="H2654" s="1" t="str">
        <f t="shared" ref="H2654:I2654" si="2656">IF(C2654&lt;&gt;"",DEC2HEX(C2654,2),"")</f>
        <v/>
      </c>
      <c r="I2654" s="1" t="str">
        <f t="shared" si="2656"/>
        <v/>
      </c>
      <c r="J2654" s="1" t="str">
        <f t="shared" si="3"/>
        <v/>
      </c>
      <c r="L2654" s="1" t="s">
        <v>3453</v>
      </c>
      <c r="M2654" s="1" t="str">
        <f t="shared" si="4"/>
        <v>38, 42, STARMIE</v>
      </c>
    </row>
    <row r="2655" ht="12.75" customHeight="1">
      <c r="A2655" s="3" t="s">
        <v>3359</v>
      </c>
      <c r="B2655" s="3" t="str">
        <f t="shared" si="1"/>
        <v>38, 42, KINGLER</v>
      </c>
      <c r="C2655" s="1" t="str">
        <f t="array" ref="C2655">IF(B2654="NEW ROUTE",TEXTSPLIT(B2655,","),"")</f>
        <v/>
      </c>
      <c r="H2655" s="1" t="str">
        <f t="shared" ref="H2655:I2655" si="2657">IF(C2655&lt;&gt;"",DEC2HEX(C2655,2),"")</f>
        <v/>
      </c>
      <c r="I2655" s="1" t="str">
        <f t="shared" si="2657"/>
        <v/>
      </c>
      <c r="J2655" s="1" t="str">
        <f t="shared" si="3"/>
        <v/>
      </c>
      <c r="L2655" s="1" t="s">
        <v>3359</v>
      </c>
      <c r="M2655" s="1" t="str">
        <f t="shared" si="4"/>
        <v>38, 42, KINGLER</v>
      </c>
    </row>
    <row r="2656" ht="12.75" customHeight="1">
      <c r="A2656" s="3" t="s">
        <v>3611</v>
      </c>
      <c r="B2656" s="3" t="str">
        <f t="shared" si="1"/>
        <v>40, 44, STARUS</v>
      </c>
      <c r="C2656" s="1" t="str">
        <f t="array" ref="C2656">IF(B2655="NEW ROUTE",TEXTSPLIT(B2656,","),"")</f>
        <v/>
      </c>
      <c r="H2656" s="1" t="str">
        <f t="shared" ref="H2656:I2656" si="2658">IF(C2656&lt;&gt;"",DEC2HEX(C2656,2),"")</f>
        <v/>
      </c>
      <c r="I2656" s="1" t="str">
        <f t="shared" si="2658"/>
        <v/>
      </c>
      <c r="J2656" s="1" t="str">
        <f t="shared" si="3"/>
        <v/>
      </c>
      <c r="L2656" s="1" t="s">
        <v>3611</v>
      </c>
      <c r="M2656" s="1" t="str">
        <f t="shared" si="4"/>
        <v>40, 44, STARUS</v>
      </c>
    </row>
    <row r="2657" ht="12.75" customHeight="1">
      <c r="A2657" s="3" t="s">
        <v>2539</v>
      </c>
      <c r="B2657" s="3" t="str">
        <f t="shared" si="1"/>
        <v>NEW ROUTE</v>
      </c>
      <c r="C2657" s="1" t="str">
        <f t="array" ref="C2657">IF(B2656="NEW ROUTE",TEXTSPLIT(B2657,","),"")</f>
        <v/>
      </c>
      <c r="H2657" s="1" t="str">
        <f t="shared" ref="H2657:I2657" si="2659">IF(C2657&lt;&gt;"",DEC2HEX(C2657,2),"")</f>
        <v/>
      </c>
      <c r="I2657" s="1" t="str">
        <f t="shared" si="2659"/>
        <v/>
      </c>
      <c r="J2657" s="1" t="str">
        <f t="shared" si="3"/>
        <v/>
      </c>
      <c r="L2657" s="1" t="s">
        <v>2539</v>
      </c>
      <c r="M2657" s="1" t="str">
        <f t="shared" si="4"/>
        <v>NEW ROUTE</v>
      </c>
    </row>
    <row r="2658" ht="12.75" customHeight="1">
      <c r="A2658" s="3" t="s">
        <v>3612</v>
      </c>
      <c r="B2658" s="3" t="str">
        <f t="shared" si="1"/>
        <v>3, 1, 0, &lt;null&gt;,</v>
      </c>
      <c r="C2658" s="1" t="str">
        <f t="array" ref="C2658">IF(B2657="NEW ROUTE",TEXTSPLIT(B2658,","),"")</f>
        <v>#NAME?</v>
      </c>
      <c r="H2658" s="1" t="str">
        <f t="shared" ref="H2658:I2658" si="2660">IF(C2658&lt;&gt;"",DEC2HEX(C2658,2),"")</f>
        <v>#NAME?</v>
      </c>
      <c r="I2658" s="1" t="str">
        <f t="shared" si="2660"/>
        <v/>
      </c>
      <c r="J2658" s="1" t="str">
        <f t="shared" si="3"/>
        <v>#NAME?</v>
      </c>
      <c r="L2658" s="1" t="s">
        <v>3612</v>
      </c>
      <c r="M2658" s="1" t="str">
        <f t="shared" si="4"/>
        <v>#NAME?</v>
      </c>
    </row>
    <row r="2659" ht="12.75" customHeight="1">
      <c r="A2659" s="3" t="s">
        <v>3613</v>
      </c>
      <c r="B2659" s="3" t="str">
        <f t="shared" si="1"/>
        <v>1, 38, 42, PSYDUCK</v>
      </c>
      <c r="C2659" s="1" t="str">
        <f t="array" ref="C2659">IF(B2658="NEW ROUTE",TEXTSPLIT(B2659,","),"")</f>
        <v/>
      </c>
      <c r="H2659" s="1" t="str">
        <f t="shared" ref="H2659:I2659" si="2661">IF(C2659&lt;&gt;"",DEC2HEX(C2659,2),"")</f>
        <v/>
      </c>
      <c r="I2659" s="1" t="str">
        <f t="shared" si="2661"/>
        <v/>
      </c>
      <c r="J2659" s="1" t="str">
        <f t="shared" si="3"/>
        <v/>
      </c>
      <c r="L2659" s="1" t="s">
        <v>3613</v>
      </c>
      <c r="M2659" s="1" t="str">
        <f t="shared" si="4"/>
        <v>1, 38, 42, PSYDUCK</v>
      </c>
    </row>
    <row r="2660" ht="12.75" customHeight="1">
      <c r="A2660" s="3" t="s">
        <v>3375</v>
      </c>
      <c r="B2660" s="3" t="str">
        <f t="shared" si="1"/>
        <v>40, 44, SLOWPOKE</v>
      </c>
      <c r="C2660" s="1" t="str">
        <f t="array" ref="C2660">IF(B2659="NEW ROUTE",TEXTSPLIT(B2660,","),"")</f>
        <v/>
      </c>
      <c r="H2660" s="1" t="str">
        <f t="shared" ref="H2660:I2660" si="2662">IF(C2660&lt;&gt;"",DEC2HEX(C2660,2),"")</f>
        <v/>
      </c>
      <c r="I2660" s="1" t="str">
        <f t="shared" si="2662"/>
        <v/>
      </c>
      <c r="J2660" s="1" t="str">
        <f t="shared" si="3"/>
        <v/>
      </c>
      <c r="L2660" s="1" t="s">
        <v>3375</v>
      </c>
      <c r="M2660" s="1" t="str">
        <f t="shared" si="4"/>
        <v>40, 44, SLOWPOKE</v>
      </c>
    </row>
    <row r="2661" ht="12.75" customHeight="1">
      <c r="A2661" s="3" t="s">
        <v>2924</v>
      </c>
      <c r="B2661" s="3" t="str">
        <f t="shared" si="1"/>
        <v>42, 46, GOLDUCK</v>
      </c>
      <c r="C2661" s="1" t="str">
        <f t="array" ref="C2661">IF(B2660="NEW ROUTE",TEXTSPLIT(B2661,","),"")</f>
        <v/>
      </c>
      <c r="H2661" s="1" t="str">
        <f t="shared" ref="H2661:I2661" si="2663">IF(C2661&lt;&gt;"",DEC2HEX(C2661,2),"")</f>
        <v/>
      </c>
      <c r="I2661" s="1" t="str">
        <f t="shared" si="2663"/>
        <v/>
      </c>
      <c r="J2661" s="1" t="str">
        <f t="shared" si="3"/>
        <v/>
      </c>
      <c r="L2661" s="1" t="s">
        <v>2924</v>
      </c>
      <c r="M2661" s="1" t="str">
        <f t="shared" si="4"/>
        <v>42, 46, GOLDUCK</v>
      </c>
    </row>
    <row r="2662" ht="12.75" customHeight="1">
      <c r="A2662" s="3" t="s">
        <v>2923</v>
      </c>
      <c r="B2662" s="3" t="str">
        <f t="shared" si="1"/>
        <v>42, 46, SLOWBRO</v>
      </c>
      <c r="C2662" s="1" t="str">
        <f t="array" ref="C2662">IF(B2661="NEW ROUTE",TEXTSPLIT(B2662,","),"")</f>
        <v/>
      </c>
      <c r="H2662" s="1" t="str">
        <f t="shared" ref="H2662:I2662" si="2664">IF(C2662&lt;&gt;"",DEC2HEX(C2662,2),"")</f>
        <v/>
      </c>
      <c r="I2662" s="1" t="str">
        <f t="shared" si="2664"/>
        <v/>
      </c>
      <c r="J2662" s="1" t="str">
        <f t="shared" si="3"/>
        <v/>
      </c>
      <c r="L2662" s="1" t="s">
        <v>2923</v>
      </c>
      <c r="M2662" s="1" t="str">
        <f t="shared" si="4"/>
        <v>42, 46, SLOWBRO</v>
      </c>
    </row>
    <row r="2663" ht="12.75" customHeight="1">
      <c r="A2663" s="3" t="s">
        <v>3614</v>
      </c>
      <c r="B2663" s="3" t="str">
        <f t="shared" si="1"/>
        <v>44, 48, GILDUCK</v>
      </c>
      <c r="C2663" s="1" t="str">
        <f t="array" ref="C2663">IF(B2662="NEW ROUTE",TEXTSPLIT(B2663,","),"")</f>
        <v/>
      </c>
      <c r="H2663" s="1" t="str">
        <f t="shared" ref="H2663:I2663" si="2665">IF(C2663&lt;&gt;"",DEC2HEX(C2663,2),"")</f>
        <v/>
      </c>
      <c r="I2663" s="1" t="str">
        <f t="shared" si="2665"/>
        <v/>
      </c>
      <c r="J2663" s="1" t="str">
        <f t="shared" si="3"/>
        <v/>
      </c>
      <c r="L2663" s="1" t="s">
        <v>3614</v>
      </c>
      <c r="M2663" s="1" t="str">
        <f t="shared" si="4"/>
        <v>44, 48, GILDUCK</v>
      </c>
    </row>
    <row r="2664" ht="12.75" customHeight="1">
      <c r="A2664" s="3" t="s">
        <v>2846</v>
      </c>
      <c r="B2664" s="3" t="str">
        <f t="shared" si="1"/>
        <v>10, old rod:</v>
      </c>
      <c r="C2664" s="1" t="str">
        <f t="array" ref="C2664">IF(B2663="NEW ROUTE",TEXTSPLIT(B2664,","),"")</f>
        <v/>
      </c>
      <c r="H2664" s="1" t="str">
        <f t="shared" ref="H2664:I2664" si="2666">IF(C2664&lt;&gt;"",DEC2HEX(C2664,2),"")</f>
        <v/>
      </c>
      <c r="I2664" s="1" t="str">
        <f t="shared" si="2666"/>
        <v/>
      </c>
      <c r="J2664" s="1" t="str">
        <f t="shared" si="3"/>
        <v/>
      </c>
      <c r="L2664" s="1" t="s">
        <v>2846</v>
      </c>
      <c r="M2664" s="1" t="str">
        <f t="shared" si="4"/>
        <v>10, old rod:</v>
      </c>
    </row>
    <row r="2665" ht="12.75" customHeight="1">
      <c r="A2665" s="3" t="s">
        <v>500</v>
      </c>
      <c r="B2665" s="3" t="str">
        <f t="shared" si="1"/>
        <v>19, 26, MAGIKARP</v>
      </c>
      <c r="C2665" s="1" t="str">
        <f t="array" ref="C2665">IF(B2664="NEW ROUTE",TEXTSPLIT(B2665,","),"")</f>
        <v/>
      </c>
      <c r="H2665" s="1" t="str">
        <f t="shared" ref="H2665:I2665" si="2667">IF(C2665&lt;&gt;"",DEC2HEX(C2665,2),"")</f>
        <v/>
      </c>
      <c r="I2665" s="1" t="str">
        <f t="shared" si="2667"/>
        <v/>
      </c>
      <c r="J2665" s="1" t="str">
        <f t="shared" si="3"/>
        <v/>
      </c>
      <c r="L2665" s="1" t="s">
        <v>500</v>
      </c>
      <c r="M2665" s="1" t="str">
        <f t="shared" si="4"/>
        <v>19, 26, MAGIKARP</v>
      </c>
    </row>
    <row r="2666" ht="12.75" customHeight="1">
      <c r="A2666" s="3" t="s">
        <v>2927</v>
      </c>
      <c r="B2666" s="3" t="str">
        <f t="shared" si="1"/>
        <v>19, 26, POLIWAG</v>
      </c>
      <c r="C2666" s="1" t="str">
        <f t="array" ref="C2666">IF(B2665="NEW ROUTE",TEXTSPLIT(B2666,","),"")</f>
        <v/>
      </c>
      <c r="H2666" s="1" t="str">
        <f t="shared" ref="H2666:I2666" si="2668">IF(C2666&lt;&gt;"",DEC2HEX(C2666,2),"")</f>
        <v/>
      </c>
      <c r="I2666" s="1" t="str">
        <f t="shared" si="2668"/>
        <v/>
      </c>
      <c r="J2666" s="1" t="str">
        <f t="shared" si="3"/>
        <v/>
      </c>
      <c r="L2666" s="1" t="s">
        <v>2927</v>
      </c>
      <c r="M2666" s="1" t="str">
        <f t="shared" si="4"/>
        <v>19, 26, POLIWAG</v>
      </c>
    </row>
    <row r="2667" ht="12.75" customHeight="1">
      <c r="A2667" s="3" t="s">
        <v>2847</v>
      </c>
      <c r="B2667" s="3" t="str">
        <f t="shared" si="1"/>
        <v>good rod:</v>
      </c>
      <c r="C2667" s="1" t="str">
        <f t="array" ref="C2667">IF(B2666="NEW ROUTE",TEXTSPLIT(B2667,","),"")</f>
        <v/>
      </c>
      <c r="H2667" s="1" t="str">
        <f t="shared" ref="H2667:I2667" si="2669">IF(C2667&lt;&gt;"",DEC2HEX(C2667,2),"")</f>
        <v/>
      </c>
      <c r="I2667" s="1" t="str">
        <f t="shared" si="2669"/>
        <v/>
      </c>
      <c r="J2667" s="1" t="str">
        <f t="shared" si="3"/>
        <v/>
      </c>
      <c r="L2667" s="1" t="s">
        <v>2847</v>
      </c>
      <c r="M2667" s="1" t="str">
        <f t="shared" si="4"/>
        <v>good rod:</v>
      </c>
    </row>
    <row r="2668" ht="12.75" customHeight="1">
      <c r="A2668" s="3" t="s">
        <v>3560</v>
      </c>
      <c r="B2668" s="3" t="str">
        <f t="shared" si="1"/>
        <v>29, 33, MAGIKARP</v>
      </c>
      <c r="C2668" s="1" t="str">
        <f t="array" ref="C2668">IF(B2667="NEW ROUTE",TEXTSPLIT(B2668,","),"")</f>
        <v/>
      </c>
      <c r="H2668" s="1" t="str">
        <f t="shared" ref="H2668:I2668" si="2670">IF(C2668&lt;&gt;"",DEC2HEX(C2668,2),"")</f>
        <v/>
      </c>
      <c r="I2668" s="1" t="str">
        <f t="shared" si="2670"/>
        <v/>
      </c>
      <c r="J2668" s="1" t="str">
        <f t="shared" si="3"/>
        <v/>
      </c>
      <c r="L2668" s="1" t="s">
        <v>3560</v>
      </c>
      <c r="M2668" s="1" t="str">
        <f t="shared" si="4"/>
        <v>29, 33, MAGIKARP</v>
      </c>
    </row>
    <row r="2669" ht="12.75" customHeight="1">
      <c r="A2669" s="3" t="s">
        <v>3561</v>
      </c>
      <c r="B2669" s="3" t="str">
        <f t="shared" si="1"/>
        <v>30, 35, GYARADOS</v>
      </c>
      <c r="C2669" s="1" t="str">
        <f t="array" ref="C2669">IF(B2668="NEW ROUTE",TEXTSPLIT(B2669,","),"")</f>
        <v/>
      </c>
      <c r="H2669" s="1" t="str">
        <f t="shared" ref="H2669:I2669" si="2671">IF(C2669&lt;&gt;"",DEC2HEX(C2669,2),"")</f>
        <v/>
      </c>
      <c r="I2669" s="1" t="str">
        <f t="shared" si="2671"/>
        <v/>
      </c>
      <c r="J2669" s="1" t="str">
        <f t="shared" si="3"/>
        <v/>
      </c>
      <c r="L2669" s="1" t="s">
        <v>3561</v>
      </c>
      <c r="M2669" s="1" t="str">
        <f t="shared" si="4"/>
        <v>30, 35, GYARADOS</v>
      </c>
    </row>
    <row r="2670" ht="12.75" customHeight="1">
      <c r="A2670" s="3" t="s">
        <v>3562</v>
      </c>
      <c r="B2670" s="3" t="str">
        <f t="shared" si="1"/>
        <v>30, 35, POLIWHIRL</v>
      </c>
      <c r="C2670" s="1" t="str">
        <f t="array" ref="C2670">IF(B2669="NEW ROUTE",TEXTSPLIT(B2670,","),"")</f>
        <v/>
      </c>
      <c r="H2670" s="1" t="str">
        <f t="shared" ref="H2670:I2670" si="2672">IF(C2670&lt;&gt;"",DEC2HEX(C2670,2),"")</f>
        <v/>
      </c>
      <c r="I2670" s="1" t="str">
        <f t="shared" si="2672"/>
        <v/>
      </c>
      <c r="J2670" s="1" t="str">
        <f t="shared" si="3"/>
        <v/>
      </c>
      <c r="L2670" s="1" t="s">
        <v>3562</v>
      </c>
      <c r="M2670" s="1" t="str">
        <f t="shared" si="4"/>
        <v>30, 35, POLIWHIRL</v>
      </c>
    </row>
    <row r="2671" ht="12.75" customHeight="1">
      <c r="A2671" s="3" t="s">
        <v>2851</v>
      </c>
      <c r="B2671" s="3" t="str">
        <f t="shared" si="1"/>
        <v>super rod:</v>
      </c>
      <c r="C2671" s="1" t="str">
        <f t="array" ref="C2671">IF(B2670="NEW ROUTE",TEXTSPLIT(B2671,","),"")</f>
        <v/>
      </c>
      <c r="H2671" s="1" t="str">
        <f t="shared" ref="H2671:I2671" si="2673">IF(C2671&lt;&gt;"",DEC2HEX(C2671,2),"")</f>
        <v/>
      </c>
      <c r="I2671" s="1" t="str">
        <f t="shared" si="2673"/>
        <v/>
      </c>
      <c r="J2671" s="1" t="str">
        <f t="shared" si="3"/>
        <v/>
      </c>
      <c r="L2671" s="1" t="s">
        <v>2851</v>
      </c>
      <c r="M2671" s="1" t="str">
        <f t="shared" si="4"/>
        <v>super rod:</v>
      </c>
    </row>
    <row r="2672" ht="12.75" customHeight="1">
      <c r="A2672" s="3" t="s">
        <v>3563</v>
      </c>
      <c r="B2672" s="3" t="str">
        <f t="shared" si="1"/>
        <v>36, 40, MAGIKARP</v>
      </c>
      <c r="C2672" s="1" t="str">
        <f t="array" ref="C2672">IF(B2671="NEW ROUTE",TEXTSPLIT(B2672,","),"")</f>
        <v/>
      </c>
      <c r="H2672" s="1" t="str">
        <f t="shared" ref="H2672:I2672" si="2674">IF(C2672&lt;&gt;"",DEC2HEX(C2672,2),"")</f>
        <v/>
      </c>
      <c r="I2672" s="1" t="str">
        <f t="shared" si="2674"/>
        <v/>
      </c>
      <c r="J2672" s="1" t="str">
        <f t="shared" si="3"/>
        <v/>
      </c>
      <c r="L2672" s="1" t="s">
        <v>3563</v>
      </c>
      <c r="M2672" s="1" t="str">
        <f t="shared" si="4"/>
        <v>36, 40, MAGIKARP</v>
      </c>
    </row>
    <row r="2673" ht="12.75" customHeight="1">
      <c r="A2673" s="3" t="s">
        <v>3357</v>
      </c>
      <c r="B2673" s="3" t="str">
        <f t="shared" si="1"/>
        <v>36, 40, GYARADOS</v>
      </c>
      <c r="C2673" s="1" t="str">
        <f t="array" ref="C2673">IF(B2672="NEW ROUTE",TEXTSPLIT(B2673,","),"")</f>
        <v/>
      </c>
      <c r="H2673" s="1" t="str">
        <f t="shared" ref="H2673:I2673" si="2675">IF(C2673&lt;&gt;"",DEC2HEX(C2673,2),"")</f>
        <v/>
      </c>
      <c r="I2673" s="1" t="str">
        <f t="shared" si="2675"/>
        <v/>
      </c>
      <c r="J2673" s="1" t="str">
        <f t="shared" si="3"/>
        <v/>
      </c>
      <c r="L2673" s="1" t="s">
        <v>3357</v>
      </c>
      <c r="M2673" s="1" t="str">
        <f t="shared" si="4"/>
        <v>36, 40, GYARADOS</v>
      </c>
    </row>
    <row r="2674" ht="12.75" customHeight="1">
      <c r="A2674" s="3" t="s">
        <v>3564</v>
      </c>
      <c r="B2674" s="3" t="str">
        <f t="shared" si="1"/>
        <v>38, 42, POLIWHIRL</v>
      </c>
      <c r="C2674" s="1" t="str">
        <f t="array" ref="C2674">IF(B2673="NEW ROUTE",TEXTSPLIT(B2674,","),"")</f>
        <v/>
      </c>
      <c r="H2674" s="1" t="str">
        <f t="shared" ref="H2674:I2674" si="2676">IF(C2674&lt;&gt;"",DEC2HEX(C2674,2),"")</f>
        <v/>
      </c>
      <c r="I2674" s="1" t="str">
        <f t="shared" si="2676"/>
        <v/>
      </c>
      <c r="J2674" s="1" t="str">
        <f t="shared" si="3"/>
        <v/>
      </c>
      <c r="L2674" s="1" t="s">
        <v>3564</v>
      </c>
      <c r="M2674" s="1" t="str">
        <f t="shared" si="4"/>
        <v>38, 42, POLIWHIRL</v>
      </c>
    </row>
    <row r="2675" ht="12.75" customHeight="1">
      <c r="A2675" s="3" t="s">
        <v>3379</v>
      </c>
      <c r="B2675" s="3" t="str">
        <f t="shared" si="1"/>
        <v>38, 42, POLIWRATH</v>
      </c>
      <c r="C2675" s="1" t="str">
        <f t="array" ref="C2675">IF(B2674="NEW ROUTE",TEXTSPLIT(B2675,","),"")</f>
        <v/>
      </c>
      <c r="H2675" s="1" t="str">
        <f t="shared" ref="H2675:I2675" si="2677">IF(C2675&lt;&gt;"",DEC2HEX(C2675,2),"")</f>
        <v/>
      </c>
      <c r="I2675" s="1" t="str">
        <f t="shared" si="2677"/>
        <v/>
      </c>
      <c r="J2675" s="1" t="str">
        <f t="shared" si="3"/>
        <v/>
      </c>
      <c r="L2675" s="1" t="s">
        <v>3379</v>
      </c>
      <c r="M2675" s="1" t="str">
        <f t="shared" si="4"/>
        <v>38, 42, POLIWRATH</v>
      </c>
    </row>
    <row r="2676" ht="12.75" customHeight="1">
      <c r="A2676" s="3" t="s">
        <v>3380</v>
      </c>
      <c r="B2676" s="3" t="str">
        <f t="shared" si="1"/>
        <v>40, 44, POLITOES</v>
      </c>
      <c r="C2676" s="1" t="str">
        <f t="array" ref="C2676">IF(B2675="NEW ROUTE",TEXTSPLIT(B2676,","),"")</f>
        <v/>
      </c>
      <c r="H2676" s="1" t="str">
        <f t="shared" ref="H2676:I2676" si="2678">IF(C2676&lt;&gt;"",DEC2HEX(C2676,2),"")</f>
        <v/>
      </c>
      <c r="I2676" s="1" t="str">
        <f t="shared" si="2678"/>
        <v/>
      </c>
      <c r="J2676" s="1" t="str">
        <f t="shared" si="3"/>
        <v/>
      </c>
      <c r="L2676" s="1" t="s">
        <v>3380</v>
      </c>
      <c r="M2676" s="1" t="str">
        <f t="shared" si="4"/>
        <v>40, 44, POLITOES</v>
      </c>
    </row>
    <row r="2677" ht="12.75" customHeight="1">
      <c r="A2677" s="3" t="s">
        <v>2539</v>
      </c>
      <c r="B2677" s="3" t="str">
        <f t="shared" si="1"/>
        <v>NEW ROUTE</v>
      </c>
      <c r="C2677" s="1" t="str">
        <f t="array" ref="C2677">IF(B2676="NEW ROUTE",TEXTSPLIT(B2677,","),"")</f>
        <v/>
      </c>
      <c r="H2677" s="1" t="str">
        <f t="shared" ref="H2677:I2677" si="2679">IF(C2677&lt;&gt;"",DEC2HEX(C2677,2),"")</f>
        <v/>
      </c>
      <c r="I2677" s="1" t="str">
        <f t="shared" si="2679"/>
        <v/>
      </c>
      <c r="J2677" s="1" t="str">
        <f t="shared" si="3"/>
        <v/>
      </c>
      <c r="L2677" s="1" t="s">
        <v>2539</v>
      </c>
      <c r="M2677" s="1" t="str">
        <f t="shared" si="4"/>
        <v>NEW ROUTE</v>
      </c>
    </row>
    <row r="2678" ht="12.75" customHeight="1">
      <c r="A2678" s="3" t="s">
        <v>3615</v>
      </c>
      <c r="B2678" s="3" t="str">
        <f t="shared" si="1"/>
        <v>3, 3, 0, &lt;null&gt;,</v>
      </c>
      <c r="C2678" s="1" t="str">
        <f t="array" ref="C2678">IF(B2677="NEW ROUTE",TEXTSPLIT(B2678,","),"")</f>
        <v>#NAME?</v>
      </c>
      <c r="H2678" s="1" t="str">
        <f t="shared" ref="H2678:I2678" si="2680">IF(C2678&lt;&gt;"",DEC2HEX(C2678,2),"")</f>
        <v>#NAME?</v>
      </c>
      <c r="I2678" s="1" t="str">
        <f t="shared" si="2680"/>
        <v/>
      </c>
      <c r="J2678" s="1" t="str">
        <f t="shared" si="3"/>
        <v>#NAME?</v>
      </c>
      <c r="L2678" s="1" t="s">
        <v>3615</v>
      </c>
      <c r="M2678" s="1" t="str">
        <f t="shared" si="4"/>
        <v>#NAME?</v>
      </c>
    </row>
    <row r="2679" ht="12.75" customHeight="1">
      <c r="A2679" s="3" t="s">
        <v>3610</v>
      </c>
      <c r="B2679" s="3" t="str">
        <f t="shared" si="1"/>
        <v>1, 38, 42, TENTACOOL</v>
      </c>
      <c r="C2679" s="1" t="str">
        <f t="array" ref="C2679">IF(B2678="NEW ROUTE",TEXTSPLIT(B2679,","),"")</f>
        <v/>
      </c>
      <c r="H2679" s="1" t="str">
        <f t="shared" ref="H2679:I2679" si="2681">IF(C2679&lt;&gt;"",DEC2HEX(C2679,2),"")</f>
        <v/>
      </c>
      <c r="I2679" s="1" t="str">
        <f t="shared" si="2681"/>
        <v/>
      </c>
      <c r="J2679" s="1" t="str">
        <f t="shared" si="3"/>
        <v/>
      </c>
      <c r="L2679" s="1" t="s">
        <v>3610</v>
      </c>
      <c r="M2679" s="1" t="str">
        <f t="shared" si="4"/>
        <v>1, 38, 42, TENTACOOL</v>
      </c>
    </row>
    <row r="2680" ht="12.75" customHeight="1">
      <c r="A2680" s="3" t="s">
        <v>3351</v>
      </c>
      <c r="B2680" s="3" t="str">
        <f t="shared" si="1"/>
        <v>40, 44, PSYDUCK</v>
      </c>
      <c r="C2680" s="1" t="str">
        <f t="array" ref="C2680">IF(B2679="NEW ROUTE",TEXTSPLIT(B2680,","),"")</f>
        <v/>
      </c>
      <c r="H2680" s="1" t="str">
        <f t="shared" ref="H2680:I2680" si="2682">IF(C2680&lt;&gt;"",DEC2HEX(C2680,2),"")</f>
        <v/>
      </c>
      <c r="I2680" s="1" t="str">
        <f t="shared" si="2682"/>
        <v/>
      </c>
      <c r="J2680" s="1" t="str">
        <f t="shared" si="3"/>
        <v/>
      </c>
      <c r="L2680" s="1" t="s">
        <v>3351</v>
      </c>
      <c r="M2680" s="1" t="str">
        <f t="shared" si="4"/>
        <v>40, 44, PSYDUCK</v>
      </c>
    </row>
    <row r="2681" ht="12.75" customHeight="1">
      <c r="A2681" s="3" t="s">
        <v>3352</v>
      </c>
      <c r="B2681" s="3" t="str">
        <f t="shared" si="1"/>
        <v>42, 46, TENTACRUEL</v>
      </c>
      <c r="C2681" s="1" t="str">
        <f t="array" ref="C2681">IF(B2680="NEW ROUTE",TEXTSPLIT(B2681,","),"")</f>
        <v/>
      </c>
      <c r="H2681" s="1" t="str">
        <f t="shared" ref="H2681:I2681" si="2683">IF(C2681&lt;&gt;"",DEC2HEX(C2681,2),"")</f>
        <v/>
      </c>
      <c r="I2681" s="1" t="str">
        <f t="shared" si="2683"/>
        <v/>
      </c>
      <c r="J2681" s="1" t="str">
        <f t="shared" si="3"/>
        <v/>
      </c>
      <c r="L2681" s="1" t="s">
        <v>3352</v>
      </c>
      <c r="M2681" s="1" t="str">
        <f t="shared" si="4"/>
        <v>42, 46, TENTACRUEL</v>
      </c>
    </row>
    <row r="2682" ht="12.75" customHeight="1">
      <c r="A2682" s="3" t="s">
        <v>2924</v>
      </c>
      <c r="B2682" s="3" t="str">
        <f t="shared" si="1"/>
        <v>42, 46, GOLDUCK</v>
      </c>
      <c r="C2682" s="1" t="str">
        <f t="array" ref="C2682">IF(B2681="NEW ROUTE",TEXTSPLIT(B2682,","),"")</f>
        <v/>
      </c>
      <c r="H2682" s="1" t="str">
        <f t="shared" ref="H2682:I2682" si="2684">IF(C2682&lt;&gt;"",DEC2HEX(C2682,2),"")</f>
        <v/>
      </c>
      <c r="I2682" s="1" t="str">
        <f t="shared" si="2684"/>
        <v/>
      </c>
      <c r="J2682" s="1" t="str">
        <f t="shared" si="3"/>
        <v/>
      </c>
      <c r="L2682" s="1" t="s">
        <v>2924</v>
      </c>
      <c r="M2682" s="1" t="str">
        <f t="shared" si="4"/>
        <v>42, 46, GOLDUCK</v>
      </c>
    </row>
    <row r="2683" ht="12.75" customHeight="1">
      <c r="A2683" s="3" t="s">
        <v>2925</v>
      </c>
      <c r="B2683" s="3" t="str">
        <f t="shared" si="1"/>
        <v>44, 48, VAPOREON</v>
      </c>
      <c r="C2683" s="1" t="str">
        <f t="array" ref="C2683">IF(B2682="NEW ROUTE",TEXTSPLIT(B2683,","),"")</f>
        <v/>
      </c>
      <c r="H2683" s="1" t="str">
        <f t="shared" ref="H2683:I2683" si="2685">IF(C2683&lt;&gt;"",DEC2HEX(C2683,2),"")</f>
        <v/>
      </c>
      <c r="I2683" s="1" t="str">
        <f t="shared" si="2685"/>
        <v/>
      </c>
      <c r="J2683" s="1" t="str">
        <f t="shared" si="3"/>
        <v/>
      </c>
      <c r="L2683" s="1" t="s">
        <v>2925</v>
      </c>
      <c r="M2683" s="1" t="str">
        <f t="shared" si="4"/>
        <v>44, 48, VAPOREON</v>
      </c>
    </row>
    <row r="2684" ht="12.75" customHeight="1">
      <c r="A2684" s="3" t="s">
        <v>2846</v>
      </c>
      <c r="B2684" s="3" t="str">
        <f t="shared" si="1"/>
        <v>10, old rod:</v>
      </c>
      <c r="C2684" s="1" t="str">
        <f t="array" ref="C2684">IF(B2683="NEW ROUTE",TEXTSPLIT(B2684,","),"")</f>
        <v/>
      </c>
      <c r="H2684" s="1" t="str">
        <f t="shared" ref="H2684:I2684" si="2686">IF(C2684&lt;&gt;"",DEC2HEX(C2684,2),"")</f>
        <v/>
      </c>
      <c r="I2684" s="1" t="str">
        <f t="shared" si="2686"/>
        <v/>
      </c>
      <c r="J2684" s="1" t="str">
        <f t="shared" si="3"/>
        <v/>
      </c>
      <c r="L2684" s="1" t="s">
        <v>2846</v>
      </c>
      <c r="M2684" s="1" t="str">
        <f t="shared" si="4"/>
        <v>10, old rod:</v>
      </c>
    </row>
    <row r="2685" ht="12.75" customHeight="1">
      <c r="A2685" s="3" t="s">
        <v>500</v>
      </c>
      <c r="B2685" s="3" t="str">
        <f t="shared" si="1"/>
        <v>19, 26, MAGIKARP</v>
      </c>
      <c r="C2685" s="1" t="str">
        <f t="array" ref="C2685">IF(B2684="NEW ROUTE",TEXTSPLIT(B2685,","),"")</f>
        <v/>
      </c>
      <c r="H2685" s="1" t="str">
        <f t="shared" ref="H2685:I2685" si="2687">IF(C2685&lt;&gt;"",DEC2HEX(C2685,2),"")</f>
        <v/>
      </c>
      <c r="I2685" s="1" t="str">
        <f t="shared" si="2687"/>
        <v/>
      </c>
      <c r="J2685" s="1" t="str">
        <f t="shared" si="3"/>
        <v/>
      </c>
      <c r="L2685" s="1" t="s">
        <v>500</v>
      </c>
      <c r="M2685" s="1" t="str">
        <f t="shared" si="4"/>
        <v>19, 26, MAGIKARP</v>
      </c>
    </row>
    <row r="2686" ht="12.75" customHeight="1">
      <c r="A2686" s="3" t="s">
        <v>3353</v>
      </c>
      <c r="B2686" s="3" t="str">
        <f t="shared" si="1"/>
        <v>19, 26, GYARADOS</v>
      </c>
      <c r="C2686" s="1" t="str">
        <f t="array" ref="C2686">IF(B2685="NEW ROUTE",TEXTSPLIT(B2686,","),"")</f>
        <v/>
      </c>
      <c r="H2686" s="1" t="str">
        <f t="shared" ref="H2686:I2686" si="2688">IF(C2686&lt;&gt;"",DEC2HEX(C2686,2),"")</f>
        <v/>
      </c>
      <c r="I2686" s="1" t="str">
        <f t="shared" si="2688"/>
        <v/>
      </c>
      <c r="J2686" s="1" t="str">
        <f t="shared" si="3"/>
        <v/>
      </c>
      <c r="L2686" s="1" t="s">
        <v>3353</v>
      </c>
      <c r="M2686" s="1" t="str">
        <f t="shared" si="4"/>
        <v>19, 26, GYARADOS</v>
      </c>
    </row>
    <row r="2687" ht="12.75" customHeight="1">
      <c r="A2687" s="3" t="s">
        <v>2847</v>
      </c>
      <c r="B2687" s="3" t="str">
        <f t="shared" si="1"/>
        <v>good rod:</v>
      </c>
      <c r="C2687" s="1" t="str">
        <f t="array" ref="C2687">IF(B2686="NEW ROUTE",TEXTSPLIT(B2687,","),"")</f>
        <v/>
      </c>
      <c r="H2687" s="1" t="str">
        <f t="shared" ref="H2687:I2687" si="2689">IF(C2687&lt;&gt;"",DEC2HEX(C2687,2),"")</f>
        <v/>
      </c>
      <c r="I2687" s="1" t="str">
        <f t="shared" si="2689"/>
        <v/>
      </c>
      <c r="J2687" s="1" t="str">
        <f t="shared" si="3"/>
        <v/>
      </c>
      <c r="L2687" s="1" t="s">
        <v>2847</v>
      </c>
      <c r="M2687" s="1" t="str">
        <f t="shared" si="4"/>
        <v>good rod:</v>
      </c>
    </row>
    <row r="2688" ht="12.75" customHeight="1">
      <c r="A2688" s="3" t="s">
        <v>3354</v>
      </c>
      <c r="B2688" s="3" t="str">
        <f t="shared" si="1"/>
        <v>29, 33, SLOWPOKE</v>
      </c>
      <c r="C2688" s="1" t="str">
        <f t="array" ref="C2688">IF(B2687="NEW ROUTE",TEXTSPLIT(B2688,","),"")</f>
        <v/>
      </c>
      <c r="H2688" s="1" t="str">
        <f t="shared" ref="H2688:I2688" si="2690">IF(C2688&lt;&gt;"",DEC2HEX(C2688,2),"")</f>
        <v/>
      </c>
      <c r="I2688" s="1" t="str">
        <f t="shared" si="2690"/>
        <v/>
      </c>
      <c r="J2688" s="1" t="str">
        <f t="shared" si="3"/>
        <v/>
      </c>
      <c r="L2688" s="1" t="s">
        <v>3354</v>
      </c>
      <c r="M2688" s="1" t="str">
        <f t="shared" si="4"/>
        <v>29, 33, SLOWPOKE</v>
      </c>
    </row>
    <row r="2689" ht="12.75" customHeight="1">
      <c r="A2689" s="3" t="s">
        <v>3028</v>
      </c>
      <c r="B2689" s="3" t="str">
        <f t="shared" si="1"/>
        <v>30, 35, KRABBY</v>
      </c>
      <c r="C2689" s="1" t="str">
        <f t="array" ref="C2689">IF(B2688="NEW ROUTE",TEXTSPLIT(B2689,","),"")</f>
        <v/>
      </c>
      <c r="H2689" s="1" t="str">
        <f t="shared" ref="H2689:I2689" si="2691">IF(C2689&lt;&gt;"",DEC2HEX(C2689,2),"")</f>
        <v/>
      </c>
      <c r="I2689" s="1" t="str">
        <f t="shared" si="2691"/>
        <v/>
      </c>
      <c r="J2689" s="1" t="str">
        <f t="shared" si="3"/>
        <v/>
      </c>
      <c r="L2689" s="1" t="s">
        <v>3028</v>
      </c>
      <c r="M2689" s="1" t="str">
        <f t="shared" si="4"/>
        <v>30, 35, KRABBY</v>
      </c>
    </row>
    <row r="2690" ht="12.75" customHeight="1">
      <c r="A2690" s="3" t="s">
        <v>3355</v>
      </c>
      <c r="B2690" s="3" t="str">
        <f t="shared" si="1"/>
        <v>30, 35, PSYDUCK</v>
      </c>
      <c r="C2690" s="1" t="str">
        <f t="array" ref="C2690">IF(B2689="NEW ROUTE",TEXTSPLIT(B2690,","),"")</f>
        <v/>
      </c>
      <c r="H2690" s="1" t="str">
        <f t="shared" ref="H2690:I2690" si="2692">IF(C2690&lt;&gt;"",DEC2HEX(C2690,2),"")</f>
        <v/>
      </c>
      <c r="I2690" s="1" t="str">
        <f t="shared" si="2692"/>
        <v/>
      </c>
      <c r="J2690" s="1" t="str">
        <f t="shared" si="3"/>
        <v/>
      </c>
      <c r="L2690" s="1" t="s">
        <v>3355</v>
      </c>
      <c r="M2690" s="1" t="str">
        <f t="shared" si="4"/>
        <v>30, 35, PSYDUCK</v>
      </c>
    </row>
    <row r="2691" ht="12.75" customHeight="1">
      <c r="A2691" s="3" t="s">
        <v>2851</v>
      </c>
      <c r="B2691" s="3" t="str">
        <f t="shared" si="1"/>
        <v>super rod:</v>
      </c>
      <c r="C2691" s="1" t="str">
        <f t="array" ref="C2691">IF(B2690="NEW ROUTE",TEXTSPLIT(B2691,","),"")</f>
        <v/>
      </c>
      <c r="H2691" s="1" t="str">
        <f t="shared" ref="H2691:I2691" si="2693">IF(C2691&lt;&gt;"",DEC2HEX(C2691,2),"")</f>
        <v/>
      </c>
      <c r="I2691" s="1" t="str">
        <f t="shared" si="2693"/>
        <v/>
      </c>
      <c r="J2691" s="1" t="str">
        <f t="shared" si="3"/>
        <v/>
      </c>
      <c r="L2691" s="1" t="s">
        <v>2851</v>
      </c>
      <c r="M2691" s="1" t="str">
        <f t="shared" si="4"/>
        <v>super rod:</v>
      </c>
    </row>
    <row r="2692" ht="12.75" customHeight="1">
      <c r="A2692" s="3" t="s">
        <v>3356</v>
      </c>
      <c r="B2692" s="3" t="str">
        <f t="shared" si="1"/>
        <v>36, 40, SLOWBRO</v>
      </c>
      <c r="C2692" s="1" t="str">
        <f t="array" ref="C2692">IF(B2691="NEW ROUTE",TEXTSPLIT(B2692,","),"")</f>
        <v/>
      </c>
      <c r="H2692" s="1" t="str">
        <f t="shared" ref="H2692:I2692" si="2694">IF(C2692&lt;&gt;"",DEC2HEX(C2692,2),"")</f>
        <v/>
      </c>
      <c r="I2692" s="1" t="str">
        <f t="shared" si="2694"/>
        <v/>
      </c>
      <c r="J2692" s="1" t="str">
        <f t="shared" si="3"/>
        <v/>
      </c>
      <c r="L2692" s="1" t="s">
        <v>3356</v>
      </c>
      <c r="M2692" s="1" t="str">
        <f t="shared" si="4"/>
        <v>36, 40, SLOWBRO</v>
      </c>
    </row>
    <row r="2693" ht="12.75" customHeight="1">
      <c r="A2693" s="3" t="s">
        <v>3357</v>
      </c>
      <c r="B2693" s="3" t="str">
        <f t="shared" si="1"/>
        <v>36, 40, GYARADOS</v>
      </c>
      <c r="C2693" s="1" t="str">
        <f t="array" ref="C2693">IF(B2692="NEW ROUTE",TEXTSPLIT(B2693,","),"")</f>
        <v/>
      </c>
      <c r="H2693" s="1" t="str">
        <f t="shared" ref="H2693:I2693" si="2695">IF(C2693&lt;&gt;"",DEC2HEX(C2693,2),"")</f>
        <v/>
      </c>
      <c r="I2693" s="1" t="str">
        <f t="shared" si="2695"/>
        <v/>
      </c>
      <c r="J2693" s="1" t="str">
        <f t="shared" si="3"/>
        <v/>
      </c>
      <c r="L2693" s="1" t="s">
        <v>3357</v>
      </c>
      <c r="M2693" s="1" t="str">
        <f t="shared" si="4"/>
        <v>36, 40, GYARADOS</v>
      </c>
    </row>
    <row r="2694" ht="12.75" customHeight="1">
      <c r="A2694" s="3" t="s">
        <v>3358</v>
      </c>
      <c r="B2694" s="3" t="str">
        <f t="shared" si="1"/>
        <v>38, 42, GOLDUCK</v>
      </c>
      <c r="C2694" s="1" t="str">
        <f t="array" ref="C2694">IF(B2693="NEW ROUTE",TEXTSPLIT(B2694,","),"")</f>
        <v/>
      </c>
      <c r="H2694" s="1" t="str">
        <f t="shared" ref="H2694:I2694" si="2696">IF(C2694&lt;&gt;"",DEC2HEX(C2694,2),"")</f>
        <v/>
      </c>
      <c r="I2694" s="1" t="str">
        <f t="shared" si="2696"/>
        <v/>
      </c>
      <c r="J2694" s="1" t="str">
        <f t="shared" si="3"/>
        <v/>
      </c>
      <c r="L2694" s="1" t="s">
        <v>3358</v>
      </c>
      <c r="M2694" s="1" t="str">
        <f t="shared" si="4"/>
        <v>38, 42, GOLDUCK</v>
      </c>
    </row>
    <row r="2695" ht="12.75" customHeight="1">
      <c r="A2695" s="3" t="s">
        <v>3359</v>
      </c>
      <c r="B2695" s="3" t="str">
        <f t="shared" si="1"/>
        <v>38, 42, KINGLER</v>
      </c>
      <c r="C2695" s="1" t="str">
        <f t="array" ref="C2695">IF(B2694="NEW ROUTE",TEXTSPLIT(B2695,","),"")</f>
        <v/>
      </c>
      <c r="H2695" s="1" t="str">
        <f t="shared" ref="H2695:I2695" si="2697">IF(C2695&lt;&gt;"",DEC2HEX(C2695,2),"")</f>
        <v/>
      </c>
      <c r="I2695" s="1" t="str">
        <f t="shared" si="2697"/>
        <v/>
      </c>
      <c r="J2695" s="1" t="str">
        <f t="shared" si="3"/>
        <v/>
      </c>
      <c r="L2695" s="1" t="s">
        <v>3359</v>
      </c>
      <c r="M2695" s="1" t="str">
        <f t="shared" si="4"/>
        <v>38, 42, KINGLER</v>
      </c>
    </row>
    <row r="2696" ht="12.75" customHeight="1">
      <c r="A2696" s="3" t="s">
        <v>3360</v>
      </c>
      <c r="B2696" s="3" t="str">
        <f t="shared" si="1"/>
        <v>40, 44, SLOWMATE</v>
      </c>
      <c r="C2696" s="1" t="str">
        <f t="array" ref="C2696">IF(B2695="NEW ROUTE",TEXTSPLIT(B2696,","),"")</f>
        <v/>
      </c>
      <c r="H2696" s="1" t="str">
        <f t="shared" ref="H2696:I2696" si="2698">IF(C2696&lt;&gt;"",DEC2HEX(C2696,2),"")</f>
        <v/>
      </c>
      <c r="I2696" s="1" t="str">
        <f t="shared" si="2698"/>
        <v/>
      </c>
      <c r="J2696" s="1" t="str">
        <f t="shared" si="3"/>
        <v/>
      </c>
      <c r="L2696" s="1" t="s">
        <v>3360</v>
      </c>
      <c r="M2696" s="1" t="str">
        <f t="shared" si="4"/>
        <v>40, 44, SLOWMATE</v>
      </c>
    </row>
    <row r="2697" ht="12.75" customHeight="1">
      <c r="A2697" s="3" t="s">
        <v>2539</v>
      </c>
      <c r="B2697" s="3" t="str">
        <f t="shared" si="1"/>
        <v>NEW ROUTE</v>
      </c>
      <c r="C2697" s="1" t="str">
        <f t="array" ref="C2697">IF(B2696="NEW ROUTE",TEXTSPLIT(B2697,","),"")</f>
        <v/>
      </c>
      <c r="H2697" s="1" t="str">
        <f t="shared" ref="H2697:I2697" si="2699">IF(C2697&lt;&gt;"",DEC2HEX(C2697,2),"")</f>
        <v/>
      </c>
      <c r="I2697" s="1" t="str">
        <f t="shared" si="2699"/>
        <v/>
      </c>
      <c r="J2697" s="1" t="str">
        <f t="shared" si="3"/>
        <v/>
      </c>
      <c r="L2697" s="1" t="s">
        <v>2539</v>
      </c>
      <c r="M2697" s="1" t="str">
        <f t="shared" si="4"/>
        <v>NEW ROUTE</v>
      </c>
    </row>
    <row r="2698" ht="12.75" customHeight="1">
      <c r="A2698" s="3" t="s">
        <v>3616</v>
      </c>
      <c r="B2698" s="3" t="str">
        <f t="shared" si="1"/>
        <v>3, 5, 0, &lt;null&gt;,</v>
      </c>
      <c r="C2698" s="1" t="str">
        <f t="array" ref="C2698">IF(B2697="NEW ROUTE",TEXTSPLIT(B2698,","),"")</f>
        <v>#NAME?</v>
      </c>
      <c r="H2698" s="1" t="str">
        <f t="shared" ref="H2698:I2698" si="2700">IF(C2698&lt;&gt;"",DEC2HEX(C2698,2),"")</f>
        <v>#NAME?</v>
      </c>
      <c r="I2698" s="1" t="str">
        <f t="shared" si="2700"/>
        <v/>
      </c>
      <c r="J2698" s="1" t="str">
        <f t="shared" si="3"/>
        <v>#NAME?</v>
      </c>
      <c r="L2698" s="1" t="s">
        <v>3616</v>
      </c>
      <c r="M2698" s="1" t="str">
        <f t="shared" si="4"/>
        <v>#NAME?</v>
      </c>
    </row>
    <row r="2699" ht="12.75" customHeight="1">
      <c r="A2699" s="3" t="s">
        <v>3610</v>
      </c>
      <c r="B2699" s="3" t="str">
        <f t="shared" si="1"/>
        <v>1, 38, 42, TENTACOOL</v>
      </c>
      <c r="C2699" s="1" t="str">
        <f t="array" ref="C2699">IF(B2698="NEW ROUTE",TEXTSPLIT(B2699,","),"")</f>
        <v/>
      </c>
      <c r="H2699" s="1" t="str">
        <f t="shared" ref="H2699:I2699" si="2701">IF(C2699&lt;&gt;"",DEC2HEX(C2699,2),"")</f>
        <v/>
      </c>
      <c r="I2699" s="1" t="str">
        <f t="shared" si="2701"/>
        <v/>
      </c>
      <c r="J2699" s="1" t="str">
        <f t="shared" si="3"/>
        <v/>
      </c>
      <c r="L2699" s="1" t="s">
        <v>3610</v>
      </c>
      <c r="M2699" s="1" t="str">
        <f t="shared" si="4"/>
        <v>1, 38, 42, TENTACOOL</v>
      </c>
    </row>
    <row r="2700" ht="12.75" customHeight="1">
      <c r="A2700" s="3" t="s">
        <v>3429</v>
      </c>
      <c r="B2700" s="3" t="str">
        <f t="shared" si="1"/>
        <v>40, 44, TENTACRUEL</v>
      </c>
      <c r="C2700" s="1" t="str">
        <f t="array" ref="C2700">IF(B2699="NEW ROUTE",TEXTSPLIT(B2700,","),"")</f>
        <v/>
      </c>
      <c r="H2700" s="1" t="str">
        <f t="shared" ref="H2700:I2700" si="2702">IF(C2700&lt;&gt;"",DEC2HEX(C2700,2),"")</f>
        <v/>
      </c>
      <c r="I2700" s="1" t="str">
        <f t="shared" si="2702"/>
        <v/>
      </c>
      <c r="J2700" s="1" t="str">
        <f t="shared" si="3"/>
        <v/>
      </c>
      <c r="L2700" s="1" t="s">
        <v>3429</v>
      </c>
      <c r="M2700" s="1" t="str">
        <f t="shared" si="4"/>
        <v>40, 44, TENTACRUEL</v>
      </c>
    </row>
    <row r="2701" ht="12.75" customHeight="1">
      <c r="A2701" s="3" t="s">
        <v>3025</v>
      </c>
      <c r="B2701" s="3" t="str">
        <f t="shared" si="1"/>
        <v>42, 46, LAPRAS</v>
      </c>
      <c r="C2701" s="1" t="str">
        <f t="array" ref="C2701">IF(B2700="NEW ROUTE",TEXTSPLIT(B2701,","),"")</f>
        <v/>
      </c>
      <c r="H2701" s="1" t="str">
        <f t="shared" ref="H2701:I2701" si="2703">IF(C2701&lt;&gt;"",DEC2HEX(C2701,2),"")</f>
        <v/>
      </c>
      <c r="I2701" s="1" t="str">
        <f t="shared" si="2703"/>
        <v/>
      </c>
      <c r="J2701" s="1" t="str">
        <f t="shared" si="3"/>
        <v/>
      </c>
      <c r="L2701" s="1" t="s">
        <v>3025</v>
      </c>
      <c r="M2701" s="1" t="str">
        <f t="shared" si="4"/>
        <v>42, 46, LAPRAS</v>
      </c>
    </row>
    <row r="2702" ht="12.75" customHeight="1">
      <c r="A2702" s="3" t="s">
        <v>3430</v>
      </c>
      <c r="B2702" s="3" t="str">
        <f t="shared" si="1"/>
        <v>42, 46, TENTACATE</v>
      </c>
      <c r="C2702" s="1" t="str">
        <f t="array" ref="C2702">IF(B2701="NEW ROUTE",TEXTSPLIT(B2702,","),"")</f>
        <v/>
      </c>
      <c r="H2702" s="1" t="str">
        <f t="shared" ref="H2702:I2702" si="2704">IF(C2702&lt;&gt;"",DEC2HEX(C2702,2),"")</f>
        <v/>
      </c>
      <c r="I2702" s="1" t="str">
        <f t="shared" si="2704"/>
        <v/>
      </c>
      <c r="J2702" s="1" t="str">
        <f t="shared" si="3"/>
        <v/>
      </c>
      <c r="L2702" s="1" t="s">
        <v>3430</v>
      </c>
      <c r="M2702" s="1" t="str">
        <f t="shared" si="4"/>
        <v>42, 46, TENTACATE</v>
      </c>
    </row>
    <row r="2703" ht="12.75" customHeight="1">
      <c r="A2703" s="3" t="s">
        <v>3450</v>
      </c>
      <c r="B2703" s="3" t="str">
        <f t="shared" si="1"/>
        <v>44, 48, LOCHLASS</v>
      </c>
      <c r="C2703" s="1" t="str">
        <f t="array" ref="C2703">IF(B2702="NEW ROUTE",TEXTSPLIT(B2703,","),"")</f>
        <v/>
      </c>
      <c r="H2703" s="1" t="str">
        <f t="shared" ref="H2703:I2703" si="2705">IF(C2703&lt;&gt;"",DEC2HEX(C2703,2),"")</f>
        <v/>
      </c>
      <c r="I2703" s="1" t="str">
        <f t="shared" si="2705"/>
        <v/>
      </c>
      <c r="J2703" s="1" t="str">
        <f t="shared" si="3"/>
        <v/>
      </c>
      <c r="L2703" s="1" t="s">
        <v>3450</v>
      </c>
      <c r="M2703" s="1" t="str">
        <f t="shared" si="4"/>
        <v>44, 48, LOCHLASS</v>
      </c>
    </row>
    <row r="2704" ht="12.75" customHeight="1">
      <c r="A2704" s="3" t="s">
        <v>2846</v>
      </c>
      <c r="B2704" s="3" t="str">
        <f t="shared" si="1"/>
        <v>10, old rod:</v>
      </c>
      <c r="C2704" s="1" t="str">
        <f t="array" ref="C2704">IF(B2703="NEW ROUTE",TEXTSPLIT(B2704,","),"")</f>
        <v/>
      </c>
      <c r="H2704" s="1" t="str">
        <f t="shared" ref="H2704:I2704" si="2706">IF(C2704&lt;&gt;"",DEC2HEX(C2704,2),"")</f>
        <v/>
      </c>
      <c r="I2704" s="1" t="str">
        <f t="shared" si="2706"/>
        <v/>
      </c>
      <c r="J2704" s="1" t="str">
        <f t="shared" si="3"/>
        <v/>
      </c>
      <c r="L2704" s="1" t="s">
        <v>2846</v>
      </c>
      <c r="M2704" s="1" t="str">
        <f t="shared" si="4"/>
        <v>10, old rod:</v>
      </c>
    </row>
    <row r="2705" ht="12.75" customHeight="1">
      <c r="A2705" s="3" t="s">
        <v>500</v>
      </c>
      <c r="B2705" s="3" t="str">
        <f t="shared" si="1"/>
        <v>19, 26, MAGIKARP</v>
      </c>
      <c r="C2705" s="1" t="str">
        <f t="array" ref="C2705">IF(B2704="NEW ROUTE",TEXTSPLIT(B2705,","),"")</f>
        <v/>
      </c>
      <c r="H2705" s="1" t="str">
        <f t="shared" ref="H2705:I2705" si="2707">IF(C2705&lt;&gt;"",DEC2HEX(C2705,2),"")</f>
        <v/>
      </c>
      <c r="I2705" s="1" t="str">
        <f t="shared" si="2707"/>
        <v/>
      </c>
      <c r="J2705" s="1" t="str">
        <f t="shared" si="3"/>
        <v/>
      </c>
      <c r="L2705" s="1" t="s">
        <v>500</v>
      </c>
      <c r="M2705" s="1" t="str">
        <f t="shared" si="4"/>
        <v>19, 26, MAGIKARP</v>
      </c>
    </row>
    <row r="2706" ht="12.75" customHeight="1">
      <c r="A2706" s="3" t="s">
        <v>3353</v>
      </c>
      <c r="B2706" s="3" t="str">
        <f t="shared" si="1"/>
        <v>19, 26, GYARADOS</v>
      </c>
      <c r="C2706" s="1" t="str">
        <f t="array" ref="C2706">IF(B2705="NEW ROUTE",TEXTSPLIT(B2706,","),"")</f>
        <v/>
      </c>
      <c r="H2706" s="1" t="str">
        <f t="shared" ref="H2706:I2706" si="2708">IF(C2706&lt;&gt;"",DEC2HEX(C2706,2),"")</f>
        <v/>
      </c>
      <c r="I2706" s="1" t="str">
        <f t="shared" si="2708"/>
        <v/>
      </c>
      <c r="J2706" s="1" t="str">
        <f t="shared" si="3"/>
        <v/>
      </c>
      <c r="L2706" s="1" t="s">
        <v>3353</v>
      </c>
      <c r="M2706" s="1" t="str">
        <f t="shared" si="4"/>
        <v>19, 26, GYARADOS</v>
      </c>
    </row>
    <row r="2707" ht="12.75" customHeight="1">
      <c r="A2707" s="3" t="s">
        <v>2847</v>
      </c>
      <c r="B2707" s="3" t="str">
        <f t="shared" si="1"/>
        <v>good rod:</v>
      </c>
      <c r="C2707" s="1" t="str">
        <f t="array" ref="C2707">IF(B2706="NEW ROUTE",TEXTSPLIT(B2707,","),"")</f>
        <v/>
      </c>
      <c r="H2707" s="1" t="str">
        <f t="shared" ref="H2707:I2707" si="2709">IF(C2707&lt;&gt;"",DEC2HEX(C2707,2),"")</f>
        <v/>
      </c>
      <c r="I2707" s="1" t="str">
        <f t="shared" si="2709"/>
        <v/>
      </c>
      <c r="J2707" s="1" t="str">
        <f t="shared" si="3"/>
        <v/>
      </c>
      <c r="L2707" s="1" t="s">
        <v>2847</v>
      </c>
      <c r="M2707" s="1" t="str">
        <f t="shared" si="4"/>
        <v>good rod:</v>
      </c>
    </row>
    <row r="2708" ht="12.75" customHeight="1">
      <c r="A2708" s="3" t="s">
        <v>3431</v>
      </c>
      <c r="B2708" s="3" t="str">
        <f t="shared" si="1"/>
        <v>29, 33, HORSEA</v>
      </c>
      <c r="C2708" s="1" t="str">
        <f t="array" ref="C2708">IF(B2707="NEW ROUTE",TEXTSPLIT(B2708,","),"")</f>
        <v/>
      </c>
      <c r="H2708" s="1" t="str">
        <f t="shared" ref="H2708:I2708" si="2710">IF(C2708&lt;&gt;"",DEC2HEX(C2708,2),"")</f>
        <v/>
      </c>
      <c r="I2708" s="1" t="str">
        <f t="shared" si="2710"/>
        <v/>
      </c>
      <c r="J2708" s="1" t="str">
        <f t="shared" si="3"/>
        <v/>
      </c>
      <c r="L2708" s="1" t="s">
        <v>3431</v>
      </c>
      <c r="M2708" s="1" t="str">
        <f t="shared" si="4"/>
        <v>29, 33, HORSEA</v>
      </c>
    </row>
    <row r="2709" ht="12.75" customHeight="1">
      <c r="A2709" s="3" t="s">
        <v>3451</v>
      </c>
      <c r="B2709" s="3" t="str">
        <f t="shared" si="1"/>
        <v>30, 35, SHELLDER</v>
      </c>
      <c r="C2709" s="1" t="str">
        <f t="array" ref="C2709">IF(B2708="NEW ROUTE",TEXTSPLIT(B2709,","),"")</f>
        <v/>
      </c>
      <c r="H2709" s="1" t="str">
        <f t="shared" ref="H2709:I2709" si="2711">IF(C2709&lt;&gt;"",DEC2HEX(C2709,2),"")</f>
        <v/>
      </c>
      <c r="I2709" s="1" t="str">
        <f t="shared" si="2711"/>
        <v/>
      </c>
      <c r="J2709" s="1" t="str">
        <f t="shared" si="3"/>
        <v/>
      </c>
      <c r="L2709" s="1" t="s">
        <v>3451</v>
      </c>
      <c r="M2709" s="1" t="str">
        <f t="shared" si="4"/>
        <v>30, 35, SHELLDER</v>
      </c>
    </row>
    <row r="2710" ht="12.75" customHeight="1">
      <c r="A2710" s="3" t="s">
        <v>3452</v>
      </c>
      <c r="B2710" s="3" t="str">
        <f t="shared" si="1"/>
        <v>30, 35, STARYU</v>
      </c>
      <c r="C2710" s="1" t="str">
        <f t="array" ref="C2710">IF(B2709="NEW ROUTE",TEXTSPLIT(B2710,","),"")</f>
        <v/>
      </c>
      <c r="H2710" s="1" t="str">
        <f t="shared" ref="H2710:I2710" si="2712">IF(C2710&lt;&gt;"",DEC2HEX(C2710,2),"")</f>
        <v/>
      </c>
      <c r="I2710" s="1" t="str">
        <f t="shared" si="2712"/>
        <v/>
      </c>
      <c r="J2710" s="1" t="str">
        <f t="shared" si="3"/>
        <v/>
      </c>
      <c r="L2710" s="1" t="s">
        <v>3452</v>
      </c>
      <c r="M2710" s="1" t="str">
        <f t="shared" si="4"/>
        <v>30, 35, STARYU</v>
      </c>
    </row>
    <row r="2711" ht="12.75" customHeight="1">
      <c r="A2711" s="3" t="s">
        <v>2851</v>
      </c>
      <c r="B2711" s="3" t="str">
        <f t="shared" si="1"/>
        <v>super rod:</v>
      </c>
      <c r="C2711" s="1" t="str">
        <f t="array" ref="C2711">IF(B2710="NEW ROUTE",TEXTSPLIT(B2711,","),"")</f>
        <v/>
      </c>
      <c r="H2711" s="1" t="str">
        <f t="shared" ref="H2711:I2711" si="2713">IF(C2711&lt;&gt;"",DEC2HEX(C2711,2),"")</f>
        <v/>
      </c>
      <c r="I2711" s="1" t="str">
        <f t="shared" si="2713"/>
        <v/>
      </c>
      <c r="J2711" s="1" t="str">
        <f t="shared" si="3"/>
        <v/>
      </c>
      <c r="L2711" s="1" t="s">
        <v>2851</v>
      </c>
      <c r="M2711" s="1" t="str">
        <f t="shared" si="4"/>
        <v>super rod:</v>
      </c>
    </row>
    <row r="2712" ht="12.75" customHeight="1">
      <c r="A2712" s="3" t="s">
        <v>3027</v>
      </c>
      <c r="B2712" s="3" t="str">
        <f t="shared" si="1"/>
        <v>29, 33, SEADRA</v>
      </c>
      <c r="C2712" s="1" t="str">
        <f t="array" ref="C2712">IF(B2711="NEW ROUTE",TEXTSPLIT(B2712,","),"")</f>
        <v/>
      </c>
      <c r="H2712" s="1" t="str">
        <f t="shared" ref="H2712:I2712" si="2714">IF(C2712&lt;&gt;"",DEC2HEX(C2712,2),"")</f>
        <v/>
      </c>
      <c r="I2712" s="1" t="str">
        <f t="shared" si="2714"/>
        <v/>
      </c>
      <c r="J2712" s="1" t="str">
        <f t="shared" si="3"/>
        <v/>
      </c>
      <c r="L2712" s="1" t="s">
        <v>3027</v>
      </c>
      <c r="M2712" s="1" t="str">
        <f t="shared" si="4"/>
        <v>29, 33, SEADRA</v>
      </c>
    </row>
    <row r="2713" ht="12.75" customHeight="1">
      <c r="A2713" s="3" t="s">
        <v>3357</v>
      </c>
      <c r="B2713" s="3" t="str">
        <f t="shared" si="1"/>
        <v>36, 40, GYARADOS</v>
      </c>
      <c r="C2713" s="1" t="str">
        <f t="array" ref="C2713">IF(B2712="NEW ROUTE",TEXTSPLIT(B2713,","),"")</f>
        <v/>
      </c>
      <c r="H2713" s="1" t="str">
        <f t="shared" ref="H2713:I2713" si="2715">IF(C2713&lt;&gt;"",DEC2HEX(C2713,2),"")</f>
        <v/>
      </c>
      <c r="I2713" s="1" t="str">
        <f t="shared" si="2715"/>
        <v/>
      </c>
      <c r="J2713" s="1" t="str">
        <f t="shared" si="3"/>
        <v/>
      </c>
      <c r="L2713" s="1" t="s">
        <v>3357</v>
      </c>
      <c r="M2713" s="1" t="str">
        <f t="shared" si="4"/>
        <v>36, 40, GYARADOS</v>
      </c>
    </row>
    <row r="2714" ht="12.75" customHeight="1">
      <c r="A2714" s="3" t="s">
        <v>3453</v>
      </c>
      <c r="B2714" s="3" t="str">
        <f t="shared" si="1"/>
        <v>38, 42, STARMIE</v>
      </c>
      <c r="C2714" s="1" t="str">
        <f t="array" ref="C2714">IF(B2713="NEW ROUTE",TEXTSPLIT(B2714,","),"")</f>
        <v/>
      </c>
      <c r="H2714" s="1" t="str">
        <f t="shared" ref="H2714:I2714" si="2716">IF(C2714&lt;&gt;"",DEC2HEX(C2714,2),"")</f>
        <v/>
      </c>
      <c r="I2714" s="1" t="str">
        <f t="shared" si="2716"/>
        <v/>
      </c>
      <c r="J2714" s="1" t="str">
        <f t="shared" si="3"/>
        <v/>
      </c>
      <c r="L2714" s="1" t="s">
        <v>3453</v>
      </c>
      <c r="M2714" s="1" t="str">
        <f t="shared" si="4"/>
        <v>38, 42, STARMIE</v>
      </c>
    </row>
    <row r="2715" ht="12.75" customHeight="1">
      <c r="A2715" s="3" t="s">
        <v>3454</v>
      </c>
      <c r="B2715" s="3" t="str">
        <f t="shared" si="1"/>
        <v>38, 42, CLOYSTER</v>
      </c>
      <c r="C2715" s="1" t="str">
        <f t="array" ref="C2715">IF(B2714="NEW ROUTE",TEXTSPLIT(B2715,","),"")</f>
        <v/>
      </c>
      <c r="H2715" s="1" t="str">
        <f t="shared" ref="H2715:I2715" si="2717">IF(C2715&lt;&gt;"",DEC2HEX(C2715,2),"")</f>
        <v/>
      </c>
      <c r="I2715" s="1" t="str">
        <f t="shared" si="2717"/>
        <v/>
      </c>
      <c r="J2715" s="1" t="str">
        <f t="shared" si="3"/>
        <v/>
      </c>
      <c r="L2715" s="1" t="s">
        <v>3454</v>
      </c>
      <c r="M2715" s="1" t="str">
        <f t="shared" si="4"/>
        <v>38, 42, CLOYSTER</v>
      </c>
    </row>
    <row r="2716" ht="12.75" customHeight="1">
      <c r="A2716" s="3" t="s">
        <v>3455</v>
      </c>
      <c r="B2716" s="3" t="str">
        <f t="shared" si="1"/>
        <v>38, 42, STARUS</v>
      </c>
      <c r="C2716" s="1" t="str">
        <f t="array" ref="C2716">IF(B2715="NEW ROUTE",TEXTSPLIT(B2716,","),"")</f>
        <v/>
      </c>
      <c r="H2716" s="1" t="str">
        <f t="shared" ref="H2716:I2716" si="2718">IF(C2716&lt;&gt;"",DEC2HEX(C2716,2),"")</f>
        <v/>
      </c>
      <c r="I2716" s="1" t="str">
        <f t="shared" si="2718"/>
        <v/>
      </c>
      <c r="J2716" s="1" t="str">
        <f t="shared" si="3"/>
        <v/>
      </c>
      <c r="L2716" s="1" t="s">
        <v>3455</v>
      </c>
      <c r="M2716" s="1" t="str">
        <f t="shared" si="4"/>
        <v>38, 42, STARUS</v>
      </c>
    </row>
    <row r="2717" ht="12.75" customHeight="1">
      <c r="A2717" s="3" t="s">
        <v>2539</v>
      </c>
      <c r="B2717" s="3" t="str">
        <f t="shared" si="1"/>
        <v>NEW ROUTE</v>
      </c>
      <c r="C2717" s="1" t="str">
        <f t="array" ref="C2717">IF(B2716="NEW ROUTE",TEXTSPLIT(B2717,","),"")</f>
        <v/>
      </c>
      <c r="H2717" s="1" t="str">
        <f t="shared" ref="H2717:I2717" si="2719">IF(C2717&lt;&gt;"",DEC2HEX(C2717,2),"")</f>
        <v/>
      </c>
      <c r="I2717" s="1" t="str">
        <f t="shared" si="2719"/>
        <v/>
      </c>
      <c r="J2717" s="1" t="str">
        <f t="shared" si="3"/>
        <v/>
      </c>
      <c r="L2717" s="1" t="s">
        <v>2539</v>
      </c>
      <c r="M2717" s="1" t="str">
        <f t="shared" si="4"/>
        <v>NEW ROUTE</v>
      </c>
    </row>
    <row r="2718" ht="12.75" customHeight="1">
      <c r="A2718" s="3" t="s">
        <v>3617</v>
      </c>
      <c r="B2718" s="3" t="str">
        <f t="shared" si="1"/>
        <v>3, 6, 0, &lt;null&gt;,</v>
      </c>
      <c r="C2718" s="1" t="str">
        <f t="array" ref="C2718">IF(B2717="NEW ROUTE",TEXTSPLIT(B2718,","),"")</f>
        <v>#NAME?</v>
      </c>
      <c r="H2718" s="1" t="str">
        <f t="shared" ref="H2718:I2718" si="2720">IF(C2718&lt;&gt;"",DEC2HEX(C2718,2),"")</f>
        <v>#NAME?</v>
      </c>
      <c r="I2718" s="1" t="str">
        <f t="shared" si="2720"/>
        <v/>
      </c>
      <c r="J2718" s="1" t="str">
        <f t="shared" si="3"/>
        <v>#NAME?</v>
      </c>
      <c r="L2718" s="1" t="s">
        <v>3617</v>
      </c>
      <c r="M2718" s="1" t="str">
        <f t="shared" si="4"/>
        <v>#NAME?</v>
      </c>
    </row>
    <row r="2719" ht="12.75" customHeight="1">
      <c r="A2719" s="3" t="s">
        <v>3613</v>
      </c>
      <c r="B2719" s="3" t="str">
        <f t="shared" si="1"/>
        <v>1, 38, 42, PSYDUCK</v>
      </c>
      <c r="C2719" s="1" t="str">
        <f t="array" ref="C2719">IF(B2718="NEW ROUTE",TEXTSPLIT(B2719,","),"")</f>
        <v/>
      </c>
      <c r="H2719" s="1" t="str">
        <f t="shared" ref="H2719:I2719" si="2721">IF(C2719&lt;&gt;"",DEC2HEX(C2719,2),"")</f>
        <v/>
      </c>
      <c r="I2719" s="1" t="str">
        <f t="shared" si="2721"/>
        <v/>
      </c>
      <c r="J2719" s="1" t="str">
        <f t="shared" si="3"/>
        <v/>
      </c>
      <c r="L2719" s="1" t="s">
        <v>3613</v>
      </c>
      <c r="M2719" s="1" t="str">
        <f t="shared" si="4"/>
        <v>1, 38, 42, PSYDUCK</v>
      </c>
    </row>
    <row r="2720" ht="12.75" customHeight="1">
      <c r="A2720" s="3" t="s">
        <v>3375</v>
      </c>
      <c r="B2720" s="3" t="str">
        <f t="shared" si="1"/>
        <v>40, 44, SLOWPOKE</v>
      </c>
      <c r="C2720" s="1" t="str">
        <f t="array" ref="C2720">IF(B2719="NEW ROUTE",TEXTSPLIT(B2720,","),"")</f>
        <v/>
      </c>
      <c r="H2720" s="1" t="str">
        <f t="shared" ref="H2720:I2720" si="2722">IF(C2720&lt;&gt;"",DEC2HEX(C2720,2),"")</f>
        <v/>
      </c>
      <c r="I2720" s="1" t="str">
        <f t="shared" si="2722"/>
        <v/>
      </c>
      <c r="J2720" s="1" t="str">
        <f t="shared" si="3"/>
        <v/>
      </c>
      <c r="L2720" s="1" t="s">
        <v>3375</v>
      </c>
      <c r="M2720" s="1" t="str">
        <f t="shared" si="4"/>
        <v>40, 44, SLOWPOKE</v>
      </c>
    </row>
    <row r="2721" ht="12.75" customHeight="1">
      <c r="A2721" s="3" t="s">
        <v>3618</v>
      </c>
      <c r="B2721" s="3" t="str">
        <f t="shared" si="1"/>
        <v>42, 46, KOFFING</v>
      </c>
      <c r="C2721" s="1" t="str">
        <f t="array" ref="C2721">IF(B2720="NEW ROUTE",TEXTSPLIT(B2721,","),"")</f>
        <v/>
      </c>
      <c r="H2721" s="1" t="str">
        <f t="shared" ref="H2721:I2721" si="2723">IF(C2721&lt;&gt;"",DEC2HEX(C2721,2),"")</f>
        <v/>
      </c>
      <c r="I2721" s="1" t="str">
        <f t="shared" si="2723"/>
        <v/>
      </c>
      <c r="J2721" s="1" t="str">
        <f t="shared" si="3"/>
        <v/>
      </c>
      <c r="L2721" s="1" t="s">
        <v>3618</v>
      </c>
      <c r="M2721" s="1" t="str">
        <f t="shared" si="4"/>
        <v>42, 46, KOFFING</v>
      </c>
    </row>
    <row r="2722" ht="12.75" customHeight="1">
      <c r="A2722" s="3" t="s">
        <v>2924</v>
      </c>
      <c r="B2722" s="3" t="str">
        <f t="shared" si="1"/>
        <v>42, 46, GOLDUCK</v>
      </c>
      <c r="C2722" s="1" t="str">
        <f t="array" ref="C2722">IF(B2721="NEW ROUTE",TEXTSPLIT(B2722,","),"")</f>
        <v/>
      </c>
      <c r="H2722" s="1" t="str">
        <f t="shared" ref="H2722:I2722" si="2724">IF(C2722&lt;&gt;"",DEC2HEX(C2722,2),"")</f>
        <v/>
      </c>
      <c r="I2722" s="1" t="str">
        <f t="shared" si="2724"/>
        <v/>
      </c>
      <c r="J2722" s="1" t="str">
        <f t="shared" si="3"/>
        <v/>
      </c>
      <c r="L2722" s="1" t="s">
        <v>2924</v>
      </c>
      <c r="M2722" s="1" t="str">
        <f t="shared" si="4"/>
        <v>42, 46, GOLDUCK</v>
      </c>
    </row>
    <row r="2723" ht="12.75" customHeight="1">
      <c r="A2723" s="3" t="s">
        <v>3619</v>
      </c>
      <c r="B2723" s="3" t="str">
        <f t="shared" si="1"/>
        <v>44, 48, WEEZING</v>
      </c>
      <c r="C2723" s="1" t="str">
        <f t="array" ref="C2723">IF(B2722="NEW ROUTE",TEXTSPLIT(B2723,","),"")</f>
        <v/>
      </c>
      <c r="H2723" s="1" t="str">
        <f t="shared" ref="H2723:I2723" si="2725">IF(C2723&lt;&gt;"",DEC2HEX(C2723,2),"")</f>
        <v/>
      </c>
      <c r="I2723" s="1" t="str">
        <f t="shared" si="2725"/>
        <v/>
      </c>
      <c r="J2723" s="1" t="str">
        <f t="shared" si="3"/>
        <v/>
      </c>
      <c r="L2723" s="1" t="s">
        <v>3619</v>
      </c>
      <c r="M2723" s="1" t="str">
        <f t="shared" si="4"/>
        <v>44, 48, WEEZING</v>
      </c>
    </row>
    <row r="2724" ht="12.75" customHeight="1">
      <c r="A2724" s="3" t="s">
        <v>2846</v>
      </c>
      <c r="B2724" s="3" t="str">
        <f t="shared" si="1"/>
        <v>10, old rod:</v>
      </c>
      <c r="C2724" s="1" t="str">
        <f t="array" ref="C2724">IF(B2723="NEW ROUTE",TEXTSPLIT(B2724,","),"")</f>
        <v/>
      </c>
      <c r="H2724" s="1" t="str">
        <f t="shared" ref="H2724:I2724" si="2726">IF(C2724&lt;&gt;"",DEC2HEX(C2724,2),"")</f>
        <v/>
      </c>
      <c r="I2724" s="1" t="str">
        <f t="shared" si="2726"/>
        <v/>
      </c>
      <c r="J2724" s="1" t="str">
        <f t="shared" si="3"/>
        <v/>
      </c>
      <c r="L2724" s="1" t="s">
        <v>2846</v>
      </c>
      <c r="M2724" s="1" t="str">
        <f t="shared" si="4"/>
        <v>10, old rod:</v>
      </c>
    </row>
    <row r="2725" ht="12.75" customHeight="1">
      <c r="A2725" s="3" t="s">
        <v>500</v>
      </c>
      <c r="B2725" s="3" t="str">
        <f t="shared" si="1"/>
        <v>19, 26, MAGIKARP</v>
      </c>
      <c r="C2725" s="1" t="str">
        <f t="array" ref="C2725">IF(B2724="NEW ROUTE",TEXTSPLIT(B2725,","),"")</f>
        <v/>
      </c>
      <c r="H2725" s="1" t="str">
        <f t="shared" ref="H2725:I2725" si="2727">IF(C2725&lt;&gt;"",DEC2HEX(C2725,2),"")</f>
        <v/>
      </c>
      <c r="I2725" s="1" t="str">
        <f t="shared" si="2727"/>
        <v/>
      </c>
      <c r="J2725" s="1" t="str">
        <f t="shared" si="3"/>
        <v/>
      </c>
      <c r="L2725" s="1" t="s">
        <v>500</v>
      </c>
      <c r="M2725" s="1" t="str">
        <f t="shared" si="4"/>
        <v>19, 26, MAGIKARP</v>
      </c>
    </row>
    <row r="2726" ht="12.75" customHeight="1">
      <c r="A2726" s="3" t="s">
        <v>3620</v>
      </c>
      <c r="B2726" s="3" t="str">
        <f t="shared" si="1"/>
        <v>19, 26, GRIMER</v>
      </c>
      <c r="C2726" s="1" t="str">
        <f t="array" ref="C2726">IF(B2725="NEW ROUTE",TEXTSPLIT(B2726,","),"")</f>
        <v/>
      </c>
      <c r="H2726" s="1" t="str">
        <f t="shared" ref="H2726:I2726" si="2728">IF(C2726&lt;&gt;"",DEC2HEX(C2726,2),"")</f>
        <v/>
      </c>
      <c r="I2726" s="1" t="str">
        <f t="shared" si="2728"/>
        <v/>
      </c>
      <c r="J2726" s="1" t="str">
        <f t="shared" si="3"/>
        <v/>
      </c>
      <c r="L2726" s="1" t="s">
        <v>3620</v>
      </c>
      <c r="M2726" s="1" t="str">
        <f t="shared" si="4"/>
        <v>19, 26, GRIMER</v>
      </c>
    </row>
    <row r="2727" ht="12.75" customHeight="1">
      <c r="A2727" s="3" t="s">
        <v>2847</v>
      </c>
      <c r="B2727" s="3" t="str">
        <f t="shared" si="1"/>
        <v>good rod:</v>
      </c>
      <c r="C2727" s="1" t="str">
        <f t="array" ref="C2727">IF(B2726="NEW ROUTE",TEXTSPLIT(B2727,","),"")</f>
        <v/>
      </c>
      <c r="H2727" s="1" t="str">
        <f t="shared" ref="H2727:I2727" si="2729">IF(C2727&lt;&gt;"",DEC2HEX(C2727,2),"")</f>
        <v/>
      </c>
      <c r="I2727" s="1" t="str">
        <f t="shared" si="2729"/>
        <v/>
      </c>
      <c r="J2727" s="1" t="str">
        <f t="shared" si="3"/>
        <v/>
      </c>
      <c r="L2727" s="1" t="s">
        <v>2847</v>
      </c>
      <c r="M2727" s="1" t="str">
        <f t="shared" si="4"/>
        <v>good rod:</v>
      </c>
    </row>
    <row r="2728" ht="12.75" customHeight="1">
      <c r="A2728" s="3" t="s">
        <v>3560</v>
      </c>
      <c r="B2728" s="3" t="str">
        <f t="shared" si="1"/>
        <v>29, 33, MAGIKARP</v>
      </c>
      <c r="C2728" s="1" t="str">
        <f t="array" ref="C2728">IF(B2727="NEW ROUTE",TEXTSPLIT(B2728,","),"")</f>
        <v/>
      </c>
      <c r="H2728" s="1" t="str">
        <f t="shared" ref="H2728:I2728" si="2730">IF(C2728&lt;&gt;"",DEC2HEX(C2728,2),"")</f>
        <v/>
      </c>
      <c r="I2728" s="1" t="str">
        <f t="shared" si="2730"/>
        <v/>
      </c>
      <c r="J2728" s="1" t="str">
        <f t="shared" si="3"/>
        <v/>
      </c>
      <c r="L2728" s="1" t="s">
        <v>3560</v>
      </c>
      <c r="M2728" s="1" t="str">
        <f t="shared" si="4"/>
        <v>29, 33, MAGIKARP</v>
      </c>
    </row>
    <row r="2729" ht="12.75" customHeight="1">
      <c r="A2729" s="3" t="s">
        <v>3561</v>
      </c>
      <c r="B2729" s="3" t="str">
        <f t="shared" si="1"/>
        <v>30, 35, GYARADOS</v>
      </c>
      <c r="C2729" s="1" t="str">
        <f t="array" ref="C2729">IF(B2728="NEW ROUTE",TEXTSPLIT(B2729,","),"")</f>
        <v/>
      </c>
      <c r="H2729" s="1" t="str">
        <f t="shared" ref="H2729:I2729" si="2731">IF(C2729&lt;&gt;"",DEC2HEX(C2729,2),"")</f>
        <v/>
      </c>
      <c r="I2729" s="1" t="str">
        <f t="shared" si="2731"/>
        <v/>
      </c>
      <c r="J2729" s="1" t="str">
        <f t="shared" si="3"/>
        <v/>
      </c>
      <c r="L2729" s="1" t="s">
        <v>3561</v>
      </c>
      <c r="M2729" s="1" t="str">
        <f t="shared" si="4"/>
        <v>30, 35, GYARADOS</v>
      </c>
    </row>
    <row r="2730" ht="12.75" customHeight="1">
      <c r="A2730" s="3" t="s">
        <v>3621</v>
      </c>
      <c r="B2730" s="3" t="str">
        <f t="shared" si="1"/>
        <v>30, 35, MUK</v>
      </c>
      <c r="C2730" s="1" t="str">
        <f t="array" ref="C2730">IF(B2729="NEW ROUTE",TEXTSPLIT(B2730,","),"")</f>
        <v/>
      </c>
      <c r="H2730" s="1" t="str">
        <f t="shared" ref="H2730:I2730" si="2732">IF(C2730&lt;&gt;"",DEC2HEX(C2730,2),"")</f>
        <v/>
      </c>
      <c r="I2730" s="1" t="str">
        <f t="shared" si="2732"/>
        <v/>
      </c>
      <c r="J2730" s="1" t="str">
        <f t="shared" si="3"/>
        <v/>
      </c>
      <c r="L2730" s="1" t="s">
        <v>3621</v>
      </c>
      <c r="M2730" s="1" t="str">
        <f t="shared" si="4"/>
        <v>30, 35, MUK</v>
      </c>
    </row>
    <row r="2731" ht="12.75" customHeight="1">
      <c r="A2731" s="3" t="s">
        <v>2851</v>
      </c>
      <c r="B2731" s="3" t="str">
        <f t="shared" si="1"/>
        <v>super rod:</v>
      </c>
      <c r="C2731" s="1" t="str">
        <f t="array" ref="C2731">IF(B2730="NEW ROUTE",TEXTSPLIT(B2731,","),"")</f>
        <v/>
      </c>
      <c r="H2731" s="1" t="str">
        <f t="shared" ref="H2731:I2731" si="2733">IF(C2731&lt;&gt;"",DEC2HEX(C2731,2),"")</f>
        <v/>
      </c>
      <c r="I2731" s="1" t="str">
        <f t="shared" si="2733"/>
        <v/>
      </c>
      <c r="J2731" s="1" t="str">
        <f t="shared" si="3"/>
        <v/>
      </c>
      <c r="L2731" s="1" t="s">
        <v>2851</v>
      </c>
      <c r="M2731" s="1" t="str">
        <f t="shared" si="4"/>
        <v>super rod:</v>
      </c>
    </row>
    <row r="2732" ht="12.75" customHeight="1">
      <c r="A2732" s="3" t="s">
        <v>3357</v>
      </c>
      <c r="B2732" s="3" t="str">
        <f t="shared" si="1"/>
        <v>36, 40, GYARADOS</v>
      </c>
      <c r="C2732" s="1" t="str">
        <f t="array" ref="C2732">IF(B2731="NEW ROUTE",TEXTSPLIT(B2732,","),"")</f>
        <v/>
      </c>
      <c r="H2732" s="1" t="str">
        <f t="shared" ref="H2732:I2732" si="2734">IF(C2732&lt;&gt;"",DEC2HEX(C2732,2),"")</f>
        <v/>
      </c>
      <c r="I2732" s="1" t="str">
        <f t="shared" si="2734"/>
        <v/>
      </c>
      <c r="J2732" s="1" t="str">
        <f t="shared" si="3"/>
        <v/>
      </c>
      <c r="L2732" s="1" t="s">
        <v>3357</v>
      </c>
      <c r="M2732" s="1" t="str">
        <f t="shared" si="4"/>
        <v>36, 40, GYARADOS</v>
      </c>
    </row>
    <row r="2733" ht="12.75" customHeight="1">
      <c r="A2733" s="3" t="s">
        <v>3622</v>
      </c>
      <c r="B2733" s="3" t="str">
        <f t="shared" si="1"/>
        <v>36, 40, MUK</v>
      </c>
      <c r="C2733" s="1" t="str">
        <f t="array" ref="C2733">IF(B2732="NEW ROUTE",TEXTSPLIT(B2733,","),"")</f>
        <v/>
      </c>
      <c r="H2733" s="1" t="str">
        <f t="shared" ref="H2733:I2733" si="2735">IF(C2733&lt;&gt;"",DEC2HEX(C2733,2),"")</f>
        <v/>
      </c>
      <c r="I2733" s="1" t="str">
        <f t="shared" si="2735"/>
        <v/>
      </c>
      <c r="J2733" s="1" t="str">
        <f t="shared" si="3"/>
        <v/>
      </c>
      <c r="L2733" s="1" t="s">
        <v>3622</v>
      </c>
      <c r="M2733" s="1" t="str">
        <f t="shared" si="4"/>
        <v>36, 40, MUK</v>
      </c>
    </row>
    <row r="2734" ht="12.75" customHeight="1">
      <c r="A2734" s="3" t="s">
        <v>3623</v>
      </c>
      <c r="B2734" s="3" t="str">
        <f t="shared" si="1"/>
        <v>41, 41, GYARADOS</v>
      </c>
      <c r="C2734" s="1" t="str">
        <f t="array" ref="C2734">IF(B2733="NEW ROUTE",TEXTSPLIT(B2734,","),"")</f>
        <v/>
      </c>
      <c r="H2734" s="1" t="str">
        <f t="shared" ref="H2734:I2734" si="2736">IF(C2734&lt;&gt;"",DEC2HEX(C2734,2),"")</f>
        <v/>
      </c>
      <c r="I2734" s="1" t="str">
        <f t="shared" si="2736"/>
        <v/>
      </c>
      <c r="J2734" s="1" t="str">
        <f t="shared" si="3"/>
        <v/>
      </c>
      <c r="L2734" s="1" t="s">
        <v>3623</v>
      </c>
      <c r="M2734" s="1" t="str">
        <f t="shared" si="4"/>
        <v>41, 41, GYARADOS</v>
      </c>
    </row>
    <row r="2735" ht="12.75" customHeight="1">
      <c r="A2735" s="3" t="s">
        <v>3624</v>
      </c>
      <c r="B2735" s="3" t="str">
        <f t="shared" si="1"/>
        <v>38, 42, HYDRADOS</v>
      </c>
      <c r="C2735" s="1" t="str">
        <f t="array" ref="C2735">IF(B2734="NEW ROUTE",TEXTSPLIT(B2735,","),"")</f>
        <v/>
      </c>
      <c r="H2735" s="1" t="str">
        <f t="shared" ref="H2735:I2735" si="2737">IF(C2735&lt;&gt;"",DEC2HEX(C2735,2),"")</f>
        <v/>
      </c>
      <c r="I2735" s="1" t="str">
        <f t="shared" si="2737"/>
        <v/>
      </c>
      <c r="J2735" s="1" t="str">
        <f t="shared" si="3"/>
        <v/>
      </c>
      <c r="L2735" s="1" t="s">
        <v>3624</v>
      </c>
      <c r="M2735" s="1" t="str">
        <f t="shared" si="4"/>
        <v>38, 42, HYDRADOS</v>
      </c>
    </row>
    <row r="2736" ht="12.75" customHeight="1">
      <c r="A2736" s="3" t="s">
        <v>3625</v>
      </c>
      <c r="B2736" s="3" t="str">
        <f t="shared" si="1"/>
        <v>40, 44, GUNK</v>
      </c>
      <c r="C2736" s="1" t="str">
        <f t="array" ref="C2736">IF(B2735="NEW ROUTE",TEXTSPLIT(B2736,","),"")</f>
        <v/>
      </c>
      <c r="H2736" s="1" t="str">
        <f t="shared" ref="H2736:I2736" si="2738">IF(C2736&lt;&gt;"",DEC2HEX(C2736,2),"")</f>
        <v/>
      </c>
      <c r="I2736" s="1" t="str">
        <f t="shared" si="2738"/>
        <v/>
      </c>
      <c r="J2736" s="1" t="str">
        <f t="shared" si="3"/>
        <v/>
      </c>
      <c r="L2736" s="1" t="s">
        <v>3625</v>
      </c>
      <c r="M2736" s="1" t="str">
        <f t="shared" si="4"/>
        <v>40, 44, GUNK</v>
      </c>
    </row>
    <row r="2737" ht="12.75" customHeight="1">
      <c r="A2737" s="3" t="s">
        <v>2539</v>
      </c>
      <c r="B2737" s="3" t="str">
        <f t="shared" si="1"/>
        <v>NEW ROUTE</v>
      </c>
      <c r="C2737" s="1" t="str">
        <f t="array" ref="C2737">IF(B2736="NEW ROUTE",TEXTSPLIT(B2737,","),"")</f>
        <v/>
      </c>
      <c r="H2737" s="1" t="str">
        <f t="shared" ref="H2737:I2737" si="2739">IF(C2737&lt;&gt;"",DEC2HEX(C2737,2),"")</f>
        <v/>
      </c>
      <c r="I2737" s="1" t="str">
        <f t="shared" si="2739"/>
        <v/>
      </c>
      <c r="J2737" s="1" t="str">
        <f t="shared" si="3"/>
        <v/>
      </c>
      <c r="L2737" s="1" t="s">
        <v>2539</v>
      </c>
      <c r="M2737" s="1" t="str">
        <f t="shared" si="4"/>
        <v>NEW ROUTE</v>
      </c>
    </row>
    <row r="2738" ht="12.75" customHeight="1">
      <c r="A2738" s="3" t="s">
        <v>3626</v>
      </c>
      <c r="B2738" s="3" t="str">
        <f t="shared" si="1"/>
        <v>3, 7, 0, &lt;null&gt;,</v>
      </c>
      <c r="C2738" s="1" t="str">
        <f t="array" ref="C2738">IF(B2737="NEW ROUTE",TEXTSPLIT(B2738,","),"")</f>
        <v>#NAME?</v>
      </c>
      <c r="H2738" s="1" t="str">
        <f t="shared" ref="H2738:I2738" si="2740">IF(C2738&lt;&gt;"",DEC2HEX(C2738,2),"")</f>
        <v>#NAME?</v>
      </c>
      <c r="I2738" s="1" t="str">
        <f t="shared" si="2740"/>
        <v/>
      </c>
      <c r="J2738" s="1" t="str">
        <f t="shared" si="3"/>
        <v>#NAME?</v>
      </c>
      <c r="L2738" s="1" t="s">
        <v>3626</v>
      </c>
      <c r="M2738" s="1" t="str">
        <f t="shared" si="4"/>
        <v>#NAME?</v>
      </c>
    </row>
    <row r="2739" ht="12.75" customHeight="1">
      <c r="A2739" s="3" t="s">
        <v>3610</v>
      </c>
      <c r="B2739" s="3" t="str">
        <f t="shared" si="1"/>
        <v>1, 38, 42, TENTACOOL</v>
      </c>
      <c r="C2739" s="1" t="str">
        <f t="array" ref="C2739">IF(B2738="NEW ROUTE",TEXTSPLIT(B2739,","),"")</f>
        <v/>
      </c>
      <c r="H2739" s="1" t="str">
        <f t="shared" ref="H2739:I2739" si="2741">IF(C2739&lt;&gt;"",DEC2HEX(C2739,2),"")</f>
        <v/>
      </c>
      <c r="I2739" s="1" t="str">
        <f t="shared" si="2741"/>
        <v/>
      </c>
      <c r="J2739" s="1" t="str">
        <f t="shared" si="3"/>
        <v/>
      </c>
      <c r="L2739" s="1" t="s">
        <v>3610</v>
      </c>
      <c r="M2739" s="1" t="str">
        <f t="shared" si="4"/>
        <v>1, 38, 42, TENTACOOL</v>
      </c>
    </row>
    <row r="2740" ht="12.75" customHeight="1">
      <c r="A2740" s="3" t="s">
        <v>3351</v>
      </c>
      <c r="B2740" s="3" t="str">
        <f t="shared" si="1"/>
        <v>40, 44, PSYDUCK</v>
      </c>
      <c r="C2740" s="1" t="str">
        <f t="array" ref="C2740">IF(B2739="NEW ROUTE",TEXTSPLIT(B2740,","),"")</f>
        <v/>
      </c>
      <c r="H2740" s="1" t="str">
        <f t="shared" ref="H2740:I2740" si="2742">IF(C2740&lt;&gt;"",DEC2HEX(C2740,2),"")</f>
        <v/>
      </c>
      <c r="I2740" s="1" t="str">
        <f t="shared" si="2742"/>
        <v/>
      </c>
      <c r="J2740" s="1" t="str">
        <f t="shared" si="3"/>
        <v/>
      </c>
      <c r="L2740" s="1" t="s">
        <v>3351</v>
      </c>
      <c r="M2740" s="1" t="str">
        <f t="shared" si="4"/>
        <v>40, 44, PSYDUCK</v>
      </c>
    </row>
    <row r="2741" ht="12.75" customHeight="1">
      <c r="A2741" s="3" t="s">
        <v>3352</v>
      </c>
      <c r="B2741" s="3" t="str">
        <f t="shared" si="1"/>
        <v>42, 46, TENTACRUEL</v>
      </c>
      <c r="C2741" s="1" t="str">
        <f t="array" ref="C2741">IF(B2740="NEW ROUTE",TEXTSPLIT(B2741,","),"")</f>
        <v/>
      </c>
      <c r="H2741" s="1" t="str">
        <f t="shared" ref="H2741:I2741" si="2743">IF(C2741&lt;&gt;"",DEC2HEX(C2741,2),"")</f>
        <v/>
      </c>
      <c r="I2741" s="1" t="str">
        <f t="shared" si="2743"/>
        <v/>
      </c>
      <c r="J2741" s="1" t="str">
        <f t="shared" si="3"/>
        <v/>
      </c>
      <c r="L2741" s="1" t="s">
        <v>3352</v>
      </c>
      <c r="M2741" s="1" t="str">
        <f t="shared" si="4"/>
        <v>42, 46, TENTACRUEL</v>
      </c>
    </row>
    <row r="2742" ht="12.75" customHeight="1">
      <c r="A2742" s="3" t="s">
        <v>2924</v>
      </c>
      <c r="B2742" s="3" t="str">
        <f t="shared" si="1"/>
        <v>42, 46, GOLDUCK</v>
      </c>
      <c r="C2742" s="1" t="str">
        <f t="array" ref="C2742">IF(B2741="NEW ROUTE",TEXTSPLIT(B2742,","),"")</f>
        <v/>
      </c>
      <c r="H2742" s="1" t="str">
        <f t="shared" ref="H2742:I2742" si="2744">IF(C2742&lt;&gt;"",DEC2HEX(C2742,2),"")</f>
        <v/>
      </c>
      <c r="I2742" s="1" t="str">
        <f t="shared" si="2744"/>
        <v/>
      </c>
      <c r="J2742" s="1" t="str">
        <f t="shared" si="3"/>
        <v/>
      </c>
      <c r="L2742" s="1" t="s">
        <v>2924</v>
      </c>
      <c r="M2742" s="1" t="str">
        <f t="shared" si="4"/>
        <v>42, 46, GOLDUCK</v>
      </c>
    </row>
    <row r="2743" ht="12.75" customHeight="1">
      <c r="A2743" s="3" t="s">
        <v>2925</v>
      </c>
      <c r="B2743" s="3" t="str">
        <f t="shared" si="1"/>
        <v>44, 48, VAPOREON</v>
      </c>
      <c r="C2743" s="1" t="str">
        <f t="array" ref="C2743">IF(B2742="NEW ROUTE",TEXTSPLIT(B2743,","),"")</f>
        <v/>
      </c>
      <c r="H2743" s="1" t="str">
        <f t="shared" ref="H2743:I2743" si="2745">IF(C2743&lt;&gt;"",DEC2HEX(C2743,2),"")</f>
        <v/>
      </c>
      <c r="I2743" s="1" t="str">
        <f t="shared" si="2745"/>
        <v/>
      </c>
      <c r="J2743" s="1" t="str">
        <f t="shared" si="3"/>
        <v/>
      </c>
      <c r="L2743" s="1" t="s">
        <v>2925</v>
      </c>
      <c r="M2743" s="1" t="str">
        <f t="shared" si="4"/>
        <v>44, 48, VAPOREON</v>
      </c>
    </row>
    <row r="2744" ht="12.75" customHeight="1">
      <c r="A2744" s="3" t="s">
        <v>2846</v>
      </c>
      <c r="B2744" s="3" t="str">
        <f t="shared" si="1"/>
        <v>10, old rod:</v>
      </c>
      <c r="C2744" s="1" t="str">
        <f t="array" ref="C2744">IF(B2743="NEW ROUTE",TEXTSPLIT(B2744,","),"")</f>
        <v/>
      </c>
      <c r="H2744" s="1" t="str">
        <f t="shared" ref="H2744:I2744" si="2746">IF(C2744&lt;&gt;"",DEC2HEX(C2744,2),"")</f>
        <v/>
      </c>
      <c r="I2744" s="1" t="str">
        <f t="shared" si="2746"/>
        <v/>
      </c>
      <c r="J2744" s="1" t="str">
        <f t="shared" si="3"/>
        <v/>
      </c>
      <c r="L2744" s="1" t="s">
        <v>2846</v>
      </c>
      <c r="M2744" s="1" t="str">
        <f t="shared" si="4"/>
        <v>10, old rod:</v>
      </c>
    </row>
    <row r="2745" ht="12.75" customHeight="1">
      <c r="A2745" s="3" t="s">
        <v>1265</v>
      </c>
      <c r="B2745" s="3" t="str">
        <f t="shared" si="1"/>
        <v>19, 26, SEEL</v>
      </c>
      <c r="C2745" s="1" t="str">
        <f t="array" ref="C2745">IF(B2744="NEW ROUTE",TEXTSPLIT(B2745,","),"")</f>
        <v/>
      </c>
      <c r="H2745" s="1" t="str">
        <f t="shared" ref="H2745:I2745" si="2747">IF(C2745&lt;&gt;"",DEC2HEX(C2745,2),"")</f>
        <v/>
      </c>
      <c r="I2745" s="1" t="str">
        <f t="shared" si="2747"/>
        <v/>
      </c>
      <c r="J2745" s="1" t="str">
        <f t="shared" si="3"/>
        <v/>
      </c>
      <c r="L2745" s="1" t="s">
        <v>1265</v>
      </c>
      <c r="M2745" s="1" t="str">
        <f t="shared" si="4"/>
        <v>19, 26, SEEL</v>
      </c>
    </row>
    <row r="2746" ht="12.75" customHeight="1">
      <c r="A2746" s="3" t="s">
        <v>2927</v>
      </c>
      <c r="B2746" s="3" t="str">
        <f t="shared" si="1"/>
        <v>19, 26, POLIWAG</v>
      </c>
      <c r="C2746" s="1" t="str">
        <f t="array" ref="C2746">IF(B2745="NEW ROUTE",TEXTSPLIT(B2746,","),"")</f>
        <v/>
      </c>
      <c r="H2746" s="1" t="str">
        <f t="shared" ref="H2746:I2746" si="2748">IF(C2746&lt;&gt;"",DEC2HEX(C2746,2),"")</f>
        <v/>
      </c>
      <c r="I2746" s="1" t="str">
        <f t="shared" si="2748"/>
        <v/>
      </c>
      <c r="J2746" s="1" t="str">
        <f t="shared" si="3"/>
        <v/>
      </c>
      <c r="L2746" s="1" t="s">
        <v>2927</v>
      </c>
      <c r="M2746" s="1" t="str">
        <f t="shared" si="4"/>
        <v>19, 26, POLIWAG</v>
      </c>
    </row>
    <row r="2747" ht="12.75" customHeight="1">
      <c r="A2747" s="3" t="s">
        <v>2847</v>
      </c>
      <c r="B2747" s="3" t="str">
        <f t="shared" si="1"/>
        <v>good rod:</v>
      </c>
      <c r="C2747" s="1" t="str">
        <f t="array" ref="C2747">IF(B2746="NEW ROUTE",TEXTSPLIT(B2747,","),"")</f>
        <v/>
      </c>
      <c r="H2747" s="1" t="str">
        <f t="shared" ref="H2747:I2747" si="2749">IF(C2747&lt;&gt;"",DEC2HEX(C2747,2),"")</f>
        <v/>
      </c>
      <c r="I2747" s="1" t="str">
        <f t="shared" si="2749"/>
        <v/>
      </c>
      <c r="J2747" s="1" t="str">
        <f t="shared" si="3"/>
        <v/>
      </c>
      <c r="L2747" s="1" t="s">
        <v>2847</v>
      </c>
      <c r="M2747" s="1" t="str">
        <f t="shared" si="4"/>
        <v>good rod:</v>
      </c>
    </row>
    <row r="2748" ht="12.75" customHeight="1">
      <c r="A2748" s="3" t="s">
        <v>3627</v>
      </c>
      <c r="B2748" s="3" t="str">
        <f t="shared" si="1"/>
        <v>29, 33, SEEL</v>
      </c>
      <c r="C2748" s="1" t="str">
        <f t="array" ref="C2748">IF(B2747="NEW ROUTE",TEXTSPLIT(B2748,","),"")</f>
        <v/>
      </c>
      <c r="H2748" s="1" t="str">
        <f t="shared" ref="H2748:I2748" si="2750">IF(C2748&lt;&gt;"",DEC2HEX(C2748,2),"")</f>
        <v/>
      </c>
      <c r="I2748" s="1" t="str">
        <f t="shared" si="2750"/>
        <v/>
      </c>
      <c r="J2748" s="1" t="str">
        <f t="shared" si="3"/>
        <v/>
      </c>
      <c r="L2748" s="1" t="s">
        <v>3627</v>
      </c>
      <c r="M2748" s="1" t="str">
        <f t="shared" si="4"/>
        <v>29, 33, SEEL</v>
      </c>
    </row>
    <row r="2749" ht="12.75" customHeight="1">
      <c r="A2749" s="3" t="s">
        <v>2929</v>
      </c>
      <c r="B2749" s="3" t="str">
        <f t="shared" si="1"/>
        <v>30, 35, POLIWAG</v>
      </c>
      <c r="C2749" s="1" t="str">
        <f t="array" ref="C2749">IF(B2748="NEW ROUTE",TEXTSPLIT(B2749,","),"")</f>
        <v/>
      </c>
      <c r="H2749" s="1" t="str">
        <f t="shared" ref="H2749:I2749" si="2751">IF(C2749&lt;&gt;"",DEC2HEX(C2749,2),"")</f>
        <v/>
      </c>
      <c r="I2749" s="1" t="str">
        <f t="shared" si="2751"/>
        <v/>
      </c>
      <c r="J2749" s="1" t="str">
        <f t="shared" si="3"/>
        <v/>
      </c>
      <c r="L2749" s="1" t="s">
        <v>2929</v>
      </c>
      <c r="M2749" s="1" t="str">
        <f t="shared" si="4"/>
        <v>30, 35, POLIWAG</v>
      </c>
    </row>
    <row r="2750" ht="12.75" customHeight="1">
      <c r="A2750" s="3" t="s">
        <v>2930</v>
      </c>
      <c r="B2750" s="3" t="str">
        <f t="shared" si="1"/>
        <v>30, 35, GOLDEEN</v>
      </c>
      <c r="C2750" s="1" t="str">
        <f t="array" ref="C2750">IF(B2749="NEW ROUTE",TEXTSPLIT(B2750,","),"")</f>
        <v/>
      </c>
      <c r="H2750" s="1" t="str">
        <f t="shared" ref="H2750:I2750" si="2752">IF(C2750&lt;&gt;"",DEC2HEX(C2750,2),"")</f>
        <v/>
      </c>
      <c r="I2750" s="1" t="str">
        <f t="shared" si="2752"/>
        <v/>
      </c>
      <c r="J2750" s="1" t="str">
        <f t="shared" si="3"/>
        <v/>
      </c>
      <c r="L2750" s="1" t="s">
        <v>2930</v>
      </c>
      <c r="M2750" s="1" t="str">
        <f t="shared" si="4"/>
        <v>30, 35, GOLDEEN</v>
      </c>
    </row>
    <row r="2751" ht="12.75" customHeight="1">
      <c r="A2751" s="3" t="s">
        <v>2851</v>
      </c>
      <c r="B2751" s="3" t="str">
        <f t="shared" si="1"/>
        <v>super rod:</v>
      </c>
      <c r="C2751" s="1" t="str">
        <f t="array" ref="C2751">IF(B2750="NEW ROUTE",TEXTSPLIT(B2751,","),"")</f>
        <v/>
      </c>
      <c r="H2751" s="1" t="str">
        <f t="shared" ref="H2751:I2751" si="2753">IF(C2751&lt;&gt;"",DEC2HEX(C2751,2),"")</f>
        <v/>
      </c>
      <c r="I2751" s="1" t="str">
        <f t="shared" si="2753"/>
        <v/>
      </c>
      <c r="J2751" s="1" t="str">
        <f t="shared" si="3"/>
        <v/>
      </c>
      <c r="L2751" s="1" t="s">
        <v>2851</v>
      </c>
      <c r="M2751" s="1" t="str">
        <f t="shared" si="4"/>
        <v>super rod:</v>
      </c>
    </row>
    <row r="2752" ht="12.75" customHeight="1">
      <c r="A2752" s="3" t="s">
        <v>2931</v>
      </c>
      <c r="B2752" s="3" t="str">
        <f t="shared" si="1"/>
        <v>36, 40, POLIWHIRL</v>
      </c>
      <c r="C2752" s="1" t="str">
        <f t="array" ref="C2752">IF(B2751="NEW ROUTE",TEXTSPLIT(B2752,","),"")</f>
        <v/>
      </c>
      <c r="H2752" s="1" t="str">
        <f t="shared" ref="H2752:I2752" si="2754">IF(C2752&lt;&gt;"",DEC2HEX(C2752,2),"")</f>
        <v/>
      </c>
      <c r="I2752" s="1" t="str">
        <f t="shared" si="2754"/>
        <v/>
      </c>
      <c r="J2752" s="1" t="str">
        <f t="shared" si="3"/>
        <v/>
      </c>
      <c r="L2752" s="1" t="s">
        <v>2931</v>
      </c>
      <c r="M2752" s="1" t="str">
        <f t="shared" si="4"/>
        <v>36, 40, POLIWHIRL</v>
      </c>
    </row>
    <row r="2753" ht="12.75" customHeight="1">
      <c r="A2753" s="3" t="s">
        <v>3628</v>
      </c>
      <c r="B2753" s="3" t="str">
        <f t="shared" si="1"/>
        <v>36, 40, DEWGONG</v>
      </c>
      <c r="C2753" s="1" t="str">
        <f t="array" ref="C2753">IF(B2752="NEW ROUTE",TEXTSPLIT(B2753,","),"")</f>
        <v/>
      </c>
      <c r="H2753" s="1" t="str">
        <f t="shared" ref="H2753:I2753" si="2755">IF(C2753&lt;&gt;"",DEC2HEX(C2753,2),"")</f>
        <v/>
      </c>
      <c r="I2753" s="1" t="str">
        <f t="shared" si="2755"/>
        <v/>
      </c>
      <c r="J2753" s="1" t="str">
        <f t="shared" si="3"/>
        <v/>
      </c>
      <c r="L2753" s="1" t="s">
        <v>3628</v>
      </c>
      <c r="M2753" s="1" t="str">
        <f t="shared" si="4"/>
        <v>36, 40, DEWGONG</v>
      </c>
    </row>
    <row r="2754" ht="12.75" customHeight="1">
      <c r="A2754" s="3" t="s">
        <v>3629</v>
      </c>
      <c r="B2754" s="3" t="str">
        <f t="shared" si="1"/>
        <v>38, 42, SEAKING</v>
      </c>
      <c r="C2754" s="1" t="str">
        <f t="array" ref="C2754">IF(B2753="NEW ROUTE",TEXTSPLIT(B2754,","),"")</f>
        <v/>
      </c>
      <c r="H2754" s="1" t="str">
        <f t="shared" ref="H2754:I2754" si="2756">IF(C2754&lt;&gt;"",DEC2HEX(C2754,2),"")</f>
        <v/>
      </c>
      <c r="I2754" s="1" t="str">
        <f t="shared" si="2756"/>
        <v/>
      </c>
      <c r="J2754" s="1" t="str">
        <f t="shared" si="3"/>
        <v/>
      </c>
      <c r="L2754" s="1" t="s">
        <v>3629</v>
      </c>
      <c r="M2754" s="1" t="str">
        <f t="shared" si="4"/>
        <v>38, 42, SEAKING</v>
      </c>
    </row>
    <row r="2755" ht="12.75" customHeight="1">
      <c r="A2755" s="3" t="s">
        <v>3379</v>
      </c>
      <c r="B2755" s="3" t="str">
        <f t="shared" si="1"/>
        <v>38, 42, POLIWRATH</v>
      </c>
      <c r="C2755" s="1" t="str">
        <f t="array" ref="C2755">IF(B2754="NEW ROUTE",TEXTSPLIT(B2755,","),"")</f>
        <v/>
      </c>
      <c r="H2755" s="1" t="str">
        <f t="shared" ref="H2755:I2755" si="2757">IF(C2755&lt;&gt;"",DEC2HEX(C2755,2),"")</f>
        <v/>
      </c>
      <c r="I2755" s="1" t="str">
        <f t="shared" si="2757"/>
        <v/>
      </c>
      <c r="J2755" s="1" t="str">
        <f t="shared" si="3"/>
        <v/>
      </c>
      <c r="L2755" s="1" t="s">
        <v>3379</v>
      </c>
      <c r="M2755" s="1" t="str">
        <f t="shared" si="4"/>
        <v>38, 42, POLIWRATH</v>
      </c>
    </row>
    <row r="2756" ht="12.75" customHeight="1">
      <c r="A2756" s="3" t="s">
        <v>3630</v>
      </c>
      <c r="B2756" s="3" t="str">
        <f t="shared" si="1"/>
        <v>40, 44, SEAREX</v>
      </c>
      <c r="C2756" s="1" t="str">
        <f t="array" ref="C2756">IF(B2755="NEW ROUTE",TEXTSPLIT(B2756,","),"")</f>
        <v/>
      </c>
      <c r="H2756" s="1" t="str">
        <f t="shared" ref="H2756:I2756" si="2758">IF(C2756&lt;&gt;"",DEC2HEX(C2756,2),"")</f>
        <v/>
      </c>
      <c r="I2756" s="1" t="str">
        <f t="shared" si="2758"/>
        <v/>
      </c>
      <c r="J2756" s="1" t="str">
        <f t="shared" si="3"/>
        <v/>
      </c>
      <c r="L2756" s="1" t="s">
        <v>3630</v>
      </c>
      <c r="M2756" s="1" t="str">
        <f t="shared" si="4"/>
        <v>40, 44, SEAREX</v>
      </c>
    </row>
    <row r="2757" ht="12.75" customHeight="1">
      <c r="A2757" s="3" t="s">
        <v>2539</v>
      </c>
      <c r="B2757" s="3" t="str">
        <f t="shared" si="1"/>
        <v>NEW ROUTE</v>
      </c>
      <c r="C2757" s="1" t="str">
        <f t="array" ref="C2757">IF(B2756="NEW ROUTE",TEXTSPLIT(B2757,","),"")</f>
        <v/>
      </c>
      <c r="H2757" s="1" t="str">
        <f t="shared" ref="H2757:I2757" si="2759">IF(C2757&lt;&gt;"",DEC2HEX(C2757,2),"")</f>
        <v/>
      </c>
      <c r="I2757" s="1" t="str">
        <f t="shared" si="2759"/>
        <v/>
      </c>
      <c r="J2757" s="1" t="str">
        <f t="shared" si="3"/>
        <v/>
      </c>
      <c r="L2757" s="1" t="s">
        <v>2539</v>
      </c>
      <c r="M2757" s="1" t="str">
        <f t="shared" si="4"/>
        <v>NEW ROUTE</v>
      </c>
    </row>
    <row r="2758" ht="12.75" customHeight="1">
      <c r="A2758" s="3" t="s">
        <v>3631</v>
      </c>
      <c r="B2758" s="3" t="str">
        <f t="shared" si="1"/>
        <v>3, 8, 0, &lt;null&gt;,</v>
      </c>
      <c r="C2758" s="1" t="str">
        <f t="array" ref="C2758">IF(B2757="NEW ROUTE",TEXTSPLIT(B2758,","),"")</f>
        <v>#NAME?</v>
      </c>
      <c r="H2758" s="1" t="str">
        <f t="shared" ref="H2758:I2758" si="2760">IF(C2758&lt;&gt;"",DEC2HEX(C2758,2),"")</f>
        <v>#NAME?</v>
      </c>
      <c r="I2758" s="1" t="str">
        <f t="shared" si="2760"/>
        <v/>
      </c>
      <c r="J2758" s="1" t="str">
        <f t="shared" si="3"/>
        <v>#NAME?</v>
      </c>
      <c r="L2758" s="1" t="s">
        <v>3631</v>
      </c>
      <c r="M2758" s="1" t="str">
        <f t="shared" si="4"/>
        <v>#NAME?</v>
      </c>
    </row>
    <row r="2759" ht="12.75" customHeight="1">
      <c r="A2759" s="3" t="s">
        <v>3632</v>
      </c>
      <c r="B2759" s="3" t="str">
        <f t="shared" si="1"/>
        <v>1, 40, 44, DEWGONG</v>
      </c>
      <c r="C2759" s="1" t="str">
        <f t="array" ref="C2759">IF(B2758="NEW ROUTE",TEXTSPLIT(B2759,","),"")</f>
        <v/>
      </c>
      <c r="H2759" s="1" t="str">
        <f t="shared" ref="H2759:I2759" si="2761">IF(C2759&lt;&gt;"",DEC2HEX(C2759,2),"")</f>
        <v/>
      </c>
      <c r="I2759" s="1" t="str">
        <f t="shared" si="2761"/>
        <v/>
      </c>
      <c r="J2759" s="1" t="str">
        <f t="shared" si="3"/>
        <v/>
      </c>
      <c r="L2759" s="1" t="s">
        <v>3632</v>
      </c>
      <c r="M2759" s="1" t="str">
        <f t="shared" si="4"/>
        <v>1, 40, 44, DEWGONG</v>
      </c>
    </row>
    <row r="2760" ht="12.75" customHeight="1">
      <c r="A2760" s="3" t="s">
        <v>3025</v>
      </c>
      <c r="B2760" s="3" t="str">
        <f t="shared" si="1"/>
        <v>42, 46, LAPRAS</v>
      </c>
      <c r="C2760" s="1" t="str">
        <f t="array" ref="C2760">IF(B2759="NEW ROUTE",TEXTSPLIT(B2760,","),"")</f>
        <v/>
      </c>
      <c r="H2760" s="1" t="str">
        <f t="shared" ref="H2760:I2760" si="2762">IF(C2760&lt;&gt;"",DEC2HEX(C2760,2),"")</f>
        <v/>
      </c>
      <c r="I2760" s="1" t="str">
        <f t="shared" si="2762"/>
        <v/>
      </c>
      <c r="J2760" s="1" t="str">
        <f t="shared" si="3"/>
        <v/>
      </c>
      <c r="L2760" s="1" t="s">
        <v>3025</v>
      </c>
      <c r="M2760" s="1" t="str">
        <f t="shared" si="4"/>
        <v>42, 46, LAPRAS</v>
      </c>
    </row>
    <row r="2761" ht="12.75" customHeight="1">
      <c r="A2761" s="3" t="s">
        <v>3014</v>
      </c>
      <c r="B2761" s="3" t="str">
        <f t="shared" si="1"/>
        <v>44, 47, PRECIPED</v>
      </c>
      <c r="C2761" s="1" t="str">
        <f t="array" ref="C2761">IF(B2760="NEW ROUTE",TEXTSPLIT(B2761,","),"")</f>
        <v/>
      </c>
      <c r="H2761" s="1" t="str">
        <f t="shared" ref="H2761:I2761" si="2763">IF(C2761&lt;&gt;"",DEC2HEX(C2761,2),"")</f>
        <v/>
      </c>
      <c r="I2761" s="1" t="str">
        <f t="shared" si="2763"/>
        <v/>
      </c>
      <c r="J2761" s="1" t="str">
        <f t="shared" si="3"/>
        <v/>
      </c>
      <c r="L2761" s="1" t="s">
        <v>3014</v>
      </c>
      <c r="M2761" s="1" t="str">
        <f t="shared" si="4"/>
        <v>44, 47, PRECIPED</v>
      </c>
    </row>
    <row r="2762" ht="12.75" customHeight="1">
      <c r="A2762" s="3" t="s">
        <v>3633</v>
      </c>
      <c r="B2762" s="3" t="str">
        <f t="shared" si="1"/>
        <v>44, 47, TENTACATE</v>
      </c>
      <c r="C2762" s="1" t="str">
        <f t="array" ref="C2762">IF(B2761="NEW ROUTE",TEXTSPLIT(B2762,","),"")</f>
        <v/>
      </c>
      <c r="H2762" s="1" t="str">
        <f t="shared" ref="H2762:I2762" si="2764">IF(C2762&lt;&gt;"",DEC2HEX(C2762,2),"")</f>
        <v/>
      </c>
      <c r="I2762" s="1" t="str">
        <f t="shared" si="2764"/>
        <v/>
      </c>
      <c r="J2762" s="1" t="str">
        <f t="shared" si="3"/>
        <v/>
      </c>
      <c r="L2762" s="1" t="s">
        <v>3633</v>
      </c>
      <c r="M2762" s="1" t="str">
        <f t="shared" si="4"/>
        <v>44, 47, TENTACATE</v>
      </c>
    </row>
    <row r="2763" ht="12.75" customHeight="1">
      <c r="A2763" s="3" t="s">
        <v>3634</v>
      </c>
      <c r="B2763" s="3" t="str">
        <f t="shared" si="1"/>
        <v>45, 50, LOCHLASS</v>
      </c>
      <c r="C2763" s="1" t="str">
        <f t="array" ref="C2763">IF(B2762="NEW ROUTE",TEXTSPLIT(B2763,","),"")</f>
        <v/>
      </c>
      <c r="H2763" s="1" t="str">
        <f t="shared" ref="H2763:I2763" si="2765">IF(C2763&lt;&gt;"",DEC2HEX(C2763,2),"")</f>
        <v/>
      </c>
      <c r="I2763" s="1" t="str">
        <f t="shared" si="2765"/>
        <v/>
      </c>
      <c r="J2763" s="1" t="str">
        <f t="shared" si="3"/>
        <v/>
      </c>
      <c r="L2763" s="1" t="s">
        <v>3634</v>
      </c>
      <c r="M2763" s="1" t="str">
        <f t="shared" si="4"/>
        <v>45, 50, LOCHLASS</v>
      </c>
    </row>
    <row r="2764" ht="12.75" customHeight="1">
      <c r="A2764" s="3" t="s">
        <v>2846</v>
      </c>
      <c r="B2764" s="3" t="str">
        <f t="shared" si="1"/>
        <v>10, old rod:</v>
      </c>
      <c r="C2764" s="1" t="str">
        <f t="array" ref="C2764">IF(B2763="NEW ROUTE",TEXTSPLIT(B2764,","),"")</f>
        <v/>
      </c>
      <c r="H2764" s="1" t="str">
        <f t="shared" ref="H2764:I2764" si="2766">IF(C2764&lt;&gt;"",DEC2HEX(C2764,2),"")</f>
        <v/>
      </c>
      <c r="I2764" s="1" t="str">
        <f t="shared" si="2766"/>
        <v/>
      </c>
      <c r="J2764" s="1" t="str">
        <f t="shared" si="3"/>
        <v/>
      </c>
      <c r="L2764" s="1" t="s">
        <v>2846</v>
      </c>
      <c r="M2764" s="1" t="str">
        <f t="shared" si="4"/>
        <v>10, old rod:</v>
      </c>
    </row>
    <row r="2765" ht="12.75" customHeight="1">
      <c r="A2765" s="3" t="s">
        <v>1273</v>
      </c>
      <c r="B2765" s="3" t="str">
        <f t="shared" si="1"/>
        <v>24, 30, HORSEA</v>
      </c>
      <c r="C2765" s="1" t="str">
        <f t="array" ref="C2765">IF(B2764="NEW ROUTE",TEXTSPLIT(B2765,","),"")</f>
        <v/>
      </c>
      <c r="H2765" s="1" t="str">
        <f t="shared" ref="H2765:I2765" si="2767">IF(C2765&lt;&gt;"",DEC2HEX(C2765,2),"")</f>
        <v/>
      </c>
      <c r="I2765" s="1" t="str">
        <f t="shared" si="2767"/>
        <v/>
      </c>
      <c r="J2765" s="1" t="str">
        <f t="shared" si="3"/>
        <v/>
      </c>
      <c r="L2765" s="1" t="s">
        <v>1273</v>
      </c>
      <c r="M2765" s="1" t="str">
        <f t="shared" si="4"/>
        <v>24, 30, HORSEA</v>
      </c>
    </row>
    <row r="2766" ht="12.75" customHeight="1">
      <c r="A2766" s="3" t="s">
        <v>3635</v>
      </c>
      <c r="B2766" s="3" t="str">
        <f t="shared" si="1"/>
        <v>24, 30, SHELLDER</v>
      </c>
      <c r="C2766" s="1" t="str">
        <f t="array" ref="C2766">IF(B2765="NEW ROUTE",TEXTSPLIT(B2766,","),"")</f>
        <v/>
      </c>
      <c r="H2766" s="1" t="str">
        <f t="shared" ref="H2766:I2766" si="2768">IF(C2766&lt;&gt;"",DEC2HEX(C2766,2),"")</f>
        <v/>
      </c>
      <c r="I2766" s="1" t="str">
        <f t="shared" si="2768"/>
        <v/>
      </c>
      <c r="J2766" s="1" t="str">
        <f t="shared" si="3"/>
        <v/>
      </c>
      <c r="L2766" s="1" t="s">
        <v>3635</v>
      </c>
      <c r="M2766" s="1" t="str">
        <f t="shared" si="4"/>
        <v>24, 30, SHELLDER</v>
      </c>
    </row>
    <row r="2767" ht="12.75" customHeight="1">
      <c r="A2767" s="3" t="s">
        <v>2847</v>
      </c>
      <c r="B2767" s="3" t="str">
        <f t="shared" si="1"/>
        <v>good rod:</v>
      </c>
      <c r="C2767" s="1" t="str">
        <f t="array" ref="C2767">IF(B2766="NEW ROUTE",TEXTSPLIT(B2767,","),"")</f>
        <v/>
      </c>
      <c r="H2767" s="1" t="str">
        <f t="shared" ref="H2767:I2767" si="2769">IF(C2767&lt;&gt;"",DEC2HEX(C2767,2),"")</f>
        <v/>
      </c>
      <c r="I2767" s="1" t="str">
        <f t="shared" si="2769"/>
        <v/>
      </c>
      <c r="J2767" s="1" t="str">
        <f t="shared" si="3"/>
        <v/>
      </c>
      <c r="L2767" s="1" t="s">
        <v>2847</v>
      </c>
      <c r="M2767" s="1" t="str">
        <f t="shared" si="4"/>
        <v>good rod:</v>
      </c>
    </row>
    <row r="2768" ht="12.75" customHeight="1">
      <c r="A2768" s="3" t="s">
        <v>3636</v>
      </c>
      <c r="B2768" s="3" t="str">
        <f t="shared" si="1"/>
        <v>35, 40, SEADRA</v>
      </c>
      <c r="C2768" s="1" t="str">
        <f t="array" ref="C2768">IF(B2767="NEW ROUTE",TEXTSPLIT(B2768,","),"")</f>
        <v/>
      </c>
      <c r="H2768" s="1" t="str">
        <f t="shared" ref="H2768:I2768" si="2770">IF(C2768&lt;&gt;"",DEC2HEX(C2768,2),"")</f>
        <v/>
      </c>
      <c r="I2768" s="1" t="str">
        <f t="shared" si="2770"/>
        <v/>
      </c>
      <c r="J2768" s="1" t="str">
        <f t="shared" si="3"/>
        <v/>
      </c>
      <c r="L2768" s="1" t="s">
        <v>3636</v>
      </c>
      <c r="M2768" s="1" t="str">
        <f t="shared" si="4"/>
        <v>35, 40, SEADRA</v>
      </c>
    </row>
    <row r="2769" ht="12.75" customHeight="1">
      <c r="A2769" s="3" t="s">
        <v>3637</v>
      </c>
      <c r="B2769" s="3" t="str">
        <f t="shared" si="1"/>
        <v>37, 42, KRABBY</v>
      </c>
      <c r="C2769" s="1" t="str">
        <f t="array" ref="C2769">IF(B2768="NEW ROUTE",TEXTSPLIT(B2769,","),"")</f>
        <v/>
      </c>
      <c r="H2769" s="1" t="str">
        <f t="shared" ref="H2769:I2769" si="2771">IF(C2769&lt;&gt;"",DEC2HEX(C2769,2),"")</f>
        <v/>
      </c>
      <c r="I2769" s="1" t="str">
        <f t="shared" si="2771"/>
        <v/>
      </c>
      <c r="J2769" s="1" t="str">
        <f t="shared" si="3"/>
        <v/>
      </c>
      <c r="L2769" s="1" t="s">
        <v>3637</v>
      </c>
      <c r="M2769" s="1" t="str">
        <f t="shared" si="4"/>
        <v>37, 42, KRABBY</v>
      </c>
    </row>
    <row r="2770" ht="12.75" customHeight="1">
      <c r="A2770" s="3" t="s">
        <v>3638</v>
      </c>
      <c r="B2770" s="3" t="str">
        <f t="shared" si="1"/>
        <v>37, 42, CLOYSTER</v>
      </c>
      <c r="C2770" s="1" t="str">
        <f t="array" ref="C2770">IF(B2769="NEW ROUTE",TEXTSPLIT(B2770,","),"")</f>
        <v/>
      </c>
      <c r="H2770" s="1" t="str">
        <f t="shared" ref="H2770:I2770" si="2772">IF(C2770&lt;&gt;"",DEC2HEX(C2770,2),"")</f>
        <v/>
      </c>
      <c r="I2770" s="1" t="str">
        <f t="shared" si="2772"/>
        <v/>
      </c>
      <c r="J2770" s="1" t="str">
        <f t="shared" si="3"/>
        <v/>
      </c>
      <c r="L2770" s="1" t="s">
        <v>3638</v>
      </c>
      <c r="M2770" s="1" t="str">
        <f t="shared" si="4"/>
        <v>37, 42, CLOYSTER</v>
      </c>
    </row>
    <row r="2771" ht="12.75" customHeight="1">
      <c r="A2771" s="3" t="s">
        <v>2851</v>
      </c>
      <c r="B2771" s="3" t="str">
        <f t="shared" si="1"/>
        <v>super rod:</v>
      </c>
      <c r="C2771" s="1" t="str">
        <f t="array" ref="C2771">IF(B2770="NEW ROUTE",TEXTSPLIT(B2771,","),"")</f>
        <v/>
      </c>
      <c r="H2771" s="1" t="str">
        <f t="shared" ref="H2771:I2771" si="2773">IF(C2771&lt;&gt;"",DEC2HEX(C2771,2),"")</f>
        <v/>
      </c>
      <c r="I2771" s="1" t="str">
        <f t="shared" si="2773"/>
        <v/>
      </c>
      <c r="J2771" s="1" t="str">
        <f t="shared" si="3"/>
        <v/>
      </c>
      <c r="L2771" s="1" t="s">
        <v>2851</v>
      </c>
      <c r="M2771" s="1" t="str">
        <f t="shared" si="4"/>
        <v>super rod:</v>
      </c>
    </row>
    <row r="2772" ht="12.75" customHeight="1">
      <c r="A2772" s="3" t="s">
        <v>3639</v>
      </c>
      <c r="B2772" s="3" t="str">
        <f t="shared" si="1"/>
        <v>39, 45, KINGDRA</v>
      </c>
      <c r="C2772" s="1" t="str">
        <f t="array" ref="C2772">IF(B2771="NEW ROUTE",TEXTSPLIT(B2772,","),"")</f>
        <v/>
      </c>
      <c r="H2772" s="1" t="str">
        <f t="shared" ref="H2772:I2772" si="2774">IF(C2772&lt;&gt;"",DEC2HEX(C2772,2),"")</f>
        <v/>
      </c>
      <c r="I2772" s="1" t="str">
        <f t="shared" si="2774"/>
        <v/>
      </c>
      <c r="J2772" s="1" t="str">
        <f t="shared" si="3"/>
        <v/>
      </c>
      <c r="L2772" s="1" t="s">
        <v>3639</v>
      </c>
      <c r="M2772" s="1" t="str">
        <f t="shared" si="4"/>
        <v>39, 45, KINGDRA</v>
      </c>
    </row>
    <row r="2773" ht="12.75" customHeight="1">
      <c r="A2773" s="3" t="s">
        <v>3640</v>
      </c>
      <c r="B2773" s="3" t="str">
        <f t="shared" si="1"/>
        <v>39, 45, KINGLER</v>
      </c>
      <c r="C2773" s="1" t="str">
        <f t="array" ref="C2773">IF(B2772="NEW ROUTE",TEXTSPLIT(B2773,","),"")</f>
        <v/>
      </c>
      <c r="H2773" s="1" t="str">
        <f t="shared" ref="H2773:I2773" si="2775">IF(C2773&lt;&gt;"",DEC2HEX(C2773,2),"")</f>
        <v/>
      </c>
      <c r="I2773" s="1" t="str">
        <f t="shared" si="2775"/>
        <v/>
      </c>
      <c r="J2773" s="1" t="str">
        <f t="shared" si="3"/>
        <v/>
      </c>
      <c r="L2773" s="1" t="s">
        <v>3640</v>
      </c>
      <c r="M2773" s="1" t="str">
        <f t="shared" si="4"/>
        <v>39, 45, KINGLER</v>
      </c>
    </row>
    <row r="2774" ht="12.75" customHeight="1">
      <c r="A2774" s="3" t="s">
        <v>3641</v>
      </c>
      <c r="B2774" s="3" t="str">
        <f t="shared" si="1"/>
        <v>43, 46, AN'ENEMY</v>
      </c>
      <c r="C2774" s="1" t="str">
        <f t="array" ref="C2774">IF(B2773="NEW ROUTE",TEXTSPLIT(B2774,","),"")</f>
        <v/>
      </c>
      <c r="H2774" s="1" t="str">
        <f t="shared" ref="H2774:I2774" si="2776">IF(C2774&lt;&gt;"",DEC2HEX(C2774,2),"")</f>
        <v/>
      </c>
      <c r="I2774" s="1" t="str">
        <f t="shared" si="2776"/>
        <v/>
      </c>
      <c r="J2774" s="1" t="str">
        <f t="shared" si="3"/>
        <v/>
      </c>
      <c r="L2774" s="1" t="s">
        <v>3641</v>
      </c>
      <c r="M2774" s="1" t="str">
        <f t="shared" si="4"/>
        <v>43, 46, AN'ENEMY</v>
      </c>
    </row>
    <row r="2775" ht="12.75" customHeight="1">
      <c r="A2775" s="3" t="s">
        <v>3642</v>
      </c>
      <c r="B2775" s="3" t="str">
        <f t="shared" si="1"/>
        <v>43, 46, KRAKLAW</v>
      </c>
      <c r="C2775" s="1" t="str">
        <f t="array" ref="C2775">IF(B2774="NEW ROUTE",TEXTSPLIT(B2775,","),"")</f>
        <v/>
      </c>
      <c r="H2775" s="1" t="str">
        <f t="shared" ref="H2775:I2775" si="2777">IF(C2775&lt;&gt;"",DEC2HEX(C2775,2),"")</f>
        <v/>
      </c>
      <c r="I2775" s="1" t="str">
        <f t="shared" si="2777"/>
        <v/>
      </c>
      <c r="J2775" s="1" t="str">
        <f t="shared" si="3"/>
        <v/>
      </c>
      <c r="L2775" s="1" t="s">
        <v>3642</v>
      </c>
      <c r="M2775" s="1" t="str">
        <f t="shared" si="4"/>
        <v>43, 46, KRAKLAW</v>
      </c>
    </row>
    <row r="2776" ht="12.75" customHeight="1">
      <c r="A2776" s="3" t="s">
        <v>3643</v>
      </c>
      <c r="B2776" s="3" t="str">
        <f t="shared" si="1"/>
        <v>45, 52, LORDRA</v>
      </c>
      <c r="C2776" s="1" t="str">
        <f t="array" ref="C2776">IF(B2775="NEW ROUTE",TEXTSPLIT(B2776,","),"")</f>
        <v/>
      </c>
      <c r="H2776" s="1" t="str">
        <f t="shared" ref="H2776:I2776" si="2778">IF(C2776&lt;&gt;"",DEC2HEX(C2776,2),"")</f>
        <v/>
      </c>
      <c r="I2776" s="1" t="str">
        <f t="shared" si="2778"/>
        <v/>
      </c>
      <c r="J2776" s="1" t="str">
        <f t="shared" si="3"/>
        <v/>
      </c>
      <c r="L2776" s="1" t="s">
        <v>3643</v>
      </c>
      <c r="M2776" s="1" t="str">
        <f t="shared" si="4"/>
        <v>45, 52, LORDRA</v>
      </c>
    </row>
    <row r="2777" ht="12.75" customHeight="1">
      <c r="A2777" s="3" t="s">
        <v>2539</v>
      </c>
      <c r="B2777" s="3" t="str">
        <f t="shared" si="1"/>
        <v>NEW ROUTE</v>
      </c>
      <c r="C2777" s="1" t="str">
        <f t="array" ref="C2777">IF(B2776="NEW ROUTE",TEXTSPLIT(B2777,","),"")</f>
        <v/>
      </c>
      <c r="H2777" s="1" t="str">
        <f t="shared" ref="H2777:I2777" si="2779">IF(C2777&lt;&gt;"",DEC2HEX(C2777,2),"")</f>
        <v/>
      </c>
      <c r="I2777" s="1" t="str">
        <f t="shared" si="2779"/>
        <v/>
      </c>
      <c r="J2777" s="1" t="str">
        <f t="shared" si="3"/>
        <v/>
      </c>
      <c r="L2777" s="1" t="s">
        <v>2539</v>
      </c>
      <c r="M2777" s="1" t="str">
        <f t="shared" si="4"/>
        <v>NEW ROUTE</v>
      </c>
    </row>
    <row r="2778" ht="12.75" customHeight="1">
      <c r="A2778" s="3" t="s">
        <v>3644</v>
      </c>
      <c r="B2778" s="3" t="str">
        <f t="shared" si="1"/>
        <v>3, 12, 0, &lt;null&gt;,</v>
      </c>
      <c r="C2778" s="1" t="str">
        <f t="array" ref="C2778">IF(B2777="NEW ROUTE",TEXTSPLIT(B2778,","),"")</f>
        <v>#NAME?</v>
      </c>
      <c r="H2778" s="1" t="str">
        <f t="shared" ref="H2778:I2778" si="2780">IF(C2778&lt;&gt;"",DEC2HEX(C2778,2),"")</f>
        <v>#NAME?</v>
      </c>
      <c r="I2778" s="1" t="str">
        <f t="shared" si="2780"/>
        <v/>
      </c>
      <c r="J2778" s="1" t="str">
        <f t="shared" si="3"/>
        <v>#NAME?</v>
      </c>
      <c r="L2778" s="1" t="s">
        <v>3644</v>
      </c>
      <c r="M2778" s="1" t="str">
        <f t="shared" si="4"/>
        <v>#NAME?</v>
      </c>
    </row>
    <row r="2779" ht="12.75" customHeight="1">
      <c r="A2779" s="3" t="s">
        <v>3645</v>
      </c>
      <c r="B2779" s="3" t="str">
        <f t="shared" si="1"/>
        <v>1, 5, 20, TENTACOOL</v>
      </c>
      <c r="C2779" s="1" t="str">
        <f t="array" ref="C2779">IF(B2778="NEW ROUTE",TEXTSPLIT(B2779,","),"")</f>
        <v/>
      </c>
      <c r="H2779" s="1" t="str">
        <f t="shared" ref="H2779:I2779" si="2781">IF(C2779&lt;&gt;"",DEC2HEX(C2779,2),"")</f>
        <v/>
      </c>
      <c r="I2779" s="1" t="str">
        <f t="shared" si="2781"/>
        <v/>
      </c>
      <c r="J2779" s="1" t="str">
        <f t="shared" si="3"/>
        <v/>
      </c>
      <c r="L2779" s="1" t="s">
        <v>3645</v>
      </c>
      <c r="M2779" s="1" t="str">
        <f t="shared" si="4"/>
        <v>1, 5, 20, TENTACOOL</v>
      </c>
    </row>
    <row r="2780" ht="12.75" customHeight="1">
      <c r="A2780" s="3" t="s">
        <v>3174</v>
      </c>
      <c r="B2780" s="3" t="str">
        <f t="shared" si="1"/>
        <v>20, 35, TENTACOOL</v>
      </c>
      <c r="C2780" s="1" t="str">
        <f t="array" ref="C2780">IF(B2779="NEW ROUTE",TEXTSPLIT(B2780,","),"")</f>
        <v/>
      </c>
      <c r="H2780" s="1" t="str">
        <f t="shared" ref="H2780:I2780" si="2782">IF(C2780&lt;&gt;"",DEC2HEX(C2780,2),"")</f>
        <v/>
      </c>
      <c r="I2780" s="1" t="str">
        <f t="shared" si="2782"/>
        <v/>
      </c>
      <c r="J2780" s="1" t="str">
        <f t="shared" si="3"/>
        <v/>
      </c>
      <c r="L2780" s="1" t="s">
        <v>3174</v>
      </c>
      <c r="M2780" s="1" t="str">
        <f t="shared" si="4"/>
        <v>20, 35, TENTACOOL</v>
      </c>
    </row>
    <row r="2781" ht="12.75" customHeight="1">
      <c r="A2781" s="3" t="s">
        <v>2845</v>
      </c>
      <c r="B2781" s="3" t="str">
        <f t="shared" si="1"/>
        <v>35, 40, TENTACOOL</v>
      </c>
      <c r="C2781" s="1" t="str">
        <f t="array" ref="C2781">IF(B2780="NEW ROUTE",TEXTSPLIT(B2781,","),"")</f>
        <v/>
      </c>
      <c r="H2781" s="1" t="str">
        <f t="shared" ref="H2781:I2781" si="2783">IF(C2781&lt;&gt;"",DEC2HEX(C2781,2),"")</f>
        <v/>
      </c>
      <c r="I2781" s="1" t="str">
        <f t="shared" si="2783"/>
        <v/>
      </c>
      <c r="J2781" s="1" t="str">
        <f t="shared" si="3"/>
        <v/>
      </c>
      <c r="L2781" s="1" t="s">
        <v>2845</v>
      </c>
      <c r="M2781" s="1" t="str">
        <f t="shared" si="4"/>
        <v>35, 40, TENTACOOL</v>
      </c>
    </row>
    <row r="2782" ht="12.75" customHeight="1">
      <c r="A2782" s="3" t="s">
        <v>3232</v>
      </c>
      <c r="B2782" s="3" t="str">
        <f t="shared" si="1"/>
        <v>35, 40, TENTACRUEL</v>
      </c>
      <c r="C2782" s="1" t="str">
        <f t="array" ref="C2782">IF(B2781="NEW ROUTE",TEXTSPLIT(B2782,","),"")</f>
        <v/>
      </c>
      <c r="H2782" s="1" t="str">
        <f t="shared" ref="H2782:I2782" si="2784">IF(C2782&lt;&gt;"",DEC2HEX(C2782,2),"")</f>
        <v/>
      </c>
      <c r="I2782" s="1" t="str">
        <f t="shared" si="2784"/>
        <v/>
      </c>
      <c r="J2782" s="1" t="str">
        <f t="shared" si="3"/>
        <v/>
      </c>
      <c r="L2782" s="1" t="s">
        <v>3232</v>
      </c>
      <c r="M2782" s="1" t="str">
        <f t="shared" si="4"/>
        <v>35, 40, TENTACRUEL</v>
      </c>
    </row>
    <row r="2783" ht="12.75" customHeight="1">
      <c r="A2783" s="3" t="s">
        <v>3232</v>
      </c>
      <c r="B2783" s="3" t="str">
        <f t="shared" si="1"/>
        <v>35, 40, TENTACRUEL</v>
      </c>
      <c r="C2783" s="1" t="str">
        <f t="array" ref="C2783">IF(B2782="NEW ROUTE",TEXTSPLIT(B2783,","),"")</f>
        <v/>
      </c>
      <c r="H2783" s="1" t="str">
        <f t="shared" ref="H2783:I2783" si="2785">IF(C2783&lt;&gt;"",DEC2HEX(C2783,2),"")</f>
        <v/>
      </c>
      <c r="I2783" s="1" t="str">
        <f t="shared" si="2785"/>
        <v/>
      </c>
      <c r="J2783" s="1" t="str">
        <f t="shared" si="3"/>
        <v/>
      </c>
      <c r="L2783" s="1" t="s">
        <v>3232</v>
      </c>
      <c r="M2783" s="1" t="str">
        <f t="shared" si="4"/>
        <v>35, 40, TENTACRUEL</v>
      </c>
    </row>
    <row r="2784" ht="12.75" customHeight="1">
      <c r="A2784" s="3" t="s">
        <v>2846</v>
      </c>
      <c r="B2784" s="3" t="str">
        <f t="shared" si="1"/>
        <v>10, old rod:</v>
      </c>
      <c r="C2784" s="1" t="str">
        <f t="array" ref="C2784">IF(B2783="NEW ROUTE",TEXTSPLIT(B2784,","),"")</f>
        <v/>
      </c>
      <c r="H2784" s="1" t="str">
        <f t="shared" ref="H2784:I2784" si="2786">IF(C2784&lt;&gt;"",DEC2HEX(C2784,2),"")</f>
        <v/>
      </c>
      <c r="I2784" s="1" t="str">
        <f t="shared" si="2786"/>
        <v/>
      </c>
      <c r="J2784" s="1" t="str">
        <f t="shared" si="3"/>
        <v/>
      </c>
      <c r="L2784" s="1" t="s">
        <v>2846</v>
      </c>
      <c r="M2784" s="1" t="str">
        <f t="shared" si="4"/>
        <v>10, old rod:</v>
      </c>
    </row>
    <row r="2785" ht="12.75" customHeight="1">
      <c r="A2785" s="3" t="s">
        <v>417</v>
      </c>
      <c r="B2785" s="3" t="str">
        <f t="shared" si="1"/>
        <v>5, 5, MAGIKARP</v>
      </c>
      <c r="C2785" s="1" t="str">
        <f t="array" ref="C2785">IF(B2784="NEW ROUTE",TEXTSPLIT(B2785,","),"")</f>
        <v/>
      </c>
      <c r="H2785" s="1" t="str">
        <f t="shared" ref="H2785:I2785" si="2787">IF(C2785&lt;&gt;"",DEC2HEX(C2785,2),"")</f>
        <v/>
      </c>
      <c r="I2785" s="1" t="str">
        <f t="shared" si="2787"/>
        <v/>
      </c>
      <c r="J2785" s="1" t="str">
        <f t="shared" si="3"/>
        <v/>
      </c>
      <c r="L2785" s="1" t="s">
        <v>417</v>
      </c>
      <c r="M2785" s="1" t="str">
        <f t="shared" si="4"/>
        <v>5, 5, MAGIKARP</v>
      </c>
    </row>
    <row r="2786" ht="12.75" customHeight="1">
      <c r="A2786" s="3" t="s">
        <v>417</v>
      </c>
      <c r="B2786" s="3" t="str">
        <f t="shared" si="1"/>
        <v>5, 5, MAGIKARP</v>
      </c>
      <c r="C2786" s="1" t="str">
        <f t="array" ref="C2786">IF(B2785="NEW ROUTE",TEXTSPLIT(B2786,","),"")</f>
        <v/>
      </c>
      <c r="H2786" s="1" t="str">
        <f t="shared" ref="H2786:I2786" si="2788">IF(C2786&lt;&gt;"",DEC2HEX(C2786,2),"")</f>
        <v/>
      </c>
      <c r="I2786" s="1" t="str">
        <f t="shared" si="2788"/>
        <v/>
      </c>
      <c r="J2786" s="1" t="str">
        <f t="shared" si="3"/>
        <v/>
      </c>
      <c r="L2786" s="1" t="s">
        <v>417</v>
      </c>
      <c r="M2786" s="1" t="str">
        <f t="shared" si="4"/>
        <v>5, 5, MAGIKARP</v>
      </c>
    </row>
    <row r="2787" ht="12.75" customHeight="1">
      <c r="A2787" s="3" t="s">
        <v>2847</v>
      </c>
      <c r="B2787" s="3" t="str">
        <f t="shared" si="1"/>
        <v>good rod:</v>
      </c>
      <c r="C2787" s="1" t="str">
        <f t="array" ref="C2787">IF(B2786="NEW ROUTE",TEXTSPLIT(B2787,","),"")</f>
        <v/>
      </c>
      <c r="H2787" s="1" t="str">
        <f t="shared" ref="H2787:I2787" si="2789">IF(C2787&lt;&gt;"",DEC2HEX(C2787,2),"")</f>
        <v/>
      </c>
      <c r="I2787" s="1" t="str">
        <f t="shared" si="2789"/>
        <v/>
      </c>
      <c r="J2787" s="1" t="str">
        <f t="shared" si="3"/>
        <v/>
      </c>
      <c r="L2787" s="1" t="s">
        <v>2847</v>
      </c>
      <c r="M2787" s="1" t="str">
        <f t="shared" si="4"/>
        <v>good rod:</v>
      </c>
    </row>
    <row r="2788" ht="12.75" customHeight="1">
      <c r="A2788" s="3" t="s">
        <v>2848</v>
      </c>
      <c r="B2788" s="3" t="str">
        <f t="shared" si="1"/>
        <v>5, 15, KRABBY</v>
      </c>
      <c r="C2788" s="1" t="str">
        <f t="array" ref="C2788">IF(B2787="NEW ROUTE",TEXTSPLIT(B2788,","),"")</f>
        <v/>
      </c>
      <c r="H2788" s="1" t="str">
        <f t="shared" ref="H2788:I2788" si="2790">IF(C2788&lt;&gt;"",DEC2HEX(C2788,2),"")</f>
        <v/>
      </c>
      <c r="I2788" s="1" t="str">
        <f t="shared" si="2790"/>
        <v/>
      </c>
      <c r="J2788" s="1" t="str">
        <f t="shared" si="3"/>
        <v/>
      </c>
      <c r="L2788" s="1" t="s">
        <v>2848</v>
      </c>
      <c r="M2788" s="1" t="str">
        <f t="shared" si="4"/>
        <v>5, 15, KRABBY</v>
      </c>
    </row>
    <row r="2789" ht="12.75" customHeight="1">
      <c r="A2789" s="3" t="s">
        <v>2849</v>
      </c>
      <c r="B2789" s="3" t="str">
        <f t="shared" si="1"/>
        <v>5, 15, MAGIKARP</v>
      </c>
      <c r="C2789" s="1" t="str">
        <f t="array" ref="C2789">IF(B2788="NEW ROUTE",TEXTSPLIT(B2789,","),"")</f>
        <v/>
      </c>
      <c r="H2789" s="1" t="str">
        <f t="shared" ref="H2789:I2789" si="2791">IF(C2789&lt;&gt;"",DEC2HEX(C2789,2),"")</f>
        <v/>
      </c>
      <c r="I2789" s="1" t="str">
        <f t="shared" si="2791"/>
        <v/>
      </c>
      <c r="J2789" s="1" t="str">
        <f t="shared" si="3"/>
        <v/>
      </c>
      <c r="L2789" s="1" t="s">
        <v>2849</v>
      </c>
      <c r="M2789" s="1" t="str">
        <f t="shared" si="4"/>
        <v>5, 15, MAGIKARP</v>
      </c>
    </row>
    <row r="2790" ht="12.75" customHeight="1">
      <c r="A2790" s="3" t="s">
        <v>2848</v>
      </c>
      <c r="B2790" s="3" t="str">
        <f t="shared" si="1"/>
        <v>5, 15, KRABBY</v>
      </c>
      <c r="C2790" s="1" t="str">
        <f t="array" ref="C2790">IF(B2789="NEW ROUTE",TEXTSPLIT(B2790,","),"")</f>
        <v/>
      </c>
      <c r="H2790" s="1" t="str">
        <f t="shared" ref="H2790:I2790" si="2792">IF(C2790&lt;&gt;"",DEC2HEX(C2790,2),"")</f>
        <v/>
      </c>
      <c r="I2790" s="1" t="str">
        <f t="shared" si="2792"/>
        <v/>
      </c>
      <c r="J2790" s="1" t="str">
        <f t="shared" si="3"/>
        <v/>
      </c>
      <c r="L2790" s="1" t="s">
        <v>2848</v>
      </c>
      <c r="M2790" s="1" t="str">
        <f t="shared" si="4"/>
        <v>5, 15, KRABBY</v>
      </c>
    </row>
    <row r="2791" ht="12.75" customHeight="1">
      <c r="A2791" s="3" t="s">
        <v>2851</v>
      </c>
      <c r="B2791" s="3" t="str">
        <f t="shared" si="1"/>
        <v>super rod:</v>
      </c>
      <c r="C2791" s="1" t="str">
        <f t="array" ref="C2791">IF(B2790="NEW ROUTE",TEXTSPLIT(B2791,","),"")</f>
        <v/>
      </c>
      <c r="H2791" s="1" t="str">
        <f t="shared" ref="H2791:I2791" si="2793">IF(C2791&lt;&gt;"",DEC2HEX(C2791,2),"")</f>
        <v/>
      </c>
      <c r="I2791" s="1" t="str">
        <f t="shared" si="2793"/>
        <v/>
      </c>
      <c r="J2791" s="1" t="str">
        <f t="shared" si="3"/>
        <v/>
      </c>
      <c r="L2791" s="1" t="s">
        <v>2851</v>
      </c>
      <c r="M2791" s="1" t="str">
        <f t="shared" si="4"/>
        <v>super rod:</v>
      </c>
    </row>
    <row r="2792" ht="12.75" customHeight="1">
      <c r="A2792" s="3" t="s">
        <v>2852</v>
      </c>
      <c r="B2792" s="3" t="str">
        <f t="shared" si="1"/>
        <v>15, 25, KRABBY</v>
      </c>
      <c r="C2792" s="1" t="str">
        <f t="array" ref="C2792">IF(B2791="NEW ROUTE",TEXTSPLIT(B2792,","),"")</f>
        <v/>
      </c>
      <c r="H2792" s="1" t="str">
        <f t="shared" ref="H2792:I2792" si="2794">IF(C2792&lt;&gt;"",DEC2HEX(C2792,2),"")</f>
        <v/>
      </c>
      <c r="I2792" s="1" t="str">
        <f t="shared" si="2794"/>
        <v/>
      </c>
      <c r="J2792" s="1" t="str">
        <f t="shared" si="3"/>
        <v/>
      </c>
      <c r="L2792" s="1" t="s">
        <v>2852</v>
      </c>
      <c r="M2792" s="1" t="str">
        <f t="shared" si="4"/>
        <v>15, 25, KRABBY</v>
      </c>
    </row>
    <row r="2793" ht="12.75" customHeight="1">
      <c r="A2793" s="3" t="s">
        <v>2853</v>
      </c>
      <c r="B2793" s="3" t="str">
        <f t="shared" si="1"/>
        <v>15, 25, STARYU</v>
      </c>
      <c r="C2793" s="1" t="str">
        <f t="array" ref="C2793">IF(B2792="NEW ROUTE",TEXTSPLIT(B2793,","),"")</f>
        <v/>
      </c>
      <c r="H2793" s="1" t="str">
        <f t="shared" ref="H2793:I2793" si="2795">IF(C2793&lt;&gt;"",DEC2HEX(C2793,2),"")</f>
        <v/>
      </c>
      <c r="I2793" s="1" t="str">
        <f t="shared" si="2795"/>
        <v/>
      </c>
      <c r="J2793" s="1" t="str">
        <f t="shared" si="3"/>
        <v/>
      </c>
      <c r="L2793" s="1" t="s">
        <v>2853</v>
      </c>
      <c r="M2793" s="1" t="str">
        <f t="shared" si="4"/>
        <v>15, 25, STARYU</v>
      </c>
    </row>
    <row r="2794" ht="12.75" customHeight="1">
      <c r="A2794" s="3" t="s">
        <v>2854</v>
      </c>
      <c r="B2794" s="3" t="str">
        <f t="shared" si="1"/>
        <v>15, 25, GYARADOS</v>
      </c>
      <c r="C2794" s="1" t="str">
        <f t="array" ref="C2794">IF(B2793="NEW ROUTE",TEXTSPLIT(B2794,","),"")</f>
        <v/>
      </c>
      <c r="H2794" s="1" t="str">
        <f t="shared" ref="H2794:I2794" si="2796">IF(C2794&lt;&gt;"",DEC2HEX(C2794,2),"")</f>
        <v/>
      </c>
      <c r="I2794" s="1" t="str">
        <f t="shared" si="2796"/>
        <v/>
      </c>
      <c r="J2794" s="1" t="str">
        <f t="shared" si="3"/>
        <v/>
      </c>
      <c r="L2794" s="1" t="s">
        <v>2854</v>
      </c>
      <c r="M2794" s="1" t="str">
        <f t="shared" si="4"/>
        <v>15, 25, GYARADOS</v>
      </c>
    </row>
    <row r="2795" ht="12.75" customHeight="1">
      <c r="A2795" s="3" t="s">
        <v>3178</v>
      </c>
      <c r="B2795" s="3" t="str">
        <f t="shared" si="1"/>
        <v>25, 35, KINGLER</v>
      </c>
      <c r="C2795" s="1" t="str">
        <f t="array" ref="C2795">IF(B2794="NEW ROUTE",TEXTSPLIT(B2795,","),"")</f>
        <v/>
      </c>
      <c r="H2795" s="1" t="str">
        <f t="shared" ref="H2795:I2795" si="2797">IF(C2795&lt;&gt;"",DEC2HEX(C2795,2),"")</f>
        <v/>
      </c>
      <c r="I2795" s="1" t="str">
        <f t="shared" si="2797"/>
        <v/>
      </c>
      <c r="J2795" s="1" t="str">
        <f t="shared" si="3"/>
        <v/>
      </c>
      <c r="L2795" s="1" t="s">
        <v>3178</v>
      </c>
      <c r="M2795" s="1" t="str">
        <f t="shared" si="4"/>
        <v>25, 35, KINGLER</v>
      </c>
    </row>
    <row r="2796" ht="12.75" customHeight="1">
      <c r="A2796" s="3" t="s">
        <v>2856</v>
      </c>
      <c r="B2796" s="3" t="str">
        <f t="shared" si="1"/>
        <v>25, 35, SLOWPOKE</v>
      </c>
      <c r="C2796" s="1" t="str">
        <f t="array" ref="C2796">IF(B2795="NEW ROUTE",TEXTSPLIT(B2796,","),"")</f>
        <v/>
      </c>
      <c r="H2796" s="1" t="str">
        <f t="shared" ref="H2796:I2796" si="2798">IF(C2796&lt;&gt;"",DEC2HEX(C2796,2),"")</f>
        <v/>
      </c>
      <c r="I2796" s="1" t="str">
        <f t="shared" si="2798"/>
        <v/>
      </c>
      <c r="J2796" s="1" t="str">
        <f t="shared" si="3"/>
        <v/>
      </c>
      <c r="L2796" s="1" t="s">
        <v>2856</v>
      </c>
      <c r="M2796" s="1" t="str">
        <f t="shared" si="4"/>
        <v>25, 35, SLOWPOKE</v>
      </c>
    </row>
    <row r="2797" ht="12.75" customHeight="1">
      <c r="A2797" s="3" t="s">
        <v>2539</v>
      </c>
      <c r="B2797" s="3" t="str">
        <f t="shared" si="1"/>
        <v>NEW ROUTE</v>
      </c>
      <c r="C2797" s="1" t="str">
        <f t="array" ref="C2797">IF(B2796="NEW ROUTE",TEXTSPLIT(B2797,","),"")</f>
        <v/>
      </c>
      <c r="H2797" s="1" t="str">
        <f t="shared" ref="H2797:I2797" si="2799">IF(C2797&lt;&gt;"",DEC2HEX(C2797,2),"")</f>
        <v/>
      </c>
      <c r="I2797" s="1" t="str">
        <f t="shared" si="2799"/>
        <v/>
      </c>
      <c r="J2797" s="1" t="str">
        <f t="shared" si="3"/>
        <v/>
      </c>
      <c r="L2797" s="1" t="s">
        <v>2539</v>
      </c>
      <c r="M2797" s="1" t="str">
        <f t="shared" si="4"/>
        <v>NEW ROUTE</v>
      </c>
    </row>
    <row r="2798" ht="12.75" customHeight="1">
      <c r="A2798" s="3" t="s">
        <v>3646</v>
      </c>
      <c r="B2798" s="3" t="str">
        <f t="shared" si="1"/>
        <v>3, 15, 0, &lt;null&gt;,</v>
      </c>
      <c r="C2798" s="1" t="str">
        <f t="array" ref="C2798">IF(B2797="NEW ROUTE",TEXTSPLIT(B2798,","),"")</f>
        <v>#NAME?</v>
      </c>
      <c r="H2798" s="1" t="str">
        <f t="shared" ref="H2798:I2798" si="2800">IF(C2798&lt;&gt;"",DEC2HEX(C2798,2),"")</f>
        <v>#NAME?</v>
      </c>
      <c r="I2798" s="1" t="str">
        <f t="shared" si="2800"/>
        <v/>
      </c>
      <c r="J2798" s="1" t="str">
        <f t="shared" si="3"/>
        <v>#NAME?</v>
      </c>
      <c r="L2798" s="1" t="s">
        <v>3646</v>
      </c>
      <c r="M2798" s="1" t="str">
        <f t="shared" si="4"/>
        <v>#NAME?</v>
      </c>
    </row>
    <row r="2799" ht="12.75" customHeight="1">
      <c r="A2799" s="3" t="s">
        <v>3647</v>
      </c>
      <c r="B2799" s="3" t="str">
        <f t="shared" si="1"/>
        <v>2, 5, 15, MARILL</v>
      </c>
      <c r="C2799" s="1" t="str">
        <f t="array" ref="C2799">IF(B2798="NEW ROUTE",TEXTSPLIT(B2799,","),"")</f>
        <v/>
      </c>
      <c r="H2799" s="1" t="str">
        <f t="shared" ref="H2799:I2799" si="2801">IF(C2799&lt;&gt;"",DEC2HEX(C2799,2),"")</f>
        <v/>
      </c>
      <c r="I2799" s="1" t="str">
        <f t="shared" si="2801"/>
        <v/>
      </c>
      <c r="J2799" s="1" t="str">
        <f t="shared" si="3"/>
        <v/>
      </c>
      <c r="L2799" s="1" t="s">
        <v>3647</v>
      </c>
      <c r="M2799" s="1" t="str">
        <f t="shared" si="4"/>
        <v>2, 5, 15, MARILL</v>
      </c>
    </row>
    <row r="2800" ht="12.75" customHeight="1">
      <c r="A2800" s="3" t="s">
        <v>3159</v>
      </c>
      <c r="B2800" s="3" t="str">
        <f t="shared" si="1"/>
        <v>5, 35, SLOWPOKE</v>
      </c>
      <c r="C2800" s="1" t="str">
        <f t="array" ref="C2800">IF(B2799="NEW ROUTE",TEXTSPLIT(B2800,","),"")</f>
        <v/>
      </c>
      <c r="H2800" s="1" t="str">
        <f t="shared" ref="H2800:I2800" si="2802">IF(C2800&lt;&gt;"",DEC2HEX(C2800,2),"")</f>
        <v/>
      </c>
      <c r="I2800" s="1" t="str">
        <f t="shared" si="2802"/>
        <v/>
      </c>
      <c r="J2800" s="1" t="str">
        <f t="shared" si="3"/>
        <v/>
      </c>
      <c r="L2800" s="1" t="s">
        <v>3159</v>
      </c>
      <c r="M2800" s="1" t="str">
        <f t="shared" si="4"/>
        <v>5, 35, SLOWPOKE</v>
      </c>
    </row>
    <row r="2801" ht="12.75" customHeight="1">
      <c r="A2801" s="3" t="s">
        <v>3294</v>
      </c>
      <c r="B2801" s="3" t="str">
        <f t="shared" si="1"/>
        <v>15, 25, MARILL</v>
      </c>
      <c r="C2801" s="1" t="str">
        <f t="array" ref="C2801">IF(B2800="NEW ROUTE",TEXTSPLIT(B2801,","),"")</f>
        <v/>
      </c>
      <c r="H2801" s="1" t="str">
        <f t="shared" ref="H2801:I2801" si="2803">IF(C2801&lt;&gt;"",DEC2HEX(C2801,2),"")</f>
        <v/>
      </c>
      <c r="I2801" s="1" t="str">
        <f t="shared" si="2803"/>
        <v/>
      </c>
      <c r="J2801" s="1" t="str">
        <f t="shared" si="3"/>
        <v/>
      </c>
      <c r="L2801" s="1" t="s">
        <v>3294</v>
      </c>
      <c r="M2801" s="1" t="str">
        <f t="shared" si="4"/>
        <v>15, 25, MARILL</v>
      </c>
    </row>
    <row r="2802" ht="12.75" customHeight="1">
      <c r="A2802" s="3" t="s">
        <v>3294</v>
      </c>
      <c r="B2802" s="3" t="str">
        <f t="shared" si="1"/>
        <v>15, 25, MARILL</v>
      </c>
      <c r="C2802" s="1" t="str">
        <f t="array" ref="C2802">IF(B2801="NEW ROUTE",TEXTSPLIT(B2802,","),"")</f>
        <v/>
      </c>
      <c r="H2802" s="1" t="str">
        <f t="shared" ref="H2802:I2802" si="2804">IF(C2802&lt;&gt;"",DEC2HEX(C2802,2),"")</f>
        <v/>
      </c>
      <c r="I2802" s="1" t="str">
        <f t="shared" si="2804"/>
        <v/>
      </c>
      <c r="J2802" s="1" t="str">
        <f t="shared" si="3"/>
        <v/>
      </c>
      <c r="L2802" s="1" t="s">
        <v>3294</v>
      </c>
      <c r="M2802" s="1" t="str">
        <f t="shared" si="4"/>
        <v>15, 25, MARILL</v>
      </c>
    </row>
    <row r="2803" ht="12.75" customHeight="1">
      <c r="A2803" s="3" t="s">
        <v>3294</v>
      </c>
      <c r="B2803" s="3" t="str">
        <f t="shared" si="1"/>
        <v>15, 25, MARILL</v>
      </c>
      <c r="C2803" s="1" t="str">
        <f t="array" ref="C2803">IF(B2802="NEW ROUTE",TEXTSPLIT(B2803,","),"")</f>
        <v/>
      </c>
      <c r="H2803" s="1" t="str">
        <f t="shared" ref="H2803:I2803" si="2805">IF(C2803&lt;&gt;"",DEC2HEX(C2803,2),"")</f>
        <v/>
      </c>
      <c r="I2803" s="1" t="str">
        <f t="shared" si="2805"/>
        <v/>
      </c>
      <c r="J2803" s="1" t="str">
        <f t="shared" si="3"/>
        <v/>
      </c>
      <c r="L2803" s="1" t="s">
        <v>3294</v>
      </c>
      <c r="M2803" s="1" t="str">
        <f t="shared" si="4"/>
        <v>15, 25, MARILL</v>
      </c>
    </row>
    <row r="2804" ht="12.75" customHeight="1">
      <c r="A2804" s="3" t="s">
        <v>2926</v>
      </c>
      <c r="B2804" s="3" t="str">
        <f t="shared" si="1"/>
        <v>20, old rod:</v>
      </c>
      <c r="C2804" s="1" t="str">
        <f t="array" ref="C2804">IF(B2803="NEW ROUTE",TEXTSPLIT(B2804,","),"")</f>
        <v/>
      </c>
      <c r="H2804" s="1" t="str">
        <f t="shared" ref="H2804:I2804" si="2806">IF(C2804&lt;&gt;"",DEC2HEX(C2804,2),"")</f>
        <v/>
      </c>
      <c r="I2804" s="1" t="str">
        <f t="shared" si="2806"/>
        <v/>
      </c>
      <c r="J2804" s="1" t="str">
        <f t="shared" si="3"/>
        <v/>
      </c>
      <c r="L2804" s="1" t="s">
        <v>2926</v>
      </c>
      <c r="M2804" s="1" t="str">
        <f t="shared" si="4"/>
        <v>20, old rod:</v>
      </c>
    </row>
    <row r="2805" ht="12.75" customHeight="1">
      <c r="A2805" s="3" t="s">
        <v>417</v>
      </c>
      <c r="B2805" s="3" t="str">
        <f t="shared" si="1"/>
        <v>5, 5, MAGIKARP</v>
      </c>
      <c r="C2805" s="1" t="str">
        <f t="array" ref="C2805">IF(B2804="NEW ROUTE",TEXTSPLIT(B2805,","),"")</f>
        <v/>
      </c>
      <c r="H2805" s="1" t="str">
        <f t="shared" ref="H2805:I2805" si="2807">IF(C2805&lt;&gt;"",DEC2HEX(C2805,2),"")</f>
        <v/>
      </c>
      <c r="I2805" s="1" t="str">
        <f t="shared" si="2807"/>
        <v/>
      </c>
      <c r="J2805" s="1" t="str">
        <f t="shared" si="3"/>
        <v/>
      </c>
      <c r="L2805" s="1" t="s">
        <v>417</v>
      </c>
      <c r="M2805" s="1" t="str">
        <f t="shared" si="4"/>
        <v>5, 5, MAGIKARP</v>
      </c>
    </row>
    <row r="2806" ht="12.75" customHeight="1">
      <c r="A2806" s="3" t="s">
        <v>417</v>
      </c>
      <c r="B2806" s="3" t="str">
        <f t="shared" si="1"/>
        <v>5, 5, MAGIKARP</v>
      </c>
      <c r="C2806" s="1" t="str">
        <f t="array" ref="C2806">IF(B2805="NEW ROUTE",TEXTSPLIT(B2806,","),"")</f>
        <v/>
      </c>
      <c r="H2806" s="1" t="str">
        <f t="shared" ref="H2806:I2806" si="2808">IF(C2806&lt;&gt;"",DEC2HEX(C2806,2),"")</f>
        <v/>
      </c>
      <c r="I2806" s="1" t="str">
        <f t="shared" si="2808"/>
        <v/>
      </c>
      <c r="J2806" s="1" t="str">
        <f t="shared" si="3"/>
        <v/>
      </c>
      <c r="L2806" s="1" t="s">
        <v>417</v>
      </c>
      <c r="M2806" s="1" t="str">
        <f t="shared" si="4"/>
        <v>5, 5, MAGIKARP</v>
      </c>
    </row>
    <row r="2807" ht="12.75" customHeight="1">
      <c r="A2807" s="3" t="s">
        <v>2847</v>
      </c>
      <c r="B2807" s="3" t="str">
        <f t="shared" si="1"/>
        <v>good rod:</v>
      </c>
      <c r="C2807" s="1" t="str">
        <f t="array" ref="C2807">IF(B2806="NEW ROUTE",TEXTSPLIT(B2807,","),"")</f>
        <v/>
      </c>
      <c r="H2807" s="1" t="str">
        <f t="shared" ref="H2807:I2807" si="2809">IF(C2807&lt;&gt;"",DEC2HEX(C2807,2),"")</f>
        <v/>
      </c>
      <c r="I2807" s="1" t="str">
        <f t="shared" si="2809"/>
        <v/>
      </c>
      <c r="J2807" s="1" t="str">
        <f t="shared" si="3"/>
        <v/>
      </c>
      <c r="L2807" s="1" t="s">
        <v>2847</v>
      </c>
      <c r="M2807" s="1" t="str">
        <f t="shared" si="4"/>
        <v>good rod:</v>
      </c>
    </row>
    <row r="2808" ht="12.75" customHeight="1">
      <c r="A2808" s="3" t="s">
        <v>3144</v>
      </c>
      <c r="B2808" s="3" t="str">
        <f t="shared" si="1"/>
        <v>5, 15, POLIWAG</v>
      </c>
      <c r="C2808" s="1" t="str">
        <f t="array" ref="C2808">IF(B2807="NEW ROUTE",TEXTSPLIT(B2808,","),"")</f>
        <v/>
      </c>
      <c r="H2808" s="1" t="str">
        <f t="shared" ref="H2808:I2808" si="2810">IF(C2808&lt;&gt;"",DEC2HEX(C2808,2),"")</f>
        <v/>
      </c>
      <c r="I2808" s="1" t="str">
        <f t="shared" si="2810"/>
        <v/>
      </c>
      <c r="J2808" s="1" t="str">
        <f t="shared" si="3"/>
        <v/>
      </c>
      <c r="L2808" s="1" t="s">
        <v>3144</v>
      </c>
      <c r="M2808" s="1" t="str">
        <f t="shared" si="4"/>
        <v>5, 15, POLIWAG</v>
      </c>
    </row>
    <row r="2809" ht="12.75" customHeight="1">
      <c r="A2809" s="3" t="s">
        <v>2849</v>
      </c>
      <c r="B2809" s="3" t="str">
        <f t="shared" si="1"/>
        <v>5, 15, MAGIKARP</v>
      </c>
      <c r="C2809" s="1" t="str">
        <f t="array" ref="C2809">IF(B2808="NEW ROUTE",TEXTSPLIT(B2809,","),"")</f>
        <v/>
      </c>
      <c r="H2809" s="1" t="str">
        <f t="shared" ref="H2809:I2809" si="2811">IF(C2809&lt;&gt;"",DEC2HEX(C2809,2),"")</f>
        <v/>
      </c>
      <c r="I2809" s="1" t="str">
        <f t="shared" si="2811"/>
        <v/>
      </c>
      <c r="J2809" s="1" t="str">
        <f t="shared" si="3"/>
        <v/>
      </c>
      <c r="L2809" s="1" t="s">
        <v>2849</v>
      </c>
      <c r="M2809" s="1" t="str">
        <f t="shared" si="4"/>
        <v>5, 15, MAGIKARP</v>
      </c>
    </row>
    <row r="2810" ht="12.75" customHeight="1">
      <c r="A2810" s="3" t="s">
        <v>3143</v>
      </c>
      <c r="B2810" s="3" t="str">
        <f t="shared" si="1"/>
        <v>5, 15, GOLDEEN</v>
      </c>
      <c r="C2810" s="1" t="str">
        <f t="array" ref="C2810">IF(B2809="NEW ROUTE",TEXTSPLIT(B2810,","),"")</f>
        <v/>
      </c>
      <c r="H2810" s="1" t="str">
        <f t="shared" ref="H2810:I2810" si="2812">IF(C2810&lt;&gt;"",DEC2HEX(C2810,2),"")</f>
        <v/>
      </c>
      <c r="I2810" s="1" t="str">
        <f t="shared" si="2812"/>
        <v/>
      </c>
      <c r="J2810" s="1" t="str">
        <f t="shared" si="3"/>
        <v/>
      </c>
      <c r="L2810" s="1" t="s">
        <v>3143</v>
      </c>
      <c r="M2810" s="1" t="str">
        <f t="shared" si="4"/>
        <v>5, 15, GOLDEEN</v>
      </c>
    </row>
    <row r="2811" ht="12.75" customHeight="1">
      <c r="A2811" s="3" t="s">
        <v>2851</v>
      </c>
      <c r="B2811" s="3" t="str">
        <f t="shared" si="1"/>
        <v>super rod:</v>
      </c>
      <c r="C2811" s="1" t="str">
        <f t="array" ref="C2811">IF(B2810="NEW ROUTE",TEXTSPLIT(B2811,","),"")</f>
        <v/>
      </c>
      <c r="H2811" s="1" t="str">
        <f t="shared" ref="H2811:I2811" si="2813">IF(C2811&lt;&gt;"",DEC2HEX(C2811,2),"")</f>
        <v/>
      </c>
      <c r="I2811" s="1" t="str">
        <f t="shared" si="2813"/>
        <v/>
      </c>
      <c r="J2811" s="1" t="str">
        <f t="shared" si="3"/>
        <v/>
      </c>
      <c r="L2811" s="1" t="s">
        <v>2851</v>
      </c>
      <c r="M2811" s="1" t="str">
        <f t="shared" si="4"/>
        <v>super rod:</v>
      </c>
    </row>
    <row r="2812" ht="12.75" customHeight="1">
      <c r="A2812" s="3" t="s">
        <v>3162</v>
      </c>
      <c r="B2812" s="3" t="str">
        <f t="shared" si="1"/>
        <v>15, 25, POLIWAG</v>
      </c>
      <c r="C2812" s="1" t="str">
        <f t="array" ref="C2812">IF(B2811="NEW ROUTE",TEXTSPLIT(B2812,","),"")</f>
        <v/>
      </c>
      <c r="H2812" s="1" t="str">
        <f t="shared" ref="H2812:I2812" si="2814">IF(C2812&lt;&gt;"",DEC2HEX(C2812,2),"")</f>
        <v/>
      </c>
      <c r="I2812" s="1" t="str">
        <f t="shared" si="2814"/>
        <v/>
      </c>
      <c r="J2812" s="1" t="str">
        <f t="shared" si="3"/>
        <v/>
      </c>
      <c r="L2812" s="1" t="s">
        <v>3162</v>
      </c>
      <c r="M2812" s="1" t="str">
        <f t="shared" si="4"/>
        <v>15, 25, POLIWAG</v>
      </c>
    </row>
    <row r="2813" ht="12.75" customHeight="1">
      <c r="A2813" s="3" t="s">
        <v>3163</v>
      </c>
      <c r="B2813" s="3" t="str">
        <f t="shared" si="1"/>
        <v>20, 30, POLIWHIRL</v>
      </c>
      <c r="C2813" s="1" t="str">
        <f t="array" ref="C2813">IF(B2812="NEW ROUTE",TEXTSPLIT(B2813,","),"")</f>
        <v/>
      </c>
      <c r="H2813" s="1" t="str">
        <f t="shared" ref="H2813:I2813" si="2815">IF(C2813&lt;&gt;"",DEC2HEX(C2813,2),"")</f>
        <v/>
      </c>
      <c r="I2813" s="1" t="str">
        <f t="shared" si="2815"/>
        <v/>
      </c>
      <c r="J2813" s="1" t="str">
        <f t="shared" si="3"/>
        <v/>
      </c>
      <c r="L2813" s="1" t="s">
        <v>3163</v>
      </c>
      <c r="M2813" s="1" t="str">
        <f t="shared" si="4"/>
        <v>20, 30, POLIWHIRL</v>
      </c>
    </row>
    <row r="2814" ht="12.75" customHeight="1">
      <c r="A2814" s="3" t="s">
        <v>2854</v>
      </c>
      <c r="B2814" s="3" t="str">
        <f t="shared" si="1"/>
        <v>15, 25, GYARADOS</v>
      </c>
      <c r="C2814" s="1" t="str">
        <f t="array" ref="C2814">IF(B2813="NEW ROUTE",TEXTSPLIT(B2814,","),"")</f>
        <v/>
      </c>
      <c r="H2814" s="1" t="str">
        <f t="shared" ref="H2814:I2814" si="2816">IF(C2814&lt;&gt;"",DEC2HEX(C2814,2),"")</f>
        <v/>
      </c>
      <c r="I2814" s="1" t="str">
        <f t="shared" si="2816"/>
        <v/>
      </c>
      <c r="J2814" s="1" t="str">
        <f t="shared" si="3"/>
        <v/>
      </c>
      <c r="L2814" s="1" t="s">
        <v>2854</v>
      </c>
      <c r="M2814" s="1" t="str">
        <f t="shared" si="4"/>
        <v>15, 25, GYARADOS</v>
      </c>
    </row>
    <row r="2815" ht="12.75" customHeight="1">
      <c r="A2815" s="3" t="s">
        <v>3147</v>
      </c>
      <c r="B2815" s="3" t="str">
        <f t="shared" si="1"/>
        <v>15, 25, SLOWPOKE</v>
      </c>
      <c r="C2815" s="1" t="str">
        <f t="array" ref="C2815">IF(B2814="NEW ROUTE",TEXTSPLIT(B2815,","),"")</f>
        <v/>
      </c>
      <c r="H2815" s="1" t="str">
        <f t="shared" ref="H2815:I2815" si="2817">IF(C2815&lt;&gt;"",DEC2HEX(C2815,2),"")</f>
        <v/>
      </c>
      <c r="I2815" s="1" t="str">
        <f t="shared" si="2817"/>
        <v/>
      </c>
      <c r="J2815" s="1" t="str">
        <f t="shared" si="3"/>
        <v/>
      </c>
      <c r="L2815" s="1" t="s">
        <v>3147</v>
      </c>
      <c r="M2815" s="1" t="str">
        <f t="shared" si="4"/>
        <v>15, 25, SLOWPOKE</v>
      </c>
    </row>
    <row r="2816" ht="12.75" customHeight="1">
      <c r="A2816" s="3" t="s">
        <v>2856</v>
      </c>
      <c r="B2816" s="3" t="str">
        <f t="shared" si="1"/>
        <v>25, 35, SLOWPOKE</v>
      </c>
      <c r="C2816" s="1" t="str">
        <f t="array" ref="C2816">IF(B2815="NEW ROUTE",TEXTSPLIT(B2816,","),"")</f>
        <v/>
      </c>
      <c r="H2816" s="1" t="str">
        <f t="shared" ref="H2816:I2816" si="2818">IF(C2816&lt;&gt;"",DEC2HEX(C2816,2),"")</f>
        <v/>
      </c>
      <c r="I2816" s="1" t="str">
        <f t="shared" si="2818"/>
        <v/>
      </c>
      <c r="J2816" s="1" t="str">
        <f t="shared" si="3"/>
        <v/>
      </c>
      <c r="L2816" s="1" t="s">
        <v>2856</v>
      </c>
      <c r="M2816" s="1" t="str">
        <f t="shared" si="4"/>
        <v>25, 35, SLOWPOKE</v>
      </c>
    </row>
    <row r="2817" ht="12.75" customHeight="1">
      <c r="A2817" s="3" t="s">
        <v>2539</v>
      </c>
      <c r="B2817" s="3" t="str">
        <f t="shared" si="1"/>
        <v>NEW ROUTE</v>
      </c>
      <c r="C2817" s="1" t="str">
        <f t="array" ref="C2817">IF(B2816="NEW ROUTE",TEXTSPLIT(B2817,","),"")</f>
        <v/>
      </c>
      <c r="H2817" s="1" t="str">
        <f t="shared" ref="H2817:I2817" si="2819">IF(C2817&lt;&gt;"",DEC2HEX(C2817,2),"")</f>
        <v/>
      </c>
      <c r="I2817" s="1" t="str">
        <f t="shared" si="2819"/>
        <v/>
      </c>
      <c r="J2817" s="1" t="str">
        <f t="shared" si="3"/>
        <v/>
      </c>
      <c r="L2817" s="1" t="s">
        <v>2539</v>
      </c>
      <c r="M2817" s="1" t="str">
        <f t="shared" si="4"/>
        <v>NEW ROUTE</v>
      </c>
    </row>
    <row r="2818" ht="12.75" customHeight="1">
      <c r="A2818" s="3" t="s">
        <v>3648</v>
      </c>
      <c r="B2818" s="3" t="str">
        <f t="shared" si="1"/>
        <v>3, 16, 0, &lt;null&gt;,</v>
      </c>
      <c r="C2818" s="1" t="str">
        <f t="array" ref="C2818">IF(B2817="NEW ROUTE",TEXTSPLIT(B2818,","),"")</f>
        <v>#NAME?</v>
      </c>
      <c r="H2818" s="1" t="str">
        <f t="shared" ref="H2818:I2818" si="2820">IF(C2818&lt;&gt;"",DEC2HEX(C2818,2),"")</f>
        <v>#NAME?</v>
      </c>
      <c r="I2818" s="1" t="str">
        <f t="shared" si="2820"/>
        <v/>
      </c>
      <c r="J2818" s="1" t="str">
        <f t="shared" si="3"/>
        <v>#NAME?</v>
      </c>
      <c r="L2818" s="1" t="s">
        <v>3648</v>
      </c>
      <c r="M2818" s="1" t="str">
        <f t="shared" si="4"/>
        <v>#NAME?</v>
      </c>
    </row>
    <row r="2819" ht="12.75" customHeight="1">
      <c r="A2819" s="3" t="s">
        <v>3649</v>
      </c>
      <c r="B2819" s="3" t="str">
        <f t="shared" si="1"/>
        <v>1, 5, 35, TENTACOOL</v>
      </c>
      <c r="C2819" s="1" t="str">
        <f t="array" ref="C2819">IF(B2818="NEW ROUTE",TEXTSPLIT(B2819,","),"")</f>
        <v/>
      </c>
      <c r="H2819" s="1" t="str">
        <f t="shared" ref="H2819:I2819" si="2821">IF(C2819&lt;&gt;"",DEC2HEX(C2819,2),"")</f>
        <v/>
      </c>
      <c r="I2819" s="1" t="str">
        <f t="shared" si="2821"/>
        <v/>
      </c>
      <c r="J2819" s="1" t="str">
        <f t="shared" si="3"/>
        <v/>
      </c>
      <c r="L2819" s="1" t="s">
        <v>3649</v>
      </c>
      <c r="M2819" s="1" t="str">
        <f t="shared" si="4"/>
        <v>1, 5, 35, TENTACOOL</v>
      </c>
    </row>
    <row r="2820" ht="12.75" customHeight="1">
      <c r="A2820" s="3" t="s">
        <v>3258</v>
      </c>
      <c r="B2820" s="3" t="str">
        <f t="shared" si="1"/>
        <v>5, 15, HOPPIP</v>
      </c>
      <c r="C2820" s="1" t="str">
        <f t="array" ref="C2820">IF(B2819="NEW ROUTE",TEXTSPLIT(B2820,","),"")</f>
        <v/>
      </c>
      <c r="H2820" s="1" t="str">
        <f t="shared" ref="H2820:I2820" si="2822">IF(C2820&lt;&gt;"",DEC2HEX(C2820,2),"")</f>
        <v/>
      </c>
      <c r="I2820" s="1" t="str">
        <f t="shared" si="2822"/>
        <v/>
      </c>
      <c r="J2820" s="1" t="str">
        <f t="shared" si="3"/>
        <v/>
      </c>
      <c r="L2820" s="1" t="s">
        <v>3258</v>
      </c>
      <c r="M2820" s="1" t="str">
        <f t="shared" si="4"/>
        <v>5, 15, HOPPIP</v>
      </c>
    </row>
    <row r="2821" ht="12.75" customHeight="1">
      <c r="A2821" s="3" t="s">
        <v>2845</v>
      </c>
      <c r="B2821" s="3" t="str">
        <f t="shared" si="1"/>
        <v>35, 40, TENTACOOL</v>
      </c>
      <c r="C2821" s="1" t="str">
        <f t="array" ref="C2821">IF(B2820="NEW ROUTE",TEXTSPLIT(B2821,","),"")</f>
        <v/>
      </c>
      <c r="H2821" s="1" t="str">
        <f t="shared" ref="H2821:I2821" si="2823">IF(C2821&lt;&gt;"",DEC2HEX(C2821,2),"")</f>
        <v/>
      </c>
      <c r="I2821" s="1" t="str">
        <f t="shared" si="2823"/>
        <v/>
      </c>
      <c r="J2821" s="1" t="str">
        <f t="shared" si="3"/>
        <v/>
      </c>
      <c r="L2821" s="1" t="s">
        <v>2845</v>
      </c>
      <c r="M2821" s="1" t="str">
        <f t="shared" si="4"/>
        <v>35, 40, TENTACOOL</v>
      </c>
    </row>
    <row r="2822" ht="12.75" customHeight="1">
      <c r="A2822" s="3" t="s">
        <v>3232</v>
      </c>
      <c r="B2822" s="3" t="str">
        <f t="shared" si="1"/>
        <v>35, 40, TENTACRUEL</v>
      </c>
      <c r="C2822" s="1" t="str">
        <f t="array" ref="C2822">IF(B2821="NEW ROUTE",TEXTSPLIT(B2822,","),"")</f>
        <v/>
      </c>
      <c r="H2822" s="1" t="str">
        <f t="shared" ref="H2822:I2822" si="2824">IF(C2822&lt;&gt;"",DEC2HEX(C2822,2),"")</f>
        <v/>
      </c>
      <c r="I2822" s="1" t="str">
        <f t="shared" si="2824"/>
        <v/>
      </c>
      <c r="J2822" s="1" t="str">
        <f t="shared" si="3"/>
        <v/>
      </c>
      <c r="L2822" s="1" t="s">
        <v>3232</v>
      </c>
      <c r="M2822" s="1" t="str">
        <f t="shared" si="4"/>
        <v>35, 40, TENTACRUEL</v>
      </c>
    </row>
    <row r="2823" ht="12.75" customHeight="1">
      <c r="A2823" s="3" t="s">
        <v>3232</v>
      </c>
      <c r="B2823" s="3" t="str">
        <f t="shared" si="1"/>
        <v>35, 40, TENTACRUEL</v>
      </c>
      <c r="C2823" s="1" t="str">
        <f t="array" ref="C2823">IF(B2822="NEW ROUTE",TEXTSPLIT(B2823,","),"")</f>
        <v/>
      </c>
      <c r="H2823" s="1" t="str">
        <f t="shared" ref="H2823:I2823" si="2825">IF(C2823&lt;&gt;"",DEC2HEX(C2823,2),"")</f>
        <v/>
      </c>
      <c r="I2823" s="1" t="str">
        <f t="shared" si="2825"/>
        <v/>
      </c>
      <c r="J2823" s="1" t="str">
        <f t="shared" si="3"/>
        <v/>
      </c>
      <c r="L2823" s="1" t="s">
        <v>3232</v>
      </c>
      <c r="M2823" s="1" t="str">
        <f t="shared" si="4"/>
        <v>35, 40, TENTACRUEL</v>
      </c>
    </row>
    <row r="2824" ht="12.75" customHeight="1">
      <c r="A2824" s="3" t="s">
        <v>2846</v>
      </c>
      <c r="B2824" s="3" t="str">
        <f t="shared" si="1"/>
        <v>10, old rod:</v>
      </c>
      <c r="C2824" s="1" t="str">
        <f t="array" ref="C2824">IF(B2823="NEW ROUTE",TEXTSPLIT(B2824,","),"")</f>
        <v/>
      </c>
      <c r="H2824" s="1" t="str">
        <f t="shared" ref="H2824:I2824" si="2826">IF(C2824&lt;&gt;"",DEC2HEX(C2824,2),"")</f>
        <v/>
      </c>
      <c r="I2824" s="1" t="str">
        <f t="shared" si="2826"/>
        <v/>
      </c>
      <c r="J2824" s="1" t="str">
        <f t="shared" si="3"/>
        <v/>
      </c>
      <c r="L2824" s="1" t="s">
        <v>2846</v>
      </c>
      <c r="M2824" s="1" t="str">
        <f t="shared" si="4"/>
        <v>10, old rod:</v>
      </c>
    </row>
    <row r="2825" ht="12.75" customHeight="1">
      <c r="A2825" s="3" t="s">
        <v>417</v>
      </c>
      <c r="B2825" s="3" t="str">
        <f t="shared" si="1"/>
        <v>5, 5, MAGIKARP</v>
      </c>
      <c r="C2825" s="1" t="str">
        <f t="array" ref="C2825">IF(B2824="NEW ROUTE",TEXTSPLIT(B2825,","),"")</f>
        <v/>
      </c>
      <c r="H2825" s="1" t="str">
        <f t="shared" ref="H2825:I2825" si="2827">IF(C2825&lt;&gt;"",DEC2HEX(C2825,2),"")</f>
        <v/>
      </c>
      <c r="I2825" s="1" t="str">
        <f t="shared" si="2827"/>
        <v/>
      </c>
      <c r="J2825" s="1" t="str">
        <f t="shared" si="3"/>
        <v/>
      </c>
      <c r="L2825" s="1" t="s">
        <v>417</v>
      </c>
      <c r="M2825" s="1" t="str">
        <f t="shared" si="4"/>
        <v>5, 5, MAGIKARP</v>
      </c>
    </row>
    <row r="2826" ht="12.75" customHeight="1">
      <c r="A2826" s="3" t="s">
        <v>417</v>
      </c>
      <c r="B2826" s="3" t="str">
        <f t="shared" si="1"/>
        <v>5, 5, MAGIKARP</v>
      </c>
      <c r="C2826" s="1" t="str">
        <f t="array" ref="C2826">IF(B2825="NEW ROUTE",TEXTSPLIT(B2826,","),"")</f>
        <v/>
      </c>
      <c r="H2826" s="1" t="str">
        <f t="shared" ref="H2826:I2826" si="2828">IF(C2826&lt;&gt;"",DEC2HEX(C2826,2),"")</f>
        <v/>
      </c>
      <c r="I2826" s="1" t="str">
        <f t="shared" si="2828"/>
        <v/>
      </c>
      <c r="J2826" s="1" t="str">
        <f t="shared" si="3"/>
        <v/>
      </c>
      <c r="L2826" s="1" t="s">
        <v>417</v>
      </c>
      <c r="M2826" s="1" t="str">
        <f t="shared" si="4"/>
        <v>5, 5, MAGIKARP</v>
      </c>
    </row>
    <row r="2827" ht="12.75" customHeight="1">
      <c r="A2827" s="3" t="s">
        <v>2847</v>
      </c>
      <c r="B2827" s="3" t="str">
        <f t="shared" si="1"/>
        <v>good rod:</v>
      </c>
      <c r="C2827" s="1" t="str">
        <f t="array" ref="C2827">IF(B2826="NEW ROUTE",TEXTSPLIT(B2827,","),"")</f>
        <v/>
      </c>
      <c r="H2827" s="1" t="str">
        <f t="shared" ref="H2827:I2827" si="2829">IF(C2827&lt;&gt;"",DEC2HEX(C2827,2),"")</f>
        <v/>
      </c>
      <c r="I2827" s="1" t="str">
        <f t="shared" si="2829"/>
        <v/>
      </c>
      <c r="J2827" s="1" t="str">
        <f t="shared" si="3"/>
        <v/>
      </c>
      <c r="L2827" s="1" t="s">
        <v>2847</v>
      </c>
      <c r="M2827" s="1" t="str">
        <f t="shared" si="4"/>
        <v>good rod:</v>
      </c>
    </row>
    <row r="2828" ht="12.75" customHeight="1">
      <c r="A2828" s="3" t="s">
        <v>2848</v>
      </c>
      <c r="B2828" s="3" t="str">
        <f t="shared" si="1"/>
        <v>5, 15, KRABBY</v>
      </c>
      <c r="C2828" s="1" t="str">
        <f t="array" ref="C2828">IF(B2827="NEW ROUTE",TEXTSPLIT(B2828,","),"")</f>
        <v/>
      </c>
      <c r="H2828" s="1" t="str">
        <f t="shared" ref="H2828:I2828" si="2830">IF(C2828&lt;&gt;"",DEC2HEX(C2828,2),"")</f>
        <v/>
      </c>
      <c r="I2828" s="1" t="str">
        <f t="shared" si="2830"/>
        <v/>
      </c>
      <c r="J2828" s="1" t="str">
        <f t="shared" si="3"/>
        <v/>
      </c>
      <c r="L2828" s="1" t="s">
        <v>2848</v>
      </c>
      <c r="M2828" s="1" t="str">
        <f t="shared" si="4"/>
        <v>5, 15, KRABBY</v>
      </c>
    </row>
    <row r="2829" ht="12.75" customHeight="1">
      <c r="A2829" s="3" t="s">
        <v>2849</v>
      </c>
      <c r="B2829" s="3" t="str">
        <f t="shared" si="1"/>
        <v>5, 15, MAGIKARP</v>
      </c>
      <c r="C2829" s="1" t="str">
        <f t="array" ref="C2829">IF(B2828="NEW ROUTE",TEXTSPLIT(B2829,","),"")</f>
        <v/>
      </c>
      <c r="H2829" s="1" t="str">
        <f t="shared" ref="H2829:I2829" si="2831">IF(C2829&lt;&gt;"",DEC2HEX(C2829,2),"")</f>
        <v/>
      </c>
      <c r="I2829" s="1" t="str">
        <f t="shared" si="2831"/>
        <v/>
      </c>
      <c r="J2829" s="1" t="str">
        <f t="shared" si="3"/>
        <v/>
      </c>
      <c r="L2829" s="1" t="s">
        <v>2849</v>
      </c>
      <c r="M2829" s="1" t="str">
        <f t="shared" si="4"/>
        <v>5, 15, MAGIKARP</v>
      </c>
    </row>
    <row r="2830" ht="12.75" customHeight="1">
      <c r="A2830" s="3" t="s">
        <v>2848</v>
      </c>
      <c r="B2830" s="3" t="str">
        <f t="shared" si="1"/>
        <v>5, 15, KRABBY</v>
      </c>
      <c r="C2830" s="1" t="str">
        <f t="array" ref="C2830">IF(B2829="NEW ROUTE",TEXTSPLIT(B2830,","),"")</f>
        <v/>
      </c>
      <c r="H2830" s="1" t="str">
        <f t="shared" ref="H2830:I2830" si="2832">IF(C2830&lt;&gt;"",DEC2HEX(C2830,2),"")</f>
        <v/>
      </c>
      <c r="I2830" s="1" t="str">
        <f t="shared" si="2832"/>
        <v/>
      </c>
      <c r="J2830" s="1" t="str">
        <f t="shared" si="3"/>
        <v/>
      </c>
      <c r="L2830" s="1" t="s">
        <v>2848</v>
      </c>
      <c r="M2830" s="1" t="str">
        <f t="shared" si="4"/>
        <v>5, 15, KRABBY</v>
      </c>
    </row>
    <row r="2831" ht="12.75" customHeight="1">
      <c r="A2831" s="3" t="s">
        <v>2851</v>
      </c>
      <c r="B2831" s="3" t="str">
        <f t="shared" si="1"/>
        <v>super rod:</v>
      </c>
      <c r="C2831" s="1" t="str">
        <f t="array" ref="C2831">IF(B2830="NEW ROUTE",TEXTSPLIT(B2831,","),"")</f>
        <v/>
      </c>
      <c r="H2831" s="1" t="str">
        <f t="shared" ref="H2831:I2831" si="2833">IF(C2831&lt;&gt;"",DEC2HEX(C2831,2),"")</f>
        <v/>
      </c>
      <c r="I2831" s="1" t="str">
        <f t="shared" si="2833"/>
        <v/>
      </c>
      <c r="J2831" s="1" t="str">
        <f t="shared" si="3"/>
        <v/>
      </c>
      <c r="L2831" s="1" t="s">
        <v>2851</v>
      </c>
      <c r="M2831" s="1" t="str">
        <f t="shared" si="4"/>
        <v>super rod:</v>
      </c>
    </row>
    <row r="2832" ht="12.75" customHeight="1">
      <c r="A2832" s="3" t="s">
        <v>2852</v>
      </c>
      <c r="B2832" s="3" t="str">
        <f t="shared" si="1"/>
        <v>15, 25, KRABBY</v>
      </c>
      <c r="C2832" s="1" t="str">
        <f t="array" ref="C2832">IF(B2831="NEW ROUTE",TEXTSPLIT(B2832,","),"")</f>
        <v/>
      </c>
      <c r="H2832" s="1" t="str">
        <f t="shared" ref="H2832:I2832" si="2834">IF(C2832&lt;&gt;"",DEC2HEX(C2832,2),"")</f>
        <v/>
      </c>
      <c r="I2832" s="1" t="str">
        <f t="shared" si="2834"/>
        <v/>
      </c>
      <c r="J2832" s="1" t="str">
        <f t="shared" si="3"/>
        <v/>
      </c>
      <c r="L2832" s="1" t="s">
        <v>2852</v>
      </c>
      <c r="M2832" s="1" t="str">
        <f t="shared" si="4"/>
        <v>15, 25, KRABBY</v>
      </c>
    </row>
    <row r="2833" ht="12.75" customHeight="1">
      <c r="A2833" s="3" t="s">
        <v>2853</v>
      </c>
      <c r="B2833" s="3" t="str">
        <f t="shared" si="1"/>
        <v>15, 25, STARYU</v>
      </c>
      <c r="C2833" s="1" t="str">
        <f t="array" ref="C2833">IF(B2832="NEW ROUTE",TEXTSPLIT(B2833,","),"")</f>
        <v/>
      </c>
      <c r="H2833" s="1" t="str">
        <f t="shared" ref="H2833:I2833" si="2835">IF(C2833&lt;&gt;"",DEC2HEX(C2833,2),"")</f>
        <v/>
      </c>
      <c r="I2833" s="1" t="str">
        <f t="shared" si="2835"/>
        <v/>
      </c>
      <c r="J2833" s="1" t="str">
        <f t="shared" si="3"/>
        <v/>
      </c>
      <c r="L2833" s="1" t="s">
        <v>2853</v>
      </c>
      <c r="M2833" s="1" t="str">
        <f t="shared" si="4"/>
        <v>15, 25, STARYU</v>
      </c>
    </row>
    <row r="2834" ht="12.75" customHeight="1">
      <c r="A2834" s="3" t="s">
        <v>2854</v>
      </c>
      <c r="B2834" s="3" t="str">
        <f t="shared" si="1"/>
        <v>15, 25, GYARADOS</v>
      </c>
      <c r="C2834" s="1" t="str">
        <f t="array" ref="C2834">IF(B2833="NEW ROUTE",TEXTSPLIT(B2834,","),"")</f>
        <v/>
      </c>
      <c r="H2834" s="1" t="str">
        <f t="shared" ref="H2834:I2834" si="2836">IF(C2834&lt;&gt;"",DEC2HEX(C2834,2),"")</f>
        <v/>
      </c>
      <c r="I2834" s="1" t="str">
        <f t="shared" si="2836"/>
        <v/>
      </c>
      <c r="J2834" s="1" t="str">
        <f t="shared" si="3"/>
        <v/>
      </c>
      <c r="L2834" s="1" t="s">
        <v>2854</v>
      </c>
      <c r="M2834" s="1" t="str">
        <f t="shared" si="4"/>
        <v>15, 25, GYARADOS</v>
      </c>
    </row>
    <row r="2835" ht="12.75" customHeight="1">
      <c r="A2835" s="3" t="s">
        <v>3178</v>
      </c>
      <c r="B2835" s="3" t="str">
        <f t="shared" si="1"/>
        <v>25, 35, KINGLER</v>
      </c>
      <c r="C2835" s="1" t="str">
        <f t="array" ref="C2835">IF(B2834="NEW ROUTE",TEXTSPLIT(B2835,","),"")</f>
        <v/>
      </c>
      <c r="H2835" s="1" t="str">
        <f t="shared" ref="H2835:I2835" si="2837">IF(C2835&lt;&gt;"",DEC2HEX(C2835,2),"")</f>
        <v/>
      </c>
      <c r="I2835" s="1" t="str">
        <f t="shared" si="2837"/>
        <v/>
      </c>
      <c r="J2835" s="1" t="str">
        <f t="shared" si="3"/>
        <v/>
      </c>
      <c r="L2835" s="1" t="s">
        <v>3178</v>
      </c>
      <c r="M2835" s="1" t="str">
        <f t="shared" si="4"/>
        <v>25, 35, KINGLER</v>
      </c>
    </row>
    <row r="2836" ht="12.75" customHeight="1">
      <c r="A2836" s="3" t="s">
        <v>2856</v>
      </c>
      <c r="B2836" s="3" t="str">
        <f t="shared" si="1"/>
        <v>25, 35, SLOWPOKE</v>
      </c>
      <c r="C2836" s="1" t="str">
        <f t="array" ref="C2836">IF(B2835="NEW ROUTE",TEXTSPLIT(B2836,","),"")</f>
        <v/>
      </c>
      <c r="H2836" s="1" t="str">
        <f t="shared" ref="H2836:I2836" si="2838">IF(C2836&lt;&gt;"",DEC2HEX(C2836,2),"")</f>
        <v/>
      </c>
      <c r="I2836" s="1" t="str">
        <f t="shared" si="2838"/>
        <v/>
      </c>
      <c r="J2836" s="1" t="str">
        <f t="shared" si="3"/>
        <v/>
      </c>
      <c r="L2836" s="1" t="s">
        <v>2856</v>
      </c>
      <c r="M2836" s="1" t="str">
        <f t="shared" si="4"/>
        <v>25, 35, SLOWPOKE</v>
      </c>
    </row>
    <row r="2837" ht="12.75" customHeight="1">
      <c r="A2837" s="3" t="s">
        <v>2539</v>
      </c>
      <c r="B2837" s="3" t="str">
        <f t="shared" si="1"/>
        <v>NEW ROUTE</v>
      </c>
      <c r="C2837" s="1" t="str">
        <f t="array" ref="C2837">IF(B2836="NEW ROUTE",TEXTSPLIT(B2837,","),"")</f>
        <v/>
      </c>
      <c r="H2837" s="1" t="str">
        <f t="shared" ref="H2837:I2837" si="2839">IF(C2837&lt;&gt;"",DEC2HEX(C2837,2),"")</f>
        <v/>
      </c>
      <c r="I2837" s="1" t="str">
        <f t="shared" si="2839"/>
        <v/>
      </c>
      <c r="J2837" s="1" t="str">
        <f t="shared" si="3"/>
        <v/>
      </c>
      <c r="L2837" s="1" t="s">
        <v>2539</v>
      </c>
      <c r="M2837" s="1" t="str">
        <f t="shared" si="4"/>
        <v>NEW ROUTE</v>
      </c>
    </row>
    <row r="2838" ht="12.75" customHeight="1">
      <c r="A2838" s="3" t="s">
        <v>3650</v>
      </c>
      <c r="B2838" s="3" t="str">
        <f t="shared" si="1"/>
        <v>1, 122, 0,</v>
      </c>
      <c r="C2838" s="1" t="str">
        <f t="array" ref="C2838">IF(B2837="NEW ROUTE",TEXTSPLIT(B2838,","),"")</f>
        <v>#NAME?</v>
      </c>
      <c r="H2838" s="1" t="str">
        <f t="shared" ref="H2838:I2838" si="2840">IF(C2838&lt;&gt;"",DEC2HEX(C2838,2),"")</f>
        <v>#NAME?</v>
      </c>
      <c r="I2838" s="1" t="str">
        <f t="shared" si="2840"/>
        <v/>
      </c>
      <c r="J2838" s="1" t="str">
        <f t="shared" si="3"/>
        <v>#NAME?</v>
      </c>
      <c r="L2838" s="1" t="s">
        <v>3650</v>
      </c>
      <c r="M2838" s="1" t="str">
        <f t="shared" si="4"/>
        <v>#NAME?</v>
      </c>
    </row>
    <row r="2839" ht="12.75" customHeight="1">
      <c r="A2839" s="3" t="s">
        <v>2817</v>
      </c>
      <c r="B2839" s="3" t="str">
        <f t="shared" si="1"/>
        <v>20%</v>
      </c>
      <c r="C2839" s="1" t="str">
        <f t="array" ref="C2839">IF(B2838="NEW ROUTE",TEXTSPLIT(B2839,","),"")</f>
        <v/>
      </c>
      <c r="H2839" s="1" t="str">
        <f t="shared" ref="H2839:I2839" si="2841">IF(C2839&lt;&gt;"",DEC2HEX(C2839,2),"")</f>
        <v/>
      </c>
      <c r="I2839" s="1" t="str">
        <f t="shared" si="2841"/>
        <v/>
      </c>
      <c r="J2839" s="1" t="str">
        <f t="shared" si="3"/>
        <v/>
      </c>
      <c r="L2839" s="1" t="s">
        <v>2799</v>
      </c>
      <c r="M2839" s="1" t="str">
        <f t="shared" si="4"/>
        <v>20%</v>
      </c>
    </row>
    <row r="2840" ht="12.75" customHeight="1">
      <c r="A2840" s="3" t="s">
        <v>1289</v>
      </c>
      <c r="B2840" s="3" t="str">
        <f t="shared" si="1"/>
        <v>10, 10, ZUBAT</v>
      </c>
      <c r="C2840" s="1" t="str">
        <f t="array" ref="C2840">IF(B2839="NEW ROUTE",TEXTSPLIT(B2840,","),"")</f>
        <v/>
      </c>
      <c r="H2840" s="1" t="str">
        <f t="shared" ref="H2840:I2840" si="2842">IF(C2840&lt;&gt;"",DEC2HEX(C2840,2),"")</f>
        <v/>
      </c>
      <c r="I2840" s="1" t="str">
        <f t="shared" si="2842"/>
        <v/>
      </c>
      <c r="J2840" s="1" t="str">
        <f t="shared" si="3"/>
        <v/>
      </c>
      <c r="L2840" s="1" t="s">
        <v>1289</v>
      </c>
      <c r="M2840" s="1" t="str">
        <f t="shared" si="4"/>
        <v>10, 10, ZUBAT</v>
      </c>
    </row>
    <row r="2841" ht="12.75" customHeight="1">
      <c r="A2841" s="3" t="s">
        <v>3651</v>
      </c>
      <c r="B2841" s="3" t="str">
        <f t="shared" si="1"/>
        <v>12, 12, ZUBAT</v>
      </c>
      <c r="C2841" s="1" t="str">
        <f t="array" ref="C2841">IF(B2840="NEW ROUTE",TEXTSPLIT(B2841,","),"")</f>
        <v/>
      </c>
      <c r="H2841" s="1" t="str">
        <f t="shared" ref="H2841:I2841" si="2843">IF(C2841&lt;&gt;"",DEC2HEX(C2841,2),"")</f>
        <v/>
      </c>
      <c r="I2841" s="1" t="str">
        <f t="shared" si="2843"/>
        <v/>
      </c>
      <c r="J2841" s="1" t="str">
        <f t="shared" si="3"/>
        <v/>
      </c>
      <c r="L2841" s="1" t="s">
        <v>3651</v>
      </c>
      <c r="M2841" s="1" t="str">
        <f t="shared" si="4"/>
        <v>12, 12, ZUBAT</v>
      </c>
    </row>
    <row r="2842" ht="12.75" customHeight="1">
      <c r="A2842" s="3" t="s">
        <v>2802</v>
      </c>
      <c r="B2842" s="3" t="str">
        <f t="shared" si="1"/>
        <v>0.1</v>
      </c>
      <c r="C2842" s="1" t="str">
        <f t="array" ref="C2842">IF(B2841="NEW ROUTE",TEXTSPLIT(B2842,","),"")</f>
        <v/>
      </c>
      <c r="H2842" s="1" t="str">
        <f t="shared" ref="H2842:I2842" si="2844">IF(C2842&lt;&gt;"",DEC2HEX(C2842,2),"")</f>
        <v/>
      </c>
      <c r="I2842" s="1" t="str">
        <f t="shared" si="2844"/>
        <v/>
      </c>
      <c r="J2842" s="1" t="str">
        <f t="shared" si="3"/>
        <v/>
      </c>
      <c r="L2842" s="1" t="s">
        <v>2802</v>
      </c>
      <c r="M2842" s="1" t="str">
        <f t="shared" si="4"/>
        <v>0.1</v>
      </c>
    </row>
    <row r="2843" ht="12.75" customHeight="1">
      <c r="A2843" s="3" t="s">
        <v>3652</v>
      </c>
      <c r="B2843" s="3" t="str">
        <f t="shared" si="1"/>
        <v>8, 8, ZUBAT</v>
      </c>
      <c r="C2843" s="1" t="str">
        <f t="array" ref="C2843">IF(B2842="NEW ROUTE",TEXTSPLIT(B2843,","),"")</f>
        <v/>
      </c>
      <c r="H2843" s="1" t="str">
        <f t="shared" ref="H2843:I2843" si="2845">IF(C2843&lt;&gt;"",DEC2HEX(C2843,2),"")</f>
        <v/>
      </c>
      <c r="I2843" s="1" t="str">
        <f t="shared" si="2845"/>
        <v/>
      </c>
      <c r="J2843" s="1" t="str">
        <f t="shared" si="3"/>
        <v/>
      </c>
      <c r="L2843" s="1" t="s">
        <v>3652</v>
      </c>
      <c r="M2843" s="1" t="str">
        <f t="shared" si="4"/>
        <v>8, 8, ZUBAT</v>
      </c>
    </row>
    <row r="2844" ht="12.75" customHeight="1">
      <c r="A2844" s="3" t="s">
        <v>3653</v>
      </c>
      <c r="B2844" s="3" t="str">
        <f t="shared" si="1"/>
        <v>14, 14, ZUBAT</v>
      </c>
      <c r="C2844" s="1" t="str">
        <f t="array" ref="C2844">IF(B2843="NEW ROUTE",TEXTSPLIT(B2844,","),"")</f>
        <v/>
      </c>
      <c r="H2844" s="1" t="str">
        <f t="shared" ref="H2844:I2844" si="2846">IF(C2844&lt;&gt;"",DEC2HEX(C2844,2),"")</f>
        <v/>
      </c>
      <c r="I2844" s="1" t="str">
        <f t="shared" si="2846"/>
        <v/>
      </c>
      <c r="J2844" s="1" t="str">
        <f t="shared" si="3"/>
        <v/>
      </c>
      <c r="L2844" s="1" t="s">
        <v>3653</v>
      </c>
      <c r="M2844" s="1" t="str">
        <f t="shared" si="4"/>
        <v>14, 14, ZUBAT</v>
      </c>
    </row>
    <row r="2845" ht="12.75" customHeight="1">
      <c r="A2845" s="3" t="s">
        <v>1289</v>
      </c>
      <c r="B2845" s="3" t="str">
        <f t="shared" si="1"/>
        <v>10, 10, ZUBAT</v>
      </c>
      <c r="C2845" s="1" t="str">
        <f t="array" ref="C2845">IF(B2844="NEW ROUTE",TEXTSPLIT(B2845,","),"")</f>
        <v/>
      </c>
      <c r="H2845" s="1" t="str">
        <f t="shared" ref="H2845:I2845" si="2847">IF(C2845&lt;&gt;"",DEC2HEX(C2845,2),"")</f>
        <v/>
      </c>
      <c r="I2845" s="1" t="str">
        <f t="shared" si="2847"/>
        <v/>
      </c>
      <c r="J2845" s="1" t="str">
        <f t="shared" si="3"/>
        <v/>
      </c>
      <c r="L2845" s="1" t="s">
        <v>1289</v>
      </c>
      <c r="M2845" s="1" t="str">
        <f t="shared" si="4"/>
        <v>10, 10, ZUBAT</v>
      </c>
    </row>
    <row r="2846" ht="12.75" customHeight="1">
      <c r="A2846" s="3" t="s">
        <v>3651</v>
      </c>
      <c r="B2846" s="3" t="str">
        <f t="shared" si="1"/>
        <v>12, 12, ZUBAT</v>
      </c>
      <c r="C2846" s="1" t="str">
        <f t="array" ref="C2846">IF(B2845="NEW ROUTE",TEXTSPLIT(B2846,","),"")</f>
        <v/>
      </c>
      <c r="H2846" s="1" t="str">
        <f t="shared" ref="H2846:I2846" si="2848">IF(C2846&lt;&gt;"",DEC2HEX(C2846,2),"")</f>
        <v/>
      </c>
      <c r="I2846" s="1" t="str">
        <f t="shared" si="2848"/>
        <v/>
      </c>
      <c r="J2846" s="1" t="str">
        <f t="shared" si="3"/>
        <v/>
      </c>
      <c r="L2846" s="1" t="s">
        <v>3651</v>
      </c>
      <c r="M2846" s="1" t="str">
        <f t="shared" si="4"/>
        <v>12, 12, ZUBAT</v>
      </c>
    </row>
    <row r="2847" ht="12.75" customHeight="1">
      <c r="A2847" s="3" t="s">
        <v>2807</v>
      </c>
      <c r="B2847" s="3" t="str">
        <f t="shared" si="1"/>
        <v>0.05</v>
      </c>
      <c r="C2847" s="1" t="str">
        <f t="array" ref="C2847">IF(B2846="NEW ROUTE",TEXTSPLIT(B2847,","),"")</f>
        <v/>
      </c>
      <c r="H2847" s="1" t="str">
        <f t="shared" ref="H2847:I2847" si="2849">IF(C2847&lt;&gt;"",DEC2HEX(C2847,2),"")</f>
        <v/>
      </c>
      <c r="I2847" s="1" t="str">
        <f t="shared" si="2849"/>
        <v/>
      </c>
      <c r="J2847" s="1" t="str">
        <f t="shared" si="3"/>
        <v/>
      </c>
      <c r="L2847" s="1" t="s">
        <v>2807</v>
      </c>
      <c r="M2847" s="1" t="str">
        <f t="shared" si="4"/>
        <v>0.05</v>
      </c>
    </row>
    <row r="2848" ht="12.75" customHeight="1">
      <c r="A2848" s="3" t="s">
        <v>3654</v>
      </c>
      <c r="B2848" s="3" t="str">
        <f t="shared" si="1"/>
        <v>16, 16, ZUBAT</v>
      </c>
      <c r="C2848" s="1" t="str">
        <f t="array" ref="C2848">IF(B2847="NEW ROUTE",TEXTSPLIT(B2848,","),"")</f>
        <v/>
      </c>
      <c r="H2848" s="1" t="str">
        <f t="shared" ref="H2848:I2848" si="2850">IF(C2848&lt;&gt;"",DEC2HEX(C2848,2),"")</f>
        <v/>
      </c>
      <c r="I2848" s="1" t="str">
        <f t="shared" si="2850"/>
        <v/>
      </c>
      <c r="J2848" s="1" t="str">
        <f t="shared" si="3"/>
        <v/>
      </c>
      <c r="L2848" s="1" t="s">
        <v>3654</v>
      </c>
      <c r="M2848" s="1" t="str">
        <f t="shared" si="4"/>
        <v>16, 16, ZUBAT</v>
      </c>
    </row>
    <row r="2849" ht="12.75" customHeight="1">
      <c r="A2849" s="3" t="s">
        <v>3655</v>
      </c>
      <c r="B2849" s="3" t="str">
        <f t="shared" si="1"/>
        <v>6, 6, ZUBAT</v>
      </c>
      <c r="C2849" s="1" t="str">
        <f t="array" ref="C2849">IF(B2848="NEW ROUTE",TEXTSPLIT(B2849,","),"")</f>
        <v/>
      </c>
      <c r="H2849" s="1" t="str">
        <f t="shared" ref="H2849:I2849" si="2851">IF(C2849&lt;&gt;"",DEC2HEX(C2849,2),"")</f>
        <v/>
      </c>
      <c r="I2849" s="1" t="str">
        <f t="shared" si="2851"/>
        <v/>
      </c>
      <c r="J2849" s="1" t="str">
        <f t="shared" si="3"/>
        <v/>
      </c>
      <c r="L2849" s="1" t="s">
        <v>3655</v>
      </c>
      <c r="M2849" s="1" t="str">
        <f t="shared" si="4"/>
        <v>6, 6, ZUBAT</v>
      </c>
    </row>
    <row r="2850" ht="12.75" customHeight="1">
      <c r="A2850" s="3" t="s">
        <v>2810</v>
      </c>
      <c r="B2850" s="3" t="str">
        <f t="shared" si="1"/>
        <v>0.04</v>
      </c>
      <c r="C2850" s="1" t="str">
        <f t="array" ref="C2850">IF(B2849="NEW ROUTE",TEXTSPLIT(B2850,","),"")</f>
        <v/>
      </c>
      <c r="H2850" s="1" t="str">
        <f t="shared" ref="H2850:I2850" si="2852">IF(C2850&lt;&gt;"",DEC2HEX(C2850,2),"")</f>
        <v/>
      </c>
      <c r="I2850" s="1" t="str">
        <f t="shared" si="2852"/>
        <v/>
      </c>
      <c r="J2850" s="1" t="str">
        <f t="shared" si="3"/>
        <v/>
      </c>
      <c r="L2850" s="1" t="s">
        <v>2810</v>
      </c>
      <c r="M2850" s="1" t="str">
        <f t="shared" si="4"/>
        <v>0.04</v>
      </c>
    </row>
    <row r="2851" ht="12.75" customHeight="1">
      <c r="A2851" s="3" t="s">
        <v>3652</v>
      </c>
      <c r="B2851" s="3" t="str">
        <f t="shared" si="1"/>
        <v>8, 8, ZUBAT</v>
      </c>
      <c r="C2851" s="1" t="str">
        <f t="array" ref="C2851">IF(B2850="NEW ROUTE",TEXTSPLIT(B2851,","),"")</f>
        <v/>
      </c>
      <c r="H2851" s="1" t="str">
        <f t="shared" ref="H2851:I2851" si="2853">IF(C2851&lt;&gt;"",DEC2HEX(C2851,2),"")</f>
        <v/>
      </c>
      <c r="I2851" s="1" t="str">
        <f t="shared" si="2853"/>
        <v/>
      </c>
      <c r="J2851" s="1" t="str">
        <f t="shared" si="3"/>
        <v/>
      </c>
      <c r="L2851" s="1" t="s">
        <v>3652</v>
      </c>
      <c r="M2851" s="1" t="str">
        <f t="shared" si="4"/>
        <v>8, 8, ZUBAT</v>
      </c>
    </row>
    <row r="2852" ht="12.75" customHeight="1">
      <c r="A2852" s="3" t="s">
        <v>3653</v>
      </c>
      <c r="B2852" s="3" t="str">
        <f t="shared" si="1"/>
        <v>14, 14, ZUBAT</v>
      </c>
      <c r="C2852" s="1" t="str">
        <f t="array" ref="C2852">IF(B2851="NEW ROUTE",TEXTSPLIT(B2852,","),"")</f>
        <v/>
      </c>
      <c r="H2852" s="1" t="str">
        <f t="shared" ref="H2852:I2852" si="2854">IF(C2852&lt;&gt;"",DEC2HEX(C2852,2),"")</f>
        <v/>
      </c>
      <c r="I2852" s="1" t="str">
        <f t="shared" si="2854"/>
        <v/>
      </c>
      <c r="J2852" s="1" t="str">
        <f t="shared" si="3"/>
        <v/>
      </c>
      <c r="L2852" s="1" t="s">
        <v>3653</v>
      </c>
      <c r="M2852" s="1" t="str">
        <f t="shared" si="4"/>
        <v>14, 14, ZUBAT</v>
      </c>
    </row>
    <row r="2853" ht="12.75" customHeight="1">
      <c r="A2853" s="3" t="s">
        <v>2813</v>
      </c>
      <c r="B2853" s="3" t="str">
        <f t="shared" si="1"/>
        <v>0.01</v>
      </c>
      <c r="C2853" s="1" t="str">
        <f t="array" ref="C2853">IF(B2852="NEW ROUTE",TEXTSPLIT(B2853,","),"")</f>
        <v/>
      </c>
      <c r="H2853" s="1" t="str">
        <f t="shared" ref="H2853:I2853" si="2855">IF(C2853&lt;&gt;"",DEC2HEX(C2853,2),"")</f>
        <v/>
      </c>
      <c r="I2853" s="1" t="str">
        <f t="shared" si="2855"/>
        <v/>
      </c>
      <c r="J2853" s="1" t="str">
        <f t="shared" si="3"/>
        <v/>
      </c>
      <c r="L2853" s="1" t="s">
        <v>2813</v>
      </c>
      <c r="M2853" s="1" t="str">
        <f t="shared" si="4"/>
        <v>0.01</v>
      </c>
    </row>
    <row r="2854" ht="12.75" customHeight="1">
      <c r="A2854" s="3" t="s">
        <v>3652</v>
      </c>
      <c r="B2854" s="3" t="str">
        <f t="shared" si="1"/>
        <v>8, 8, ZUBAT</v>
      </c>
      <c r="C2854" s="1" t="str">
        <f t="array" ref="C2854">IF(B2853="NEW ROUTE",TEXTSPLIT(B2854,","),"")</f>
        <v/>
      </c>
      <c r="H2854" s="1" t="str">
        <f t="shared" ref="H2854:I2854" si="2856">IF(C2854&lt;&gt;"",DEC2HEX(C2854,2),"")</f>
        <v/>
      </c>
      <c r="I2854" s="1" t="str">
        <f t="shared" si="2856"/>
        <v/>
      </c>
      <c r="J2854" s="1" t="str">
        <f t="shared" si="3"/>
        <v/>
      </c>
      <c r="L2854" s="1" t="s">
        <v>3652</v>
      </c>
      <c r="M2854" s="1" t="str">
        <f t="shared" si="4"/>
        <v>8, 8, ZUBAT</v>
      </c>
    </row>
    <row r="2855" ht="12.75" customHeight="1">
      <c r="A2855" s="3" t="s">
        <v>3656</v>
      </c>
      <c r="B2855" s="3" t="str">
        <f t="shared" si="1"/>
        <v>14, 14, ZUBAT , &lt;null&gt;, &lt;null&gt;, &lt;null&gt;</v>
      </c>
      <c r="C2855" s="1" t="str">
        <f t="array" ref="C2855">IF(B2854="NEW ROUTE",TEXTSPLIT(B2855,","),"")</f>
        <v/>
      </c>
      <c r="H2855" s="1" t="str">
        <f t="shared" ref="H2855:I2855" si="2857">IF(C2855&lt;&gt;"",DEC2HEX(C2855,2),"")</f>
        <v/>
      </c>
      <c r="I2855" s="1" t="str">
        <f t="shared" si="2857"/>
        <v/>
      </c>
      <c r="J2855" s="1" t="str">
        <f t="shared" si="3"/>
        <v/>
      </c>
      <c r="L2855" s="1" t="s">
        <v>3656</v>
      </c>
      <c r="M2855" s="1" t="str">
        <f t="shared" si="4"/>
        <v>14, 14, ZUBAT , &lt;null&gt;, &lt;null&gt;, &lt;null&gt;</v>
      </c>
    </row>
    <row r="2856" ht="12.75" customHeight="1">
      <c r="A2856" s="3" t="s">
        <v>2539</v>
      </c>
      <c r="B2856" s="3" t="str">
        <f t="shared" si="1"/>
        <v>NEW ROUTE</v>
      </c>
      <c r="C2856" s="1" t="str">
        <f t="array" ref="C2856">IF(B2855="NEW ROUTE",TEXTSPLIT(B2856,","),"")</f>
        <v/>
      </c>
      <c r="H2856" s="1" t="str">
        <f t="shared" ref="H2856:I2856" si="2858">IF(C2856&lt;&gt;"",DEC2HEX(C2856,2),"")</f>
        <v/>
      </c>
      <c r="I2856" s="1" t="str">
        <f t="shared" si="2858"/>
        <v/>
      </c>
      <c r="J2856" s="1" t="str">
        <f t="shared" si="3"/>
        <v/>
      </c>
      <c r="L2856" s="1" t="s">
        <v>2539</v>
      </c>
      <c r="M2856" s="1" t="str">
        <f t="shared" si="4"/>
        <v>NEW ROUTE</v>
      </c>
    </row>
    <row r="2857" ht="12.75" customHeight="1">
      <c r="A2857" s="3" t="s">
        <v>3650</v>
      </c>
      <c r="B2857" s="3" t="str">
        <f t="shared" si="1"/>
        <v>1, 122, 0,</v>
      </c>
      <c r="C2857" s="1" t="str">
        <f t="array" ref="C2857">IF(B2856="NEW ROUTE",TEXTSPLIT(B2857,","),"")</f>
        <v>#NAME?</v>
      </c>
      <c r="H2857" s="1" t="str">
        <f t="shared" ref="H2857:I2857" si="2859">IF(C2857&lt;&gt;"",DEC2HEX(C2857,2),"")</f>
        <v>#NAME?</v>
      </c>
      <c r="I2857" s="1" t="str">
        <f t="shared" si="2859"/>
        <v/>
      </c>
      <c r="J2857" s="1" t="str">
        <f t="shared" si="3"/>
        <v>#NAME?</v>
      </c>
      <c r="L2857" s="1" t="s">
        <v>3650</v>
      </c>
      <c r="M2857" s="1" t="str">
        <f t="shared" si="4"/>
        <v>#NAME?</v>
      </c>
    </row>
    <row r="2858" ht="12.75" customHeight="1">
      <c r="A2858" s="3" t="s">
        <v>2817</v>
      </c>
      <c r="B2858" s="3" t="str">
        <f t="shared" si="1"/>
        <v>20%</v>
      </c>
      <c r="C2858" s="1" t="str">
        <f t="array" ref="C2858">IF(B2857="NEW ROUTE",TEXTSPLIT(B2858,","),"")</f>
        <v/>
      </c>
      <c r="H2858" s="1" t="str">
        <f t="shared" ref="H2858:I2858" si="2860">IF(C2858&lt;&gt;"",DEC2HEX(C2858,2),"")</f>
        <v/>
      </c>
      <c r="I2858" s="1" t="str">
        <f t="shared" si="2860"/>
        <v/>
      </c>
      <c r="J2858" s="1" t="str">
        <f t="shared" si="3"/>
        <v/>
      </c>
      <c r="L2858" s="1" t="s">
        <v>2799</v>
      </c>
      <c r="M2858" s="1" t="str">
        <f t="shared" si="4"/>
        <v>20%</v>
      </c>
    </row>
    <row r="2859" ht="12.75" customHeight="1">
      <c r="A2859" s="3" t="s">
        <v>1297</v>
      </c>
      <c r="B2859" s="3" t="str">
        <f t="shared" si="1"/>
        <v>7, 7, MAREEP</v>
      </c>
      <c r="C2859" s="1" t="str">
        <f t="array" ref="C2859">IF(B2858="NEW ROUTE",TEXTSPLIT(B2859,","),"")</f>
        <v/>
      </c>
      <c r="H2859" s="1" t="str">
        <f t="shared" ref="H2859:I2859" si="2861">IF(C2859&lt;&gt;"",DEC2HEX(C2859,2),"")</f>
        <v/>
      </c>
      <c r="I2859" s="1" t="str">
        <f t="shared" si="2861"/>
        <v/>
      </c>
      <c r="J2859" s="1" t="str">
        <f t="shared" si="3"/>
        <v/>
      </c>
      <c r="L2859" s="1" t="s">
        <v>1297</v>
      </c>
      <c r="M2859" s="1" t="str">
        <f t="shared" si="4"/>
        <v>7, 7, MAREEP</v>
      </c>
    </row>
    <row r="2860" ht="12.75" customHeight="1">
      <c r="A2860" s="3" t="s">
        <v>3657</v>
      </c>
      <c r="B2860" s="3" t="str">
        <f t="shared" si="1"/>
        <v>9, 9, MAREEP</v>
      </c>
      <c r="C2860" s="1" t="str">
        <f t="array" ref="C2860">IF(B2859="NEW ROUTE",TEXTSPLIT(B2860,","),"")</f>
        <v/>
      </c>
      <c r="H2860" s="1" t="str">
        <f t="shared" ref="H2860:I2860" si="2862">IF(C2860&lt;&gt;"",DEC2HEX(C2860,2),"")</f>
        <v/>
      </c>
      <c r="I2860" s="1" t="str">
        <f t="shared" si="2862"/>
        <v/>
      </c>
      <c r="J2860" s="1" t="str">
        <f t="shared" si="3"/>
        <v/>
      </c>
      <c r="L2860" s="1" t="s">
        <v>3657</v>
      </c>
      <c r="M2860" s="1" t="str">
        <f t="shared" si="4"/>
        <v>9, 9, MAREEP</v>
      </c>
    </row>
    <row r="2861" ht="12.75" customHeight="1">
      <c r="A2861" s="3" t="s">
        <v>2802</v>
      </c>
      <c r="B2861" s="3" t="str">
        <f t="shared" si="1"/>
        <v>0.1</v>
      </c>
      <c r="C2861" s="1" t="str">
        <f t="array" ref="C2861">IF(B2860="NEW ROUTE",TEXTSPLIT(B2861,","),"")</f>
        <v/>
      </c>
      <c r="H2861" s="1" t="str">
        <f t="shared" ref="H2861:I2861" si="2863">IF(C2861&lt;&gt;"",DEC2HEX(C2861,2),"")</f>
        <v/>
      </c>
      <c r="I2861" s="1" t="str">
        <f t="shared" si="2863"/>
        <v/>
      </c>
      <c r="J2861" s="1" t="str">
        <f t="shared" si="3"/>
        <v/>
      </c>
      <c r="L2861" s="1" t="s">
        <v>2802</v>
      </c>
      <c r="M2861" s="1" t="str">
        <f t="shared" si="4"/>
        <v>0.1</v>
      </c>
    </row>
    <row r="2862" ht="12.75" customHeight="1">
      <c r="A2862" s="3" t="s">
        <v>3658</v>
      </c>
      <c r="B2862" s="3" t="str">
        <f t="shared" si="1"/>
        <v>5, 5, MAREEP</v>
      </c>
      <c r="C2862" s="1" t="str">
        <f t="array" ref="C2862">IF(B2861="NEW ROUTE",TEXTSPLIT(B2862,","),"")</f>
        <v/>
      </c>
      <c r="H2862" s="1" t="str">
        <f t="shared" ref="H2862:I2862" si="2864">IF(C2862&lt;&gt;"",DEC2HEX(C2862,2),"")</f>
        <v/>
      </c>
      <c r="I2862" s="1" t="str">
        <f t="shared" si="2864"/>
        <v/>
      </c>
      <c r="J2862" s="1" t="str">
        <f t="shared" si="3"/>
        <v/>
      </c>
      <c r="L2862" s="1" t="s">
        <v>3658</v>
      </c>
      <c r="M2862" s="1" t="str">
        <f t="shared" si="4"/>
        <v>5, 5, MAREEP</v>
      </c>
    </row>
    <row r="2863" ht="12.75" customHeight="1">
      <c r="A2863" s="3" t="s">
        <v>3659</v>
      </c>
      <c r="B2863" s="3" t="str">
        <f t="shared" si="1"/>
        <v>11, 11, MAREEP</v>
      </c>
      <c r="C2863" s="1" t="str">
        <f t="array" ref="C2863">IF(B2862="NEW ROUTE",TEXTSPLIT(B2863,","),"")</f>
        <v/>
      </c>
      <c r="H2863" s="1" t="str">
        <f t="shared" ref="H2863:I2863" si="2865">IF(C2863&lt;&gt;"",DEC2HEX(C2863,2),"")</f>
        <v/>
      </c>
      <c r="I2863" s="1" t="str">
        <f t="shared" si="2865"/>
        <v/>
      </c>
      <c r="J2863" s="1" t="str">
        <f t="shared" si="3"/>
        <v/>
      </c>
      <c r="L2863" s="1" t="s">
        <v>3659</v>
      </c>
      <c r="M2863" s="1" t="str">
        <f t="shared" si="4"/>
        <v>11, 11, MAREEP</v>
      </c>
    </row>
    <row r="2864" ht="12.75" customHeight="1">
      <c r="A2864" s="3" t="s">
        <v>1297</v>
      </c>
      <c r="B2864" s="3" t="str">
        <f t="shared" si="1"/>
        <v>7, 7, MAREEP</v>
      </c>
      <c r="C2864" s="1" t="str">
        <f t="array" ref="C2864">IF(B2863="NEW ROUTE",TEXTSPLIT(B2864,","),"")</f>
        <v/>
      </c>
      <c r="H2864" s="1" t="str">
        <f t="shared" ref="H2864:I2864" si="2866">IF(C2864&lt;&gt;"",DEC2HEX(C2864,2),"")</f>
        <v/>
      </c>
      <c r="I2864" s="1" t="str">
        <f t="shared" si="2866"/>
        <v/>
      </c>
      <c r="J2864" s="1" t="str">
        <f t="shared" si="3"/>
        <v/>
      </c>
      <c r="L2864" s="1" t="s">
        <v>1297</v>
      </c>
      <c r="M2864" s="1" t="str">
        <f t="shared" si="4"/>
        <v>7, 7, MAREEP</v>
      </c>
    </row>
    <row r="2865" ht="12.75" customHeight="1">
      <c r="A2865" s="3" t="s">
        <v>3657</v>
      </c>
      <c r="B2865" s="3" t="str">
        <f t="shared" si="1"/>
        <v>9, 9, MAREEP</v>
      </c>
      <c r="C2865" s="1" t="str">
        <f t="array" ref="C2865">IF(B2864="NEW ROUTE",TEXTSPLIT(B2865,","),"")</f>
        <v/>
      </c>
      <c r="H2865" s="1" t="str">
        <f t="shared" ref="H2865:I2865" si="2867">IF(C2865&lt;&gt;"",DEC2HEX(C2865,2),"")</f>
        <v/>
      </c>
      <c r="I2865" s="1" t="str">
        <f t="shared" si="2867"/>
        <v/>
      </c>
      <c r="J2865" s="1" t="str">
        <f t="shared" si="3"/>
        <v/>
      </c>
      <c r="L2865" s="1" t="s">
        <v>3657</v>
      </c>
      <c r="M2865" s="1" t="str">
        <f t="shared" si="4"/>
        <v>9, 9, MAREEP</v>
      </c>
    </row>
    <row r="2866" ht="12.75" customHeight="1">
      <c r="A2866" s="3" t="s">
        <v>2807</v>
      </c>
      <c r="B2866" s="3" t="str">
        <f t="shared" si="1"/>
        <v>0.05</v>
      </c>
      <c r="C2866" s="1" t="str">
        <f t="array" ref="C2866">IF(B2865="NEW ROUTE",TEXTSPLIT(B2866,","),"")</f>
        <v/>
      </c>
      <c r="H2866" s="1" t="str">
        <f t="shared" ref="H2866:I2866" si="2868">IF(C2866&lt;&gt;"",DEC2HEX(C2866,2),"")</f>
        <v/>
      </c>
      <c r="I2866" s="1" t="str">
        <f t="shared" si="2868"/>
        <v/>
      </c>
      <c r="J2866" s="1" t="str">
        <f t="shared" si="3"/>
        <v/>
      </c>
      <c r="L2866" s="1" t="s">
        <v>2807</v>
      </c>
      <c r="M2866" s="1" t="str">
        <f t="shared" si="4"/>
        <v>0.05</v>
      </c>
    </row>
    <row r="2867" ht="12.75" customHeight="1">
      <c r="A2867" s="3" t="s">
        <v>3660</v>
      </c>
      <c r="B2867" s="3" t="str">
        <f t="shared" si="1"/>
        <v>13, 13, MAREEP</v>
      </c>
      <c r="C2867" s="1" t="str">
        <f t="array" ref="C2867">IF(B2866="NEW ROUTE",TEXTSPLIT(B2867,","),"")</f>
        <v/>
      </c>
      <c r="H2867" s="1" t="str">
        <f t="shared" ref="H2867:I2867" si="2869">IF(C2867&lt;&gt;"",DEC2HEX(C2867,2),"")</f>
        <v/>
      </c>
      <c r="I2867" s="1" t="str">
        <f t="shared" si="2869"/>
        <v/>
      </c>
      <c r="J2867" s="1" t="str">
        <f t="shared" si="3"/>
        <v/>
      </c>
      <c r="L2867" s="1" t="s">
        <v>3660</v>
      </c>
      <c r="M2867" s="1" t="str">
        <f t="shared" si="4"/>
        <v>13, 13, MAREEP</v>
      </c>
    </row>
    <row r="2868" ht="12.75" customHeight="1">
      <c r="A2868" s="3" t="s">
        <v>3661</v>
      </c>
      <c r="B2868" s="3" t="str">
        <f t="shared" si="1"/>
        <v>3, 3, MAREEP</v>
      </c>
      <c r="C2868" s="1" t="str">
        <f t="array" ref="C2868">IF(B2867="NEW ROUTE",TEXTSPLIT(B2868,","),"")</f>
        <v/>
      </c>
      <c r="H2868" s="1" t="str">
        <f t="shared" ref="H2868:I2868" si="2870">IF(C2868&lt;&gt;"",DEC2HEX(C2868,2),"")</f>
        <v/>
      </c>
      <c r="I2868" s="1" t="str">
        <f t="shared" si="2870"/>
        <v/>
      </c>
      <c r="J2868" s="1" t="str">
        <f t="shared" si="3"/>
        <v/>
      </c>
      <c r="L2868" s="1" t="s">
        <v>3661</v>
      </c>
      <c r="M2868" s="1" t="str">
        <f t="shared" si="4"/>
        <v>3, 3, MAREEP</v>
      </c>
    </row>
    <row r="2869" ht="12.75" customHeight="1">
      <c r="A2869" s="3" t="s">
        <v>2810</v>
      </c>
      <c r="B2869" s="3" t="str">
        <f t="shared" si="1"/>
        <v>0.04</v>
      </c>
      <c r="C2869" s="1" t="str">
        <f t="array" ref="C2869">IF(B2868="NEW ROUTE",TEXTSPLIT(B2869,","),"")</f>
        <v/>
      </c>
      <c r="H2869" s="1" t="str">
        <f t="shared" ref="H2869:I2869" si="2871">IF(C2869&lt;&gt;"",DEC2HEX(C2869,2),"")</f>
        <v/>
      </c>
      <c r="I2869" s="1" t="str">
        <f t="shared" si="2871"/>
        <v/>
      </c>
      <c r="J2869" s="1" t="str">
        <f t="shared" si="3"/>
        <v/>
      </c>
      <c r="L2869" s="1" t="s">
        <v>2810</v>
      </c>
      <c r="M2869" s="1" t="str">
        <f t="shared" si="4"/>
        <v>0.04</v>
      </c>
    </row>
    <row r="2870" ht="12.75" customHeight="1">
      <c r="A2870" s="3" t="s">
        <v>3658</v>
      </c>
      <c r="B2870" s="3" t="str">
        <f t="shared" si="1"/>
        <v>5, 5, MAREEP</v>
      </c>
      <c r="C2870" s="1" t="str">
        <f t="array" ref="C2870">IF(B2869="NEW ROUTE",TEXTSPLIT(B2870,","),"")</f>
        <v/>
      </c>
      <c r="H2870" s="1" t="str">
        <f t="shared" ref="H2870:I2870" si="2872">IF(C2870&lt;&gt;"",DEC2HEX(C2870,2),"")</f>
        <v/>
      </c>
      <c r="I2870" s="1" t="str">
        <f t="shared" si="2872"/>
        <v/>
      </c>
      <c r="J2870" s="1" t="str">
        <f t="shared" si="3"/>
        <v/>
      </c>
      <c r="L2870" s="1" t="s">
        <v>3658</v>
      </c>
      <c r="M2870" s="1" t="str">
        <f t="shared" si="4"/>
        <v>5, 5, MAREEP</v>
      </c>
    </row>
    <row r="2871" ht="12.75" customHeight="1">
      <c r="A2871" s="3" t="s">
        <v>3659</v>
      </c>
      <c r="B2871" s="3" t="str">
        <f t="shared" si="1"/>
        <v>11, 11, MAREEP</v>
      </c>
      <c r="C2871" s="1" t="str">
        <f t="array" ref="C2871">IF(B2870="NEW ROUTE",TEXTSPLIT(B2871,","),"")</f>
        <v/>
      </c>
      <c r="H2871" s="1" t="str">
        <f t="shared" ref="H2871:I2871" si="2873">IF(C2871&lt;&gt;"",DEC2HEX(C2871,2),"")</f>
        <v/>
      </c>
      <c r="I2871" s="1" t="str">
        <f t="shared" si="2873"/>
        <v/>
      </c>
      <c r="J2871" s="1" t="str">
        <f t="shared" si="3"/>
        <v/>
      </c>
      <c r="L2871" s="1" t="s">
        <v>3659</v>
      </c>
      <c r="M2871" s="1" t="str">
        <f t="shared" si="4"/>
        <v>11, 11, MAREEP</v>
      </c>
    </row>
    <row r="2872" ht="12.75" customHeight="1">
      <c r="A2872" s="3" t="s">
        <v>2813</v>
      </c>
      <c r="B2872" s="3" t="str">
        <f t="shared" si="1"/>
        <v>0.01</v>
      </c>
      <c r="C2872" s="1" t="str">
        <f t="array" ref="C2872">IF(B2871="NEW ROUTE",TEXTSPLIT(B2872,","),"")</f>
        <v/>
      </c>
      <c r="H2872" s="1" t="str">
        <f t="shared" ref="H2872:I2872" si="2874">IF(C2872&lt;&gt;"",DEC2HEX(C2872,2),"")</f>
        <v/>
      </c>
      <c r="I2872" s="1" t="str">
        <f t="shared" si="2874"/>
        <v/>
      </c>
      <c r="J2872" s="1" t="str">
        <f t="shared" si="3"/>
        <v/>
      </c>
      <c r="L2872" s="1" t="s">
        <v>2813</v>
      </c>
      <c r="M2872" s="1" t="str">
        <f t="shared" si="4"/>
        <v>0.01</v>
      </c>
    </row>
    <row r="2873" ht="12.75" customHeight="1">
      <c r="A2873" s="3" t="s">
        <v>3658</v>
      </c>
      <c r="B2873" s="3" t="str">
        <f t="shared" si="1"/>
        <v>5, 5, MAREEP</v>
      </c>
      <c r="C2873" s="1" t="str">
        <f t="array" ref="C2873">IF(B2872="NEW ROUTE",TEXTSPLIT(B2873,","),"")</f>
        <v/>
      </c>
      <c r="H2873" s="1" t="str">
        <f t="shared" ref="H2873:I2873" si="2875">IF(C2873&lt;&gt;"",DEC2HEX(C2873,2),"")</f>
        <v/>
      </c>
      <c r="I2873" s="1" t="str">
        <f t="shared" si="2875"/>
        <v/>
      </c>
      <c r="J2873" s="1" t="str">
        <f t="shared" si="3"/>
        <v/>
      </c>
      <c r="L2873" s="1" t="s">
        <v>3658</v>
      </c>
      <c r="M2873" s="1" t="str">
        <f t="shared" si="4"/>
        <v>5, 5, MAREEP</v>
      </c>
    </row>
    <row r="2874" ht="12.75" customHeight="1">
      <c r="A2874" s="3" t="s">
        <v>3662</v>
      </c>
      <c r="B2874" s="3" t="str">
        <f t="shared" si="1"/>
        <v>11, 11, MAREEP , &lt;null&gt;, &lt;null&gt;, &lt;null&gt;</v>
      </c>
      <c r="C2874" s="1" t="str">
        <f t="array" ref="C2874">IF(B2873="NEW ROUTE",TEXTSPLIT(B2874,","),"")</f>
        <v/>
      </c>
      <c r="H2874" s="1" t="str">
        <f t="shared" ref="H2874:I2874" si="2876">IF(C2874&lt;&gt;"",DEC2HEX(C2874,2),"")</f>
        <v/>
      </c>
      <c r="I2874" s="1" t="str">
        <f t="shared" si="2876"/>
        <v/>
      </c>
      <c r="J2874" s="1" t="str">
        <f t="shared" si="3"/>
        <v/>
      </c>
      <c r="L2874" s="1" t="s">
        <v>3662</v>
      </c>
      <c r="M2874" s="1" t="str">
        <f t="shared" si="4"/>
        <v>11, 11, MAREEP , &lt;null&gt;, &lt;null&gt;, &lt;null&gt;</v>
      </c>
    </row>
    <row r="2875" ht="12.75" customHeight="1">
      <c r="A2875" s="3" t="s">
        <v>2539</v>
      </c>
      <c r="B2875" s="3" t="str">
        <f t="shared" si="1"/>
        <v>NEW ROUTE</v>
      </c>
      <c r="C2875" s="1" t="str">
        <f t="array" ref="C2875">IF(B2874="NEW ROUTE",TEXTSPLIT(B2875,","),"")</f>
        <v/>
      </c>
      <c r="H2875" s="1" t="str">
        <f t="shared" ref="H2875:I2875" si="2877">IF(C2875&lt;&gt;"",DEC2HEX(C2875,2),"")</f>
        <v/>
      </c>
      <c r="I2875" s="1" t="str">
        <f t="shared" si="2877"/>
        <v/>
      </c>
      <c r="J2875" s="1" t="str">
        <f t="shared" si="3"/>
        <v/>
      </c>
      <c r="L2875" s="1" t="s">
        <v>2539</v>
      </c>
      <c r="M2875" s="1" t="str">
        <f t="shared" si="4"/>
        <v>NEW ROUTE</v>
      </c>
    </row>
    <row r="2876" ht="12.75" customHeight="1">
      <c r="A2876" s="3" t="s">
        <v>3650</v>
      </c>
      <c r="B2876" s="3" t="str">
        <f t="shared" si="1"/>
        <v>1, 122, 0,</v>
      </c>
      <c r="C2876" s="1" t="str">
        <f t="array" ref="C2876">IF(B2875="NEW ROUTE",TEXTSPLIT(B2876,","),"")</f>
        <v>#NAME?</v>
      </c>
      <c r="H2876" s="1" t="str">
        <f t="shared" ref="H2876:I2876" si="2878">IF(C2876&lt;&gt;"",DEC2HEX(C2876,2),"")</f>
        <v>#NAME?</v>
      </c>
      <c r="I2876" s="1" t="str">
        <f t="shared" si="2878"/>
        <v/>
      </c>
      <c r="J2876" s="1" t="str">
        <f t="shared" si="3"/>
        <v>#NAME?</v>
      </c>
      <c r="L2876" s="1" t="s">
        <v>3650</v>
      </c>
      <c r="M2876" s="1" t="str">
        <f t="shared" si="4"/>
        <v>#NAME?</v>
      </c>
    </row>
    <row r="2877" ht="12.75" customHeight="1">
      <c r="A2877" s="3" t="s">
        <v>2817</v>
      </c>
      <c r="B2877" s="3" t="str">
        <f t="shared" si="1"/>
        <v>20%</v>
      </c>
      <c r="C2877" s="1" t="str">
        <f t="array" ref="C2877">IF(B2876="NEW ROUTE",TEXTSPLIT(B2877,","),"")</f>
        <v/>
      </c>
      <c r="H2877" s="1" t="str">
        <f t="shared" ref="H2877:I2877" si="2879">IF(C2877&lt;&gt;"",DEC2HEX(C2877,2),"")</f>
        <v/>
      </c>
      <c r="I2877" s="1" t="str">
        <f t="shared" si="2879"/>
        <v/>
      </c>
      <c r="J2877" s="1" t="str">
        <f t="shared" si="3"/>
        <v/>
      </c>
      <c r="L2877" s="1" t="s">
        <v>2799</v>
      </c>
      <c r="M2877" s="1" t="str">
        <f t="shared" si="4"/>
        <v>20%</v>
      </c>
    </row>
    <row r="2878" ht="12.75" customHeight="1">
      <c r="A2878" s="3" t="s">
        <v>1305</v>
      </c>
      <c r="B2878" s="3" t="str">
        <f t="shared" si="1"/>
        <v>23, 23, PINECO</v>
      </c>
      <c r="C2878" s="1" t="str">
        <f t="array" ref="C2878">IF(B2877="NEW ROUTE",TEXTSPLIT(B2878,","),"")</f>
        <v/>
      </c>
      <c r="H2878" s="1" t="str">
        <f t="shared" ref="H2878:I2878" si="2880">IF(C2878&lt;&gt;"",DEC2HEX(C2878,2),"")</f>
        <v/>
      </c>
      <c r="I2878" s="1" t="str">
        <f t="shared" si="2880"/>
        <v/>
      </c>
      <c r="J2878" s="1" t="str">
        <f t="shared" si="3"/>
        <v/>
      </c>
      <c r="L2878" s="1" t="s">
        <v>1305</v>
      </c>
      <c r="M2878" s="1" t="str">
        <f t="shared" si="4"/>
        <v>23, 23, PINECO</v>
      </c>
    </row>
    <row r="2879" ht="12.75" customHeight="1">
      <c r="A2879" s="3" t="s">
        <v>3663</v>
      </c>
      <c r="B2879" s="3" t="str">
        <f t="shared" si="1"/>
        <v>25, 25, PINECO</v>
      </c>
      <c r="C2879" s="1" t="str">
        <f t="array" ref="C2879">IF(B2878="NEW ROUTE",TEXTSPLIT(B2879,","),"")</f>
        <v/>
      </c>
      <c r="H2879" s="1" t="str">
        <f t="shared" ref="H2879:I2879" si="2881">IF(C2879&lt;&gt;"",DEC2HEX(C2879,2),"")</f>
        <v/>
      </c>
      <c r="I2879" s="1" t="str">
        <f t="shared" si="2881"/>
        <v/>
      </c>
      <c r="J2879" s="1" t="str">
        <f t="shared" si="3"/>
        <v/>
      </c>
      <c r="L2879" s="1" t="s">
        <v>3663</v>
      </c>
      <c r="M2879" s="1" t="str">
        <f t="shared" si="4"/>
        <v>25, 25, PINECO</v>
      </c>
    </row>
    <row r="2880" ht="12.75" customHeight="1">
      <c r="A2880" s="3" t="s">
        <v>2802</v>
      </c>
      <c r="B2880" s="3" t="str">
        <f t="shared" si="1"/>
        <v>0.1</v>
      </c>
      <c r="C2880" s="1" t="str">
        <f t="array" ref="C2880">IF(B2879="NEW ROUTE",TEXTSPLIT(B2880,","),"")</f>
        <v/>
      </c>
      <c r="H2880" s="1" t="str">
        <f t="shared" ref="H2880:I2880" si="2882">IF(C2880&lt;&gt;"",DEC2HEX(C2880,2),"")</f>
        <v/>
      </c>
      <c r="I2880" s="1" t="str">
        <f t="shared" si="2882"/>
        <v/>
      </c>
      <c r="J2880" s="1" t="str">
        <f t="shared" si="3"/>
        <v/>
      </c>
      <c r="L2880" s="1" t="s">
        <v>2802</v>
      </c>
      <c r="M2880" s="1" t="str">
        <f t="shared" si="4"/>
        <v>0.1</v>
      </c>
    </row>
    <row r="2881" ht="12.75" customHeight="1">
      <c r="A2881" s="3" t="s">
        <v>3664</v>
      </c>
      <c r="B2881" s="3" t="str">
        <f t="shared" si="1"/>
        <v>22, 22, PINECO</v>
      </c>
      <c r="C2881" s="1" t="str">
        <f t="array" ref="C2881">IF(B2880="NEW ROUTE",TEXTSPLIT(B2881,","),"")</f>
        <v/>
      </c>
      <c r="H2881" s="1" t="str">
        <f t="shared" ref="H2881:I2881" si="2883">IF(C2881&lt;&gt;"",DEC2HEX(C2881,2),"")</f>
        <v/>
      </c>
      <c r="I2881" s="1" t="str">
        <f t="shared" si="2883"/>
        <v/>
      </c>
      <c r="J2881" s="1" t="str">
        <f t="shared" si="3"/>
        <v/>
      </c>
      <c r="L2881" s="1" t="s">
        <v>3664</v>
      </c>
      <c r="M2881" s="1" t="str">
        <f t="shared" si="4"/>
        <v>22, 22, PINECO</v>
      </c>
    </row>
    <row r="2882" ht="12.75" customHeight="1">
      <c r="A2882" s="3" t="s">
        <v>3665</v>
      </c>
      <c r="B2882" s="3" t="str">
        <f t="shared" si="1"/>
        <v>27, 27, PINECO</v>
      </c>
      <c r="C2882" s="1" t="str">
        <f t="array" ref="C2882">IF(B2881="NEW ROUTE",TEXTSPLIT(B2882,","),"")</f>
        <v/>
      </c>
      <c r="H2882" s="1" t="str">
        <f t="shared" ref="H2882:I2882" si="2884">IF(C2882&lt;&gt;"",DEC2HEX(C2882,2),"")</f>
        <v/>
      </c>
      <c r="I2882" s="1" t="str">
        <f t="shared" si="2884"/>
        <v/>
      </c>
      <c r="J2882" s="1" t="str">
        <f t="shared" si="3"/>
        <v/>
      </c>
      <c r="L2882" s="1" t="s">
        <v>3665</v>
      </c>
      <c r="M2882" s="1" t="str">
        <f t="shared" si="4"/>
        <v>27, 27, PINECO</v>
      </c>
    </row>
    <row r="2883" ht="12.75" customHeight="1">
      <c r="A2883" s="3" t="s">
        <v>1305</v>
      </c>
      <c r="B2883" s="3" t="str">
        <f t="shared" si="1"/>
        <v>23, 23, PINECO</v>
      </c>
      <c r="C2883" s="1" t="str">
        <f t="array" ref="C2883">IF(B2882="NEW ROUTE",TEXTSPLIT(B2883,","),"")</f>
        <v/>
      </c>
      <c r="H2883" s="1" t="str">
        <f t="shared" ref="H2883:I2883" si="2885">IF(C2883&lt;&gt;"",DEC2HEX(C2883,2),"")</f>
        <v/>
      </c>
      <c r="I2883" s="1" t="str">
        <f t="shared" si="2885"/>
        <v/>
      </c>
      <c r="J2883" s="1" t="str">
        <f t="shared" si="3"/>
        <v/>
      </c>
      <c r="L2883" s="1" t="s">
        <v>1305</v>
      </c>
      <c r="M2883" s="1" t="str">
        <f t="shared" si="4"/>
        <v>23, 23, PINECO</v>
      </c>
    </row>
    <row r="2884" ht="12.75" customHeight="1">
      <c r="A2884" s="3" t="s">
        <v>3663</v>
      </c>
      <c r="B2884" s="3" t="str">
        <f t="shared" si="1"/>
        <v>25, 25, PINECO</v>
      </c>
      <c r="C2884" s="1" t="str">
        <f t="array" ref="C2884">IF(B2883="NEW ROUTE",TEXTSPLIT(B2884,","),"")</f>
        <v/>
      </c>
      <c r="H2884" s="1" t="str">
        <f t="shared" ref="H2884:I2884" si="2886">IF(C2884&lt;&gt;"",DEC2HEX(C2884,2),"")</f>
        <v/>
      </c>
      <c r="I2884" s="1" t="str">
        <f t="shared" si="2886"/>
        <v/>
      </c>
      <c r="J2884" s="1" t="str">
        <f t="shared" si="3"/>
        <v/>
      </c>
      <c r="L2884" s="1" t="s">
        <v>3663</v>
      </c>
      <c r="M2884" s="1" t="str">
        <f t="shared" si="4"/>
        <v>25, 25, PINECO</v>
      </c>
    </row>
    <row r="2885" ht="12.75" customHeight="1">
      <c r="A2885" s="3" t="s">
        <v>2807</v>
      </c>
      <c r="B2885" s="3" t="str">
        <f t="shared" si="1"/>
        <v>0.05</v>
      </c>
      <c r="C2885" s="1" t="str">
        <f t="array" ref="C2885">IF(B2884="NEW ROUTE",TEXTSPLIT(B2885,","),"")</f>
        <v/>
      </c>
      <c r="H2885" s="1" t="str">
        <f t="shared" ref="H2885:I2885" si="2887">IF(C2885&lt;&gt;"",DEC2HEX(C2885,2),"")</f>
        <v/>
      </c>
      <c r="I2885" s="1" t="str">
        <f t="shared" si="2887"/>
        <v/>
      </c>
      <c r="J2885" s="1" t="str">
        <f t="shared" si="3"/>
        <v/>
      </c>
      <c r="L2885" s="1" t="s">
        <v>2807</v>
      </c>
      <c r="M2885" s="1" t="str">
        <f t="shared" si="4"/>
        <v>0.05</v>
      </c>
    </row>
    <row r="2886" ht="12.75" customHeight="1">
      <c r="A2886" s="3" t="s">
        <v>3666</v>
      </c>
      <c r="B2886" s="3" t="str">
        <f t="shared" si="1"/>
        <v>29, 29, PINECO</v>
      </c>
      <c r="C2886" s="1" t="str">
        <f t="array" ref="C2886">IF(B2885="NEW ROUTE",TEXTSPLIT(B2886,","),"")</f>
        <v/>
      </c>
      <c r="H2886" s="1" t="str">
        <f t="shared" ref="H2886:I2886" si="2888">IF(C2886&lt;&gt;"",DEC2HEX(C2886,2),"")</f>
        <v/>
      </c>
      <c r="I2886" s="1" t="str">
        <f t="shared" si="2888"/>
        <v/>
      </c>
      <c r="J2886" s="1" t="str">
        <f t="shared" si="3"/>
        <v/>
      </c>
      <c r="L2886" s="1" t="s">
        <v>3666</v>
      </c>
      <c r="M2886" s="1" t="str">
        <f t="shared" si="4"/>
        <v>29, 29, PINECO</v>
      </c>
    </row>
    <row r="2887" ht="12.75" customHeight="1">
      <c r="A2887" s="3" t="s">
        <v>3667</v>
      </c>
      <c r="B2887" s="3" t="str">
        <f t="shared" si="1"/>
        <v>19, 19, PINECO</v>
      </c>
      <c r="C2887" s="1" t="str">
        <f t="array" ref="C2887">IF(B2886="NEW ROUTE",TEXTSPLIT(B2887,","),"")</f>
        <v/>
      </c>
      <c r="H2887" s="1" t="str">
        <f t="shared" ref="H2887:I2887" si="2889">IF(C2887&lt;&gt;"",DEC2HEX(C2887,2),"")</f>
        <v/>
      </c>
      <c r="I2887" s="1" t="str">
        <f t="shared" si="2889"/>
        <v/>
      </c>
      <c r="J2887" s="1" t="str">
        <f t="shared" si="3"/>
        <v/>
      </c>
      <c r="L2887" s="1" t="s">
        <v>3667</v>
      </c>
      <c r="M2887" s="1" t="str">
        <f t="shared" si="4"/>
        <v>19, 19, PINECO</v>
      </c>
    </row>
    <row r="2888" ht="12.75" customHeight="1">
      <c r="A2888" s="3" t="s">
        <v>2810</v>
      </c>
      <c r="B2888" s="3" t="str">
        <f t="shared" si="1"/>
        <v>0.04</v>
      </c>
      <c r="C2888" s="1" t="str">
        <f t="array" ref="C2888">IF(B2887="NEW ROUTE",TEXTSPLIT(B2888,","),"")</f>
        <v/>
      </c>
      <c r="H2888" s="1" t="str">
        <f t="shared" ref="H2888:I2888" si="2890">IF(C2888&lt;&gt;"",DEC2HEX(C2888,2),"")</f>
        <v/>
      </c>
      <c r="I2888" s="1" t="str">
        <f t="shared" si="2890"/>
        <v/>
      </c>
      <c r="J2888" s="1" t="str">
        <f t="shared" si="3"/>
        <v/>
      </c>
      <c r="L2888" s="1" t="s">
        <v>2810</v>
      </c>
      <c r="M2888" s="1" t="str">
        <f t="shared" si="4"/>
        <v>0.04</v>
      </c>
    </row>
    <row r="2889" ht="12.75" customHeight="1">
      <c r="A2889" s="3" t="s">
        <v>3668</v>
      </c>
      <c r="B2889" s="3" t="str">
        <f t="shared" si="1"/>
        <v>21, 21, PINECO</v>
      </c>
      <c r="C2889" s="1" t="str">
        <f t="array" ref="C2889">IF(B2888="NEW ROUTE",TEXTSPLIT(B2889,","),"")</f>
        <v/>
      </c>
      <c r="H2889" s="1" t="str">
        <f t="shared" ref="H2889:I2889" si="2891">IF(C2889&lt;&gt;"",DEC2HEX(C2889,2),"")</f>
        <v/>
      </c>
      <c r="I2889" s="1" t="str">
        <f t="shared" si="2891"/>
        <v/>
      </c>
      <c r="J2889" s="1" t="str">
        <f t="shared" si="3"/>
        <v/>
      </c>
      <c r="L2889" s="1" t="s">
        <v>3668</v>
      </c>
      <c r="M2889" s="1" t="str">
        <f t="shared" si="4"/>
        <v>21, 21, PINECO</v>
      </c>
    </row>
    <row r="2890" ht="12.75" customHeight="1">
      <c r="A2890" s="3" t="s">
        <v>3665</v>
      </c>
      <c r="B2890" s="3" t="str">
        <f t="shared" si="1"/>
        <v>27, 27, PINECO</v>
      </c>
      <c r="C2890" s="1" t="str">
        <f t="array" ref="C2890">IF(B2889="NEW ROUTE",TEXTSPLIT(B2890,","),"")</f>
        <v/>
      </c>
      <c r="H2890" s="1" t="str">
        <f t="shared" ref="H2890:I2890" si="2892">IF(C2890&lt;&gt;"",DEC2HEX(C2890,2),"")</f>
        <v/>
      </c>
      <c r="I2890" s="1" t="str">
        <f t="shared" si="2892"/>
        <v/>
      </c>
      <c r="J2890" s="1" t="str">
        <f t="shared" si="3"/>
        <v/>
      </c>
      <c r="L2890" s="1" t="s">
        <v>3665</v>
      </c>
      <c r="M2890" s="1" t="str">
        <f t="shared" si="4"/>
        <v>27, 27, PINECO</v>
      </c>
    </row>
    <row r="2891" ht="12.75" customHeight="1">
      <c r="A2891" s="3" t="s">
        <v>2813</v>
      </c>
      <c r="B2891" s="3" t="str">
        <f t="shared" si="1"/>
        <v>0.01</v>
      </c>
      <c r="C2891" s="1" t="str">
        <f t="array" ref="C2891">IF(B2890="NEW ROUTE",TEXTSPLIT(B2891,","),"")</f>
        <v/>
      </c>
      <c r="H2891" s="1" t="str">
        <f t="shared" ref="H2891:I2891" si="2893">IF(C2891&lt;&gt;"",DEC2HEX(C2891,2),"")</f>
        <v/>
      </c>
      <c r="I2891" s="1" t="str">
        <f t="shared" si="2893"/>
        <v/>
      </c>
      <c r="J2891" s="1" t="str">
        <f t="shared" si="3"/>
        <v/>
      </c>
      <c r="L2891" s="1" t="s">
        <v>2813</v>
      </c>
      <c r="M2891" s="1" t="str">
        <f t="shared" si="4"/>
        <v>0.01</v>
      </c>
    </row>
    <row r="2892" ht="12.75" customHeight="1">
      <c r="A2892" s="3" t="s">
        <v>3668</v>
      </c>
      <c r="B2892" s="3" t="str">
        <f t="shared" si="1"/>
        <v>21, 21, PINECO</v>
      </c>
      <c r="C2892" s="1" t="str">
        <f t="array" ref="C2892">IF(B2891="NEW ROUTE",TEXTSPLIT(B2892,","),"")</f>
        <v/>
      </c>
      <c r="H2892" s="1" t="str">
        <f t="shared" ref="H2892:I2892" si="2894">IF(C2892&lt;&gt;"",DEC2HEX(C2892,2),"")</f>
        <v/>
      </c>
      <c r="I2892" s="1" t="str">
        <f t="shared" si="2894"/>
        <v/>
      </c>
      <c r="J2892" s="1" t="str">
        <f t="shared" si="3"/>
        <v/>
      </c>
      <c r="L2892" s="1" t="s">
        <v>3668</v>
      </c>
      <c r="M2892" s="1" t="str">
        <f t="shared" si="4"/>
        <v>21, 21, PINECO</v>
      </c>
    </row>
    <row r="2893" ht="12.75" customHeight="1">
      <c r="A2893" s="3" t="s">
        <v>3669</v>
      </c>
      <c r="B2893" s="3" t="str">
        <f t="shared" si="1"/>
        <v>27, 27, PINECO , &lt;null&gt;, &lt;null&gt;, &lt;null&gt;</v>
      </c>
      <c r="C2893" s="1" t="str">
        <f t="array" ref="C2893">IF(B2892="NEW ROUTE",TEXTSPLIT(B2893,","),"")</f>
        <v/>
      </c>
      <c r="H2893" s="1" t="str">
        <f t="shared" ref="H2893:I2893" si="2895">IF(C2893&lt;&gt;"",DEC2HEX(C2893,2),"")</f>
        <v/>
      </c>
      <c r="I2893" s="1" t="str">
        <f t="shared" si="2895"/>
        <v/>
      </c>
      <c r="J2893" s="1" t="str">
        <f t="shared" si="3"/>
        <v/>
      </c>
      <c r="L2893" s="1" t="s">
        <v>3669</v>
      </c>
      <c r="M2893" s="1" t="str">
        <f t="shared" si="4"/>
        <v>27, 27, PINECO , &lt;null&gt;, &lt;null&gt;, &lt;null&gt;</v>
      </c>
    </row>
    <row r="2894" ht="12.75" customHeight="1">
      <c r="A2894" s="3" t="s">
        <v>2539</v>
      </c>
      <c r="B2894" s="3" t="str">
        <f t="shared" si="1"/>
        <v>NEW ROUTE</v>
      </c>
      <c r="C2894" s="1" t="str">
        <f t="array" ref="C2894">IF(B2893="NEW ROUTE",TEXTSPLIT(B2894,","),"")</f>
        <v/>
      </c>
      <c r="H2894" s="1" t="str">
        <f t="shared" ref="H2894:I2894" si="2896">IF(C2894&lt;&gt;"",DEC2HEX(C2894,2),"")</f>
        <v/>
      </c>
      <c r="I2894" s="1" t="str">
        <f t="shared" si="2896"/>
        <v/>
      </c>
      <c r="J2894" s="1" t="str">
        <f t="shared" si="3"/>
        <v/>
      </c>
      <c r="L2894" s="1" t="s">
        <v>2539</v>
      </c>
      <c r="M2894" s="1" t="str">
        <f t="shared" si="4"/>
        <v>NEW ROUTE</v>
      </c>
    </row>
    <row r="2895" ht="12.75" customHeight="1">
      <c r="A2895" s="3" t="s">
        <v>3650</v>
      </c>
      <c r="B2895" s="3" t="str">
        <f t="shared" si="1"/>
        <v>1, 122, 0,</v>
      </c>
      <c r="C2895" s="1" t="str">
        <f t="array" ref="C2895">IF(B2894="NEW ROUTE",TEXTSPLIT(B2895,","),"")</f>
        <v>#NAME?</v>
      </c>
      <c r="H2895" s="1" t="str">
        <f t="shared" ref="H2895:I2895" si="2897">IF(C2895&lt;&gt;"",DEC2HEX(C2895,2),"")</f>
        <v>#NAME?</v>
      </c>
      <c r="I2895" s="1" t="str">
        <f t="shared" si="2897"/>
        <v/>
      </c>
      <c r="J2895" s="1" t="str">
        <f t="shared" si="3"/>
        <v>#NAME?</v>
      </c>
      <c r="L2895" s="1" t="s">
        <v>3650</v>
      </c>
      <c r="M2895" s="1" t="str">
        <f t="shared" si="4"/>
        <v>#NAME?</v>
      </c>
    </row>
    <row r="2896" ht="12.75" customHeight="1">
      <c r="A2896" s="3" t="s">
        <v>2817</v>
      </c>
      <c r="B2896" s="3" t="str">
        <f t="shared" si="1"/>
        <v>20%</v>
      </c>
      <c r="C2896" s="1" t="str">
        <f t="array" ref="C2896">IF(B2895="NEW ROUTE",TEXTSPLIT(B2896,","),"")</f>
        <v/>
      </c>
      <c r="H2896" s="1" t="str">
        <f t="shared" ref="H2896:I2896" si="2898">IF(C2896&lt;&gt;"",DEC2HEX(C2896,2),"")</f>
        <v/>
      </c>
      <c r="I2896" s="1" t="str">
        <f t="shared" si="2898"/>
        <v/>
      </c>
      <c r="J2896" s="1" t="str">
        <f t="shared" si="3"/>
        <v/>
      </c>
      <c r="L2896" s="1" t="s">
        <v>2799</v>
      </c>
      <c r="M2896" s="1" t="str">
        <f t="shared" si="4"/>
        <v>20%</v>
      </c>
    </row>
    <row r="2897" ht="12.75" customHeight="1">
      <c r="A2897" s="3" t="s">
        <v>1314</v>
      </c>
      <c r="B2897" s="3" t="str">
        <f t="shared" si="1"/>
        <v>16, 16, HOUNDOUR</v>
      </c>
      <c r="C2897" s="1" t="str">
        <f t="array" ref="C2897">IF(B2896="NEW ROUTE",TEXTSPLIT(B2897,","),"")</f>
        <v/>
      </c>
      <c r="H2897" s="1" t="str">
        <f t="shared" ref="H2897:I2897" si="2899">IF(C2897&lt;&gt;"",DEC2HEX(C2897,2),"")</f>
        <v/>
      </c>
      <c r="I2897" s="1" t="str">
        <f t="shared" si="2899"/>
        <v/>
      </c>
      <c r="J2897" s="1" t="str">
        <f t="shared" si="3"/>
        <v/>
      </c>
      <c r="L2897" s="1" t="s">
        <v>1314</v>
      </c>
      <c r="M2897" s="1" t="str">
        <f t="shared" si="4"/>
        <v>16, 16, HOUNDOUR</v>
      </c>
    </row>
    <row r="2898" ht="12.75" customHeight="1">
      <c r="A2898" s="3" t="s">
        <v>3670</v>
      </c>
      <c r="B2898" s="3" t="str">
        <f t="shared" si="1"/>
        <v>18, 18, HOUNDOUR</v>
      </c>
      <c r="C2898" s="1" t="str">
        <f t="array" ref="C2898">IF(B2897="NEW ROUTE",TEXTSPLIT(B2898,","),"")</f>
        <v/>
      </c>
      <c r="H2898" s="1" t="str">
        <f t="shared" ref="H2898:I2898" si="2900">IF(C2898&lt;&gt;"",DEC2HEX(C2898,2),"")</f>
        <v/>
      </c>
      <c r="I2898" s="1" t="str">
        <f t="shared" si="2900"/>
        <v/>
      </c>
      <c r="J2898" s="1" t="str">
        <f t="shared" si="3"/>
        <v/>
      </c>
      <c r="L2898" s="1" t="s">
        <v>3670</v>
      </c>
      <c r="M2898" s="1" t="str">
        <f t="shared" si="4"/>
        <v>18, 18, HOUNDOUR</v>
      </c>
    </row>
    <row r="2899" ht="12.75" customHeight="1">
      <c r="A2899" s="3" t="s">
        <v>2802</v>
      </c>
      <c r="B2899" s="3" t="str">
        <f t="shared" si="1"/>
        <v>0.1</v>
      </c>
      <c r="C2899" s="1" t="str">
        <f t="array" ref="C2899">IF(B2898="NEW ROUTE",TEXTSPLIT(B2899,","),"")</f>
        <v/>
      </c>
      <c r="H2899" s="1" t="str">
        <f t="shared" ref="H2899:I2899" si="2901">IF(C2899&lt;&gt;"",DEC2HEX(C2899,2),"")</f>
        <v/>
      </c>
      <c r="I2899" s="1" t="str">
        <f t="shared" si="2901"/>
        <v/>
      </c>
      <c r="J2899" s="1" t="str">
        <f t="shared" si="3"/>
        <v/>
      </c>
      <c r="L2899" s="1" t="s">
        <v>2802</v>
      </c>
      <c r="M2899" s="1" t="str">
        <f t="shared" si="4"/>
        <v>0.1</v>
      </c>
    </row>
    <row r="2900" ht="12.75" customHeight="1">
      <c r="A2900" s="3" t="s">
        <v>3671</v>
      </c>
      <c r="B2900" s="3" t="str">
        <f t="shared" si="1"/>
        <v>14, 14, HOUNDOUR</v>
      </c>
      <c r="C2900" s="1" t="str">
        <f t="array" ref="C2900">IF(B2899="NEW ROUTE",TEXTSPLIT(B2900,","),"")</f>
        <v/>
      </c>
      <c r="H2900" s="1" t="str">
        <f t="shared" ref="H2900:I2900" si="2902">IF(C2900&lt;&gt;"",DEC2HEX(C2900,2),"")</f>
        <v/>
      </c>
      <c r="I2900" s="1" t="str">
        <f t="shared" si="2902"/>
        <v/>
      </c>
      <c r="J2900" s="1" t="str">
        <f t="shared" si="3"/>
        <v/>
      </c>
      <c r="L2900" s="1" t="s">
        <v>3671</v>
      </c>
      <c r="M2900" s="1" t="str">
        <f t="shared" si="4"/>
        <v>14, 14, HOUNDOUR</v>
      </c>
    </row>
    <row r="2901" ht="12.75" customHeight="1">
      <c r="A2901" s="3" t="s">
        <v>3672</v>
      </c>
      <c r="B2901" s="3" t="str">
        <f t="shared" si="1"/>
        <v>20, 20, HOUNDOUR</v>
      </c>
      <c r="C2901" s="1" t="str">
        <f t="array" ref="C2901">IF(B2900="NEW ROUTE",TEXTSPLIT(B2901,","),"")</f>
        <v/>
      </c>
      <c r="H2901" s="1" t="str">
        <f t="shared" ref="H2901:I2901" si="2903">IF(C2901&lt;&gt;"",DEC2HEX(C2901,2),"")</f>
        <v/>
      </c>
      <c r="I2901" s="1" t="str">
        <f t="shared" si="2903"/>
        <v/>
      </c>
      <c r="J2901" s="1" t="str">
        <f t="shared" si="3"/>
        <v/>
      </c>
      <c r="L2901" s="1" t="s">
        <v>3672</v>
      </c>
      <c r="M2901" s="1" t="str">
        <f t="shared" si="4"/>
        <v>20, 20, HOUNDOUR</v>
      </c>
    </row>
    <row r="2902" ht="12.75" customHeight="1">
      <c r="A2902" s="3" t="s">
        <v>1314</v>
      </c>
      <c r="B2902" s="3" t="str">
        <f t="shared" si="1"/>
        <v>16, 16, HOUNDOUR</v>
      </c>
      <c r="C2902" s="1" t="str">
        <f t="array" ref="C2902">IF(B2901="NEW ROUTE",TEXTSPLIT(B2902,","),"")</f>
        <v/>
      </c>
      <c r="H2902" s="1" t="str">
        <f t="shared" ref="H2902:I2902" si="2904">IF(C2902&lt;&gt;"",DEC2HEX(C2902,2),"")</f>
        <v/>
      </c>
      <c r="I2902" s="1" t="str">
        <f t="shared" si="2904"/>
        <v/>
      </c>
      <c r="J2902" s="1" t="str">
        <f t="shared" si="3"/>
        <v/>
      </c>
      <c r="L2902" s="1" t="s">
        <v>1314</v>
      </c>
      <c r="M2902" s="1" t="str">
        <f t="shared" si="4"/>
        <v>16, 16, HOUNDOUR</v>
      </c>
    </row>
    <row r="2903" ht="12.75" customHeight="1">
      <c r="A2903" s="3" t="s">
        <v>3670</v>
      </c>
      <c r="B2903" s="3" t="str">
        <f t="shared" si="1"/>
        <v>18, 18, HOUNDOUR</v>
      </c>
      <c r="C2903" s="1" t="str">
        <f t="array" ref="C2903">IF(B2902="NEW ROUTE",TEXTSPLIT(B2903,","),"")</f>
        <v/>
      </c>
      <c r="H2903" s="1" t="str">
        <f t="shared" ref="H2903:I2903" si="2905">IF(C2903&lt;&gt;"",DEC2HEX(C2903,2),"")</f>
        <v/>
      </c>
      <c r="I2903" s="1" t="str">
        <f t="shared" si="2905"/>
        <v/>
      </c>
      <c r="J2903" s="1" t="str">
        <f t="shared" si="3"/>
        <v/>
      </c>
      <c r="L2903" s="1" t="s">
        <v>3670</v>
      </c>
      <c r="M2903" s="1" t="str">
        <f t="shared" si="4"/>
        <v>18, 18, HOUNDOUR</v>
      </c>
    </row>
    <row r="2904" ht="12.75" customHeight="1">
      <c r="A2904" s="3" t="s">
        <v>2807</v>
      </c>
      <c r="B2904" s="3" t="str">
        <f t="shared" si="1"/>
        <v>0.05</v>
      </c>
      <c r="C2904" s="1" t="str">
        <f t="array" ref="C2904">IF(B2903="NEW ROUTE",TEXTSPLIT(B2904,","),"")</f>
        <v/>
      </c>
      <c r="H2904" s="1" t="str">
        <f t="shared" ref="H2904:I2904" si="2906">IF(C2904&lt;&gt;"",DEC2HEX(C2904,2),"")</f>
        <v/>
      </c>
      <c r="I2904" s="1" t="str">
        <f t="shared" si="2906"/>
        <v/>
      </c>
      <c r="J2904" s="1" t="str">
        <f t="shared" si="3"/>
        <v/>
      </c>
      <c r="L2904" s="1" t="s">
        <v>2807</v>
      </c>
      <c r="M2904" s="1" t="str">
        <f t="shared" si="4"/>
        <v>0.05</v>
      </c>
    </row>
    <row r="2905" ht="12.75" customHeight="1">
      <c r="A2905" s="3" t="s">
        <v>3673</v>
      </c>
      <c r="B2905" s="3" t="str">
        <f t="shared" si="1"/>
        <v>22, 22, HOUNDOUR</v>
      </c>
      <c r="C2905" s="1" t="str">
        <f t="array" ref="C2905">IF(B2904="NEW ROUTE",TEXTSPLIT(B2905,","),"")</f>
        <v/>
      </c>
      <c r="H2905" s="1" t="str">
        <f t="shared" ref="H2905:I2905" si="2907">IF(C2905&lt;&gt;"",DEC2HEX(C2905,2),"")</f>
        <v/>
      </c>
      <c r="I2905" s="1" t="str">
        <f t="shared" si="2907"/>
        <v/>
      </c>
      <c r="J2905" s="1" t="str">
        <f t="shared" si="3"/>
        <v/>
      </c>
      <c r="L2905" s="1" t="s">
        <v>3673</v>
      </c>
      <c r="M2905" s="1" t="str">
        <f t="shared" si="4"/>
        <v>22, 22, HOUNDOUR</v>
      </c>
    </row>
    <row r="2906" ht="12.75" customHeight="1">
      <c r="A2906" s="3" t="s">
        <v>3674</v>
      </c>
      <c r="B2906" s="3" t="str">
        <f t="shared" si="1"/>
        <v>12, 12, HOUNDOUR</v>
      </c>
      <c r="C2906" s="1" t="str">
        <f t="array" ref="C2906">IF(B2905="NEW ROUTE",TEXTSPLIT(B2906,","),"")</f>
        <v/>
      </c>
      <c r="H2906" s="1" t="str">
        <f t="shared" ref="H2906:I2906" si="2908">IF(C2906&lt;&gt;"",DEC2HEX(C2906,2),"")</f>
        <v/>
      </c>
      <c r="I2906" s="1" t="str">
        <f t="shared" si="2908"/>
        <v/>
      </c>
      <c r="J2906" s="1" t="str">
        <f t="shared" si="3"/>
        <v/>
      </c>
      <c r="L2906" s="1" t="s">
        <v>3674</v>
      </c>
      <c r="M2906" s="1" t="str">
        <f t="shared" si="4"/>
        <v>12, 12, HOUNDOUR</v>
      </c>
    </row>
    <row r="2907" ht="12.75" customHeight="1">
      <c r="A2907" s="3" t="s">
        <v>2810</v>
      </c>
      <c r="B2907" s="3" t="str">
        <f t="shared" si="1"/>
        <v>0.04</v>
      </c>
      <c r="C2907" s="1" t="str">
        <f t="array" ref="C2907">IF(B2906="NEW ROUTE",TEXTSPLIT(B2907,","),"")</f>
        <v/>
      </c>
      <c r="H2907" s="1" t="str">
        <f t="shared" ref="H2907:I2907" si="2909">IF(C2907&lt;&gt;"",DEC2HEX(C2907,2),"")</f>
        <v/>
      </c>
      <c r="I2907" s="1" t="str">
        <f t="shared" si="2909"/>
        <v/>
      </c>
      <c r="J2907" s="1" t="str">
        <f t="shared" si="3"/>
        <v/>
      </c>
      <c r="L2907" s="1" t="s">
        <v>2810</v>
      </c>
      <c r="M2907" s="1" t="str">
        <f t="shared" si="4"/>
        <v>0.04</v>
      </c>
    </row>
    <row r="2908" ht="12.75" customHeight="1">
      <c r="A2908" s="3" t="s">
        <v>3671</v>
      </c>
      <c r="B2908" s="3" t="str">
        <f t="shared" si="1"/>
        <v>14, 14, HOUNDOUR</v>
      </c>
      <c r="C2908" s="1" t="str">
        <f t="array" ref="C2908">IF(B2907="NEW ROUTE",TEXTSPLIT(B2908,","),"")</f>
        <v/>
      </c>
      <c r="H2908" s="1" t="str">
        <f t="shared" ref="H2908:I2908" si="2910">IF(C2908&lt;&gt;"",DEC2HEX(C2908,2),"")</f>
        <v/>
      </c>
      <c r="I2908" s="1" t="str">
        <f t="shared" si="2910"/>
        <v/>
      </c>
      <c r="J2908" s="1" t="str">
        <f t="shared" si="3"/>
        <v/>
      </c>
      <c r="L2908" s="1" t="s">
        <v>3671</v>
      </c>
      <c r="M2908" s="1" t="str">
        <f t="shared" si="4"/>
        <v>14, 14, HOUNDOUR</v>
      </c>
    </row>
    <row r="2909" ht="12.75" customHeight="1">
      <c r="A2909" s="3" t="s">
        <v>3672</v>
      </c>
      <c r="B2909" s="3" t="str">
        <f t="shared" si="1"/>
        <v>20, 20, HOUNDOUR</v>
      </c>
      <c r="C2909" s="1" t="str">
        <f t="array" ref="C2909">IF(B2908="NEW ROUTE",TEXTSPLIT(B2909,","),"")</f>
        <v/>
      </c>
      <c r="H2909" s="1" t="str">
        <f t="shared" ref="H2909:I2909" si="2911">IF(C2909&lt;&gt;"",DEC2HEX(C2909,2),"")</f>
        <v/>
      </c>
      <c r="I2909" s="1" t="str">
        <f t="shared" si="2911"/>
        <v/>
      </c>
      <c r="J2909" s="1" t="str">
        <f t="shared" si="3"/>
        <v/>
      </c>
      <c r="L2909" s="1" t="s">
        <v>3672</v>
      </c>
      <c r="M2909" s="1" t="str">
        <f t="shared" si="4"/>
        <v>20, 20, HOUNDOUR</v>
      </c>
    </row>
    <row r="2910" ht="12.75" customHeight="1">
      <c r="A2910" s="3" t="s">
        <v>2813</v>
      </c>
      <c r="B2910" s="3" t="str">
        <f t="shared" si="1"/>
        <v>0.01</v>
      </c>
      <c r="C2910" s="1" t="str">
        <f t="array" ref="C2910">IF(B2909="NEW ROUTE",TEXTSPLIT(B2910,","),"")</f>
        <v/>
      </c>
      <c r="H2910" s="1" t="str">
        <f t="shared" ref="H2910:I2910" si="2912">IF(C2910&lt;&gt;"",DEC2HEX(C2910,2),"")</f>
        <v/>
      </c>
      <c r="I2910" s="1" t="str">
        <f t="shared" si="2912"/>
        <v/>
      </c>
      <c r="J2910" s="1" t="str">
        <f t="shared" si="3"/>
        <v/>
      </c>
      <c r="L2910" s="1" t="s">
        <v>2813</v>
      </c>
      <c r="M2910" s="1" t="str">
        <f t="shared" si="4"/>
        <v>0.01</v>
      </c>
    </row>
    <row r="2911" ht="12.75" customHeight="1">
      <c r="A2911" s="3" t="s">
        <v>3671</v>
      </c>
      <c r="B2911" s="3" t="str">
        <f t="shared" si="1"/>
        <v>14, 14, HOUNDOUR</v>
      </c>
      <c r="C2911" s="1" t="str">
        <f t="array" ref="C2911">IF(B2910="NEW ROUTE",TEXTSPLIT(B2911,","),"")</f>
        <v/>
      </c>
      <c r="H2911" s="1" t="str">
        <f t="shared" ref="H2911:I2911" si="2913">IF(C2911&lt;&gt;"",DEC2HEX(C2911,2),"")</f>
        <v/>
      </c>
      <c r="I2911" s="1" t="str">
        <f t="shared" si="2913"/>
        <v/>
      </c>
      <c r="J2911" s="1" t="str">
        <f t="shared" si="3"/>
        <v/>
      </c>
      <c r="L2911" s="1" t="s">
        <v>3671</v>
      </c>
      <c r="M2911" s="1" t="str">
        <f t="shared" si="4"/>
        <v>14, 14, HOUNDOUR</v>
      </c>
    </row>
    <row r="2912" ht="12.75" customHeight="1">
      <c r="A2912" s="3" t="s">
        <v>3675</v>
      </c>
      <c r="B2912" s="3" t="str">
        <f t="shared" si="1"/>
        <v>20, 20, HOUNDOUR , &lt;null&gt;, &lt;null&gt;, &lt;null&gt;</v>
      </c>
      <c r="C2912" s="1" t="str">
        <f t="array" ref="C2912">IF(B2911="NEW ROUTE",TEXTSPLIT(B2912,","),"")</f>
        <v/>
      </c>
      <c r="H2912" s="1" t="str">
        <f t="shared" ref="H2912:I2912" si="2914">IF(C2912&lt;&gt;"",DEC2HEX(C2912,2),"")</f>
        <v/>
      </c>
      <c r="I2912" s="1" t="str">
        <f t="shared" si="2914"/>
        <v/>
      </c>
      <c r="J2912" s="1" t="str">
        <f t="shared" si="3"/>
        <v/>
      </c>
      <c r="L2912" s="1" t="s">
        <v>3675</v>
      </c>
      <c r="M2912" s="1" t="str">
        <f t="shared" si="4"/>
        <v>20, 20, HOUNDOUR , &lt;null&gt;, &lt;null&gt;, &lt;null&gt;</v>
      </c>
    </row>
    <row r="2913" ht="12.75" customHeight="1">
      <c r="A2913" s="3" t="s">
        <v>2539</v>
      </c>
      <c r="B2913" s="3" t="str">
        <f t="shared" si="1"/>
        <v>NEW ROUTE</v>
      </c>
      <c r="C2913" s="1" t="str">
        <f t="array" ref="C2913">IF(B2912="NEW ROUTE",TEXTSPLIT(B2913,","),"")</f>
        <v/>
      </c>
      <c r="H2913" s="1" t="str">
        <f t="shared" ref="H2913:I2913" si="2915">IF(C2913&lt;&gt;"",DEC2HEX(C2913,2),"")</f>
        <v/>
      </c>
      <c r="I2913" s="1" t="str">
        <f t="shared" si="2915"/>
        <v/>
      </c>
      <c r="J2913" s="1" t="str">
        <f t="shared" si="3"/>
        <v/>
      </c>
      <c r="L2913" s="1" t="s">
        <v>2539</v>
      </c>
      <c r="M2913" s="1" t="str">
        <f t="shared" si="4"/>
        <v>NEW ROUTE</v>
      </c>
    </row>
    <row r="2914" ht="12.75" customHeight="1">
      <c r="A2914" s="3" t="s">
        <v>3650</v>
      </c>
      <c r="B2914" s="3" t="str">
        <f t="shared" si="1"/>
        <v>1, 122, 0,</v>
      </c>
      <c r="C2914" s="1" t="str">
        <f t="array" ref="C2914">IF(B2913="NEW ROUTE",TEXTSPLIT(B2914,","),"")</f>
        <v>#NAME?</v>
      </c>
      <c r="H2914" s="1" t="str">
        <f t="shared" ref="H2914:I2914" si="2916">IF(C2914&lt;&gt;"",DEC2HEX(C2914,2),"")</f>
        <v>#NAME?</v>
      </c>
      <c r="I2914" s="1" t="str">
        <f t="shared" si="2916"/>
        <v/>
      </c>
      <c r="J2914" s="1" t="str">
        <f t="shared" si="3"/>
        <v>#NAME?</v>
      </c>
      <c r="L2914" s="1" t="s">
        <v>3650</v>
      </c>
      <c r="M2914" s="1" t="str">
        <f t="shared" si="4"/>
        <v>#NAME?</v>
      </c>
    </row>
    <row r="2915" ht="12.75" customHeight="1">
      <c r="A2915" s="3" t="s">
        <v>2817</v>
      </c>
      <c r="B2915" s="3" t="str">
        <f t="shared" si="1"/>
        <v>20%</v>
      </c>
      <c r="C2915" s="1" t="str">
        <f t="array" ref="C2915">IF(B2914="NEW ROUTE",TEXTSPLIT(B2915,","),"")</f>
        <v/>
      </c>
      <c r="H2915" s="1" t="str">
        <f t="shared" ref="H2915:I2915" si="2917">IF(C2915&lt;&gt;"",DEC2HEX(C2915,2),"")</f>
        <v/>
      </c>
      <c r="I2915" s="1" t="str">
        <f t="shared" si="2917"/>
        <v/>
      </c>
      <c r="J2915" s="1" t="str">
        <f t="shared" si="3"/>
        <v/>
      </c>
      <c r="L2915" s="1" t="s">
        <v>2799</v>
      </c>
      <c r="M2915" s="1" t="str">
        <f t="shared" si="4"/>
        <v>20%</v>
      </c>
    </row>
    <row r="2916" ht="12.75" customHeight="1">
      <c r="A2916" s="3" t="s">
        <v>1322</v>
      </c>
      <c r="B2916" s="3" t="str">
        <f t="shared" si="1"/>
        <v>22, 22, TEDDIURSA</v>
      </c>
      <c r="C2916" s="1" t="str">
        <f t="array" ref="C2916">IF(B2915="NEW ROUTE",TEXTSPLIT(B2916,","),"")</f>
        <v/>
      </c>
      <c r="H2916" s="1" t="str">
        <f t="shared" ref="H2916:I2916" si="2918">IF(C2916&lt;&gt;"",DEC2HEX(C2916,2),"")</f>
        <v/>
      </c>
      <c r="I2916" s="1" t="str">
        <f t="shared" si="2918"/>
        <v/>
      </c>
      <c r="J2916" s="1" t="str">
        <f t="shared" si="3"/>
        <v/>
      </c>
      <c r="L2916" s="1" t="s">
        <v>1322</v>
      </c>
      <c r="M2916" s="1" t="str">
        <f t="shared" si="4"/>
        <v>22, 22, TEDDIURSA</v>
      </c>
    </row>
    <row r="2917" ht="12.75" customHeight="1">
      <c r="A2917" s="3" t="s">
        <v>3676</v>
      </c>
      <c r="B2917" s="3" t="str">
        <f t="shared" si="1"/>
        <v>24, 24, TEDDIURSA</v>
      </c>
      <c r="C2917" s="1" t="str">
        <f t="array" ref="C2917">IF(B2916="NEW ROUTE",TEXTSPLIT(B2917,","),"")</f>
        <v/>
      </c>
      <c r="H2917" s="1" t="str">
        <f t="shared" ref="H2917:I2917" si="2919">IF(C2917&lt;&gt;"",DEC2HEX(C2917,2),"")</f>
        <v/>
      </c>
      <c r="I2917" s="1" t="str">
        <f t="shared" si="2919"/>
        <v/>
      </c>
      <c r="J2917" s="1" t="str">
        <f t="shared" si="3"/>
        <v/>
      </c>
      <c r="L2917" s="1" t="s">
        <v>3676</v>
      </c>
      <c r="M2917" s="1" t="str">
        <f t="shared" si="4"/>
        <v>24, 24, TEDDIURSA</v>
      </c>
    </row>
    <row r="2918" ht="12.75" customHeight="1">
      <c r="A2918" s="3" t="s">
        <v>2802</v>
      </c>
      <c r="B2918" s="3" t="str">
        <f t="shared" si="1"/>
        <v>0.1</v>
      </c>
      <c r="C2918" s="1" t="str">
        <f t="array" ref="C2918">IF(B2917="NEW ROUTE",TEXTSPLIT(B2918,","),"")</f>
        <v/>
      </c>
      <c r="H2918" s="1" t="str">
        <f t="shared" ref="H2918:I2918" si="2920">IF(C2918&lt;&gt;"",DEC2HEX(C2918,2),"")</f>
        <v/>
      </c>
      <c r="I2918" s="1" t="str">
        <f t="shared" si="2920"/>
        <v/>
      </c>
      <c r="J2918" s="1" t="str">
        <f t="shared" si="3"/>
        <v/>
      </c>
      <c r="L2918" s="1" t="s">
        <v>2802</v>
      </c>
      <c r="M2918" s="1" t="str">
        <f t="shared" si="4"/>
        <v>0.1</v>
      </c>
    </row>
    <row r="2919" ht="12.75" customHeight="1">
      <c r="A2919" s="3" t="s">
        <v>3677</v>
      </c>
      <c r="B2919" s="3" t="str">
        <f t="shared" si="1"/>
        <v>20, 20, TEDDIURSA</v>
      </c>
      <c r="C2919" s="1" t="str">
        <f t="array" ref="C2919">IF(B2918="NEW ROUTE",TEXTSPLIT(B2919,","),"")</f>
        <v/>
      </c>
      <c r="H2919" s="1" t="str">
        <f t="shared" ref="H2919:I2919" si="2921">IF(C2919&lt;&gt;"",DEC2HEX(C2919,2),"")</f>
        <v/>
      </c>
      <c r="I2919" s="1" t="str">
        <f t="shared" si="2921"/>
        <v/>
      </c>
      <c r="J2919" s="1" t="str">
        <f t="shared" si="3"/>
        <v/>
      </c>
      <c r="L2919" s="1" t="s">
        <v>3677</v>
      </c>
      <c r="M2919" s="1" t="str">
        <f t="shared" si="4"/>
        <v>20, 20, TEDDIURSA</v>
      </c>
    </row>
    <row r="2920" ht="12.75" customHeight="1">
      <c r="A2920" s="3" t="s">
        <v>3678</v>
      </c>
      <c r="B2920" s="3" t="str">
        <f t="shared" si="1"/>
        <v>26, 26, TEDDIURSA</v>
      </c>
      <c r="C2920" s="1" t="str">
        <f t="array" ref="C2920">IF(B2919="NEW ROUTE",TEXTSPLIT(B2920,","),"")</f>
        <v/>
      </c>
      <c r="H2920" s="1" t="str">
        <f t="shared" ref="H2920:I2920" si="2922">IF(C2920&lt;&gt;"",DEC2HEX(C2920,2),"")</f>
        <v/>
      </c>
      <c r="I2920" s="1" t="str">
        <f t="shared" si="2922"/>
        <v/>
      </c>
      <c r="J2920" s="1" t="str">
        <f t="shared" si="3"/>
        <v/>
      </c>
      <c r="L2920" s="1" t="s">
        <v>3678</v>
      </c>
      <c r="M2920" s="1" t="str">
        <f t="shared" si="4"/>
        <v>26, 26, TEDDIURSA</v>
      </c>
    </row>
    <row r="2921" ht="12.75" customHeight="1">
      <c r="A2921" s="3" t="s">
        <v>1322</v>
      </c>
      <c r="B2921" s="3" t="str">
        <f t="shared" si="1"/>
        <v>22, 22, TEDDIURSA</v>
      </c>
      <c r="C2921" s="1" t="str">
        <f t="array" ref="C2921">IF(B2920="NEW ROUTE",TEXTSPLIT(B2921,","),"")</f>
        <v/>
      </c>
      <c r="H2921" s="1" t="str">
        <f t="shared" ref="H2921:I2921" si="2923">IF(C2921&lt;&gt;"",DEC2HEX(C2921,2),"")</f>
        <v/>
      </c>
      <c r="I2921" s="1" t="str">
        <f t="shared" si="2923"/>
        <v/>
      </c>
      <c r="J2921" s="1" t="str">
        <f t="shared" si="3"/>
        <v/>
      </c>
      <c r="L2921" s="1" t="s">
        <v>1322</v>
      </c>
      <c r="M2921" s="1" t="str">
        <f t="shared" si="4"/>
        <v>22, 22, TEDDIURSA</v>
      </c>
    </row>
    <row r="2922" ht="12.75" customHeight="1">
      <c r="A2922" s="3" t="s">
        <v>3676</v>
      </c>
      <c r="B2922" s="3" t="str">
        <f t="shared" si="1"/>
        <v>24, 24, TEDDIURSA</v>
      </c>
      <c r="C2922" s="1" t="str">
        <f t="array" ref="C2922">IF(B2921="NEW ROUTE",TEXTSPLIT(B2922,","),"")</f>
        <v/>
      </c>
      <c r="H2922" s="1" t="str">
        <f t="shared" ref="H2922:I2922" si="2924">IF(C2922&lt;&gt;"",DEC2HEX(C2922,2),"")</f>
        <v/>
      </c>
      <c r="I2922" s="1" t="str">
        <f t="shared" si="2924"/>
        <v/>
      </c>
      <c r="J2922" s="1" t="str">
        <f t="shared" si="3"/>
        <v/>
      </c>
      <c r="L2922" s="1" t="s">
        <v>3676</v>
      </c>
      <c r="M2922" s="1" t="str">
        <f t="shared" si="4"/>
        <v>24, 24, TEDDIURSA</v>
      </c>
    </row>
    <row r="2923" ht="12.75" customHeight="1">
      <c r="A2923" s="3" t="s">
        <v>2807</v>
      </c>
      <c r="B2923" s="3" t="str">
        <f t="shared" si="1"/>
        <v>0.05</v>
      </c>
      <c r="C2923" s="1" t="str">
        <f t="array" ref="C2923">IF(B2922="NEW ROUTE",TEXTSPLIT(B2923,","),"")</f>
        <v/>
      </c>
      <c r="H2923" s="1" t="str">
        <f t="shared" ref="H2923:I2923" si="2925">IF(C2923&lt;&gt;"",DEC2HEX(C2923,2),"")</f>
        <v/>
      </c>
      <c r="I2923" s="1" t="str">
        <f t="shared" si="2925"/>
        <v/>
      </c>
      <c r="J2923" s="1" t="str">
        <f t="shared" si="3"/>
        <v/>
      </c>
      <c r="L2923" s="1" t="s">
        <v>2807</v>
      </c>
      <c r="M2923" s="1" t="str">
        <f t="shared" si="4"/>
        <v>0.05</v>
      </c>
    </row>
    <row r="2924" ht="12.75" customHeight="1">
      <c r="A2924" s="3" t="s">
        <v>3679</v>
      </c>
      <c r="B2924" s="3" t="str">
        <f t="shared" si="1"/>
        <v>28, 28, TEDDIURSA</v>
      </c>
      <c r="C2924" s="1" t="str">
        <f t="array" ref="C2924">IF(B2923="NEW ROUTE",TEXTSPLIT(B2924,","),"")</f>
        <v/>
      </c>
      <c r="H2924" s="1" t="str">
        <f t="shared" ref="H2924:I2924" si="2926">IF(C2924&lt;&gt;"",DEC2HEX(C2924,2),"")</f>
        <v/>
      </c>
      <c r="I2924" s="1" t="str">
        <f t="shared" si="2926"/>
        <v/>
      </c>
      <c r="J2924" s="1" t="str">
        <f t="shared" si="3"/>
        <v/>
      </c>
      <c r="L2924" s="1" t="s">
        <v>3679</v>
      </c>
      <c r="M2924" s="1" t="str">
        <f t="shared" si="4"/>
        <v>28, 28, TEDDIURSA</v>
      </c>
    </row>
    <row r="2925" ht="12.75" customHeight="1">
      <c r="A2925" s="3" t="s">
        <v>3680</v>
      </c>
      <c r="B2925" s="3" t="str">
        <f t="shared" si="1"/>
        <v>18, 18, TEDDIURSA</v>
      </c>
      <c r="C2925" s="1" t="str">
        <f t="array" ref="C2925">IF(B2924="NEW ROUTE",TEXTSPLIT(B2925,","),"")</f>
        <v/>
      </c>
      <c r="H2925" s="1" t="str">
        <f t="shared" ref="H2925:I2925" si="2927">IF(C2925&lt;&gt;"",DEC2HEX(C2925,2),"")</f>
        <v/>
      </c>
      <c r="I2925" s="1" t="str">
        <f t="shared" si="2927"/>
        <v/>
      </c>
      <c r="J2925" s="1" t="str">
        <f t="shared" si="3"/>
        <v/>
      </c>
      <c r="L2925" s="1" t="s">
        <v>3680</v>
      </c>
      <c r="M2925" s="1" t="str">
        <f t="shared" si="4"/>
        <v>18, 18, TEDDIURSA</v>
      </c>
    </row>
    <row r="2926" ht="12.75" customHeight="1">
      <c r="A2926" s="3" t="s">
        <v>2810</v>
      </c>
      <c r="B2926" s="3" t="str">
        <f t="shared" si="1"/>
        <v>0.04</v>
      </c>
      <c r="C2926" s="1" t="str">
        <f t="array" ref="C2926">IF(B2925="NEW ROUTE",TEXTSPLIT(B2926,","),"")</f>
        <v/>
      </c>
      <c r="H2926" s="1" t="str">
        <f t="shared" ref="H2926:I2926" si="2928">IF(C2926&lt;&gt;"",DEC2HEX(C2926,2),"")</f>
        <v/>
      </c>
      <c r="I2926" s="1" t="str">
        <f t="shared" si="2928"/>
        <v/>
      </c>
      <c r="J2926" s="1" t="str">
        <f t="shared" si="3"/>
        <v/>
      </c>
      <c r="L2926" s="1" t="s">
        <v>2810</v>
      </c>
      <c r="M2926" s="1" t="str">
        <f t="shared" si="4"/>
        <v>0.04</v>
      </c>
    </row>
    <row r="2927" ht="12.75" customHeight="1">
      <c r="A2927" s="3" t="s">
        <v>3677</v>
      </c>
      <c r="B2927" s="3" t="str">
        <f t="shared" si="1"/>
        <v>20, 20, TEDDIURSA</v>
      </c>
      <c r="C2927" s="1" t="str">
        <f t="array" ref="C2927">IF(B2926="NEW ROUTE",TEXTSPLIT(B2927,","),"")</f>
        <v/>
      </c>
      <c r="H2927" s="1" t="str">
        <f t="shared" ref="H2927:I2927" si="2929">IF(C2927&lt;&gt;"",DEC2HEX(C2927,2),"")</f>
        <v/>
      </c>
      <c r="I2927" s="1" t="str">
        <f t="shared" si="2929"/>
        <v/>
      </c>
      <c r="J2927" s="1" t="str">
        <f t="shared" si="3"/>
        <v/>
      </c>
      <c r="L2927" s="1" t="s">
        <v>3677</v>
      </c>
      <c r="M2927" s="1" t="str">
        <f t="shared" si="4"/>
        <v>20, 20, TEDDIURSA</v>
      </c>
    </row>
    <row r="2928" ht="12.75" customHeight="1">
      <c r="A2928" s="3" t="s">
        <v>3678</v>
      </c>
      <c r="B2928" s="3" t="str">
        <f t="shared" si="1"/>
        <v>26, 26, TEDDIURSA</v>
      </c>
      <c r="C2928" s="1" t="str">
        <f t="array" ref="C2928">IF(B2927="NEW ROUTE",TEXTSPLIT(B2928,","),"")</f>
        <v/>
      </c>
      <c r="H2928" s="1" t="str">
        <f t="shared" ref="H2928:I2928" si="2930">IF(C2928&lt;&gt;"",DEC2HEX(C2928,2),"")</f>
        <v/>
      </c>
      <c r="I2928" s="1" t="str">
        <f t="shared" si="2930"/>
        <v/>
      </c>
      <c r="J2928" s="1" t="str">
        <f t="shared" si="3"/>
        <v/>
      </c>
      <c r="L2928" s="1" t="s">
        <v>3678</v>
      </c>
      <c r="M2928" s="1" t="str">
        <f t="shared" si="4"/>
        <v>26, 26, TEDDIURSA</v>
      </c>
    </row>
    <row r="2929" ht="12.75" customHeight="1">
      <c r="A2929" s="3" t="s">
        <v>2813</v>
      </c>
      <c r="B2929" s="3" t="str">
        <f t="shared" si="1"/>
        <v>0.01</v>
      </c>
      <c r="C2929" s="1" t="str">
        <f t="array" ref="C2929">IF(B2928="NEW ROUTE",TEXTSPLIT(B2929,","),"")</f>
        <v/>
      </c>
      <c r="H2929" s="1" t="str">
        <f t="shared" ref="H2929:I2929" si="2931">IF(C2929&lt;&gt;"",DEC2HEX(C2929,2),"")</f>
        <v/>
      </c>
      <c r="I2929" s="1" t="str">
        <f t="shared" si="2931"/>
        <v/>
      </c>
      <c r="J2929" s="1" t="str">
        <f t="shared" si="3"/>
        <v/>
      </c>
      <c r="L2929" s="1" t="s">
        <v>2813</v>
      </c>
      <c r="M2929" s="1" t="str">
        <f t="shared" si="4"/>
        <v>0.01</v>
      </c>
    </row>
    <row r="2930" ht="12.75" customHeight="1">
      <c r="A2930" s="3" t="s">
        <v>3677</v>
      </c>
      <c r="B2930" s="3" t="str">
        <f t="shared" si="1"/>
        <v>20, 20, TEDDIURSA</v>
      </c>
      <c r="C2930" s="1" t="str">
        <f t="array" ref="C2930">IF(B2929="NEW ROUTE",TEXTSPLIT(B2930,","),"")</f>
        <v/>
      </c>
      <c r="H2930" s="1" t="str">
        <f t="shared" ref="H2930:I2930" si="2932">IF(C2930&lt;&gt;"",DEC2HEX(C2930,2),"")</f>
        <v/>
      </c>
      <c r="I2930" s="1" t="str">
        <f t="shared" si="2932"/>
        <v/>
      </c>
      <c r="J2930" s="1" t="str">
        <f t="shared" si="3"/>
        <v/>
      </c>
      <c r="L2930" s="1" t="s">
        <v>3677</v>
      </c>
      <c r="M2930" s="1" t="str">
        <f t="shared" si="4"/>
        <v>20, 20, TEDDIURSA</v>
      </c>
    </row>
    <row r="2931" ht="12.75" customHeight="1">
      <c r="A2931" s="3" t="s">
        <v>3681</v>
      </c>
      <c r="B2931" s="3" t="str">
        <f t="shared" si="1"/>
        <v>26, 26, TEDDIURSA , &lt;null&gt;, &lt;null&gt;, &lt;null&gt;</v>
      </c>
      <c r="C2931" s="1" t="str">
        <f t="array" ref="C2931">IF(B2930="NEW ROUTE",TEXTSPLIT(B2931,","),"")</f>
        <v/>
      </c>
      <c r="H2931" s="1" t="str">
        <f t="shared" ref="H2931:I2931" si="2933">IF(C2931&lt;&gt;"",DEC2HEX(C2931,2),"")</f>
        <v/>
      </c>
      <c r="I2931" s="1" t="str">
        <f t="shared" si="2933"/>
        <v/>
      </c>
      <c r="J2931" s="1" t="str">
        <f t="shared" si="3"/>
        <v/>
      </c>
      <c r="L2931" s="1" t="s">
        <v>3681</v>
      </c>
      <c r="M2931" s="1" t="str">
        <f t="shared" si="4"/>
        <v>26, 26, TEDDIURSA , &lt;null&gt;, &lt;null&gt;, &lt;null&gt;</v>
      </c>
    </row>
    <row r="2932" ht="12.75" customHeight="1">
      <c r="A2932" s="3" t="s">
        <v>2539</v>
      </c>
      <c r="B2932" s="3" t="str">
        <f t="shared" si="1"/>
        <v>NEW ROUTE</v>
      </c>
      <c r="C2932" s="1" t="str">
        <f t="array" ref="C2932">IF(B2931="NEW ROUTE",TEXTSPLIT(B2932,","),"")</f>
        <v/>
      </c>
      <c r="H2932" s="1" t="str">
        <f t="shared" ref="H2932:I2932" si="2934">IF(C2932&lt;&gt;"",DEC2HEX(C2932,2),"")</f>
        <v/>
      </c>
      <c r="I2932" s="1" t="str">
        <f t="shared" si="2934"/>
        <v/>
      </c>
      <c r="J2932" s="1" t="str">
        <f t="shared" si="3"/>
        <v/>
      </c>
      <c r="L2932" s="1" t="s">
        <v>2539</v>
      </c>
      <c r="M2932" s="1" t="str">
        <f t="shared" si="4"/>
        <v>NEW ROUTE</v>
      </c>
    </row>
    <row r="2933" ht="12.75" customHeight="1">
      <c r="A2933" s="3" t="s">
        <v>3650</v>
      </c>
      <c r="B2933" s="3" t="str">
        <f t="shared" si="1"/>
        <v>1, 122, 0,</v>
      </c>
      <c r="C2933" s="1" t="str">
        <f t="array" ref="C2933">IF(B2932="NEW ROUTE",TEXTSPLIT(B2933,","),"")</f>
        <v>#NAME?</v>
      </c>
      <c r="H2933" s="1" t="str">
        <f t="shared" ref="H2933:I2933" si="2935">IF(C2933&lt;&gt;"",DEC2HEX(C2933,2),"")</f>
        <v>#NAME?</v>
      </c>
      <c r="I2933" s="1" t="str">
        <f t="shared" si="2935"/>
        <v/>
      </c>
      <c r="J2933" s="1" t="str">
        <f t="shared" si="3"/>
        <v>#NAME?</v>
      </c>
      <c r="L2933" s="1" t="s">
        <v>3650</v>
      </c>
      <c r="M2933" s="1" t="str">
        <f t="shared" si="4"/>
        <v>#NAME?</v>
      </c>
    </row>
    <row r="2934" ht="12.75" customHeight="1">
      <c r="A2934" s="3" t="s">
        <v>2817</v>
      </c>
      <c r="B2934" s="3" t="str">
        <f t="shared" si="1"/>
        <v>20%</v>
      </c>
      <c r="C2934" s="1" t="str">
        <f t="array" ref="C2934">IF(B2933="NEW ROUTE",TEXTSPLIT(B2934,","),"")</f>
        <v/>
      </c>
      <c r="H2934" s="1" t="str">
        <f t="shared" ref="H2934:I2934" si="2936">IF(C2934&lt;&gt;"",DEC2HEX(C2934,2),"")</f>
        <v/>
      </c>
      <c r="I2934" s="1" t="str">
        <f t="shared" si="2936"/>
        <v/>
      </c>
      <c r="J2934" s="1" t="str">
        <f t="shared" si="3"/>
        <v/>
      </c>
      <c r="L2934" s="1" t="s">
        <v>2799</v>
      </c>
      <c r="M2934" s="1" t="str">
        <f t="shared" si="4"/>
        <v>20%</v>
      </c>
    </row>
    <row r="2935" ht="12.75" customHeight="1">
      <c r="A2935" s="3" t="s">
        <v>1330</v>
      </c>
      <c r="B2935" s="3" t="str">
        <f t="shared" si="1"/>
        <v>22, 22, AIPOM</v>
      </c>
      <c r="C2935" s="1" t="str">
        <f t="array" ref="C2935">IF(B2934="NEW ROUTE",TEXTSPLIT(B2935,","),"")</f>
        <v/>
      </c>
      <c r="H2935" s="1" t="str">
        <f t="shared" ref="H2935:I2935" si="2937">IF(C2935&lt;&gt;"",DEC2HEX(C2935,2),"")</f>
        <v/>
      </c>
      <c r="I2935" s="1" t="str">
        <f t="shared" si="2937"/>
        <v/>
      </c>
      <c r="J2935" s="1" t="str">
        <f t="shared" si="3"/>
        <v/>
      </c>
      <c r="L2935" s="1" t="s">
        <v>1330</v>
      </c>
      <c r="M2935" s="1" t="str">
        <f t="shared" si="4"/>
        <v>22, 22, AIPOM</v>
      </c>
    </row>
    <row r="2936" ht="12.75" customHeight="1">
      <c r="A2936" s="3" t="s">
        <v>3682</v>
      </c>
      <c r="B2936" s="3" t="str">
        <f t="shared" si="1"/>
        <v>24, 24, AIPOM</v>
      </c>
      <c r="C2936" s="1" t="str">
        <f t="array" ref="C2936">IF(B2935="NEW ROUTE",TEXTSPLIT(B2936,","),"")</f>
        <v/>
      </c>
      <c r="H2936" s="1" t="str">
        <f t="shared" ref="H2936:I2936" si="2938">IF(C2936&lt;&gt;"",DEC2HEX(C2936,2),"")</f>
        <v/>
      </c>
      <c r="I2936" s="1" t="str">
        <f t="shared" si="2938"/>
        <v/>
      </c>
      <c r="J2936" s="1" t="str">
        <f t="shared" si="3"/>
        <v/>
      </c>
      <c r="L2936" s="1" t="s">
        <v>3682</v>
      </c>
      <c r="M2936" s="1" t="str">
        <f t="shared" si="4"/>
        <v>24, 24, AIPOM</v>
      </c>
    </row>
    <row r="2937" ht="12.75" customHeight="1">
      <c r="A2937" s="3" t="s">
        <v>2802</v>
      </c>
      <c r="B2937" s="3" t="str">
        <f t="shared" si="1"/>
        <v>0.1</v>
      </c>
      <c r="C2937" s="1" t="str">
        <f t="array" ref="C2937">IF(B2936="NEW ROUTE",TEXTSPLIT(B2937,","),"")</f>
        <v/>
      </c>
      <c r="H2937" s="1" t="str">
        <f t="shared" ref="H2937:I2937" si="2939">IF(C2937&lt;&gt;"",DEC2HEX(C2937,2),"")</f>
        <v/>
      </c>
      <c r="I2937" s="1" t="str">
        <f t="shared" si="2939"/>
        <v/>
      </c>
      <c r="J2937" s="1" t="str">
        <f t="shared" si="3"/>
        <v/>
      </c>
      <c r="L2937" s="1" t="s">
        <v>2802</v>
      </c>
      <c r="M2937" s="1" t="str">
        <f t="shared" si="4"/>
        <v>0.1</v>
      </c>
    </row>
    <row r="2938" ht="12.75" customHeight="1">
      <c r="A2938" s="3" t="s">
        <v>3683</v>
      </c>
      <c r="B2938" s="3" t="str">
        <f t="shared" si="1"/>
        <v>20, 20, AIPOM</v>
      </c>
      <c r="C2938" s="1" t="str">
        <f t="array" ref="C2938">IF(B2937="NEW ROUTE",TEXTSPLIT(B2938,","),"")</f>
        <v/>
      </c>
      <c r="H2938" s="1" t="str">
        <f t="shared" ref="H2938:I2938" si="2940">IF(C2938&lt;&gt;"",DEC2HEX(C2938,2),"")</f>
        <v/>
      </c>
      <c r="I2938" s="1" t="str">
        <f t="shared" si="2940"/>
        <v/>
      </c>
      <c r="J2938" s="1" t="str">
        <f t="shared" si="3"/>
        <v/>
      </c>
      <c r="L2938" s="1" t="s">
        <v>3683</v>
      </c>
      <c r="M2938" s="1" t="str">
        <f t="shared" si="4"/>
        <v>20, 20, AIPOM</v>
      </c>
    </row>
    <row r="2939" ht="12.75" customHeight="1">
      <c r="A2939" s="3" t="s">
        <v>3684</v>
      </c>
      <c r="B2939" s="3" t="str">
        <f t="shared" si="1"/>
        <v>26, 26, AIPOM</v>
      </c>
      <c r="C2939" s="1" t="str">
        <f t="array" ref="C2939">IF(B2938="NEW ROUTE",TEXTSPLIT(B2939,","),"")</f>
        <v/>
      </c>
      <c r="H2939" s="1" t="str">
        <f t="shared" ref="H2939:I2939" si="2941">IF(C2939&lt;&gt;"",DEC2HEX(C2939,2),"")</f>
        <v/>
      </c>
      <c r="I2939" s="1" t="str">
        <f t="shared" si="2941"/>
        <v/>
      </c>
      <c r="J2939" s="1" t="str">
        <f t="shared" si="3"/>
        <v/>
      </c>
      <c r="L2939" s="1" t="s">
        <v>3684</v>
      </c>
      <c r="M2939" s="1" t="str">
        <f t="shared" si="4"/>
        <v>26, 26, AIPOM</v>
      </c>
    </row>
    <row r="2940" ht="12.75" customHeight="1">
      <c r="A2940" s="3" t="s">
        <v>1330</v>
      </c>
      <c r="B2940" s="3" t="str">
        <f t="shared" si="1"/>
        <v>22, 22, AIPOM</v>
      </c>
      <c r="C2940" s="1" t="str">
        <f t="array" ref="C2940">IF(B2939="NEW ROUTE",TEXTSPLIT(B2940,","),"")</f>
        <v/>
      </c>
      <c r="H2940" s="1" t="str">
        <f t="shared" ref="H2940:I2940" si="2942">IF(C2940&lt;&gt;"",DEC2HEX(C2940,2),"")</f>
        <v/>
      </c>
      <c r="I2940" s="1" t="str">
        <f t="shared" si="2942"/>
        <v/>
      </c>
      <c r="J2940" s="1" t="str">
        <f t="shared" si="3"/>
        <v/>
      </c>
      <c r="L2940" s="1" t="s">
        <v>1330</v>
      </c>
      <c r="M2940" s="1" t="str">
        <f t="shared" si="4"/>
        <v>22, 22, AIPOM</v>
      </c>
    </row>
    <row r="2941" ht="12.75" customHeight="1">
      <c r="A2941" s="3" t="s">
        <v>3682</v>
      </c>
      <c r="B2941" s="3" t="str">
        <f t="shared" si="1"/>
        <v>24, 24, AIPOM</v>
      </c>
      <c r="C2941" s="1" t="str">
        <f t="array" ref="C2941">IF(B2940="NEW ROUTE",TEXTSPLIT(B2941,","),"")</f>
        <v/>
      </c>
      <c r="H2941" s="1" t="str">
        <f t="shared" ref="H2941:I2941" si="2943">IF(C2941&lt;&gt;"",DEC2HEX(C2941,2),"")</f>
        <v/>
      </c>
      <c r="I2941" s="1" t="str">
        <f t="shared" si="2943"/>
        <v/>
      </c>
      <c r="J2941" s="1" t="str">
        <f t="shared" si="3"/>
        <v/>
      </c>
      <c r="L2941" s="1" t="s">
        <v>3682</v>
      </c>
      <c r="M2941" s="1" t="str">
        <f t="shared" si="4"/>
        <v>24, 24, AIPOM</v>
      </c>
    </row>
    <row r="2942" ht="12.75" customHeight="1">
      <c r="A2942" s="3" t="s">
        <v>2807</v>
      </c>
      <c r="B2942" s="3" t="str">
        <f t="shared" si="1"/>
        <v>0.05</v>
      </c>
      <c r="C2942" s="1" t="str">
        <f t="array" ref="C2942">IF(B2941="NEW ROUTE",TEXTSPLIT(B2942,","),"")</f>
        <v/>
      </c>
      <c r="H2942" s="1" t="str">
        <f t="shared" ref="H2942:I2942" si="2944">IF(C2942&lt;&gt;"",DEC2HEX(C2942,2),"")</f>
        <v/>
      </c>
      <c r="I2942" s="1" t="str">
        <f t="shared" si="2944"/>
        <v/>
      </c>
      <c r="J2942" s="1" t="str">
        <f t="shared" si="3"/>
        <v/>
      </c>
      <c r="L2942" s="1" t="s">
        <v>2807</v>
      </c>
      <c r="M2942" s="1" t="str">
        <f t="shared" si="4"/>
        <v>0.05</v>
      </c>
    </row>
    <row r="2943" ht="12.75" customHeight="1">
      <c r="A2943" s="3" t="s">
        <v>3685</v>
      </c>
      <c r="B2943" s="3" t="str">
        <f t="shared" si="1"/>
        <v>28, 28, AIPOM</v>
      </c>
      <c r="C2943" s="1" t="str">
        <f t="array" ref="C2943">IF(B2942="NEW ROUTE",TEXTSPLIT(B2943,","),"")</f>
        <v/>
      </c>
      <c r="H2943" s="1" t="str">
        <f t="shared" ref="H2943:I2943" si="2945">IF(C2943&lt;&gt;"",DEC2HEX(C2943,2),"")</f>
        <v/>
      </c>
      <c r="I2943" s="1" t="str">
        <f t="shared" si="2945"/>
        <v/>
      </c>
      <c r="J2943" s="1" t="str">
        <f t="shared" si="3"/>
        <v/>
      </c>
      <c r="L2943" s="1" t="s">
        <v>3685</v>
      </c>
      <c r="M2943" s="1" t="str">
        <f t="shared" si="4"/>
        <v>28, 28, AIPOM</v>
      </c>
    </row>
    <row r="2944" ht="12.75" customHeight="1">
      <c r="A2944" s="3" t="s">
        <v>3686</v>
      </c>
      <c r="B2944" s="3" t="str">
        <f t="shared" si="1"/>
        <v>18, 18, AIPOM</v>
      </c>
      <c r="C2944" s="1" t="str">
        <f t="array" ref="C2944">IF(B2943="NEW ROUTE",TEXTSPLIT(B2944,","),"")</f>
        <v/>
      </c>
      <c r="H2944" s="1" t="str">
        <f t="shared" ref="H2944:I2944" si="2946">IF(C2944&lt;&gt;"",DEC2HEX(C2944,2),"")</f>
        <v/>
      </c>
      <c r="I2944" s="1" t="str">
        <f t="shared" si="2946"/>
        <v/>
      </c>
      <c r="J2944" s="1" t="str">
        <f t="shared" si="3"/>
        <v/>
      </c>
      <c r="L2944" s="1" t="s">
        <v>3686</v>
      </c>
      <c r="M2944" s="1" t="str">
        <f t="shared" si="4"/>
        <v>18, 18, AIPOM</v>
      </c>
    </row>
    <row r="2945" ht="12.75" customHeight="1">
      <c r="A2945" s="3" t="s">
        <v>2810</v>
      </c>
      <c r="B2945" s="3" t="str">
        <f t="shared" si="1"/>
        <v>0.04</v>
      </c>
      <c r="C2945" s="1" t="str">
        <f t="array" ref="C2945">IF(B2944="NEW ROUTE",TEXTSPLIT(B2945,","),"")</f>
        <v/>
      </c>
      <c r="H2945" s="1" t="str">
        <f t="shared" ref="H2945:I2945" si="2947">IF(C2945&lt;&gt;"",DEC2HEX(C2945,2),"")</f>
        <v/>
      </c>
      <c r="I2945" s="1" t="str">
        <f t="shared" si="2947"/>
        <v/>
      </c>
      <c r="J2945" s="1" t="str">
        <f t="shared" si="3"/>
        <v/>
      </c>
      <c r="L2945" s="1" t="s">
        <v>2810</v>
      </c>
      <c r="M2945" s="1" t="str">
        <f t="shared" si="4"/>
        <v>0.04</v>
      </c>
    </row>
    <row r="2946" ht="12.75" customHeight="1">
      <c r="A2946" s="3" t="s">
        <v>3683</v>
      </c>
      <c r="B2946" s="3" t="str">
        <f t="shared" si="1"/>
        <v>20, 20, AIPOM</v>
      </c>
      <c r="C2946" s="1" t="str">
        <f t="array" ref="C2946">IF(B2945="NEW ROUTE",TEXTSPLIT(B2946,","),"")</f>
        <v/>
      </c>
      <c r="H2946" s="1" t="str">
        <f t="shared" ref="H2946:I2946" si="2948">IF(C2946&lt;&gt;"",DEC2HEX(C2946,2),"")</f>
        <v/>
      </c>
      <c r="I2946" s="1" t="str">
        <f t="shared" si="2948"/>
        <v/>
      </c>
      <c r="J2946" s="1" t="str">
        <f t="shared" si="3"/>
        <v/>
      </c>
      <c r="L2946" s="1" t="s">
        <v>3683</v>
      </c>
      <c r="M2946" s="1" t="str">
        <f t="shared" si="4"/>
        <v>20, 20, AIPOM</v>
      </c>
    </row>
    <row r="2947" ht="12.75" customHeight="1">
      <c r="A2947" s="3" t="s">
        <v>3684</v>
      </c>
      <c r="B2947" s="3" t="str">
        <f t="shared" si="1"/>
        <v>26, 26, AIPOM</v>
      </c>
      <c r="C2947" s="1" t="str">
        <f t="array" ref="C2947">IF(B2946="NEW ROUTE",TEXTSPLIT(B2947,","),"")</f>
        <v/>
      </c>
      <c r="H2947" s="1" t="str">
        <f t="shared" ref="H2947:I2947" si="2949">IF(C2947&lt;&gt;"",DEC2HEX(C2947,2),"")</f>
        <v/>
      </c>
      <c r="I2947" s="1" t="str">
        <f t="shared" si="2949"/>
        <v/>
      </c>
      <c r="J2947" s="1" t="str">
        <f t="shared" si="3"/>
        <v/>
      </c>
      <c r="L2947" s="1" t="s">
        <v>3684</v>
      </c>
      <c r="M2947" s="1" t="str">
        <f t="shared" si="4"/>
        <v>26, 26, AIPOM</v>
      </c>
    </row>
    <row r="2948" ht="12.75" customHeight="1">
      <c r="A2948" s="3" t="s">
        <v>2813</v>
      </c>
      <c r="B2948" s="3" t="str">
        <f t="shared" si="1"/>
        <v>0.01</v>
      </c>
      <c r="C2948" s="1" t="str">
        <f t="array" ref="C2948">IF(B2947="NEW ROUTE",TEXTSPLIT(B2948,","),"")</f>
        <v/>
      </c>
      <c r="H2948" s="1" t="str">
        <f t="shared" ref="H2948:I2948" si="2950">IF(C2948&lt;&gt;"",DEC2HEX(C2948,2),"")</f>
        <v/>
      </c>
      <c r="I2948" s="1" t="str">
        <f t="shared" si="2950"/>
        <v/>
      </c>
      <c r="J2948" s="1" t="str">
        <f t="shared" si="3"/>
        <v/>
      </c>
      <c r="L2948" s="1" t="s">
        <v>2813</v>
      </c>
      <c r="M2948" s="1" t="str">
        <f t="shared" si="4"/>
        <v>0.01</v>
      </c>
    </row>
    <row r="2949" ht="12.75" customHeight="1">
      <c r="A2949" s="3" t="s">
        <v>3683</v>
      </c>
      <c r="B2949" s="3" t="str">
        <f t="shared" si="1"/>
        <v>20, 20, AIPOM</v>
      </c>
      <c r="C2949" s="1" t="str">
        <f t="array" ref="C2949">IF(B2948="NEW ROUTE",TEXTSPLIT(B2949,","),"")</f>
        <v/>
      </c>
      <c r="H2949" s="1" t="str">
        <f t="shared" ref="H2949:I2949" si="2951">IF(C2949&lt;&gt;"",DEC2HEX(C2949,2),"")</f>
        <v/>
      </c>
      <c r="I2949" s="1" t="str">
        <f t="shared" si="2951"/>
        <v/>
      </c>
      <c r="J2949" s="1" t="str">
        <f t="shared" si="3"/>
        <v/>
      </c>
      <c r="L2949" s="1" t="s">
        <v>3683</v>
      </c>
      <c r="M2949" s="1" t="str">
        <f t="shared" si="4"/>
        <v>20, 20, AIPOM</v>
      </c>
    </row>
    <row r="2950" ht="12.75" customHeight="1">
      <c r="A2950" s="3" t="s">
        <v>3687</v>
      </c>
      <c r="B2950" s="3" t="str">
        <f t="shared" si="1"/>
        <v>26, 26, AIPOM , &lt;null&gt;, &lt;null&gt;, &lt;null&gt;</v>
      </c>
      <c r="C2950" s="1" t="str">
        <f t="array" ref="C2950">IF(B2949="NEW ROUTE",TEXTSPLIT(B2950,","),"")</f>
        <v/>
      </c>
      <c r="H2950" s="1" t="str">
        <f t="shared" ref="H2950:I2950" si="2952">IF(C2950&lt;&gt;"",DEC2HEX(C2950,2),"")</f>
        <v/>
      </c>
      <c r="I2950" s="1" t="str">
        <f t="shared" si="2952"/>
        <v/>
      </c>
      <c r="J2950" s="1" t="str">
        <f t="shared" si="3"/>
        <v/>
      </c>
      <c r="L2950" s="1" t="s">
        <v>3687</v>
      </c>
      <c r="M2950" s="1" t="str">
        <f t="shared" si="4"/>
        <v>26, 26, AIPOM , &lt;null&gt;, &lt;null&gt;, &lt;null&gt;</v>
      </c>
    </row>
    <row r="2951" ht="12.75" customHeight="1">
      <c r="A2951" s="3" t="s">
        <v>2539</v>
      </c>
      <c r="B2951" s="3" t="str">
        <f t="shared" si="1"/>
        <v>NEW ROUTE</v>
      </c>
      <c r="C2951" s="1" t="str">
        <f t="array" ref="C2951">IF(B2950="NEW ROUTE",TEXTSPLIT(B2951,","),"")</f>
        <v/>
      </c>
      <c r="H2951" s="1" t="str">
        <f t="shared" ref="H2951:I2951" si="2953">IF(C2951&lt;&gt;"",DEC2HEX(C2951,2),"")</f>
        <v/>
      </c>
      <c r="I2951" s="1" t="str">
        <f t="shared" si="2953"/>
        <v/>
      </c>
      <c r="J2951" s="1" t="str">
        <f t="shared" si="3"/>
        <v/>
      </c>
      <c r="L2951" s="1" t="s">
        <v>2539</v>
      </c>
      <c r="M2951" s="1" t="str">
        <f t="shared" si="4"/>
        <v>NEW ROUTE</v>
      </c>
    </row>
    <row r="2952" ht="12.75" customHeight="1">
      <c r="A2952" s="3" t="s">
        <v>3650</v>
      </c>
      <c r="B2952" s="3" t="str">
        <f t="shared" si="1"/>
        <v>1, 122, 0,</v>
      </c>
      <c r="C2952" s="1" t="str">
        <f t="array" ref="C2952">IF(B2951="NEW ROUTE",TEXTSPLIT(B2952,","),"")</f>
        <v>#NAME?</v>
      </c>
      <c r="H2952" s="1" t="str">
        <f t="shared" ref="H2952:I2952" si="2954">IF(C2952&lt;&gt;"",DEC2HEX(C2952,2),"")</f>
        <v>#NAME?</v>
      </c>
      <c r="I2952" s="1" t="str">
        <f t="shared" si="2954"/>
        <v/>
      </c>
      <c r="J2952" s="1" t="str">
        <f t="shared" si="3"/>
        <v>#NAME?</v>
      </c>
      <c r="L2952" s="1" t="s">
        <v>3650</v>
      </c>
      <c r="M2952" s="1" t="str">
        <f t="shared" si="4"/>
        <v>#NAME?</v>
      </c>
    </row>
    <row r="2953" ht="12.75" customHeight="1">
      <c r="A2953" s="3" t="s">
        <v>2817</v>
      </c>
      <c r="B2953" s="3" t="str">
        <f t="shared" si="1"/>
        <v>20%</v>
      </c>
      <c r="C2953" s="1" t="str">
        <f t="array" ref="C2953">IF(B2952="NEW ROUTE",TEXTSPLIT(B2953,","),"")</f>
        <v/>
      </c>
      <c r="H2953" s="1" t="str">
        <f t="shared" ref="H2953:I2953" si="2955">IF(C2953&lt;&gt;"",DEC2HEX(C2953,2),"")</f>
        <v/>
      </c>
      <c r="I2953" s="1" t="str">
        <f t="shared" si="2955"/>
        <v/>
      </c>
      <c r="J2953" s="1" t="str">
        <f t="shared" si="3"/>
        <v/>
      </c>
      <c r="L2953" s="1" t="s">
        <v>2799</v>
      </c>
      <c r="M2953" s="1" t="str">
        <f t="shared" si="4"/>
        <v>20%</v>
      </c>
    </row>
    <row r="2954" ht="12.75" customHeight="1">
      <c r="A2954" s="3" t="s">
        <v>1338</v>
      </c>
      <c r="B2954" s="3" t="str">
        <f t="shared" si="1"/>
        <v>22, 22, SHUCKLE</v>
      </c>
      <c r="C2954" s="1" t="str">
        <f t="array" ref="C2954">IF(B2953="NEW ROUTE",TEXTSPLIT(B2954,","),"")</f>
        <v/>
      </c>
      <c r="H2954" s="1" t="str">
        <f t="shared" ref="H2954:I2954" si="2956">IF(C2954&lt;&gt;"",DEC2HEX(C2954,2),"")</f>
        <v/>
      </c>
      <c r="I2954" s="1" t="str">
        <f t="shared" si="2956"/>
        <v/>
      </c>
      <c r="J2954" s="1" t="str">
        <f t="shared" si="3"/>
        <v/>
      </c>
      <c r="L2954" s="1" t="s">
        <v>1338</v>
      </c>
      <c r="M2954" s="1" t="str">
        <f t="shared" si="4"/>
        <v>22, 22, SHUCKLE</v>
      </c>
    </row>
    <row r="2955" ht="12.75" customHeight="1">
      <c r="A2955" s="3" t="s">
        <v>3688</v>
      </c>
      <c r="B2955" s="3" t="str">
        <f t="shared" si="1"/>
        <v>24, 24, SHUCKLE</v>
      </c>
      <c r="C2955" s="1" t="str">
        <f t="array" ref="C2955">IF(B2954="NEW ROUTE",TEXTSPLIT(B2955,","),"")</f>
        <v/>
      </c>
      <c r="H2955" s="1" t="str">
        <f t="shared" ref="H2955:I2955" si="2957">IF(C2955&lt;&gt;"",DEC2HEX(C2955,2),"")</f>
        <v/>
      </c>
      <c r="I2955" s="1" t="str">
        <f t="shared" si="2957"/>
        <v/>
      </c>
      <c r="J2955" s="1" t="str">
        <f t="shared" si="3"/>
        <v/>
      </c>
      <c r="L2955" s="1" t="s">
        <v>3688</v>
      </c>
      <c r="M2955" s="1" t="str">
        <f t="shared" si="4"/>
        <v>24, 24, SHUCKLE</v>
      </c>
    </row>
    <row r="2956" ht="12.75" customHeight="1">
      <c r="A2956" s="3" t="s">
        <v>2802</v>
      </c>
      <c r="B2956" s="3" t="str">
        <f t="shared" si="1"/>
        <v>0.1</v>
      </c>
      <c r="C2956" s="1" t="str">
        <f t="array" ref="C2956">IF(B2955="NEW ROUTE",TEXTSPLIT(B2956,","),"")</f>
        <v/>
      </c>
      <c r="H2956" s="1" t="str">
        <f t="shared" ref="H2956:I2956" si="2958">IF(C2956&lt;&gt;"",DEC2HEX(C2956,2),"")</f>
        <v/>
      </c>
      <c r="I2956" s="1" t="str">
        <f t="shared" si="2958"/>
        <v/>
      </c>
      <c r="J2956" s="1" t="str">
        <f t="shared" si="3"/>
        <v/>
      </c>
      <c r="L2956" s="1" t="s">
        <v>2802</v>
      </c>
      <c r="M2956" s="1" t="str">
        <f t="shared" si="4"/>
        <v>0.1</v>
      </c>
    </row>
    <row r="2957" ht="12.75" customHeight="1">
      <c r="A2957" s="3" t="s">
        <v>3689</v>
      </c>
      <c r="B2957" s="3" t="str">
        <f t="shared" si="1"/>
        <v>20, 20, SHUCKLE</v>
      </c>
      <c r="C2957" s="1" t="str">
        <f t="array" ref="C2957">IF(B2956="NEW ROUTE",TEXTSPLIT(B2957,","),"")</f>
        <v/>
      </c>
      <c r="H2957" s="1" t="str">
        <f t="shared" ref="H2957:I2957" si="2959">IF(C2957&lt;&gt;"",DEC2HEX(C2957,2),"")</f>
        <v/>
      </c>
      <c r="I2957" s="1" t="str">
        <f t="shared" si="2959"/>
        <v/>
      </c>
      <c r="J2957" s="1" t="str">
        <f t="shared" si="3"/>
        <v/>
      </c>
      <c r="L2957" s="1" t="s">
        <v>3689</v>
      </c>
      <c r="M2957" s="1" t="str">
        <f t="shared" si="4"/>
        <v>20, 20, SHUCKLE</v>
      </c>
    </row>
    <row r="2958" ht="12.75" customHeight="1">
      <c r="A2958" s="3" t="s">
        <v>3690</v>
      </c>
      <c r="B2958" s="3" t="str">
        <f t="shared" si="1"/>
        <v>26, 26, SHUCKLE</v>
      </c>
      <c r="C2958" s="1" t="str">
        <f t="array" ref="C2958">IF(B2957="NEW ROUTE",TEXTSPLIT(B2958,","),"")</f>
        <v/>
      </c>
      <c r="H2958" s="1" t="str">
        <f t="shared" ref="H2958:I2958" si="2960">IF(C2958&lt;&gt;"",DEC2HEX(C2958,2),"")</f>
        <v/>
      </c>
      <c r="I2958" s="1" t="str">
        <f t="shared" si="2960"/>
        <v/>
      </c>
      <c r="J2958" s="1" t="str">
        <f t="shared" si="3"/>
        <v/>
      </c>
      <c r="L2958" s="1" t="s">
        <v>3690</v>
      </c>
      <c r="M2958" s="1" t="str">
        <f t="shared" si="4"/>
        <v>26, 26, SHUCKLE</v>
      </c>
    </row>
    <row r="2959" ht="12.75" customHeight="1">
      <c r="A2959" s="3" t="s">
        <v>1338</v>
      </c>
      <c r="B2959" s="3" t="str">
        <f t="shared" si="1"/>
        <v>22, 22, SHUCKLE</v>
      </c>
      <c r="C2959" s="1" t="str">
        <f t="array" ref="C2959">IF(B2958="NEW ROUTE",TEXTSPLIT(B2959,","),"")</f>
        <v/>
      </c>
      <c r="H2959" s="1" t="str">
        <f t="shared" ref="H2959:I2959" si="2961">IF(C2959&lt;&gt;"",DEC2HEX(C2959,2),"")</f>
        <v/>
      </c>
      <c r="I2959" s="1" t="str">
        <f t="shared" si="2961"/>
        <v/>
      </c>
      <c r="J2959" s="1" t="str">
        <f t="shared" si="3"/>
        <v/>
      </c>
      <c r="L2959" s="1" t="s">
        <v>1338</v>
      </c>
      <c r="M2959" s="1" t="str">
        <f t="shared" si="4"/>
        <v>22, 22, SHUCKLE</v>
      </c>
    </row>
    <row r="2960" ht="12.75" customHeight="1">
      <c r="A2960" s="3" t="s">
        <v>3688</v>
      </c>
      <c r="B2960" s="3" t="str">
        <f t="shared" si="1"/>
        <v>24, 24, SHUCKLE</v>
      </c>
      <c r="C2960" s="1" t="str">
        <f t="array" ref="C2960">IF(B2959="NEW ROUTE",TEXTSPLIT(B2960,","),"")</f>
        <v/>
      </c>
      <c r="H2960" s="1" t="str">
        <f t="shared" ref="H2960:I2960" si="2962">IF(C2960&lt;&gt;"",DEC2HEX(C2960,2),"")</f>
        <v/>
      </c>
      <c r="I2960" s="1" t="str">
        <f t="shared" si="2962"/>
        <v/>
      </c>
      <c r="J2960" s="1" t="str">
        <f t="shared" si="3"/>
        <v/>
      </c>
      <c r="L2960" s="1" t="s">
        <v>3688</v>
      </c>
      <c r="M2960" s="1" t="str">
        <f t="shared" si="4"/>
        <v>24, 24, SHUCKLE</v>
      </c>
    </row>
    <row r="2961" ht="12.75" customHeight="1">
      <c r="A2961" s="3" t="s">
        <v>2807</v>
      </c>
      <c r="B2961" s="3" t="str">
        <f t="shared" si="1"/>
        <v>0.05</v>
      </c>
      <c r="C2961" s="1" t="str">
        <f t="array" ref="C2961">IF(B2960="NEW ROUTE",TEXTSPLIT(B2961,","),"")</f>
        <v/>
      </c>
      <c r="H2961" s="1" t="str">
        <f t="shared" ref="H2961:I2961" si="2963">IF(C2961&lt;&gt;"",DEC2HEX(C2961,2),"")</f>
        <v/>
      </c>
      <c r="I2961" s="1" t="str">
        <f t="shared" si="2963"/>
        <v/>
      </c>
      <c r="J2961" s="1" t="str">
        <f t="shared" si="3"/>
        <v/>
      </c>
      <c r="L2961" s="1" t="s">
        <v>2807</v>
      </c>
      <c r="M2961" s="1" t="str">
        <f t="shared" si="4"/>
        <v>0.05</v>
      </c>
    </row>
    <row r="2962" ht="12.75" customHeight="1">
      <c r="A2962" s="3" t="s">
        <v>3691</v>
      </c>
      <c r="B2962" s="3" t="str">
        <f t="shared" si="1"/>
        <v>28, 28, SHUCKLE</v>
      </c>
      <c r="C2962" s="1" t="str">
        <f t="array" ref="C2962">IF(B2961="NEW ROUTE",TEXTSPLIT(B2962,","),"")</f>
        <v/>
      </c>
      <c r="H2962" s="1" t="str">
        <f t="shared" ref="H2962:I2962" si="2964">IF(C2962&lt;&gt;"",DEC2HEX(C2962,2),"")</f>
        <v/>
      </c>
      <c r="I2962" s="1" t="str">
        <f t="shared" si="2964"/>
        <v/>
      </c>
      <c r="J2962" s="1" t="str">
        <f t="shared" si="3"/>
        <v/>
      </c>
      <c r="L2962" s="1" t="s">
        <v>3691</v>
      </c>
      <c r="M2962" s="1" t="str">
        <f t="shared" si="4"/>
        <v>28, 28, SHUCKLE</v>
      </c>
    </row>
    <row r="2963" ht="12.75" customHeight="1">
      <c r="A2963" s="3" t="s">
        <v>3692</v>
      </c>
      <c r="B2963" s="3" t="str">
        <f t="shared" si="1"/>
        <v>18, 18, SHUCKLE</v>
      </c>
      <c r="C2963" s="1" t="str">
        <f t="array" ref="C2963">IF(B2962="NEW ROUTE",TEXTSPLIT(B2963,","),"")</f>
        <v/>
      </c>
      <c r="H2963" s="1" t="str">
        <f t="shared" ref="H2963:I2963" si="2965">IF(C2963&lt;&gt;"",DEC2HEX(C2963,2),"")</f>
        <v/>
      </c>
      <c r="I2963" s="1" t="str">
        <f t="shared" si="2965"/>
        <v/>
      </c>
      <c r="J2963" s="1" t="str">
        <f t="shared" si="3"/>
        <v/>
      </c>
      <c r="L2963" s="1" t="s">
        <v>3692</v>
      </c>
      <c r="M2963" s="1" t="str">
        <f t="shared" si="4"/>
        <v>18, 18, SHUCKLE</v>
      </c>
    </row>
    <row r="2964" ht="12.75" customHeight="1">
      <c r="A2964" s="3" t="s">
        <v>2810</v>
      </c>
      <c r="B2964" s="3" t="str">
        <f t="shared" si="1"/>
        <v>0.04</v>
      </c>
      <c r="C2964" s="1" t="str">
        <f t="array" ref="C2964">IF(B2963="NEW ROUTE",TEXTSPLIT(B2964,","),"")</f>
        <v/>
      </c>
      <c r="H2964" s="1" t="str">
        <f t="shared" ref="H2964:I2964" si="2966">IF(C2964&lt;&gt;"",DEC2HEX(C2964,2),"")</f>
        <v/>
      </c>
      <c r="I2964" s="1" t="str">
        <f t="shared" si="2966"/>
        <v/>
      </c>
      <c r="J2964" s="1" t="str">
        <f t="shared" si="3"/>
        <v/>
      </c>
      <c r="L2964" s="1" t="s">
        <v>2810</v>
      </c>
      <c r="M2964" s="1" t="str">
        <f t="shared" si="4"/>
        <v>0.04</v>
      </c>
    </row>
    <row r="2965" ht="12.75" customHeight="1">
      <c r="A2965" s="3" t="s">
        <v>3689</v>
      </c>
      <c r="B2965" s="3" t="str">
        <f t="shared" si="1"/>
        <v>20, 20, SHUCKLE</v>
      </c>
      <c r="C2965" s="1" t="str">
        <f t="array" ref="C2965">IF(B2964="NEW ROUTE",TEXTSPLIT(B2965,","),"")</f>
        <v/>
      </c>
      <c r="H2965" s="1" t="str">
        <f t="shared" ref="H2965:I2965" si="2967">IF(C2965&lt;&gt;"",DEC2HEX(C2965,2),"")</f>
        <v/>
      </c>
      <c r="I2965" s="1" t="str">
        <f t="shared" si="2967"/>
        <v/>
      </c>
      <c r="J2965" s="1" t="str">
        <f t="shared" si="3"/>
        <v/>
      </c>
      <c r="L2965" s="1" t="s">
        <v>3689</v>
      </c>
      <c r="M2965" s="1" t="str">
        <f t="shared" si="4"/>
        <v>20, 20, SHUCKLE</v>
      </c>
    </row>
    <row r="2966" ht="12.75" customHeight="1">
      <c r="A2966" s="3" t="s">
        <v>3690</v>
      </c>
      <c r="B2966" s="3" t="str">
        <f t="shared" si="1"/>
        <v>26, 26, SHUCKLE</v>
      </c>
      <c r="C2966" s="1" t="str">
        <f t="array" ref="C2966">IF(B2965="NEW ROUTE",TEXTSPLIT(B2966,","),"")</f>
        <v/>
      </c>
      <c r="H2966" s="1" t="str">
        <f t="shared" ref="H2966:I2966" si="2968">IF(C2966&lt;&gt;"",DEC2HEX(C2966,2),"")</f>
        <v/>
      </c>
      <c r="I2966" s="1" t="str">
        <f t="shared" si="2968"/>
        <v/>
      </c>
      <c r="J2966" s="1" t="str">
        <f t="shared" si="3"/>
        <v/>
      </c>
      <c r="L2966" s="1" t="s">
        <v>3690</v>
      </c>
      <c r="M2966" s="1" t="str">
        <f t="shared" si="4"/>
        <v>26, 26, SHUCKLE</v>
      </c>
    </row>
    <row r="2967" ht="12.75" customHeight="1">
      <c r="A2967" s="3" t="s">
        <v>2813</v>
      </c>
      <c r="B2967" s="3" t="str">
        <f t="shared" si="1"/>
        <v>0.01</v>
      </c>
      <c r="C2967" s="1" t="str">
        <f t="array" ref="C2967">IF(B2966="NEW ROUTE",TEXTSPLIT(B2967,","),"")</f>
        <v/>
      </c>
      <c r="H2967" s="1" t="str">
        <f t="shared" ref="H2967:I2967" si="2969">IF(C2967&lt;&gt;"",DEC2HEX(C2967,2),"")</f>
        <v/>
      </c>
      <c r="I2967" s="1" t="str">
        <f t="shared" si="2969"/>
        <v/>
      </c>
      <c r="J2967" s="1" t="str">
        <f t="shared" si="3"/>
        <v/>
      </c>
      <c r="L2967" s="1" t="s">
        <v>2813</v>
      </c>
      <c r="M2967" s="1" t="str">
        <f t="shared" si="4"/>
        <v>0.01</v>
      </c>
    </row>
    <row r="2968" ht="12.75" customHeight="1">
      <c r="A2968" s="3" t="s">
        <v>3689</v>
      </c>
      <c r="B2968" s="3" t="str">
        <f t="shared" si="1"/>
        <v>20, 20, SHUCKLE</v>
      </c>
      <c r="C2968" s="1" t="str">
        <f t="array" ref="C2968">IF(B2967="NEW ROUTE",TEXTSPLIT(B2968,","),"")</f>
        <v/>
      </c>
      <c r="H2968" s="1" t="str">
        <f t="shared" ref="H2968:I2968" si="2970">IF(C2968&lt;&gt;"",DEC2HEX(C2968,2),"")</f>
        <v/>
      </c>
      <c r="I2968" s="1" t="str">
        <f t="shared" si="2970"/>
        <v/>
      </c>
      <c r="J2968" s="1" t="str">
        <f t="shared" si="3"/>
        <v/>
      </c>
      <c r="L2968" s="1" t="s">
        <v>3689</v>
      </c>
      <c r="M2968" s="1" t="str">
        <f t="shared" si="4"/>
        <v>20, 20, SHUCKLE</v>
      </c>
    </row>
    <row r="2969" ht="12.75" customHeight="1">
      <c r="A2969" s="3" t="s">
        <v>3693</v>
      </c>
      <c r="B2969" s="3" t="str">
        <f t="shared" si="1"/>
        <v>26, 26, SHUCKLE , &lt;null&gt;, &lt;null&gt;, &lt;null&gt;</v>
      </c>
      <c r="C2969" s="1" t="str">
        <f t="array" ref="C2969">IF(B2968="NEW ROUTE",TEXTSPLIT(B2969,","),"")</f>
        <v/>
      </c>
      <c r="H2969" s="1" t="str">
        <f t="shared" ref="H2969:I2969" si="2971">IF(C2969&lt;&gt;"",DEC2HEX(C2969,2),"")</f>
        <v/>
      </c>
      <c r="I2969" s="1" t="str">
        <f t="shared" si="2971"/>
        <v/>
      </c>
      <c r="J2969" s="1" t="str">
        <f t="shared" si="3"/>
        <v/>
      </c>
      <c r="L2969" s="1" t="s">
        <v>3693</v>
      </c>
      <c r="M2969" s="1" t="str">
        <f t="shared" si="4"/>
        <v>26, 26, SHUCKLE , &lt;null&gt;, &lt;null&gt;, &lt;null&gt;</v>
      </c>
    </row>
    <row r="2970" ht="12.75" customHeight="1">
      <c r="A2970" s="3" t="s">
        <v>2539</v>
      </c>
      <c r="B2970" s="3" t="str">
        <f t="shared" si="1"/>
        <v>NEW ROUTE</v>
      </c>
      <c r="C2970" s="1" t="str">
        <f t="array" ref="C2970">IF(B2969="NEW ROUTE",TEXTSPLIT(B2970,","),"")</f>
        <v/>
      </c>
      <c r="H2970" s="1" t="str">
        <f t="shared" ref="H2970:I2970" si="2972">IF(C2970&lt;&gt;"",DEC2HEX(C2970,2),"")</f>
        <v/>
      </c>
      <c r="I2970" s="1" t="str">
        <f t="shared" si="2972"/>
        <v/>
      </c>
      <c r="J2970" s="1" t="str">
        <f t="shared" si="3"/>
        <v/>
      </c>
      <c r="L2970" s="1" t="s">
        <v>2539</v>
      </c>
      <c r="M2970" s="1" t="str">
        <f t="shared" si="4"/>
        <v>NEW ROUTE</v>
      </c>
    </row>
    <row r="2971" ht="12.75" customHeight="1">
      <c r="A2971" s="3" t="s">
        <v>3650</v>
      </c>
      <c r="B2971" s="3" t="str">
        <f t="shared" si="1"/>
        <v>1, 122, 0,</v>
      </c>
      <c r="C2971" s="1" t="str">
        <f t="array" ref="C2971">IF(B2970="NEW ROUTE",TEXTSPLIT(B2971,","),"")</f>
        <v>#NAME?</v>
      </c>
      <c r="H2971" s="1" t="str">
        <f t="shared" ref="H2971:I2971" si="2973">IF(C2971&lt;&gt;"",DEC2HEX(C2971,2),"")</f>
        <v>#NAME?</v>
      </c>
      <c r="I2971" s="1" t="str">
        <f t="shared" si="2973"/>
        <v/>
      </c>
      <c r="J2971" s="1" t="str">
        <f t="shared" si="3"/>
        <v>#NAME?</v>
      </c>
      <c r="L2971" s="1" t="s">
        <v>3650</v>
      </c>
      <c r="M2971" s="1" t="str">
        <f t="shared" si="4"/>
        <v>#NAME?</v>
      </c>
    </row>
    <row r="2972" ht="12.75" customHeight="1">
      <c r="A2972" s="3" t="s">
        <v>2817</v>
      </c>
      <c r="B2972" s="3" t="str">
        <f t="shared" si="1"/>
        <v>20%</v>
      </c>
      <c r="C2972" s="1" t="str">
        <f t="array" ref="C2972">IF(B2971="NEW ROUTE",TEXTSPLIT(B2972,","),"")</f>
        <v/>
      </c>
      <c r="H2972" s="1" t="str">
        <f t="shared" ref="H2972:I2972" si="2974">IF(C2972&lt;&gt;"",DEC2HEX(C2972,2),"")</f>
        <v/>
      </c>
      <c r="I2972" s="1" t="str">
        <f t="shared" si="2974"/>
        <v/>
      </c>
      <c r="J2972" s="1" t="str">
        <f t="shared" si="3"/>
        <v/>
      </c>
      <c r="L2972" s="1" t="s">
        <v>2799</v>
      </c>
      <c r="M2972" s="1" t="str">
        <f t="shared" si="4"/>
        <v>20%</v>
      </c>
    </row>
    <row r="2973" ht="12.75" customHeight="1">
      <c r="A2973" s="3" t="s">
        <v>1346</v>
      </c>
      <c r="B2973" s="3" t="str">
        <f t="shared" si="1"/>
        <v>22, 22, STANTLER</v>
      </c>
      <c r="C2973" s="1" t="str">
        <f t="array" ref="C2973">IF(B2972="NEW ROUTE",TEXTSPLIT(B2973,","),"")</f>
        <v/>
      </c>
      <c r="H2973" s="1" t="str">
        <f t="shared" ref="H2973:I2973" si="2975">IF(C2973&lt;&gt;"",DEC2HEX(C2973,2),"")</f>
        <v/>
      </c>
      <c r="I2973" s="1" t="str">
        <f t="shared" si="2975"/>
        <v/>
      </c>
      <c r="J2973" s="1" t="str">
        <f t="shared" si="3"/>
        <v/>
      </c>
      <c r="L2973" s="1" t="s">
        <v>1346</v>
      </c>
      <c r="M2973" s="1" t="str">
        <f t="shared" si="4"/>
        <v>22, 22, STANTLER</v>
      </c>
    </row>
    <row r="2974" ht="12.75" customHeight="1">
      <c r="A2974" s="3" t="s">
        <v>3694</v>
      </c>
      <c r="B2974" s="3" t="str">
        <f t="shared" si="1"/>
        <v>24, 24, STANTLER</v>
      </c>
      <c r="C2974" s="1" t="str">
        <f t="array" ref="C2974">IF(B2973="NEW ROUTE",TEXTSPLIT(B2974,","),"")</f>
        <v/>
      </c>
      <c r="H2974" s="1" t="str">
        <f t="shared" ref="H2974:I2974" si="2976">IF(C2974&lt;&gt;"",DEC2HEX(C2974,2),"")</f>
        <v/>
      </c>
      <c r="I2974" s="1" t="str">
        <f t="shared" si="2976"/>
        <v/>
      </c>
      <c r="J2974" s="1" t="str">
        <f t="shared" si="3"/>
        <v/>
      </c>
      <c r="L2974" s="1" t="s">
        <v>3694</v>
      </c>
      <c r="M2974" s="1" t="str">
        <f t="shared" si="4"/>
        <v>24, 24, STANTLER</v>
      </c>
    </row>
    <row r="2975" ht="12.75" customHeight="1">
      <c r="A2975" s="3" t="s">
        <v>2802</v>
      </c>
      <c r="B2975" s="3" t="str">
        <f t="shared" si="1"/>
        <v>0.1</v>
      </c>
      <c r="C2975" s="1" t="str">
        <f t="array" ref="C2975">IF(B2974="NEW ROUTE",TEXTSPLIT(B2975,","),"")</f>
        <v/>
      </c>
      <c r="H2975" s="1" t="str">
        <f t="shared" ref="H2975:I2975" si="2977">IF(C2975&lt;&gt;"",DEC2HEX(C2975,2),"")</f>
        <v/>
      </c>
      <c r="I2975" s="1" t="str">
        <f t="shared" si="2977"/>
        <v/>
      </c>
      <c r="J2975" s="1" t="str">
        <f t="shared" si="3"/>
        <v/>
      </c>
      <c r="L2975" s="1" t="s">
        <v>2802</v>
      </c>
      <c r="M2975" s="1" t="str">
        <f t="shared" si="4"/>
        <v>0.1</v>
      </c>
    </row>
    <row r="2976" ht="12.75" customHeight="1">
      <c r="A2976" s="3" t="s">
        <v>3695</v>
      </c>
      <c r="B2976" s="3" t="str">
        <f t="shared" si="1"/>
        <v>20, 20, STANTLER</v>
      </c>
      <c r="C2976" s="1" t="str">
        <f t="array" ref="C2976">IF(B2975="NEW ROUTE",TEXTSPLIT(B2976,","),"")</f>
        <v/>
      </c>
      <c r="H2976" s="1" t="str">
        <f t="shared" ref="H2976:I2976" si="2978">IF(C2976&lt;&gt;"",DEC2HEX(C2976,2),"")</f>
        <v/>
      </c>
      <c r="I2976" s="1" t="str">
        <f t="shared" si="2978"/>
        <v/>
      </c>
      <c r="J2976" s="1" t="str">
        <f t="shared" si="3"/>
        <v/>
      </c>
      <c r="L2976" s="1" t="s">
        <v>3695</v>
      </c>
      <c r="M2976" s="1" t="str">
        <f t="shared" si="4"/>
        <v>20, 20, STANTLER</v>
      </c>
    </row>
    <row r="2977" ht="12.75" customHeight="1">
      <c r="A2977" s="3" t="s">
        <v>3696</v>
      </c>
      <c r="B2977" s="3" t="str">
        <f t="shared" si="1"/>
        <v>26, 26, STANTLER</v>
      </c>
      <c r="C2977" s="1" t="str">
        <f t="array" ref="C2977">IF(B2976="NEW ROUTE",TEXTSPLIT(B2977,","),"")</f>
        <v/>
      </c>
      <c r="H2977" s="1" t="str">
        <f t="shared" ref="H2977:I2977" si="2979">IF(C2977&lt;&gt;"",DEC2HEX(C2977,2),"")</f>
        <v/>
      </c>
      <c r="I2977" s="1" t="str">
        <f t="shared" si="2979"/>
        <v/>
      </c>
      <c r="J2977" s="1" t="str">
        <f t="shared" si="3"/>
        <v/>
      </c>
      <c r="L2977" s="1" t="s">
        <v>3696</v>
      </c>
      <c r="M2977" s="1" t="str">
        <f t="shared" si="4"/>
        <v>26, 26, STANTLER</v>
      </c>
    </row>
    <row r="2978" ht="12.75" customHeight="1">
      <c r="A2978" s="3" t="s">
        <v>1346</v>
      </c>
      <c r="B2978" s="3" t="str">
        <f t="shared" si="1"/>
        <v>22, 22, STANTLER</v>
      </c>
      <c r="C2978" s="1" t="str">
        <f t="array" ref="C2978">IF(B2977="NEW ROUTE",TEXTSPLIT(B2978,","),"")</f>
        <v/>
      </c>
      <c r="H2978" s="1" t="str">
        <f t="shared" ref="H2978:I2978" si="2980">IF(C2978&lt;&gt;"",DEC2HEX(C2978,2),"")</f>
        <v/>
      </c>
      <c r="I2978" s="1" t="str">
        <f t="shared" si="2980"/>
        <v/>
      </c>
      <c r="J2978" s="1" t="str">
        <f t="shared" si="3"/>
        <v/>
      </c>
      <c r="L2978" s="1" t="s">
        <v>1346</v>
      </c>
      <c r="M2978" s="1" t="str">
        <f t="shared" si="4"/>
        <v>22, 22, STANTLER</v>
      </c>
    </row>
    <row r="2979" ht="12.75" customHeight="1">
      <c r="A2979" s="3" t="s">
        <v>3694</v>
      </c>
      <c r="B2979" s="3" t="str">
        <f t="shared" si="1"/>
        <v>24, 24, STANTLER</v>
      </c>
      <c r="C2979" s="1" t="str">
        <f t="array" ref="C2979">IF(B2978="NEW ROUTE",TEXTSPLIT(B2979,","),"")</f>
        <v/>
      </c>
      <c r="H2979" s="1" t="str">
        <f t="shared" ref="H2979:I2979" si="2981">IF(C2979&lt;&gt;"",DEC2HEX(C2979,2),"")</f>
        <v/>
      </c>
      <c r="I2979" s="1" t="str">
        <f t="shared" si="2981"/>
        <v/>
      </c>
      <c r="J2979" s="1" t="str">
        <f t="shared" si="3"/>
        <v/>
      </c>
      <c r="L2979" s="1" t="s">
        <v>3694</v>
      </c>
      <c r="M2979" s="1" t="str">
        <f t="shared" si="4"/>
        <v>24, 24, STANTLER</v>
      </c>
    </row>
    <row r="2980" ht="12.75" customHeight="1">
      <c r="A2980" s="3" t="s">
        <v>2807</v>
      </c>
      <c r="B2980" s="3" t="str">
        <f t="shared" si="1"/>
        <v>0.05</v>
      </c>
      <c r="C2980" s="1" t="str">
        <f t="array" ref="C2980">IF(B2979="NEW ROUTE",TEXTSPLIT(B2980,","),"")</f>
        <v/>
      </c>
      <c r="H2980" s="1" t="str">
        <f t="shared" ref="H2980:I2980" si="2982">IF(C2980&lt;&gt;"",DEC2HEX(C2980,2),"")</f>
        <v/>
      </c>
      <c r="I2980" s="1" t="str">
        <f t="shared" si="2982"/>
        <v/>
      </c>
      <c r="J2980" s="1" t="str">
        <f t="shared" si="3"/>
        <v/>
      </c>
      <c r="L2980" s="1" t="s">
        <v>2807</v>
      </c>
      <c r="M2980" s="1" t="str">
        <f t="shared" si="4"/>
        <v>0.05</v>
      </c>
    </row>
    <row r="2981" ht="12.75" customHeight="1">
      <c r="A2981" s="3" t="s">
        <v>3697</v>
      </c>
      <c r="B2981" s="3" t="str">
        <f t="shared" si="1"/>
        <v>28, 28, STANTLER</v>
      </c>
      <c r="C2981" s="1" t="str">
        <f t="array" ref="C2981">IF(B2980="NEW ROUTE",TEXTSPLIT(B2981,","),"")</f>
        <v/>
      </c>
      <c r="H2981" s="1" t="str">
        <f t="shared" ref="H2981:I2981" si="2983">IF(C2981&lt;&gt;"",DEC2HEX(C2981,2),"")</f>
        <v/>
      </c>
      <c r="I2981" s="1" t="str">
        <f t="shared" si="2983"/>
        <v/>
      </c>
      <c r="J2981" s="1" t="str">
        <f t="shared" si="3"/>
        <v/>
      </c>
      <c r="L2981" s="1" t="s">
        <v>3697</v>
      </c>
      <c r="M2981" s="1" t="str">
        <f t="shared" si="4"/>
        <v>28, 28, STANTLER</v>
      </c>
    </row>
    <row r="2982" ht="12.75" customHeight="1">
      <c r="A2982" s="3" t="s">
        <v>3698</v>
      </c>
      <c r="B2982" s="3" t="str">
        <f t="shared" si="1"/>
        <v>18, 18, STANTLER</v>
      </c>
      <c r="C2982" s="1" t="str">
        <f t="array" ref="C2982">IF(B2981="NEW ROUTE",TEXTSPLIT(B2982,","),"")</f>
        <v/>
      </c>
      <c r="H2982" s="1" t="str">
        <f t="shared" ref="H2982:I2982" si="2984">IF(C2982&lt;&gt;"",DEC2HEX(C2982,2),"")</f>
        <v/>
      </c>
      <c r="I2982" s="1" t="str">
        <f t="shared" si="2984"/>
        <v/>
      </c>
      <c r="J2982" s="1" t="str">
        <f t="shared" si="3"/>
        <v/>
      </c>
      <c r="L2982" s="1" t="s">
        <v>3698</v>
      </c>
      <c r="M2982" s="1" t="str">
        <f t="shared" si="4"/>
        <v>18, 18, STANTLER</v>
      </c>
    </row>
    <row r="2983" ht="12.75" customHeight="1">
      <c r="A2983" s="3" t="s">
        <v>2810</v>
      </c>
      <c r="B2983" s="3" t="str">
        <f t="shared" si="1"/>
        <v>0.04</v>
      </c>
      <c r="C2983" s="1" t="str">
        <f t="array" ref="C2983">IF(B2982="NEW ROUTE",TEXTSPLIT(B2983,","),"")</f>
        <v/>
      </c>
      <c r="H2983" s="1" t="str">
        <f t="shared" ref="H2983:I2983" si="2985">IF(C2983&lt;&gt;"",DEC2HEX(C2983,2),"")</f>
        <v/>
      </c>
      <c r="I2983" s="1" t="str">
        <f t="shared" si="2985"/>
        <v/>
      </c>
      <c r="J2983" s="1" t="str">
        <f t="shared" si="3"/>
        <v/>
      </c>
      <c r="L2983" s="1" t="s">
        <v>2810</v>
      </c>
      <c r="M2983" s="1" t="str">
        <f t="shared" si="4"/>
        <v>0.04</v>
      </c>
    </row>
    <row r="2984" ht="12.75" customHeight="1">
      <c r="A2984" s="3" t="s">
        <v>3695</v>
      </c>
      <c r="B2984" s="3" t="str">
        <f t="shared" si="1"/>
        <v>20, 20, STANTLER</v>
      </c>
      <c r="C2984" s="1" t="str">
        <f t="array" ref="C2984">IF(B2983="NEW ROUTE",TEXTSPLIT(B2984,","),"")</f>
        <v/>
      </c>
      <c r="H2984" s="1" t="str">
        <f t="shared" ref="H2984:I2984" si="2986">IF(C2984&lt;&gt;"",DEC2HEX(C2984,2),"")</f>
        <v/>
      </c>
      <c r="I2984" s="1" t="str">
        <f t="shared" si="2986"/>
        <v/>
      </c>
      <c r="J2984" s="1" t="str">
        <f t="shared" si="3"/>
        <v/>
      </c>
      <c r="L2984" s="1" t="s">
        <v>3695</v>
      </c>
      <c r="M2984" s="1" t="str">
        <f t="shared" si="4"/>
        <v>20, 20, STANTLER</v>
      </c>
    </row>
    <row r="2985" ht="12.75" customHeight="1">
      <c r="A2985" s="3" t="s">
        <v>3696</v>
      </c>
      <c r="B2985" s="3" t="str">
        <f t="shared" si="1"/>
        <v>26, 26, STANTLER</v>
      </c>
      <c r="C2985" s="1" t="str">
        <f t="array" ref="C2985">IF(B2984="NEW ROUTE",TEXTSPLIT(B2985,","),"")</f>
        <v/>
      </c>
      <c r="H2985" s="1" t="str">
        <f t="shared" ref="H2985:I2985" si="2987">IF(C2985&lt;&gt;"",DEC2HEX(C2985,2),"")</f>
        <v/>
      </c>
      <c r="I2985" s="1" t="str">
        <f t="shared" si="2987"/>
        <v/>
      </c>
      <c r="J2985" s="1" t="str">
        <f t="shared" si="3"/>
        <v/>
      </c>
      <c r="L2985" s="1" t="s">
        <v>3696</v>
      </c>
      <c r="M2985" s="1" t="str">
        <f t="shared" si="4"/>
        <v>26, 26, STANTLER</v>
      </c>
    </row>
    <row r="2986" ht="12.75" customHeight="1">
      <c r="A2986" s="3" t="s">
        <v>2813</v>
      </c>
      <c r="B2986" s="3" t="str">
        <f t="shared" si="1"/>
        <v>0.01</v>
      </c>
      <c r="C2986" s="1" t="str">
        <f t="array" ref="C2986">IF(B2985="NEW ROUTE",TEXTSPLIT(B2986,","),"")</f>
        <v/>
      </c>
      <c r="H2986" s="1" t="str">
        <f t="shared" ref="H2986:I2986" si="2988">IF(C2986&lt;&gt;"",DEC2HEX(C2986,2),"")</f>
        <v/>
      </c>
      <c r="I2986" s="1" t="str">
        <f t="shared" si="2988"/>
        <v/>
      </c>
      <c r="J2986" s="1" t="str">
        <f t="shared" si="3"/>
        <v/>
      </c>
      <c r="L2986" s="1" t="s">
        <v>2813</v>
      </c>
      <c r="M2986" s="1" t="str">
        <f t="shared" si="4"/>
        <v>0.01</v>
      </c>
    </row>
    <row r="2987" ht="12.75" customHeight="1">
      <c r="A2987" s="3" t="s">
        <v>3695</v>
      </c>
      <c r="B2987" s="3" t="str">
        <f t="shared" si="1"/>
        <v>20, 20, STANTLER</v>
      </c>
      <c r="C2987" s="1" t="str">
        <f t="array" ref="C2987">IF(B2986="NEW ROUTE",TEXTSPLIT(B2987,","),"")</f>
        <v/>
      </c>
      <c r="H2987" s="1" t="str">
        <f t="shared" ref="H2987:I2987" si="2989">IF(C2987&lt;&gt;"",DEC2HEX(C2987,2),"")</f>
        <v/>
      </c>
      <c r="I2987" s="1" t="str">
        <f t="shared" si="2989"/>
        <v/>
      </c>
      <c r="J2987" s="1" t="str">
        <f t="shared" si="3"/>
        <v/>
      </c>
      <c r="L2987" s="1" t="s">
        <v>3695</v>
      </c>
      <c r="M2987" s="1" t="str">
        <f t="shared" si="4"/>
        <v>20, 20, STANTLER</v>
      </c>
    </row>
    <row r="2988" ht="12.75" customHeight="1">
      <c r="A2988" s="3" t="s">
        <v>3699</v>
      </c>
      <c r="B2988" s="3" t="str">
        <f t="shared" si="1"/>
        <v>26, 26, STANTLER , &lt;null&gt;, &lt;null&gt;, &lt;null&gt;</v>
      </c>
      <c r="C2988" s="1" t="str">
        <f t="array" ref="C2988">IF(B2987="NEW ROUTE",TEXTSPLIT(B2988,","),"")</f>
        <v/>
      </c>
      <c r="H2988" s="1" t="str">
        <f t="shared" ref="H2988:I2988" si="2990">IF(C2988&lt;&gt;"",DEC2HEX(C2988,2),"")</f>
        <v/>
      </c>
      <c r="I2988" s="1" t="str">
        <f t="shared" si="2990"/>
        <v/>
      </c>
      <c r="J2988" s="1" t="str">
        <f t="shared" si="3"/>
        <v/>
      </c>
      <c r="L2988" s="1" t="s">
        <v>3699</v>
      </c>
      <c r="M2988" s="1" t="str">
        <f t="shared" si="4"/>
        <v>26, 26, STANTLER , &lt;null&gt;, &lt;null&gt;, &lt;null&gt;</v>
      </c>
    </row>
    <row r="2989" ht="12.75" customHeight="1">
      <c r="A2989" s="3" t="s">
        <v>2539</v>
      </c>
      <c r="B2989" s="3" t="str">
        <f t="shared" si="1"/>
        <v>NEW ROUTE</v>
      </c>
      <c r="C2989" s="1" t="str">
        <f t="array" ref="C2989">IF(B2988="NEW ROUTE",TEXTSPLIT(B2989,","),"")</f>
        <v/>
      </c>
      <c r="H2989" s="1" t="str">
        <f t="shared" ref="H2989:I2989" si="2991">IF(C2989&lt;&gt;"",DEC2HEX(C2989,2),"")</f>
        <v/>
      </c>
      <c r="I2989" s="1" t="str">
        <f t="shared" si="2991"/>
        <v/>
      </c>
      <c r="J2989" s="1" t="str">
        <f t="shared" si="3"/>
        <v/>
      </c>
      <c r="L2989" s="1" t="s">
        <v>2539</v>
      </c>
      <c r="M2989" s="1" t="str">
        <f t="shared" si="4"/>
        <v>NEW ROUTE</v>
      </c>
    </row>
    <row r="2990" ht="12.75" customHeight="1">
      <c r="A2990" s="3" t="s">
        <v>3650</v>
      </c>
      <c r="B2990" s="3" t="str">
        <f t="shared" si="1"/>
        <v>1, 122, 0,</v>
      </c>
      <c r="C2990" s="1" t="str">
        <f t="array" ref="C2990">IF(B2989="NEW ROUTE",TEXTSPLIT(B2990,","),"")</f>
        <v>#NAME?</v>
      </c>
      <c r="H2990" s="1" t="str">
        <f t="shared" ref="H2990:I2990" si="2992">IF(C2990&lt;&gt;"",DEC2HEX(C2990,2),"")</f>
        <v>#NAME?</v>
      </c>
      <c r="I2990" s="1" t="str">
        <f t="shared" si="2992"/>
        <v/>
      </c>
      <c r="J2990" s="1" t="str">
        <f t="shared" si="3"/>
        <v>#NAME?</v>
      </c>
      <c r="L2990" s="1" t="s">
        <v>3650</v>
      </c>
      <c r="M2990" s="1" t="str">
        <f t="shared" si="4"/>
        <v>#NAME?</v>
      </c>
    </row>
    <row r="2991" ht="12.75" customHeight="1">
      <c r="A2991" s="3" t="s">
        <v>2817</v>
      </c>
      <c r="B2991" s="3" t="str">
        <f t="shared" si="1"/>
        <v>20%</v>
      </c>
      <c r="C2991" s="1" t="str">
        <f t="array" ref="C2991">IF(B2990="NEW ROUTE",TEXTSPLIT(B2991,","),"")</f>
        <v/>
      </c>
      <c r="H2991" s="1" t="str">
        <f t="shared" ref="H2991:I2991" si="2993">IF(C2991&lt;&gt;"",DEC2HEX(C2991,2),"")</f>
        <v/>
      </c>
      <c r="I2991" s="1" t="str">
        <f t="shared" si="2993"/>
        <v/>
      </c>
      <c r="J2991" s="1" t="str">
        <f t="shared" si="3"/>
        <v/>
      </c>
      <c r="L2991" s="1" t="s">
        <v>2799</v>
      </c>
      <c r="M2991" s="1" t="str">
        <f t="shared" si="4"/>
        <v>20%</v>
      </c>
    </row>
    <row r="2992" ht="12.75" customHeight="1">
      <c r="A2992" s="3" t="s">
        <v>1354</v>
      </c>
      <c r="B2992" s="3" t="str">
        <f t="shared" si="1"/>
        <v>22, 22, SMEARGLE</v>
      </c>
      <c r="C2992" s="1" t="str">
        <f t="array" ref="C2992">IF(B2991="NEW ROUTE",TEXTSPLIT(B2992,","),"")</f>
        <v/>
      </c>
      <c r="H2992" s="1" t="str">
        <f t="shared" ref="H2992:I2992" si="2994">IF(C2992&lt;&gt;"",DEC2HEX(C2992,2),"")</f>
        <v/>
      </c>
      <c r="I2992" s="1" t="str">
        <f t="shared" si="2994"/>
        <v/>
      </c>
      <c r="J2992" s="1" t="str">
        <f t="shared" si="3"/>
        <v/>
      </c>
      <c r="L2992" s="1" t="s">
        <v>1354</v>
      </c>
      <c r="M2992" s="1" t="str">
        <f t="shared" si="4"/>
        <v>22, 22, SMEARGLE</v>
      </c>
    </row>
    <row r="2993" ht="12.75" customHeight="1">
      <c r="A2993" s="3" t="s">
        <v>3700</v>
      </c>
      <c r="B2993" s="3" t="str">
        <f t="shared" si="1"/>
        <v>24, 24, SMEARGLE</v>
      </c>
      <c r="C2993" s="1" t="str">
        <f t="array" ref="C2993">IF(B2992="NEW ROUTE",TEXTSPLIT(B2993,","),"")</f>
        <v/>
      </c>
      <c r="H2993" s="1" t="str">
        <f t="shared" ref="H2993:I2993" si="2995">IF(C2993&lt;&gt;"",DEC2HEX(C2993,2),"")</f>
        <v/>
      </c>
      <c r="I2993" s="1" t="str">
        <f t="shared" si="2995"/>
        <v/>
      </c>
      <c r="J2993" s="1" t="str">
        <f t="shared" si="3"/>
        <v/>
      </c>
      <c r="L2993" s="1" t="s">
        <v>3700</v>
      </c>
      <c r="M2993" s="1" t="str">
        <f t="shared" si="4"/>
        <v>24, 24, SMEARGLE</v>
      </c>
    </row>
    <row r="2994" ht="12.75" customHeight="1">
      <c r="A2994" s="3" t="s">
        <v>2802</v>
      </c>
      <c r="B2994" s="3" t="str">
        <f t="shared" si="1"/>
        <v>0.1</v>
      </c>
      <c r="C2994" s="1" t="str">
        <f t="array" ref="C2994">IF(B2993="NEW ROUTE",TEXTSPLIT(B2994,","),"")</f>
        <v/>
      </c>
      <c r="H2994" s="1" t="str">
        <f t="shared" ref="H2994:I2994" si="2996">IF(C2994&lt;&gt;"",DEC2HEX(C2994,2),"")</f>
        <v/>
      </c>
      <c r="I2994" s="1" t="str">
        <f t="shared" si="2996"/>
        <v/>
      </c>
      <c r="J2994" s="1" t="str">
        <f t="shared" si="3"/>
        <v/>
      </c>
      <c r="L2994" s="1" t="s">
        <v>2802</v>
      </c>
      <c r="M2994" s="1" t="str">
        <f t="shared" si="4"/>
        <v>0.1</v>
      </c>
    </row>
    <row r="2995" ht="12.75" customHeight="1">
      <c r="A2995" s="3" t="s">
        <v>3701</v>
      </c>
      <c r="B2995" s="3" t="str">
        <f t="shared" si="1"/>
        <v>20, 20, SMEARGLE</v>
      </c>
      <c r="C2995" s="1" t="str">
        <f t="array" ref="C2995">IF(B2994="NEW ROUTE",TEXTSPLIT(B2995,","),"")</f>
        <v/>
      </c>
      <c r="H2995" s="1" t="str">
        <f t="shared" ref="H2995:I2995" si="2997">IF(C2995&lt;&gt;"",DEC2HEX(C2995,2),"")</f>
        <v/>
      </c>
      <c r="I2995" s="1" t="str">
        <f t="shared" si="2997"/>
        <v/>
      </c>
      <c r="J2995" s="1" t="str">
        <f t="shared" si="3"/>
        <v/>
      </c>
      <c r="L2995" s="1" t="s">
        <v>3701</v>
      </c>
      <c r="M2995" s="1" t="str">
        <f t="shared" si="4"/>
        <v>20, 20, SMEARGLE</v>
      </c>
    </row>
    <row r="2996" ht="12.75" customHeight="1">
      <c r="A2996" s="3" t="s">
        <v>3702</v>
      </c>
      <c r="B2996" s="3" t="str">
        <f t="shared" si="1"/>
        <v>26, 26, SMEARGLE</v>
      </c>
      <c r="C2996" s="1" t="str">
        <f t="array" ref="C2996">IF(B2995="NEW ROUTE",TEXTSPLIT(B2996,","),"")</f>
        <v/>
      </c>
      <c r="H2996" s="1" t="str">
        <f t="shared" ref="H2996:I2996" si="2998">IF(C2996&lt;&gt;"",DEC2HEX(C2996,2),"")</f>
        <v/>
      </c>
      <c r="I2996" s="1" t="str">
        <f t="shared" si="2998"/>
        <v/>
      </c>
      <c r="J2996" s="1" t="str">
        <f t="shared" si="3"/>
        <v/>
      </c>
      <c r="L2996" s="1" t="s">
        <v>3702</v>
      </c>
      <c r="M2996" s="1" t="str">
        <f t="shared" si="4"/>
        <v>26, 26, SMEARGLE</v>
      </c>
    </row>
    <row r="2997" ht="12.75" customHeight="1">
      <c r="A2997" s="3" t="s">
        <v>1354</v>
      </c>
      <c r="B2997" s="3" t="str">
        <f t="shared" si="1"/>
        <v>22, 22, SMEARGLE</v>
      </c>
      <c r="C2997" s="1" t="str">
        <f t="array" ref="C2997">IF(B2996="NEW ROUTE",TEXTSPLIT(B2997,","),"")</f>
        <v/>
      </c>
      <c r="H2997" s="1" t="str">
        <f t="shared" ref="H2997:I2997" si="2999">IF(C2997&lt;&gt;"",DEC2HEX(C2997,2),"")</f>
        <v/>
      </c>
      <c r="I2997" s="1" t="str">
        <f t="shared" si="2999"/>
        <v/>
      </c>
      <c r="J2997" s="1" t="str">
        <f t="shared" si="3"/>
        <v/>
      </c>
      <c r="L2997" s="1" t="s">
        <v>1354</v>
      </c>
      <c r="M2997" s="1" t="str">
        <f t="shared" si="4"/>
        <v>22, 22, SMEARGLE</v>
      </c>
    </row>
    <row r="2998" ht="12.75" customHeight="1">
      <c r="A2998" s="3" t="s">
        <v>3700</v>
      </c>
      <c r="B2998" s="3" t="str">
        <f t="shared" si="1"/>
        <v>24, 24, SMEARGLE</v>
      </c>
      <c r="C2998" s="1" t="str">
        <f t="array" ref="C2998">IF(B2997="NEW ROUTE",TEXTSPLIT(B2998,","),"")</f>
        <v/>
      </c>
      <c r="H2998" s="1" t="str">
        <f t="shared" ref="H2998:I2998" si="3000">IF(C2998&lt;&gt;"",DEC2HEX(C2998,2),"")</f>
        <v/>
      </c>
      <c r="I2998" s="1" t="str">
        <f t="shared" si="3000"/>
        <v/>
      </c>
      <c r="J2998" s="1" t="str">
        <f t="shared" si="3"/>
        <v/>
      </c>
      <c r="L2998" s="1" t="s">
        <v>3700</v>
      </c>
      <c r="M2998" s="1" t="str">
        <f t="shared" si="4"/>
        <v>24, 24, SMEARGLE</v>
      </c>
    </row>
    <row r="2999" ht="12.75" customHeight="1">
      <c r="A2999" s="3" t="s">
        <v>2807</v>
      </c>
      <c r="B2999" s="3" t="str">
        <f t="shared" si="1"/>
        <v>0.05</v>
      </c>
      <c r="C2999" s="1" t="str">
        <f t="array" ref="C2999">IF(B2998="NEW ROUTE",TEXTSPLIT(B2999,","),"")</f>
        <v/>
      </c>
      <c r="H2999" s="1" t="str">
        <f t="shared" ref="H2999:I2999" si="3001">IF(C2999&lt;&gt;"",DEC2HEX(C2999,2),"")</f>
        <v/>
      </c>
      <c r="I2999" s="1" t="str">
        <f t="shared" si="3001"/>
        <v/>
      </c>
      <c r="J2999" s="1" t="str">
        <f t="shared" si="3"/>
        <v/>
      </c>
      <c r="L2999" s="1" t="s">
        <v>2807</v>
      </c>
      <c r="M2999" s="1" t="str">
        <f t="shared" si="4"/>
        <v>0.05</v>
      </c>
    </row>
    <row r="3000" ht="12.75" customHeight="1">
      <c r="A3000" s="3" t="s">
        <v>3703</v>
      </c>
      <c r="B3000" s="3" t="str">
        <f t="shared" si="1"/>
        <v>28, 28, SMEARGLE</v>
      </c>
      <c r="C3000" s="1" t="str">
        <f t="array" ref="C3000">IF(B2999="NEW ROUTE",TEXTSPLIT(B3000,","),"")</f>
        <v/>
      </c>
      <c r="H3000" s="1" t="str">
        <f t="shared" ref="H3000:I3000" si="3002">IF(C3000&lt;&gt;"",DEC2HEX(C3000,2),"")</f>
        <v/>
      </c>
      <c r="I3000" s="1" t="str">
        <f t="shared" si="3002"/>
        <v/>
      </c>
      <c r="J3000" s="1" t="str">
        <f t="shared" si="3"/>
        <v/>
      </c>
      <c r="L3000" s="1" t="s">
        <v>3703</v>
      </c>
      <c r="M3000" s="1" t="str">
        <f t="shared" si="4"/>
        <v>28, 28, SMEARGLE</v>
      </c>
    </row>
    <row r="3001" ht="12.75" customHeight="1">
      <c r="A3001" s="3" t="s">
        <v>3704</v>
      </c>
      <c r="B3001" s="3" t="str">
        <f t="shared" si="1"/>
        <v>18, 18, SMEARGLE</v>
      </c>
      <c r="C3001" s="1" t="str">
        <f t="array" ref="C3001">IF(B3000="NEW ROUTE",TEXTSPLIT(B3001,","),"")</f>
        <v/>
      </c>
      <c r="H3001" s="1" t="str">
        <f t="shared" ref="H3001:I3001" si="3003">IF(C3001&lt;&gt;"",DEC2HEX(C3001,2),"")</f>
        <v/>
      </c>
      <c r="I3001" s="1" t="str">
        <f t="shared" si="3003"/>
        <v/>
      </c>
      <c r="J3001" s="1" t="str">
        <f t="shared" si="3"/>
        <v/>
      </c>
      <c r="L3001" s="1" t="s">
        <v>3704</v>
      </c>
      <c r="M3001" s="1" t="str">
        <f t="shared" si="4"/>
        <v>18, 18, SMEARGLE</v>
      </c>
    </row>
    <row r="3002" ht="12.75" customHeight="1">
      <c r="A3002" s="3" t="s">
        <v>2810</v>
      </c>
      <c r="B3002" s="3" t="str">
        <f t="shared" si="1"/>
        <v>0.04</v>
      </c>
      <c r="C3002" s="1" t="str">
        <f t="array" ref="C3002">IF(B3001="NEW ROUTE",TEXTSPLIT(B3002,","),"")</f>
        <v/>
      </c>
      <c r="H3002" s="1" t="str">
        <f t="shared" ref="H3002:I3002" si="3004">IF(C3002&lt;&gt;"",DEC2HEX(C3002,2),"")</f>
        <v/>
      </c>
      <c r="I3002" s="1" t="str">
        <f t="shared" si="3004"/>
        <v/>
      </c>
      <c r="J3002" s="1" t="str">
        <f t="shared" si="3"/>
        <v/>
      </c>
      <c r="L3002" s="1" t="s">
        <v>2810</v>
      </c>
      <c r="M3002" s="1" t="str">
        <f t="shared" si="4"/>
        <v>0.04</v>
      </c>
    </row>
    <row r="3003" ht="12.75" customHeight="1">
      <c r="A3003" s="3" t="s">
        <v>3701</v>
      </c>
      <c r="B3003" s="3" t="str">
        <f t="shared" si="1"/>
        <v>20, 20, SMEARGLE</v>
      </c>
      <c r="C3003" s="1" t="str">
        <f t="array" ref="C3003">IF(B3002="NEW ROUTE",TEXTSPLIT(B3003,","),"")</f>
        <v/>
      </c>
      <c r="H3003" s="1" t="str">
        <f t="shared" ref="H3003:I3003" si="3005">IF(C3003&lt;&gt;"",DEC2HEX(C3003,2),"")</f>
        <v/>
      </c>
      <c r="I3003" s="1" t="str">
        <f t="shared" si="3005"/>
        <v/>
      </c>
      <c r="J3003" s="1" t="str">
        <f t="shared" si="3"/>
        <v/>
      </c>
      <c r="L3003" s="1" t="s">
        <v>3701</v>
      </c>
      <c r="M3003" s="1" t="str">
        <f t="shared" si="4"/>
        <v>20, 20, SMEARGLE</v>
      </c>
    </row>
    <row r="3004" ht="12.75" customHeight="1">
      <c r="A3004" s="3" t="s">
        <v>3702</v>
      </c>
      <c r="B3004" s="3" t="str">
        <f t="shared" si="1"/>
        <v>26, 26, SMEARGLE</v>
      </c>
      <c r="C3004" s="1" t="str">
        <f t="array" ref="C3004">IF(B3003="NEW ROUTE",TEXTSPLIT(B3004,","),"")</f>
        <v/>
      </c>
      <c r="H3004" s="1" t="str">
        <f t="shared" ref="H3004:I3004" si="3006">IF(C3004&lt;&gt;"",DEC2HEX(C3004,2),"")</f>
        <v/>
      </c>
      <c r="I3004" s="1" t="str">
        <f t="shared" si="3006"/>
        <v/>
      </c>
      <c r="J3004" s="1" t="str">
        <f t="shared" si="3"/>
        <v/>
      </c>
      <c r="L3004" s="1" t="s">
        <v>3702</v>
      </c>
      <c r="M3004" s="1" t="str">
        <f t="shared" si="4"/>
        <v>26, 26, SMEARGLE</v>
      </c>
    </row>
    <row r="3005" ht="12.75" customHeight="1">
      <c r="A3005" s="3" t="s">
        <v>2813</v>
      </c>
      <c r="B3005" s="3" t="str">
        <f t="shared" si="1"/>
        <v>0.01</v>
      </c>
      <c r="C3005" s="1" t="str">
        <f t="array" ref="C3005">IF(B3004="NEW ROUTE",TEXTSPLIT(B3005,","),"")</f>
        <v/>
      </c>
      <c r="H3005" s="1" t="str">
        <f t="shared" ref="H3005:I3005" si="3007">IF(C3005&lt;&gt;"",DEC2HEX(C3005,2),"")</f>
        <v/>
      </c>
      <c r="I3005" s="1" t="str">
        <f t="shared" si="3007"/>
        <v/>
      </c>
      <c r="J3005" s="1" t="str">
        <f t="shared" si="3"/>
        <v/>
      </c>
      <c r="L3005" s="1" t="s">
        <v>2813</v>
      </c>
      <c r="M3005" s="1" t="str">
        <f t="shared" si="4"/>
        <v>0.01</v>
      </c>
    </row>
    <row r="3006" ht="12.75" customHeight="1">
      <c r="A3006" s="3" t="s">
        <v>3701</v>
      </c>
      <c r="B3006" s="3" t="str">
        <f t="shared" si="1"/>
        <v>20, 20, SMEARGLE</v>
      </c>
      <c r="C3006" s="1" t="str">
        <f t="array" ref="C3006">IF(B3005="NEW ROUTE",TEXTSPLIT(B3006,","),"")</f>
        <v/>
      </c>
      <c r="H3006" s="1" t="str">
        <f t="shared" ref="H3006:I3006" si="3008">IF(C3006&lt;&gt;"",DEC2HEX(C3006,2),"")</f>
        <v/>
      </c>
      <c r="I3006" s="1" t="str">
        <f t="shared" si="3008"/>
        <v/>
      </c>
      <c r="J3006" s="1" t="str">
        <f t="shared" si="3"/>
        <v/>
      </c>
      <c r="L3006" s="1" t="s">
        <v>3701</v>
      </c>
      <c r="M3006" s="1" t="str">
        <f t="shared" si="4"/>
        <v>20, 20, SMEARGLE</v>
      </c>
    </row>
    <row r="3007" ht="12.75" customHeight="1">
      <c r="A3007" s="3" t="s">
        <v>3705</v>
      </c>
      <c r="B3007" s="3" t="str">
        <f t="shared" si="1"/>
        <v>26, 26, SMEARGLE , &lt;null&gt;, &lt;null&gt;, &lt;null&gt;</v>
      </c>
      <c r="C3007" s="1" t="str">
        <f t="array" ref="C3007">IF(B3006="NEW ROUTE",TEXTSPLIT(B3007,","),"")</f>
        <v/>
      </c>
      <c r="H3007" s="1" t="str">
        <f t="shared" ref="H3007:I3007" si="3009">IF(C3007&lt;&gt;"",DEC2HEX(C3007,2),"")</f>
        <v/>
      </c>
      <c r="I3007" s="1" t="str">
        <f t="shared" si="3009"/>
        <v/>
      </c>
      <c r="J3007" s="1" t="str">
        <f t="shared" si="3"/>
        <v/>
      </c>
      <c r="L3007" s="1" t="s">
        <v>3705</v>
      </c>
      <c r="M3007" s="1" t="str">
        <f t="shared" si="4"/>
        <v>26, 26, SMEARGLE , &lt;null&gt;, &lt;null&gt;, &lt;null&gt;</v>
      </c>
    </row>
    <row r="3008" ht="12.75" customHeight="1">
      <c r="A3008" s="3" t="s">
        <v>2539</v>
      </c>
      <c r="B3008" s="3" t="str">
        <f t="shared" si="1"/>
        <v>NEW ROUTE</v>
      </c>
      <c r="C3008" s="1" t="str">
        <f t="array" ref="C3008">IF(B3007="NEW ROUTE",TEXTSPLIT(B3008,","),"")</f>
        <v/>
      </c>
      <c r="H3008" s="1" t="str">
        <f t="shared" ref="H3008:I3008" si="3010">IF(C3008&lt;&gt;"",DEC2HEX(C3008,2),"")</f>
        <v/>
      </c>
      <c r="I3008" s="1" t="str">
        <f t="shared" si="3010"/>
        <v/>
      </c>
      <c r="J3008" s="1" t="str">
        <f t="shared" si="3"/>
        <v/>
      </c>
      <c r="L3008" s="1" t="s">
        <v>2539</v>
      </c>
      <c r="M3008" s="1" t="str">
        <f t="shared" si="4"/>
        <v>NEW ROUTE</v>
      </c>
    </row>
    <row r="3009" ht="12.75" customHeight="1">
      <c r="A3009" s="3" t="s">
        <v>3694</v>
      </c>
      <c r="B3009" s="3" t="str">
        <f t="shared" si="1"/>
        <v>24, 24, STANTLER</v>
      </c>
      <c r="C3009" s="1" t="str">
        <f t="array" ref="C3009">IF(B3008="NEW ROUTE",TEXTSPLIT(B3009,","),"")</f>
        <v>#NAME?</v>
      </c>
      <c r="H3009" s="1" t="str">
        <f t="shared" ref="H3009:I3009" si="3011">IF(C3009&lt;&gt;"",DEC2HEX(C3009,2),"")</f>
        <v>#NAME?</v>
      </c>
      <c r="I3009" s="1" t="str">
        <f t="shared" si="3011"/>
        <v/>
      </c>
      <c r="J3009" s="1" t="str">
        <f t="shared" si="3"/>
        <v>#NAME?</v>
      </c>
      <c r="L3009" s="1" t="s">
        <v>3694</v>
      </c>
      <c r="M3009" s="1" t="str">
        <f t="shared" si="4"/>
        <v>#NAME?</v>
      </c>
    </row>
    <row r="3010" ht="12.75" customHeight="1">
      <c r="A3010" s="3" t="s">
        <v>2807</v>
      </c>
      <c r="B3010" s="3" t="str">
        <f t="shared" si="1"/>
        <v>0.05</v>
      </c>
      <c r="C3010" s="1" t="str">
        <f t="array" ref="C3010">IF(B3009="NEW ROUTE",TEXTSPLIT(B3010,","),"")</f>
        <v/>
      </c>
      <c r="H3010" s="1" t="str">
        <f t="shared" ref="H3010:I3010" si="3012">IF(C3010&lt;&gt;"",DEC2HEX(C3010,2),"")</f>
        <v/>
      </c>
      <c r="I3010" s="1" t="str">
        <f t="shared" si="3012"/>
        <v/>
      </c>
      <c r="J3010" s="1" t="str">
        <f t="shared" si="3"/>
        <v/>
      </c>
      <c r="L3010" s="1" t="s">
        <v>2807</v>
      </c>
      <c r="M3010" s="1" t="str">
        <f t="shared" si="4"/>
        <v>0.05</v>
      </c>
    </row>
    <row r="3011" ht="12.75" customHeight="1">
      <c r="A3011" s="3" t="s">
        <v>3697</v>
      </c>
      <c r="B3011" s="3" t="str">
        <f t="shared" si="1"/>
        <v>28, 28, STANTLER</v>
      </c>
      <c r="C3011" s="1" t="str">
        <f t="array" ref="C3011">IF(B3010="NEW ROUTE",TEXTSPLIT(B3011,","),"")</f>
        <v/>
      </c>
      <c r="H3011" s="1" t="str">
        <f t="shared" ref="H3011:I3011" si="3013">IF(C3011&lt;&gt;"",DEC2HEX(C3011,2),"")</f>
        <v/>
      </c>
      <c r="I3011" s="1" t="str">
        <f t="shared" si="3013"/>
        <v/>
      </c>
      <c r="J3011" s="1" t="str">
        <f t="shared" si="3"/>
        <v/>
      </c>
      <c r="L3011" s="1" t="s">
        <v>3697</v>
      </c>
      <c r="M3011" s="1" t="str">
        <f t="shared" si="4"/>
        <v>28, 28, STANTLER</v>
      </c>
    </row>
    <row r="3012" ht="12.75" customHeight="1">
      <c r="A3012" s="3" t="s">
        <v>3698</v>
      </c>
      <c r="B3012" s="3" t="str">
        <f t="shared" si="1"/>
        <v>18, 18, STANTLER</v>
      </c>
      <c r="C3012" s="1" t="str">
        <f t="array" ref="C3012">IF(B3011="NEW ROUTE",TEXTSPLIT(B3012,","),"")</f>
        <v/>
      </c>
      <c r="H3012" s="1" t="str">
        <f t="shared" ref="H3012:I3012" si="3014">IF(C3012&lt;&gt;"",DEC2HEX(C3012,2),"")</f>
        <v/>
      </c>
      <c r="I3012" s="1" t="str">
        <f t="shared" si="3014"/>
        <v/>
      </c>
      <c r="J3012" s="1" t="str">
        <f t="shared" si="3"/>
        <v/>
      </c>
      <c r="L3012" s="1" t="s">
        <v>3698</v>
      </c>
      <c r="M3012" s="1" t="str">
        <f t="shared" si="4"/>
        <v>18, 18, STANTLER</v>
      </c>
    </row>
    <row r="3013" ht="12.75" customHeight="1">
      <c r="A3013" s="3" t="s">
        <v>2810</v>
      </c>
      <c r="B3013" s="3" t="str">
        <f t="shared" si="1"/>
        <v>0.04</v>
      </c>
      <c r="C3013" s="1" t="str">
        <f t="array" ref="C3013">IF(B3012="NEW ROUTE",TEXTSPLIT(B3013,","),"")</f>
        <v/>
      </c>
      <c r="H3013" s="1" t="str">
        <f t="shared" ref="H3013:I3013" si="3015">IF(C3013&lt;&gt;"",DEC2HEX(C3013,2),"")</f>
        <v/>
      </c>
      <c r="I3013" s="1" t="str">
        <f t="shared" si="3015"/>
        <v/>
      </c>
      <c r="J3013" s="1" t="str">
        <f t="shared" si="3"/>
        <v/>
      </c>
      <c r="L3013" s="1" t="s">
        <v>2810</v>
      </c>
      <c r="M3013" s="1" t="str">
        <f t="shared" si="4"/>
        <v>0.04</v>
      </c>
    </row>
    <row r="3014" ht="12.75" customHeight="1">
      <c r="A3014" s="3" t="s">
        <v>3695</v>
      </c>
      <c r="B3014" s="3" t="str">
        <f t="shared" si="1"/>
        <v>20, 20, STANTLER</v>
      </c>
      <c r="C3014" s="1" t="str">
        <f t="array" ref="C3014">IF(B3013="NEW ROUTE",TEXTSPLIT(B3014,","),"")</f>
        <v/>
      </c>
      <c r="H3014" s="1" t="str">
        <f t="shared" ref="H3014:I3014" si="3016">IF(C3014&lt;&gt;"",DEC2HEX(C3014,2),"")</f>
        <v/>
      </c>
      <c r="I3014" s="1" t="str">
        <f t="shared" si="3016"/>
        <v/>
      </c>
      <c r="J3014" s="1" t="str">
        <f t="shared" si="3"/>
        <v/>
      </c>
      <c r="L3014" s="1" t="s">
        <v>3695</v>
      </c>
      <c r="M3014" s="1" t="str">
        <f t="shared" si="4"/>
        <v>20, 20, STANTLER</v>
      </c>
    </row>
    <row r="3015" ht="12.75" customHeight="1">
      <c r="A3015" s="3" t="s">
        <v>3696</v>
      </c>
      <c r="B3015" s="3" t="str">
        <f t="shared" si="1"/>
        <v>26, 26, STANTLER</v>
      </c>
      <c r="C3015" s="1" t="str">
        <f t="array" ref="C3015">IF(B3014="NEW ROUTE",TEXTSPLIT(B3015,","),"")</f>
        <v/>
      </c>
      <c r="H3015" s="1" t="str">
        <f t="shared" ref="H3015:I3015" si="3017">IF(C3015&lt;&gt;"",DEC2HEX(C3015,2),"")</f>
        <v/>
      </c>
      <c r="I3015" s="1" t="str">
        <f t="shared" si="3017"/>
        <v/>
      </c>
      <c r="J3015" s="1" t="str">
        <f t="shared" si="3"/>
        <v/>
      </c>
      <c r="L3015" s="1" t="s">
        <v>3696</v>
      </c>
      <c r="M3015" s="1" t="str">
        <f t="shared" si="4"/>
        <v>26, 26, STANTLER</v>
      </c>
    </row>
    <row r="3016" ht="12.75" customHeight="1">
      <c r="A3016" s="3" t="s">
        <v>2813</v>
      </c>
      <c r="B3016" s="3" t="str">
        <f t="shared" si="1"/>
        <v>0.01</v>
      </c>
      <c r="C3016" s="1" t="str">
        <f t="array" ref="C3016">IF(B3015="NEW ROUTE",TEXTSPLIT(B3016,","),"")</f>
        <v/>
      </c>
      <c r="H3016" s="1" t="str">
        <f t="shared" ref="H3016:I3016" si="3018">IF(C3016&lt;&gt;"",DEC2HEX(C3016,2),"")</f>
        <v/>
      </c>
      <c r="I3016" s="1" t="str">
        <f t="shared" si="3018"/>
        <v/>
      </c>
      <c r="J3016" s="1" t="str">
        <f t="shared" si="3"/>
        <v/>
      </c>
      <c r="L3016" s="1" t="s">
        <v>2813</v>
      </c>
      <c r="M3016" s="1" t="str">
        <f t="shared" si="4"/>
        <v>0.01</v>
      </c>
    </row>
    <row r="3017" ht="12.75" customHeight="1">
      <c r="A3017" s="3" t="s">
        <v>3695</v>
      </c>
      <c r="B3017" s="3" t="str">
        <f t="shared" si="1"/>
        <v>20, 20, STANTLER</v>
      </c>
      <c r="C3017" s="1" t="str">
        <f t="array" ref="C3017">IF(B3016="NEW ROUTE",TEXTSPLIT(B3017,","),"")</f>
        <v/>
      </c>
      <c r="H3017" s="1" t="str">
        <f t="shared" ref="H3017:I3017" si="3019">IF(C3017&lt;&gt;"",DEC2HEX(C3017,2),"")</f>
        <v/>
      </c>
      <c r="I3017" s="1" t="str">
        <f t="shared" si="3019"/>
        <v/>
      </c>
      <c r="J3017" s="1" t="str">
        <f t="shared" si="3"/>
        <v/>
      </c>
      <c r="L3017" s="1" t="s">
        <v>3695</v>
      </c>
      <c r="M3017" s="1" t="str">
        <f t="shared" si="4"/>
        <v>20, 20, STANTLER</v>
      </c>
    </row>
    <row r="3018" ht="12.75" customHeight="1">
      <c r="A3018" s="3" t="s">
        <v>3699</v>
      </c>
      <c r="B3018" s="3" t="str">
        <f t="shared" si="1"/>
        <v>26, 26, STANTLER , &lt;null&gt;, &lt;null&gt;, &lt;null&gt;</v>
      </c>
      <c r="C3018" s="1" t="str">
        <f t="array" ref="C3018">IF(B3017="NEW ROUTE",TEXTSPLIT(B3018,","),"")</f>
        <v/>
      </c>
      <c r="H3018" s="1" t="str">
        <f t="shared" ref="H3018:I3018" si="3020">IF(C3018&lt;&gt;"",DEC2HEX(C3018,2),"")</f>
        <v/>
      </c>
      <c r="I3018" s="1" t="str">
        <f t="shared" si="3020"/>
        <v/>
      </c>
      <c r="J3018" s="1" t="str">
        <f t="shared" si="3"/>
        <v/>
      </c>
      <c r="L3018" s="1" t="s">
        <v>3699</v>
      </c>
      <c r="M3018" s="1" t="str">
        <f t="shared" si="4"/>
        <v>26, 26, STANTLER , &lt;null&gt;, &lt;null&gt;, &lt;null&gt;</v>
      </c>
    </row>
    <row r="3019" ht="12.75" customHeight="1">
      <c r="A3019" s="3" t="s">
        <v>2539</v>
      </c>
      <c r="B3019" s="3" t="str">
        <f t="shared" si="1"/>
        <v>NEW ROUTE</v>
      </c>
      <c r="C3019" s="1" t="str">
        <f t="array" ref="C3019">IF(B3018="NEW ROUTE",TEXTSPLIT(B3019,","),"")</f>
        <v/>
      </c>
      <c r="H3019" s="1" t="str">
        <f t="shared" ref="H3019:I3019" si="3021">IF(C3019&lt;&gt;"",DEC2HEX(C3019,2),"")</f>
        <v/>
      </c>
      <c r="I3019" s="1" t="str">
        <f t="shared" si="3021"/>
        <v/>
      </c>
      <c r="J3019" s="1" t="str">
        <f t="shared" si="3"/>
        <v/>
      </c>
      <c r="L3019" s="1" t="s">
        <v>2539</v>
      </c>
      <c r="M3019" s="1" t="str">
        <f t="shared" si="4"/>
        <v>NEW ROUTE</v>
      </c>
    </row>
    <row r="3020" ht="12.75" customHeight="1">
      <c r="A3020" s="3" t="s">
        <v>3650</v>
      </c>
      <c r="B3020" s="3" t="str">
        <f t="shared" si="1"/>
        <v>1, 122, 0,</v>
      </c>
      <c r="C3020" s="1" t="str">
        <f t="array" ref="C3020">IF(B3019="NEW ROUTE",TEXTSPLIT(B3020,","),"")</f>
        <v>#NAME?</v>
      </c>
      <c r="H3020" s="1" t="str">
        <f t="shared" ref="H3020:I3020" si="3022">IF(C3020&lt;&gt;"",DEC2HEX(C3020,2),"")</f>
        <v>#NAME?</v>
      </c>
      <c r="I3020" s="1" t="str">
        <f t="shared" si="3022"/>
        <v/>
      </c>
      <c r="J3020" s="1" t="str">
        <f t="shared" si="3"/>
        <v>#NAME?</v>
      </c>
      <c r="L3020" s="1" t="s">
        <v>3650</v>
      </c>
      <c r="M3020" s="1" t="str">
        <f t="shared" si="4"/>
        <v>#NAME?</v>
      </c>
    </row>
    <row r="3021" ht="12.75" customHeight="1">
      <c r="A3021" s="3" t="s">
        <v>2817</v>
      </c>
      <c r="B3021" s="3" t="str">
        <f t="shared" si="1"/>
        <v>20%</v>
      </c>
      <c r="C3021" s="1" t="str">
        <f t="array" ref="C3021">IF(B3020="NEW ROUTE",TEXTSPLIT(B3021,","),"")</f>
        <v/>
      </c>
      <c r="H3021" s="1" t="str">
        <f t="shared" ref="H3021:I3021" si="3023">IF(C3021&lt;&gt;"",DEC2HEX(C3021,2),"")</f>
        <v/>
      </c>
      <c r="I3021" s="1" t="str">
        <f t="shared" si="3023"/>
        <v/>
      </c>
      <c r="J3021" s="1" t="str">
        <f t="shared" si="3"/>
        <v/>
      </c>
      <c r="L3021" s="1" t="s">
        <v>2799</v>
      </c>
      <c r="M3021" s="1" t="str">
        <f t="shared" si="4"/>
        <v>20%</v>
      </c>
    </row>
    <row r="3022" ht="12.75" customHeight="1">
      <c r="A3022" s="3" t="s">
        <v>1354</v>
      </c>
      <c r="B3022" s="3" t="str">
        <f t="shared" si="1"/>
        <v>22, 22, SMEARGLE</v>
      </c>
      <c r="C3022" s="1" t="str">
        <f t="array" ref="C3022">IF(B3021="NEW ROUTE",TEXTSPLIT(B3022,","),"")</f>
        <v/>
      </c>
      <c r="H3022" s="1" t="str">
        <f t="shared" ref="H3022:I3022" si="3024">IF(C3022&lt;&gt;"",DEC2HEX(C3022,2),"")</f>
        <v/>
      </c>
      <c r="I3022" s="1" t="str">
        <f t="shared" si="3024"/>
        <v/>
      </c>
      <c r="J3022" s="1" t="str">
        <f t="shared" si="3"/>
        <v/>
      </c>
      <c r="L3022" s="1" t="s">
        <v>1354</v>
      </c>
      <c r="M3022" s="1" t="str">
        <f t="shared" si="4"/>
        <v>22, 22, SMEARGLE</v>
      </c>
    </row>
    <row r="3023" ht="12.75" customHeight="1">
      <c r="A3023" s="3" t="s">
        <v>3700</v>
      </c>
      <c r="B3023" s="3" t="str">
        <f t="shared" si="1"/>
        <v>24, 24, SMEARGLE</v>
      </c>
      <c r="C3023" s="1" t="str">
        <f t="array" ref="C3023">IF(B3022="NEW ROUTE",TEXTSPLIT(B3023,","),"")</f>
        <v/>
      </c>
      <c r="H3023" s="1" t="str">
        <f t="shared" ref="H3023:I3023" si="3025">IF(C3023&lt;&gt;"",DEC2HEX(C3023,2),"")</f>
        <v/>
      </c>
      <c r="I3023" s="1" t="str">
        <f t="shared" si="3025"/>
        <v/>
      </c>
      <c r="J3023" s="1" t="str">
        <f t="shared" si="3"/>
        <v/>
      </c>
      <c r="L3023" s="1" t="s">
        <v>3700</v>
      </c>
      <c r="M3023" s="1" t="str">
        <f t="shared" si="4"/>
        <v>24, 24, SMEARGLE</v>
      </c>
    </row>
    <row r="3024" ht="12.75" customHeight="1">
      <c r="A3024" s="3" t="s">
        <v>2802</v>
      </c>
      <c r="B3024" s="3" t="str">
        <f t="shared" si="1"/>
        <v>0.1</v>
      </c>
      <c r="C3024" s="1" t="str">
        <f t="array" ref="C3024">IF(B3023="NEW ROUTE",TEXTSPLIT(B3024,","),"")</f>
        <v/>
      </c>
      <c r="H3024" s="1" t="str">
        <f t="shared" ref="H3024:I3024" si="3026">IF(C3024&lt;&gt;"",DEC2HEX(C3024,2),"")</f>
        <v/>
      </c>
      <c r="I3024" s="1" t="str">
        <f t="shared" si="3026"/>
        <v/>
      </c>
      <c r="J3024" s="1" t="str">
        <f t="shared" si="3"/>
        <v/>
      </c>
      <c r="L3024" s="1" t="s">
        <v>2802</v>
      </c>
      <c r="M3024" s="1" t="str">
        <f t="shared" si="4"/>
        <v>0.1</v>
      </c>
    </row>
    <row r="3025" ht="12.75" customHeight="1">
      <c r="A3025" s="3" t="s">
        <v>3701</v>
      </c>
      <c r="B3025" s="3" t="str">
        <f t="shared" si="1"/>
        <v>20, 20, SMEARGLE</v>
      </c>
      <c r="C3025" s="1" t="str">
        <f t="array" ref="C3025">IF(B3024="NEW ROUTE",TEXTSPLIT(B3025,","),"")</f>
        <v/>
      </c>
      <c r="H3025" s="1" t="str">
        <f t="shared" ref="H3025:I3025" si="3027">IF(C3025&lt;&gt;"",DEC2HEX(C3025,2),"")</f>
        <v/>
      </c>
      <c r="I3025" s="1" t="str">
        <f t="shared" si="3027"/>
        <v/>
      </c>
      <c r="J3025" s="1" t="str">
        <f t="shared" si="3"/>
        <v/>
      </c>
      <c r="L3025" s="1" t="s">
        <v>3701</v>
      </c>
      <c r="M3025" s="1" t="str">
        <f t="shared" si="4"/>
        <v>20, 20, SMEARGLE</v>
      </c>
    </row>
    <row r="3026" ht="12.75" customHeight="1">
      <c r="A3026" s="3" t="s">
        <v>3702</v>
      </c>
      <c r="B3026" s="3" t="str">
        <f t="shared" si="1"/>
        <v>26, 26, SMEARGLE</v>
      </c>
      <c r="C3026" s="1" t="str">
        <f t="array" ref="C3026">IF(B3025="NEW ROUTE",TEXTSPLIT(B3026,","),"")</f>
        <v/>
      </c>
      <c r="H3026" s="1" t="str">
        <f t="shared" ref="H3026:I3026" si="3028">IF(C3026&lt;&gt;"",DEC2HEX(C3026,2),"")</f>
        <v/>
      </c>
      <c r="I3026" s="1" t="str">
        <f t="shared" si="3028"/>
        <v/>
      </c>
      <c r="J3026" s="1" t="str">
        <f t="shared" si="3"/>
        <v/>
      </c>
      <c r="L3026" s="1" t="s">
        <v>3702</v>
      </c>
      <c r="M3026" s="1" t="str">
        <f t="shared" si="4"/>
        <v>26, 26, SMEARGLE</v>
      </c>
    </row>
    <row r="3027" ht="12.75" customHeight="1">
      <c r="A3027" s="3" t="s">
        <v>1354</v>
      </c>
      <c r="B3027" s="3" t="str">
        <f t="shared" si="1"/>
        <v>22, 22, SMEARGLE</v>
      </c>
      <c r="C3027" s="1" t="str">
        <f t="array" ref="C3027">IF(B3026="NEW ROUTE",TEXTSPLIT(B3027,","),"")</f>
        <v/>
      </c>
      <c r="H3027" s="1" t="str">
        <f t="shared" ref="H3027:I3027" si="3029">IF(C3027&lt;&gt;"",DEC2HEX(C3027,2),"")</f>
        <v/>
      </c>
      <c r="I3027" s="1" t="str">
        <f t="shared" si="3029"/>
        <v/>
      </c>
      <c r="J3027" s="1" t="str">
        <f t="shared" si="3"/>
        <v/>
      </c>
      <c r="L3027" s="1" t="s">
        <v>1354</v>
      </c>
      <c r="M3027" s="1" t="str">
        <f t="shared" si="4"/>
        <v>22, 22, SMEARGLE</v>
      </c>
    </row>
    <row r="3028" ht="12.75" customHeight="1">
      <c r="A3028" s="3" t="s">
        <v>3700</v>
      </c>
      <c r="B3028" s="3" t="str">
        <f t="shared" si="1"/>
        <v>24, 24, SMEARGLE</v>
      </c>
      <c r="C3028" s="1" t="str">
        <f t="array" ref="C3028">IF(B3027="NEW ROUTE",TEXTSPLIT(B3028,","),"")</f>
        <v/>
      </c>
      <c r="H3028" s="1" t="str">
        <f t="shared" ref="H3028:I3028" si="3030">IF(C3028&lt;&gt;"",DEC2HEX(C3028,2),"")</f>
        <v/>
      </c>
      <c r="I3028" s="1" t="str">
        <f t="shared" si="3030"/>
        <v/>
      </c>
      <c r="J3028" s="1" t="str">
        <f t="shared" si="3"/>
        <v/>
      </c>
      <c r="L3028" s="1" t="s">
        <v>3700</v>
      </c>
      <c r="M3028" s="1" t="str">
        <f t="shared" si="4"/>
        <v>24, 24, SMEARGLE</v>
      </c>
    </row>
    <row r="3029" ht="12.75" customHeight="1">
      <c r="A3029" s="3" t="s">
        <v>2807</v>
      </c>
      <c r="B3029" s="3" t="str">
        <f t="shared" si="1"/>
        <v>0.05</v>
      </c>
      <c r="C3029" s="1" t="str">
        <f t="array" ref="C3029">IF(B3028="NEW ROUTE",TEXTSPLIT(B3029,","),"")</f>
        <v/>
      </c>
      <c r="H3029" s="1" t="str">
        <f t="shared" ref="H3029:I3029" si="3031">IF(C3029&lt;&gt;"",DEC2HEX(C3029,2),"")</f>
        <v/>
      </c>
      <c r="I3029" s="1" t="str">
        <f t="shared" si="3031"/>
        <v/>
      </c>
      <c r="J3029" s="1" t="str">
        <f t="shared" si="3"/>
        <v/>
      </c>
      <c r="L3029" s="1" t="s">
        <v>2807</v>
      </c>
      <c r="M3029" s="1" t="str">
        <f t="shared" si="4"/>
        <v>0.05</v>
      </c>
    </row>
    <row r="3030" ht="12.75" customHeight="1">
      <c r="A3030" s="3" t="s">
        <v>3703</v>
      </c>
      <c r="B3030" s="3" t="str">
        <f t="shared" si="1"/>
        <v>28, 28, SMEARGLE</v>
      </c>
      <c r="C3030" s="1" t="str">
        <f t="array" ref="C3030">IF(B3029="NEW ROUTE",TEXTSPLIT(B3030,","),"")</f>
        <v/>
      </c>
      <c r="H3030" s="1" t="str">
        <f t="shared" ref="H3030:I3030" si="3032">IF(C3030&lt;&gt;"",DEC2HEX(C3030,2),"")</f>
        <v/>
      </c>
      <c r="I3030" s="1" t="str">
        <f t="shared" si="3032"/>
        <v/>
      </c>
      <c r="J3030" s="1" t="str">
        <f t="shared" si="3"/>
        <v/>
      </c>
      <c r="L3030" s="1" t="s">
        <v>3703</v>
      </c>
      <c r="M3030" s="1" t="str">
        <f t="shared" si="4"/>
        <v>28, 28, SMEARGLE</v>
      </c>
    </row>
    <row r="3031" ht="12.75" customHeight="1">
      <c r="A3031" s="3" t="s">
        <v>3704</v>
      </c>
      <c r="B3031" s="3" t="str">
        <f t="shared" si="1"/>
        <v>18, 18, SMEARGLE</v>
      </c>
      <c r="C3031" s="1" t="str">
        <f t="array" ref="C3031">IF(B3030="NEW ROUTE",TEXTSPLIT(B3031,","),"")</f>
        <v/>
      </c>
      <c r="H3031" s="1" t="str">
        <f t="shared" ref="H3031:I3031" si="3033">IF(C3031&lt;&gt;"",DEC2HEX(C3031,2),"")</f>
        <v/>
      </c>
      <c r="I3031" s="1" t="str">
        <f t="shared" si="3033"/>
        <v/>
      </c>
      <c r="J3031" s="1" t="str">
        <f t="shared" si="3"/>
        <v/>
      </c>
      <c r="L3031" s="1" t="s">
        <v>3704</v>
      </c>
      <c r="M3031" s="1" t="str">
        <f t="shared" si="4"/>
        <v>18, 18, SMEARGLE</v>
      </c>
    </row>
    <row r="3032" ht="12.75" customHeight="1">
      <c r="A3032" s="3" t="s">
        <v>2810</v>
      </c>
      <c r="B3032" s="3" t="str">
        <f t="shared" si="1"/>
        <v>0.04</v>
      </c>
      <c r="C3032" s="1" t="str">
        <f t="array" ref="C3032">IF(B3031="NEW ROUTE",TEXTSPLIT(B3032,","),"")</f>
        <v/>
      </c>
      <c r="H3032" s="1" t="str">
        <f t="shared" ref="H3032:I3032" si="3034">IF(C3032&lt;&gt;"",DEC2HEX(C3032,2),"")</f>
        <v/>
      </c>
      <c r="I3032" s="1" t="str">
        <f t="shared" si="3034"/>
        <v/>
      </c>
      <c r="J3032" s="1" t="str">
        <f t="shared" si="3"/>
        <v/>
      </c>
      <c r="L3032" s="1" t="s">
        <v>2810</v>
      </c>
      <c r="M3032" s="1" t="str">
        <f t="shared" si="4"/>
        <v>0.04</v>
      </c>
    </row>
    <row r="3033" ht="12.75" customHeight="1">
      <c r="A3033" s="3" t="s">
        <v>3701</v>
      </c>
      <c r="B3033" s="3" t="str">
        <f t="shared" si="1"/>
        <v>20, 20, SMEARGLE</v>
      </c>
      <c r="C3033" s="1" t="str">
        <f t="array" ref="C3033">IF(B3032="NEW ROUTE",TEXTSPLIT(B3033,","),"")</f>
        <v/>
      </c>
      <c r="H3033" s="1" t="str">
        <f t="shared" ref="H3033:I3033" si="3035">IF(C3033&lt;&gt;"",DEC2HEX(C3033,2),"")</f>
        <v/>
      </c>
      <c r="I3033" s="1" t="str">
        <f t="shared" si="3035"/>
        <v/>
      </c>
      <c r="J3033" s="1" t="str">
        <f t="shared" si="3"/>
        <v/>
      </c>
      <c r="L3033" s="1" t="s">
        <v>3701</v>
      </c>
      <c r="M3033" s="1" t="str">
        <f t="shared" si="4"/>
        <v>20, 20, SMEARGLE</v>
      </c>
    </row>
    <row r="3034" ht="12.75" customHeight="1">
      <c r="A3034" s="3" t="s">
        <v>3702</v>
      </c>
      <c r="B3034" s="3" t="str">
        <f t="shared" si="1"/>
        <v>26, 26, SMEARGLE</v>
      </c>
      <c r="C3034" s="1" t="str">
        <f t="array" ref="C3034">IF(B3033="NEW ROUTE",TEXTSPLIT(B3034,","),"")</f>
        <v/>
      </c>
      <c r="H3034" s="1" t="str">
        <f t="shared" ref="H3034:I3034" si="3036">IF(C3034&lt;&gt;"",DEC2HEX(C3034,2),"")</f>
        <v/>
      </c>
      <c r="I3034" s="1" t="str">
        <f t="shared" si="3036"/>
        <v/>
      </c>
      <c r="J3034" s="1" t="str">
        <f t="shared" si="3"/>
        <v/>
      </c>
      <c r="L3034" s="1" t="s">
        <v>3702</v>
      </c>
      <c r="M3034" s="1" t="str">
        <f t="shared" si="4"/>
        <v>26, 26, SMEARGLE</v>
      </c>
    </row>
    <row r="3035" ht="12.75" customHeight="1">
      <c r="A3035" s="3" t="s">
        <v>2813</v>
      </c>
      <c r="B3035" s="3" t="str">
        <f t="shared" si="1"/>
        <v>0.01</v>
      </c>
      <c r="C3035" s="1" t="str">
        <f t="array" ref="C3035">IF(B3034="NEW ROUTE",TEXTSPLIT(B3035,","),"")</f>
        <v/>
      </c>
      <c r="H3035" s="1" t="str">
        <f t="shared" ref="H3035:I3035" si="3037">IF(C3035&lt;&gt;"",DEC2HEX(C3035,2),"")</f>
        <v/>
      </c>
      <c r="I3035" s="1" t="str">
        <f t="shared" si="3037"/>
        <v/>
      </c>
      <c r="J3035" s="1" t="str">
        <f t="shared" si="3"/>
        <v/>
      </c>
      <c r="L3035" s="1" t="s">
        <v>2813</v>
      </c>
      <c r="M3035" s="1" t="str">
        <f t="shared" si="4"/>
        <v>0.01</v>
      </c>
    </row>
    <row r="3036" ht="12.75" customHeight="1">
      <c r="A3036" s="3" t="s">
        <v>3701</v>
      </c>
      <c r="B3036" s="3" t="str">
        <f t="shared" si="1"/>
        <v>20, 20, SMEARGLE</v>
      </c>
      <c r="C3036" s="1" t="str">
        <f t="array" ref="C3036">IF(B3035="NEW ROUTE",TEXTSPLIT(B3036,","),"")</f>
        <v/>
      </c>
      <c r="H3036" s="1" t="str">
        <f t="shared" ref="H3036:I3036" si="3038">IF(C3036&lt;&gt;"",DEC2HEX(C3036,2),"")</f>
        <v/>
      </c>
      <c r="I3036" s="1" t="str">
        <f t="shared" si="3038"/>
        <v/>
      </c>
      <c r="J3036" s="1" t="str">
        <f t="shared" si="3"/>
        <v/>
      </c>
      <c r="L3036" s="1" t="s">
        <v>3701</v>
      </c>
      <c r="M3036" s="1" t="str">
        <f t="shared" si="4"/>
        <v>20, 20, SMEARGLE</v>
      </c>
    </row>
    <row r="3037" ht="12.75" customHeight="1">
      <c r="A3037" s="3" t="s">
        <v>3705</v>
      </c>
      <c r="B3037" s="3" t="str">
        <f t="shared" si="1"/>
        <v>26, 26, SMEARGLE , &lt;null&gt;, &lt;null&gt;, &lt;null&gt;</v>
      </c>
      <c r="C3037" s="1" t="str">
        <f t="array" ref="C3037">IF(B3036="NEW ROUTE",TEXTSPLIT(B3037,","),"")</f>
        <v/>
      </c>
      <c r="H3037" s="1" t="str">
        <f t="shared" ref="H3037:I3037" si="3039">IF(C3037&lt;&gt;"",DEC2HEX(C3037,2),"")</f>
        <v/>
      </c>
      <c r="I3037" s="1" t="str">
        <f t="shared" si="3039"/>
        <v/>
      </c>
      <c r="J3037" s="1" t="str">
        <f t="shared" si="3"/>
        <v/>
      </c>
      <c r="L3037" s="1" t="s">
        <v>3705</v>
      </c>
      <c r="M3037" s="1" t="str">
        <f t="shared" si="4"/>
        <v>26, 26, SMEARGLE , &lt;null&gt;, &lt;null&gt;, &lt;null&gt;</v>
      </c>
    </row>
  </sheetData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44.38"/>
    <col customWidth="1" min="2" max="2" width="22.63"/>
    <col customWidth="1" min="3" max="4" width="8.63"/>
    <col customWidth="1" min="5" max="5" width="22.63"/>
    <col customWidth="1" min="6" max="6" width="34.13"/>
    <col customWidth="1" min="7" max="8" width="36.38"/>
    <col customWidth="1" min="9" max="11" width="8.63"/>
    <col customWidth="1" min="12" max="12" width="40.88"/>
  </cols>
  <sheetData>
    <row r="1" ht="12.75" customHeight="1">
      <c r="A1" s="4" t="s">
        <v>2539</v>
      </c>
      <c r="B1" s="5" t="s">
        <v>2539</v>
      </c>
      <c r="C1" s="1">
        <f t="shared" ref="C1:C3037" si="1">IF(B1="NEW ROUTE",1,"")</f>
        <v>1</v>
      </c>
      <c r="E1" s="5" t="s">
        <v>2539</v>
      </c>
      <c r="F1" s="6" t="str">
        <f t="shared" ref="F1:F3037" si="2">VLOOKUP(E1,$K$2:$L$426,2,FALSE)</f>
        <v>#N/A</v>
      </c>
      <c r="G1" s="1" t="str">
        <f t="shared" ref="G1:G3037" si="3">IF(ISNA(F1),"",F1)</f>
        <v/>
      </c>
      <c r="H1" s="5" t="str">
        <f t="shared" ref="H1:H3037" si="4">IF(G1&lt;&gt;"",G1,E1)</f>
        <v>NEW ROUTE</v>
      </c>
      <c r="K1" s="1" t="s">
        <v>1369</v>
      </c>
      <c r="L1" s="1" t="s">
        <v>1370</v>
      </c>
    </row>
    <row r="2" ht="12.75" customHeight="1">
      <c r="A2" s="4" t="s">
        <v>1395</v>
      </c>
      <c r="B2" s="5" t="s">
        <v>1395</v>
      </c>
      <c r="C2" s="1" t="str">
        <f t="shared" si="1"/>
        <v/>
      </c>
      <c r="E2" s="5" t="s">
        <v>1395</v>
      </c>
      <c r="F2" s="6" t="str">
        <f t="shared" si="2"/>
        <v>Viridian Forest</v>
      </c>
      <c r="G2" s="1" t="str">
        <f t="shared" si="3"/>
        <v>Viridian Forest</v>
      </c>
      <c r="H2" s="5" t="str">
        <f t="shared" si="4"/>
        <v>Viridian Forest</v>
      </c>
      <c r="K2" s="1" t="s">
        <v>1375</v>
      </c>
      <c r="L2" s="1" t="s">
        <v>1376</v>
      </c>
    </row>
    <row r="3" ht="12.75" customHeight="1">
      <c r="A3" s="4" t="s">
        <v>2799</v>
      </c>
      <c r="B3" s="5">
        <v>0.2</v>
      </c>
      <c r="C3" s="1" t="str">
        <f t="shared" si="1"/>
        <v/>
      </c>
      <c r="E3" s="5">
        <v>0.2</v>
      </c>
      <c r="F3" s="6" t="str">
        <f t="shared" si="2"/>
        <v>#N/A</v>
      </c>
      <c r="G3" s="1" t="str">
        <f t="shared" si="3"/>
        <v/>
      </c>
      <c r="H3" s="5">
        <f t="shared" si="4"/>
        <v>0.2</v>
      </c>
      <c r="K3" s="1" t="s">
        <v>1379</v>
      </c>
      <c r="L3" s="1" t="s">
        <v>1380</v>
      </c>
    </row>
    <row r="4" ht="12.75" customHeight="1">
      <c r="A4" s="4" t="s">
        <v>372</v>
      </c>
      <c r="B4" s="5" t="s">
        <v>372</v>
      </c>
      <c r="C4" s="1" t="str">
        <f t="shared" si="1"/>
        <v/>
      </c>
      <c r="E4" s="5" t="s">
        <v>372</v>
      </c>
      <c r="F4" s="6" t="str">
        <f t="shared" si="2"/>
        <v>#N/A</v>
      </c>
      <c r="G4" s="1" t="str">
        <f t="shared" si="3"/>
        <v/>
      </c>
      <c r="H4" s="5" t="str">
        <f t="shared" si="4"/>
        <v>4, 6, CATERPIE</v>
      </c>
      <c r="K4" s="1" t="s">
        <v>1383</v>
      </c>
      <c r="L4" s="1" t="s">
        <v>1384</v>
      </c>
    </row>
    <row r="5" ht="12.75" customHeight="1">
      <c r="A5" s="4" t="s">
        <v>2800</v>
      </c>
      <c r="B5" s="5" t="s">
        <v>2800</v>
      </c>
      <c r="C5" s="1" t="str">
        <f t="shared" si="1"/>
        <v/>
      </c>
      <c r="E5" s="5" t="s">
        <v>2800</v>
      </c>
      <c r="F5" s="6" t="str">
        <f t="shared" si="2"/>
        <v>#N/A</v>
      </c>
      <c r="G5" s="1" t="str">
        <f t="shared" si="3"/>
        <v/>
      </c>
      <c r="H5" s="5" t="str">
        <f t="shared" si="4"/>
        <v>4, 6, WEEDLE</v>
      </c>
      <c r="K5" s="1" t="s">
        <v>1387</v>
      </c>
      <c r="L5" s="1" t="s">
        <v>1388</v>
      </c>
    </row>
    <row r="6" ht="12.75" customHeight="1">
      <c r="A6" s="4" t="s">
        <v>2802</v>
      </c>
      <c r="B6" s="5">
        <v>0.1</v>
      </c>
      <c r="C6" s="1" t="str">
        <f t="shared" si="1"/>
        <v/>
      </c>
      <c r="E6" s="5">
        <v>0.1</v>
      </c>
      <c r="F6" s="6" t="str">
        <f t="shared" si="2"/>
        <v>#N/A</v>
      </c>
      <c r="G6" s="1" t="str">
        <f t="shared" si="3"/>
        <v/>
      </c>
      <c r="H6" s="5">
        <f t="shared" si="4"/>
        <v>0.1</v>
      </c>
      <c r="K6" s="1" t="s">
        <v>1391</v>
      </c>
      <c r="L6" s="1" t="s">
        <v>1392</v>
      </c>
    </row>
    <row r="7" ht="12.75" customHeight="1">
      <c r="A7" s="4" t="s">
        <v>2803</v>
      </c>
      <c r="B7" s="5" t="s">
        <v>2803</v>
      </c>
      <c r="C7" s="1" t="str">
        <f t="shared" si="1"/>
        <v/>
      </c>
      <c r="E7" s="5" t="s">
        <v>2803</v>
      </c>
      <c r="F7" s="6" t="str">
        <f t="shared" si="2"/>
        <v>#N/A</v>
      </c>
      <c r="G7" s="1" t="str">
        <f t="shared" si="3"/>
        <v/>
      </c>
      <c r="H7" s="5" t="str">
        <f t="shared" si="4"/>
        <v>5, 7, ODDISH</v>
      </c>
      <c r="K7" s="1" t="s">
        <v>1395</v>
      </c>
      <c r="L7" s="1" t="s">
        <v>1396</v>
      </c>
    </row>
    <row r="8" ht="12.75" customHeight="1">
      <c r="A8" s="4" t="s">
        <v>2804</v>
      </c>
      <c r="B8" s="5" t="s">
        <v>2804</v>
      </c>
      <c r="C8" s="1" t="str">
        <f t="shared" si="1"/>
        <v/>
      </c>
      <c r="E8" s="5" t="s">
        <v>2804</v>
      </c>
      <c r="F8" s="6" t="str">
        <f t="shared" si="2"/>
        <v>#N/A</v>
      </c>
      <c r="G8" s="1" t="str">
        <f t="shared" si="3"/>
        <v/>
      </c>
      <c r="H8" s="5" t="str">
        <f t="shared" si="4"/>
        <v>7, 9, METAPOD</v>
      </c>
      <c r="K8" s="1" t="s">
        <v>1399</v>
      </c>
      <c r="L8" s="1" t="s">
        <v>1400</v>
      </c>
    </row>
    <row r="9" ht="12.75" customHeight="1">
      <c r="A9" s="4" t="s">
        <v>2805</v>
      </c>
      <c r="B9" s="5" t="s">
        <v>2805</v>
      </c>
      <c r="C9" s="1" t="str">
        <f t="shared" si="1"/>
        <v/>
      </c>
      <c r="E9" s="5" t="s">
        <v>2805</v>
      </c>
      <c r="F9" s="6" t="str">
        <f t="shared" si="2"/>
        <v>#N/A</v>
      </c>
      <c r="G9" s="1" t="str">
        <f t="shared" si="3"/>
        <v/>
      </c>
      <c r="H9" s="5" t="str">
        <f t="shared" si="4"/>
        <v>7, 9, KAKUNA</v>
      </c>
      <c r="K9" s="1" t="s">
        <v>1404</v>
      </c>
      <c r="L9" s="1" t="s">
        <v>1405</v>
      </c>
    </row>
    <row r="10" ht="12.75" customHeight="1">
      <c r="A10" s="4" t="s">
        <v>2806</v>
      </c>
      <c r="B10" s="5" t="s">
        <v>2806</v>
      </c>
      <c r="C10" s="1" t="str">
        <f t="shared" si="1"/>
        <v/>
      </c>
      <c r="E10" s="5" t="s">
        <v>2806</v>
      </c>
      <c r="F10" s="6" t="str">
        <f t="shared" si="2"/>
        <v>#N/A</v>
      </c>
      <c r="G10" s="1" t="str">
        <f t="shared" si="3"/>
        <v/>
      </c>
      <c r="H10" s="5" t="str">
        <f t="shared" si="4"/>
        <v>5, 7, PIKACHU</v>
      </c>
      <c r="K10" s="1" t="s">
        <v>1407</v>
      </c>
      <c r="L10" s="1" t="s">
        <v>1408</v>
      </c>
    </row>
    <row r="11" ht="12.75" customHeight="1">
      <c r="A11" s="4" t="s">
        <v>2807</v>
      </c>
      <c r="B11" s="5">
        <v>0.05</v>
      </c>
      <c r="C11" s="1" t="str">
        <f t="shared" si="1"/>
        <v/>
      </c>
      <c r="E11" s="5">
        <v>0.05</v>
      </c>
      <c r="F11" s="6" t="str">
        <f t="shared" si="2"/>
        <v>#N/A</v>
      </c>
      <c r="G11" s="1" t="str">
        <f t="shared" si="3"/>
        <v/>
      </c>
      <c r="H11" s="5">
        <f t="shared" si="4"/>
        <v>0.05</v>
      </c>
      <c r="K11" s="1" t="s">
        <v>1410</v>
      </c>
      <c r="L11" s="1" t="s">
        <v>1411</v>
      </c>
    </row>
    <row r="12" ht="12.75" customHeight="1">
      <c r="A12" s="4" t="s">
        <v>2808</v>
      </c>
      <c r="B12" s="5" t="s">
        <v>2808</v>
      </c>
      <c r="C12" s="1" t="str">
        <f t="shared" si="1"/>
        <v/>
      </c>
      <c r="E12" s="5" t="s">
        <v>2808</v>
      </c>
      <c r="F12" s="6" t="str">
        <f t="shared" si="2"/>
        <v>#N/A</v>
      </c>
      <c r="G12" s="1" t="str">
        <f t="shared" si="3"/>
        <v/>
      </c>
      <c r="H12" s="5" t="str">
        <f t="shared" si="4"/>
        <v>5, 7, MANKEY</v>
      </c>
      <c r="K12" s="1" t="s">
        <v>1414</v>
      </c>
      <c r="L12" s="1" t="s">
        <v>1415</v>
      </c>
    </row>
    <row r="13" ht="12.75" customHeight="1">
      <c r="A13" s="4" t="s">
        <v>2809</v>
      </c>
      <c r="B13" s="5" t="s">
        <v>2809</v>
      </c>
      <c r="C13" s="1" t="str">
        <f t="shared" si="1"/>
        <v/>
      </c>
      <c r="E13" s="5" t="s">
        <v>2809</v>
      </c>
      <c r="F13" s="6" t="str">
        <f t="shared" si="2"/>
        <v>#N/A</v>
      </c>
      <c r="G13" s="1" t="str">
        <f t="shared" si="3"/>
        <v/>
      </c>
      <c r="H13" s="5" t="str">
        <f t="shared" si="4"/>
        <v>9, 10, BUTTERFREE</v>
      </c>
      <c r="K13" s="1" t="s">
        <v>1419</v>
      </c>
      <c r="L13" s="1" t="s">
        <v>1420</v>
      </c>
    </row>
    <row r="14" ht="12.75" customHeight="1">
      <c r="A14" s="4" t="s">
        <v>2810</v>
      </c>
      <c r="B14" s="5">
        <v>0.04</v>
      </c>
      <c r="C14" s="1" t="str">
        <f t="shared" si="1"/>
        <v/>
      </c>
      <c r="E14" s="5">
        <v>0.04</v>
      </c>
      <c r="F14" s="6" t="str">
        <f t="shared" si="2"/>
        <v>#N/A</v>
      </c>
      <c r="G14" s="1" t="str">
        <f t="shared" si="3"/>
        <v/>
      </c>
      <c r="H14" s="5">
        <f t="shared" si="4"/>
        <v>0.04</v>
      </c>
      <c r="K14" s="1" t="s">
        <v>1423</v>
      </c>
      <c r="L14" s="1" t="s">
        <v>1424</v>
      </c>
    </row>
    <row r="15" ht="12.75" customHeight="1">
      <c r="A15" s="4" t="s">
        <v>2811</v>
      </c>
      <c r="B15" s="5" t="s">
        <v>2811</v>
      </c>
      <c r="C15" s="1" t="str">
        <f t="shared" si="1"/>
        <v/>
      </c>
      <c r="E15" s="5" t="s">
        <v>2811</v>
      </c>
      <c r="F15" s="6" t="str">
        <f t="shared" si="2"/>
        <v>#N/A</v>
      </c>
      <c r="G15" s="1" t="str">
        <f t="shared" si="3"/>
        <v/>
      </c>
      <c r="H15" s="5" t="str">
        <f t="shared" si="4"/>
        <v>9, 10, BEEDRILL</v>
      </c>
      <c r="K15" s="1" t="s">
        <v>1427</v>
      </c>
      <c r="L15" s="1" t="s">
        <v>1428</v>
      </c>
    </row>
    <row r="16" ht="12.75" customHeight="1">
      <c r="A16" s="4" t="s">
        <v>2812</v>
      </c>
      <c r="B16" s="5" t="s">
        <v>2812</v>
      </c>
      <c r="C16" s="1" t="str">
        <f t="shared" si="1"/>
        <v/>
      </c>
      <c r="E16" s="5" t="s">
        <v>2812</v>
      </c>
      <c r="F16" s="6" t="str">
        <f t="shared" si="2"/>
        <v>#N/A</v>
      </c>
      <c r="G16" s="1" t="str">
        <f t="shared" si="3"/>
        <v/>
      </c>
      <c r="H16" s="5" t="str">
        <f t="shared" si="4"/>
        <v>6, 9, TANGELA</v>
      </c>
      <c r="K16" s="1" t="s">
        <v>1431</v>
      </c>
      <c r="L16" s="1" t="s">
        <v>1432</v>
      </c>
    </row>
    <row r="17" ht="12.75" customHeight="1">
      <c r="A17" s="4" t="s">
        <v>2813</v>
      </c>
      <c r="B17" s="5">
        <v>0.01</v>
      </c>
      <c r="C17" s="1" t="str">
        <f t="shared" si="1"/>
        <v/>
      </c>
      <c r="E17" s="5">
        <v>0.01</v>
      </c>
      <c r="F17" s="6" t="str">
        <f t="shared" si="2"/>
        <v>#N/A</v>
      </c>
      <c r="G17" s="1" t="str">
        <f t="shared" si="3"/>
        <v/>
      </c>
      <c r="H17" s="5">
        <f t="shared" si="4"/>
        <v>0.01</v>
      </c>
      <c r="K17" s="1" t="s">
        <v>1435</v>
      </c>
      <c r="L17" s="1" t="s">
        <v>1436</v>
      </c>
    </row>
    <row r="18" ht="12.75" customHeight="1">
      <c r="A18" s="4" t="s">
        <v>2814</v>
      </c>
      <c r="B18" s="5" t="s">
        <v>2814</v>
      </c>
      <c r="C18" s="1" t="str">
        <f t="shared" si="1"/>
        <v/>
      </c>
      <c r="E18" s="5" t="s">
        <v>2814</v>
      </c>
      <c r="F18" s="6" t="str">
        <f t="shared" si="2"/>
        <v>#N/A</v>
      </c>
      <c r="G18" s="1" t="str">
        <f t="shared" si="3"/>
        <v/>
      </c>
      <c r="H18" s="5" t="str">
        <f t="shared" si="4"/>
        <v>11, 11, BEEDRILL</v>
      </c>
      <c r="K18" s="1" t="s">
        <v>1439</v>
      </c>
      <c r="L18" s="1" t="s">
        <v>1440</v>
      </c>
    </row>
    <row r="19" ht="12.75" customHeight="1">
      <c r="A19" s="4" t="s">
        <v>3706</v>
      </c>
      <c r="B19" s="5" t="s">
        <v>3706</v>
      </c>
      <c r="C19" s="1" t="str">
        <f t="shared" si="1"/>
        <v/>
      </c>
      <c r="E19" s="5" t="s">
        <v>3706</v>
      </c>
      <c r="F19" s="6" t="str">
        <f t="shared" si="2"/>
        <v>#N/A</v>
      </c>
      <c r="G19" s="1" t="str">
        <f t="shared" si="3"/>
        <v/>
      </c>
      <c r="H19" s="5" t="str">
        <f t="shared" si="4"/>
        <v>10, 10, TANGELA</v>
      </c>
      <c r="K19" s="1" t="s">
        <v>1443</v>
      </c>
      <c r="L19" s="1" t="s">
        <v>1444</v>
      </c>
    </row>
    <row r="20" ht="12.75" customHeight="1">
      <c r="A20" s="4" t="s">
        <v>2539</v>
      </c>
      <c r="B20" s="5" t="s">
        <v>2539</v>
      </c>
      <c r="C20" s="1">
        <f t="shared" si="1"/>
        <v>1</v>
      </c>
      <c r="E20" s="5" t="s">
        <v>2539</v>
      </c>
      <c r="F20" s="6" t="str">
        <f t="shared" si="2"/>
        <v>#N/A</v>
      </c>
      <c r="G20" s="1" t="str">
        <f t="shared" si="3"/>
        <v/>
      </c>
      <c r="H20" s="5" t="str">
        <f t="shared" si="4"/>
        <v>NEW ROUTE</v>
      </c>
      <c r="K20" s="1" t="s">
        <v>1447</v>
      </c>
      <c r="L20" s="1" t="s">
        <v>1448</v>
      </c>
    </row>
    <row r="21" ht="12.75" customHeight="1">
      <c r="A21" s="4" t="s">
        <v>1399</v>
      </c>
      <c r="B21" s="5" t="s">
        <v>1399</v>
      </c>
      <c r="C21" s="1" t="str">
        <f t="shared" si="1"/>
        <v/>
      </c>
      <c r="E21" s="5" t="s">
        <v>1399</v>
      </c>
      <c r="F21" s="6" t="str">
        <f t="shared" si="2"/>
        <v>Mt Moon 1F</v>
      </c>
      <c r="G21" s="1" t="str">
        <f t="shared" si="3"/>
        <v>Mt Moon 1F</v>
      </c>
      <c r="H21" s="5" t="str">
        <f t="shared" si="4"/>
        <v>Mt Moon 1F</v>
      </c>
      <c r="K21" s="1" t="s">
        <v>1451</v>
      </c>
      <c r="L21" s="1" t="s">
        <v>1452</v>
      </c>
    </row>
    <row r="22" ht="12.75" customHeight="1">
      <c r="A22" s="4" t="s">
        <v>2799</v>
      </c>
      <c r="B22" s="5">
        <v>0.2</v>
      </c>
      <c r="C22" s="1" t="str">
        <f t="shared" si="1"/>
        <v/>
      </c>
      <c r="E22" s="5">
        <v>0.2</v>
      </c>
      <c r="F22" s="6" t="str">
        <f t="shared" si="2"/>
        <v>#N/A</v>
      </c>
      <c r="G22" s="1" t="str">
        <f t="shared" si="3"/>
        <v/>
      </c>
      <c r="H22" s="5">
        <f t="shared" si="4"/>
        <v>0.2</v>
      </c>
      <c r="K22" s="1" t="s">
        <v>1457</v>
      </c>
      <c r="L22" s="1" t="s">
        <v>1458</v>
      </c>
    </row>
    <row r="23" ht="12.75" customHeight="1">
      <c r="A23" s="4" t="s">
        <v>385</v>
      </c>
      <c r="B23" s="5" t="s">
        <v>385</v>
      </c>
      <c r="C23" s="1" t="str">
        <f t="shared" si="1"/>
        <v/>
      </c>
      <c r="E23" s="5" t="s">
        <v>385</v>
      </c>
      <c r="F23" s="6" t="str">
        <f t="shared" si="2"/>
        <v>#N/A</v>
      </c>
      <c r="G23" s="1" t="str">
        <f t="shared" si="3"/>
        <v/>
      </c>
      <c r="H23" s="5" t="str">
        <f t="shared" si="4"/>
        <v>9, 11, ZUBAT</v>
      </c>
      <c r="K23" s="1" t="s">
        <v>1463</v>
      </c>
      <c r="L23" s="1" t="s">
        <v>1464</v>
      </c>
    </row>
    <row r="24" ht="12.75" customHeight="1">
      <c r="A24" s="4" t="s">
        <v>385</v>
      </c>
      <c r="B24" s="5" t="s">
        <v>385</v>
      </c>
      <c r="C24" s="1" t="str">
        <f t="shared" si="1"/>
        <v/>
      </c>
      <c r="E24" s="5" t="s">
        <v>385</v>
      </c>
      <c r="F24" s="6" t="str">
        <f t="shared" si="2"/>
        <v>#N/A</v>
      </c>
      <c r="G24" s="1" t="str">
        <f t="shared" si="3"/>
        <v/>
      </c>
      <c r="H24" s="5" t="str">
        <f t="shared" si="4"/>
        <v>9, 11, ZUBAT</v>
      </c>
      <c r="K24" s="1" t="s">
        <v>1469</v>
      </c>
      <c r="L24" s="1" t="s">
        <v>1470</v>
      </c>
    </row>
    <row r="25" ht="12.75" customHeight="1">
      <c r="A25" s="4" t="s">
        <v>2802</v>
      </c>
      <c r="B25" s="5">
        <v>0.1</v>
      </c>
      <c r="C25" s="1" t="str">
        <f t="shared" si="1"/>
        <v/>
      </c>
      <c r="E25" s="5">
        <v>0.1</v>
      </c>
      <c r="F25" s="6" t="str">
        <f t="shared" si="2"/>
        <v>#N/A</v>
      </c>
      <c r="G25" s="1" t="str">
        <f t="shared" si="3"/>
        <v/>
      </c>
      <c r="H25" s="5">
        <f t="shared" si="4"/>
        <v>0.1</v>
      </c>
      <c r="K25" s="1" t="s">
        <v>1475</v>
      </c>
      <c r="L25" s="1" t="s">
        <v>1476</v>
      </c>
    </row>
    <row r="26" ht="12.75" customHeight="1">
      <c r="A26" s="4" t="s">
        <v>394</v>
      </c>
      <c r="B26" s="5" t="s">
        <v>394</v>
      </c>
      <c r="C26" s="1" t="str">
        <f t="shared" si="1"/>
        <v/>
      </c>
      <c r="E26" s="5" t="s">
        <v>394</v>
      </c>
      <c r="F26" s="6" t="str">
        <f t="shared" si="2"/>
        <v>#N/A</v>
      </c>
      <c r="G26" s="1" t="str">
        <f t="shared" si="3"/>
        <v/>
      </c>
      <c r="H26" s="5" t="str">
        <f t="shared" si="4"/>
        <v>10, 12, ZUBAT</v>
      </c>
      <c r="K26" s="1" t="s">
        <v>1481</v>
      </c>
      <c r="L26" s="1" t="s">
        <v>1482</v>
      </c>
    </row>
    <row r="27" ht="12.75" customHeight="1">
      <c r="A27" s="4" t="s">
        <v>394</v>
      </c>
      <c r="B27" s="5" t="s">
        <v>394</v>
      </c>
      <c r="C27" s="1" t="str">
        <f t="shared" si="1"/>
        <v/>
      </c>
      <c r="E27" s="5" t="s">
        <v>394</v>
      </c>
      <c r="F27" s="6" t="str">
        <f t="shared" si="2"/>
        <v>#N/A</v>
      </c>
      <c r="G27" s="1" t="str">
        <f t="shared" si="3"/>
        <v/>
      </c>
      <c r="H27" s="5" t="str">
        <f t="shared" si="4"/>
        <v>10, 12, ZUBAT</v>
      </c>
      <c r="K27" s="1" t="s">
        <v>1485</v>
      </c>
      <c r="L27" s="1" t="s">
        <v>1486</v>
      </c>
    </row>
    <row r="28" ht="12.75" customHeight="1">
      <c r="A28" s="4" t="s">
        <v>2818</v>
      </c>
      <c r="B28" s="5" t="s">
        <v>2818</v>
      </c>
      <c r="C28" s="1" t="str">
        <f t="shared" si="1"/>
        <v/>
      </c>
      <c r="E28" s="5" t="s">
        <v>2818</v>
      </c>
      <c r="F28" s="6" t="str">
        <f t="shared" si="2"/>
        <v>#N/A</v>
      </c>
      <c r="G28" s="1" t="str">
        <f t="shared" si="3"/>
        <v/>
      </c>
      <c r="H28" s="5" t="str">
        <f t="shared" si="4"/>
        <v>10, 12, GEODUDE</v>
      </c>
      <c r="K28" s="1" t="s">
        <v>1491</v>
      </c>
      <c r="L28" s="1" t="s">
        <v>1492</v>
      </c>
    </row>
    <row r="29" ht="12.75" customHeight="1">
      <c r="A29" s="4" t="s">
        <v>2818</v>
      </c>
      <c r="B29" s="5" t="s">
        <v>2818</v>
      </c>
      <c r="C29" s="1" t="str">
        <f t="shared" si="1"/>
        <v/>
      </c>
      <c r="E29" s="5" t="s">
        <v>2818</v>
      </c>
      <c r="F29" s="6" t="str">
        <f t="shared" si="2"/>
        <v>#N/A</v>
      </c>
      <c r="G29" s="1" t="str">
        <f t="shared" si="3"/>
        <v/>
      </c>
      <c r="H29" s="5" t="str">
        <f t="shared" si="4"/>
        <v>10, 12, GEODUDE</v>
      </c>
      <c r="K29" s="1" t="s">
        <v>1495</v>
      </c>
      <c r="L29" s="1" t="s">
        <v>1496</v>
      </c>
    </row>
    <row r="30" ht="12.75" customHeight="1">
      <c r="A30" s="4" t="s">
        <v>2807</v>
      </c>
      <c r="B30" s="5">
        <v>0.05</v>
      </c>
      <c r="C30" s="1" t="str">
        <f t="shared" si="1"/>
        <v/>
      </c>
      <c r="E30" s="5">
        <v>0.05</v>
      </c>
      <c r="F30" s="6" t="str">
        <f t="shared" si="2"/>
        <v>#N/A</v>
      </c>
      <c r="G30" s="1" t="str">
        <f t="shared" si="3"/>
        <v/>
      </c>
      <c r="H30" s="5">
        <f t="shared" si="4"/>
        <v>0.05</v>
      </c>
      <c r="K30" s="1" t="s">
        <v>1500</v>
      </c>
      <c r="L30" s="1" t="s">
        <v>1501</v>
      </c>
    </row>
    <row r="31" ht="12.75" customHeight="1">
      <c r="A31" s="4" t="s">
        <v>2819</v>
      </c>
      <c r="B31" s="5" t="s">
        <v>2819</v>
      </c>
      <c r="C31" s="1" t="str">
        <f t="shared" si="1"/>
        <v/>
      </c>
      <c r="E31" s="5" t="s">
        <v>2819</v>
      </c>
      <c r="F31" s="6" t="str">
        <f t="shared" si="2"/>
        <v>#N/A</v>
      </c>
      <c r="G31" s="1" t="str">
        <f t="shared" si="3"/>
        <v/>
      </c>
      <c r="H31" s="5" t="str">
        <f t="shared" si="4"/>
        <v>11, 11, SANDSHREW</v>
      </c>
      <c r="K31" s="1" t="s">
        <v>1504</v>
      </c>
      <c r="L31" s="1" t="s">
        <v>1505</v>
      </c>
    </row>
    <row r="32" ht="12.75" customHeight="1">
      <c r="A32" s="4" t="s">
        <v>2819</v>
      </c>
      <c r="B32" s="5" t="s">
        <v>2819</v>
      </c>
      <c r="C32" s="1" t="str">
        <f t="shared" si="1"/>
        <v/>
      </c>
      <c r="E32" s="5" t="s">
        <v>2819</v>
      </c>
      <c r="F32" s="6" t="str">
        <f t="shared" si="2"/>
        <v>#N/A</v>
      </c>
      <c r="G32" s="1" t="str">
        <f t="shared" si="3"/>
        <v/>
      </c>
      <c r="H32" s="5" t="str">
        <f t="shared" si="4"/>
        <v>11, 11, SANDSHREW</v>
      </c>
      <c r="K32" s="1" t="s">
        <v>1508</v>
      </c>
      <c r="L32" s="1" t="s">
        <v>1509</v>
      </c>
    </row>
    <row r="33" ht="12.75" customHeight="1">
      <c r="A33" s="4" t="s">
        <v>2810</v>
      </c>
      <c r="B33" s="5">
        <v>0.04</v>
      </c>
      <c r="C33" s="1" t="str">
        <f t="shared" si="1"/>
        <v/>
      </c>
      <c r="E33" s="5">
        <v>0.04</v>
      </c>
      <c r="F33" s="6" t="str">
        <f t="shared" si="2"/>
        <v>#N/A</v>
      </c>
      <c r="G33" s="1" t="str">
        <f t="shared" si="3"/>
        <v/>
      </c>
      <c r="H33" s="5">
        <f t="shared" si="4"/>
        <v>0.04</v>
      </c>
      <c r="K33" s="1" t="s">
        <v>1512</v>
      </c>
      <c r="L33" s="1" t="s">
        <v>1513</v>
      </c>
    </row>
    <row r="34" ht="12.75" customHeight="1">
      <c r="A34" s="4" t="s">
        <v>2820</v>
      </c>
      <c r="B34" s="5" t="s">
        <v>2820</v>
      </c>
      <c r="C34" s="1" t="str">
        <f t="shared" si="1"/>
        <v/>
      </c>
      <c r="E34" s="5" t="s">
        <v>2820</v>
      </c>
      <c r="F34" s="6" t="str">
        <f t="shared" si="2"/>
        <v>#N/A</v>
      </c>
      <c r="G34" s="1" t="str">
        <f t="shared" si="3"/>
        <v/>
      </c>
      <c r="H34" s="5" t="str">
        <f t="shared" si="4"/>
        <v>11, 11, PARAS</v>
      </c>
      <c r="K34" s="1" t="s">
        <v>1518</v>
      </c>
      <c r="L34" s="1" t="s">
        <v>1519</v>
      </c>
    </row>
    <row r="35" ht="12.75" customHeight="1">
      <c r="A35" s="4" t="s">
        <v>2820</v>
      </c>
      <c r="B35" s="5" t="s">
        <v>2820</v>
      </c>
      <c r="C35" s="1" t="str">
        <f t="shared" si="1"/>
        <v/>
      </c>
      <c r="E35" s="5" t="s">
        <v>2820</v>
      </c>
      <c r="F35" s="6" t="str">
        <f t="shared" si="2"/>
        <v>#N/A</v>
      </c>
      <c r="G35" s="1" t="str">
        <f t="shared" si="3"/>
        <v/>
      </c>
      <c r="H35" s="5" t="str">
        <f t="shared" si="4"/>
        <v>11, 11, PARAS</v>
      </c>
      <c r="K35" s="1" t="s">
        <v>1524</v>
      </c>
      <c r="L35" s="1" t="s">
        <v>1525</v>
      </c>
    </row>
    <row r="36" ht="12.75" customHeight="1">
      <c r="A36" s="4" t="s">
        <v>2813</v>
      </c>
      <c r="B36" s="5">
        <v>0.01</v>
      </c>
      <c r="C36" s="1" t="str">
        <f t="shared" si="1"/>
        <v/>
      </c>
      <c r="E36" s="5">
        <v>0.01</v>
      </c>
      <c r="F36" s="6" t="str">
        <f t="shared" si="2"/>
        <v>#N/A</v>
      </c>
      <c r="G36" s="1" t="str">
        <f t="shared" si="3"/>
        <v/>
      </c>
      <c r="H36" s="5">
        <f t="shared" si="4"/>
        <v>0.01</v>
      </c>
      <c r="K36" s="1" t="s">
        <v>1528</v>
      </c>
      <c r="L36" s="1" t="s">
        <v>1529</v>
      </c>
    </row>
    <row r="37" ht="12.75" customHeight="1">
      <c r="A37" s="4" t="s">
        <v>2821</v>
      </c>
      <c r="B37" s="5" t="s">
        <v>2821</v>
      </c>
      <c r="C37" s="1" t="str">
        <f t="shared" si="1"/>
        <v/>
      </c>
      <c r="E37" s="5" t="s">
        <v>2821</v>
      </c>
      <c r="F37" s="6" t="str">
        <f t="shared" si="2"/>
        <v>#N/A</v>
      </c>
      <c r="G37" s="1" t="str">
        <f t="shared" si="3"/>
        <v/>
      </c>
      <c r="H37" s="5" t="str">
        <f t="shared" si="4"/>
        <v>11, 14, ONIX</v>
      </c>
      <c r="K37" s="1" t="s">
        <v>1532</v>
      </c>
      <c r="L37" s="1" t="s">
        <v>1533</v>
      </c>
    </row>
    <row r="38" ht="12.75" customHeight="1">
      <c r="A38" s="4" t="s">
        <v>3707</v>
      </c>
      <c r="B38" s="5" t="s">
        <v>3707</v>
      </c>
      <c r="C38" s="1" t="str">
        <f t="shared" si="1"/>
        <v/>
      </c>
      <c r="E38" s="5" t="s">
        <v>3707</v>
      </c>
      <c r="F38" s="6" t="str">
        <f t="shared" si="2"/>
        <v>#N/A</v>
      </c>
      <c r="G38" s="1" t="str">
        <f t="shared" si="3"/>
        <v/>
      </c>
      <c r="H38" s="5" t="str">
        <f t="shared" si="4"/>
        <v>11, 14, CLEFAIRY</v>
      </c>
      <c r="K38" s="1" t="s">
        <v>1536</v>
      </c>
      <c r="L38" s="1" t="s">
        <v>1537</v>
      </c>
    </row>
    <row r="39" ht="12.75" customHeight="1">
      <c r="A39" s="4" t="s">
        <v>2539</v>
      </c>
      <c r="B39" s="5" t="s">
        <v>2539</v>
      </c>
      <c r="C39" s="1">
        <f t="shared" si="1"/>
        <v>1</v>
      </c>
      <c r="E39" s="5" t="s">
        <v>2539</v>
      </c>
      <c r="F39" s="6" t="str">
        <f t="shared" si="2"/>
        <v>#N/A</v>
      </c>
      <c r="G39" s="1" t="str">
        <f t="shared" si="3"/>
        <v/>
      </c>
      <c r="H39" s="5" t="str">
        <f t="shared" si="4"/>
        <v>NEW ROUTE</v>
      </c>
      <c r="K39" s="1" t="s">
        <v>1540</v>
      </c>
      <c r="L39" s="1" t="s">
        <v>1541</v>
      </c>
    </row>
    <row r="40" ht="12.75" customHeight="1">
      <c r="A40" s="4" t="s">
        <v>1404</v>
      </c>
      <c r="B40" s="5" t="s">
        <v>1404</v>
      </c>
      <c r="C40" s="1" t="str">
        <f t="shared" si="1"/>
        <v/>
      </c>
      <c r="E40" s="5" t="s">
        <v>1404</v>
      </c>
      <c r="F40" s="6" t="str">
        <f t="shared" si="2"/>
        <v>Mt Moon B1F</v>
      </c>
      <c r="G40" s="1" t="str">
        <f t="shared" si="3"/>
        <v>Mt Moon B1F</v>
      </c>
      <c r="H40" s="5" t="str">
        <f t="shared" si="4"/>
        <v>Mt Moon B1F</v>
      </c>
      <c r="K40" s="1" t="s">
        <v>1544</v>
      </c>
      <c r="L40" s="1" t="s">
        <v>1545</v>
      </c>
    </row>
    <row r="41" ht="12.75" customHeight="1">
      <c r="A41" s="4" t="s">
        <v>2799</v>
      </c>
      <c r="B41" s="5">
        <v>0.2</v>
      </c>
      <c r="C41" s="1" t="str">
        <f t="shared" si="1"/>
        <v/>
      </c>
      <c r="E41" s="5">
        <v>0.2</v>
      </c>
      <c r="F41" s="6" t="str">
        <f t="shared" si="2"/>
        <v>#N/A</v>
      </c>
      <c r="G41" s="1" t="str">
        <f t="shared" si="3"/>
        <v/>
      </c>
      <c r="H41" s="5">
        <f t="shared" si="4"/>
        <v>0.2</v>
      </c>
      <c r="K41" s="1" t="s">
        <v>1548</v>
      </c>
      <c r="L41" s="1" t="s">
        <v>1549</v>
      </c>
    </row>
    <row r="42" ht="12.75" customHeight="1">
      <c r="A42" s="4" t="s">
        <v>394</v>
      </c>
      <c r="B42" s="5" t="s">
        <v>394</v>
      </c>
      <c r="C42" s="1" t="str">
        <f t="shared" si="1"/>
        <v/>
      </c>
      <c r="E42" s="5" t="s">
        <v>394</v>
      </c>
      <c r="F42" s="6" t="str">
        <f t="shared" si="2"/>
        <v>#N/A</v>
      </c>
      <c r="G42" s="1" t="str">
        <f t="shared" si="3"/>
        <v/>
      </c>
      <c r="H42" s="5" t="str">
        <f t="shared" si="4"/>
        <v>10, 12, ZUBAT</v>
      </c>
      <c r="K42" s="1" t="s">
        <v>1553</v>
      </c>
      <c r="L42" s="1" t="s">
        <v>1554</v>
      </c>
    </row>
    <row r="43" ht="12.75" customHeight="1">
      <c r="A43" s="4" t="s">
        <v>394</v>
      </c>
      <c r="B43" s="5" t="s">
        <v>394</v>
      </c>
      <c r="C43" s="1" t="str">
        <f t="shared" si="1"/>
        <v/>
      </c>
      <c r="E43" s="5" t="s">
        <v>394</v>
      </c>
      <c r="F43" s="6" t="str">
        <f t="shared" si="2"/>
        <v>#N/A</v>
      </c>
      <c r="G43" s="1" t="str">
        <f t="shared" si="3"/>
        <v/>
      </c>
      <c r="H43" s="5" t="str">
        <f t="shared" si="4"/>
        <v>10, 12, ZUBAT</v>
      </c>
      <c r="K43" s="1" t="s">
        <v>1557</v>
      </c>
      <c r="L43" s="1" t="s">
        <v>1558</v>
      </c>
    </row>
    <row r="44" ht="12.75" customHeight="1">
      <c r="A44" s="4" t="s">
        <v>2802</v>
      </c>
      <c r="B44" s="5">
        <v>0.1</v>
      </c>
      <c r="C44" s="1" t="str">
        <f t="shared" si="1"/>
        <v/>
      </c>
      <c r="E44" s="5">
        <v>0.1</v>
      </c>
      <c r="F44" s="6" t="str">
        <f t="shared" si="2"/>
        <v>#N/A</v>
      </c>
      <c r="G44" s="1" t="str">
        <f t="shared" si="3"/>
        <v/>
      </c>
      <c r="H44" s="5">
        <f t="shared" si="4"/>
        <v>0.1</v>
      </c>
      <c r="K44" s="1" t="s">
        <v>1562</v>
      </c>
      <c r="L44" s="1" t="s">
        <v>1563</v>
      </c>
    </row>
    <row r="45" ht="12.75" customHeight="1">
      <c r="A45" s="4" t="s">
        <v>2825</v>
      </c>
      <c r="B45" s="5" t="s">
        <v>2825</v>
      </c>
      <c r="C45" s="1" t="str">
        <f t="shared" si="1"/>
        <v/>
      </c>
      <c r="E45" s="5" t="s">
        <v>2825</v>
      </c>
      <c r="F45" s="6" t="str">
        <f t="shared" si="2"/>
        <v>#N/A</v>
      </c>
      <c r="G45" s="1" t="str">
        <f t="shared" si="3"/>
        <v/>
      </c>
      <c r="H45" s="5" t="str">
        <f t="shared" si="4"/>
        <v>11, 13, ZUBAT</v>
      </c>
      <c r="K45" s="1" t="s">
        <v>1566</v>
      </c>
      <c r="L45" s="1" t="s">
        <v>1567</v>
      </c>
    </row>
    <row r="46" ht="12.75" customHeight="1">
      <c r="A46" s="4" t="s">
        <v>2825</v>
      </c>
      <c r="B46" s="5" t="s">
        <v>2825</v>
      </c>
      <c r="C46" s="1" t="str">
        <f t="shared" si="1"/>
        <v/>
      </c>
      <c r="E46" s="5" t="s">
        <v>2825</v>
      </c>
      <c r="F46" s="6" t="str">
        <f t="shared" si="2"/>
        <v>#N/A</v>
      </c>
      <c r="G46" s="1" t="str">
        <f t="shared" si="3"/>
        <v/>
      </c>
      <c r="H46" s="5" t="str">
        <f t="shared" si="4"/>
        <v>11, 13, ZUBAT</v>
      </c>
      <c r="K46" s="1" t="s">
        <v>1571</v>
      </c>
      <c r="L46" s="1" t="s">
        <v>1572</v>
      </c>
    </row>
    <row r="47" ht="12.75" customHeight="1">
      <c r="A47" s="4" t="s">
        <v>2826</v>
      </c>
      <c r="B47" s="5" t="s">
        <v>2826</v>
      </c>
      <c r="C47" s="1" t="str">
        <f t="shared" si="1"/>
        <v/>
      </c>
      <c r="E47" s="5" t="s">
        <v>2826</v>
      </c>
      <c r="F47" s="6" t="str">
        <f t="shared" si="2"/>
        <v>#N/A</v>
      </c>
      <c r="G47" s="1" t="str">
        <f t="shared" si="3"/>
        <v/>
      </c>
      <c r="H47" s="5" t="str">
        <f t="shared" si="4"/>
        <v>11, 13, GEODUDE</v>
      </c>
      <c r="K47" s="1" t="s">
        <v>1576</v>
      </c>
      <c r="L47" s="1" t="s">
        <v>1577</v>
      </c>
    </row>
    <row r="48" ht="12.75" customHeight="1">
      <c r="A48" s="4" t="s">
        <v>2826</v>
      </c>
      <c r="B48" s="5" t="s">
        <v>2826</v>
      </c>
      <c r="C48" s="1" t="str">
        <f t="shared" si="1"/>
        <v/>
      </c>
      <c r="E48" s="5" t="s">
        <v>2826</v>
      </c>
      <c r="F48" s="6" t="str">
        <f t="shared" si="2"/>
        <v>#N/A</v>
      </c>
      <c r="G48" s="1" t="str">
        <f t="shared" si="3"/>
        <v/>
      </c>
      <c r="H48" s="5" t="str">
        <f t="shared" si="4"/>
        <v>11, 13, GEODUDE</v>
      </c>
      <c r="K48" s="1" t="s">
        <v>1581</v>
      </c>
      <c r="L48" s="1" t="s">
        <v>1582</v>
      </c>
    </row>
    <row r="49" ht="12.75" customHeight="1">
      <c r="A49" s="4" t="s">
        <v>2807</v>
      </c>
      <c r="B49" s="5">
        <v>0.05</v>
      </c>
      <c r="C49" s="1" t="str">
        <f t="shared" si="1"/>
        <v/>
      </c>
      <c r="E49" s="5">
        <v>0.05</v>
      </c>
      <c r="F49" s="6" t="str">
        <f t="shared" si="2"/>
        <v>#N/A</v>
      </c>
      <c r="G49" s="1" t="str">
        <f t="shared" si="3"/>
        <v/>
      </c>
      <c r="H49" s="5">
        <f t="shared" si="4"/>
        <v>0.05</v>
      </c>
      <c r="K49" s="1" t="s">
        <v>1586</v>
      </c>
      <c r="L49" s="1" t="s">
        <v>1587</v>
      </c>
    </row>
    <row r="50" ht="12.75" customHeight="1">
      <c r="A50" s="4" t="s">
        <v>2827</v>
      </c>
      <c r="B50" s="5" t="s">
        <v>2827</v>
      </c>
      <c r="C50" s="1" t="str">
        <f t="shared" si="1"/>
        <v/>
      </c>
      <c r="E50" s="5" t="s">
        <v>2827</v>
      </c>
      <c r="F50" s="6" t="str">
        <f t="shared" si="2"/>
        <v>#N/A</v>
      </c>
      <c r="G50" s="1" t="str">
        <f t="shared" si="3"/>
        <v/>
      </c>
      <c r="H50" s="5" t="str">
        <f t="shared" si="4"/>
        <v>12, 12, SANDSHREW</v>
      </c>
      <c r="K50" s="1" t="s">
        <v>1591</v>
      </c>
      <c r="L50" s="1" t="s">
        <v>1592</v>
      </c>
    </row>
    <row r="51" ht="12.75" customHeight="1">
      <c r="A51" s="4" t="s">
        <v>2827</v>
      </c>
      <c r="B51" s="5" t="s">
        <v>2827</v>
      </c>
      <c r="C51" s="1" t="str">
        <f t="shared" si="1"/>
        <v/>
      </c>
      <c r="E51" s="5" t="s">
        <v>2827</v>
      </c>
      <c r="F51" s="6" t="str">
        <f t="shared" si="2"/>
        <v>#N/A</v>
      </c>
      <c r="G51" s="1" t="str">
        <f t="shared" si="3"/>
        <v/>
      </c>
      <c r="H51" s="5" t="str">
        <f t="shared" si="4"/>
        <v>12, 12, SANDSHREW</v>
      </c>
      <c r="K51" s="1" t="s">
        <v>1596</v>
      </c>
      <c r="L51" s="1" t="s">
        <v>1597</v>
      </c>
    </row>
    <row r="52" ht="12.75" customHeight="1">
      <c r="A52" s="4" t="s">
        <v>2810</v>
      </c>
      <c r="B52" s="5">
        <v>0.04</v>
      </c>
      <c r="C52" s="1" t="str">
        <f t="shared" si="1"/>
        <v/>
      </c>
      <c r="E52" s="5">
        <v>0.04</v>
      </c>
      <c r="F52" s="6" t="str">
        <f t="shared" si="2"/>
        <v>#N/A</v>
      </c>
      <c r="G52" s="1" t="str">
        <f t="shared" si="3"/>
        <v/>
      </c>
      <c r="H52" s="5">
        <f t="shared" si="4"/>
        <v>0.04</v>
      </c>
      <c r="K52" s="1" t="s">
        <v>1602</v>
      </c>
      <c r="L52" s="1" t="s">
        <v>1603</v>
      </c>
    </row>
    <row r="53" ht="12.75" customHeight="1">
      <c r="A53" s="4" t="s">
        <v>2828</v>
      </c>
      <c r="B53" s="5" t="s">
        <v>2828</v>
      </c>
      <c r="C53" s="1" t="str">
        <f t="shared" si="1"/>
        <v/>
      </c>
      <c r="E53" s="5" t="s">
        <v>2828</v>
      </c>
      <c r="F53" s="6" t="str">
        <f t="shared" si="2"/>
        <v>#N/A</v>
      </c>
      <c r="G53" s="1" t="str">
        <f t="shared" si="3"/>
        <v/>
      </c>
      <c r="H53" s="5" t="str">
        <f t="shared" si="4"/>
        <v>12, 12, PARAS</v>
      </c>
      <c r="K53" s="1" t="s">
        <v>1608</v>
      </c>
      <c r="L53" s="1" t="s">
        <v>1609</v>
      </c>
    </row>
    <row r="54" ht="12.75" customHeight="1">
      <c r="A54" s="4" t="s">
        <v>2828</v>
      </c>
      <c r="B54" s="5" t="s">
        <v>2828</v>
      </c>
      <c r="C54" s="1" t="str">
        <f t="shared" si="1"/>
        <v/>
      </c>
      <c r="E54" s="5" t="s">
        <v>2828</v>
      </c>
      <c r="F54" s="6" t="str">
        <f t="shared" si="2"/>
        <v>#N/A</v>
      </c>
      <c r="G54" s="1" t="str">
        <f t="shared" si="3"/>
        <v/>
      </c>
      <c r="H54" s="5" t="str">
        <f t="shared" si="4"/>
        <v>12, 12, PARAS</v>
      </c>
      <c r="K54" s="1" t="s">
        <v>1612</v>
      </c>
      <c r="L54" s="1" t="s">
        <v>1613</v>
      </c>
    </row>
    <row r="55" ht="12.75" customHeight="1">
      <c r="A55" s="4" t="s">
        <v>2813</v>
      </c>
      <c r="B55" s="5">
        <v>0.01</v>
      </c>
      <c r="C55" s="1" t="str">
        <f t="shared" si="1"/>
        <v/>
      </c>
      <c r="E55" s="5">
        <v>0.01</v>
      </c>
      <c r="F55" s="6" t="str">
        <f t="shared" si="2"/>
        <v>#N/A</v>
      </c>
      <c r="G55" s="1" t="str">
        <f t="shared" si="3"/>
        <v/>
      </c>
      <c r="H55" s="5">
        <f t="shared" si="4"/>
        <v>0.01</v>
      </c>
      <c r="K55" s="1" t="s">
        <v>1616</v>
      </c>
      <c r="L55" s="1" t="s">
        <v>1617</v>
      </c>
    </row>
    <row r="56" ht="12.75" customHeight="1">
      <c r="A56" s="4" t="s">
        <v>2829</v>
      </c>
      <c r="B56" s="5" t="s">
        <v>2829</v>
      </c>
      <c r="C56" s="1" t="str">
        <f t="shared" si="1"/>
        <v/>
      </c>
      <c r="E56" s="5" t="s">
        <v>2829</v>
      </c>
      <c r="F56" s="6" t="str">
        <f t="shared" si="2"/>
        <v>#N/A</v>
      </c>
      <c r="G56" s="1" t="str">
        <f t="shared" si="3"/>
        <v/>
      </c>
      <c r="H56" s="5" t="str">
        <f t="shared" si="4"/>
        <v>12, 15, ONIX</v>
      </c>
      <c r="K56" s="1" t="s">
        <v>1622</v>
      </c>
      <c r="L56" s="1" t="s">
        <v>1623</v>
      </c>
    </row>
    <row r="57" ht="12.75" customHeight="1">
      <c r="A57" s="4" t="s">
        <v>3708</v>
      </c>
      <c r="B57" s="5" t="s">
        <v>3708</v>
      </c>
      <c r="C57" s="1" t="str">
        <f t="shared" si="1"/>
        <v/>
      </c>
      <c r="E57" s="5" t="s">
        <v>3708</v>
      </c>
      <c r="F57" s="6" t="str">
        <f t="shared" si="2"/>
        <v>#N/A</v>
      </c>
      <c r="G57" s="1" t="str">
        <f t="shared" si="3"/>
        <v/>
      </c>
      <c r="H57" s="5" t="str">
        <f t="shared" si="4"/>
        <v>12, 15, CLEFAIRY</v>
      </c>
      <c r="K57" s="1" t="s">
        <v>1626</v>
      </c>
      <c r="L57" s="1" t="s">
        <v>1627</v>
      </c>
    </row>
    <row r="58" ht="12.75" customHeight="1">
      <c r="A58" s="4" t="s">
        <v>2539</v>
      </c>
      <c r="B58" s="5" t="s">
        <v>2539</v>
      </c>
      <c r="C58" s="1">
        <f t="shared" si="1"/>
        <v>1</v>
      </c>
      <c r="E58" s="5" t="s">
        <v>2539</v>
      </c>
      <c r="F58" s="6" t="str">
        <f t="shared" si="2"/>
        <v>#N/A</v>
      </c>
      <c r="G58" s="1" t="str">
        <f t="shared" si="3"/>
        <v/>
      </c>
      <c r="H58" s="5" t="str">
        <f t="shared" si="4"/>
        <v>NEW ROUTE</v>
      </c>
      <c r="K58" s="1" t="s">
        <v>1630</v>
      </c>
      <c r="L58" s="1" t="s">
        <v>1631</v>
      </c>
    </row>
    <row r="59" ht="12.75" customHeight="1">
      <c r="A59" s="4" t="s">
        <v>1407</v>
      </c>
      <c r="B59" s="5" t="s">
        <v>1407</v>
      </c>
      <c r="C59" s="1" t="str">
        <f t="shared" si="1"/>
        <v/>
      </c>
      <c r="E59" s="5" t="s">
        <v>1407</v>
      </c>
      <c r="F59" s="6" t="str">
        <f t="shared" si="2"/>
        <v>Mt Moon B2F</v>
      </c>
      <c r="G59" s="1" t="str">
        <f t="shared" si="3"/>
        <v>Mt Moon B2F</v>
      </c>
      <c r="H59" s="5" t="str">
        <f t="shared" si="4"/>
        <v>Mt Moon B2F</v>
      </c>
      <c r="K59" s="1" t="s">
        <v>1634</v>
      </c>
      <c r="L59" s="1" t="s">
        <v>1635</v>
      </c>
    </row>
    <row r="60" ht="12.75" customHeight="1">
      <c r="A60" s="4" t="s">
        <v>2799</v>
      </c>
      <c r="B60" s="5">
        <v>0.2</v>
      </c>
      <c r="C60" s="1" t="str">
        <f t="shared" si="1"/>
        <v/>
      </c>
      <c r="E60" s="5">
        <v>0.2</v>
      </c>
      <c r="F60" s="6" t="str">
        <f t="shared" si="2"/>
        <v>#N/A</v>
      </c>
      <c r="G60" s="1" t="str">
        <f t="shared" si="3"/>
        <v/>
      </c>
      <c r="H60" s="5">
        <f t="shared" si="4"/>
        <v>0.2</v>
      </c>
      <c r="K60" s="1" t="s">
        <v>1638</v>
      </c>
      <c r="L60" s="1" t="s">
        <v>1639</v>
      </c>
    </row>
    <row r="61" ht="12.75" customHeight="1">
      <c r="A61" s="4" t="s">
        <v>402</v>
      </c>
      <c r="B61" s="5" t="s">
        <v>402</v>
      </c>
      <c r="C61" s="1" t="str">
        <f t="shared" si="1"/>
        <v/>
      </c>
      <c r="E61" s="5" t="s">
        <v>402</v>
      </c>
      <c r="F61" s="6" t="str">
        <f t="shared" si="2"/>
        <v>#N/A</v>
      </c>
      <c r="G61" s="1" t="str">
        <f t="shared" si="3"/>
        <v/>
      </c>
      <c r="H61" s="5" t="str">
        <f t="shared" si="4"/>
        <v>10, 13, ZUBAT</v>
      </c>
      <c r="K61" s="1" t="s">
        <v>1642</v>
      </c>
      <c r="L61" s="1" t="s">
        <v>1643</v>
      </c>
    </row>
    <row r="62" ht="12.75" customHeight="1">
      <c r="A62" s="4" t="s">
        <v>402</v>
      </c>
      <c r="B62" s="5" t="s">
        <v>402</v>
      </c>
      <c r="C62" s="1" t="str">
        <f t="shared" si="1"/>
        <v/>
      </c>
      <c r="E62" s="5" t="s">
        <v>402</v>
      </c>
      <c r="F62" s="6" t="str">
        <f t="shared" si="2"/>
        <v>#N/A</v>
      </c>
      <c r="G62" s="1" t="str">
        <f t="shared" si="3"/>
        <v/>
      </c>
      <c r="H62" s="5" t="str">
        <f t="shared" si="4"/>
        <v>10, 13, ZUBAT</v>
      </c>
      <c r="K62" s="1" t="s">
        <v>1646</v>
      </c>
      <c r="L62" s="1" t="s">
        <v>1647</v>
      </c>
    </row>
    <row r="63" ht="12.75" customHeight="1">
      <c r="A63" s="4" t="s">
        <v>2802</v>
      </c>
      <c r="B63" s="5">
        <v>0.1</v>
      </c>
      <c r="C63" s="1" t="str">
        <f t="shared" si="1"/>
        <v/>
      </c>
      <c r="E63" s="5">
        <v>0.1</v>
      </c>
      <c r="F63" s="6" t="str">
        <f t="shared" si="2"/>
        <v>#N/A</v>
      </c>
      <c r="G63" s="1" t="str">
        <f t="shared" si="3"/>
        <v/>
      </c>
      <c r="H63" s="5">
        <f t="shared" si="4"/>
        <v>0.1</v>
      </c>
      <c r="K63" s="1" t="s">
        <v>1650</v>
      </c>
      <c r="L63" s="1" t="s">
        <v>1651</v>
      </c>
    </row>
    <row r="64" ht="12.75" customHeight="1">
      <c r="A64" s="4" t="s">
        <v>2832</v>
      </c>
      <c r="B64" s="5" t="s">
        <v>2832</v>
      </c>
      <c r="C64" s="1" t="str">
        <f t="shared" si="1"/>
        <v/>
      </c>
      <c r="E64" s="5" t="s">
        <v>2832</v>
      </c>
      <c r="F64" s="6" t="str">
        <f t="shared" si="2"/>
        <v>#N/A</v>
      </c>
      <c r="G64" s="1" t="str">
        <f t="shared" si="3"/>
        <v/>
      </c>
      <c r="H64" s="5" t="str">
        <f t="shared" si="4"/>
        <v>11, 14, ZUBAT</v>
      </c>
      <c r="K64" s="1" t="s">
        <v>1654</v>
      </c>
      <c r="L64" s="1" t="s">
        <v>1655</v>
      </c>
    </row>
    <row r="65" ht="12.75" customHeight="1">
      <c r="A65" s="4" t="s">
        <v>2833</v>
      </c>
      <c r="B65" s="5" t="s">
        <v>2833</v>
      </c>
      <c r="C65" s="1" t="str">
        <f t="shared" si="1"/>
        <v/>
      </c>
      <c r="E65" s="5" t="s">
        <v>2833</v>
      </c>
      <c r="F65" s="6" t="str">
        <f t="shared" si="2"/>
        <v>#N/A</v>
      </c>
      <c r="G65" s="1" t="str">
        <f t="shared" si="3"/>
        <v/>
      </c>
      <c r="H65" s="5" t="str">
        <f t="shared" si="4"/>
        <v>11, 14, GEODUDE</v>
      </c>
      <c r="K65" s="1" t="s">
        <v>1658</v>
      </c>
      <c r="L65" s="1" t="s">
        <v>1659</v>
      </c>
    </row>
    <row r="66" ht="12.75" customHeight="1">
      <c r="A66" s="4" t="s">
        <v>2833</v>
      </c>
      <c r="B66" s="5" t="s">
        <v>2833</v>
      </c>
      <c r="C66" s="1" t="str">
        <f t="shared" si="1"/>
        <v/>
      </c>
      <c r="E66" s="5" t="s">
        <v>2833</v>
      </c>
      <c r="F66" s="6" t="str">
        <f t="shared" si="2"/>
        <v>#N/A</v>
      </c>
      <c r="G66" s="1" t="str">
        <f t="shared" si="3"/>
        <v/>
      </c>
      <c r="H66" s="5" t="str">
        <f t="shared" si="4"/>
        <v>11, 14, GEODUDE</v>
      </c>
      <c r="K66" s="1" t="s">
        <v>1662</v>
      </c>
      <c r="L66" s="1" t="s">
        <v>1663</v>
      </c>
    </row>
    <row r="67" ht="12.75" customHeight="1">
      <c r="A67" s="4" t="s">
        <v>2834</v>
      </c>
      <c r="B67" s="5" t="s">
        <v>2834</v>
      </c>
      <c r="C67" s="1" t="str">
        <f t="shared" si="1"/>
        <v/>
      </c>
      <c r="E67" s="5" t="s">
        <v>2834</v>
      </c>
      <c r="F67" s="6" t="str">
        <f t="shared" si="2"/>
        <v>#N/A</v>
      </c>
      <c r="G67" s="1" t="str">
        <f t="shared" si="3"/>
        <v/>
      </c>
      <c r="H67" s="5" t="str">
        <f t="shared" si="4"/>
        <v>11, 14, SANDSHREW</v>
      </c>
      <c r="K67" s="1" t="s">
        <v>1666</v>
      </c>
      <c r="L67" s="1" t="s">
        <v>1667</v>
      </c>
    </row>
    <row r="68" ht="12.75" customHeight="1">
      <c r="A68" s="4" t="s">
        <v>2807</v>
      </c>
      <c r="B68" s="5">
        <v>0.05</v>
      </c>
      <c r="C68" s="1" t="str">
        <f t="shared" si="1"/>
        <v/>
      </c>
      <c r="E68" s="5">
        <v>0.05</v>
      </c>
      <c r="F68" s="6" t="str">
        <f t="shared" si="2"/>
        <v>#N/A</v>
      </c>
      <c r="G68" s="1" t="str">
        <f t="shared" si="3"/>
        <v/>
      </c>
      <c r="H68" s="5">
        <f t="shared" si="4"/>
        <v>0.05</v>
      </c>
      <c r="K68" s="1" t="s">
        <v>1670</v>
      </c>
      <c r="L68" s="1" t="s">
        <v>1671</v>
      </c>
    </row>
    <row r="69" ht="12.75" customHeight="1">
      <c r="A69" s="4" t="s">
        <v>2835</v>
      </c>
      <c r="B69" s="5" t="s">
        <v>2835</v>
      </c>
      <c r="C69" s="1" t="str">
        <f t="shared" si="1"/>
        <v/>
      </c>
      <c r="E69" s="5" t="s">
        <v>2835</v>
      </c>
      <c r="F69" s="6" t="str">
        <f t="shared" si="2"/>
        <v>#N/A</v>
      </c>
      <c r="G69" s="1" t="str">
        <f t="shared" si="3"/>
        <v/>
      </c>
      <c r="H69" s="5" t="str">
        <f t="shared" si="4"/>
        <v>13, 13, PARAS</v>
      </c>
      <c r="K69" s="1" t="s">
        <v>1674</v>
      </c>
      <c r="L69" s="1" t="s">
        <v>1675</v>
      </c>
    </row>
    <row r="70" ht="12.75" customHeight="1">
      <c r="A70" s="4" t="s">
        <v>2835</v>
      </c>
      <c r="B70" s="5" t="s">
        <v>2835</v>
      </c>
      <c r="C70" s="1" t="str">
        <f t="shared" si="1"/>
        <v/>
      </c>
      <c r="E70" s="5" t="s">
        <v>2835</v>
      </c>
      <c r="F70" s="6" t="str">
        <f t="shared" si="2"/>
        <v>#N/A</v>
      </c>
      <c r="G70" s="1" t="str">
        <f t="shared" si="3"/>
        <v/>
      </c>
      <c r="H70" s="5" t="str">
        <f t="shared" si="4"/>
        <v>13, 13, PARAS</v>
      </c>
      <c r="K70" s="1" t="s">
        <v>1678</v>
      </c>
      <c r="L70" s="1" t="s">
        <v>1679</v>
      </c>
    </row>
    <row r="71" ht="12.75" customHeight="1">
      <c r="A71" s="4" t="s">
        <v>2810</v>
      </c>
      <c r="B71" s="5">
        <v>0.04</v>
      </c>
      <c r="C71" s="1" t="str">
        <f t="shared" si="1"/>
        <v/>
      </c>
      <c r="E71" s="5">
        <v>0.04</v>
      </c>
      <c r="F71" s="6" t="str">
        <f t="shared" si="2"/>
        <v>#N/A</v>
      </c>
      <c r="G71" s="1" t="str">
        <f t="shared" si="3"/>
        <v/>
      </c>
      <c r="H71" s="5">
        <f t="shared" si="4"/>
        <v>0.04</v>
      </c>
      <c r="K71" s="1" t="s">
        <v>1682</v>
      </c>
      <c r="L71" s="1" t="s">
        <v>1683</v>
      </c>
    </row>
    <row r="72" ht="12.75" customHeight="1">
      <c r="A72" s="4" t="s">
        <v>2836</v>
      </c>
      <c r="B72" s="5" t="s">
        <v>2836</v>
      </c>
      <c r="C72" s="1" t="str">
        <f t="shared" si="1"/>
        <v/>
      </c>
      <c r="E72" s="5" t="s">
        <v>2836</v>
      </c>
      <c r="F72" s="6" t="str">
        <f t="shared" si="2"/>
        <v>#N/A</v>
      </c>
      <c r="G72" s="1" t="str">
        <f t="shared" si="3"/>
        <v/>
      </c>
      <c r="H72" s="5" t="str">
        <f t="shared" si="4"/>
        <v>13, 13, ONIX</v>
      </c>
      <c r="K72" s="1" t="s">
        <v>1689</v>
      </c>
      <c r="L72" s="1" t="s">
        <v>1690</v>
      </c>
    </row>
    <row r="73" ht="12.75" customHeight="1">
      <c r="A73" s="4" t="s">
        <v>2837</v>
      </c>
      <c r="B73" s="5" t="s">
        <v>2837</v>
      </c>
      <c r="C73" s="1" t="str">
        <f t="shared" si="1"/>
        <v/>
      </c>
      <c r="E73" s="5" t="s">
        <v>2837</v>
      </c>
      <c r="F73" s="6" t="str">
        <f t="shared" si="2"/>
        <v>#N/A</v>
      </c>
      <c r="G73" s="1" t="str">
        <f t="shared" si="3"/>
        <v/>
      </c>
      <c r="H73" s="5" t="str">
        <f t="shared" si="4"/>
        <v>13, 13, CLEFAIRY</v>
      </c>
      <c r="K73" s="1" t="s">
        <v>1695</v>
      </c>
      <c r="L73" s="1" t="s">
        <v>1696</v>
      </c>
    </row>
    <row r="74" ht="12.75" customHeight="1">
      <c r="A74" s="4" t="s">
        <v>2813</v>
      </c>
      <c r="B74" s="5">
        <v>0.01</v>
      </c>
      <c r="C74" s="1" t="str">
        <f t="shared" si="1"/>
        <v/>
      </c>
      <c r="E74" s="5">
        <v>0.01</v>
      </c>
      <c r="F74" s="6" t="str">
        <f t="shared" si="2"/>
        <v>#N/A</v>
      </c>
      <c r="G74" s="1" t="str">
        <f t="shared" si="3"/>
        <v/>
      </c>
      <c r="H74" s="5">
        <f t="shared" si="4"/>
        <v>0.01</v>
      </c>
      <c r="K74" s="1" t="s">
        <v>1701</v>
      </c>
      <c r="L74" s="1" t="s">
        <v>1702</v>
      </c>
    </row>
    <row r="75" ht="12.75" customHeight="1">
      <c r="A75" s="4" t="s">
        <v>2838</v>
      </c>
      <c r="B75" s="5" t="s">
        <v>2838</v>
      </c>
      <c r="C75" s="1" t="str">
        <f t="shared" si="1"/>
        <v/>
      </c>
      <c r="E75" s="5" t="s">
        <v>2838</v>
      </c>
      <c r="F75" s="6" t="str">
        <f t="shared" si="2"/>
        <v>#N/A</v>
      </c>
      <c r="G75" s="1" t="str">
        <f t="shared" si="3"/>
        <v/>
      </c>
      <c r="H75" s="5" t="str">
        <f t="shared" si="4"/>
        <v>13, 16, GOLBAT</v>
      </c>
      <c r="K75" s="1" t="s">
        <v>1707</v>
      </c>
      <c r="L75" s="1" t="s">
        <v>1708</v>
      </c>
    </row>
    <row r="76" ht="12.75" customHeight="1">
      <c r="A76" s="4" t="s">
        <v>3709</v>
      </c>
      <c r="B76" s="5" t="s">
        <v>3709</v>
      </c>
      <c r="C76" s="1" t="str">
        <f t="shared" si="1"/>
        <v/>
      </c>
      <c r="E76" s="5" t="s">
        <v>3709</v>
      </c>
      <c r="F76" s="6" t="str">
        <f t="shared" si="2"/>
        <v>#N/A</v>
      </c>
      <c r="G76" s="1" t="str">
        <f t="shared" si="3"/>
        <v/>
      </c>
      <c r="H76" s="5" t="str">
        <f t="shared" si="4"/>
        <v>13, 16, GRAVELER</v>
      </c>
      <c r="K76" s="1" t="s">
        <v>1711</v>
      </c>
      <c r="L76" s="1" t="s">
        <v>1712</v>
      </c>
    </row>
    <row r="77" ht="12.75" customHeight="1">
      <c r="A77" s="4" t="s">
        <v>2539</v>
      </c>
      <c r="B77" s="5" t="s">
        <v>2539</v>
      </c>
      <c r="C77" s="1">
        <f t="shared" si="1"/>
        <v>1</v>
      </c>
      <c r="E77" s="5" t="s">
        <v>2539</v>
      </c>
      <c r="F77" s="6" t="str">
        <f t="shared" si="2"/>
        <v>#N/A</v>
      </c>
      <c r="G77" s="1" t="str">
        <f t="shared" si="3"/>
        <v/>
      </c>
      <c r="H77" s="5" t="str">
        <f t="shared" si="4"/>
        <v>NEW ROUTE</v>
      </c>
      <c r="K77" s="1" t="s">
        <v>1716</v>
      </c>
      <c r="L77" s="1" t="s">
        <v>1717</v>
      </c>
    </row>
    <row r="78" ht="12.75" customHeight="1">
      <c r="A78" s="4" t="s">
        <v>1410</v>
      </c>
      <c r="B78" s="5" t="s">
        <v>1410</v>
      </c>
      <c r="C78" s="1" t="str">
        <f t="shared" si="1"/>
        <v/>
      </c>
      <c r="E78" s="5" t="s">
        <v>1410</v>
      </c>
      <c r="F78" s="6" t="str">
        <f t="shared" si="2"/>
        <v>S.S. Anne Exterior</v>
      </c>
      <c r="G78" s="1" t="str">
        <f t="shared" si="3"/>
        <v>S.S. Anne Exterior</v>
      </c>
      <c r="H78" s="5" t="str">
        <f t="shared" si="4"/>
        <v>S.S. Anne Exterior</v>
      </c>
      <c r="K78" s="1" t="s">
        <v>1721</v>
      </c>
      <c r="L78" s="1" t="s">
        <v>1722</v>
      </c>
    </row>
    <row r="79" ht="12.75" customHeight="1">
      <c r="A79" s="4" t="s">
        <v>2841</v>
      </c>
      <c r="B79" s="5" t="s">
        <v>2841</v>
      </c>
      <c r="C79" s="1" t="str">
        <f t="shared" si="1"/>
        <v/>
      </c>
      <c r="E79" s="5" t="s">
        <v>2841</v>
      </c>
      <c r="F79" s="6" t="str">
        <f t="shared" si="2"/>
        <v>#N/A</v>
      </c>
      <c r="G79" s="1" t="str">
        <f t="shared" si="3"/>
        <v/>
      </c>
      <c r="H79" s="5" t="str">
        <f t="shared" si="4"/>
        <v>1, 5, 10, TENTACOOL</v>
      </c>
      <c r="K79" s="1" t="s">
        <v>1727</v>
      </c>
      <c r="L79" s="1" t="s">
        <v>1728</v>
      </c>
    </row>
    <row r="80" ht="12.75" customHeight="1">
      <c r="A80" s="4" t="s">
        <v>2842</v>
      </c>
      <c r="B80" s="5" t="s">
        <v>2842</v>
      </c>
      <c r="C80" s="1" t="str">
        <f t="shared" si="1"/>
        <v/>
      </c>
      <c r="E80" s="5" t="s">
        <v>2842</v>
      </c>
      <c r="F80" s="6" t="str">
        <f t="shared" si="2"/>
        <v>#N/A</v>
      </c>
      <c r="G80" s="1" t="str">
        <f t="shared" si="3"/>
        <v/>
      </c>
      <c r="H80" s="5" t="str">
        <f t="shared" si="4"/>
        <v>10, 20, TENTACOOL</v>
      </c>
      <c r="K80" s="1" t="s">
        <v>1733</v>
      </c>
      <c r="L80" s="1" t="s">
        <v>1734</v>
      </c>
    </row>
    <row r="81" ht="12.75" customHeight="1">
      <c r="A81" s="4" t="s">
        <v>2843</v>
      </c>
      <c r="B81" s="5" t="s">
        <v>2843</v>
      </c>
      <c r="C81" s="1" t="str">
        <f t="shared" si="1"/>
        <v/>
      </c>
      <c r="E81" s="5" t="s">
        <v>2843</v>
      </c>
      <c r="F81" s="6" t="str">
        <f t="shared" si="2"/>
        <v>#N/A</v>
      </c>
      <c r="G81" s="1" t="str">
        <f t="shared" si="3"/>
        <v/>
      </c>
      <c r="H81" s="5" t="str">
        <f t="shared" si="4"/>
        <v>20, 30, TENTACOOL</v>
      </c>
      <c r="K81" s="1" t="s">
        <v>1738</v>
      </c>
      <c r="L81" s="1" t="s">
        <v>1739</v>
      </c>
    </row>
    <row r="82" ht="12.75" customHeight="1">
      <c r="A82" s="4" t="s">
        <v>2844</v>
      </c>
      <c r="B82" s="5" t="s">
        <v>2844</v>
      </c>
      <c r="C82" s="1" t="str">
        <f t="shared" si="1"/>
        <v/>
      </c>
      <c r="E82" s="5" t="s">
        <v>2844</v>
      </c>
      <c r="F82" s="6" t="str">
        <f t="shared" si="2"/>
        <v>#N/A</v>
      </c>
      <c r="G82" s="1" t="str">
        <f t="shared" si="3"/>
        <v/>
      </c>
      <c r="H82" s="5" t="str">
        <f t="shared" si="4"/>
        <v>30, 35, TENTACOOL</v>
      </c>
      <c r="K82" s="1" t="s">
        <v>1742</v>
      </c>
      <c r="L82" s="1" t="s">
        <v>1743</v>
      </c>
    </row>
    <row r="83" ht="12.75" customHeight="1">
      <c r="A83" s="4" t="s">
        <v>2845</v>
      </c>
      <c r="B83" s="5" t="s">
        <v>2845</v>
      </c>
      <c r="C83" s="1" t="str">
        <f t="shared" si="1"/>
        <v/>
      </c>
      <c r="E83" s="5" t="s">
        <v>2845</v>
      </c>
      <c r="F83" s="6" t="str">
        <f t="shared" si="2"/>
        <v>#N/A</v>
      </c>
      <c r="G83" s="1" t="str">
        <f t="shared" si="3"/>
        <v/>
      </c>
      <c r="H83" s="5" t="str">
        <f t="shared" si="4"/>
        <v>35, 40, TENTACOOL</v>
      </c>
      <c r="K83" s="1" t="s">
        <v>1747</v>
      </c>
      <c r="L83" s="1" t="s">
        <v>1748</v>
      </c>
    </row>
    <row r="84" ht="12.75" customHeight="1">
      <c r="A84" s="4" t="s">
        <v>2846</v>
      </c>
      <c r="B84" s="5" t="s">
        <v>2846</v>
      </c>
      <c r="C84" s="1" t="str">
        <f t="shared" si="1"/>
        <v/>
      </c>
      <c r="E84" s="5" t="s">
        <v>2846</v>
      </c>
      <c r="F84" s="6" t="str">
        <f t="shared" si="2"/>
        <v>#N/A</v>
      </c>
      <c r="G84" s="1" t="str">
        <f t="shared" si="3"/>
        <v/>
      </c>
      <c r="H84" s="5" t="str">
        <f t="shared" si="4"/>
        <v>10, old rod:</v>
      </c>
      <c r="K84" s="1" t="s">
        <v>1752</v>
      </c>
      <c r="L84" s="1" t="s">
        <v>1753</v>
      </c>
    </row>
    <row r="85" ht="12.75" customHeight="1">
      <c r="A85" s="4" t="s">
        <v>417</v>
      </c>
      <c r="B85" s="5" t="s">
        <v>417</v>
      </c>
      <c r="C85" s="1" t="str">
        <f t="shared" si="1"/>
        <v/>
      </c>
      <c r="E85" s="5" t="s">
        <v>417</v>
      </c>
      <c r="F85" s="6" t="str">
        <f t="shared" si="2"/>
        <v>#N/A</v>
      </c>
      <c r="G85" s="1" t="str">
        <f t="shared" si="3"/>
        <v/>
      </c>
      <c r="H85" s="5" t="str">
        <f t="shared" si="4"/>
        <v>5, 5, MAGIKARP</v>
      </c>
      <c r="K85" s="1" t="s">
        <v>1756</v>
      </c>
      <c r="L85" s="1" t="s">
        <v>1757</v>
      </c>
    </row>
    <row r="86" ht="12.75" customHeight="1">
      <c r="A86" s="4" t="s">
        <v>417</v>
      </c>
      <c r="B86" s="5" t="s">
        <v>417</v>
      </c>
      <c r="C86" s="1" t="str">
        <f t="shared" si="1"/>
        <v/>
      </c>
      <c r="E86" s="5" t="s">
        <v>417</v>
      </c>
      <c r="F86" s="6" t="str">
        <f t="shared" si="2"/>
        <v>#N/A</v>
      </c>
      <c r="G86" s="1" t="str">
        <f t="shared" si="3"/>
        <v/>
      </c>
      <c r="H86" s="5" t="str">
        <f t="shared" si="4"/>
        <v>5, 5, MAGIKARP</v>
      </c>
      <c r="K86" s="1" t="s">
        <v>1759</v>
      </c>
      <c r="L86" s="1" t="s">
        <v>1760</v>
      </c>
    </row>
    <row r="87" ht="12.75" customHeight="1">
      <c r="A87" s="4" t="s">
        <v>2847</v>
      </c>
      <c r="B87" s="5" t="s">
        <v>2847</v>
      </c>
      <c r="C87" s="1" t="str">
        <f t="shared" si="1"/>
        <v/>
      </c>
      <c r="E87" s="5" t="s">
        <v>2847</v>
      </c>
      <c r="F87" s="6" t="str">
        <f t="shared" si="2"/>
        <v>#N/A</v>
      </c>
      <c r="G87" s="1" t="str">
        <f t="shared" si="3"/>
        <v/>
      </c>
      <c r="H87" s="5" t="str">
        <f t="shared" si="4"/>
        <v>good rod:</v>
      </c>
      <c r="K87" s="1" t="s">
        <v>1763</v>
      </c>
      <c r="L87" s="1" t="s">
        <v>1764</v>
      </c>
    </row>
    <row r="88" ht="12.75" customHeight="1">
      <c r="A88" s="4" t="s">
        <v>2848</v>
      </c>
      <c r="B88" s="5" t="s">
        <v>2848</v>
      </c>
      <c r="C88" s="1" t="str">
        <f t="shared" si="1"/>
        <v/>
      </c>
      <c r="E88" s="5" t="s">
        <v>2848</v>
      </c>
      <c r="F88" s="6" t="str">
        <f t="shared" si="2"/>
        <v>#N/A</v>
      </c>
      <c r="G88" s="1" t="str">
        <f t="shared" si="3"/>
        <v/>
      </c>
      <c r="H88" s="5" t="str">
        <f t="shared" si="4"/>
        <v>5, 15, KRABBY</v>
      </c>
      <c r="K88" s="1" t="s">
        <v>1767</v>
      </c>
      <c r="L88" s="1" t="s">
        <v>1768</v>
      </c>
    </row>
    <row r="89" ht="12.75" customHeight="1">
      <c r="A89" s="4" t="s">
        <v>2849</v>
      </c>
      <c r="B89" s="5" t="s">
        <v>2849</v>
      </c>
      <c r="C89" s="1" t="str">
        <f t="shared" si="1"/>
        <v/>
      </c>
      <c r="E89" s="5" t="s">
        <v>2849</v>
      </c>
      <c r="F89" s="6" t="str">
        <f t="shared" si="2"/>
        <v>#N/A</v>
      </c>
      <c r="G89" s="1" t="str">
        <f t="shared" si="3"/>
        <v/>
      </c>
      <c r="H89" s="5" t="str">
        <f t="shared" si="4"/>
        <v>5, 15, MAGIKARP</v>
      </c>
      <c r="K89" s="1" t="s">
        <v>1770</v>
      </c>
      <c r="L89" s="1" t="s">
        <v>1771</v>
      </c>
    </row>
    <row r="90" ht="12.75" customHeight="1">
      <c r="A90" s="4" t="s">
        <v>2850</v>
      </c>
      <c r="B90" s="5" t="s">
        <v>2850</v>
      </c>
      <c r="C90" s="1" t="str">
        <f t="shared" si="1"/>
        <v/>
      </c>
      <c r="E90" s="5" t="s">
        <v>2850</v>
      </c>
      <c r="F90" s="6" t="str">
        <f t="shared" si="2"/>
        <v>#N/A</v>
      </c>
      <c r="G90" s="1" t="str">
        <f t="shared" si="3"/>
        <v/>
      </c>
      <c r="H90" s="5" t="str">
        <f t="shared" si="4"/>
        <v>5, 15, HORSEA</v>
      </c>
      <c r="K90" s="1" t="s">
        <v>1773</v>
      </c>
      <c r="L90" s="1" t="s">
        <v>1774</v>
      </c>
    </row>
    <row r="91" ht="12.75" customHeight="1">
      <c r="A91" s="4" t="s">
        <v>2851</v>
      </c>
      <c r="B91" s="5" t="s">
        <v>2851</v>
      </c>
      <c r="C91" s="1" t="str">
        <f t="shared" si="1"/>
        <v/>
      </c>
      <c r="E91" s="5" t="s">
        <v>2851</v>
      </c>
      <c r="F91" s="6" t="str">
        <f t="shared" si="2"/>
        <v>#N/A</v>
      </c>
      <c r="G91" s="1" t="str">
        <f t="shared" si="3"/>
        <v/>
      </c>
      <c r="H91" s="5" t="str">
        <f t="shared" si="4"/>
        <v>super rod:</v>
      </c>
      <c r="K91" s="1" t="s">
        <v>1776</v>
      </c>
      <c r="L91" s="1" t="s">
        <v>1777</v>
      </c>
    </row>
    <row r="92" ht="12.75" customHeight="1">
      <c r="A92" s="4" t="s">
        <v>2852</v>
      </c>
      <c r="B92" s="5" t="s">
        <v>2852</v>
      </c>
      <c r="C92" s="1" t="str">
        <f t="shared" si="1"/>
        <v/>
      </c>
      <c r="E92" s="5" t="s">
        <v>2852</v>
      </c>
      <c r="F92" s="6" t="str">
        <f t="shared" si="2"/>
        <v>#N/A</v>
      </c>
      <c r="G92" s="1" t="str">
        <f t="shared" si="3"/>
        <v/>
      </c>
      <c r="H92" s="5" t="str">
        <f t="shared" si="4"/>
        <v>15, 25, KRABBY</v>
      </c>
      <c r="K92" s="1" t="s">
        <v>1781</v>
      </c>
      <c r="L92" s="1" t="s">
        <v>1782</v>
      </c>
    </row>
    <row r="93" ht="12.75" customHeight="1">
      <c r="A93" s="4" t="s">
        <v>2853</v>
      </c>
      <c r="B93" s="5" t="s">
        <v>2853</v>
      </c>
      <c r="C93" s="1" t="str">
        <f t="shared" si="1"/>
        <v/>
      </c>
      <c r="E93" s="5" t="s">
        <v>2853</v>
      </c>
      <c r="F93" s="6" t="str">
        <f t="shared" si="2"/>
        <v>#N/A</v>
      </c>
      <c r="G93" s="1" t="str">
        <f t="shared" si="3"/>
        <v/>
      </c>
      <c r="H93" s="5" t="str">
        <f t="shared" si="4"/>
        <v>15, 25, STARYU</v>
      </c>
      <c r="K93" s="1" t="s">
        <v>1784</v>
      </c>
      <c r="L93" s="1" t="s">
        <v>1785</v>
      </c>
    </row>
    <row r="94" ht="12.75" customHeight="1">
      <c r="A94" s="4" t="s">
        <v>2854</v>
      </c>
      <c r="B94" s="5" t="s">
        <v>2854</v>
      </c>
      <c r="C94" s="1" t="str">
        <f t="shared" si="1"/>
        <v/>
      </c>
      <c r="E94" s="5" t="s">
        <v>2854</v>
      </c>
      <c r="F94" s="6" t="str">
        <f t="shared" si="2"/>
        <v>#N/A</v>
      </c>
      <c r="G94" s="1" t="str">
        <f t="shared" si="3"/>
        <v/>
      </c>
      <c r="H94" s="5" t="str">
        <f t="shared" si="4"/>
        <v>15, 25, GYARADOS</v>
      </c>
      <c r="K94" s="1" t="s">
        <v>1789</v>
      </c>
      <c r="L94" s="1" t="s">
        <v>1790</v>
      </c>
    </row>
    <row r="95" ht="12.75" customHeight="1">
      <c r="A95" s="4" t="s">
        <v>2855</v>
      </c>
      <c r="B95" s="5" t="s">
        <v>2855</v>
      </c>
      <c r="C95" s="1" t="str">
        <f t="shared" si="1"/>
        <v/>
      </c>
      <c r="E95" s="5" t="s">
        <v>2855</v>
      </c>
      <c r="F95" s="6" t="str">
        <f t="shared" si="2"/>
        <v>#N/A</v>
      </c>
      <c r="G95" s="1" t="str">
        <f t="shared" si="3"/>
        <v/>
      </c>
      <c r="H95" s="5" t="str">
        <f t="shared" si="4"/>
        <v>25, 35, KRABBY</v>
      </c>
      <c r="K95" s="1" t="s">
        <v>1792</v>
      </c>
      <c r="L95" s="1" t="s">
        <v>1793</v>
      </c>
    </row>
    <row r="96" ht="12.75" customHeight="1">
      <c r="A96" s="4" t="s">
        <v>2856</v>
      </c>
      <c r="B96" s="5" t="s">
        <v>2856</v>
      </c>
      <c r="C96" s="1" t="str">
        <f t="shared" si="1"/>
        <v/>
      </c>
      <c r="E96" s="5" t="s">
        <v>2856</v>
      </c>
      <c r="F96" s="6" t="str">
        <f t="shared" si="2"/>
        <v>#N/A</v>
      </c>
      <c r="G96" s="1" t="str">
        <f t="shared" si="3"/>
        <v/>
      </c>
      <c r="H96" s="5" t="str">
        <f t="shared" si="4"/>
        <v>25, 35, SLOWPOKE</v>
      </c>
      <c r="K96" s="1" t="s">
        <v>1795</v>
      </c>
      <c r="L96" s="1" t="s">
        <v>1796</v>
      </c>
    </row>
    <row r="97" ht="12.75" customHeight="1">
      <c r="A97" s="4" t="s">
        <v>2539</v>
      </c>
      <c r="B97" s="5" t="s">
        <v>2539</v>
      </c>
      <c r="C97" s="1">
        <f t="shared" si="1"/>
        <v>1</v>
      </c>
      <c r="E97" s="5" t="s">
        <v>2539</v>
      </c>
      <c r="F97" s="6" t="str">
        <f t="shared" si="2"/>
        <v>#N/A</v>
      </c>
      <c r="G97" s="1" t="str">
        <f t="shared" si="3"/>
        <v/>
      </c>
      <c r="H97" s="5" t="str">
        <f t="shared" si="4"/>
        <v>NEW ROUTE</v>
      </c>
      <c r="K97" s="1" t="s">
        <v>1798</v>
      </c>
      <c r="L97" s="1" t="s">
        <v>1799</v>
      </c>
    </row>
    <row r="98" ht="12.75" customHeight="1">
      <c r="A98" s="4" t="s">
        <v>1562</v>
      </c>
      <c r="B98" s="5" t="s">
        <v>1562</v>
      </c>
      <c r="C98" s="1" t="str">
        <f t="shared" si="1"/>
        <v/>
      </c>
      <c r="E98" s="5" t="s">
        <v>1562</v>
      </c>
      <c r="F98" s="6" t="str">
        <f t="shared" si="2"/>
        <v>Diglett's Cave B1F</v>
      </c>
      <c r="G98" s="1" t="str">
        <f t="shared" si="3"/>
        <v>Diglett's Cave B1F</v>
      </c>
      <c r="H98" s="5" t="str">
        <f t="shared" si="4"/>
        <v>Diglett's Cave B1F</v>
      </c>
      <c r="K98" s="1" t="s">
        <v>1803</v>
      </c>
      <c r="L98" s="1" t="s">
        <v>1804</v>
      </c>
    </row>
    <row r="99" ht="12.75" customHeight="1">
      <c r="A99" s="4" t="s">
        <v>2799</v>
      </c>
      <c r="B99" s="5">
        <v>0.2</v>
      </c>
      <c r="C99" s="1" t="str">
        <f t="shared" si="1"/>
        <v/>
      </c>
      <c r="E99" s="5">
        <v>0.2</v>
      </c>
      <c r="F99" s="6" t="str">
        <f t="shared" si="2"/>
        <v>#N/A</v>
      </c>
      <c r="G99" s="1" t="str">
        <f t="shared" si="3"/>
        <v/>
      </c>
      <c r="H99" s="5">
        <f t="shared" si="4"/>
        <v>0.2</v>
      </c>
      <c r="K99" s="1" t="s">
        <v>1808</v>
      </c>
      <c r="L99" s="1" t="s">
        <v>1809</v>
      </c>
    </row>
    <row r="100" ht="12.75" customHeight="1">
      <c r="A100" s="4" t="s">
        <v>430</v>
      </c>
      <c r="B100" s="5" t="s">
        <v>430</v>
      </c>
      <c r="C100" s="1" t="str">
        <f t="shared" si="1"/>
        <v/>
      </c>
      <c r="E100" s="5" t="s">
        <v>430</v>
      </c>
      <c r="F100" s="6" t="str">
        <f t="shared" si="2"/>
        <v>#N/A</v>
      </c>
      <c r="G100" s="1" t="str">
        <f t="shared" si="3"/>
        <v/>
      </c>
      <c r="H100" s="5" t="str">
        <f t="shared" si="4"/>
        <v>18, 18, DIGLETT</v>
      </c>
      <c r="K100" s="1" t="s">
        <v>1813</v>
      </c>
      <c r="L100" s="1" t="s">
        <v>1814</v>
      </c>
    </row>
    <row r="101" ht="12.75" customHeight="1">
      <c r="A101" s="4" t="s">
        <v>2858</v>
      </c>
      <c r="B101" s="5" t="s">
        <v>2858</v>
      </c>
      <c r="C101" s="1" t="str">
        <f t="shared" si="1"/>
        <v/>
      </c>
      <c r="E101" s="5" t="s">
        <v>2858</v>
      </c>
      <c r="F101" s="6" t="str">
        <f t="shared" si="2"/>
        <v>#N/A</v>
      </c>
      <c r="G101" s="1" t="str">
        <f t="shared" si="3"/>
        <v/>
      </c>
      <c r="H101" s="5" t="str">
        <f t="shared" si="4"/>
        <v>19, 19, DIGLETT</v>
      </c>
      <c r="K101" s="1" t="s">
        <v>1818</v>
      </c>
      <c r="L101" s="1" t="s">
        <v>1819</v>
      </c>
    </row>
    <row r="102" ht="12.75" customHeight="1">
      <c r="A102" s="4" t="s">
        <v>2802</v>
      </c>
      <c r="B102" s="5">
        <v>0.1</v>
      </c>
      <c r="C102" s="1" t="str">
        <f t="shared" si="1"/>
        <v/>
      </c>
      <c r="E102" s="5">
        <v>0.1</v>
      </c>
      <c r="F102" s="6" t="str">
        <f t="shared" si="2"/>
        <v>#N/A</v>
      </c>
      <c r="G102" s="1" t="str">
        <f t="shared" si="3"/>
        <v/>
      </c>
      <c r="H102" s="5">
        <f t="shared" si="4"/>
        <v>0.1</v>
      </c>
      <c r="K102" s="1" t="s">
        <v>1821</v>
      </c>
      <c r="L102" s="1" t="s">
        <v>1822</v>
      </c>
    </row>
    <row r="103" ht="12.75" customHeight="1">
      <c r="A103" s="4" t="s">
        <v>2859</v>
      </c>
      <c r="B103" s="5" t="s">
        <v>2859</v>
      </c>
      <c r="C103" s="1" t="str">
        <f t="shared" si="1"/>
        <v/>
      </c>
      <c r="E103" s="5" t="s">
        <v>2859</v>
      </c>
      <c r="F103" s="6" t="str">
        <f t="shared" si="2"/>
        <v>#N/A</v>
      </c>
      <c r="G103" s="1" t="str">
        <f t="shared" si="3"/>
        <v/>
      </c>
      <c r="H103" s="5" t="str">
        <f t="shared" si="4"/>
        <v>20, 20, DIGLETT</v>
      </c>
      <c r="K103" s="1" t="s">
        <v>1824</v>
      </c>
      <c r="L103" s="1" t="s">
        <v>1825</v>
      </c>
    </row>
    <row r="104" ht="12.75" customHeight="1">
      <c r="A104" s="4" t="s">
        <v>2860</v>
      </c>
      <c r="B104" s="5" t="s">
        <v>2860</v>
      </c>
      <c r="C104" s="1" t="str">
        <f t="shared" si="1"/>
        <v/>
      </c>
      <c r="E104" s="5" t="s">
        <v>2860</v>
      </c>
      <c r="F104" s="6" t="str">
        <f t="shared" si="2"/>
        <v>#N/A</v>
      </c>
      <c r="G104" s="1" t="str">
        <f t="shared" si="3"/>
        <v/>
      </c>
      <c r="H104" s="5" t="str">
        <f t="shared" si="4"/>
        <v>21, 21, DIGLETT</v>
      </c>
      <c r="K104" s="1" t="s">
        <v>1828</v>
      </c>
      <c r="L104" s="1" t="s">
        <v>1829</v>
      </c>
    </row>
    <row r="105" ht="12.75" customHeight="1">
      <c r="A105" s="4" t="s">
        <v>2861</v>
      </c>
      <c r="B105" s="5" t="s">
        <v>2861</v>
      </c>
      <c r="C105" s="1" t="str">
        <f t="shared" si="1"/>
        <v/>
      </c>
      <c r="E105" s="5" t="s">
        <v>2861</v>
      </c>
      <c r="F105" s="6" t="str">
        <f t="shared" si="2"/>
        <v>#N/A</v>
      </c>
      <c r="G105" s="1" t="str">
        <f t="shared" si="3"/>
        <v/>
      </c>
      <c r="H105" s="5" t="str">
        <f t="shared" si="4"/>
        <v>22, 22, DIGLETT</v>
      </c>
      <c r="K105" s="1" t="s">
        <v>1832</v>
      </c>
      <c r="L105" s="1" t="s">
        <v>1833</v>
      </c>
    </row>
    <row r="106" ht="12.75" customHeight="1">
      <c r="A106" s="4" t="s">
        <v>2862</v>
      </c>
      <c r="B106" s="5" t="s">
        <v>2862</v>
      </c>
      <c r="C106" s="1" t="str">
        <f t="shared" si="1"/>
        <v/>
      </c>
      <c r="E106" s="5" t="s">
        <v>2862</v>
      </c>
      <c r="F106" s="6" t="str">
        <f t="shared" si="2"/>
        <v>#N/A</v>
      </c>
      <c r="G106" s="1" t="str">
        <f t="shared" si="3"/>
        <v/>
      </c>
      <c r="H106" s="5" t="str">
        <f t="shared" si="4"/>
        <v>19, 19, DUGTRIO</v>
      </c>
      <c r="K106" s="1" t="s">
        <v>1836</v>
      </c>
      <c r="L106" s="1" t="s">
        <v>1837</v>
      </c>
    </row>
    <row r="107" ht="12.75" customHeight="1">
      <c r="A107" s="4" t="s">
        <v>2807</v>
      </c>
      <c r="B107" s="5">
        <v>0.05</v>
      </c>
      <c r="C107" s="1" t="str">
        <f t="shared" si="1"/>
        <v/>
      </c>
      <c r="E107" s="5">
        <v>0.05</v>
      </c>
      <c r="F107" s="6" t="str">
        <f t="shared" si="2"/>
        <v>#N/A</v>
      </c>
      <c r="G107" s="1" t="str">
        <f t="shared" si="3"/>
        <v/>
      </c>
      <c r="H107" s="5">
        <f t="shared" si="4"/>
        <v>0.05</v>
      </c>
      <c r="K107" s="1" t="s">
        <v>1840</v>
      </c>
      <c r="L107" s="1" t="s">
        <v>1841</v>
      </c>
    </row>
    <row r="108" ht="12.75" customHeight="1">
      <c r="A108" s="4" t="s">
        <v>2863</v>
      </c>
      <c r="B108" s="5" t="s">
        <v>2863</v>
      </c>
      <c r="C108" s="1" t="str">
        <f t="shared" si="1"/>
        <v/>
      </c>
      <c r="E108" s="5" t="s">
        <v>2863</v>
      </c>
      <c r="F108" s="6" t="str">
        <f t="shared" si="2"/>
        <v>#N/A</v>
      </c>
      <c r="G108" s="1" t="str">
        <f t="shared" si="3"/>
        <v/>
      </c>
      <c r="H108" s="5" t="str">
        <f t="shared" si="4"/>
        <v>23, 23, DIGLETT</v>
      </c>
      <c r="K108" s="1" t="s">
        <v>1845</v>
      </c>
      <c r="L108" s="1" t="s">
        <v>1846</v>
      </c>
    </row>
    <row r="109" ht="12.75" customHeight="1">
      <c r="A109" s="4" t="s">
        <v>2864</v>
      </c>
      <c r="B109" s="5" t="s">
        <v>2864</v>
      </c>
      <c r="C109" s="1" t="str">
        <f t="shared" si="1"/>
        <v/>
      </c>
      <c r="E109" s="5" t="s">
        <v>2864</v>
      </c>
      <c r="F109" s="6" t="str">
        <f t="shared" si="2"/>
        <v>#N/A</v>
      </c>
      <c r="G109" s="1" t="str">
        <f t="shared" si="3"/>
        <v/>
      </c>
      <c r="H109" s="5" t="str">
        <f t="shared" si="4"/>
        <v>24, 24, DIGLETT</v>
      </c>
      <c r="K109" s="1" t="s">
        <v>1850</v>
      </c>
      <c r="L109" s="1" t="s">
        <v>1851</v>
      </c>
    </row>
    <row r="110" ht="12.75" customHeight="1">
      <c r="A110" s="4" t="s">
        <v>2810</v>
      </c>
      <c r="B110" s="5">
        <v>0.04</v>
      </c>
      <c r="C110" s="1" t="str">
        <f t="shared" si="1"/>
        <v/>
      </c>
      <c r="E110" s="5">
        <v>0.04</v>
      </c>
      <c r="F110" s="6" t="str">
        <f t="shared" si="2"/>
        <v>#N/A</v>
      </c>
      <c r="G110" s="1" t="str">
        <f t="shared" si="3"/>
        <v/>
      </c>
      <c r="H110" s="5">
        <f t="shared" si="4"/>
        <v>0.04</v>
      </c>
      <c r="K110" s="1" t="s">
        <v>1855</v>
      </c>
      <c r="L110" s="1" t="s">
        <v>1856</v>
      </c>
    </row>
    <row r="111" ht="12.75" customHeight="1">
      <c r="A111" s="4" t="s">
        <v>2865</v>
      </c>
      <c r="B111" s="5" t="s">
        <v>2865</v>
      </c>
      <c r="C111" s="1" t="str">
        <f t="shared" si="1"/>
        <v/>
      </c>
      <c r="E111" s="5" t="s">
        <v>2865</v>
      </c>
      <c r="F111" s="6" t="str">
        <f t="shared" si="2"/>
        <v>#N/A</v>
      </c>
      <c r="G111" s="1" t="str">
        <f t="shared" si="3"/>
        <v/>
      </c>
      <c r="H111" s="5" t="str">
        <f t="shared" si="4"/>
        <v>20, 23, DUGTRIO</v>
      </c>
      <c r="K111" s="1" t="s">
        <v>1860</v>
      </c>
      <c r="L111" s="1" t="s">
        <v>1861</v>
      </c>
    </row>
    <row r="112" ht="12.75" customHeight="1">
      <c r="A112" s="4" t="s">
        <v>2866</v>
      </c>
      <c r="B112" s="5" t="s">
        <v>2866</v>
      </c>
      <c r="C112" s="1" t="str">
        <f t="shared" si="1"/>
        <v/>
      </c>
      <c r="E112" s="5" t="s">
        <v>2866</v>
      </c>
      <c r="F112" s="6" t="str">
        <f t="shared" si="2"/>
        <v>#N/A</v>
      </c>
      <c r="G112" s="1" t="str">
        <f t="shared" si="3"/>
        <v/>
      </c>
      <c r="H112" s="5" t="str">
        <f t="shared" si="4"/>
        <v>24, 26, DUGTRIO</v>
      </c>
      <c r="K112" s="1" t="s">
        <v>1866</v>
      </c>
      <c r="L112" s="1" t="s">
        <v>1867</v>
      </c>
    </row>
    <row r="113" ht="12.75" customHeight="1">
      <c r="A113" s="4" t="s">
        <v>2813</v>
      </c>
      <c r="B113" s="5">
        <v>0.01</v>
      </c>
      <c r="C113" s="1" t="str">
        <f t="shared" si="1"/>
        <v/>
      </c>
      <c r="E113" s="5">
        <v>0.01</v>
      </c>
      <c r="F113" s="6" t="str">
        <f t="shared" si="2"/>
        <v>#N/A</v>
      </c>
      <c r="G113" s="1" t="str">
        <f t="shared" si="3"/>
        <v/>
      </c>
      <c r="H113" s="5">
        <f t="shared" si="4"/>
        <v>0.01</v>
      </c>
      <c r="K113" s="1" t="s">
        <v>1872</v>
      </c>
      <c r="L113" s="1" t="s">
        <v>1873</v>
      </c>
    </row>
    <row r="114" ht="12.75" customHeight="1">
      <c r="A114" s="4" t="s">
        <v>2867</v>
      </c>
      <c r="B114" s="5" t="s">
        <v>2867</v>
      </c>
      <c r="C114" s="1" t="str">
        <f t="shared" si="1"/>
        <v/>
      </c>
      <c r="E114" s="5" t="s">
        <v>2867</v>
      </c>
      <c r="F114" s="6" t="str">
        <f t="shared" si="2"/>
        <v>#N/A</v>
      </c>
      <c r="G114" s="1" t="str">
        <f t="shared" si="3"/>
        <v/>
      </c>
      <c r="H114" s="5" t="str">
        <f t="shared" si="4"/>
        <v>27, 28, DUGTRIO</v>
      </c>
      <c r="K114" s="1" t="s">
        <v>1878</v>
      </c>
      <c r="L114" s="1" t="s">
        <v>1879</v>
      </c>
    </row>
    <row r="115" ht="12.75" customHeight="1">
      <c r="A115" s="4" t="s">
        <v>3710</v>
      </c>
      <c r="B115" s="5" t="s">
        <v>3710</v>
      </c>
      <c r="C115" s="1" t="str">
        <f t="shared" si="1"/>
        <v/>
      </c>
      <c r="E115" s="5" t="s">
        <v>3710</v>
      </c>
      <c r="F115" s="6" t="str">
        <f t="shared" si="2"/>
        <v>#N/A</v>
      </c>
      <c r="G115" s="1" t="str">
        <f t="shared" si="3"/>
        <v/>
      </c>
      <c r="H115" s="5" t="str">
        <f t="shared" si="4"/>
        <v>30, 30, DUGROUPLE</v>
      </c>
      <c r="K115" s="1" t="s">
        <v>1882</v>
      </c>
      <c r="L115" s="1" t="s">
        <v>1883</v>
      </c>
    </row>
    <row r="116" ht="12.75" customHeight="1">
      <c r="A116" s="4" t="s">
        <v>2539</v>
      </c>
      <c r="B116" s="5" t="s">
        <v>2539</v>
      </c>
      <c r="C116" s="1">
        <f t="shared" si="1"/>
        <v>1</v>
      </c>
      <c r="E116" s="5" t="s">
        <v>2539</v>
      </c>
      <c r="F116" s="6" t="str">
        <f t="shared" si="2"/>
        <v>#N/A</v>
      </c>
      <c r="G116" s="1" t="str">
        <f t="shared" si="3"/>
        <v/>
      </c>
      <c r="H116" s="5" t="str">
        <f t="shared" si="4"/>
        <v>NEW ROUTE</v>
      </c>
      <c r="K116" s="1" t="s">
        <v>1886</v>
      </c>
      <c r="L116" s="1" t="s">
        <v>1887</v>
      </c>
    </row>
    <row r="117" ht="12.75" customHeight="1">
      <c r="A117" s="4" t="s">
        <v>1571</v>
      </c>
      <c r="B117" s="5" t="s">
        <v>1571</v>
      </c>
      <c r="C117" s="1" t="str">
        <f t="shared" si="1"/>
        <v/>
      </c>
      <c r="E117" s="5" t="s">
        <v>1571</v>
      </c>
      <c r="F117" s="6" t="str">
        <f t="shared" si="2"/>
        <v>Victory Road 1F</v>
      </c>
      <c r="G117" s="1" t="str">
        <f t="shared" si="3"/>
        <v>Victory Road 1F</v>
      </c>
      <c r="H117" s="5" t="str">
        <f t="shared" si="4"/>
        <v>Victory Road 1F</v>
      </c>
      <c r="K117" s="1" t="s">
        <v>1890</v>
      </c>
      <c r="L117" s="1" t="s">
        <v>1891</v>
      </c>
    </row>
    <row r="118" ht="12.75" customHeight="1">
      <c r="A118" s="4" t="s">
        <v>2799</v>
      </c>
      <c r="B118" s="5">
        <v>0.2</v>
      </c>
      <c r="C118" s="1" t="str">
        <f t="shared" si="1"/>
        <v/>
      </c>
      <c r="E118" s="5">
        <v>0.2</v>
      </c>
      <c r="F118" s="6" t="str">
        <f t="shared" si="2"/>
        <v>#N/A</v>
      </c>
      <c r="G118" s="1" t="str">
        <f t="shared" si="3"/>
        <v/>
      </c>
      <c r="H118" s="5">
        <f t="shared" si="4"/>
        <v>0.2</v>
      </c>
      <c r="K118" s="1" t="s">
        <v>1895</v>
      </c>
      <c r="L118" s="1" t="s">
        <v>1896</v>
      </c>
    </row>
    <row r="119" ht="12.75" customHeight="1">
      <c r="A119" s="4" t="s">
        <v>443</v>
      </c>
      <c r="B119" s="5" t="s">
        <v>443</v>
      </c>
      <c r="C119" s="1" t="str">
        <f t="shared" si="1"/>
        <v/>
      </c>
      <c r="E119" s="5" t="s">
        <v>443</v>
      </c>
      <c r="F119" s="6" t="str">
        <f t="shared" si="2"/>
        <v>#N/A</v>
      </c>
      <c r="G119" s="1" t="str">
        <f t="shared" si="3"/>
        <v/>
      </c>
      <c r="H119" s="5" t="str">
        <f t="shared" si="4"/>
        <v>51, 56, NOHTYP</v>
      </c>
      <c r="K119" s="1" t="s">
        <v>1900</v>
      </c>
      <c r="L119" s="1" t="s">
        <v>1901</v>
      </c>
    </row>
    <row r="120" ht="12.75" customHeight="1">
      <c r="A120" s="4" t="s">
        <v>2870</v>
      </c>
      <c r="B120" s="5" t="s">
        <v>2870</v>
      </c>
      <c r="C120" s="1" t="str">
        <f t="shared" si="1"/>
        <v/>
      </c>
      <c r="E120" s="5" t="s">
        <v>2870</v>
      </c>
      <c r="F120" s="6" t="str">
        <f t="shared" si="2"/>
        <v>#N/A</v>
      </c>
      <c r="G120" s="1" t="str">
        <f t="shared" si="3"/>
        <v/>
      </c>
      <c r="H120" s="5" t="str">
        <f t="shared" si="4"/>
        <v>51, 56, CROBAT</v>
      </c>
      <c r="K120" s="1" t="s">
        <v>1905</v>
      </c>
      <c r="L120" s="1" t="s">
        <v>1906</v>
      </c>
    </row>
    <row r="121" ht="12.75" customHeight="1">
      <c r="A121" s="4" t="s">
        <v>2802</v>
      </c>
      <c r="B121" s="5">
        <v>0.1</v>
      </c>
      <c r="C121" s="1" t="str">
        <f t="shared" si="1"/>
        <v/>
      </c>
      <c r="E121" s="5">
        <v>0.1</v>
      </c>
      <c r="F121" s="6" t="str">
        <f t="shared" si="2"/>
        <v>#N/A</v>
      </c>
      <c r="G121" s="1" t="str">
        <f t="shared" si="3"/>
        <v/>
      </c>
      <c r="H121" s="5">
        <f t="shared" si="4"/>
        <v>0.1</v>
      </c>
      <c r="K121" s="1" t="s">
        <v>1910</v>
      </c>
      <c r="L121" s="1" t="s">
        <v>1911</v>
      </c>
    </row>
    <row r="122" ht="12.75" customHeight="1">
      <c r="A122" s="4" t="s">
        <v>2871</v>
      </c>
      <c r="B122" s="5" t="s">
        <v>2871</v>
      </c>
      <c r="C122" s="1" t="str">
        <f t="shared" si="1"/>
        <v/>
      </c>
      <c r="E122" s="5" t="s">
        <v>2871</v>
      </c>
      <c r="F122" s="6" t="str">
        <f t="shared" si="2"/>
        <v>#N/A</v>
      </c>
      <c r="G122" s="1" t="str">
        <f t="shared" si="3"/>
        <v/>
      </c>
      <c r="H122" s="5" t="str">
        <f t="shared" si="4"/>
        <v>51, 56, MACHAMP</v>
      </c>
      <c r="K122" s="1" t="s">
        <v>1915</v>
      </c>
      <c r="L122" s="1" t="s">
        <v>1916</v>
      </c>
    </row>
    <row r="123" ht="12.75" customHeight="1">
      <c r="A123" s="4" t="s">
        <v>2872</v>
      </c>
      <c r="B123" s="5" t="s">
        <v>2872</v>
      </c>
      <c r="C123" s="1" t="str">
        <f t="shared" si="1"/>
        <v/>
      </c>
      <c r="E123" s="5" t="s">
        <v>2872</v>
      </c>
      <c r="F123" s="6" t="str">
        <f t="shared" si="2"/>
        <v>#N/A</v>
      </c>
      <c r="G123" s="1" t="str">
        <f t="shared" si="3"/>
        <v/>
      </c>
      <c r="H123" s="5" t="str">
        <f t="shared" si="4"/>
        <v>51, 56, GOLEM</v>
      </c>
      <c r="K123" s="1" t="s">
        <v>1919</v>
      </c>
      <c r="L123" s="1" t="s">
        <v>1920</v>
      </c>
    </row>
    <row r="124" ht="12.75" customHeight="1">
      <c r="A124" s="4" t="s">
        <v>2873</v>
      </c>
      <c r="B124" s="5" t="s">
        <v>2873</v>
      </c>
      <c r="C124" s="1" t="str">
        <f t="shared" si="1"/>
        <v/>
      </c>
      <c r="E124" s="5" t="s">
        <v>2873</v>
      </c>
      <c r="F124" s="6" t="str">
        <f t="shared" si="2"/>
        <v>#N/A</v>
      </c>
      <c r="G124" s="1" t="str">
        <f t="shared" si="3"/>
        <v/>
      </c>
      <c r="H124" s="5" t="str">
        <f t="shared" si="4"/>
        <v>53, 57, ADNOKANA</v>
      </c>
      <c r="K124" s="1" t="s">
        <v>1923</v>
      </c>
      <c r="L124" s="1" t="s">
        <v>1924</v>
      </c>
    </row>
    <row r="125" ht="12.75" customHeight="1">
      <c r="A125" s="4" t="s">
        <v>2874</v>
      </c>
      <c r="B125" s="5" t="s">
        <v>2874</v>
      </c>
      <c r="C125" s="1" t="str">
        <f t="shared" si="1"/>
        <v/>
      </c>
      <c r="E125" s="5" t="s">
        <v>2874</v>
      </c>
      <c r="F125" s="6" t="str">
        <f t="shared" si="2"/>
        <v>#N/A</v>
      </c>
      <c r="G125" s="1" t="str">
        <f t="shared" si="3"/>
        <v/>
      </c>
      <c r="H125" s="5" t="str">
        <f t="shared" si="4"/>
        <v>53, 57, POLABAT</v>
      </c>
      <c r="K125" s="1" t="s">
        <v>1927</v>
      </c>
      <c r="L125" s="1" t="s">
        <v>1928</v>
      </c>
    </row>
    <row r="126" ht="12.75" customHeight="1">
      <c r="A126" s="4" t="s">
        <v>2807</v>
      </c>
      <c r="B126" s="5">
        <v>0.05</v>
      </c>
      <c r="C126" s="1" t="str">
        <f t="shared" si="1"/>
        <v/>
      </c>
      <c r="E126" s="5">
        <v>0.05</v>
      </c>
      <c r="F126" s="6" t="str">
        <f t="shared" si="2"/>
        <v>#N/A</v>
      </c>
      <c r="G126" s="1" t="str">
        <f t="shared" si="3"/>
        <v/>
      </c>
      <c r="H126" s="5">
        <f t="shared" si="4"/>
        <v>0.05</v>
      </c>
      <c r="K126" s="1" t="s">
        <v>1930</v>
      </c>
      <c r="L126" s="1" t="s">
        <v>1931</v>
      </c>
    </row>
    <row r="127" ht="12.75" customHeight="1">
      <c r="A127" s="4" t="s">
        <v>2875</v>
      </c>
      <c r="B127" s="5" t="s">
        <v>2875</v>
      </c>
      <c r="C127" s="1" t="str">
        <f t="shared" si="1"/>
        <v/>
      </c>
      <c r="E127" s="5" t="s">
        <v>2875</v>
      </c>
      <c r="F127" s="6" t="str">
        <f t="shared" si="2"/>
        <v>#N/A</v>
      </c>
      <c r="G127" s="1" t="str">
        <f t="shared" si="3"/>
        <v/>
      </c>
      <c r="H127" s="5" t="str">
        <f t="shared" si="4"/>
        <v>53, 57, MACHULK</v>
      </c>
      <c r="K127" s="1" t="s">
        <v>1933</v>
      </c>
      <c r="L127" s="1" t="s">
        <v>1934</v>
      </c>
    </row>
    <row r="128" ht="12.75" customHeight="1">
      <c r="A128" s="4" t="s">
        <v>2876</v>
      </c>
      <c r="B128" s="5" t="s">
        <v>2876</v>
      </c>
      <c r="C128" s="1" t="str">
        <f t="shared" si="1"/>
        <v/>
      </c>
      <c r="E128" s="5" t="s">
        <v>2876</v>
      </c>
      <c r="F128" s="6" t="str">
        <f t="shared" si="2"/>
        <v>#N/A</v>
      </c>
      <c r="G128" s="1" t="str">
        <f t="shared" si="3"/>
        <v/>
      </c>
      <c r="H128" s="5" t="str">
        <f t="shared" si="4"/>
        <v>53, 57, RHYMARKABL</v>
      </c>
      <c r="K128" s="1" t="s">
        <v>1936</v>
      </c>
      <c r="L128" s="1" t="s">
        <v>1937</v>
      </c>
    </row>
    <row r="129" ht="12.75" customHeight="1">
      <c r="A129" s="4" t="s">
        <v>2810</v>
      </c>
      <c r="B129" s="5">
        <v>0.04</v>
      </c>
      <c r="C129" s="1" t="str">
        <f t="shared" si="1"/>
        <v/>
      </c>
      <c r="E129" s="5">
        <v>0.04</v>
      </c>
      <c r="F129" s="6" t="str">
        <f t="shared" si="2"/>
        <v>#N/A</v>
      </c>
      <c r="G129" s="1" t="str">
        <f t="shared" si="3"/>
        <v/>
      </c>
      <c r="H129" s="5">
        <f t="shared" si="4"/>
        <v>0.04</v>
      </c>
      <c r="K129" s="1" t="s">
        <v>1939</v>
      </c>
      <c r="L129" s="1" t="s">
        <v>1940</v>
      </c>
    </row>
    <row r="130" ht="12.75" customHeight="1">
      <c r="A130" s="4" t="s">
        <v>2877</v>
      </c>
      <c r="B130" s="5" t="s">
        <v>2877</v>
      </c>
      <c r="C130" s="1" t="str">
        <f t="shared" si="1"/>
        <v/>
      </c>
      <c r="E130" s="5" t="s">
        <v>2877</v>
      </c>
      <c r="F130" s="6" t="str">
        <f t="shared" si="2"/>
        <v>#N/A</v>
      </c>
      <c r="G130" s="1" t="str">
        <f t="shared" si="3"/>
        <v/>
      </c>
      <c r="H130" s="5" t="str">
        <f t="shared" si="4"/>
        <v>55, 57, PLATNIX</v>
      </c>
      <c r="K130" s="1" t="s">
        <v>1942</v>
      </c>
      <c r="L130" s="1" t="s">
        <v>1943</v>
      </c>
    </row>
    <row r="131" ht="12.75" customHeight="1">
      <c r="A131" s="4" t="s">
        <v>2878</v>
      </c>
      <c r="B131" s="5" t="s">
        <v>2878</v>
      </c>
      <c r="C131" s="1" t="str">
        <f t="shared" si="1"/>
        <v/>
      </c>
      <c r="E131" s="5" t="s">
        <v>2878</v>
      </c>
      <c r="F131" s="6" t="str">
        <f t="shared" si="2"/>
        <v>#N/A</v>
      </c>
      <c r="G131" s="1" t="str">
        <f t="shared" si="3"/>
        <v/>
      </c>
      <c r="H131" s="5" t="str">
        <f t="shared" si="4"/>
        <v>55, 57, SLAGOLEM</v>
      </c>
      <c r="K131" s="1" t="s">
        <v>1945</v>
      </c>
      <c r="L131" s="1" t="s">
        <v>1946</v>
      </c>
    </row>
    <row r="132" ht="12.75" customHeight="1">
      <c r="A132" s="4" t="s">
        <v>2813</v>
      </c>
      <c r="B132" s="5">
        <v>0.01</v>
      </c>
      <c r="C132" s="1" t="str">
        <f t="shared" si="1"/>
        <v/>
      </c>
      <c r="E132" s="5">
        <v>0.01</v>
      </c>
      <c r="F132" s="6" t="str">
        <f t="shared" si="2"/>
        <v>#N/A</v>
      </c>
      <c r="G132" s="1" t="str">
        <f t="shared" si="3"/>
        <v/>
      </c>
      <c r="H132" s="5">
        <f t="shared" si="4"/>
        <v>0.01</v>
      </c>
      <c r="K132" s="1" t="s">
        <v>1948</v>
      </c>
      <c r="L132" s="1" t="s">
        <v>1949</v>
      </c>
    </row>
    <row r="133" ht="12.75" customHeight="1">
      <c r="A133" s="4" t="s">
        <v>2879</v>
      </c>
      <c r="B133" s="5" t="s">
        <v>2879</v>
      </c>
      <c r="C133" s="1" t="str">
        <f t="shared" si="1"/>
        <v/>
      </c>
      <c r="E133" s="5" t="s">
        <v>2879</v>
      </c>
      <c r="F133" s="6" t="str">
        <f t="shared" si="2"/>
        <v>#N/A</v>
      </c>
      <c r="G133" s="1" t="str">
        <f t="shared" si="3"/>
        <v/>
      </c>
      <c r="H133" s="5" t="str">
        <f t="shared" si="4"/>
        <v>58, 60, MOLTREM</v>
      </c>
      <c r="K133" s="1" t="s">
        <v>1951</v>
      </c>
      <c r="L133" s="1" t="s">
        <v>1952</v>
      </c>
    </row>
    <row r="134" ht="12.75" customHeight="1">
      <c r="A134" s="4" t="s">
        <v>3711</v>
      </c>
      <c r="B134" s="5" t="s">
        <v>3711</v>
      </c>
      <c r="C134" s="1" t="str">
        <f t="shared" si="1"/>
        <v/>
      </c>
      <c r="E134" s="5" t="s">
        <v>3711</v>
      </c>
      <c r="F134" s="6" t="str">
        <f t="shared" si="2"/>
        <v>#N/A</v>
      </c>
      <c r="G134" s="1" t="str">
        <f t="shared" si="3"/>
        <v/>
      </c>
      <c r="H134" s="5" t="str">
        <f t="shared" si="4"/>
        <v>58, 60, WRAIWRATH</v>
      </c>
      <c r="K134" s="1" t="s">
        <v>1953</v>
      </c>
      <c r="L134" s="1" t="s">
        <v>1954</v>
      </c>
    </row>
    <row r="135" ht="12.75" customHeight="1">
      <c r="A135" s="4" t="s">
        <v>2539</v>
      </c>
      <c r="B135" s="5" t="s">
        <v>2539</v>
      </c>
      <c r="C135" s="1">
        <f t="shared" si="1"/>
        <v>1</v>
      </c>
      <c r="E135" s="5" t="s">
        <v>2539</v>
      </c>
      <c r="F135" s="6" t="str">
        <f t="shared" si="2"/>
        <v>#N/A</v>
      </c>
      <c r="G135" s="1" t="str">
        <f t="shared" si="3"/>
        <v/>
      </c>
      <c r="H135" s="5" t="str">
        <f t="shared" si="4"/>
        <v>NEW ROUTE</v>
      </c>
      <c r="K135" s="1" t="s">
        <v>1955</v>
      </c>
      <c r="L135" s="1" t="s">
        <v>1956</v>
      </c>
    </row>
    <row r="136" ht="12.75" customHeight="1">
      <c r="A136" s="4" t="s">
        <v>1576</v>
      </c>
      <c r="B136" s="5" t="s">
        <v>1576</v>
      </c>
      <c r="C136" s="1" t="str">
        <f t="shared" si="1"/>
        <v/>
      </c>
      <c r="E136" s="5" t="s">
        <v>1576</v>
      </c>
      <c r="F136" s="6" t="str">
        <f t="shared" si="2"/>
        <v>Victory Road 2F</v>
      </c>
      <c r="G136" s="1" t="str">
        <f t="shared" si="3"/>
        <v>Victory Road 2F</v>
      </c>
      <c r="H136" s="5" t="str">
        <f t="shared" si="4"/>
        <v>Victory Road 2F</v>
      </c>
      <c r="K136" s="1" t="s">
        <v>1957</v>
      </c>
      <c r="L136" s="1" t="s">
        <v>1958</v>
      </c>
    </row>
    <row r="137" ht="12.75" customHeight="1">
      <c r="A137" s="4" t="s">
        <v>2799</v>
      </c>
      <c r="B137" s="5">
        <v>0.2</v>
      </c>
      <c r="C137" s="1" t="str">
        <f t="shared" si="1"/>
        <v/>
      </c>
      <c r="E137" s="5">
        <v>0.2</v>
      </c>
      <c r="F137" s="6" t="str">
        <f t="shared" si="2"/>
        <v>#N/A</v>
      </c>
      <c r="G137" s="1" t="str">
        <f t="shared" si="3"/>
        <v/>
      </c>
      <c r="H137" s="5">
        <f t="shared" si="4"/>
        <v>0.2</v>
      </c>
      <c r="K137" s="1" t="s">
        <v>1959</v>
      </c>
      <c r="L137" s="1" t="s">
        <v>1960</v>
      </c>
    </row>
    <row r="138" ht="12.75" customHeight="1">
      <c r="A138" s="4" t="s">
        <v>443</v>
      </c>
      <c r="B138" s="5" t="s">
        <v>443</v>
      </c>
      <c r="C138" s="1" t="str">
        <f t="shared" si="1"/>
        <v/>
      </c>
      <c r="E138" s="5" t="s">
        <v>443</v>
      </c>
      <c r="F138" s="6" t="str">
        <f t="shared" si="2"/>
        <v>#N/A</v>
      </c>
      <c r="G138" s="1" t="str">
        <f t="shared" si="3"/>
        <v/>
      </c>
      <c r="H138" s="5" t="str">
        <f t="shared" si="4"/>
        <v>51, 56, NOHTYP</v>
      </c>
      <c r="K138" s="1" t="s">
        <v>1961</v>
      </c>
      <c r="L138" s="1" t="s">
        <v>1962</v>
      </c>
    </row>
    <row r="139" ht="12.75" customHeight="1">
      <c r="A139" s="4" t="s">
        <v>2870</v>
      </c>
      <c r="B139" s="5" t="s">
        <v>2870</v>
      </c>
      <c r="C139" s="1" t="str">
        <f t="shared" si="1"/>
        <v/>
      </c>
      <c r="E139" s="5" t="s">
        <v>2870</v>
      </c>
      <c r="F139" s="6" t="str">
        <f t="shared" si="2"/>
        <v>#N/A</v>
      </c>
      <c r="G139" s="1" t="str">
        <f t="shared" si="3"/>
        <v/>
      </c>
      <c r="H139" s="5" t="str">
        <f t="shared" si="4"/>
        <v>51, 56, CROBAT</v>
      </c>
      <c r="K139" s="1" t="s">
        <v>1963</v>
      </c>
      <c r="L139" s="1" t="s">
        <v>1964</v>
      </c>
    </row>
    <row r="140" ht="12.75" customHeight="1">
      <c r="A140" s="4" t="s">
        <v>2802</v>
      </c>
      <c r="B140" s="5">
        <v>0.1</v>
      </c>
      <c r="C140" s="1" t="str">
        <f t="shared" si="1"/>
        <v/>
      </c>
      <c r="E140" s="5">
        <v>0.1</v>
      </c>
      <c r="F140" s="6" t="str">
        <f t="shared" si="2"/>
        <v>#N/A</v>
      </c>
      <c r="G140" s="1" t="str">
        <f t="shared" si="3"/>
        <v/>
      </c>
      <c r="H140" s="5">
        <f t="shared" si="4"/>
        <v>0.1</v>
      </c>
      <c r="K140" s="1" t="s">
        <v>1965</v>
      </c>
      <c r="L140" s="1" t="s">
        <v>1966</v>
      </c>
    </row>
    <row r="141" ht="12.75" customHeight="1">
      <c r="A141" s="4" t="s">
        <v>2871</v>
      </c>
      <c r="B141" s="5" t="s">
        <v>2871</v>
      </c>
      <c r="C141" s="1" t="str">
        <f t="shared" si="1"/>
        <v/>
      </c>
      <c r="E141" s="5" t="s">
        <v>2871</v>
      </c>
      <c r="F141" s="6" t="str">
        <f t="shared" si="2"/>
        <v>#N/A</v>
      </c>
      <c r="G141" s="1" t="str">
        <f t="shared" si="3"/>
        <v/>
      </c>
      <c r="H141" s="5" t="str">
        <f t="shared" si="4"/>
        <v>51, 56, MACHAMP</v>
      </c>
      <c r="K141" s="1" t="s">
        <v>1967</v>
      </c>
      <c r="L141" s="1" t="s">
        <v>1968</v>
      </c>
    </row>
    <row r="142" ht="12.75" customHeight="1">
      <c r="A142" s="4" t="s">
        <v>2872</v>
      </c>
      <c r="B142" s="5" t="s">
        <v>2872</v>
      </c>
      <c r="C142" s="1" t="str">
        <f t="shared" si="1"/>
        <v/>
      </c>
      <c r="E142" s="5" t="s">
        <v>2872</v>
      </c>
      <c r="F142" s="6" t="str">
        <f t="shared" si="2"/>
        <v>#N/A</v>
      </c>
      <c r="G142" s="1" t="str">
        <f t="shared" si="3"/>
        <v/>
      </c>
      <c r="H142" s="5" t="str">
        <f t="shared" si="4"/>
        <v>51, 56, GOLEM</v>
      </c>
      <c r="K142" s="1" t="s">
        <v>1969</v>
      </c>
      <c r="L142" s="1" t="s">
        <v>1970</v>
      </c>
    </row>
    <row r="143" ht="12.75" customHeight="1">
      <c r="A143" s="4" t="s">
        <v>2873</v>
      </c>
      <c r="B143" s="5" t="s">
        <v>2873</v>
      </c>
      <c r="C143" s="1" t="str">
        <f t="shared" si="1"/>
        <v/>
      </c>
      <c r="E143" s="5" t="s">
        <v>2873</v>
      </c>
      <c r="F143" s="6" t="str">
        <f t="shared" si="2"/>
        <v>#N/A</v>
      </c>
      <c r="G143" s="1" t="str">
        <f t="shared" si="3"/>
        <v/>
      </c>
      <c r="H143" s="5" t="str">
        <f t="shared" si="4"/>
        <v>53, 57, ADNOKANA</v>
      </c>
      <c r="K143" s="1" t="s">
        <v>1971</v>
      </c>
      <c r="L143" s="1" t="s">
        <v>1972</v>
      </c>
    </row>
    <row r="144" ht="12.75" customHeight="1">
      <c r="A144" s="4" t="s">
        <v>2874</v>
      </c>
      <c r="B144" s="5" t="s">
        <v>2874</v>
      </c>
      <c r="C144" s="1" t="str">
        <f t="shared" si="1"/>
        <v/>
      </c>
      <c r="E144" s="5" t="s">
        <v>2874</v>
      </c>
      <c r="F144" s="6" t="str">
        <f t="shared" si="2"/>
        <v>#N/A</v>
      </c>
      <c r="G144" s="1" t="str">
        <f t="shared" si="3"/>
        <v/>
      </c>
      <c r="H144" s="5" t="str">
        <f t="shared" si="4"/>
        <v>53, 57, POLABAT</v>
      </c>
      <c r="K144" s="1" t="s">
        <v>1973</v>
      </c>
      <c r="L144" s="1" t="s">
        <v>1974</v>
      </c>
    </row>
    <row r="145" ht="12.75" customHeight="1">
      <c r="A145" s="4" t="s">
        <v>2807</v>
      </c>
      <c r="B145" s="5">
        <v>0.05</v>
      </c>
      <c r="C145" s="1" t="str">
        <f t="shared" si="1"/>
        <v/>
      </c>
      <c r="E145" s="5">
        <v>0.05</v>
      </c>
      <c r="F145" s="6" t="str">
        <f t="shared" si="2"/>
        <v>#N/A</v>
      </c>
      <c r="G145" s="1" t="str">
        <f t="shared" si="3"/>
        <v/>
      </c>
      <c r="H145" s="5">
        <f t="shared" si="4"/>
        <v>0.05</v>
      </c>
      <c r="K145" s="1" t="s">
        <v>1975</v>
      </c>
      <c r="L145" s="1" t="s">
        <v>1976</v>
      </c>
    </row>
    <row r="146" ht="12.75" customHeight="1">
      <c r="A146" s="4" t="s">
        <v>2875</v>
      </c>
      <c r="B146" s="5" t="s">
        <v>2875</v>
      </c>
      <c r="C146" s="1" t="str">
        <f t="shared" si="1"/>
        <v/>
      </c>
      <c r="E146" s="5" t="s">
        <v>2875</v>
      </c>
      <c r="F146" s="6" t="str">
        <f t="shared" si="2"/>
        <v>#N/A</v>
      </c>
      <c r="G146" s="1" t="str">
        <f t="shared" si="3"/>
        <v/>
      </c>
      <c r="H146" s="5" t="str">
        <f t="shared" si="4"/>
        <v>53, 57, MACHULK</v>
      </c>
      <c r="K146" s="1" t="s">
        <v>1977</v>
      </c>
      <c r="L146" s="1" t="s">
        <v>1978</v>
      </c>
    </row>
    <row r="147" ht="12.75" customHeight="1">
      <c r="A147" s="4" t="s">
        <v>2876</v>
      </c>
      <c r="B147" s="5" t="s">
        <v>2876</v>
      </c>
      <c r="C147" s="1" t="str">
        <f t="shared" si="1"/>
        <v/>
      </c>
      <c r="E147" s="5" t="s">
        <v>2876</v>
      </c>
      <c r="F147" s="6" t="str">
        <f t="shared" si="2"/>
        <v>#N/A</v>
      </c>
      <c r="G147" s="1" t="str">
        <f t="shared" si="3"/>
        <v/>
      </c>
      <c r="H147" s="5" t="str">
        <f t="shared" si="4"/>
        <v>53, 57, RHYMARKABL</v>
      </c>
      <c r="K147" s="1" t="s">
        <v>1979</v>
      </c>
      <c r="L147" s="1" t="s">
        <v>1980</v>
      </c>
    </row>
    <row r="148" ht="12.75" customHeight="1">
      <c r="A148" s="4" t="s">
        <v>2810</v>
      </c>
      <c r="B148" s="5">
        <v>0.04</v>
      </c>
      <c r="C148" s="1" t="str">
        <f t="shared" si="1"/>
        <v/>
      </c>
      <c r="E148" s="5">
        <v>0.04</v>
      </c>
      <c r="F148" s="6" t="str">
        <f t="shared" si="2"/>
        <v>#N/A</v>
      </c>
      <c r="G148" s="1" t="str">
        <f t="shared" si="3"/>
        <v/>
      </c>
      <c r="H148" s="5">
        <f t="shared" si="4"/>
        <v>0.04</v>
      </c>
      <c r="K148" s="1" t="s">
        <v>1981</v>
      </c>
      <c r="L148" s="1" t="s">
        <v>1982</v>
      </c>
    </row>
    <row r="149" ht="12.75" customHeight="1">
      <c r="A149" s="4" t="s">
        <v>2877</v>
      </c>
      <c r="B149" s="5" t="s">
        <v>2877</v>
      </c>
      <c r="C149" s="1" t="str">
        <f t="shared" si="1"/>
        <v/>
      </c>
      <c r="E149" s="5" t="s">
        <v>2877</v>
      </c>
      <c r="F149" s="6" t="str">
        <f t="shared" si="2"/>
        <v>#N/A</v>
      </c>
      <c r="G149" s="1" t="str">
        <f t="shared" si="3"/>
        <v/>
      </c>
      <c r="H149" s="5" t="str">
        <f t="shared" si="4"/>
        <v>55, 57, PLATNIX</v>
      </c>
      <c r="K149" s="1" t="s">
        <v>1983</v>
      </c>
      <c r="L149" s="1" t="s">
        <v>1984</v>
      </c>
    </row>
    <row r="150" ht="12.75" customHeight="1">
      <c r="A150" s="4" t="s">
        <v>2878</v>
      </c>
      <c r="B150" s="5" t="s">
        <v>2878</v>
      </c>
      <c r="C150" s="1" t="str">
        <f t="shared" si="1"/>
        <v/>
      </c>
      <c r="E150" s="5" t="s">
        <v>2878</v>
      </c>
      <c r="F150" s="6" t="str">
        <f t="shared" si="2"/>
        <v>#N/A</v>
      </c>
      <c r="G150" s="1" t="str">
        <f t="shared" si="3"/>
        <v/>
      </c>
      <c r="H150" s="5" t="str">
        <f t="shared" si="4"/>
        <v>55, 57, SLAGOLEM</v>
      </c>
      <c r="K150" s="1" t="s">
        <v>1985</v>
      </c>
      <c r="L150" s="1" t="s">
        <v>1986</v>
      </c>
    </row>
    <row r="151" ht="12.75" customHeight="1">
      <c r="A151" s="4" t="s">
        <v>2813</v>
      </c>
      <c r="B151" s="5">
        <v>0.01</v>
      </c>
      <c r="C151" s="1" t="str">
        <f t="shared" si="1"/>
        <v/>
      </c>
      <c r="E151" s="5">
        <v>0.01</v>
      </c>
      <c r="F151" s="6" t="str">
        <f t="shared" si="2"/>
        <v>#N/A</v>
      </c>
      <c r="G151" s="1" t="str">
        <f t="shared" si="3"/>
        <v/>
      </c>
      <c r="H151" s="5">
        <f t="shared" si="4"/>
        <v>0.01</v>
      </c>
      <c r="K151" s="1" t="s">
        <v>1987</v>
      </c>
      <c r="L151" s="1" t="s">
        <v>1988</v>
      </c>
    </row>
    <row r="152" ht="12.75" customHeight="1">
      <c r="A152" s="4" t="s">
        <v>2882</v>
      </c>
      <c r="B152" s="5" t="s">
        <v>2882</v>
      </c>
      <c r="C152" s="1" t="str">
        <f t="shared" si="1"/>
        <v/>
      </c>
      <c r="E152" s="5" t="s">
        <v>2882</v>
      </c>
      <c r="F152" s="6" t="str">
        <f t="shared" si="2"/>
        <v>#N/A</v>
      </c>
      <c r="G152" s="1" t="str">
        <f t="shared" si="3"/>
        <v/>
      </c>
      <c r="H152" s="5" t="str">
        <f t="shared" si="4"/>
        <v>59, 61, MOLTREM</v>
      </c>
      <c r="K152" s="1" t="s">
        <v>1989</v>
      </c>
      <c r="L152" s="1" t="s">
        <v>1990</v>
      </c>
    </row>
    <row r="153" ht="12.75" customHeight="1">
      <c r="A153" s="4" t="s">
        <v>3712</v>
      </c>
      <c r="B153" s="5" t="s">
        <v>3712</v>
      </c>
      <c r="C153" s="1" t="str">
        <f t="shared" si="1"/>
        <v/>
      </c>
      <c r="E153" s="5" t="s">
        <v>3712</v>
      </c>
      <c r="F153" s="6" t="str">
        <f t="shared" si="2"/>
        <v>#N/A</v>
      </c>
      <c r="G153" s="1" t="str">
        <f t="shared" si="3"/>
        <v/>
      </c>
      <c r="H153" s="5" t="str">
        <f t="shared" si="4"/>
        <v>59, 61, FERODILLO</v>
      </c>
      <c r="K153" s="1" t="s">
        <v>1991</v>
      </c>
      <c r="L153" s="1" t="s">
        <v>1992</v>
      </c>
    </row>
    <row r="154" ht="12.75" customHeight="1">
      <c r="A154" s="4" t="s">
        <v>2539</v>
      </c>
      <c r="B154" s="5" t="s">
        <v>2539</v>
      </c>
      <c r="C154" s="1">
        <f t="shared" si="1"/>
        <v>1</v>
      </c>
      <c r="E154" s="5" t="s">
        <v>2539</v>
      </c>
      <c r="F154" s="6" t="str">
        <f t="shared" si="2"/>
        <v>#N/A</v>
      </c>
      <c r="G154" s="1" t="str">
        <f t="shared" si="3"/>
        <v/>
      </c>
      <c r="H154" s="5" t="str">
        <f t="shared" si="4"/>
        <v>NEW ROUTE</v>
      </c>
      <c r="K154" s="1" t="s">
        <v>1993</v>
      </c>
      <c r="L154" s="1" t="s">
        <v>1994</v>
      </c>
    </row>
    <row r="155" ht="12.75" customHeight="1">
      <c r="A155" s="4" t="s">
        <v>1581</v>
      </c>
      <c r="B155" s="5" t="s">
        <v>1581</v>
      </c>
      <c r="C155" s="1" t="str">
        <f t="shared" si="1"/>
        <v/>
      </c>
      <c r="E155" s="5" t="s">
        <v>1581</v>
      </c>
      <c r="F155" s="6" t="str">
        <f t="shared" si="2"/>
        <v>Victory Road 3F</v>
      </c>
      <c r="G155" s="1" t="str">
        <f t="shared" si="3"/>
        <v>Victory Road 3F</v>
      </c>
      <c r="H155" s="5" t="str">
        <f t="shared" si="4"/>
        <v>Victory Road 3F</v>
      </c>
      <c r="K155" s="1" t="s">
        <v>1995</v>
      </c>
      <c r="L155" s="1" t="s">
        <v>1996</v>
      </c>
    </row>
    <row r="156" ht="12.75" customHeight="1">
      <c r="A156" s="4" t="s">
        <v>2799</v>
      </c>
      <c r="B156" s="5">
        <v>0.2</v>
      </c>
      <c r="C156" s="1" t="str">
        <f t="shared" si="1"/>
        <v/>
      </c>
      <c r="E156" s="5">
        <v>0.2</v>
      </c>
      <c r="F156" s="6" t="str">
        <f t="shared" si="2"/>
        <v>#N/A</v>
      </c>
      <c r="G156" s="1" t="str">
        <f t="shared" si="3"/>
        <v/>
      </c>
      <c r="H156" s="5">
        <f t="shared" si="4"/>
        <v>0.2</v>
      </c>
      <c r="K156" s="1" t="s">
        <v>1997</v>
      </c>
      <c r="L156" s="1" t="s">
        <v>1998</v>
      </c>
    </row>
    <row r="157" ht="12.75" customHeight="1">
      <c r="A157" s="4" t="s">
        <v>443</v>
      </c>
      <c r="B157" s="5" t="s">
        <v>443</v>
      </c>
      <c r="C157" s="1" t="str">
        <f t="shared" si="1"/>
        <v/>
      </c>
      <c r="E157" s="5" t="s">
        <v>443</v>
      </c>
      <c r="F157" s="6" t="str">
        <f t="shared" si="2"/>
        <v>#N/A</v>
      </c>
      <c r="G157" s="1" t="str">
        <f t="shared" si="3"/>
        <v/>
      </c>
      <c r="H157" s="5" t="str">
        <f t="shared" si="4"/>
        <v>51, 56, NOHTYP</v>
      </c>
      <c r="K157" s="1" t="s">
        <v>1999</v>
      </c>
      <c r="L157" s="1" t="s">
        <v>2000</v>
      </c>
    </row>
    <row r="158" ht="12.75" customHeight="1">
      <c r="A158" s="4" t="s">
        <v>2870</v>
      </c>
      <c r="B158" s="5" t="s">
        <v>2870</v>
      </c>
      <c r="C158" s="1" t="str">
        <f t="shared" si="1"/>
        <v/>
      </c>
      <c r="E158" s="5" t="s">
        <v>2870</v>
      </c>
      <c r="F158" s="6" t="str">
        <f t="shared" si="2"/>
        <v>#N/A</v>
      </c>
      <c r="G158" s="1" t="str">
        <f t="shared" si="3"/>
        <v/>
      </c>
      <c r="H158" s="5" t="str">
        <f t="shared" si="4"/>
        <v>51, 56, CROBAT</v>
      </c>
      <c r="K158" s="1" t="s">
        <v>2001</v>
      </c>
      <c r="L158" s="1" t="s">
        <v>2002</v>
      </c>
    </row>
    <row r="159" ht="12.75" customHeight="1">
      <c r="A159" s="4" t="s">
        <v>2802</v>
      </c>
      <c r="B159" s="5">
        <v>0.1</v>
      </c>
      <c r="C159" s="1" t="str">
        <f t="shared" si="1"/>
        <v/>
      </c>
      <c r="E159" s="5">
        <v>0.1</v>
      </c>
      <c r="F159" s="6" t="str">
        <f t="shared" si="2"/>
        <v>#N/A</v>
      </c>
      <c r="G159" s="1" t="str">
        <f t="shared" si="3"/>
        <v/>
      </c>
      <c r="H159" s="5">
        <f t="shared" si="4"/>
        <v>0.1</v>
      </c>
      <c r="K159" s="1" t="s">
        <v>2003</v>
      </c>
      <c r="L159" s="1" t="s">
        <v>2004</v>
      </c>
    </row>
    <row r="160" ht="12.75" customHeight="1">
      <c r="A160" s="4" t="s">
        <v>2871</v>
      </c>
      <c r="B160" s="5" t="s">
        <v>2871</v>
      </c>
      <c r="C160" s="1" t="str">
        <f t="shared" si="1"/>
        <v/>
      </c>
      <c r="E160" s="5" t="s">
        <v>2871</v>
      </c>
      <c r="F160" s="6" t="str">
        <f t="shared" si="2"/>
        <v>#N/A</v>
      </c>
      <c r="G160" s="1" t="str">
        <f t="shared" si="3"/>
        <v/>
      </c>
      <c r="H160" s="5" t="str">
        <f t="shared" si="4"/>
        <v>51, 56, MACHAMP</v>
      </c>
      <c r="K160" s="1" t="s">
        <v>2005</v>
      </c>
      <c r="L160" s="1" t="s">
        <v>2006</v>
      </c>
    </row>
    <row r="161" ht="12.75" customHeight="1">
      <c r="A161" s="4" t="s">
        <v>2872</v>
      </c>
      <c r="B161" s="5" t="s">
        <v>2872</v>
      </c>
      <c r="C161" s="1" t="str">
        <f t="shared" si="1"/>
        <v/>
      </c>
      <c r="E161" s="5" t="s">
        <v>2872</v>
      </c>
      <c r="F161" s="6" t="str">
        <f t="shared" si="2"/>
        <v>#N/A</v>
      </c>
      <c r="G161" s="1" t="str">
        <f t="shared" si="3"/>
        <v/>
      </c>
      <c r="H161" s="5" t="str">
        <f t="shared" si="4"/>
        <v>51, 56, GOLEM</v>
      </c>
      <c r="K161" s="1" t="s">
        <v>2007</v>
      </c>
      <c r="L161" s="1" t="s">
        <v>2008</v>
      </c>
    </row>
    <row r="162" ht="12.75" customHeight="1">
      <c r="A162" s="4" t="s">
        <v>2873</v>
      </c>
      <c r="B162" s="5" t="s">
        <v>2873</v>
      </c>
      <c r="C162" s="1" t="str">
        <f t="shared" si="1"/>
        <v/>
      </c>
      <c r="E162" s="5" t="s">
        <v>2873</v>
      </c>
      <c r="F162" s="6" t="str">
        <f t="shared" si="2"/>
        <v>#N/A</v>
      </c>
      <c r="G162" s="1" t="str">
        <f t="shared" si="3"/>
        <v/>
      </c>
      <c r="H162" s="5" t="str">
        <f t="shared" si="4"/>
        <v>53, 57, ADNOKANA</v>
      </c>
      <c r="K162" s="1" t="s">
        <v>2009</v>
      </c>
      <c r="L162" s="1" t="s">
        <v>2010</v>
      </c>
    </row>
    <row r="163" ht="12.75" customHeight="1">
      <c r="A163" s="4" t="s">
        <v>2874</v>
      </c>
      <c r="B163" s="5" t="s">
        <v>2874</v>
      </c>
      <c r="C163" s="1" t="str">
        <f t="shared" si="1"/>
        <v/>
      </c>
      <c r="E163" s="5" t="s">
        <v>2874</v>
      </c>
      <c r="F163" s="6" t="str">
        <f t="shared" si="2"/>
        <v>#N/A</v>
      </c>
      <c r="G163" s="1" t="str">
        <f t="shared" si="3"/>
        <v/>
      </c>
      <c r="H163" s="5" t="str">
        <f t="shared" si="4"/>
        <v>53, 57, POLABAT</v>
      </c>
      <c r="K163" s="1" t="s">
        <v>2011</v>
      </c>
      <c r="L163" s="1" t="s">
        <v>2012</v>
      </c>
    </row>
    <row r="164" ht="12.75" customHeight="1">
      <c r="A164" s="4" t="s">
        <v>2807</v>
      </c>
      <c r="B164" s="5">
        <v>0.05</v>
      </c>
      <c r="C164" s="1" t="str">
        <f t="shared" si="1"/>
        <v/>
      </c>
      <c r="E164" s="5">
        <v>0.05</v>
      </c>
      <c r="F164" s="6" t="str">
        <f t="shared" si="2"/>
        <v>#N/A</v>
      </c>
      <c r="G164" s="1" t="str">
        <f t="shared" si="3"/>
        <v/>
      </c>
      <c r="H164" s="5">
        <f t="shared" si="4"/>
        <v>0.05</v>
      </c>
      <c r="K164" s="1" t="s">
        <v>2013</v>
      </c>
      <c r="L164" s="1" t="s">
        <v>2014</v>
      </c>
    </row>
    <row r="165" ht="12.75" customHeight="1">
      <c r="A165" s="4" t="s">
        <v>2875</v>
      </c>
      <c r="B165" s="5" t="s">
        <v>2875</v>
      </c>
      <c r="C165" s="1" t="str">
        <f t="shared" si="1"/>
        <v/>
      </c>
      <c r="E165" s="5" t="s">
        <v>2875</v>
      </c>
      <c r="F165" s="6" t="str">
        <f t="shared" si="2"/>
        <v>#N/A</v>
      </c>
      <c r="G165" s="1" t="str">
        <f t="shared" si="3"/>
        <v/>
      </c>
      <c r="H165" s="5" t="str">
        <f t="shared" si="4"/>
        <v>53, 57, MACHULK</v>
      </c>
      <c r="K165" s="1" t="s">
        <v>2015</v>
      </c>
      <c r="L165" s="1" t="s">
        <v>2016</v>
      </c>
    </row>
    <row r="166" ht="12.75" customHeight="1">
      <c r="A166" s="4" t="s">
        <v>2876</v>
      </c>
      <c r="B166" s="5" t="s">
        <v>2876</v>
      </c>
      <c r="C166" s="1" t="str">
        <f t="shared" si="1"/>
        <v/>
      </c>
      <c r="E166" s="5" t="s">
        <v>2876</v>
      </c>
      <c r="F166" s="6" t="str">
        <f t="shared" si="2"/>
        <v>#N/A</v>
      </c>
      <c r="G166" s="1" t="str">
        <f t="shared" si="3"/>
        <v/>
      </c>
      <c r="H166" s="5" t="str">
        <f t="shared" si="4"/>
        <v>53, 57, RHYMARKABL</v>
      </c>
      <c r="K166" s="1" t="s">
        <v>2017</v>
      </c>
      <c r="L166" s="1" t="s">
        <v>2018</v>
      </c>
    </row>
    <row r="167" ht="12.75" customHeight="1">
      <c r="A167" s="4" t="s">
        <v>2810</v>
      </c>
      <c r="B167" s="5">
        <v>0.04</v>
      </c>
      <c r="C167" s="1" t="str">
        <f t="shared" si="1"/>
        <v/>
      </c>
      <c r="E167" s="5">
        <v>0.04</v>
      </c>
      <c r="F167" s="6" t="str">
        <f t="shared" si="2"/>
        <v>#N/A</v>
      </c>
      <c r="G167" s="1" t="str">
        <f t="shared" si="3"/>
        <v/>
      </c>
      <c r="H167" s="5">
        <f t="shared" si="4"/>
        <v>0.04</v>
      </c>
      <c r="K167" s="1" t="s">
        <v>2019</v>
      </c>
      <c r="L167" s="1" t="s">
        <v>2020</v>
      </c>
    </row>
    <row r="168" ht="12.75" customHeight="1">
      <c r="A168" s="4" t="s">
        <v>2877</v>
      </c>
      <c r="B168" s="5" t="s">
        <v>2877</v>
      </c>
      <c r="C168" s="1" t="str">
        <f t="shared" si="1"/>
        <v/>
      </c>
      <c r="E168" s="5" t="s">
        <v>2877</v>
      </c>
      <c r="F168" s="6" t="str">
        <f t="shared" si="2"/>
        <v>#N/A</v>
      </c>
      <c r="G168" s="1" t="str">
        <f t="shared" si="3"/>
        <v/>
      </c>
      <c r="H168" s="5" t="str">
        <f t="shared" si="4"/>
        <v>55, 57, PLATNIX</v>
      </c>
      <c r="K168" s="1" t="s">
        <v>2021</v>
      </c>
      <c r="L168" s="1" t="s">
        <v>2022</v>
      </c>
    </row>
    <row r="169" ht="12.75" customHeight="1">
      <c r="A169" s="4" t="s">
        <v>2878</v>
      </c>
      <c r="B169" s="5" t="s">
        <v>2878</v>
      </c>
      <c r="C169" s="1" t="str">
        <f t="shared" si="1"/>
        <v/>
      </c>
      <c r="E169" s="5" t="s">
        <v>2878</v>
      </c>
      <c r="F169" s="6" t="str">
        <f t="shared" si="2"/>
        <v>#N/A</v>
      </c>
      <c r="G169" s="1" t="str">
        <f t="shared" si="3"/>
        <v/>
      </c>
      <c r="H169" s="5" t="str">
        <f t="shared" si="4"/>
        <v>55, 57, SLAGOLEM</v>
      </c>
      <c r="K169" s="1" t="s">
        <v>2023</v>
      </c>
      <c r="L169" s="1" t="s">
        <v>2024</v>
      </c>
    </row>
    <row r="170" ht="12.75" customHeight="1">
      <c r="A170" s="4" t="s">
        <v>2813</v>
      </c>
      <c r="B170" s="5">
        <v>0.01</v>
      </c>
      <c r="C170" s="1" t="str">
        <f t="shared" si="1"/>
        <v/>
      </c>
      <c r="E170" s="5">
        <v>0.01</v>
      </c>
      <c r="F170" s="6" t="str">
        <f t="shared" si="2"/>
        <v>#N/A</v>
      </c>
      <c r="G170" s="1" t="str">
        <f t="shared" si="3"/>
        <v/>
      </c>
      <c r="H170" s="5">
        <f t="shared" si="4"/>
        <v>0.01</v>
      </c>
      <c r="K170" s="1" t="s">
        <v>2025</v>
      </c>
      <c r="L170" s="1" t="s">
        <v>2026</v>
      </c>
    </row>
    <row r="171" ht="12.75" customHeight="1">
      <c r="A171" s="4" t="s">
        <v>2885</v>
      </c>
      <c r="B171" s="5" t="s">
        <v>2885</v>
      </c>
      <c r="C171" s="1" t="str">
        <f t="shared" si="1"/>
        <v/>
      </c>
      <c r="E171" s="5" t="s">
        <v>2885</v>
      </c>
      <c r="F171" s="6" t="str">
        <f t="shared" si="2"/>
        <v>#N/A</v>
      </c>
      <c r="G171" s="1" t="str">
        <f t="shared" si="3"/>
        <v/>
      </c>
      <c r="H171" s="5" t="str">
        <f t="shared" si="4"/>
        <v>60, 62, MOLTREM</v>
      </c>
      <c r="K171" s="1" t="s">
        <v>2027</v>
      </c>
      <c r="L171" s="1" t="s">
        <v>2028</v>
      </c>
    </row>
    <row r="172" ht="12.75" customHeight="1">
      <c r="A172" s="4" t="s">
        <v>3713</v>
      </c>
      <c r="B172" s="5" t="s">
        <v>3713</v>
      </c>
      <c r="C172" s="1" t="str">
        <f t="shared" si="1"/>
        <v/>
      </c>
      <c r="E172" s="5" t="s">
        <v>3713</v>
      </c>
      <c r="F172" s="6" t="str">
        <f t="shared" si="2"/>
        <v>#N/A</v>
      </c>
      <c r="G172" s="1" t="str">
        <f t="shared" si="3"/>
        <v/>
      </c>
      <c r="H172" s="5" t="str">
        <f t="shared" si="4"/>
        <v>60, 62, CLAYMOR</v>
      </c>
      <c r="K172" s="1" t="s">
        <v>2029</v>
      </c>
      <c r="L172" s="1" t="s">
        <v>2030</v>
      </c>
    </row>
    <row r="173" ht="12.75" customHeight="1">
      <c r="A173" s="4" t="s">
        <v>2539</v>
      </c>
      <c r="B173" s="5" t="s">
        <v>2539</v>
      </c>
      <c r="C173" s="1">
        <f t="shared" si="1"/>
        <v>1</v>
      </c>
      <c r="E173" s="5" t="s">
        <v>2539</v>
      </c>
      <c r="F173" s="6" t="str">
        <f t="shared" si="2"/>
        <v>#N/A</v>
      </c>
      <c r="G173" s="1" t="str">
        <f t="shared" si="3"/>
        <v/>
      </c>
      <c r="H173" s="5" t="str">
        <f t="shared" si="4"/>
        <v>NEW ROUTE</v>
      </c>
      <c r="K173" s="1" t="s">
        <v>2031</v>
      </c>
      <c r="L173" s="1" t="s">
        <v>2032</v>
      </c>
    </row>
    <row r="174" ht="12.75" customHeight="1">
      <c r="A174" s="4" t="s">
        <v>1662</v>
      </c>
      <c r="B174" s="5" t="s">
        <v>1662</v>
      </c>
      <c r="C174" s="1" t="str">
        <f t="shared" si="1"/>
        <v/>
      </c>
      <c r="E174" s="5" t="s">
        <v>1662</v>
      </c>
      <c r="F174" s="6" t="str">
        <f t="shared" si="2"/>
        <v>Pokémon Mansion 1F</v>
      </c>
      <c r="G174" s="1" t="str">
        <f t="shared" si="3"/>
        <v>Pokémon Mansion 1F</v>
      </c>
      <c r="H174" s="5" t="str">
        <f t="shared" si="4"/>
        <v>Pokémon Mansion 1F</v>
      </c>
      <c r="K174" s="1" t="s">
        <v>2033</v>
      </c>
      <c r="L174" s="1" t="s">
        <v>2034</v>
      </c>
    </row>
    <row r="175" ht="12.75" customHeight="1">
      <c r="A175" s="4" t="s">
        <v>2799</v>
      </c>
      <c r="B175" s="5">
        <v>0.2</v>
      </c>
      <c r="C175" s="1" t="str">
        <f t="shared" si="1"/>
        <v/>
      </c>
      <c r="E175" s="5">
        <v>0.2</v>
      </c>
      <c r="F175" s="6" t="str">
        <f t="shared" si="2"/>
        <v>#N/A</v>
      </c>
      <c r="G175" s="1" t="str">
        <f t="shared" si="3"/>
        <v/>
      </c>
      <c r="H175" s="5">
        <f t="shared" si="4"/>
        <v>0.2</v>
      </c>
      <c r="K175" s="1" t="s">
        <v>2035</v>
      </c>
      <c r="L175" s="1" t="s">
        <v>2036</v>
      </c>
    </row>
    <row r="176" ht="12.75" customHeight="1">
      <c r="A176" s="4" t="s">
        <v>462</v>
      </c>
      <c r="B176" s="5" t="s">
        <v>462</v>
      </c>
      <c r="C176" s="1" t="str">
        <f t="shared" si="1"/>
        <v/>
      </c>
      <c r="E176" s="5" t="s">
        <v>462</v>
      </c>
      <c r="F176" s="6" t="str">
        <f t="shared" si="2"/>
        <v>#N/A</v>
      </c>
      <c r="G176" s="1" t="str">
        <f t="shared" si="3"/>
        <v/>
      </c>
      <c r="H176" s="5" t="str">
        <f t="shared" si="4"/>
        <v>40, 44, RATTCHET</v>
      </c>
      <c r="K176" s="1" t="s">
        <v>2037</v>
      </c>
      <c r="L176" s="1" t="s">
        <v>2038</v>
      </c>
    </row>
    <row r="177" ht="12.75" customHeight="1">
      <c r="A177" s="4" t="s">
        <v>2888</v>
      </c>
      <c r="B177" s="5" t="s">
        <v>2888</v>
      </c>
      <c r="C177" s="1" t="str">
        <f t="shared" si="1"/>
        <v/>
      </c>
      <c r="E177" s="5" t="s">
        <v>2888</v>
      </c>
      <c r="F177" s="6" t="str">
        <f t="shared" si="2"/>
        <v>#N/A</v>
      </c>
      <c r="G177" s="1" t="str">
        <f t="shared" si="3"/>
        <v/>
      </c>
      <c r="H177" s="5" t="str">
        <f t="shared" si="4"/>
        <v>40, 44, NINETALES</v>
      </c>
      <c r="K177" s="1" t="s">
        <v>2039</v>
      </c>
      <c r="L177" s="1" t="s">
        <v>2040</v>
      </c>
    </row>
    <row r="178" ht="12.75" customHeight="1">
      <c r="A178" s="4" t="s">
        <v>2802</v>
      </c>
      <c r="B178" s="5">
        <v>0.1</v>
      </c>
      <c r="C178" s="1" t="str">
        <f t="shared" si="1"/>
        <v/>
      </c>
      <c r="E178" s="5">
        <v>0.1</v>
      </c>
      <c r="F178" s="6" t="str">
        <f t="shared" si="2"/>
        <v>#N/A</v>
      </c>
      <c r="G178" s="1" t="str">
        <f t="shared" si="3"/>
        <v/>
      </c>
      <c r="H178" s="5">
        <f t="shared" si="4"/>
        <v>0.1</v>
      </c>
      <c r="K178" s="1" t="s">
        <v>2041</v>
      </c>
      <c r="L178" s="1" t="s">
        <v>2042</v>
      </c>
    </row>
    <row r="179" ht="12.75" customHeight="1">
      <c r="A179" s="4" t="s">
        <v>2889</v>
      </c>
      <c r="B179" s="5" t="s">
        <v>2889</v>
      </c>
      <c r="C179" s="1" t="str">
        <f t="shared" si="1"/>
        <v/>
      </c>
      <c r="E179" s="5" t="s">
        <v>2889</v>
      </c>
      <c r="F179" s="6" t="str">
        <f t="shared" si="2"/>
        <v>#N/A</v>
      </c>
      <c r="G179" s="1" t="str">
        <f t="shared" si="3"/>
        <v/>
      </c>
      <c r="H179" s="5" t="str">
        <f t="shared" si="4"/>
        <v>41, 42, ARCANINE</v>
      </c>
      <c r="K179" s="1" t="s">
        <v>2043</v>
      </c>
      <c r="L179" s="1" t="s">
        <v>2044</v>
      </c>
    </row>
    <row r="180" ht="12.75" customHeight="1">
      <c r="A180" s="4" t="s">
        <v>2890</v>
      </c>
      <c r="B180" s="5" t="s">
        <v>2890</v>
      </c>
      <c r="C180" s="1" t="str">
        <f t="shared" si="1"/>
        <v/>
      </c>
      <c r="E180" s="5" t="s">
        <v>2890</v>
      </c>
      <c r="F180" s="6" t="str">
        <f t="shared" si="2"/>
        <v>#N/A</v>
      </c>
      <c r="G180" s="1" t="str">
        <f t="shared" si="3"/>
        <v/>
      </c>
      <c r="H180" s="5" t="str">
        <f t="shared" si="4"/>
        <v>43, 44, ARCANINE</v>
      </c>
      <c r="K180" s="1" t="s">
        <v>2045</v>
      </c>
      <c r="L180" s="1" t="s">
        <v>2046</v>
      </c>
    </row>
    <row r="181" ht="12.75" customHeight="1">
      <c r="A181" s="4" t="s">
        <v>2891</v>
      </c>
      <c r="B181" s="5" t="s">
        <v>2891</v>
      </c>
      <c r="C181" s="1" t="str">
        <f t="shared" si="1"/>
        <v/>
      </c>
      <c r="E181" s="5" t="s">
        <v>2891</v>
      </c>
      <c r="F181" s="6" t="str">
        <f t="shared" si="2"/>
        <v>#N/A</v>
      </c>
      <c r="G181" s="1" t="str">
        <f t="shared" si="3"/>
        <v/>
      </c>
      <c r="H181" s="5" t="str">
        <f t="shared" si="4"/>
        <v>42, 44, WEEZING</v>
      </c>
      <c r="K181" s="1" t="s">
        <v>2047</v>
      </c>
      <c r="L181" s="1" t="s">
        <v>2048</v>
      </c>
    </row>
    <row r="182" ht="12.75" customHeight="1">
      <c r="A182" s="4" t="s">
        <v>2892</v>
      </c>
      <c r="B182" s="5" t="s">
        <v>2892</v>
      </c>
      <c r="C182" s="1" t="str">
        <f t="shared" si="1"/>
        <v/>
      </c>
      <c r="E182" s="5" t="s">
        <v>2892</v>
      </c>
      <c r="F182" s="6" t="str">
        <f t="shared" si="2"/>
        <v>#N/A</v>
      </c>
      <c r="G182" s="1" t="str">
        <f t="shared" si="3"/>
        <v/>
      </c>
      <c r="H182" s="5" t="str">
        <f t="shared" si="4"/>
        <v>42, 44, MUK</v>
      </c>
      <c r="K182" s="1" t="s">
        <v>2049</v>
      </c>
      <c r="L182" s="1" t="s">
        <v>2050</v>
      </c>
    </row>
    <row r="183" ht="12.75" customHeight="1">
      <c r="A183" s="4" t="s">
        <v>2807</v>
      </c>
      <c r="B183" s="5">
        <v>0.05</v>
      </c>
      <c r="C183" s="1" t="str">
        <f t="shared" si="1"/>
        <v/>
      </c>
      <c r="E183" s="5">
        <v>0.05</v>
      </c>
      <c r="F183" s="6" t="str">
        <f t="shared" si="2"/>
        <v>#N/A</v>
      </c>
      <c r="G183" s="1" t="str">
        <f t="shared" si="3"/>
        <v/>
      </c>
      <c r="H183" s="5">
        <f t="shared" si="4"/>
        <v>0.05</v>
      </c>
      <c r="K183" s="1" t="s">
        <v>2051</v>
      </c>
      <c r="L183" s="1" t="s">
        <v>2052</v>
      </c>
    </row>
    <row r="184" ht="12.75" customHeight="1">
      <c r="A184" s="4" t="s">
        <v>2893</v>
      </c>
      <c r="B184" s="5" t="s">
        <v>2893</v>
      </c>
      <c r="C184" s="1" t="str">
        <f t="shared" si="1"/>
        <v/>
      </c>
      <c r="E184" s="5" t="s">
        <v>2893</v>
      </c>
      <c r="F184" s="6" t="str">
        <f t="shared" si="2"/>
        <v>#N/A</v>
      </c>
      <c r="G184" s="1" t="str">
        <f t="shared" si="3"/>
        <v/>
      </c>
      <c r="H184" s="5" t="str">
        <f t="shared" si="4"/>
        <v>43, 45, SINGESHA</v>
      </c>
      <c r="K184" s="1" t="s">
        <v>2053</v>
      </c>
      <c r="L184" s="1" t="s">
        <v>2054</v>
      </c>
    </row>
    <row r="185" ht="12.75" customHeight="1">
      <c r="A185" s="4" t="s">
        <v>2894</v>
      </c>
      <c r="B185" s="5" t="s">
        <v>2894</v>
      </c>
      <c r="C185" s="1" t="str">
        <f t="shared" si="1"/>
        <v/>
      </c>
      <c r="E185" s="5" t="s">
        <v>2894</v>
      </c>
      <c r="F185" s="6" t="str">
        <f t="shared" si="2"/>
        <v>#N/A</v>
      </c>
      <c r="G185" s="1" t="str">
        <f t="shared" si="3"/>
        <v/>
      </c>
      <c r="H185" s="5" t="str">
        <f t="shared" si="4"/>
        <v>43, 45, SPIRITALES</v>
      </c>
      <c r="K185" s="1" t="s">
        <v>2055</v>
      </c>
      <c r="L185" s="1" t="s">
        <v>2056</v>
      </c>
    </row>
    <row r="186" ht="12.75" customHeight="1">
      <c r="A186" s="4" t="s">
        <v>2810</v>
      </c>
      <c r="B186" s="5">
        <v>0.04</v>
      </c>
      <c r="C186" s="1" t="str">
        <f t="shared" si="1"/>
        <v/>
      </c>
      <c r="E186" s="5">
        <v>0.04</v>
      </c>
      <c r="F186" s="6" t="str">
        <f t="shared" si="2"/>
        <v>#N/A</v>
      </c>
      <c r="G186" s="1" t="str">
        <f t="shared" si="3"/>
        <v/>
      </c>
      <c r="H186" s="5">
        <f t="shared" si="4"/>
        <v>0.04</v>
      </c>
      <c r="K186" s="1" t="s">
        <v>2057</v>
      </c>
      <c r="L186" s="1" t="s">
        <v>2058</v>
      </c>
    </row>
    <row r="187" ht="12.75" customHeight="1">
      <c r="A187" s="4" t="s">
        <v>2895</v>
      </c>
      <c r="B187" s="5" t="s">
        <v>2895</v>
      </c>
      <c r="C187" s="1" t="str">
        <f t="shared" si="1"/>
        <v/>
      </c>
      <c r="E187" s="5" t="s">
        <v>2895</v>
      </c>
      <c r="F187" s="6" t="str">
        <f t="shared" si="2"/>
        <v>#N/A</v>
      </c>
      <c r="G187" s="1" t="str">
        <f t="shared" si="3"/>
        <v/>
      </c>
      <c r="H187" s="5" t="str">
        <f t="shared" si="4"/>
        <v>45, 46, GUNK</v>
      </c>
      <c r="K187" s="1" t="s">
        <v>2059</v>
      </c>
      <c r="L187" s="1" t="s">
        <v>2060</v>
      </c>
    </row>
    <row r="188" ht="12.75" customHeight="1">
      <c r="A188" s="4" t="s">
        <v>2896</v>
      </c>
      <c r="B188" s="5" t="s">
        <v>2896</v>
      </c>
      <c r="C188" s="1" t="str">
        <f t="shared" si="1"/>
        <v/>
      </c>
      <c r="E188" s="5" t="s">
        <v>2896</v>
      </c>
      <c r="F188" s="6" t="str">
        <f t="shared" si="2"/>
        <v>#N/A</v>
      </c>
      <c r="G188" s="1" t="str">
        <f t="shared" si="3"/>
        <v/>
      </c>
      <c r="H188" s="5" t="str">
        <f t="shared" si="4"/>
        <v>45, 46, HEEVING</v>
      </c>
      <c r="K188" s="1" t="s">
        <v>2061</v>
      </c>
      <c r="L188" s="1" t="s">
        <v>2062</v>
      </c>
    </row>
    <row r="189" ht="12.75" customHeight="1">
      <c r="A189" s="4" t="s">
        <v>2813</v>
      </c>
      <c r="B189" s="5">
        <v>0.01</v>
      </c>
      <c r="C189" s="1" t="str">
        <f t="shared" si="1"/>
        <v/>
      </c>
      <c r="E189" s="5">
        <v>0.01</v>
      </c>
      <c r="F189" s="6" t="str">
        <f t="shared" si="2"/>
        <v>#N/A</v>
      </c>
      <c r="G189" s="1" t="str">
        <f t="shared" si="3"/>
        <v/>
      </c>
      <c r="H189" s="5">
        <f t="shared" si="4"/>
        <v>0.01</v>
      </c>
      <c r="K189" s="1" t="s">
        <v>2063</v>
      </c>
      <c r="L189" s="1" t="s">
        <v>2064</v>
      </c>
    </row>
    <row r="190" ht="12.75" customHeight="1">
      <c r="A190" s="4" t="s">
        <v>2897</v>
      </c>
      <c r="B190" s="5" t="s">
        <v>2897</v>
      </c>
      <c r="C190" s="1" t="str">
        <f t="shared" si="1"/>
        <v/>
      </c>
      <c r="E190" s="5" t="s">
        <v>2897</v>
      </c>
      <c r="F190" s="6" t="str">
        <f t="shared" si="2"/>
        <v>#N/A</v>
      </c>
      <c r="G190" s="1" t="str">
        <f t="shared" si="3"/>
        <v/>
      </c>
      <c r="H190" s="5" t="str">
        <f t="shared" si="4"/>
        <v>44, 47, RATTARULE</v>
      </c>
      <c r="K190" s="1" t="s">
        <v>2065</v>
      </c>
      <c r="L190" s="1" t="s">
        <v>2066</v>
      </c>
    </row>
    <row r="191" ht="12.75" customHeight="1">
      <c r="A191" s="4" t="s">
        <v>3714</v>
      </c>
      <c r="B191" s="5" t="s">
        <v>3714</v>
      </c>
      <c r="C191" s="1" t="str">
        <f t="shared" si="1"/>
        <v/>
      </c>
      <c r="E191" s="5" t="s">
        <v>3714</v>
      </c>
      <c r="F191" s="6" t="str">
        <f t="shared" si="2"/>
        <v>#N/A</v>
      </c>
      <c r="G191" s="1" t="str">
        <f t="shared" si="3"/>
        <v/>
      </c>
      <c r="H191" s="5" t="str">
        <f t="shared" si="4"/>
        <v>20, 25, CHARMANDER</v>
      </c>
      <c r="K191" s="1" t="s">
        <v>2067</v>
      </c>
      <c r="L191" s="1" t="s">
        <v>2068</v>
      </c>
    </row>
    <row r="192" ht="12.75" customHeight="1">
      <c r="A192" s="4" t="s">
        <v>2539</v>
      </c>
      <c r="B192" s="5" t="s">
        <v>2539</v>
      </c>
      <c r="C192" s="1">
        <f t="shared" si="1"/>
        <v>1</v>
      </c>
      <c r="E192" s="5" t="s">
        <v>2539</v>
      </c>
      <c r="F192" s="6" t="str">
        <f t="shared" si="2"/>
        <v>#N/A</v>
      </c>
      <c r="G192" s="1" t="str">
        <f t="shared" si="3"/>
        <v/>
      </c>
      <c r="H192" s="5" t="str">
        <f t="shared" si="4"/>
        <v>NEW ROUTE</v>
      </c>
      <c r="K192" s="1" t="s">
        <v>2069</v>
      </c>
      <c r="L192" s="1" t="s">
        <v>2070</v>
      </c>
    </row>
    <row r="193" ht="12.75" customHeight="1">
      <c r="A193" s="4" t="s">
        <v>1666</v>
      </c>
      <c r="B193" s="5" t="s">
        <v>1666</v>
      </c>
      <c r="C193" s="1" t="str">
        <f t="shared" si="1"/>
        <v/>
      </c>
      <c r="E193" s="5" t="s">
        <v>1666</v>
      </c>
      <c r="F193" s="6" t="str">
        <f t="shared" si="2"/>
        <v>Pokémon Mansion 2F</v>
      </c>
      <c r="G193" s="1" t="str">
        <f t="shared" si="3"/>
        <v>Pokémon Mansion 2F</v>
      </c>
      <c r="H193" s="5" t="str">
        <f t="shared" si="4"/>
        <v>Pokémon Mansion 2F</v>
      </c>
      <c r="K193" s="1" t="s">
        <v>2071</v>
      </c>
      <c r="L193" s="1" t="s">
        <v>2072</v>
      </c>
    </row>
    <row r="194" ht="12.75" customHeight="1">
      <c r="A194" s="4" t="s">
        <v>2799</v>
      </c>
      <c r="B194" s="5">
        <v>0.2</v>
      </c>
      <c r="C194" s="1" t="str">
        <f t="shared" si="1"/>
        <v/>
      </c>
      <c r="E194" s="5">
        <v>0.2</v>
      </c>
      <c r="F194" s="6" t="str">
        <f t="shared" si="2"/>
        <v>#N/A</v>
      </c>
      <c r="G194" s="1" t="str">
        <f t="shared" si="3"/>
        <v/>
      </c>
      <c r="H194" s="5">
        <f t="shared" si="4"/>
        <v>0.2</v>
      </c>
      <c r="K194" s="1" t="s">
        <v>2073</v>
      </c>
      <c r="L194" s="1" t="s">
        <v>2074</v>
      </c>
    </row>
    <row r="195" ht="12.75" customHeight="1">
      <c r="A195" s="4" t="s">
        <v>462</v>
      </c>
      <c r="B195" s="5" t="s">
        <v>462</v>
      </c>
      <c r="C195" s="1" t="str">
        <f t="shared" si="1"/>
        <v/>
      </c>
      <c r="E195" s="5" t="s">
        <v>462</v>
      </c>
      <c r="F195" s="6" t="str">
        <f t="shared" si="2"/>
        <v>#N/A</v>
      </c>
      <c r="G195" s="1" t="str">
        <f t="shared" si="3"/>
        <v/>
      </c>
      <c r="H195" s="5" t="str">
        <f t="shared" si="4"/>
        <v>40, 44, RATTCHET</v>
      </c>
      <c r="K195" s="1" t="s">
        <v>2075</v>
      </c>
      <c r="L195" s="1" t="s">
        <v>2076</v>
      </c>
    </row>
    <row r="196" ht="12.75" customHeight="1">
      <c r="A196" s="4" t="s">
        <v>2888</v>
      </c>
      <c r="B196" s="5" t="s">
        <v>2888</v>
      </c>
      <c r="C196" s="1" t="str">
        <f t="shared" si="1"/>
        <v/>
      </c>
      <c r="E196" s="5" t="s">
        <v>2888</v>
      </c>
      <c r="F196" s="6" t="str">
        <f t="shared" si="2"/>
        <v>#N/A</v>
      </c>
      <c r="G196" s="1" t="str">
        <f t="shared" si="3"/>
        <v/>
      </c>
      <c r="H196" s="5" t="str">
        <f t="shared" si="4"/>
        <v>40, 44, NINETALES</v>
      </c>
      <c r="K196" s="1" t="s">
        <v>2077</v>
      </c>
      <c r="L196" s="1" t="s">
        <v>2078</v>
      </c>
    </row>
    <row r="197" ht="12.75" customHeight="1">
      <c r="A197" s="4" t="s">
        <v>2802</v>
      </c>
      <c r="B197" s="5">
        <v>0.1</v>
      </c>
      <c r="C197" s="1" t="str">
        <f t="shared" si="1"/>
        <v/>
      </c>
      <c r="E197" s="5">
        <v>0.1</v>
      </c>
      <c r="F197" s="6" t="str">
        <f t="shared" si="2"/>
        <v>#N/A</v>
      </c>
      <c r="G197" s="1" t="str">
        <f t="shared" si="3"/>
        <v/>
      </c>
      <c r="H197" s="5">
        <f t="shared" si="4"/>
        <v>0.1</v>
      </c>
      <c r="K197" s="1" t="s">
        <v>2079</v>
      </c>
      <c r="L197" s="1" t="s">
        <v>2080</v>
      </c>
    </row>
    <row r="198" ht="12.75" customHeight="1">
      <c r="A198" s="4" t="s">
        <v>2889</v>
      </c>
      <c r="B198" s="5" t="s">
        <v>2889</v>
      </c>
      <c r="C198" s="1" t="str">
        <f t="shared" si="1"/>
        <v/>
      </c>
      <c r="E198" s="5" t="s">
        <v>2889</v>
      </c>
      <c r="F198" s="6" t="str">
        <f t="shared" si="2"/>
        <v>#N/A</v>
      </c>
      <c r="G198" s="1" t="str">
        <f t="shared" si="3"/>
        <v/>
      </c>
      <c r="H198" s="5" t="str">
        <f t="shared" si="4"/>
        <v>41, 42, ARCANINE</v>
      </c>
      <c r="K198" s="1" t="s">
        <v>2081</v>
      </c>
      <c r="L198" s="1" t="s">
        <v>2082</v>
      </c>
    </row>
    <row r="199" ht="12.75" customHeight="1">
      <c r="A199" s="4" t="s">
        <v>2890</v>
      </c>
      <c r="B199" s="5" t="s">
        <v>2890</v>
      </c>
      <c r="C199" s="1" t="str">
        <f t="shared" si="1"/>
        <v/>
      </c>
      <c r="E199" s="5" t="s">
        <v>2890</v>
      </c>
      <c r="F199" s="6" t="str">
        <f t="shared" si="2"/>
        <v>#N/A</v>
      </c>
      <c r="G199" s="1" t="str">
        <f t="shared" si="3"/>
        <v/>
      </c>
      <c r="H199" s="5" t="str">
        <f t="shared" si="4"/>
        <v>43, 44, ARCANINE</v>
      </c>
      <c r="K199" s="1" t="s">
        <v>2083</v>
      </c>
      <c r="L199" s="1" t="s">
        <v>2084</v>
      </c>
    </row>
    <row r="200" ht="12.75" customHeight="1">
      <c r="A200" s="4" t="s">
        <v>2891</v>
      </c>
      <c r="B200" s="5" t="s">
        <v>2891</v>
      </c>
      <c r="C200" s="1" t="str">
        <f t="shared" si="1"/>
        <v/>
      </c>
      <c r="E200" s="5" t="s">
        <v>2891</v>
      </c>
      <c r="F200" s="6" t="str">
        <f t="shared" si="2"/>
        <v>#N/A</v>
      </c>
      <c r="G200" s="1" t="str">
        <f t="shared" si="3"/>
        <v/>
      </c>
      <c r="H200" s="5" t="str">
        <f t="shared" si="4"/>
        <v>42, 44, WEEZING</v>
      </c>
      <c r="K200" s="1" t="s">
        <v>2085</v>
      </c>
      <c r="L200" s="1" t="s">
        <v>2086</v>
      </c>
    </row>
    <row r="201" ht="12.75" customHeight="1">
      <c r="A201" s="4" t="s">
        <v>2892</v>
      </c>
      <c r="B201" s="5" t="s">
        <v>2892</v>
      </c>
      <c r="C201" s="1" t="str">
        <f t="shared" si="1"/>
        <v/>
      </c>
      <c r="E201" s="5" t="s">
        <v>2892</v>
      </c>
      <c r="F201" s="6" t="str">
        <f t="shared" si="2"/>
        <v>#N/A</v>
      </c>
      <c r="G201" s="1" t="str">
        <f t="shared" si="3"/>
        <v/>
      </c>
      <c r="H201" s="5" t="str">
        <f t="shared" si="4"/>
        <v>42, 44, MUK</v>
      </c>
      <c r="K201" s="1" t="s">
        <v>2087</v>
      </c>
      <c r="L201" s="1" t="s">
        <v>2088</v>
      </c>
    </row>
    <row r="202" ht="12.75" customHeight="1">
      <c r="A202" s="4" t="s">
        <v>2807</v>
      </c>
      <c r="B202" s="5">
        <v>0.05</v>
      </c>
      <c r="C202" s="1" t="str">
        <f t="shared" si="1"/>
        <v/>
      </c>
      <c r="E202" s="5">
        <v>0.05</v>
      </c>
      <c r="F202" s="6" t="str">
        <f t="shared" si="2"/>
        <v>#N/A</v>
      </c>
      <c r="G202" s="1" t="str">
        <f t="shared" si="3"/>
        <v/>
      </c>
      <c r="H202" s="5">
        <f t="shared" si="4"/>
        <v>0.05</v>
      </c>
      <c r="K202" s="1" t="s">
        <v>2089</v>
      </c>
      <c r="L202" s="1" t="s">
        <v>2090</v>
      </c>
    </row>
    <row r="203" ht="12.75" customHeight="1">
      <c r="A203" s="4" t="s">
        <v>2893</v>
      </c>
      <c r="B203" s="5" t="s">
        <v>2893</v>
      </c>
      <c r="C203" s="1" t="str">
        <f t="shared" si="1"/>
        <v/>
      </c>
      <c r="E203" s="5" t="s">
        <v>2893</v>
      </c>
      <c r="F203" s="6" t="str">
        <f t="shared" si="2"/>
        <v>#N/A</v>
      </c>
      <c r="G203" s="1" t="str">
        <f t="shared" si="3"/>
        <v/>
      </c>
      <c r="H203" s="5" t="str">
        <f t="shared" si="4"/>
        <v>43, 45, SINGESHA</v>
      </c>
      <c r="K203" s="1" t="s">
        <v>2091</v>
      </c>
      <c r="L203" s="1" t="s">
        <v>2092</v>
      </c>
    </row>
    <row r="204" ht="12.75" customHeight="1">
      <c r="A204" s="4" t="s">
        <v>2894</v>
      </c>
      <c r="B204" s="5" t="s">
        <v>2894</v>
      </c>
      <c r="C204" s="1" t="str">
        <f t="shared" si="1"/>
        <v/>
      </c>
      <c r="E204" s="5" t="s">
        <v>2894</v>
      </c>
      <c r="F204" s="6" t="str">
        <f t="shared" si="2"/>
        <v>#N/A</v>
      </c>
      <c r="G204" s="1" t="str">
        <f t="shared" si="3"/>
        <v/>
      </c>
      <c r="H204" s="5" t="str">
        <f t="shared" si="4"/>
        <v>43, 45, SPIRITALES</v>
      </c>
      <c r="K204" s="1" t="s">
        <v>2093</v>
      </c>
      <c r="L204" s="1" t="s">
        <v>2094</v>
      </c>
    </row>
    <row r="205" ht="12.75" customHeight="1">
      <c r="A205" s="4" t="s">
        <v>2810</v>
      </c>
      <c r="B205" s="5">
        <v>0.04</v>
      </c>
      <c r="C205" s="1" t="str">
        <f t="shared" si="1"/>
        <v/>
      </c>
      <c r="E205" s="5">
        <v>0.04</v>
      </c>
      <c r="F205" s="6" t="str">
        <f t="shared" si="2"/>
        <v>#N/A</v>
      </c>
      <c r="G205" s="1" t="str">
        <f t="shared" si="3"/>
        <v/>
      </c>
      <c r="H205" s="5">
        <f t="shared" si="4"/>
        <v>0.04</v>
      </c>
      <c r="K205" s="1" t="s">
        <v>2095</v>
      </c>
      <c r="L205" s="1" t="s">
        <v>2096</v>
      </c>
    </row>
    <row r="206" ht="12.75" customHeight="1">
      <c r="A206" s="4" t="s">
        <v>2895</v>
      </c>
      <c r="B206" s="5" t="s">
        <v>2895</v>
      </c>
      <c r="C206" s="1" t="str">
        <f t="shared" si="1"/>
        <v/>
      </c>
      <c r="E206" s="5" t="s">
        <v>2895</v>
      </c>
      <c r="F206" s="6" t="str">
        <f t="shared" si="2"/>
        <v>#N/A</v>
      </c>
      <c r="G206" s="1" t="str">
        <f t="shared" si="3"/>
        <v/>
      </c>
      <c r="H206" s="5" t="str">
        <f t="shared" si="4"/>
        <v>45, 46, GUNK</v>
      </c>
      <c r="K206" s="1" t="s">
        <v>2097</v>
      </c>
      <c r="L206" s="1" t="s">
        <v>2098</v>
      </c>
    </row>
    <row r="207" ht="12.75" customHeight="1">
      <c r="A207" s="4" t="s">
        <v>2896</v>
      </c>
      <c r="B207" s="5" t="s">
        <v>2896</v>
      </c>
      <c r="C207" s="1" t="str">
        <f t="shared" si="1"/>
        <v/>
      </c>
      <c r="E207" s="5" t="s">
        <v>2896</v>
      </c>
      <c r="F207" s="6" t="str">
        <f t="shared" si="2"/>
        <v>#N/A</v>
      </c>
      <c r="G207" s="1" t="str">
        <f t="shared" si="3"/>
        <v/>
      </c>
      <c r="H207" s="5" t="str">
        <f t="shared" si="4"/>
        <v>45, 46, HEEVING</v>
      </c>
      <c r="K207" s="1" t="s">
        <v>2099</v>
      </c>
      <c r="L207" s="1" t="s">
        <v>2100</v>
      </c>
    </row>
    <row r="208" ht="12.75" customHeight="1">
      <c r="A208" s="4" t="s">
        <v>2813</v>
      </c>
      <c r="B208" s="5">
        <v>0.01</v>
      </c>
      <c r="C208" s="1" t="str">
        <f t="shared" si="1"/>
        <v/>
      </c>
      <c r="E208" s="5">
        <v>0.01</v>
      </c>
      <c r="F208" s="6" t="str">
        <f t="shared" si="2"/>
        <v>#N/A</v>
      </c>
      <c r="G208" s="1" t="str">
        <f t="shared" si="3"/>
        <v/>
      </c>
      <c r="H208" s="5">
        <f t="shared" si="4"/>
        <v>0.01</v>
      </c>
      <c r="K208" s="1" t="s">
        <v>2101</v>
      </c>
      <c r="L208" s="1" t="s">
        <v>2102</v>
      </c>
    </row>
    <row r="209" ht="12.75" customHeight="1">
      <c r="A209" s="4" t="s">
        <v>2897</v>
      </c>
      <c r="B209" s="5" t="s">
        <v>2897</v>
      </c>
      <c r="C209" s="1" t="str">
        <f t="shared" si="1"/>
        <v/>
      </c>
      <c r="E209" s="5" t="s">
        <v>2897</v>
      </c>
      <c r="F209" s="6" t="str">
        <f t="shared" si="2"/>
        <v>#N/A</v>
      </c>
      <c r="G209" s="1" t="str">
        <f t="shared" si="3"/>
        <v/>
      </c>
      <c r="H209" s="5" t="str">
        <f t="shared" si="4"/>
        <v>44, 47, RATTARULE</v>
      </c>
      <c r="K209" s="1" t="s">
        <v>2103</v>
      </c>
      <c r="L209" s="1" t="s">
        <v>2104</v>
      </c>
    </row>
    <row r="210" ht="12.75" customHeight="1">
      <c r="A210" s="4" t="s">
        <v>3714</v>
      </c>
      <c r="B210" s="5" t="s">
        <v>3714</v>
      </c>
      <c r="C210" s="1" t="str">
        <f t="shared" si="1"/>
        <v/>
      </c>
      <c r="E210" s="5" t="s">
        <v>3714</v>
      </c>
      <c r="F210" s="6" t="str">
        <f t="shared" si="2"/>
        <v>#N/A</v>
      </c>
      <c r="G210" s="1" t="str">
        <f t="shared" si="3"/>
        <v/>
      </c>
      <c r="H210" s="5" t="str">
        <f t="shared" si="4"/>
        <v>20, 25, CHARMANDER</v>
      </c>
      <c r="K210" s="1" t="s">
        <v>2105</v>
      </c>
      <c r="L210" s="1" t="s">
        <v>2106</v>
      </c>
    </row>
    <row r="211" ht="12.75" customHeight="1">
      <c r="A211" s="4" t="s">
        <v>2539</v>
      </c>
      <c r="B211" s="5" t="s">
        <v>2539</v>
      </c>
      <c r="C211" s="1">
        <f t="shared" si="1"/>
        <v>1</v>
      </c>
      <c r="E211" s="5" t="s">
        <v>2539</v>
      </c>
      <c r="F211" s="6" t="str">
        <f t="shared" si="2"/>
        <v>#N/A</v>
      </c>
      <c r="G211" s="1" t="str">
        <f t="shared" si="3"/>
        <v/>
      </c>
      <c r="H211" s="5" t="str">
        <f t="shared" si="4"/>
        <v>NEW ROUTE</v>
      </c>
      <c r="K211" s="1" t="s">
        <v>2107</v>
      </c>
      <c r="L211" s="1" t="s">
        <v>2108</v>
      </c>
    </row>
    <row r="212" ht="12.75" customHeight="1">
      <c r="A212" s="4" t="s">
        <v>1670</v>
      </c>
      <c r="B212" s="5" t="s">
        <v>1670</v>
      </c>
      <c r="C212" s="1" t="str">
        <f t="shared" si="1"/>
        <v/>
      </c>
      <c r="E212" s="5" t="s">
        <v>1670</v>
      </c>
      <c r="F212" s="6" t="str">
        <f t="shared" si="2"/>
        <v>Pokémon Mansion 3F</v>
      </c>
      <c r="G212" s="1" t="str">
        <f t="shared" si="3"/>
        <v>Pokémon Mansion 3F</v>
      </c>
      <c r="H212" s="5" t="str">
        <f t="shared" si="4"/>
        <v>Pokémon Mansion 3F</v>
      </c>
      <c r="K212" s="1" t="s">
        <v>2109</v>
      </c>
      <c r="L212" s="1" t="s">
        <v>2110</v>
      </c>
    </row>
    <row r="213" ht="12.75" customHeight="1">
      <c r="A213" s="4" t="s">
        <v>2799</v>
      </c>
      <c r="B213" s="5">
        <v>0.2</v>
      </c>
      <c r="C213" s="1" t="str">
        <f t="shared" si="1"/>
        <v/>
      </c>
      <c r="E213" s="5">
        <v>0.2</v>
      </c>
      <c r="F213" s="6" t="str">
        <f t="shared" si="2"/>
        <v>#N/A</v>
      </c>
      <c r="G213" s="1" t="str">
        <f t="shared" si="3"/>
        <v/>
      </c>
      <c r="H213" s="5">
        <f t="shared" si="4"/>
        <v>0.2</v>
      </c>
      <c r="K213" s="1" t="s">
        <v>2111</v>
      </c>
      <c r="L213" s="1" t="s">
        <v>2112</v>
      </c>
    </row>
    <row r="214" ht="12.75" customHeight="1">
      <c r="A214" s="4" t="s">
        <v>462</v>
      </c>
      <c r="B214" s="5" t="s">
        <v>462</v>
      </c>
      <c r="C214" s="1" t="str">
        <f t="shared" si="1"/>
        <v/>
      </c>
      <c r="E214" s="5" t="s">
        <v>462</v>
      </c>
      <c r="F214" s="6" t="str">
        <f t="shared" si="2"/>
        <v>#N/A</v>
      </c>
      <c r="G214" s="1" t="str">
        <f t="shared" si="3"/>
        <v/>
      </c>
      <c r="H214" s="5" t="str">
        <f t="shared" si="4"/>
        <v>40, 44, RATTCHET</v>
      </c>
      <c r="K214" s="1" t="s">
        <v>2113</v>
      </c>
      <c r="L214" s="1" t="s">
        <v>2114</v>
      </c>
    </row>
    <row r="215" ht="12.75" customHeight="1">
      <c r="A215" s="4" t="s">
        <v>2888</v>
      </c>
      <c r="B215" s="5" t="s">
        <v>2888</v>
      </c>
      <c r="C215" s="1" t="str">
        <f t="shared" si="1"/>
        <v/>
      </c>
      <c r="E215" s="5" t="s">
        <v>2888</v>
      </c>
      <c r="F215" s="6" t="str">
        <f t="shared" si="2"/>
        <v>#N/A</v>
      </c>
      <c r="G215" s="1" t="str">
        <f t="shared" si="3"/>
        <v/>
      </c>
      <c r="H215" s="5" t="str">
        <f t="shared" si="4"/>
        <v>40, 44, NINETALES</v>
      </c>
      <c r="K215" s="1" t="s">
        <v>2115</v>
      </c>
      <c r="L215" s="1" t="s">
        <v>2116</v>
      </c>
    </row>
    <row r="216" ht="12.75" customHeight="1">
      <c r="A216" s="4" t="s">
        <v>2802</v>
      </c>
      <c r="B216" s="5">
        <v>0.1</v>
      </c>
      <c r="C216" s="1" t="str">
        <f t="shared" si="1"/>
        <v/>
      </c>
      <c r="E216" s="5">
        <v>0.1</v>
      </c>
      <c r="F216" s="6" t="str">
        <f t="shared" si="2"/>
        <v>#N/A</v>
      </c>
      <c r="G216" s="1" t="str">
        <f t="shared" si="3"/>
        <v/>
      </c>
      <c r="H216" s="5">
        <f t="shared" si="4"/>
        <v>0.1</v>
      </c>
      <c r="K216" s="1" t="s">
        <v>2117</v>
      </c>
      <c r="L216" s="1" t="s">
        <v>2118</v>
      </c>
    </row>
    <row r="217" ht="12.75" customHeight="1">
      <c r="A217" s="4" t="s">
        <v>2889</v>
      </c>
      <c r="B217" s="5" t="s">
        <v>2889</v>
      </c>
      <c r="C217" s="1" t="str">
        <f t="shared" si="1"/>
        <v/>
      </c>
      <c r="E217" s="5" t="s">
        <v>2889</v>
      </c>
      <c r="F217" s="6" t="str">
        <f t="shared" si="2"/>
        <v>#N/A</v>
      </c>
      <c r="G217" s="1" t="str">
        <f t="shared" si="3"/>
        <v/>
      </c>
      <c r="H217" s="5" t="str">
        <f t="shared" si="4"/>
        <v>41, 42, ARCANINE</v>
      </c>
      <c r="K217" s="1" t="s">
        <v>2119</v>
      </c>
      <c r="L217" s="1" t="s">
        <v>2120</v>
      </c>
    </row>
    <row r="218" ht="12.75" customHeight="1">
      <c r="A218" s="4" t="s">
        <v>2890</v>
      </c>
      <c r="B218" s="5" t="s">
        <v>2890</v>
      </c>
      <c r="C218" s="1" t="str">
        <f t="shared" si="1"/>
        <v/>
      </c>
      <c r="E218" s="5" t="s">
        <v>2890</v>
      </c>
      <c r="F218" s="6" t="str">
        <f t="shared" si="2"/>
        <v>#N/A</v>
      </c>
      <c r="G218" s="1" t="str">
        <f t="shared" si="3"/>
        <v/>
      </c>
      <c r="H218" s="5" t="str">
        <f t="shared" si="4"/>
        <v>43, 44, ARCANINE</v>
      </c>
      <c r="K218" s="1" t="s">
        <v>2121</v>
      </c>
      <c r="L218" s="1" t="s">
        <v>2122</v>
      </c>
    </row>
    <row r="219" ht="12.75" customHeight="1">
      <c r="A219" s="4" t="s">
        <v>2891</v>
      </c>
      <c r="B219" s="5" t="s">
        <v>2891</v>
      </c>
      <c r="C219" s="1" t="str">
        <f t="shared" si="1"/>
        <v/>
      </c>
      <c r="E219" s="5" t="s">
        <v>2891</v>
      </c>
      <c r="F219" s="6" t="str">
        <f t="shared" si="2"/>
        <v>#N/A</v>
      </c>
      <c r="G219" s="1" t="str">
        <f t="shared" si="3"/>
        <v/>
      </c>
      <c r="H219" s="5" t="str">
        <f t="shared" si="4"/>
        <v>42, 44, WEEZING</v>
      </c>
      <c r="K219" s="1" t="s">
        <v>2123</v>
      </c>
      <c r="L219" s="1" t="s">
        <v>2124</v>
      </c>
    </row>
    <row r="220" ht="12.75" customHeight="1">
      <c r="A220" s="4" t="s">
        <v>2892</v>
      </c>
      <c r="B220" s="5" t="s">
        <v>2892</v>
      </c>
      <c r="C220" s="1" t="str">
        <f t="shared" si="1"/>
        <v/>
      </c>
      <c r="E220" s="5" t="s">
        <v>2892</v>
      </c>
      <c r="F220" s="6" t="str">
        <f t="shared" si="2"/>
        <v>#N/A</v>
      </c>
      <c r="G220" s="1" t="str">
        <f t="shared" si="3"/>
        <v/>
      </c>
      <c r="H220" s="5" t="str">
        <f t="shared" si="4"/>
        <v>42, 44, MUK</v>
      </c>
      <c r="K220" s="1" t="s">
        <v>2125</v>
      </c>
      <c r="L220" s="1" t="s">
        <v>2126</v>
      </c>
    </row>
    <row r="221" ht="12.75" customHeight="1">
      <c r="A221" s="4" t="s">
        <v>2807</v>
      </c>
      <c r="B221" s="5">
        <v>0.05</v>
      </c>
      <c r="C221" s="1" t="str">
        <f t="shared" si="1"/>
        <v/>
      </c>
      <c r="E221" s="5">
        <v>0.05</v>
      </c>
      <c r="F221" s="6" t="str">
        <f t="shared" si="2"/>
        <v>#N/A</v>
      </c>
      <c r="G221" s="1" t="str">
        <f t="shared" si="3"/>
        <v/>
      </c>
      <c r="H221" s="5">
        <f t="shared" si="4"/>
        <v>0.05</v>
      </c>
      <c r="K221" s="1" t="s">
        <v>2127</v>
      </c>
      <c r="L221" s="1" t="s">
        <v>2128</v>
      </c>
    </row>
    <row r="222" ht="12.75" customHeight="1">
      <c r="A222" s="4" t="s">
        <v>2893</v>
      </c>
      <c r="B222" s="5" t="s">
        <v>2893</v>
      </c>
      <c r="C222" s="1" t="str">
        <f t="shared" si="1"/>
        <v/>
      </c>
      <c r="E222" s="5" t="s">
        <v>2893</v>
      </c>
      <c r="F222" s="6" t="str">
        <f t="shared" si="2"/>
        <v>#N/A</v>
      </c>
      <c r="G222" s="1" t="str">
        <f t="shared" si="3"/>
        <v/>
      </c>
      <c r="H222" s="5" t="str">
        <f t="shared" si="4"/>
        <v>43, 45, SINGESHA</v>
      </c>
      <c r="K222" s="1" t="s">
        <v>2129</v>
      </c>
      <c r="L222" s="1" t="s">
        <v>2130</v>
      </c>
    </row>
    <row r="223" ht="12.75" customHeight="1">
      <c r="A223" s="4" t="s">
        <v>2894</v>
      </c>
      <c r="B223" s="5" t="s">
        <v>2894</v>
      </c>
      <c r="C223" s="1" t="str">
        <f t="shared" si="1"/>
        <v/>
      </c>
      <c r="E223" s="5" t="s">
        <v>2894</v>
      </c>
      <c r="F223" s="6" t="str">
        <f t="shared" si="2"/>
        <v>#N/A</v>
      </c>
      <c r="G223" s="1" t="str">
        <f t="shared" si="3"/>
        <v/>
      </c>
      <c r="H223" s="5" t="str">
        <f t="shared" si="4"/>
        <v>43, 45, SPIRITALES</v>
      </c>
      <c r="K223" s="1" t="s">
        <v>2131</v>
      </c>
      <c r="L223" s="1" t="s">
        <v>2132</v>
      </c>
    </row>
    <row r="224" ht="12.75" customHeight="1">
      <c r="A224" s="4" t="s">
        <v>2810</v>
      </c>
      <c r="B224" s="5">
        <v>0.04</v>
      </c>
      <c r="C224" s="1" t="str">
        <f t="shared" si="1"/>
        <v/>
      </c>
      <c r="E224" s="5">
        <v>0.04</v>
      </c>
      <c r="F224" s="6" t="str">
        <f t="shared" si="2"/>
        <v>#N/A</v>
      </c>
      <c r="G224" s="1" t="str">
        <f t="shared" si="3"/>
        <v/>
      </c>
      <c r="H224" s="5">
        <f t="shared" si="4"/>
        <v>0.04</v>
      </c>
      <c r="K224" s="1" t="s">
        <v>2133</v>
      </c>
      <c r="L224" s="1" t="s">
        <v>2134</v>
      </c>
    </row>
    <row r="225" ht="12.75" customHeight="1">
      <c r="A225" s="4" t="s">
        <v>2895</v>
      </c>
      <c r="B225" s="5" t="s">
        <v>2895</v>
      </c>
      <c r="C225" s="1" t="str">
        <f t="shared" si="1"/>
        <v/>
      </c>
      <c r="E225" s="5" t="s">
        <v>2895</v>
      </c>
      <c r="F225" s="6" t="str">
        <f t="shared" si="2"/>
        <v>#N/A</v>
      </c>
      <c r="G225" s="1" t="str">
        <f t="shared" si="3"/>
        <v/>
      </c>
      <c r="H225" s="5" t="str">
        <f t="shared" si="4"/>
        <v>45, 46, GUNK</v>
      </c>
      <c r="K225" s="1" t="s">
        <v>2135</v>
      </c>
      <c r="L225" s="1" t="s">
        <v>2136</v>
      </c>
    </row>
    <row r="226" ht="12.75" customHeight="1">
      <c r="A226" s="4" t="s">
        <v>2896</v>
      </c>
      <c r="B226" s="5" t="s">
        <v>2896</v>
      </c>
      <c r="C226" s="1" t="str">
        <f t="shared" si="1"/>
        <v/>
      </c>
      <c r="E226" s="5" t="s">
        <v>2896</v>
      </c>
      <c r="F226" s="6" t="str">
        <f t="shared" si="2"/>
        <v>#N/A</v>
      </c>
      <c r="G226" s="1" t="str">
        <f t="shared" si="3"/>
        <v/>
      </c>
      <c r="H226" s="5" t="str">
        <f t="shared" si="4"/>
        <v>45, 46, HEEVING</v>
      </c>
      <c r="K226" s="1" t="s">
        <v>2137</v>
      </c>
      <c r="L226" s="1" t="s">
        <v>2138</v>
      </c>
    </row>
    <row r="227" ht="12.75" customHeight="1">
      <c r="A227" s="4" t="s">
        <v>2813</v>
      </c>
      <c r="B227" s="5">
        <v>0.01</v>
      </c>
      <c r="C227" s="1" t="str">
        <f t="shared" si="1"/>
        <v/>
      </c>
      <c r="E227" s="5">
        <v>0.01</v>
      </c>
      <c r="F227" s="6" t="str">
        <f t="shared" si="2"/>
        <v>#N/A</v>
      </c>
      <c r="G227" s="1" t="str">
        <f t="shared" si="3"/>
        <v/>
      </c>
      <c r="H227" s="5">
        <f t="shared" si="4"/>
        <v>0.01</v>
      </c>
      <c r="K227" s="1" t="s">
        <v>2139</v>
      </c>
      <c r="L227" s="1" t="s">
        <v>2140</v>
      </c>
    </row>
    <row r="228" ht="12.75" customHeight="1">
      <c r="A228" s="4" t="s">
        <v>2897</v>
      </c>
      <c r="B228" s="5" t="s">
        <v>2897</v>
      </c>
      <c r="C228" s="1" t="str">
        <f t="shared" si="1"/>
        <v/>
      </c>
      <c r="E228" s="5" t="s">
        <v>2897</v>
      </c>
      <c r="F228" s="6" t="str">
        <f t="shared" si="2"/>
        <v>#N/A</v>
      </c>
      <c r="G228" s="1" t="str">
        <f t="shared" si="3"/>
        <v/>
      </c>
      <c r="H228" s="5" t="str">
        <f t="shared" si="4"/>
        <v>44, 47, RATTARULE</v>
      </c>
      <c r="K228" s="1" t="s">
        <v>2141</v>
      </c>
      <c r="L228" s="1" t="s">
        <v>2142</v>
      </c>
    </row>
    <row r="229" ht="12.75" customHeight="1">
      <c r="A229" s="4" t="s">
        <v>3714</v>
      </c>
      <c r="B229" s="5" t="s">
        <v>3714</v>
      </c>
      <c r="C229" s="1" t="str">
        <f t="shared" si="1"/>
        <v/>
      </c>
      <c r="E229" s="5" t="s">
        <v>3714</v>
      </c>
      <c r="F229" s="6" t="str">
        <f t="shared" si="2"/>
        <v>#N/A</v>
      </c>
      <c r="G229" s="1" t="str">
        <f t="shared" si="3"/>
        <v/>
      </c>
      <c r="H229" s="5" t="str">
        <f t="shared" si="4"/>
        <v>20, 25, CHARMANDER</v>
      </c>
      <c r="K229" s="1" t="s">
        <v>2143</v>
      </c>
      <c r="L229" s="1" t="s">
        <v>2144</v>
      </c>
    </row>
    <row r="230" ht="12.75" customHeight="1">
      <c r="A230" s="4" t="s">
        <v>2539</v>
      </c>
      <c r="B230" s="5" t="s">
        <v>2539</v>
      </c>
      <c r="C230" s="1">
        <f t="shared" si="1"/>
        <v>1</v>
      </c>
      <c r="E230" s="5" t="s">
        <v>2539</v>
      </c>
      <c r="F230" s="6" t="str">
        <f t="shared" si="2"/>
        <v>#N/A</v>
      </c>
      <c r="G230" s="1" t="str">
        <f t="shared" si="3"/>
        <v/>
      </c>
      <c r="H230" s="5" t="str">
        <f t="shared" si="4"/>
        <v>NEW ROUTE</v>
      </c>
      <c r="K230" s="1" t="s">
        <v>2145</v>
      </c>
      <c r="L230" s="1" t="s">
        <v>2146</v>
      </c>
    </row>
    <row r="231" ht="12.75" customHeight="1">
      <c r="A231" s="4" t="s">
        <v>1674</v>
      </c>
      <c r="B231" s="5" t="s">
        <v>1674</v>
      </c>
      <c r="C231" s="1" t="str">
        <f t="shared" si="1"/>
        <v/>
      </c>
      <c r="E231" s="5" t="s">
        <v>1674</v>
      </c>
      <c r="F231" s="6" t="str">
        <f t="shared" si="2"/>
        <v>Pokémon Mansion B1F</v>
      </c>
      <c r="G231" s="1" t="str">
        <f t="shared" si="3"/>
        <v>Pokémon Mansion B1F</v>
      </c>
      <c r="H231" s="5" t="str">
        <f t="shared" si="4"/>
        <v>Pokémon Mansion B1F</v>
      </c>
      <c r="K231" s="1" t="s">
        <v>2147</v>
      </c>
      <c r="L231" s="1" t="s">
        <v>2148</v>
      </c>
    </row>
    <row r="232" ht="12.75" customHeight="1">
      <c r="A232" s="4" t="s">
        <v>2799</v>
      </c>
      <c r="B232" s="5">
        <v>0.2</v>
      </c>
      <c r="C232" s="1" t="str">
        <f t="shared" si="1"/>
        <v/>
      </c>
      <c r="E232" s="5">
        <v>0.2</v>
      </c>
      <c r="F232" s="6" t="str">
        <f t="shared" si="2"/>
        <v>#N/A</v>
      </c>
      <c r="G232" s="1" t="str">
        <f t="shared" si="3"/>
        <v/>
      </c>
      <c r="H232" s="5">
        <f t="shared" si="4"/>
        <v>0.2</v>
      </c>
      <c r="K232" s="1" t="s">
        <v>2149</v>
      </c>
      <c r="L232" s="1" t="s">
        <v>2150</v>
      </c>
    </row>
    <row r="233" ht="12.75" customHeight="1">
      <c r="A233" s="4" t="s">
        <v>462</v>
      </c>
      <c r="B233" s="5" t="s">
        <v>462</v>
      </c>
      <c r="C233" s="1" t="str">
        <f t="shared" si="1"/>
        <v/>
      </c>
      <c r="E233" s="5" t="s">
        <v>462</v>
      </c>
      <c r="F233" s="6" t="str">
        <f t="shared" si="2"/>
        <v>#N/A</v>
      </c>
      <c r="G233" s="1" t="str">
        <f t="shared" si="3"/>
        <v/>
      </c>
      <c r="H233" s="5" t="str">
        <f t="shared" si="4"/>
        <v>40, 44, RATTCHET</v>
      </c>
      <c r="K233" s="1" t="s">
        <v>2151</v>
      </c>
      <c r="L233" s="1" t="s">
        <v>2152</v>
      </c>
    </row>
    <row r="234" ht="12.75" customHeight="1">
      <c r="A234" s="4" t="s">
        <v>2888</v>
      </c>
      <c r="B234" s="5" t="s">
        <v>2888</v>
      </c>
      <c r="C234" s="1" t="str">
        <f t="shared" si="1"/>
        <v/>
      </c>
      <c r="E234" s="5" t="s">
        <v>2888</v>
      </c>
      <c r="F234" s="6" t="str">
        <f t="shared" si="2"/>
        <v>#N/A</v>
      </c>
      <c r="G234" s="1" t="str">
        <f t="shared" si="3"/>
        <v/>
      </c>
      <c r="H234" s="5" t="str">
        <f t="shared" si="4"/>
        <v>40, 44, NINETALES</v>
      </c>
      <c r="K234" s="1" t="s">
        <v>2153</v>
      </c>
      <c r="L234" s="1" t="s">
        <v>2154</v>
      </c>
    </row>
    <row r="235" ht="12.75" customHeight="1">
      <c r="A235" s="4" t="s">
        <v>2802</v>
      </c>
      <c r="B235" s="5">
        <v>0.1</v>
      </c>
      <c r="C235" s="1" t="str">
        <f t="shared" si="1"/>
        <v/>
      </c>
      <c r="E235" s="5">
        <v>0.1</v>
      </c>
      <c r="F235" s="6" t="str">
        <f t="shared" si="2"/>
        <v>#N/A</v>
      </c>
      <c r="G235" s="1" t="str">
        <f t="shared" si="3"/>
        <v/>
      </c>
      <c r="H235" s="5">
        <f t="shared" si="4"/>
        <v>0.1</v>
      </c>
      <c r="K235" s="1" t="s">
        <v>2155</v>
      </c>
      <c r="L235" s="1" t="s">
        <v>2156</v>
      </c>
    </row>
    <row r="236" ht="12.75" customHeight="1">
      <c r="A236" s="4" t="s">
        <v>2889</v>
      </c>
      <c r="B236" s="5" t="s">
        <v>2889</v>
      </c>
      <c r="C236" s="1" t="str">
        <f t="shared" si="1"/>
        <v/>
      </c>
      <c r="E236" s="5" t="s">
        <v>2889</v>
      </c>
      <c r="F236" s="6" t="str">
        <f t="shared" si="2"/>
        <v>#N/A</v>
      </c>
      <c r="G236" s="1" t="str">
        <f t="shared" si="3"/>
        <v/>
      </c>
      <c r="H236" s="5" t="str">
        <f t="shared" si="4"/>
        <v>41, 42, ARCANINE</v>
      </c>
      <c r="K236" s="1" t="s">
        <v>2157</v>
      </c>
      <c r="L236" s="1" t="s">
        <v>2158</v>
      </c>
    </row>
    <row r="237" ht="12.75" customHeight="1">
      <c r="A237" s="4" t="s">
        <v>2890</v>
      </c>
      <c r="B237" s="5" t="s">
        <v>2890</v>
      </c>
      <c r="C237" s="1" t="str">
        <f t="shared" si="1"/>
        <v/>
      </c>
      <c r="E237" s="5" t="s">
        <v>2890</v>
      </c>
      <c r="F237" s="6" t="str">
        <f t="shared" si="2"/>
        <v>#N/A</v>
      </c>
      <c r="G237" s="1" t="str">
        <f t="shared" si="3"/>
        <v/>
      </c>
      <c r="H237" s="5" t="str">
        <f t="shared" si="4"/>
        <v>43, 44, ARCANINE</v>
      </c>
      <c r="K237" s="1" t="s">
        <v>2159</v>
      </c>
      <c r="L237" s="1" t="s">
        <v>2160</v>
      </c>
    </row>
    <row r="238" ht="12.75" customHeight="1">
      <c r="A238" s="4" t="s">
        <v>2891</v>
      </c>
      <c r="B238" s="5" t="s">
        <v>2891</v>
      </c>
      <c r="C238" s="1" t="str">
        <f t="shared" si="1"/>
        <v/>
      </c>
      <c r="E238" s="5" t="s">
        <v>2891</v>
      </c>
      <c r="F238" s="6" t="str">
        <f t="shared" si="2"/>
        <v>#N/A</v>
      </c>
      <c r="G238" s="1" t="str">
        <f t="shared" si="3"/>
        <v/>
      </c>
      <c r="H238" s="5" t="str">
        <f t="shared" si="4"/>
        <v>42, 44, WEEZING</v>
      </c>
      <c r="K238" s="1" t="s">
        <v>2161</v>
      </c>
      <c r="L238" s="1" t="s">
        <v>2162</v>
      </c>
    </row>
    <row r="239" ht="12.75" customHeight="1">
      <c r="A239" s="4" t="s">
        <v>2892</v>
      </c>
      <c r="B239" s="5" t="s">
        <v>2892</v>
      </c>
      <c r="C239" s="1" t="str">
        <f t="shared" si="1"/>
        <v/>
      </c>
      <c r="E239" s="5" t="s">
        <v>2892</v>
      </c>
      <c r="F239" s="6" t="str">
        <f t="shared" si="2"/>
        <v>#N/A</v>
      </c>
      <c r="G239" s="1" t="str">
        <f t="shared" si="3"/>
        <v/>
      </c>
      <c r="H239" s="5" t="str">
        <f t="shared" si="4"/>
        <v>42, 44, MUK</v>
      </c>
      <c r="K239" s="1" t="s">
        <v>2163</v>
      </c>
      <c r="L239" s="1" t="s">
        <v>2164</v>
      </c>
    </row>
    <row r="240" ht="12.75" customHeight="1">
      <c r="A240" s="4" t="s">
        <v>2807</v>
      </c>
      <c r="B240" s="5">
        <v>0.05</v>
      </c>
      <c r="C240" s="1" t="str">
        <f t="shared" si="1"/>
        <v/>
      </c>
      <c r="E240" s="5">
        <v>0.05</v>
      </c>
      <c r="F240" s="6" t="str">
        <f t="shared" si="2"/>
        <v>#N/A</v>
      </c>
      <c r="G240" s="1" t="str">
        <f t="shared" si="3"/>
        <v/>
      </c>
      <c r="H240" s="5">
        <f t="shared" si="4"/>
        <v>0.05</v>
      </c>
      <c r="K240" s="1" t="s">
        <v>2165</v>
      </c>
      <c r="L240" s="1" t="s">
        <v>2166</v>
      </c>
    </row>
    <row r="241" ht="12.75" customHeight="1">
      <c r="A241" s="4" t="s">
        <v>2902</v>
      </c>
      <c r="B241" s="5" t="s">
        <v>2902</v>
      </c>
      <c r="C241" s="1" t="str">
        <f t="shared" si="1"/>
        <v/>
      </c>
      <c r="E241" s="5" t="s">
        <v>2902</v>
      </c>
      <c r="F241" s="6" t="str">
        <f t="shared" si="2"/>
        <v>#N/A</v>
      </c>
      <c r="G241" s="1" t="str">
        <f t="shared" si="3"/>
        <v/>
      </c>
      <c r="H241" s="5" t="str">
        <f t="shared" si="4"/>
        <v>43, 45, GUNK</v>
      </c>
      <c r="K241" s="1" t="s">
        <v>2167</v>
      </c>
      <c r="L241" s="1" t="s">
        <v>2168</v>
      </c>
    </row>
    <row r="242" ht="12.75" customHeight="1">
      <c r="A242" s="4" t="s">
        <v>2903</v>
      </c>
      <c r="B242" s="5" t="s">
        <v>2903</v>
      </c>
      <c r="C242" s="1" t="str">
        <f t="shared" si="1"/>
        <v/>
      </c>
      <c r="E242" s="5" t="s">
        <v>2903</v>
      </c>
      <c r="F242" s="6" t="str">
        <f t="shared" si="2"/>
        <v>#N/A</v>
      </c>
      <c r="G242" s="1" t="str">
        <f t="shared" si="3"/>
        <v/>
      </c>
      <c r="H242" s="5" t="str">
        <f t="shared" si="4"/>
        <v>43, 45, HEEVING</v>
      </c>
      <c r="K242" s="1" t="s">
        <v>2169</v>
      </c>
      <c r="L242" s="1" t="s">
        <v>2170</v>
      </c>
    </row>
    <row r="243" ht="12.75" customHeight="1">
      <c r="A243" s="4" t="s">
        <v>2810</v>
      </c>
      <c r="B243" s="5">
        <v>0.04</v>
      </c>
      <c r="C243" s="1" t="str">
        <f t="shared" si="1"/>
        <v/>
      </c>
      <c r="E243" s="5">
        <v>0.04</v>
      </c>
      <c r="F243" s="6" t="str">
        <f t="shared" si="2"/>
        <v>#N/A</v>
      </c>
      <c r="G243" s="1" t="str">
        <f t="shared" si="3"/>
        <v/>
      </c>
      <c r="H243" s="5">
        <f t="shared" si="4"/>
        <v>0.04</v>
      </c>
      <c r="K243" s="1" t="s">
        <v>2171</v>
      </c>
      <c r="L243" s="1" t="s">
        <v>2172</v>
      </c>
    </row>
    <row r="244" ht="12.75" customHeight="1">
      <c r="A244" s="4" t="s">
        <v>2904</v>
      </c>
      <c r="B244" s="5" t="s">
        <v>2904</v>
      </c>
      <c r="C244" s="1" t="str">
        <f t="shared" si="1"/>
        <v/>
      </c>
      <c r="E244" s="5" t="s">
        <v>2904</v>
      </c>
      <c r="F244" s="6" t="str">
        <f t="shared" si="2"/>
        <v>#N/A</v>
      </c>
      <c r="G244" s="1" t="str">
        <f t="shared" si="3"/>
        <v/>
      </c>
      <c r="H244" s="5" t="str">
        <f t="shared" si="4"/>
        <v>45, 46, RATTARULE</v>
      </c>
      <c r="K244" s="1" t="s">
        <v>2173</v>
      </c>
      <c r="L244" s="1" t="s">
        <v>2174</v>
      </c>
    </row>
    <row r="245" ht="12.75" customHeight="1">
      <c r="A245" s="4" t="s">
        <v>2905</v>
      </c>
      <c r="B245" s="5" t="s">
        <v>2905</v>
      </c>
      <c r="C245" s="1" t="str">
        <f t="shared" si="1"/>
        <v/>
      </c>
      <c r="E245" s="5" t="s">
        <v>2905</v>
      </c>
      <c r="F245" s="6" t="str">
        <f t="shared" si="2"/>
        <v>#N/A</v>
      </c>
      <c r="G245" s="1" t="str">
        <f t="shared" si="3"/>
        <v/>
      </c>
      <c r="H245" s="5" t="str">
        <f t="shared" si="4"/>
        <v>45, 46, DITTO</v>
      </c>
      <c r="K245" s="1" t="s">
        <v>2175</v>
      </c>
      <c r="L245" s="1" t="s">
        <v>2176</v>
      </c>
    </row>
    <row r="246" ht="12.75" customHeight="1">
      <c r="A246" s="4" t="s">
        <v>2813</v>
      </c>
      <c r="B246" s="5">
        <v>0.01</v>
      </c>
      <c r="C246" s="1" t="str">
        <f t="shared" si="1"/>
        <v/>
      </c>
      <c r="E246" s="5">
        <v>0.01</v>
      </c>
      <c r="F246" s="6" t="str">
        <f t="shared" si="2"/>
        <v>#N/A</v>
      </c>
      <c r="G246" s="1" t="str">
        <f t="shared" si="3"/>
        <v/>
      </c>
      <c r="H246" s="5">
        <f t="shared" si="4"/>
        <v>0.01</v>
      </c>
      <c r="K246" s="1" t="s">
        <v>2177</v>
      </c>
      <c r="L246" s="1" t="s">
        <v>2178</v>
      </c>
    </row>
    <row r="247" ht="12.75" customHeight="1">
      <c r="A247" s="4" t="s">
        <v>2906</v>
      </c>
      <c r="B247" s="5" t="s">
        <v>2906</v>
      </c>
      <c r="C247" s="1" t="str">
        <f t="shared" si="1"/>
        <v/>
      </c>
      <c r="E247" s="5" t="s">
        <v>2906</v>
      </c>
      <c r="F247" s="6" t="str">
        <f t="shared" si="2"/>
        <v>#N/A</v>
      </c>
      <c r="G247" s="1" t="str">
        <f t="shared" si="3"/>
        <v/>
      </c>
      <c r="H247" s="5" t="str">
        <f t="shared" si="4"/>
        <v>20, 25, KABUTO</v>
      </c>
      <c r="K247" s="1" t="s">
        <v>2179</v>
      </c>
      <c r="L247" s="1" t="s">
        <v>2180</v>
      </c>
    </row>
    <row r="248" ht="12.75" customHeight="1">
      <c r="A248" s="4" t="s">
        <v>3715</v>
      </c>
      <c r="B248" s="5" t="s">
        <v>3715</v>
      </c>
      <c r="C248" s="1" t="str">
        <f t="shared" si="1"/>
        <v/>
      </c>
      <c r="E248" s="5" t="s">
        <v>3715</v>
      </c>
      <c r="F248" s="6" t="str">
        <f t="shared" si="2"/>
        <v>#N/A</v>
      </c>
      <c r="G248" s="1" t="str">
        <f t="shared" si="3"/>
        <v/>
      </c>
      <c r="H248" s="5" t="str">
        <f t="shared" si="4"/>
        <v>20, 25, OMANYTE</v>
      </c>
      <c r="K248" s="1" t="s">
        <v>2181</v>
      </c>
      <c r="L248" s="1" t="s">
        <v>2182</v>
      </c>
    </row>
    <row r="249" ht="12.75" customHeight="1">
      <c r="A249" s="4" t="s">
        <v>2539</v>
      </c>
      <c r="B249" s="5" t="s">
        <v>2539</v>
      </c>
      <c r="C249" s="1">
        <f t="shared" si="1"/>
        <v>1</v>
      </c>
      <c r="E249" s="5" t="s">
        <v>2539</v>
      </c>
      <c r="F249" s="6" t="str">
        <f t="shared" si="2"/>
        <v>#N/A</v>
      </c>
      <c r="G249" s="1" t="str">
        <f t="shared" si="3"/>
        <v/>
      </c>
      <c r="H249" s="5" t="str">
        <f t="shared" si="4"/>
        <v>NEW ROUTE</v>
      </c>
      <c r="K249" s="1" t="s">
        <v>2183</v>
      </c>
      <c r="L249" s="1" t="s">
        <v>2184</v>
      </c>
    </row>
    <row r="250" ht="12.75" customHeight="1">
      <c r="A250" s="4" t="s">
        <v>1678</v>
      </c>
      <c r="B250" s="5" t="s">
        <v>1678</v>
      </c>
      <c r="C250" s="1" t="str">
        <f t="shared" si="1"/>
        <v/>
      </c>
      <c r="E250" s="5" t="s">
        <v>1678</v>
      </c>
      <c r="F250" s="6" t="str">
        <f t="shared" si="2"/>
        <v>Safari Zone Center</v>
      </c>
      <c r="G250" s="1" t="str">
        <f t="shared" si="3"/>
        <v>Safari Zone Center</v>
      </c>
      <c r="H250" s="5" t="str">
        <f t="shared" si="4"/>
        <v>Safari Zone Center</v>
      </c>
      <c r="K250" s="1" t="s">
        <v>2185</v>
      </c>
      <c r="L250" s="1" t="s">
        <v>2186</v>
      </c>
    </row>
    <row r="251" ht="12.75" customHeight="1">
      <c r="A251" s="4" t="s">
        <v>2799</v>
      </c>
      <c r="B251" s="5">
        <v>0.2</v>
      </c>
      <c r="C251" s="1" t="str">
        <f t="shared" si="1"/>
        <v/>
      </c>
      <c r="E251" s="5">
        <v>0.2</v>
      </c>
      <c r="F251" s="6" t="str">
        <f t="shared" si="2"/>
        <v>#N/A</v>
      </c>
      <c r="G251" s="1" t="str">
        <f t="shared" si="3"/>
        <v/>
      </c>
      <c r="H251" s="5">
        <f t="shared" si="4"/>
        <v>0.2</v>
      </c>
      <c r="K251" s="1" t="s">
        <v>2187</v>
      </c>
      <c r="L251" s="1" t="s">
        <v>2188</v>
      </c>
    </row>
    <row r="252" ht="12.75" customHeight="1">
      <c r="A252" s="4" t="s">
        <v>484</v>
      </c>
      <c r="B252" s="5" t="s">
        <v>484</v>
      </c>
      <c r="C252" s="1" t="str">
        <f t="shared" si="1"/>
        <v/>
      </c>
      <c r="E252" s="5" t="s">
        <v>484</v>
      </c>
      <c r="F252" s="6" t="str">
        <f t="shared" si="2"/>
        <v>#N/A</v>
      </c>
      <c r="G252" s="1" t="str">
        <f t="shared" si="3"/>
        <v/>
      </c>
      <c r="H252" s="5" t="str">
        <f t="shared" si="4"/>
        <v>35, 40, NIDOKING</v>
      </c>
      <c r="K252" s="1" t="s">
        <v>2189</v>
      </c>
      <c r="L252" s="1" t="s">
        <v>2190</v>
      </c>
    </row>
    <row r="253" ht="12.75" customHeight="1">
      <c r="A253" s="4" t="s">
        <v>2910</v>
      </c>
      <c r="B253" s="5" t="s">
        <v>2910</v>
      </c>
      <c r="C253" s="1" t="str">
        <f t="shared" si="1"/>
        <v/>
      </c>
      <c r="E253" s="5" t="s">
        <v>2910</v>
      </c>
      <c r="F253" s="6" t="str">
        <f t="shared" si="2"/>
        <v>#N/A</v>
      </c>
      <c r="G253" s="1" t="str">
        <f t="shared" si="3"/>
        <v/>
      </c>
      <c r="H253" s="5" t="str">
        <f t="shared" si="4"/>
        <v>35, 40, NIDOQUEEN</v>
      </c>
      <c r="K253" s="1" t="s">
        <v>2191</v>
      </c>
      <c r="L253" s="1" t="s">
        <v>2192</v>
      </c>
    </row>
    <row r="254" ht="12.75" customHeight="1">
      <c r="A254" s="4" t="s">
        <v>2802</v>
      </c>
      <c r="B254" s="5">
        <v>0.1</v>
      </c>
      <c r="C254" s="1" t="str">
        <f t="shared" si="1"/>
        <v/>
      </c>
      <c r="E254" s="5">
        <v>0.1</v>
      </c>
      <c r="F254" s="6" t="str">
        <f t="shared" si="2"/>
        <v>#N/A</v>
      </c>
      <c r="G254" s="1" t="str">
        <f t="shared" si="3"/>
        <v/>
      </c>
      <c r="H254" s="5">
        <f t="shared" si="4"/>
        <v>0.1</v>
      </c>
      <c r="K254" s="1" t="s">
        <v>2193</v>
      </c>
      <c r="L254" s="1" t="s">
        <v>2194</v>
      </c>
    </row>
    <row r="255" ht="12.75" customHeight="1">
      <c r="A255" s="4" t="s">
        <v>2911</v>
      </c>
      <c r="B255" s="5" t="s">
        <v>2911</v>
      </c>
      <c r="C255" s="1" t="str">
        <f t="shared" si="1"/>
        <v/>
      </c>
      <c r="E255" s="5" t="s">
        <v>2911</v>
      </c>
      <c r="F255" s="6" t="str">
        <f t="shared" si="2"/>
        <v>#N/A</v>
      </c>
      <c r="G255" s="1" t="str">
        <f t="shared" si="3"/>
        <v/>
      </c>
      <c r="H255" s="5" t="str">
        <f t="shared" si="4"/>
        <v>36, 41, PARASECT</v>
      </c>
      <c r="K255" s="1" t="s">
        <v>2195</v>
      </c>
      <c r="L255" s="1" t="s">
        <v>2196</v>
      </c>
    </row>
    <row r="256" ht="12.75" customHeight="1">
      <c r="A256" s="4" t="s">
        <v>2912</v>
      </c>
      <c r="B256" s="5" t="s">
        <v>2912</v>
      </c>
      <c r="C256" s="1" t="str">
        <f t="shared" si="1"/>
        <v/>
      </c>
      <c r="E256" s="5" t="s">
        <v>2912</v>
      </c>
      <c r="F256" s="6" t="str">
        <f t="shared" si="2"/>
        <v>#N/A</v>
      </c>
      <c r="G256" s="1" t="str">
        <f t="shared" si="3"/>
        <v/>
      </c>
      <c r="H256" s="5" t="str">
        <f t="shared" si="4"/>
        <v>36, 41, VENOMOTH</v>
      </c>
      <c r="K256" s="1" t="s">
        <v>2197</v>
      </c>
      <c r="L256" s="1" t="s">
        <v>2198</v>
      </c>
    </row>
    <row r="257" ht="12.75" customHeight="1">
      <c r="A257" s="4" t="s">
        <v>2913</v>
      </c>
      <c r="B257" s="5" t="s">
        <v>2913</v>
      </c>
      <c r="C257" s="1" t="str">
        <f t="shared" si="1"/>
        <v/>
      </c>
      <c r="E257" s="5" t="s">
        <v>2913</v>
      </c>
      <c r="F257" s="6" t="str">
        <f t="shared" si="2"/>
        <v>#N/A</v>
      </c>
      <c r="G257" s="1" t="str">
        <f t="shared" si="3"/>
        <v/>
      </c>
      <c r="H257" s="5" t="str">
        <f t="shared" si="4"/>
        <v>36, 41, EXEGGUTOR</v>
      </c>
      <c r="K257" s="1" t="s">
        <v>2199</v>
      </c>
      <c r="L257" s="1" t="s">
        <v>2200</v>
      </c>
    </row>
    <row r="258" ht="12.75" customHeight="1">
      <c r="A258" s="4" t="s">
        <v>2914</v>
      </c>
      <c r="B258" s="5" t="s">
        <v>2914</v>
      </c>
      <c r="C258" s="1" t="str">
        <f t="shared" si="1"/>
        <v/>
      </c>
      <c r="E258" s="5" t="s">
        <v>2914</v>
      </c>
      <c r="F258" s="6" t="str">
        <f t="shared" si="2"/>
        <v>#N/A</v>
      </c>
      <c r="G258" s="1" t="str">
        <f t="shared" si="3"/>
        <v/>
      </c>
      <c r="H258" s="5" t="str">
        <f t="shared" si="4"/>
        <v>36, 41, RHYDON</v>
      </c>
      <c r="K258" s="1" t="s">
        <v>2201</v>
      </c>
      <c r="L258" s="1" t="s">
        <v>2202</v>
      </c>
    </row>
    <row r="259" ht="12.75" customHeight="1">
      <c r="A259" s="4" t="s">
        <v>2807</v>
      </c>
      <c r="B259" s="5">
        <v>0.05</v>
      </c>
      <c r="C259" s="1" t="str">
        <f t="shared" si="1"/>
        <v/>
      </c>
      <c r="E259" s="5">
        <v>0.05</v>
      </c>
      <c r="F259" s="6" t="str">
        <f t="shared" si="2"/>
        <v>#N/A</v>
      </c>
      <c r="G259" s="1" t="str">
        <f t="shared" si="3"/>
        <v/>
      </c>
      <c r="H259" s="5">
        <f t="shared" si="4"/>
        <v>0.05</v>
      </c>
      <c r="K259" s="1" t="s">
        <v>2203</v>
      </c>
      <c r="L259" s="1" t="s">
        <v>2204</v>
      </c>
    </row>
    <row r="260" ht="12.75" customHeight="1">
      <c r="A260" s="4" t="s">
        <v>2915</v>
      </c>
      <c r="B260" s="5" t="s">
        <v>2915</v>
      </c>
      <c r="C260" s="1" t="str">
        <f t="shared" si="1"/>
        <v/>
      </c>
      <c r="E260" s="5" t="s">
        <v>2915</v>
      </c>
      <c r="F260" s="6" t="str">
        <f t="shared" si="2"/>
        <v>#N/A</v>
      </c>
      <c r="G260" s="1" t="str">
        <f t="shared" si="3"/>
        <v/>
      </c>
      <c r="H260" s="5" t="str">
        <f t="shared" si="4"/>
        <v>37, 39, SCIZOR</v>
      </c>
      <c r="K260" s="1" t="s">
        <v>2205</v>
      </c>
      <c r="L260" s="1" t="s">
        <v>2206</v>
      </c>
    </row>
    <row r="261" ht="12.75" customHeight="1">
      <c r="A261" s="4" t="s">
        <v>2916</v>
      </c>
      <c r="B261" s="5" t="s">
        <v>2916</v>
      </c>
      <c r="C261" s="1" t="str">
        <f t="shared" si="1"/>
        <v/>
      </c>
      <c r="E261" s="5" t="s">
        <v>2916</v>
      </c>
      <c r="F261" s="6" t="str">
        <f t="shared" si="2"/>
        <v>#N/A</v>
      </c>
      <c r="G261" s="1" t="str">
        <f t="shared" si="3"/>
        <v/>
      </c>
      <c r="H261" s="5" t="str">
        <f t="shared" si="4"/>
        <v>37, 39, PINSIRIOR</v>
      </c>
      <c r="K261" s="1" t="s">
        <v>2207</v>
      </c>
      <c r="L261" s="1" t="s">
        <v>2208</v>
      </c>
    </row>
    <row r="262" ht="12.75" customHeight="1">
      <c r="A262" s="4" t="s">
        <v>2810</v>
      </c>
      <c r="B262" s="5">
        <v>0.04</v>
      </c>
      <c r="C262" s="1" t="str">
        <f t="shared" si="1"/>
        <v/>
      </c>
      <c r="E262" s="5">
        <v>0.04</v>
      </c>
      <c r="F262" s="6" t="str">
        <f t="shared" si="2"/>
        <v>#N/A</v>
      </c>
      <c r="G262" s="1" t="str">
        <f t="shared" si="3"/>
        <v/>
      </c>
      <c r="H262" s="5">
        <f t="shared" si="4"/>
        <v>0.04</v>
      </c>
      <c r="K262" s="1" t="s">
        <v>2209</v>
      </c>
      <c r="L262" s="1" t="s">
        <v>2210</v>
      </c>
    </row>
    <row r="263" ht="12.75" customHeight="1">
      <c r="A263" s="4" t="s">
        <v>2917</v>
      </c>
      <c r="B263" s="5" t="s">
        <v>2917</v>
      </c>
      <c r="C263" s="1" t="str">
        <f t="shared" si="1"/>
        <v/>
      </c>
      <c r="E263" s="5" t="s">
        <v>2917</v>
      </c>
      <c r="F263" s="6" t="str">
        <f t="shared" si="2"/>
        <v>#N/A</v>
      </c>
      <c r="G263" s="1" t="str">
        <f t="shared" si="3"/>
        <v/>
      </c>
      <c r="H263" s="5" t="str">
        <f t="shared" si="4"/>
        <v>38, 42, CHANSEY</v>
      </c>
      <c r="K263" s="1" t="s">
        <v>2211</v>
      </c>
      <c r="L263" s="1" t="s">
        <v>2212</v>
      </c>
    </row>
    <row r="264" ht="12.75" customHeight="1">
      <c r="A264" s="4" t="s">
        <v>2918</v>
      </c>
      <c r="B264" s="5" t="s">
        <v>2918</v>
      </c>
      <c r="C264" s="1" t="str">
        <f t="shared" si="1"/>
        <v/>
      </c>
      <c r="E264" s="5" t="s">
        <v>2918</v>
      </c>
      <c r="F264" s="6" t="str">
        <f t="shared" si="2"/>
        <v>#N/A</v>
      </c>
      <c r="G264" s="1" t="str">
        <f t="shared" si="3"/>
        <v/>
      </c>
      <c r="H264" s="5" t="str">
        <f t="shared" si="4"/>
        <v>38, 42, JOLTEON</v>
      </c>
      <c r="K264" s="1" t="s">
        <v>2213</v>
      </c>
      <c r="L264" s="1" t="s">
        <v>2214</v>
      </c>
    </row>
    <row r="265" ht="12.75" customHeight="1">
      <c r="A265" s="4" t="s">
        <v>2813</v>
      </c>
      <c r="B265" s="5">
        <v>0.01</v>
      </c>
      <c r="C265" s="1" t="str">
        <f t="shared" si="1"/>
        <v/>
      </c>
      <c r="E265" s="5">
        <v>0.01</v>
      </c>
      <c r="F265" s="6" t="str">
        <f t="shared" si="2"/>
        <v>#N/A</v>
      </c>
      <c r="G265" s="1" t="str">
        <f t="shared" si="3"/>
        <v/>
      </c>
      <c r="H265" s="5">
        <f t="shared" si="4"/>
        <v>0.01</v>
      </c>
      <c r="K265" s="1" t="s">
        <v>2215</v>
      </c>
      <c r="L265" s="1" t="s">
        <v>2216</v>
      </c>
    </row>
    <row r="266" ht="12.75" customHeight="1">
      <c r="A266" s="4" t="s">
        <v>2919</v>
      </c>
      <c r="B266" s="5" t="s">
        <v>2919</v>
      </c>
      <c r="C266" s="1" t="str">
        <f t="shared" si="1"/>
        <v/>
      </c>
      <c r="E266" s="5" t="s">
        <v>2919</v>
      </c>
      <c r="F266" s="6" t="str">
        <f t="shared" si="2"/>
        <v>#N/A</v>
      </c>
      <c r="G266" s="1" t="str">
        <f t="shared" si="3"/>
        <v/>
      </c>
      <c r="H266" s="5" t="str">
        <f t="shared" si="4"/>
        <v>40, 40, BLISSEY</v>
      </c>
      <c r="K266" s="1" t="s">
        <v>2217</v>
      </c>
      <c r="L266" s="1" t="s">
        <v>2218</v>
      </c>
    </row>
    <row r="267" ht="12.75" customHeight="1">
      <c r="A267" s="4" t="s">
        <v>2920</v>
      </c>
      <c r="B267" s="5" t="s">
        <v>2920</v>
      </c>
      <c r="C267" s="1" t="str">
        <f t="shared" si="1"/>
        <v/>
      </c>
      <c r="E267" s="5" t="s">
        <v>2920</v>
      </c>
      <c r="F267" s="6" t="str">
        <f t="shared" si="2"/>
        <v>#N/A</v>
      </c>
      <c r="G267" s="1" t="str">
        <f t="shared" si="3"/>
        <v/>
      </c>
      <c r="H267" s="5" t="str">
        <f t="shared" si="4"/>
        <v>40, 40, RHYPERIOR</v>
      </c>
      <c r="K267" s="1" t="s">
        <v>2219</v>
      </c>
      <c r="L267" s="1" t="s">
        <v>2220</v>
      </c>
    </row>
    <row r="268" ht="12.75" customHeight="1">
      <c r="A268" s="4" t="s">
        <v>2921</v>
      </c>
      <c r="B268" s="5" t="s">
        <v>2921</v>
      </c>
      <c r="C268" s="1" t="str">
        <f t="shared" si="1"/>
        <v/>
      </c>
      <c r="E268" s="5" t="s">
        <v>2921</v>
      </c>
      <c r="F268" s="6" t="str">
        <f t="shared" si="2"/>
        <v>#N/A</v>
      </c>
      <c r="G268" s="1" t="str">
        <f t="shared" si="3"/>
        <v/>
      </c>
      <c r="H268" s="5" t="str">
        <f t="shared" si="4"/>
        <v>2, 38, 42, SLOWPOKE</v>
      </c>
      <c r="K268" s="1" t="s">
        <v>2221</v>
      </c>
      <c r="L268" s="1" t="s">
        <v>2222</v>
      </c>
    </row>
    <row r="269" ht="12.75" customHeight="1">
      <c r="A269" s="4" t="s">
        <v>2922</v>
      </c>
      <c r="B269" s="5" t="s">
        <v>2922</v>
      </c>
      <c r="C269" s="1" t="str">
        <f t="shared" si="1"/>
        <v/>
      </c>
      <c r="E269" s="5" t="s">
        <v>2922</v>
      </c>
      <c r="F269" s="6" t="str">
        <f t="shared" si="2"/>
        <v>#N/A</v>
      </c>
      <c r="G269" s="1" t="str">
        <f t="shared" si="3"/>
        <v/>
      </c>
      <c r="H269" s="5" t="str">
        <f t="shared" si="4"/>
        <v>40, 42, PSYDUCK</v>
      </c>
      <c r="K269" s="1" t="s">
        <v>2223</v>
      </c>
      <c r="L269" s="1" t="s">
        <v>2224</v>
      </c>
    </row>
    <row r="270" ht="12.75" customHeight="1">
      <c r="A270" s="4" t="s">
        <v>2923</v>
      </c>
      <c r="B270" s="5" t="s">
        <v>2923</v>
      </c>
      <c r="C270" s="1" t="str">
        <f t="shared" si="1"/>
        <v/>
      </c>
      <c r="E270" s="5" t="s">
        <v>2923</v>
      </c>
      <c r="F270" s="6" t="str">
        <f t="shared" si="2"/>
        <v>#N/A</v>
      </c>
      <c r="G270" s="1" t="str">
        <f t="shared" si="3"/>
        <v/>
      </c>
      <c r="H270" s="5" t="str">
        <f t="shared" si="4"/>
        <v>42, 46, SLOWBRO</v>
      </c>
      <c r="K270" s="1" t="s">
        <v>2225</v>
      </c>
      <c r="L270" s="1" t="s">
        <v>2226</v>
      </c>
    </row>
    <row r="271" ht="12.75" customHeight="1">
      <c r="A271" s="4" t="s">
        <v>2924</v>
      </c>
      <c r="B271" s="5" t="s">
        <v>2924</v>
      </c>
      <c r="C271" s="1" t="str">
        <f t="shared" si="1"/>
        <v/>
      </c>
      <c r="E271" s="5" t="s">
        <v>2924</v>
      </c>
      <c r="F271" s="6" t="str">
        <f t="shared" si="2"/>
        <v>#N/A</v>
      </c>
      <c r="G271" s="1" t="str">
        <f t="shared" si="3"/>
        <v/>
      </c>
      <c r="H271" s="5" t="str">
        <f t="shared" si="4"/>
        <v>42, 46, GOLDUCK</v>
      </c>
      <c r="K271" s="1" t="s">
        <v>2227</v>
      </c>
      <c r="L271" s="1" t="s">
        <v>2228</v>
      </c>
    </row>
    <row r="272" ht="12.75" customHeight="1">
      <c r="A272" s="4" t="s">
        <v>2925</v>
      </c>
      <c r="B272" s="5" t="s">
        <v>2925</v>
      </c>
      <c r="C272" s="1" t="str">
        <f t="shared" si="1"/>
        <v/>
      </c>
      <c r="E272" s="5" t="s">
        <v>2925</v>
      </c>
      <c r="F272" s="6" t="str">
        <f t="shared" si="2"/>
        <v>#N/A</v>
      </c>
      <c r="G272" s="1" t="str">
        <f t="shared" si="3"/>
        <v/>
      </c>
      <c r="H272" s="5" t="str">
        <f t="shared" si="4"/>
        <v>44, 48, VAPOREON</v>
      </c>
      <c r="K272" s="1" t="s">
        <v>2229</v>
      </c>
      <c r="L272" s="1" t="s">
        <v>2230</v>
      </c>
    </row>
    <row r="273" ht="12.75" customHeight="1">
      <c r="A273" s="4" t="s">
        <v>2926</v>
      </c>
      <c r="B273" s="5" t="s">
        <v>2926</v>
      </c>
      <c r="C273" s="1" t="str">
        <f t="shared" si="1"/>
        <v/>
      </c>
      <c r="E273" s="5" t="s">
        <v>2926</v>
      </c>
      <c r="F273" s="6" t="str">
        <f t="shared" si="2"/>
        <v>#N/A</v>
      </c>
      <c r="G273" s="1" t="str">
        <f t="shared" si="3"/>
        <v/>
      </c>
      <c r="H273" s="5" t="str">
        <f t="shared" si="4"/>
        <v>20, old rod:</v>
      </c>
      <c r="K273" s="1" t="s">
        <v>2231</v>
      </c>
      <c r="L273" s="1" t="s">
        <v>2232</v>
      </c>
    </row>
    <row r="274" ht="12.75" customHeight="1">
      <c r="A274" s="4" t="s">
        <v>500</v>
      </c>
      <c r="B274" s="5" t="s">
        <v>500</v>
      </c>
      <c r="C274" s="1" t="str">
        <f t="shared" si="1"/>
        <v/>
      </c>
      <c r="E274" s="5" t="s">
        <v>500</v>
      </c>
      <c r="F274" s="6" t="str">
        <f t="shared" si="2"/>
        <v>#N/A</v>
      </c>
      <c r="G274" s="1" t="str">
        <f t="shared" si="3"/>
        <v/>
      </c>
      <c r="H274" s="5" t="str">
        <f t="shared" si="4"/>
        <v>19, 26, MAGIKARP</v>
      </c>
      <c r="K274" s="1" t="s">
        <v>2233</v>
      </c>
      <c r="L274" s="1" t="s">
        <v>2234</v>
      </c>
    </row>
    <row r="275" ht="12.75" customHeight="1">
      <c r="A275" s="4" t="s">
        <v>2927</v>
      </c>
      <c r="B275" s="5" t="s">
        <v>2927</v>
      </c>
      <c r="C275" s="1" t="str">
        <f t="shared" si="1"/>
        <v/>
      </c>
      <c r="E275" s="5" t="s">
        <v>2927</v>
      </c>
      <c r="F275" s="6" t="str">
        <f t="shared" si="2"/>
        <v>#N/A</v>
      </c>
      <c r="G275" s="1" t="str">
        <f t="shared" si="3"/>
        <v/>
      </c>
      <c r="H275" s="5" t="str">
        <f t="shared" si="4"/>
        <v>19, 26, POLIWAG</v>
      </c>
      <c r="K275" s="1" t="s">
        <v>2235</v>
      </c>
      <c r="L275" s="1" t="s">
        <v>2236</v>
      </c>
    </row>
    <row r="276" ht="12.75" customHeight="1">
      <c r="A276" s="4" t="s">
        <v>2847</v>
      </c>
      <c r="B276" s="5" t="s">
        <v>2847</v>
      </c>
      <c r="C276" s="1" t="str">
        <f t="shared" si="1"/>
        <v/>
      </c>
      <c r="E276" s="5" t="s">
        <v>2847</v>
      </c>
      <c r="F276" s="6" t="str">
        <f t="shared" si="2"/>
        <v>#N/A</v>
      </c>
      <c r="G276" s="1" t="str">
        <f t="shared" si="3"/>
        <v/>
      </c>
      <c r="H276" s="5" t="str">
        <f t="shared" si="4"/>
        <v>good rod:</v>
      </c>
      <c r="K276" s="1" t="s">
        <v>2237</v>
      </c>
      <c r="L276" s="1" t="s">
        <v>2238</v>
      </c>
    </row>
    <row r="277" ht="12.75" customHeight="1">
      <c r="A277" s="4" t="s">
        <v>2928</v>
      </c>
      <c r="B277" s="5" t="s">
        <v>2928</v>
      </c>
      <c r="C277" s="1" t="str">
        <f t="shared" si="1"/>
        <v/>
      </c>
      <c r="E277" s="5" t="s">
        <v>2928</v>
      </c>
      <c r="F277" s="6" t="str">
        <f t="shared" si="2"/>
        <v>#N/A</v>
      </c>
      <c r="G277" s="1" t="str">
        <f t="shared" si="3"/>
        <v/>
      </c>
      <c r="H277" s="5" t="str">
        <f t="shared" si="4"/>
        <v>29, 33, GYARADOS</v>
      </c>
      <c r="K277" s="1" t="s">
        <v>2239</v>
      </c>
      <c r="L277" s="1" t="s">
        <v>2240</v>
      </c>
    </row>
    <row r="278" ht="12.75" customHeight="1">
      <c r="A278" s="4" t="s">
        <v>2929</v>
      </c>
      <c r="B278" s="5" t="s">
        <v>2929</v>
      </c>
      <c r="C278" s="1" t="str">
        <f t="shared" si="1"/>
        <v/>
      </c>
      <c r="E278" s="5" t="s">
        <v>2929</v>
      </c>
      <c r="F278" s="6" t="str">
        <f t="shared" si="2"/>
        <v>#N/A</v>
      </c>
      <c r="G278" s="1" t="str">
        <f t="shared" si="3"/>
        <v/>
      </c>
      <c r="H278" s="5" t="str">
        <f t="shared" si="4"/>
        <v>30, 35, POLIWAG</v>
      </c>
      <c r="K278" s="1" t="s">
        <v>2241</v>
      </c>
      <c r="L278" s="1" t="s">
        <v>2242</v>
      </c>
    </row>
    <row r="279" ht="12.75" customHeight="1">
      <c r="A279" s="4" t="s">
        <v>2930</v>
      </c>
      <c r="B279" s="5" t="s">
        <v>2930</v>
      </c>
      <c r="C279" s="1" t="str">
        <f t="shared" si="1"/>
        <v/>
      </c>
      <c r="E279" s="5" t="s">
        <v>2930</v>
      </c>
      <c r="F279" s="6" t="str">
        <f t="shared" si="2"/>
        <v>#N/A</v>
      </c>
      <c r="G279" s="1" t="str">
        <f t="shared" si="3"/>
        <v/>
      </c>
      <c r="H279" s="5" t="str">
        <f t="shared" si="4"/>
        <v>30, 35, GOLDEEN</v>
      </c>
      <c r="K279" s="1" t="s">
        <v>2243</v>
      </c>
      <c r="L279" s="1" t="s">
        <v>2244</v>
      </c>
    </row>
    <row r="280" ht="12.75" customHeight="1">
      <c r="A280" s="4" t="s">
        <v>2851</v>
      </c>
      <c r="B280" s="5" t="s">
        <v>2851</v>
      </c>
      <c r="C280" s="1" t="str">
        <f t="shared" si="1"/>
        <v/>
      </c>
      <c r="E280" s="5" t="s">
        <v>2851</v>
      </c>
      <c r="F280" s="6" t="str">
        <f t="shared" si="2"/>
        <v>#N/A</v>
      </c>
      <c r="G280" s="1" t="str">
        <f t="shared" si="3"/>
        <v/>
      </c>
      <c r="H280" s="5" t="str">
        <f t="shared" si="4"/>
        <v>super rod:</v>
      </c>
      <c r="K280" s="1" t="s">
        <v>2245</v>
      </c>
      <c r="L280" s="1" t="s">
        <v>2246</v>
      </c>
    </row>
    <row r="281" ht="12.75" customHeight="1">
      <c r="A281" s="4" t="s">
        <v>2931</v>
      </c>
      <c r="B281" s="5" t="s">
        <v>2931</v>
      </c>
      <c r="C281" s="1" t="str">
        <f t="shared" si="1"/>
        <v/>
      </c>
      <c r="E281" s="5" t="s">
        <v>2931</v>
      </c>
      <c r="F281" s="6" t="str">
        <f t="shared" si="2"/>
        <v>#N/A</v>
      </c>
      <c r="G281" s="1" t="str">
        <f t="shared" si="3"/>
        <v/>
      </c>
      <c r="H281" s="5" t="str">
        <f t="shared" si="4"/>
        <v>36, 40, POLIWHIRL</v>
      </c>
      <c r="K281" s="1" t="s">
        <v>2247</v>
      </c>
      <c r="L281" s="1" t="s">
        <v>2248</v>
      </c>
    </row>
    <row r="282" ht="12.75" customHeight="1">
      <c r="A282" s="4" t="s">
        <v>2932</v>
      </c>
      <c r="B282" s="5" t="s">
        <v>2932</v>
      </c>
      <c r="C282" s="1" t="str">
        <f t="shared" si="1"/>
        <v/>
      </c>
      <c r="E282" s="5" t="s">
        <v>2932</v>
      </c>
      <c r="F282" s="6" t="str">
        <f t="shared" si="2"/>
        <v>#N/A</v>
      </c>
      <c r="G282" s="1" t="str">
        <f t="shared" si="3"/>
        <v/>
      </c>
      <c r="H282" s="5" t="str">
        <f t="shared" si="4"/>
        <v>36, 40, SEAKING</v>
      </c>
      <c r="K282" s="1" t="s">
        <v>2249</v>
      </c>
      <c r="L282" s="1" t="s">
        <v>2250</v>
      </c>
    </row>
    <row r="283" ht="12.75" customHeight="1">
      <c r="A283" s="4" t="s">
        <v>2933</v>
      </c>
      <c r="B283" s="5" t="s">
        <v>2933</v>
      </c>
      <c r="C283" s="1" t="str">
        <f t="shared" si="1"/>
        <v/>
      </c>
      <c r="E283" s="5" t="s">
        <v>2933</v>
      </c>
      <c r="F283" s="6" t="str">
        <f t="shared" si="2"/>
        <v>#N/A</v>
      </c>
      <c r="G283" s="1" t="str">
        <f t="shared" si="3"/>
        <v/>
      </c>
      <c r="H283" s="5" t="str">
        <f t="shared" si="4"/>
        <v>38, 42, DRATINI</v>
      </c>
      <c r="K283" s="1" t="s">
        <v>2251</v>
      </c>
      <c r="L283" s="1" t="s">
        <v>2252</v>
      </c>
    </row>
    <row r="284" ht="12.75" customHeight="1">
      <c r="A284" s="4" t="s">
        <v>2934</v>
      </c>
      <c r="B284" s="5" t="s">
        <v>2934</v>
      </c>
      <c r="C284" s="1" t="str">
        <f t="shared" si="1"/>
        <v/>
      </c>
      <c r="E284" s="5" t="s">
        <v>2934</v>
      </c>
      <c r="F284" s="6" t="str">
        <f t="shared" si="2"/>
        <v>#N/A</v>
      </c>
      <c r="G284" s="1" t="str">
        <f t="shared" si="3"/>
        <v/>
      </c>
      <c r="H284" s="5" t="str">
        <f t="shared" si="4"/>
        <v>38, 42, DRAGONAIR</v>
      </c>
      <c r="K284" s="1" t="s">
        <v>2253</v>
      </c>
      <c r="L284" s="1" t="s">
        <v>2254</v>
      </c>
    </row>
    <row r="285" ht="12.75" customHeight="1">
      <c r="A285" s="4" t="s">
        <v>2935</v>
      </c>
      <c r="B285" s="5" t="s">
        <v>2935</v>
      </c>
      <c r="C285" s="1" t="str">
        <f t="shared" si="1"/>
        <v/>
      </c>
      <c r="E285" s="5" t="s">
        <v>2935</v>
      </c>
      <c r="F285" s="6" t="str">
        <f t="shared" si="2"/>
        <v>#N/A</v>
      </c>
      <c r="G285" s="1" t="str">
        <f t="shared" si="3"/>
        <v/>
      </c>
      <c r="H285" s="5" t="str">
        <f t="shared" si="4"/>
        <v>40, 44, DRAGONITE</v>
      </c>
      <c r="K285" s="1" t="s">
        <v>2255</v>
      </c>
      <c r="L285" s="1" t="s">
        <v>2256</v>
      </c>
    </row>
    <row r="286" ht="12.75" customHeight="1">
      <c r="A286" s="4" t="s">
        <v>2539</v>
      </c>
      <c r="B286" s="5" t="s">
        <v>2539</v>
      </c>
      <c r="C286" s="1">
        <f t="shared" si="1"/>
        <v>1</v>
      </c>
      <c r="E286" s="5" t="s">
        <v>2539</v>
      </c>
      <c r="F286" s="6" t="str">
        <f t="shared" si="2"/>
        <v>#N/A</v>
      </c>
      <c r="G286" s="1" t="str">
        <f t="shared" si="3"/>
        <v/>
      </c>
      <c r="H286" s="5" t="str">
        <f t="shared" si="4"/>
        <v>NEW ROUTE</v>
      </c>
      <c r="K286" s="1" t="s">
        <v>2257</v>
      </c>
      <c r="L286" s="1" t="s">
        <v>2258</v>
      </c>
    </row>
    <row r="287" ht="12.75" customHeight="1">
      <c r="A287" s="4" t="s">
        <v>1682</v>
      </c>
      <c r="B287" s="5" t="s">
        <v>1682</v>
      </c>
      <c r="C287" s="1" t="str">
        <f t="shared" si="1"/>
        <v/>
      </c>
      <c r="E287" s="5" t="s">
        <v>1682</v>
      </c>
      <c r="F287" s="6" t="str">
        <f t="shared" si="2"/>
        <v>Safari Zone East</v>
      </c>
      <c r="G287" s="1" t="str">
        <f t="shared" si="3"/>
        <v>Safari Zone East</v>
      </c>
      <c r="H287" s="5" t="str">
        <f t="shared" si="4"/>
        <v>Safari Zone East</v>
      </c>
      <c r="K287" s="1" t="s">
        <v>2259</v>
      </c>
      <c r="L287" s="1" t="s">
        <v>2260</v>
      </c>
    </row>
    <row r="288" ht="12.75" customHeight="1">
      <c r="A288" s="4" t="s">
        <v>2799</v>
      </c>
      <c r="B288" s="5">
        <v>0.2</v>
      </c>
      <c r="C288" s="1" t="str">
        <f t="shared" si="1"/>
        <v/>
      </c>
      <c r="E288" s="5">
        <v>0.2</v>
      </c>
      <c r="F288" s="6" t="str">
        <f t="shared" si="2"/>
        <v>#N/A</v>
      </c>
      <c r="G288" s="1" t="str">
        <f t="shared" si="3"/>
        <v/>
      </c>
      <c r="H288" s="5">
        <f t="shared" si="4"/>
        <v>0.2</v>
      </c>
      <c r="K288" s="1" t="s">
        <v>2261</v>
      </c>
      <c r="L288" s="1" t="s">
        <v>2262</v>
      </c>
    </row>
    <row r="289" ht="12.75" customHeight="1">
      <c r="A289" s="4" t="s">
        <v>484</v>
      </c>
      <c r="B289" s="5" t="s">
        <v>484</v>
      </c>
      <c r="C289" s="1" t="str">
        <f t="shared" si="1"/>
        <v/>
      </c>
      <c r="E289" s="5" t="s">
        <v>484</v>
      </c>
      <c r="F289" s="6" t="str">
        <f t="shared" si="2"/>
        <v>#N/A</v>
      </c>
      <c r="G289" s="1" t="str">
        <f t="shared" si="3"/>
        <v/>
      </c>
      <c r="H289" s="5" t="str">
        <f t="shared" si="4"/>
        <v>35, 40, NIDOKING</v>
      </c>
      <c r="K289" s="1" t="s">
        <v>2263</v>
      </c>
      <c r="L289" s="1" t="s">
        <v>2264</v>
      </c>
    </row>
    <row r="290" ht="12.75" customHeight="1">
      <c r="A290" s="4" t="s">
        <v>2910</v>
      </c>
      <c r="B290" s="5" t="s">
        <v>2910</v>
      </c>
      <c r="C290" s="1" t="str">
        <f t="shared" si="1"/>
        <v/>
      </c>
      <c r="E290" s="5" t="s">
        <v>2910</v>
      </c>
      <c r="F290" s="6" t="str">
        <f t="shared" si="2"/>
        <v>#N/A</v>
      </c>
      <c r="G290" s="1" t="str">
        <f t="shared" si="3"/>
        <v/>
      </c>
      <c r="H290" s="5" t="str">
        <f t="shared" si="4"/>
        <v>35, 40, NIDOQUEEN</v>
      </c>
      <c r="K290" s="1" t="s">
        <v>2265</v>
      </c>
      <c r="L290" s="1" t="s">
        <v>2266</v>
      </c>
    </row>
    <row r="291" ht="12.75" customHeight="1">
      <c r="A291" s="4" t="s">
        <v>2802</v>
      </c>
      <c r="B291" s="5">
        <v>0.1</v>
      </c>
      <c r="C291" s="1" t="str">
        <f t="shared" si="1"/>
        <v/>
      </c>
      <c r="E291" s="5">
        <v>0.1</v>
      </c>
      <c r="F291" s="6" t="str">
        <f t="shared" si="2"/>
        <v>#N/A</v>
      </c>
      <c r="G291" s="1" t="str">
        <f t="shared" si="3"/>
        <v/>
      </c>
      <c r="H291" s="5">
        <f t="shared" si="4"/>
        <v>0.1</v>
      </c>
      <c r="K291" s="1" t="s">
        <v>2267</v>
      </c>
      <c r="L291" s="1" t="s">
        <v>2268</v>
      </c>
    </row>
    <row r="292" ht="12.75" customHeight="1">
      <c r="A292" s="4" t="s">
        <v>2911</v>
      </c>
      <c r="B292" s="5" t="s">
        <v>2911</v>
      </c>
      <c r="C292" s="1" t="str">
        <f t="shared" si="1"/>
        <v/>
      </c>
      <c r="E292" s="5" t="s">
        <v>2911</v>
      </c>
      <c r="F292" s="6" t="str">
        <f t="shared" si="2"/>
        <v>#N/A</v>
      </c>
      <c r="G292" s="1" t="str">
        <f t="shared" si="3"/>
        <v/>
      </c>
      <c r="H292" s="5" t="str">
        <f t="shared" si="4"/>
        <v>36, 41, PARASECT</v>
      </c>
      <c r="K292" s="1" t="s">
        <v>2269</v>
      </c>
      <c r="L292" s="1" t="s">
        <v>2270</v>
      </c>
    </row>
    <row r="293" ht="12.75" customHeight="1">
      <c r="A293" s="4" t="s">
        <v>2912</v>
      </c>
      <c r="B293" s="5" t="s">
        <v>2912</v>
      </c>
      <c r="C293" s="1" t="str">
        <f t="shared" si="1"/>
        <v/>
      </c>
      <c r="E293" s="5" t="s">
        <v>2912</v>
      </c>
      <c r="F293" s="6" t="str">
        <f t="shared" si="2"/>
        <v>#N/A</v>
      </c>
      <c r="G293" s="1" t="str">
        <f t="shared" si="3"/>
        <v/>
      </c>
      <c r="H293" s="5" t="str">
        <f t="shared" si="4"/>
        <v>36, 41, VENOMOTH</v>
      </c>
      <c r="K293" s="1" t="s">
        <v>2271</v>
      </c>
      <c r="L293" s="1" t="s">
        <v>2272</v>
      </c>
    </row>
    <row r="294" ht="12.75" customHeight="1">
      <c r="A294" s="4" t="s">
        <v>2937</v>
      </c>
      <c r="B294" s="5" t="s">
        <v>2937</v>
      </c>
      <c r="C294" s="1" t="str">
        <f t="shared" si="1"/>
        <v/>
      </c>
      <c r="E294" s="5" t="s">
        <v>2937</v>
      </c>
      <c r="F294" s="6" t="str">
        <f t="shared" si="2"/>
        <v>#N/A</v>
      </c>
      <c r="G294" s="1" t="str">
        <f t="shared" si="3"/>
        <v/>
      </c>
      <c r="H294" s="5" t="str">
        <f t="shared" si="4"/>
        <v>36, 41, DODRIO</v>
      </c>
      <c r="K294" s="1" t="s">
        <v>2273</v>
      </c>
      <c r="L294" s="1" t="s">
        <v>2274</v>
      </c>
    </row>
    <row r="295" ht="12.75" customHeight="1">
      <c r="A295" s="4" t="s">
        <v>2938</v>
      </c>
      <c r="B295" s="5" t="s">
        <v>2938</v>
      </c>
      <c r="C295" s="1" t="str">
        <f t="shared" si="1"/>
        <v/>
      </c>
      <c r="E295" s="5" t="s">
        <v>2938</v>
      </c>
      <c r="F295" s="6" t="str">
        <f t="shared" si="2"/>
        <v>#N/A</v>
      </c>
      <c r="G295" s="1" t="str">
        <f t="shared" si="3"/>
        <v/>
      </c>
      <c r="H295" s="5" t="str">
        <f t="shared" si="4"/>
        <v>36, 41, MAGMAR</v>
      </c>
      <c r="K295" s="1" t="s">
        <v>2275</v>
      </c>
      <c r="L295" s="1" t="s">
        <v>2276</v>
      </c>
    </row>
    <row r="296" ht="12.75" customHeight="1">
      <c r="A296" s="4" t="s">
        <v>2807</v>
      </c>
      <c r="B296" s="5">
        <v>0.05</v>
      </c>
      <c r="C296" s="1" t="str">
        <f t="shared" si="1"/>
        <v/>
      </c>
      <c r="E296" s="5">
        <v>0.05</v>
      </c>
      <c r="F296" s="6" t="str">
        <f t="shared" si="2"/>
        <v>#N/A</v>
      </c>
      <c r="G296" s="1" t="str">
        <f t="shared" si="3"/>
        <v/>
      </c>
      <c r="H296" s="5">
        <f t="shared" si="4"/>
        <v>0.05</v>
      </c>
      <c r="K296" s="1" t="s">
        <v>2277</v>
      </c>
      <c r="L296" s="1" t="s">
        <v>2278</v>
      </c>
    </row>
    <row r="297" ht="12.75" customHeight="1">
      <c r="A297" s="4" t="s">
        <v>2915</v>
      </c>
      <c r="B297" s="5" t="s">
        <v>2915</v>
      </c>
      <c r="C297" s="1" t="str">
        <f t="shared" si="1"/>
        <v/>
      </c>
      <c r="E297" s="5" t="s">
        <v>2915</v>
      </c>
      <c r="F297" s="6" t="str">
        <f t="shared" si="2"/>
        <v>#N/A</v>
      </c>
      <c r="G297" s="1" t="str">
        <f t="shared" si="3"/>
        <v/>
      </c>
      <c r="H297" s="5" t="str">
        <f t="shared" si="4"/>
        <v>37, 39, SCIZOR</v>
      </c>
      <c r="K297" s="1" t="s">
        <v>2279</v>
      </c>
      <c r="L297" s="1" t="s">
        <v>2280</v>
      </c>
    </row>
    <row r="298" ht="12.75" customHeight="1">
      <c r="A298" s="4" t="s">
        <v>2916</v>
      </c>
      <c r="B298" s="5" t="s">
        <v>2916</v>
      </c>
      <c r="C298" s="1" t="str">
        <f t="shared" si="1"/>
        <v/>
      </c>
      <c r="E298" s="5" t="s">
        <v>2916</v>
      </c>
      <c r="F298" s="6" t="str">
        <f t="shared" si="2"/>
        <v>#N/A</v>
      </c>
      <c r="G298" s="1" t="str">
        <f t="shared" si="3"/>
        <v/>
      </c>
      <c r="H298" s="5" t="str">
        <f t="shared" si="4"/>
        <v>37, 39, PINSIRIOR</v>
      </c>
      <c r="K298" s="1" t="s">
        <v>2281</v>
      </c>
      <c r="L298" s="1" t="s">
        <v>2282</v>
      </c>
    </row>
    <row r="299" ht="12.75" customHeight="1">
      <c r="A299" s="4" t="s">
        <v>2810</v>
      </c>
      <c r="B299" s="5">
        <v>0.04</v>
      </c>
      <c r="C299" s="1" t="str">
        <f t="shared" si="1"/>
        <v/>
      </c>
      <c r="E299" s="5">
        <v>0.04</v>
      </c>
      <c r="F299" s="6" t="str">
        <f t="shared" si="2"/>
        <v>#N/A</v>
      </c>
      <c r="G299" s="1" t="str">
        <f t="shared" si="3"/>
        <v/>
      </c>
      <c r="H299" s="5">
        <f t="shared" si="4"/>
        <v>0.04</v>
      </c>
      <c r="K299" s="1" t="s">
        <v>2283</v>
      </c>
      <c r="L299" s="1" t="s">
        <v>2284</v>
      </c>
    </row>
    <row r="300" ht="12.75" customHeight="1">
      <c r="A300" s="4" t="s">
        <v>2939</v>
      </c>
      <c r="B300" s="5" t="s">
        <v>2939</v>
      </c>
      <c r="C300" s="1" t="str">
        <f t="shared" si="1"/>
        <v/>
      </c>
      <c r="E300" s="5" t="s">
        <v>2939</v>
      </c>
      <c r="F300" s="6" t="str">
        <f t="shared" si="2"/>
        <v>#N/A</v>
      </c>
      <c r="G300" s="1" t="str">
        <f t="shared" si="3"/>
        <v/>
      </c>
      <c r="H300" s="5" t="str">
        <f t="shared" si="4"/>
        <v>38, 42, KANGASKHAN</v>
      </c>
      <c r="K300" s="1" t="s">
        <v>2285</v>
      </c>
      <c r="L300" s="1" t="s">
        <v>2286</v>
      </c>
    </row>
    <row r="301" ht="12.75" customHeight="1">
      <c r="A301" s="4" t="s">
        <v>2940</v>
      </c>
      <c r="B301" s="5" t="s">
        <v>2940</v>
      </c>
      <c r="C301" s="1" t="str">
        <f t="shared" si="1"/>
        <v/>
      </c>
      <c r="E301" s="5" t="s">
        <v>2940</v>
      </c>
      <c r="F301" s="6" t="str">
        <f t="shared" si="2"/>
        <v>#N/A</v>
      </c>
      <c r="G301" s="1" t="str">
        <f t="shared" si="3"/>
        <v/>
      </c>
      <c r="H301" s="5" t="str">
        <f t="shared" si="4"/>
        <v>38, 42, HITMONCHAN</v>
      </c>
      <c r="K301" s="1" t="s">
        <v>2287</v>
      </c>
      <c r="L301" s="1" t="s">
        <v>2288</v>
      </c>
    </row>
    <row r="302" ht="12.75" customHeight="1">
      <c r="A302" s="4" t="s">
        <v>2813</v>
      </c>
      <c r="B302" s="5">
        <v>0.01</v>
      </c>
      <c r="C302" s="1" t="str">
        <f t="shared" si="1"/>
        <v/>
      </c>
      <c r="E302" s="5">
        <v>0.01</v>
      </c>
      <c r="F302" s="6" t="str">
        <f t="shared" si="2"/>
        <v>#N/A</v>
      </c>
      <c r="G302" s="1" t="str">
        <f t="shared" si="3"/>
        <v/>
      </c>
      <c r="H302" s="5">
        <f t="shared" si="4"/>
        <v>0.01</v>
      </c>
      <c r="K302" s="1" t="s">
        <v>2289</v>
      </c>
      <c r="L302" s="1" t="s">
        <v>2290</v>
      </c>
    </row>
    <row r="303" ht="12.75" customHeight="1">
      <c r="A303" s="4" t="s">
        <v>2941</v>
      </c>
      <c r="B303" s="5" t="s">
        <v>2941</v>
      </c>
      <c r="C303" s="1" t="str">
        <f t="shared" si="1"/>
        <v/>
      </c>
      <c r="E303" s="5" t="s">
        <v>2941</v>
      </c>
      <c r="F303" s="6" t="str">
        <f t="shared" si="2"/>
        <v>#N/A</v>
      </c>
      <c r="G303" s="1" t="str">
        <f t="shared" si="3"/>
        <v/>
      </c>
      <c r="H303" s="5" t="str">
        <f t="shared" si="4"/>
        <v>40, 40, KANGALLOUS</v>
      </c>
      <c r="K303" s="1" t="s">
        <v>2291</v>
      </c>
      <c r="L303" s="1" t="s">
        <v>2292</v>
      </c>
    </row>
    <row r="304" ht="12.75" customHeight="1">
      <c r="A304" s="4" t="s">
        <v>2942</v>
      </c>
      <c r="B304" s="5" t="s">
        <v>2942</v>
      </c>
      <c r="C304" s="1" t="str">
        <f t="shared" si="1"/>
        <v/>
      </c>
      <c r="E304" s="5" t="s">
        <v>2942</v>
      </c>
      <c r="F304" s="6" t="str">
        <f t="shared" si="2"/>
        <v>#N/A</v>
      </c>
      <c r="G304" s="1" t="str">
        <f t="shared" si="3"/>
        <v/>
      </c>
      <c r="H304" s="5" t="str">
        <f t="shared" si="4"/>
        <v>40, 40, MAGMORTAR</v>
      </c>
      <c r="K304" s="1" t="s">
        <v>2293</v>
      </c>
      <c r="L304" s="1" t="s">
        <v>2294</v>
      </c>
    </row>
    <row r="305" ht="12.75" customHeight="1">
      <c r="A305" s="4" t="s">
        <v>2921</v>
      </c>
      <c r="B305" s="5" t="s">
        <v>2921</v>
      </c>
      <c r="C305" s="1" t="str">
        <f t="shared" si="1"/>
        <v/>
      </c>
      <c r="E305" s="5" t="s">
        <v>2921</v>
      </c>
      <c r="F305" s="6" t="str">
        <f t="shared" si="2"/>
        <v>#N/A</v>
      </c>
      <c r="G305" s="1" t="str">
        <f t="shared" si="3"/>
        <v/>
      </c>
      <c r="H305" s="5" t="str">
        <f t="shared" si="4"/>
        <v>2, 38, 42, SLOWPOKE</v>
      </c>
      <c r="K305" s="1" t="s">
        <v>2295</v>
      </c>
      <c r="L305" s="1" t="s">
        <v>2296</v>
      </c>
    </row>
    <row r="306" ht="12.75" customHeight="1">
      <c r="A306" s="4" t="s">
        <v>2922</v>
      </c>
      <c r="B306" s="5" t="s">
        <v>2922</v>
      </c>
      <c r="C306" s="1" t="str">
        <f t="shared" si="1"/>
        <v/>
      </c>
      <c r="E306" s="5" t="s">
        <v>2922</v>
      </c>
      <c r="F306" s="6" t="str">
        <f t="shared" si="2"/>
        <v>#N/A</v>
      </c>
      <c r="G306" s="1" t="str">
        <f t="shared" si="3"/>
        <v/>
      </c>
      <c r="H306" s="5" t="str">
        <f t="shared" si="4"/>
        <v>40, 42, PSYDUCK</v>
      </c>
      <c r="K306" s="1" t="s">
        <v>2297</v>
      </c>
      <c r="L306" s="1" t="s">
        <v>2298</v>
      </c>
    </row>
    <row r="307" ht="12.75" customHeight="1">
      <c r="A307" s="4" t="s">
        <v>2923</v>
      </c>
      <c r="B307" s="5" t="s">
        <v>2923</v>
      </c>
      <c r="C307" s="1" t="str">
        <f t="shared" si="1"/>
        <v/>
      </c>
      <c r="E307" s="5" t="s">
        <v>2923</v>
      </c>
      <c r="F307" s="6" t="str">
        <f t="shared" si="2"/>
        <v>#N/A</v>
      </c>
      <c r="G307" s="1" t="str">
        <f t="shared" si="3"/>
        <v/>
      </c>
      <c r="H307" s="5" t="str">
        <f t="shared" si="4"/>
        <v>42, 46, SLOWBRO</v>
      </c>
      <c r="K307" s="1" t="s">
        <v>2299</v>
      </c>
      <c r="L307" s="1" t="s">
        <v>2300</v>
      </c>
    </row>
    <row r="308" ht="12.75" customHeight="1">
      <c r="A308" s="4" t="s">
        <v>2924</v>
      </c>
      <c r="B308" s="5" t="s">
        <v>2924</v>
      </c>
      <c r="C308" s="1" t="str">
        <f t="shared" si="1"/>
        <v/>
      </c>
      <c r="E308" s="5" t="s">
        <v>2924</v>
      </c>
      <c r="F308" s="6" t="str">
        <f t="shared" si="2"/>
        <v>#N/A</v>
      </c>
      <c r="G308" s="1" t="str">
        <f t="shared" si="3"/>
        <v/>
      </c>
      <c r="H308" s="5" t="str">
        <f t="shared" si="4"/>
        <v>42, 46, GOLDUCK</v>
      </c>
      <c r="K308" s="1" t="s">
        <v>2301</v>
      </c>
      <c r="L308" s="1" t="s">
        <v>2302</v>
      </c>
    </row>
    <row r="309" ht="12.75" customHeight="1">
      <c r="A309" s="4" t="s">
        <v>2925</v>
      </c>
      <c r="B309" s="5" t="s">
        <v>2925</v>
      </c>
      <c r="C309" s="1" t="str">
        <f t="shared" si="1"/>
        <v/>
      </c>
      <c r="E309" s="5" t="s">
        <v>2925</v>
      </c>
      <c r="F309" s="6" t="str">
        <f t="shared" si="2"/>
        <v>#N/A</v>
      </c>
      <c r="G309" s="1" t="str">
        <f t="shared" si="3"/>
        <v/>
      </c>
      <c r="H309" s="5" t="str">
        <f t="shared" si="4"/>
        <v>44, 48, VAPOREON</v>
      </c>
      <c r="K309" s="1" t="s">
        <v>2303</v>
      </c>
      <c r="L309" s="1" t="s">
        <v>2304</v>
      </c>
    </row>
    <row r="310" ht="12.75" customHeight="1">
      <c r="A310" s="4" t="s">
        <v>2926</v>
      </c>
      <c r="B310" s="5" t="s">
        <v>2926</v>
      </c>
      <c r="C310" s="1" t="str">
        <f t="shared" si="1"/>
        <v/>
      </c>
      <c r="E310" s="5" t="s">
        <v>2926</v>
      </c>
      <c r="F310" s="6" t="str">
        <f t="shared" si="2"/>
        <v>#N/A</v>
      </c>
      <c r="G310" s="1" t="str">
        <f t="shared" si="3"/>
        <v/>
      </c>
      <c r="H310" s="5" t="str">
        <f t="shared" si="4"/>
        <v>20, old rod:</v>
      </c>
      <c r="K310" s="1" t="s">
        <v>2305</v>
      </c>
      <c r="L310" s="1" t="s">
        <v>2306</v>
      </c>
    </row>
    <row r="311" ht="12.75" customHeight="1">
      <c r="A311" s="4" t="s">
        <v>500</v>
      </c>
      <c r="B311" s="5" t="s">
        <v>500</v>
      </c>
      <c r="C311" s="1" t="str">
        <f t="shared" si="1"/>
        <v/>
      </c>
      <c r="E311" s="5" t="s">
        <v>500</v>
      </c>
      <c r="F311" s="6" t="str">
        <f t="shared" si="2"/>
        <v>#N/A</v>
      </c>
      <c r="G311" s="1" t="str">
        <f t="shared" si="3"/>
        <v/>
      </c>
      <c r="H311" s="5" t="str">
        <f t="shared" si="4"/>
        <v>19, 26, MAGIKARP</v>
      </c>
      <c r="K311" s="1" t="s">
        <v>2307</v>
      </c>
      <c r="L311" s="1" t="s">
        <v>2308</v>
      </c>
    </row>
    <row r="312" ht="12.75" customHeight="1">
      <c r="A312" s="4" t="s">
        <v>2927</v>
      </c>
      <c r="B312" s="5" t="s">
        <v>2927</v>
      </c>
      <c r="C312" s="1" t="str">
        <f t="shared" si="1"/>
        <v/>
      </c>
      <c r="E312" s="5" t="s">
        <v>2927</v>
      </c>
      <c r="F312" s="6" t="str">
        <f t="shared" si="2"/>
        <v>#N/A</v>
      </c>
      <c r="G312" s="1" t="str">
        <f t="shared" si="3"/>
        <v/>
      </c>
      <c r="H312" s="5" t="str">
        <f t="shared" si="4"/>
        <v>19, 26, POLIWAG</v>
      </c>
      <c r="K312" s="1" t="s">
        <v>2309</v>
      </c>
      <c r="L312" s="1" t="s">
        <v>2310</v>
      </c>
    </row>
    <row r="313" ht="12.75" customHeight="1">
      <c r="A313" s="4" t="s">
        <v>2847</v>
      </c>
      <c r="B313" s="5" t="s">
        <v>2847</v>
      </c>
      <c r="C313" s="1" t="str">
        <f t="shared" si="1"/>
        <v/>
      </c>
      <c r="E313" s="5" t="s">
        <v>2847</v>
      </c>
      <c r="F313" s="6" t="str">
        <f t="shared" si="2"/>
        <v>#N/A</v>
      </c>
      <c r="G313" s="1" t="str">
        <f t="shared" si="3"/>
        <v/>
      </c>
      <c r="H313" s="5" t="str">
        <f t="shared" si="4"/>
        <v>good rod:</v>
      </c>
      <c r="K313" s="1" t="s">
        <v>2311</v>
      </c>
      <c r="L313" s="1" t="s">
        <v>2312</v>
      </c>
    </row>
    <row r="314" ht="12.75" customHeight="1">
      <c r="A314" s="4" t="s">
        <v>2928</v>
      </c>
      <c r="B314" s="5" t="s">
        <v>2928</v>
      </c>
      <c r="C314" s="1" t="str">
        <f t="shared" si="1"/>
        <v/>
      </c>
      <c r="E314" s="5" t="s">
        <v>2928</v>
      </c>
      <c r="F314" s="6" t="str">
        <f t="shared" si="2"/>
        <v>#N/A</v>
      </c>
      <c r="G314" s="1" t="str">
        <f t="shared" si="3"/>
        <v/>
      </c>
      <c r="H314" s="5" t="str">
        <f t="shared" si="4"/>
        <v>29, 33, GYARADOS</v>
      </c>
      <c r="K314" s="1" t="s">
        <v>2313</v>
      </c>
      <c r="L314" s="1" t="s">
        <v>2314</v>
      </c>
    </row>
    <row r="315" ht="12.75" customHeight="1">
      <c r="A315" s="4" t="s">
        <v>2929</v>
      </c>
      <c r="B315" s="5" t="s">
        <v>2929</v>
      </c>
      <c r="C315" s="1" t="str">
        <f t="shared" si="1"/>
        <v/>
      </c>
      <c r="E315" s="5" t="s">
        <v>2929</v>
      </c>
      <c r="F315" s="6" t="str">
        <f t="shared" si="2"/>
        <v>#N/A</v>
      </c>
      <c r="G315" s="1" t="str">
        <f t="shared" si="3"/>
        <v/>
      </c>
      <c r="H315" s="5" t="str">
        <f t="shared" si="4"/>
        <v>30, 35, POLIWAG</v>
      </c>
      <c r="K315" s="1" t="s">
        <v>2315</v>
      </c>
      <c r="L315" s="1" t="s">
        <v>2316</v>
      </c>
    </row>
    <row r="316" ht="12.75" customHeight="1">
      <c r="A316" s="4" t="s">
        <v>2930</v>
      </c>
      <c r="B316" s="5" t="s">
        <v>2930</v>
      </c>
      <c r="C316" s="1" t="str">
        <f t="shared" si="1"/>
        <v/>
      </c>
      <c r="E316" s="5" t="s">
        <v>2930</v>
      </c>
      <c r="F316" s="6" t="str">
        <f t="shared" si="2"/>
        <v>#N/A</v>
      </c>
      <c r="G316" s="1" t="str">
        <f t="shared" si="3"/>
        <v/>
      </c>
      <c r="H316" s="5" t="str">
        <f t="shared" si="4"/>
        <v>30, 35, GOLDEEN</v>
      </c>
      <c r="K316" s="1" t="s">
        <v>2317</v>
      </c>
      <c r="L316" s="1" t="s">
        <v>2318</v>
      </c>
    </row>
    <row r="317" ht="12.75" customHeight="1">
      <c r="A317" s="4" t="s">
        <v>2851</v>
      </c>
      <c r="B317" s="5" t="s">
        <v>2851</v>
      </c>
      <c r="C317" s="1" t="str">
        <f t="shared" si="1"/>
        <v/>
      </c>
      <c r="E317" s="5" t="s">
        <v>2851</v>
      </c>
      <c r="F317" s="6" t="str">
        <f t="shared" si="2"/>
        <v>#N/A</v>
      </c>
      <c r="G317" s="1" t="str">
        <f t="shared" si="3"/>
        <v/>
      </c>
      <c r="H317" s="5" t="str">
        <f t="shared" si="4"/>
        <v>super rod:</v>
      </c>
      <c r="K317" s="1" t="s">
        <v>2319</v>
      </c>
      <c r="L317" s="1" t="s">
        <v>2320</v>
      </c>
    </row>
    <row r="318" ht="12.75" customHeight="1">
      <c r="A318" s="4" t="s">
        <v>2931</v>
      </c>
      <c r="B318" s="5" t="s">
        <v>2931</v>
      </c>
      <c r="C318" s="1" t="str">
        <f t="shared" si="1"/>
        <v/>
      </c>
      <c r="E318" s="5" t="s">
        <v>2931</v>
      </c>
      <c r="F318" s="6" t="str">
        <f t="shared" si="2"/>
        <v>#N/A</v>
      </c>
      <c r="G318" s="1" t="str">
        <f t="shared" si="3"/>
        <v/>
      </c>
      <c r="H318" s="5" t="str">
        <f t="shared" si="4"/>
        <v>36, 40, POLIWHIRL</v>
      </c>
      <c r="K318" s="1" t="s">
        <v>2321</v>
      </c>
      <c r="L318" s="1" t="s">
        <v>2322</v>
      </c>
    </row>
    <row r="319" ht="12.75" customHeight="1">
      <c r="A319" s="4" t="s">
        <v>2932</v>
      </c>
      <c r="B319" s="5" t="s">
        <v>2932</v>
      </c>
      <c r="C319" s="1" t="str">
        <f t="shared" si="1"/>
        <v/>
      </c>
      <c r="E319" s="5" t="s">
        <v>2932</v>
      </c>
      <c r="F319" s="6" t="str">
        <f t="shared" si="2"/>
        <v>#N/A</v>
      </c>
      <c r="G319" s="1" t="str">
        <f t="shared" si="3"/>
        <v/>
      </c>
      <c r="H319" s="5" t="str">
        <f t="shared" si="4"/>
        <v>36, 40, SEAKING</v>
      </c>
      <c r="K319" s="1" t="s">
        <v>2323</v>
      </c>
      <c r="L319" s="1" t="s">
        <v>2324</v>
      </c>
    </row>
    <row r="320" ht="12.75" customHeight="1">
      <c r="A320" s="4" t="s">
        <v>2933</v>
      </c>
      <c r="B320" s="5" t="s">
        <v>2933</v>
      </c>
      <c r="C320" s="1" t="str">
        <f t="shared" si="1"/>
        <v/>
      </c>
      <c r="E320" s="5" t="s">
        <v>2933</v>
      </c>
      <c r="F320" s="6" t="str">
        <f t="shared" si="2"/>
        <v>#N/A</v>
      </c>
      <c r="G320" s="1" t="str">
        <f t="shared" si="3"/>
        <v/>
      </c>
      <c r="H320" s="5" t="str">
        <f t="shared" si="4"/>
        <v>38, 42, DRATINI</v>
      </c>
      <c r="K320" s="1" t="s">
        <v>2325</v>
      </c>
      <c r="L320" s="1" t="s">
        <v>2326</v>
      </c>
    </row>
    <row r="321" ht="12.75" customHeight="1">
      <c r="A321" s="4" t="s">
        <v>2934</v>
      </c>
      <c r="B321" s="5" t="s">
        <v>2934</v>
      </c>
      <c r="C321" s="1" t="str">
        <f t="shared" si="1"/>
        <v/>
      </c>
      <c r="E321" s="5" t="s">
        <v>2934</v>
      </c>
      <c r="F321" s="6" t="str">
        <f t="shared" si="2"/>
        <v>#N/A</v>
      </c>
      <c r="G321" s="1" t="str">
        <f t="shared" si="3"/>
        <v/>
      </c>
      <c r="H321" s="5" t="str">
        <f t="shared" si="4"/>
        <v>38, 42, DRAGONAIR</v>
      </c>
      <c r="K321" s="1" t="s">
        <v>2327</v>
      </c>
      <c r="L321" s="1" t="s">
        <v>2328</v>
      </c>
    </row>
    <row r="322" ht="12.75" customHeight="1">
      <c r="A322" s="4" t="s">
        <v>2935</v>
      </c>
      <c r="B322" s="5" t="s">
        <v>2935</v>
      </c>
      <c r="C322" s="1" t="str">
        <f t="shared" si="1"/>
        <v/>
      </c>
      <c r="E322" s="5" t="s">
        <v>2935</v>
      </c>
      <c r="F322" s="6" t="str">
        <f t="shared" si="2"/>
        <v>#N/A</v>
      </c>
      <c r="G322" s="1" t="str">
        <f t="shared" si="3"/>
        <v/>
      </c>
      <c r="H322" s="5" t="str">
        <f t="shared" si="4"/>
        <v>40, 44, DRAGONITE</v>
      </c>
      <c r="K322" s="1" t="s">
        <v>2329</v>
      </c>
      <c r="L322" s="1" t="s">
        <v>2330</v>
      </c>
    </row>
    <row r="323" ht="12.75" customHeight="1">
      <c r="A323" s="4" t="s">
        <v>2539</v>
      </c>
      <c r="B323" s="5" t="s">
        <v>2539</v>
      </c>
      <c r="C323" s="1">
        <f t="shared" si="1"/>
        <v>1</v>
      </c>
      <c r="E323" s="5" t="s">
        <v>2539</v>
      </c>
      <c r="F323" s="6" t="str">
        <f t="shared" si="2"/>
        <v>#N/A</v>
      </c>
      <c r="G323" s="1" t="str">
        <f t="shared" si="3"/>
        <v/>
      </c>
      <c r="H323" s="5" t="str">
        <f t="shared" si="4"/>
        <v>NEW ROUTE</v>
      </c>
      <c r="K323" s="1" t="s">
        <v>2331</v>
      </c>
      <c r="L323" s="1" t="s">
        <v>2332</v>
      </c>
    </row>
    <row r="324" ht="12.75" customHeight="1">
      <c r="A324" s="4" t="s">
        <v>1689</v>
      </c>
      <c r="B324" s="5" t="s">
        <v>1689</v>
      </c>
      <c r="C324" s="1" t="str">
        <f t="shared" si="1"/>
        <v/>
      </c>
      <c r="E324" s="5" t="s">
        <v>1689</v>
      </c>
      <c r="F324" s="6" t="str">
        <f t="shared" si="2"/>
        <v>Safari Zone North</v>
      </c>
      <c r="G324" s="1" t="str">
        <f t="shared" si="3"/>
        <v>Safari Zone North</v>
      </c>
      <c r="H324" s="5" t="str">
        <f t="shared" si="4"/>
        <v>Safari Zone North</v>
      </c>
      <c r="K324" s="1" t="s">
        <v>2333</v>
      </c>
      <c r="L324" s="1" t="s">
        <v>2334</v>
      </c>
    </row>
    <row r="325" ht="12.75" customHeight="1">
      <c r="A325" s="4" t="s">
        <v>2799</v>
      </c>
      <c r="B325" s="5">
        <v>0.2</v>
      </c>
      <c r="C325" s="1" t="str">
        <f t="shared" si="1"/>
        <v/>
      </c>
      <c r="E325" s="5">
        <v>0.2</v>
      </c>
      <c r="F325" s="6" t="str">
        <f t="shared" si="2"/>
        <v>#N/A</v>
      </c>
      <c r="G325" s="1" t="str">
        <f t="shared" si="3"/>
        <v/>
      </c>
      <c r="H325" s="5">
        <f t="shared" si="4"/>
        <v>0.2</v>
      </c>
      <c r="K325" s="1" t="s">
        <v>2335</v>
      </c>
      <c r="L325" s="1" t="s">
        <v>2336</v>
      </c>
    </row>
    <row r="326" ht="12.75" customHeight="1">
      <c r="A326" s="4" t="s">
        <v>484</v>
      </c>
      <c r="B326" s="5" t="s">
        <v>484</v>
      </c>
      <c r="C326" s="1" t="str">
        <f t="shared" si="1"/>
        <v/>
      </c>
      <c r="E326" s="5" t="s">
        <v>484</v>
      </c>
      <c r="F326" s="6" t="str">
        <f t="shared" si="2"/>
        <v>#N/A</v>
      </c>
      <c r="G326" s="1" t="str">
        <f t="shared" si="3"/>
        <v/>
      </c>
      <c r="H326" s="5" t="str">
        <f t="shared" si="4"/>
        <v>35, 40, NIDOKING</v>
      </c>
      <c r="K326" s="1" t="s">
        <v>2337</v>
      </c>
      <c r="L326" s="1" t="s">
        <v>2338</v>
      </c>
    </row>
    <row r="327" ht="12.75" customHeight="1">
      <c r="A327" s="4" t="s">
        <v>2910</v>
      </c>
      <c r="B327" s="5" t="s">
        <v>2910</v>
      </c>
      <c r="C327" s="1" t="str">
        <f t="shared" si="1"/>
        <v/>
      </c>
      <c r="E327" s="5" t="s">
        <v>2910</v>
      </c>
      <c r="F327" s="6" t="str">
        <f t="shared" si="2"/>
        <v>#N/A</v>
      </c>
      <c r="G327" s="1" t="str">
        <f t="shared" si="3"/>
        <v/>
      </c>
      <c r="H327" s="5" t="str">
        <f t="shared" si="4"/>
        <v>35, 40, NIDOQUEEN</v>
      </c>
      <c r="K327" s="1" t="s">
        <v>2339</v>
      </c>
      <c r="L327" s="1" t="s">
        <v>2340</v>
      </c>
    </row>
    <row r="328" ht="12.75" customHeight="1">
      <c r="A328" s="4" t="s">
        <v>2802</v>
      </c>
      <c r="B328" s="5">
        <v>0.1</v>
      </c>
      <c r="C328" s="1" t="str">
        <f t="shared" si="1"/>
        <v/>
      </c>
      <c r="E328" s="5">
        <v>0.1</v>
      </c>
      <c r="F328" s="6" t="str">
        <f t="shared" si="2"/>
        <v>#N/A</v>
      </c>
      <c r="G328" s="1" t="str">
        <f t="shared" si="3"/>
        <v/>
      </c>
      <c r="H328" s="5">
        <f t="shared" si="4"/>
        <v>0.1</v>
      </c>
      <c r="K328" s="1" t="s">
        <v>2341</v>
      </c>
      <c r="L328" s="1" t="s">
        <v>2342</v>
      </c>
    </row>
    <row r="329" ht="12.75" customHeight="1">
      <c r="A329" s="4" t="s">
        <v>2911</v>
      </c>
      <c r="B329" s="5" t="s">
        <v>2911</v>
      </c>
      <c r="C329" s="1" t="str">
        <f t="shared" si="1"/>
        <v/>
      </c>
      <c r="E329" s="5" t="s">
        <v>2911</v>
      </c>
      <c r="F329" s="6" t="str">
        <f t="shared" si="2"/>
        <v>#N/A</v>
      </c>
      <c r="G329" s="1" t="str">
        <f t="shared" si="3"/>
        <v/>
      </c>
      <c r="H329" s="5" t="str">
        <f t="shared" si="4"/>
        <v>36, 41, PARASECT</v>
      </c>
      <c r="K329" s="1" t="s">
        <v>2343</v>
      </c>
      <c r="L329" s="1" t="s">
        <v>2344</v>
      </c>
    </row>
    <row r="330" ht="12.75" customHeight="1">
      <c r="A330" s="4" t="s">
        <v>2912</v>
      </c>
      <c r="B330" s="5" t="s">
        <v>2912</v>
      </c>
      <c r="C330" s="1" t="str">
        <f t="shared" si="1"/>
        <v/>
      </c>
      <c r="E330" s="5" t="s">
        <v>2912</v>
      </c>
      <c r="F330" s="6" t="str">
        <f t="shared" si="2"/>
        <v>#N/A</v>
      </c>
      <c r="G330" s="1" t="str">
        <f t="shared" si="3"/>
        <v/>
      </c>
      <c r="H330" s="5" t="str">
        <f t="shared" si="4"/>
        <v>36, 41, VENOMOTH</v>
      </c>
      <c r="K330" s="1" t="s">
        <v>2345</v>
      </c>
      <c r="L330" s="1" t="s">
        <v>2346</v>
      </c>
    </row>
    <row r="331" ht="12.75" customHeight="1">
      <c r="A331" s="4" t="s">
        <v>2944</v>
      </c>
      <c r="B331" s="5" t="s">
        <v>2944</v>
      </c>
      <c r="C331" s="1" t="str">
        <f t="shared" si="1"/>
        <v/>
      </c>
      <c r="E331" s="5" t="s">
        <v>2944</v>
      </c>
      <c r="F331" s="6" t="str">
        <f t="shared" si="2"/>
        <v>#N/A</v>
      </c>
      <c r="G331" s="1" t="str">
        <f t="shared" si="3"/>
        <v/>
      </c>
      <c r="H331" s="5" t="str">
        <f t="shared" si="4"/>
        <v>36, 41, CLEFABLE</v>
      </c>
      <c r="K331" s="1" t="s">
        <v>2347</v>
      </c>
      <c r="L331" s="1" t="s">
        <v>2348</v>
      </c>
    </row>
    <row r="332" ht="12.75" customHeight="1">
      <c r="A332" s="4" t="s">
        <v>2945</v>
      </c>
      <c r="B332" s="5" t="s">
        <v>2945</v>
      </c>
      <c r="C332" s="1" t="str">
        <f t="shared" si="1"/>
        <v/>
      </c>
      <c r="E332" s="5" t="s">
        <v>2945</v>
      </c>
      <c r="F332" s="6" t="str">
        <f t="shared" si="2"/>
        <v>#N/A</v>
      </c>
      <c r="G332" s="1" t="str">
        <f t="shared" si="3"/>
        <v/>
      </c>
      <c r="H332" s="5" t="str">
        <f t="shared" si="4"/>
        <v>36, 41, ELECTABUZZ</v>
      </c>
      <c r="K332" s="1" t="s">
        <v>2349</v>
      </c>
      <c r="L332" s="1" t="s">
        <v>2350</v>
      </c>
    </row>
    <row r="333" ht="12.75" customHeight="1">
      <c r="A333" s="4" t="s">
        <v>2807</v>
      </c>
      <c r="B333" s="5">
        <v>0.05</v>
      </c>
      <c r="C333" s="1" t="str">
        <f t="shared" si="1"/>
        <v/>
      </c>
      <c r="E333" s="5">
        <v>0.05</v>
      </c>
      <c r="F333" s="6" t="str">
        <f t="shared" si="2"/>
        <v>#N/A</v>
      </c>
      <c r="G333" s="1" t="str">
        <f t="shared" si="3"/>
        <v/>
      </c>
      <c r="H333" s="5">
        <f t="shared" si="4"/>
        <v>0.05</v>
      </c>
      <c r="K333" s="1" t="s">
        <v>2351</v>
      </c>
      <c r="L333" s="1" t="s">
        <v>2352</v>
      </c>
    </row>
    <row r="334" ht="12.75" customHeight="1">
      <c r="A334" s="4" t="s">
        <v>2915</v>
      </c>
      <c r="B334" s="5" t="s">
        <v>2915</v>
      </c>
      <c r="C334" s="1" t="str">
        <f t="shared" si="1"/>
        <v/>
      </c>
      <c r="E334" s="5" t="s">
        <v>2915</v>
      </c>
      <c r="F334" s="6" t="str">
        <f t="shared" si="2"/>
        <v>#N/A</v>
      </c>
      <c r="G334" s="1" t="str">
        <f t="shared" si="3"/>
        <v/>
      </c>
      <c r="H334" s="5" t="str">
        <f t="shared" si="4"/>
        <v>37, 39, SCIZOR</v>
      </c>
      <c r="K334" s="1" t="s">
        <v>2353</v>
      </c>
      <c r="L334" s="1" t="s">
        <v>2354</v>
      </c>
    </row>
    <row r="335" ht="12.75" customHeight="1">
      <c r="A335" s="4" t="s">
        <v>2916</v>
      </c>
      <c r="B335" s="5" t="s">
        <v>2916</v>
      </c>
      <c r="C335" s="1" t="str">
        <f t="shared" si="1"/>
        <v/>
      </c>
      <c r="E335" s="5" t="s">
        <v>2916</v>
      </c>
      <c r="F335" s="6" t="str">
        <f t="shared" si="2"/>
        <v>#N/A</v>
      </c>
      <c r="G335" s="1" t="str">
        <f t="shared" si="3"/>
        <v/>
      </c>
      <c r="H335" s="5" t="str">
        <f t="shared" si="4"/>
        <v>37, 39, PINSIRIOR</v>
      </c>
      <c r="K335" s="1" t="s">
        <v>2355</v>
      </c>
      <c r="L335" s="1" t="s">
        <v>2356</v>
      </c>
    </row>
    <row r="336" ht="12.75" customHeight="1">
      <c r="A336" s="4" t="s">
        <v>2810</v>
      </c>
      <c r="B336" s="5">
        <v>0.04</v>
      </c>
      <c r="C336" s="1" t="str">
        <f t="shared" si="1"/>
        <v/>
      </c>
      <c r="E336" s="5">
        <v>0.04</v>
      </c>
      <c r="F336" s="6" t="str">
        <f t="shared" si="2"/>
        <v>#N/A</v>
      </c>
      <c r="G336" s="1" t="str">
        <f t="shared" si="3"/>
        <v/>
      </c>
      <c r="H336" s="5">
        <f t="shared" si="4"/>
        <v>0.04</v>
      </c>
      <c r="K336" s="1" t="s">
        <v>2357</v>
      </c>
      <c r="L336" s="1" t="s">
        <v>2358</v>
      </c>
    </row>
    <row r="337" ht="12.75" customHeight="1">
      <c r="A337" s="4" t="s">
        <v>2946</v>
      </c>
      <c r="B337" s="5" t="s">
        <v>2946</v>
      </c>
      <c r="C337" s="1" t="str">
        <f t="shared" si="1"/>
        <v/>
      </c>
      <c r="E337" s="5" t="s">
        <v>2946</v>
      </c>
      <c r="F337" s="6" t="str">
        <f t="shared" si="2"/>
        <v>#N/A</v>
      </c>
      <c r="G337" s="1" t="str">
        <f t="shared" si="3"/>
        <v/>
      </c>
      <c r="H337" s="5" t="str">
        <f t="shared" si="4"/>
        <v>38, 42, TAUROS</v>
      </c>
      <c r="K337" s="1" t="s">
        <v>2359</v>
      </c>
      <c r="L337" s="1" t="s">
        <v>2360</v>
      </c>
    </row>
    <row r="338" ht="12.75" customHeight="1">
      <c r="A338" s="4" t="s">
        <v>2947</v>
      </c>
      <c r="B338" s="5" t="s">
        <v>2947</v>
      </c>
      <c r="C338" s="1" t="str">
        <f t="shared" si="1"/>
        <v/>
      </c>
      <c r="E338" s="5" t="s">
        <v>2947</v>
      </c>
      <c r="F338" s="6" t="str">
        <f t="shared" si="2"/>
        <v>#N/A</v>
      </c>
      <c r="G338" s="1" t="str">
        <f t="shared" si="3"/>
        <v/>
      </c>
      <c r="H338" s="5" t="str">
        <f t="shared" si="4"/>
        <v>38, 42, FLAREON</v>
      </c>
      <c r="K338" s="1" t="s">
        <v>2361</v>
      </c>
      <c r="L338" s="1" t="s">
        <v>2362</v>
      </c>
    </row>
    <row r="339" ht="12.75" customHeight="1">
      <c r="A339" s="4" t="s">
        <v>2813</v>
      </c>
      <c r="B339" s="5">
        <v>0.01</v>
      </c>
      <c r="C339" s="1" t="str">
        <f t="shared" si="1"/>
        <v/>
      </c>
      <c r="E339" s="5">
        <v>0.01</v>
      </c>
      <c r="F339" s="6" t="str">
        <f t="shared" si="2"/>
        <v>#N/A</v>
      </c>
      <c r="G339" s="1" t="str">
        <f t="shared" si="3"/>
        <v/>
      </c>
      <c r="H339" s="5">
        <f t="shared" si="4"/>
        <v>0.01</v>
      </c>
      <c r="K339" s="1" t="s">
        <v>2363</v>
      </c>
      <c r="L339" s="1" t="s">
        <v>2364</v>
      </c>
    </row>
    <row r="340" ht="12.75" customHeight="1">
      <c r="A340" s="4" t="s">
        <v>2948</v>
      </c>
      <c r="B340" s="5" t="s">
        <v>2948</v>
      </c>
      <c r="C340" s="1" t="str">
        <f t="shared" si="1"/>
        <v/>
      </c>
      <c r="E340" s="5" t="s">
        <v>2948</v>
      </c>
      <c r="F340" s="6" t="str">
        <f t="shared" si="2"/>
        <v>#N/A</v>
      </c>
      <c r="G340" s="1" t="str">
        <f t="shared" si="3"/>
        <v/>
      </c>
      <c r="H340" s="5" t="str">
        <f t="shared" si="4"/>
        <v>40, 40, TAUROX</v>
      </c>
      <c r="K340" s="1" t="s">
        <v>2365</v>
      </c>
      <c r="L340" s="1" t="s">
        <v>2366</v>
      </c>
    </row>
    <row r="341" ht="12.75" customHeight="1">
      <c r="A341" s="4" t="s">
        <v>2949</v>
      </c>
      <c r="B341" s="5" t="s">
        <v>2949</v>
      </c>
      <c r="C341" s="1" t="str">
        <f t="shared" si="1"/>
        <v/>
      </c>
      <c r="E341" s="5" t="s">
        <v>2949</v>
      </c>
      <c r="F341" s="6" t="str">
        <f t="shared" si="2"/>
        <v>#N/A</v>
      </c>
      <c r="G341" s="1" t="str">
        <f t="shared" si="3"/>
        <v/>
      </c>
      <c r="H341" s="5" t="str">
        <f t="shared" si="4"/>
        <v>40, 40, ELECTIVIRE</v>
      </c>
      <c r="K341" s="1" t="s">
        <v>2367</v>
      </c>
      <c r="L341" s="1" t="s">
        <v>2368</v>
      </c>
    </row>
    <row r="342" ht="12.75" customHeight="1">
      <c r="A342" s="4" t="s">
        <v>2921</v>
      </c>
      <c r="B342" s="5" t="s">
        <v>2921</v>
      </c>
      <c r="C342" s="1" t="str">
        <f t="shared" si="1"/>
        <v/>
      </c>
      <c r="E342" s="5" t="s">
        <v>2921</v>
      </c>
      <c r="F342" s="6" t="str">
        <f t="shared" si="2"/>
        <v>#N/A</v>
      </c>
      <c r="G342" s="1" t="str">
        <f t="shared" si="3"/>
        <v/>
      </c>
      <c r="H342" s="5" t="str">
        <f t="shared" si="4"/>
        <v>2, 38, 42, SLOWPOKE</v>
      </c>
      <c r="K342" s="1" t="s">
        <v>2369</v>
      </c>
      <c r="L342" s="1" t="s">
        <v>2370</v>
      </c>
    </row>
    <row r="343" ht="12.75" customHeight="1">
      <c r="A343" s="4" t="s">
        <v>2922</v>
      </c>
      <c r="B343" s="5" t="s">
        <v>2922</v>
      </c>
      <c r="C343" s="1" t="str">
        <f t="shared" si="1"/>
        <v/>
      </c>
      <c r="E343" s="5" t="s">
        <v>2922</v>
      </c>
      <c r="F343" s="6" t="str">
        <f t="shared" si="2"/>
        <v>#N/A</v>
      </c>
      <c r="G343" s="1" t="str">
        <f t="shared" si="3"/>
        <v/>
      </c>
      <c r="H343" s="5" t="str">
        <f t="shared" si="4"/>
        <v>40, 42, PSYDUCK</v>
      </c>
      <c r="K343" s="1" t="s">
        <v>2371</v>
      </c>
      <c r="L343" s="1" t="s">
        <v>2372</v>
      </c>
    </row>
    <row r="344" ht="12.75" customHeight="1">
      <c r="A344" s="4" t="s">
        <v>2923</v>
      </c>
      <c r="B344" s="5" t="s">
        <v>2923</v>
      </c>
      <c r="C344" s="1" t="str">
        <f t="shared" si="1"/>
        <v/>
      </c>
      <c r="E344" s="5" t="s">
        <v>2923</v>
      </c>
      <c r="F344" s="6" t="str">
        <f t="shared" si="2"/>
        <v>#N/A</v>
      </c>
      <c r="G344" s="1" t="str">
        <f t="shared" si="3"/>
        <v/>
      </c>
      <c r="H344" s="5" t="str">
        <f t="shared" si="4"/>
        <v>42, 46, SLOWBRO</v>
      </c>
      <c r="K344" s="1" t="s">
        <v>2373</v>
      </c>
      <c r="L344" s="1" t="s">
        <v>2374</v>
      </c>
    </row>
    <row r="345" ht="12.75" customHeight="1">
      <c r="A345" s="4" t="s">
        <v>2924</v>
      </c>
      <c r="B345" s="5" t="s">
        <v>2924</v>
      </c>
      <c r="C345" s="1" t="str">
        <f t="shared" si="1"/>
        <v/>
      </c>
      <c r="E345" s="5" t="s">
        <v>2924</v>
      </c>
      <c r="F345" s="6" t="str">
        <f t="shared" si="2"/>
        <v>#N/A</v>
      </c>
      <c r="G345" s="1" t="str">
        <f t="shared" si="3"/>
        <v/>
      </c>
      <c r="H345" s="5" t="str">
        <f t="shared" si="4"/>
        <v>42, 46, GOLDUCK</v>
      </c>
      <c r="K345" s="1" t="s">
        <v>2375</v>
      </c>
      <c r="L345" s="1" t="s">
        <v>2376</v>
      </c>
    </row>
    <row r="346" ht="12.75" customHeight="1">
      <c r="A346" s="4" t="s">
        <v>2925</v>
      </c>
      <c r="B346" s="5" t="s">
        <v>2925</v>
      </c>
      <c r="C346" s="1" t="str">
        <f t="shared" si="1"/>
        <v/>
      </c>
      <c r="E346" s="5" t="s">
        <v>2925</v>
      </c>
      <c r="F346" s="6" t="str">
        <f t="shared" si="2"/>
        <v>#N/A</v>
      </c>
      <c r="G346" s="1" t="str">
        <f t="shared" si="3"/>
        <v/>
      </c>
      <c r="H346" s="5" t="str">
        <f t="shared" si="4"/>
        <v>44, 48, VAPOREON</v>
      </c>
      <c r="K346" s="1" t="s">
        <v>2377</v>
      </c>
      <c r="L346" s="1" t="s">
        <v>2378</v>
      </c>
    </row>
    <row r="347" ht="12.75" customHeight="1">
      <c r="A347" s="4" t="s">
        <v>2926</v>
      </c>
      <c r="B347" s="5" t="s">
        <v>2926</v>
      </c>
      <c r="C347" s="1" t="str">
        <f t="shared" si="1"/>
        <v/>
      </c>
      <c r="E347" s="5" t="s">
        <v>2926</v>
      </c>
      <c r="F347" s="6" t="str">
        <f t="shared" si="2"/>
        <v>#N/A</v>
      </c>
      <c r="G347" s="1" t="str">
        <f t="shared" si="3"/>
        <v/>
      </c>
      <c r="H347" s="5" t="str">
        <f t="shared" si="4"/>
        <v>20, old rod:</v>
      </c>
      <c r="K347" s="1" t="s">
        <v>2379</v>
      </c>
      <c r="L347" s="1" t="s">
        <v>2380</v>
      </c>
    </row>
    <row r="348" ht="12.75" customHeight="1">
      <c r="A348" s="4" t="s">
        <v>500</v>
      </c>
      <c r="B348" s="5" t="s">
        <v>500</v>
      </c>
      <c r="C348" s="1" t="str">
        <f t="shared" si="1"/>
        <v/>
      </c>
      <c r="E348" s="5" t="s">
        <v>500</v>
      </c>
      <c r="F348" s="6" t="str">
        <f t="shared" si="2"/>
        <v>#N/A</v>
      </c>
      <c r="G348" s="1" t="str">
        <f t="shared" si="3"/>
        <v/>
      </c>
      <c r="H348" s="5" t="str">
        <f t="shared" si="4"/>
        <v>19, 26, MAGIKARP</v>
      </c>
      <c r="K348" s="1" t="s">
        <v>2381</v>
      </c>
      <c r="L348" s="1" t="s">
        <v>2382</v>
      </c>
    </row>
    <row r="349" ht="12.75" customHeight="1">
      <c r="A349" s="4" t="s">
        <v>2927</v>
      </c>
      <c r="B349" s="5" t="s">
        <v>2927</v>
      </c>
      <c r="C349" s="1" t="str">
        <f t="shared" si="1"/>
        <v/>
      </c>
      <c r="E349" s="5" t="s">
        <v>2927</v>
      </c>
      <c r="F349" s="6" t="str">
        <f t="shared" si="2"/>
        <v>#N/A</v>
      </c>
      <c r="G349" s="1" t="str">
        <f t="shared" si="3"/>
        <v/>
      </c>
      <c r="H349" s="5" t="str">
        <f t="shared" si="4"/>
        <v>19, 26, POLIWAG</v>
      </c>
      <c r="K349" s="1" t="s">
        <v>2383</v>
      </c>
      <c r="L349" s="1" t="s">
        <v>2384</v>
      </c>
    </row>
    <row r="350" ht="12.75" customHeight="1">
      <c r="A350" s="4" t="s">
        <v>2847</v>
      </c>
      <c r="B350" s="5" t="s">
        <v>2847</v>
      </c>
      <c r="C350" s="1" t="str">
        <f t="shared" si="1"/>
        <v/>
      </c>
      <c r="E350" s="5" t="s">
        <v>2847</v>
      </c>
      <c r="F350" s="6" t="str">
        <f t="shared" si="2"/>
        <v>#N/A</v>
      </c>
      <c r="G350" s="1" t="str">
        <f t="shared" si="3"/>
        <v/>
      </c>
      <c r="H350" s="5" t="str">
        <f t="shared" si="4"/>
        <v>good rod:</v>
      </c>
      <c r="K350" s="1" t="s">
        <v>2385</v>
      </c>
      <c r="L350" s="1" t="s">
        <v>2386</v>
      </c>
    </row>
    <row r="351" ht="12.75" customHeight="1">
      <c r="A351" s="4" t="s">
        <v>2928</v>
      </c>
      <c r="B351" s="5" t="s">
        <v>2928</v>
      </c>
      <c r="C351" s="1" t="str">
        <f t="shared" si="1"/>
        <v/>
      </c>
      <c r="E351" s="5" t="s">
        <v>2928</v>
      </c>
      <c r="F351" s="6" t="str">
        <f t="shared" si="2"/>
        <v>#N/A</v>
      </c>
      <c r="G351" s="1" t="str">
        <f t="shared" si="3"/>
        <v/>
      </c>
      <c r="H351" s="5" t="str">
        <f t="shared" si="4"/>
        <v>29, 33, GYARADOS</v>
      </c>
      <c r="K351" s="1" t="s">
        <v>2387</v>
      </c>
      <c r="L351" s="1" t="s">
        <v>2388</v>
      </c>
    </row>
    <row r="352" ht="12.75" customHeight="1">
      <c r="A352" s="4" t="s">
        <v>2929</v>
      </c>
      <c r="B352" s="5" t="s">
        <v>2929</v>
      </c>
      <c r="C352" s="1" t="str">
        <f t="shared" si="1"/>
        <v/>
      </c>
      <c r="E352" s="5" t="s">
        <v>2929</v>
      </c>
      <c r="F352" s="6" t="str">
        <f t="shared" si="2"/>
        <v>#N/A</v>
      </c>
      <c r="G352" s="1" t="str">
        <f t="shared" si="3"/>
        <v/>
      </c>
      <c r="H352" s="5" t="str">
        <f t="shared" si="4"/>
        <v>30, 35, POLIWAG</v>
      </c>
      <c r="K352" s="1" t="s">
        <v>2389</v>
      </c>
      <c r="L352" s="1" t="s">
        <v>2390</v>
      </c>
    </row>
    <row r="353" ht="12.75" customHeight="1">
      <c r="A353" s="4" t="s">
        <v>2930</v>
      </c>
      <c r="B353" s="5" t="s">
        <v>2930</v>
      </c>
      <c r="C353" s="1" t="str">
        <f t="shared" si="1"/>
        <v/>
      </c>
      <c r="E353" s="5" t="s">
        <v>2930</v>
      </c>
      <c r="F353" s="6" t="str">
        <f t="shared" si="2"/>
        <v>#N/A</v>
      </c>
      <c r="G353" s="1" t="str">
        <f t="shared" si="3"/>
        <v/>
      </c>
      <c r="H353" s="5" t="str">
        <f t="shared" si="4"/>
        <v>30, 35, GOLDEEN</v>
      </c>
      <c r="K353" s="1" t="s">
        <v>2391</v>
      </c>
      <c r="L353" s="1" t="s">
        <v>2392</v>
      </c>
    </row>
    <row r="354" ht="12.75" customHeight="1">
      <c r="A354" s="4" t="s">
        <v>2851</v>
      </c>
      <c r="B354" s="5" t="s">
        <v>2851</v>
      </c>
      <c r="C354" s="1" t="str">
        <f t="shared" si="1"/>
        <v/>
      </c>
      <c r="E354" s="5" t="s">
        <v>2851</v>
      </c>
      <c r="F354" s="6" t="str">
        <f t="shared" si="2"/>
        <v>#N/A</v>
      </c>
      <c r="G354" s="1" t="str">
        <f t="shared" si="3"/>
        <v/>
      </c>
      <c r="H354" s="5" t="str">
        <f t="shared" si="4"/>
        <v>super rod:</v>
      </c>
      <c r="K354" s="1" t="s">
        <v>2393</v>
      </c>
      <c r="L354" s="1" t="s">
        <v>2394</v>
      </c>
    </row>
    <row r="355" ht="12.75" customHeight="1">
      <c r="A355" s="4" t="s">
        <v>2931</v>
      </c>
      <c r="B355" s="5" t="s">
        <v>2931</v>
      </c>
      <c r="C355" s="1" t="str">
        <f t="shared" si="1"/>
        <v/>
      </c>
      <c r="E355" s="5" t="s">
        <v>2931</v>
      </c>
      <c r="F355" s="6" t="str">
        <f t="shared" si="2"/>
        <v>#N/A</v>
      </c>
      <c r="G355" s="1" t="str">
        <f t="shared" si="3"/>
        <v/>
      </c>
      <c r="H355" s="5" t="str">
        <f t="shared" si="4"/>
        <v>36, 40, POLIWHIRL</v>
      </c>
      <c r="K355" s="1" t="s">
        <v>2395</v>
      </c>
      <c r="L355" s="1" t="s">
        <v>2396</v>
      </c>
    </row>
    <row r="356" ht="12.75" customHeight="1">
      <c r="A356" s="4" t="s">
        <v>2932</v>
      </c>
      <c r="B356" s="5" t="s">
        <v>2932</v>
      </c>
      <c r="C356" s="1" t="str">
        <f t="shared" si="1"/>
        <v/>
      </c>
      <c r="E356" s="5" t="s">
        <v>2932</v>
      </c>
      <c r="F356" s="6" t="str">
        <f t="shared" si="2"/>
        <v>#N/A</v>
      </c>
      <c r="G356" s="1" t="str">
        <f t="shared" si="3"/>
        <v/>
      </c>
      <c r="H356" s="5" t="str">
        <f t="shared" si="4"/>
        <v>36, 40, SEAKING</v>
      </c>
      <c r="K356" s="1" t="s">
        <v>2397</v>
      </c>
      <c r="L356" s="1" t="s">
        <v>2398</v>
      </c>
    </row>
    <row r="357" ht="12.75" customHeight="1">
      <c r="A357" s="4" t="s">
        <v>2933</v>
      </c>
      <c r="B357" s="5" t="s">
        <v>2933</v>
      </c>
      <c r="C357" s="1" t="str">
        <f t="shared" si="1"/>
        <v/>
      </c>
      <c r="E357" s="5" t="s">
        <v>2933</v>
      </c>
      <c r="F357" s="6" t="str">
        <f t="shared" si="2"/>
        <v>#N/A</v>
      </c>
      <c r="G357" s="1" t="str">
        <f t="shared" si="3"/>
        <v/>
      </c>
      <c r="H357" s="5" t="str">
        <f t="shared" si="4"/>
        <v>38, 42, DRATINI</v>
      </c>
      <c r="K357" s="1" t="s">
        <v>2399</v>
      </c>
      <c r="L357" s="1" t="s">
        <v>2400</v>
      </c>
    </row>
    <row r="358" ht="12.75" customHeight="1">
      <c r="A358" s="4" t="s">
        <v>2934</v>
      </c>
      <c r="B358" s="5" t="s">
        <v>2934</v>
      </c>
      <c r="C358" s="1" t="str">
        <f t="shared" si="1"/>
        <v/>
      </c>
      <c r="E358" s="5" t="s">
        <v>2934</v>
      </c>
      <c r="F358" s="6" t="str">
        <f t="shared" si="2"/>
        <v>#N/A</v>
      </c>
      <c r="G358" s="1" t="str">
        <f t="shared" si="3"/>
        <v/>
      </c>
      <c r="H358" s="5" t="str">
        <f t="shared" si="4"/>
        <v>38, 42, DRAGONAIR</v>
      </c>
      <c r="K358" s="1" t="s">
        <v>2401</v>
      </c>
      <c r="L358" s="1" t="s">
        <v>2402</v>
      </c>
    </row>
    <row r="359" ht="12.75" customHeight="1">
      <c r="A359" s="4" t="s">
        <v>2935</v>
      </c>
      <c r="B359" s="5" t="s">
        <v>2935</v>
      </c>
      <c r="C359" s="1" t="str">
        <f t="shared" si="1"/>
        <v/>
      </c>
      <c r="E359" s="5" t="s">
        <v>2935</v>
      </c>
      <c r="F359" s="6" t="str">
        <f t="shared" si="2"/>
        <v>#N/A</v>
      </c>
      <c r="G359" s="1" t="str">
        <f t="shared" si="3"/>
        <v/>
      </c>
      <c r="H359" s="5" t="str">
        <f t="shared" si="4"/>
        <v>40, 44, DRAGONITE</v>
      </c>
      <c r="K359" s="1" t="s">
        <v>2403</v>
      </c>
      <c r="L359" s="1" t="s">
        <v>2404</v>
      </c>
    </row>
    <row r="360" ht="12.75" customHeight="1">
      <c r="A360" s="4" t="s">
        <v>2539</v>
      </c>
      <c r="B360" s="5" t="s">
        <v>2539</v>
      </c>
      <c r="C360" s="1">
        <f t="shared" si="1"/>
        <v>1</v>
      </c>
      <c r="E360" s="5" t="s">
        <v>2539</v>
      </c>
      <c r="F360" s="6" t="str">
        <f t="shared" si="2"/>
        <v>#N/A</v>
      </c>
      <c r="G360" s="1" t="str">
        <f t="shared" si="3"/>
        <v/>
      </c>
      <c r="H360" s="5" t="str">
        <f t="shared" si="4"/>
        <v>NEW ROUTE</v>
      </c>
      <c r="K360" s="1" t="s">
        <v>2405</v>
      </c>
      <c r="L360" s="1" t="s">
        <v>2406</v>
      </c>
    </row>
    <row r="361" ht="12.75" customHeight="1">
      <c r="A361" s="4" t="s">
        <v>1695</v>
      </c>
      <c r="B361" s="5" t="s">
        <v>1695</v>
      </c>
      <c r="C361" s="1" t="str">
        <f t="shared" si="1"/>
        <v/>
      </c>
      <c r="E361" s="5" t="s">
        <v>1695</v>
      </c>
      <c r="F361" s="6" t="str">
        <f t="shared" si="2"/>
        <v>Safari Zone West</v>
      </c>
      <c r="G361" s="1" t="str">
        <f t="shared" si="3"/>
        <v>Safari Zone West</v>
      </c>
      <c r="H361" s="5" t="str">
        <f t="shared" si="4"/>
        <v>Safari Zone West</v>
      </c>
      <c r="K361" s="1" t="s">
        <v>2407</v>
      </c>
      <c r="L361" s="1" t="s">
        <v>2408</v>
      </c>
    </row>
    <row r="362" ht="12.75" customHeight="1">
      <c r="A362" s="4" t="s">
        <v>2799</v>
      </c>
      <c r="B362" s="5">
        <v>0.2</v>
      </c>
      <c r="C362" s="1" t="str">
        <f t="shared" si="1"/>
        <v/>
      </c>
      <c r="E362" s="5">
        <v>0.2</v>
      </c>
      <c r="F362" s="6" t="str">
        <f t="shared" si="2"/>
        <v>#N/A</v>
      </c>
      <c r="G362" s="1" t="str">
        <f t="shared" si="3"/>
        <v/>
      </c>
      <c r="H362" s="5">
        <f t="shared" si="4"/>
        <v>0.2</v>
      </c>
      <c r="K362" s="1" t="s">
        <v>2409</v>
      </c>
      <c r="L362" s="1" t="s">
        <v>2410</v>
      </c>
    </row>
    <row r="363" ht="12.75" customHeight="1">
      <c r="A363" s="4" t="s">
        <v>484</v>
      </c>
      <c r="B363" s="5" t="s">
        <v>484</v>
      </c>
      <c r="C363" s="1" t="str">
        <f t="shared" si="1"/>
        <v/>
      </c>
      <c r="E363" s="5" t="s">
        <v>484</v>
      </c>
      <c r="F363" s="6" t="str">
        <f t="shared" si="2"/>
        <v>#N/A</v>
      </c>
      <c r="G363" s="1" t="str">
        <f t="shared" si="3"/>
        <v/>
      </c>
      <c r="H363" s="5" t="str">
        <f t="shared" si="4"/>
        <v>35, 40, NIDOKING</v>
      </c>
      <c r="K363" s="1" t="s">
        <v>2411</v>
      </c>
      <c r="L363" s="1" t="s">
        <v>2412</v>
      </c>
    </row>
    <row r="364" ht="12.75" customHeight="1">
      <c r="A364" s="4" t="s">
        <v>2910</v>
      </c>
      <c r="B364" s="5" t="s">
        <v>2910</v>
      </c>
      <c r="C364" s="1" t="str">
        <f t="shared" si="1"/>
        <v/>
      </c>
      <c r="E364" s="5" t="s">
        <v>2910</v>
      </c>
      <c r="F364" s="6" t="str">
        <f t="shared" si="2"/>
        <v>#N/A</v>
      </c>
      <c r="G364" s="1" t="str">
        <f t="shared" si="3"/>
        <v/>
      </c>
      <c r="H364" s="5" t="str">
        <f t="shared" si="4"/>
        <v>35, 40, NIDOQUEEN</v>
      </c>
      <c r="K364" s="1" t="s">
        <v>2413</v>
      </c>
      <c r="L364" s="1" t="s">
        <v>2414</v>
      </c>
    </row>
    <row r="365" ht="12.75" customHeight="1">
      <c r="A365" s="4" t="s">
        <v>2802</v>
      </c>
      <c r="B365" s="5">
        <v>0.1</v>
      </c>
      <c r="C365" s="1" t="str">
        <f t="shared" si="1"/>
        <v/>
      </c>
      <c r="E365" s="5">
        <v>0.1</v>
      </c>
      <c r="F365" s="6" t="str">
        <f t="shared" si="2"/>
        <v>#N/A</v>
      </c>
      <c r="G365" s="1" t="str">
        <f t="shared" si="3"/>
        <v/>
      </c>
      <c r="H365" s="5">
        <f t="shared" si="4"/>
        <v>0.1</v>
      </c>
      <c r="K365" s="1" t="s">
        <v>2415</v>
      </c>
      <c r="L365" s="1" t="s">
        <v>2416</v>
      </c>
    </row>
    <row r="366" ht="12.75" customHeight="1">
      <c r="A366" s="4" t="s">
        <v>2911</v>
      </c>
      <c r="B366" s="5" t="s">
        <v>2911</v>
      </c>
      <c r="C366" s="1" t="str">
        <f t="shared" si="1"/>
        <v/>
      </c>
      <c r="E366" s="5" t="s">
        <v>2911</v>
      </c>
      <c r="F366" s="6" t="str">
        <f t="shared" si="2"/>
        <v>#N/A</v>
      </c>
      <c r="G366" s="1" t="str">
        <f t="shared" si="3"/>
        <v/>
      </c>
      <c r="H366" s="5" t="str">
        <f t="shared" si="4"/>
        <v>36, 41, PARASECT</v>
      </c>
      <c r="K366" s="1" t="s">
        <v>2417</v>
      </c>
      <c r="L366" s="1" t="s">
        <v>2418</v>
      </c>
    </row>
    <row r="367" ht="12.75" customHeight="1">
      <c r="A367" s="4" t="s">
        <v>2912</v>
      </c>
      <c r="B367" s="5" t="s">
        <v>2912</v>
      </c>
      <c r="C367" s="1" t="str">
        <f t="shared" si="1"/>
        <v/>
      </c>
      <c r="E367" s="5" t="s">
        <v>2912</v>
      </c>
      <c r="F367" s="6" t="str">
        <f t="shared" si="2"/>
        <v>#N/A</v>
      </c>
      <c r="G367" s="1" t="str">
        <f t="shared" si="3"/>
        <v/>
      </c>
      <c r="H367" s="5" t="str">
        <f t="shared" si="4"/>
        <v>36, 41, VENOMOTH</v>
      </c>
      <c r="K367" s="1" t="s">
        <v>2419</v>
      </c>
      <c r="L367" s="1" t="s">
        <v>2420</v>
      </c>
    </row>
    <row r="368" ht="12.75" customHeight="1">
      <c r="A368" s="4" t="s">
        <v>2951</v>
      </c>
      <c r="B368" s="5" t="s">
        <v>2951</v>
      </c>
      <c r="C368" s="1" t="str">
        <f t="shared" si="1"/>
        <v/>
      </c>
      <c r="E368" s="5" t="s">
        <v>2951</v>
      </c>
      <c r="F368" s="6" t="str">
        <f t="shared" si="2"/>
        <v>#N/A</v>
      </c>
      <c r="G368" s="1" t="str">
        <f t="shared" si="3"/>
        <v/>
      </c>
      <c r="H368" s="5" t="str">
        <f t="shared" si="4"/>
        <v>36, 41, RAPIDASH</v>
      </c>
      <c r="K368" s="1" t="s">
        <v>2421</v>
      </c>
      <c r="L368" s="1" t="s">
        <v>2422</v>
      </c>
    </row>
    <row r="369" ht="12.75" customHeight="1">
      <c r="A369" s="4" t="s">
        <v>2952</v>
      </c>
      <c r="B369" s="5" t="s">
        <v>2952</v>
      </c>
      <c r="C369" s="1" t="str">
        <f t="shared" si="1"/>
        <v/>
      </c>
      <c r="E369" s="5" t="s">
        <v>2952</v>
      </c>
      <c r="F369" s="6" t="str">
        <f t="shared" si="2"/>
        <v>#N/A</v>
      </c>
      <c r="G369" s="1" t="str">
        <f t="shared" si="3"/>
        <v/>
      </c>
      <c r="H369" s="5" t="str">
        <f t="shared" si="4"/>
        <v>36, 41, TANGELA</v>
      </c>
      <c r="K369" s="1" t="s">
        <v>2423</v>
      </c>
      <c r="L369" s="1" t="s">
        <v>2424</v>
      </c>
    </row>
    <row r="370" ht="12.75" customHeight="1">
      <c r="A370" s="4" t="s">
        <v>2807</v>
      </c>
      <c r="B370" s="5">
        <v>0.05</v>
      </c>
      <c r="C370" s="1" t="str">
        <f t="shared" si="1"/>
        <v/>
      </c>
      <c r="E370" s="5">
        <v>0.05</v>
      </c>
      <c r="F370" s="6" t="str">
        <f t="shared" si="2"/>
        <v>#N/A</v>
      </c>
      <c r="G370" s="1" t="str">
        <f t="shared" si="3"/>
        <v/>
      </c>
      <c r="H370" s="5">
        <f t="shared" si="4"/>
        <v>0.05</v>
      </c>
      <c r="K370" s="1" t="s">
        <v>2425</v>
      </c>
      <c r="L370" s="1" t="s">
        <v>2426</v>
      </c>
    </row>
    <row r="371" ht="12.75" customHeight="1">
      <c r="A371" s="4" t="s">
        <v>2915</v>
      </c>
      <c r="B371" s="5" t="s">
        <v>2915</v>
      </c>
      <c r="C371" s="1" t="str">
        <f t="shared" si="1"/>
        <v/>
      </c>
      <c r="E371" s="5" t="s">
        <v>2915</v>
      </c>
      <c r="F371" s="6" t="str">
        <f t="shared" si="2"/>
        <v>#N/A</v>
      </c>
      <c r="G371" s="1" t="str">
        <f t="shared" si="3"/>
        <v/>
      </c>
      <c r="H371" s="5" t="str">
        <f t="shared" si="4"/>
        <v>37, 39, SCIZOR</v>
      </c>
      <c r="K371" s="1" t="s">
        <v>2427</v>
      </c>
      <c r="L371" s="1" t="s">
        <v>2428</v>
      </c>
    </row>
    <row r="372" ht="12.75" customHeight="1">
      <c r="A372" s="4" t="s">
        <v>2916</v>
      </c>
      <c r="B372" s="5" t="s">
        <v>2916</v>
      </c>
      <c r="C372" s="1" t="str">
        <f t="shared" si="1"/>
        <v/>
      </c>
      <c r="E372" s="5" t="s">
        <v>2916</v>
      </c>
      <c r="F372" s="6" t="str">
        <f t="shared" si="2"/>
        <v>#N/A</v>
      </c>
      <c r="G372" s="1" t="str">
        <f t="shared" si="3"/>
        <v/>
      </c>
      <c r="H372" s="5" t="str">
        <f t="shared" si="4"/>
        <v>37, 39, PINSIRIOR</v>
      </c>
      <c r="K372" s="1" t="s">
        <v>2429</v>
      </c>
      <c r="L372" s="1" t="s">
        <v>2430</v>
      </c>
    </row>
    <row r="373" ht="12.75" customHeight="1">
      <c r="A373" s="4" t="s">
        <v>2810</v>
      </c>
      <c r="B373" s="5">
        <v>0.04</v>
      </c>
      <c r="C373" s="1" t="str">
        <f t="shared" si="1"/>
        <v/>
      </c>
      <c r="E373" s="5">
        <v>0.04</v>
      </c>
      <c r="F373" s="6" t="str">
        <f t="shared" si="2"/>
        <v>#N/A</v>
      </c>
      <c r="G373" s="1" t="str">
        <f t="shared" si="3"/>
        <v/>
      </c>
      <c r="H373" s="5">
        <f t="shared" si="4"/>
        <v>0.04</v>
      </c>
      <c r="K373" s="1" t="s">
        <v>2431</v>
      </c>
      <c r="L373" s="1" t="s">
        <v>2432</v>
      </c>
    </row>
    <row r="374" ht="12.75" customHeight="1">
      <c r="A374" s="4" t="s">
        <v>2953</v>
      </c>
      <c r="B374" s="5" t="s">
        <v>2953</v>
      </c>
      <c r="C374" s="1" t="str">
        <f t="shared" si="1"/>
        <v/>
      </c>
      <c r="E374" s="5" t="s">
        <v>2953</v>
      </c>
      <c r="F374" s="6" t="str">
        <f t="shared" si="2"/>
        <v>#N/A</v>
      </c>
      <c r="G374" s="1" t="str">
        <f t="shared" si="3"/>
        <v/>
      </c>
      <c r="H374" s="5" t="str">
        <f t="shared" si="4"/>
        <v>38, 42, SNORLAX</v>
      </c>
      <c r="K374" s="1" t="s">
        <v>2433</v>
      </c>
      <c r="L374" s="1" t="s">
        <v>2434</v>
      </c>
    </row>
    <row r="375" ht="12.75" customHeight="1">
      <c r="A375" s="4" t="s">
        <v>2954</v>
      </c>
      <c r="B375" s="5" t="s">
        <v>2954</v>
      </c>
      <c r="C375" s="1" t="str">
        <f t="shared" si="1"/>
        <v/>
      </c>
      <c r="E375" s="5" t="s">
        <v>2954</v>
      </c>
      <c r="F375" s="6" t="str">
        <f t="shared" si="2"/>
        <v>#N/A</v>
      </c>
      <c r="G375" s="1" t="str">
        <f t="shared" si="3"/>
        <v/>
      </c>
      <c r="H375" s="5" t="str">
        <f t="shared" si="4"/>
        <v>38, 42, HITMONLEE</v>
      </c>
      <c r="K375" s="1" t="s">
        <v>2435</v>
      </c>
      <c r="L375" s="1" t="s">
        <v>2436</v>
      </c>
    </row>
    <row r="376" ht="12.75" customHeight="1">
      <c r="A376" s="4" t="s">
        <v>2813</v>
      </c>
      <c r="B376" s="5">
        <v>0.01</v>
      </c>
      <c r="C376" s="1" t="str">
        <f t="shared" si="1"/>
        <v/>
      </c>
      <c r="E376" s="5">
        <v>0.01</v>
      </c>
      <c r="F376" s="6" t="str">
        <f t="shared" si="2"/>
        <v>#N/A</v>
      </c>
      <c r="G376" s="1" t="str">
        <f t="shared" si="3"/>
        <v/>
      </c>
      <c r="H376" s="5">
        <f t="shared" si="4"/>
        <v>0.01</v>
      </c>
      <c r="K376" s="1" t="s">
        <v>2437</v>
      </c>
      <c r="L376" s="1" t="s">
        <v>2438</v>
      </c>
    </row>
    <row r="377" ht="12.75" customHeight="1">
      <c r="A377" s="4" t="s">
        <v>2955</v>
      </c>
      <c r="B377" s="5" t="s">
        <v>2955</v>
      </c>
      <c r="C377" s="1" t="str">
        <f t="shared" si="1"/>
        <v/>
      </c>
      <c r="E377" s="5" t="s">
        <v>2955</v>
      </c>
      <c r="F377" s="6" t="str">
        <f t="shared" si="2"/>
        <v>#N/A</v>
      </c>
      <c r="G377" s="1" t="str">
        <f t="shared" si="3"/>
        <v/>
      </c>
      <c r="H377" s="5" t="str">
        <f t="shared" si="4"/>
        <v>40, 40, ACTLAX</v>
      </c>
      <c r="K377" s="1" t="s">
        <v>2439</v>
      </c>
      <c r="L377" s="1" t="s">
        <v>2440</v>
      </c>
    </row>
    <row r="378" ht="12.75" customHeight="1">
      <c r="A378" s="4" t="s">
        <v>2956</v>
      </c>
      <c r="B378" s="5" t="s">
        <v>2956</v>
      </c>
      <c r="C378" s="1" t="str">
        <f t="shared" si="1"/>
        <v/>
      </c>
      <c r="E378" s="5" t="s">
        <v>2956</v>
      </c>
      <c r="F378" s="6" t="str">
        <f t="shared" si="2"/>
        <v>#N/A</v>
      </c>
      <c r="G378" s="1" t="str">
        <f t="shared" si="3"/>
        <v/>
      </c>
      <c r="H378" s="5" t="str">
        <f t="shared" si="4"/>
        <v>40, 40, TANGROWTH</v>
      </c>
      <c r="K378" s="1" t="s">
        <v>2441</v>
      </c>
      <c r="L378" s="1" t="s">
        <v>2442</v>
      </c>
    </row>
    <row r="379" ht="12.75" customHeight="1">
      <c r="A379" s="4" t="s">
        <v>2921</v>
      </c>
      <c r="B379" s="5" t="s">
        <v>2921</v>
      </c>
      <c r="C379" s="1" t="str">
        <f t="shared" si="1"/>
        <v/>
      </c>
      <c r="E379" s="5" t="s">
        <v>2921</v>
      </c>
      <c r="F379" s="6" t="str">
        <f t="shared" si="2"/>
        <v>#N/A</v>
      </c>
      <c r="G379" s="1" t="str">
        <f t="shared" si="3"/>
        <v/>
      </c>
      <c r="H379" s="5" t="str">
        <f t="shared" si="4"/>
        <v>2, 38, 42, SLOWPOKE</v>
      </c>
      <c r="K379" s="1" t="s">
        <v>2443</v>
      </c>
      <c r="L379" s="1" t="s">
        <v>2444</v>
      </c>
    </row>
    <row r="380" ht="12.75" customHeight="1">
      <c r="A380" s="4" t="s">
        <v>2922</v>
      </c>
      <c r="B380" s="5" t="s">
        <v>2922</v>
      </c>
      <c r="C380" s="1" t="str">
        <f t="shared" si="1"/>
        <v/>
      </c>
      <c r="E380" s="5" t="s">
        <v>2922</v>
      </c>
      <c r="F380" s="6" t="str">
        <f t="shared" si="2"/>
        <v>#N/A</v>
      </c>
      <c r="G380" s="1" t="str">
        <f t="shared" si="3"/>
        <v/>
      </c>
      <c r="H380" s="5" t="str">
        <f t="shared" si="4"/>
        <v>40, 42, PSYDUCK</v>
      </c>
      <c r="K380" s="1" t="s">
        <v>2445</v>
      </c>
      <c r="L380" s="1" t="s">
        <v>2446</v>
      </c>
    </row>
    <row r="381" ht="12.75" customHeight="1">
      <c r="A381" s="4" t="s">
        <v>2923</v>
      </c>
      <c r="B381" s="5" t="s">
        <v>2923</v>
      </c>
      <c r="C381" s="1" t="str">
        <f t="shared" si="1"/>
        <v/>
      </c>
      <c r="E381" s="5" t="s">
        <v>2923</v>
      </c>
      <c r="F381" s="6" t="str">
        <f t="shared" si="2"/>
        <v>#N/A</v>
      </c>
      <c r="G381" s="1" t="str">
        <f t="shared" si="3"/>
        <v/>
      </c>
      <c r="H381" s="5" t="str">
        <f t="shared" si="4"/>
        <v>42, 46, SLOWBRO</v>
      </c>
      <c r="K381" s="1" t="s">
        <v>2447</v>
      </c>
      <c r="L381" s="1" t="s">
        <v>2448</v>
      </c>
    </row>
    <row r="382" ht="12.75" customHeight="1">
      <c r="A382" s="4" t="s">
        <v>2924</v>
      </c>
      <c r="B382" s="5" t="s">
        <v>2924</v>
      </c>
      <c r="C382" s="1" t="str">
        <f t="shared" si="1"/>
        <v/>
      </c>
      <c r="E382" s="5" t="s">
        <v>2924</v>
      </c>
      <c r="F382" s="6" t="str">
        <f t="shared" si="2"/>
        <v>#N/A</v>
      </c>
      <c r="G382" s="1" t="str">
        <f t="shared" si="3"/>
        <v/>
      </c>
      <c r="H382" s="5" t="str">
        <f t="shared" si="4"/>
        <v>42, 46, GOLDUCK</v>
      </c>
      <c r="K382" s="1" t="s">
        <v>2449</v>
      </c>
      <c r="L382" s="1" t="s">
        <v>2450</v>
      </c>
    </row>
    <row r="383" ht="12.75" customHeight="1">
      <c r="A383" s="4" t="s">
        <v>2925</v>
      </c>
      <c r="B383" s="5" t="s">
        <v>2925</v>
      </c>
      <c r="C383" s="1" t="str">
        <f t="shared" si="1"/>
        <v/>
      </c>
      <c r="E383" s="5" t="s">
        <v>2925</v>
      </c>
      <c r="F383" s="6" t="str">
        <f t="shared" si="2"/>
        <v>#N/A</v>
      </c>
      <c r="G383" s="1" t="str">
        <f t="shared" si="3"/>
        <v/>
      </c>
      <c r="H383" s="5" t="str">
        <f t="shared" si="4"/>
        <v>44, 48, VAPOREON</v>
      </c>
      <c r="K383" s="1" t="s">
        <v>2451</v>
      </c>
      <c r="L383" s="1" t="s">
        <v>2452</v>
      </c>
    </row>
    <row r="384" ht="12.75" customHeight="1">
      <c r="A384" s="4" t="s">
        <v>2926</v>
      </c>
      <c r="B384" s="5" t="s">
        <v>2926</v>
      </c>
      <c r="C384" s="1" t="str">
        <f t="shared" si="1"/>
        <v/>
      </c>
      <c r="E384" s="5" t="s">
        <v>2926</v>
      </c>
      <c r="F384" s="6" t="str">
        <f t="shared" si="2"/>
        <v>#N/A</v>
      </c>
      <c r="G384" s="1" t="str">
        <f t="shared" si="3"/>
        <v/>
      </c>
      <c r="H384" s="5" t="str">
        <f t="shared" si="4"/>
        <v>20, old rod:</v>
      </c>
      <c r="K384" s="1" t="s">
        <v>2453</v>
      </c>
      <c r="L384" s="1" t="s">
        <v>2454</v>
      </c>
    </row>
    <row r="385" ht="12.75" customHeight="1">
      <c r="A385" s="4" t="s">
        <v>500</v>
      </c>
      <c r="B385" s="5" t="s">
        <v>500</v>
      </c>
      <c r="C385" s="1" t="str">
        <f t="shared" si="1"/>
        <v/>
      </c>
      <c r="E385" s="5" t="s">
        <v>500</v>
      </c>
      <c r="F385" s="6" t="str">
        <f t="shared" si="2"/>
        <v>#N/A</v>
      </c>
      <c r="G385" s="1" t="str">
        <f t="shared" si="3"/>
        <v/>
      </c>
      <c r="H385" s="5" t="str">
        <f t="shared" si="4"/>
        <v>19, 26, MAGIKARP</v>
      </c>
      <c r="K385" s="1" t="s">
        <v>2455</v>
      </c>
      <c r="L385" s="1" t="s">
        <v>2456</v>
      </c>
    </row>
    <row r="386" ht="12.75" customHeight="1">
      <c r="A386" s="4" t="s">
        <v>2927</v>
      </c>
      <c r="B386" s="5" t="s">
        <v>2927</v>
      </c>
      <c r="C386" s="1" t="str">
        <f t="shared" si="1"/>
        <v/>
      </c>
      <c r="E386" s="5" t="s">
        <v>2927</v>
      </c>
      <c r="F386" s="6" t="str">
        <f t="shared" si="2"/>
        <v>#N/A</v>
      </c>
      <c r="G386" s="1" t="str">
        <f t="shared" si="3"/>
        <v/>
      </c>
      <c r="H386" s="5" t="str">
        <f t="shared" si="4"/>
        <v>19, 26, POLIWAG</v>
      </c>
      <c r="K386" s="1" t="s">
        <v>2457</v>
      </c>
      <c r="L386" s="1" t="s">
        <v>2458</v>
      </c>
    </row>
    <row r="387" ht="12.75" customHeight="1">
      <c r="A387" s="4" t="s">
        <v>2847</v>
      </c>
      <c r="B387" s="5" t="s">
        <v>2847</v>
      </c>
      <c r="C387" s="1" t="str">
        <f t="shared" si="1"/>
        <v/>
      </c>
      <c r="E387" s="5" t="s">
        <v>2847</v>
      </c>
      <c r="F387" s="6" t="str">
        <f t="shared" si="2"/>
        <v>#N/A</v>
      </c>
      <c r="G387" s="1" t="str">
        <f t="shared" si="3"/>
        <v/>
      </c>
      <c r="H387" s="5" t="str">
        <f t="shared" si="4"/>
        <v>good rod:</v>
      </c>
      <c r="K387" s="1" t="s">
        <v>2459</v>
      </c>
      <c r="L387" s="1" t="s">
        <v>2460</v>
      </c>
    </row>
    <row r="388" ht="12.75" customHeight="1">
      <c r="A388" s="4" t="s">
        <v>2928</v>
      </c>
      <c r="B388" s="5" t="s">
        <v>2928</v>
      </c>
      <c r="C388" s="1" t="str">
        <f t="shared" si="1"/>
        <v/>
      </c>
      <c r="E388" s="5" t="s">
        <v>2928</v>
      </c>
      <c r="F388" s="6" t="str">
        <f t="shared" si="2"/>
        <v>#N/A</v>
      </c>
      <c r="G388" s="1" t="str">
        <f t="shared" si="3"/>
        <v/>
      </c>
      <c r="H388" s="5" t="str">
        <f t="shared" si="4"/>
        <v>29, 33, GYARADOS</v>
      </c>
      <c r="K388" s="1" t="s">
        <v>2461</v>
      </c>
      <c r="L388" s="1" t="s">
        <v>2460</v>
      </c>
    </row>
    <row r="389" ht="12.75" customHeight="1">
      <c r="A389" s="4" t="s">
        <v>2929</v>
      </c>
      <c r="B389" s="5" t="s">
        <v>2929</v>
      </c>
      <c r="C389" s="1" t="str">
        <f t="shared" si="1"/>
        <v/>
      </c>
      <c r="E389" s="5" t="s">
        <v>2929</v>
      </c>
      <c r="F389" s="6" t="str">
        <f t="shared" si="2"/>
        <v>#N/A</v>
      </c>
      <c r="G389" s="1" t="str">
        <f t="shared" si="3"/>
        <v/>
      </c>
      <c r="H389" s="5" t="str">
        <f t="shared" si="4"/>
        <v>30, 35, POLIWAG</v>
      </c>
      <c r="K389" s="1" t="s">
        <v>2462</v>
      </c>
      <c r="L389" s="1" t="s">
        <v>2463</v>
      </c>
    </row>
    <row r="390" ht="12.75" customHeight="1">
      <c r="A390" s="4" t="s">
        <v>2930</v>
      </c>
      <c r="B390" s="5" t="s">
        <v>2930</v>
      </c>
      <c r="C390" s="1" t="str">
        <f t="shared" si="1"/>
        <v/>
      </c>
      <c r="E390" s="5" t="s">
        <v>2930</v>
      </c>
      <c r="F390" s="6" t="str">
        <f t="shared" si="2"/>
        <v>#N/A</v>
      </c>
      <c r="G390" s="1" t="str">
        <f t="shared" si="3"/>
        <v/>
      </c>
      <c r="H390" s="5" t="str">
        <f t="shared" si="4"/>
        <v>30, 35, GOLDEEN</v>
      </c>
      <c r="K390" s="1" t="s">
        <v>2464</v>
      </c>
      <c r="L390" s="1" t="s">
        <v>2465</v>
      </c>
    </row>
    <row r="391" ht="12.75" customHeight="1">
      <c r="A391" s="4" t="s">
        <v>2851</v>
      </c>
      <c r="B391" s="5" t="s">
        <v>2851</v>
      </c>
      <c r="C391" s="1" t="str">
        <f t="shared" si="1"/>
        <v/>
      </c>
      <c r="E391" s="5" t="s">
        <v>2851</v>
      </c>
      <c r="F391" s="6" t="str">
        <f t="shared" si="2"/>
        <v>#N/A</v>
      </c>
      <c r="G391" s="1" t="str">
        <f t="shared" si="3"/>
        <v/>
      </c>
      <c r="H391" s="5" t="str">
        <f t="shared" si="4"/>
        <v>super rod:</v>
      </c>
      <c r="K391" s="1" t="s">
        <v>2466</v>
      </c>
      <c r="L391" s="1" t="s">
        <v>2467</v>
      </c>
    </row>
    <row r="392" ht="12.75" customHeight="1">
      <c r="A392" s="4" t="s">
        <v>2931</v>
      </c>
      <c r="B392" s="5" t="s">
        <v>2931</v>
      </c>
      <c r="C392" s="1" t="str">
        <f t="shared" si="1"/>
        <v/>
      </c>
      <c r="E392" s="5" t="s">
        <v>2931</v>
      </c>
      <c r="F392" s="6" t="str">
        <f t="shared" si="2"/>
        <v>#N/A</v>
      </c>
      <c r="G392" s="1" t="str">
        <f t="shared" si="3"/>
        <v/>
      </c>
      <c r="H392" s="5" t="str">
        <f t="shared" si="4"/>
        <v>36, 40, POLIWHIRL</v>
      </c>
      <c r="K392" s="1" t="s">
        <v>2468</v>
      </c>
      <c r="L392" s="1" t="s">
        <v>2469</v>
      </c>
    </row>
    <row r="393" ht="12.75" customHeight="1">
      <c r="A393" s="4" t="s">
        <v>2932</v>
      </c>
      <c r="B393" s="5" t="s">
        <v>2932</v>
      </c>
      <c r="C393" s="1" t="str">
        <f t="shared" si="1"/>
        <v/>
      </c>
      <c r="E393" s="5" t="s">
        <v>2932</v>
      </c>
      <c r="F393" s="6" t="str">
        <f t="shared" si="2"/>
        <v>#N/A</v>
      </c>
      <c r="G393" s="1" t="str">
        <f t="shared" si="3"/>
        <v/>
      </c>
      <c r="H393" s="5" t="str">
        <f t="shared" si="4"/>
        <v>36, 40, SEAKING</v>
      </c>
      <c r="K393" s="1" t="s">
        <v>2470</v>
      </c>
      <c r="L393" s="1" t="s">
        <v>2471</v>
      </c>
    </row>
    <row r="394" ht="12.75" customHeight="1">
      <c r="A394" s="4" t="s">
        <v>2933</v>
      </c>
      <c r="B394" s="5" t="s">
        <v>2933</v>
      </c>
      <c r="C394" s="1" t="str">
        <f t="shared" si="1"/>
        <v/>
      </c>
      <c r="E394" s="5" t="s">
        <v>2933</v>
      </c>
      <c r="F394" s="6" t="str">
        <f t="shared" si="2"/>
        <v>#N/A</v>
      </c>
      <c r="G394" s="1" t="str">
        <f t="shared" si="3"/>
        <v/>
      </c>
      <c r="H394" s="5" t="str">
        <f t="shared" si="4"/>
        <v>38, 42, DRATINI</v>
      </c>
      <c r="K394" s="1" t="s">
        <v>2472</v>
      </c>
      <c r="L394" s="1" t="s">
        <v>2473</v>
      </c>
    </row>
    <row r="395" ht="12.75" customHeight="1">
      <c r="A395" s="4" t="s">
        <v>2934</v>
      </c>
      <c r="B395" s="5" t="s">
        <v>2934</v>
      </c>
      <c r="C395" s="1" t="str">
        <f t="shared" si="1"/>
        <v/>
      </c>
      <c r="E395" s="5" t="s">
        <v>2934</v>
      </c>
      <c r="F395" s="6" t="str">
        <f t="shared" si="2"/>
        <v>#N/A</v>
      </c>
      <c r="G395" s="1" t="str">
        <f t="shared" si="3"/>
        <v/>
      </c>
      <c r="H395" s="5" t="str">
        <f t="shared" si="4"/>
        <v>38, 42, DRAGONAIR</v>
      </c>
      <c r="K395" s="1" t="s">
        <v>2474</v>
      </c>
      <c r="L395" s="1" t="s">
        <v>2475</v>
      </c>
    </row>
    <row r="396" ht="12.75" customHeight="1">
      <c r="A396" s="4" t="s">
        <v>2935</v>
      </c>
      <c r="B396" s="5" t="s">
        <v>2935</v>
      </c>
      <c r="C396" s="1" t="str">
        <f t="shared" si="1"/>
        <v/>
      </c>
      <c r="E396" s="5" t="s">
        <v>2935</v>
      </c>
      <c r="F396" s="6" t="str">
        <f t="shared" si="2"/>
        <v>#N/A</v>
      </c>
      <c r="G396" s="1" t="str">
        <f t="shared" si="3"/>
        <v/>
      </c>
      <c r="H396" s="5" t="str">
        <f t="shared" si="4"/>
        <v>40, 44, DRAGONITE</v>
      </c>
      <c r="K396" s="1" t="s">
        <v>2476</v>
      </c>
      <c r="L396" s="1" t="s">
        <v>2477</v>
      </c>
    </row>
    <row r="397" ht="12.75" customHeight="1">
      <c r="A397" s="4" t="s">
        <v>2539</v>
      </c>
      <c r="B397" s="5" t="s">
        <v>2539</v>
      </c>
      <c r="C397" s="1">
        <f t="shared" si="1"/>
        <v>1</v>
      </c>
      <c r="E397" s="5" t="s">
        <v>2539</v>
      </c>
      <c r="F397" s="6" t="str">
        <f t="shared" si="2"/>
        <v>#N/A</v>
      </c>
      <c r="G397" s="1" t="str">
        <f t="shared" si="3"/>
        <v/>
      </c>
      <c r="H397" s="5" t="str">
        <f t="shared" si="4"/>
        <v>NEW ROUTE</v>
      </c>
      <c r="K397" s="1" t="s">
        <v>2478</v>
      </c>
      <c r="L397" s="1" t="s">
        <v>2477</v>
      </c>
    </row>
    <row r="398" ht="12.75" customHeight="1">
      <c r="A398" s="4" t="s">
        <v>1727</v>
      </c>
      <c r="B398" s="5" t="s">
        <v>1727</v>
      </c>
      <c r="C398" s="1" t="str">
        <f t="shared" si="1"/>
        <v/>
      </c>
      <c r="E398" s="5" t="s">
        <v>1727</v>
      </c>
      <c r="F398" s="6" t="str">
        <f t="shared" si="2"/>
        <v>Cerulean Cave 1F</v>
      </c>
      <c r="G398" s="1" t="str">
        <f t="shared" si="3"/>
        <v>Cerulean Cave 1F</v>
      </c>
      <c r="H398" s="5" t="str">
        <f t="shared" si="4"/>
        <v>Cerulean Cave 1F</v>
      </c>
      <c r="K398" s="1" t="s">
        <v>2479</v>
      </c>
      <c r="L398" s="1" t="s">
        <v>2480</v>
      </c>
    </row>
    <row r="399" ht="12.75" customHeight="1">
      <c r="A399" s="4" t="s">
        <v>2799</v>
      </c>
      <c r="B399" s="5">
        <v>0.2</v>
      </c>
      <c r="C399" s="1" t="str">
        <f t="shared" si="1"/>
        <v/>
      </c>
      <c r="E399" s="5">
        <v>0.2</v>
      </c>
      <c r="F399" s="6" t="str">
        <f t="shared" si="2"/>
        <v>#N/A</v>
      </c>
      <c r="G399" s="1" t="str">
        <f t="shared" si="3"/>
        <v/>
      </c>
      <c r="H399" s="5">
        <f t="shared" si="4"/>
        <v>0.2</v>
      </c>
      <c r="K399" s="1" t="s">
        <v>2481</v>
      </c>
      <c r="L399" s="1" t="s">
        <v>2482</v>
      </c>
    </row>
    <row r="400" ht="12.75" customHeight="1">
      <c r="A400" s="4" t="s">
        <v>532</v>
      </c>
      <c r="B400" s="5" t="s">
        <v>532</v>
      </c>
      <c r="C400" s="1" t="str">
        <f t="shared" si="1"/>
        <v/>
      </c>
      <c r="E400" s="5" t="s">
        <v>532</v>
      </c>
      <c r="F400" s="6" t="str">
        <f t="shared" si="2"/>
        <v>#N/A</v>
      </c>
      <c r="G400" s="1" t="str">
        <f t="shared" si="3"/>
        <v/>
      </c>
      <c r="H400" s="5" t="str">
        <f t="shared" si="4"/>
        <v>50, 55, DUGROUPLE</v>
      </c>
      <c r="K400" s="1" t="s">
        <v>2483</v>
      </c>
      <c r="L400" s="1" t="s">
        <v>2484</v>
      </c>
    </row>
    <row r="401" ht="12.75" customHeight="1">
      <c r="A401" s="4" t="s">
        <v>2958</v>
      </c>
      <c r="B401" s="5" t="s">
        <v>2958</v>
      </c>
      <c r="C401" s="1" t="str">
        <f t="shared" si="1"/>
        <v/>
      </c>
      <c r="E401" s="5" t="s">
        <v>2958</v>
      </c>
      <c r="F401" s="6" t="str">
        <f t="shared" si="2"/>
        <v>#N/A</v>
      </c>
      <c r="G401" s="1" t="str">
        <f t="shared" si="3"/>
        <v/>
      </c>
      <c r="H401" s="5" t="str">
        <f t="shared" si="4"/>
        <v>50, 55, POLABAT</v>
      </c>
      <c r="K401" s="1" t="s">
        <v>2485</v>
      </c>
      <c r="L401" s="1" t="s">
        <v>2486</v>
      </c>
    </row>
    <row r="402" ht="12.75" customHeight="1">
      <c r="A402" s="4" t="s">
        <v>2802</v>
      </c>
      <c r="B402" s="5">
        <v>0.1</v>
      </c>
      <c r="C402" s="1" t="str">
        <f t="shared" si="1"/>
        <v/>
      </c>
      <c r="E402" s="5">
        <v>0.1</v>
      </c>
      <c r="F402" s="6" t="str">
        <f t="shared" si="2"/>
        <v>#N/A</v>
      </c>
      <c r="G402" s="1" t="str">
        <f t="shared" si="3"/>
        <v/>
      </c>
      <c r="H402" s="5">
        <f t="shared" si="4"/>
        <v>0.1</v>
      </c>
      <c r="K402" s="1" t="s">
        <v>2487</v>
      </c>
      <c r="L402" s="1" t="s">
        <v>2488</v>
      </c>
    </row>
    <row r="403" ht="12.75" customHeight="1">
      <c r="A403" s="4" t="s">
        <v>2959</v>
      </c>
      <c r="B403" s="5" t="s">
        <v>2959</v>
      </c>
      <c r="C403" s="1" t="str">
        <f t="shared" si="1"/>
        <v/>
      </c>
      <c r="E403" s="5" t="s">
        <v>2959</v>
      </c>
      <c r="F403" s="6" t="str">
        <f t="shared" si="2"/>
        <v>#N/A</v>
      </c>
      <c r="G403" s="1" t="str">
        <f t="shared" si="3"/>
        <v/>
      </c>
      <c r="H403" s="5" t="str">
        <f t="shared" si="4"/>
        <v>52, 55, VENOMENON</v>
      </c>
      <c r="K403" s="1" t="s">
        <v>2489</v>
      </c>
      <c r="L403" s="1" t="s">
        <v>2490</v>
      </c>
    </row>
    <row r="404" ht="12.75" customHeight="1">
      <c r="A404" s="4" t="s">
        <v>2960</v>
      </c>
      <c r="B404" s="5" t="s">
        <v>2960</v>
      </c>
      <c r="C404" s="1" t="str">
        <f t="shared" si="1"/>
        <v/>
      </c>
      <c r="E404" s="5" t="s">
        <v>2960</v>
      </c>
      <c r="F404" s="6" t="str">
        <f t="shared" si="2"/>
        <v>#N/A</v>
      </c>
      <c r="G404" s="1" t="str">
        <f t="shared" si="3"/>
        <v/>
      </c>
      <c r="H404" s="5" t="str">
        <f t="shared" si="4"/>
        <v>52, 55, "MR. JEST"</v>
      </c>
      <c r="K404" s="1" t="s">
        <v>2491</v>
      </c>
      <c r="L404" s="1" t="s">
        <v>2492</v>
      </c>
    </row>
    <row r="405" ht="12.75" customHeight="1">
      <c r="A405" s="4" t="s">
        <v>2961</v>
      </c>
      <c r="B405" s="5" t="s">
        <v>2961</v>
      </c>
      <c r="C405" s="1" t="str">
        <f t="shared" si="1"/>
        <v/>
      </c>
      <c r="E405" s="5" t="s">
        <v>2961</v>
      </c>
      <c r="F405" s="6" t="str">
        <f t="shared" si="2"/>
        <v>#N/A</v>
      </c>
      <c r="G405" s="1" t="str">
        <f t="shared" si="3"/>
        <v/>
      </c>
      <c r="H405" s="5" t="str">
        <f t="shared" si="4"/>
        <v>52, 55, NIDORULY</v>
      </c>
      <c r="K405" s="1" t="s">
        <v>2493</v>
      </c>
      <c r="L405" s="1" t="s">
        <v>2492</v>
      </c>
    </row>
    <row r="406" ht="12.75" customHeight="1">
      <c r="A406" s="4" t="s">
        <v>2962</v>
      </c>
      <c r="B406" s="5" t="s">
        <v>2962</v>
      </c>
      <c r="C406" s="1" t="str">
        <f t="shared" si="1"/>
        <v/>
      </c>
      <c r="E406" s="5" t="s">
        <v>2962</v>
      </c>
      <c r="F406" s="6" t="str">
        <f t="shared" si="2"/>
        <v>#N/A</v>
      </c>
      <c r="G406" s="1" t="str">
        <f t="shared" si="3"/>
        <v/>
      </c>
      <c r="H406" s="5" t="str">
        <f t="shared" si="4"/>
        <v>52, 55, NIDOREGAL</v>
      </c>
      <c r="K406" s="1" t="s">
        <v>2494</v>
      </c>
      <c r="L406" s="1" t="s">
        <v>2495</v>
      </c>
    </row>
    <row r="407" ht="12.75" customHeight="1">
      <c r="A407" s="4" t="s">
        <v>2807</v>
      </c>
      <c r="B407" s="5">
        <v>0.05</v>
      </c>
      <c r="C407" s="1" t="str">
        <f t="shared" si="1"/>
        <v/>
      </c>
      <c r="E407" s="5">
        <v>0.05</v>
      </c>
      <c r="F407" s="6" t="str">
        <f t="shared" si="2"/>
        <v>#N/A</v>
      </c>
      <c r="G407" s="1" t="str">
        <f t="shared" si="3"/>
        <v/>
      </c>
      <c r="H407" s="5">
        <f t="shared" si="4"/>
        <v>0.05</v>
      </c>
      <c r="K407" s="1" t="s">
        <v>2496</v>
      </c>
      <c r="L407" s="1" t="s">
        <v>2497</v>
      </c>
    </row>
    <row r="408" ht="12.75" customHeight="1">
      <c r="A408" s="4" t="s">
        <v>2963</v>
      </c>
      <c r="B408" s="5" t="s">
        <v>2963</v>
      </c>
      <c r="C408" s="1" t="str">
        <f t="shared" si="1"/>
        <v/>
      </c>
      <c r="E408" s="5" t="s">
        <v>2963</v>
      </c>
      <c r="F408" s="6" t="str">
        <f t="shared" si="2"/>
        <v>#N/A</v>
      </c>
      <c r="G408" s="1" t="str">
        <f t="shared" si="3"/>
        <v/>
      </c>
      <c r="H408" s="5" t="str">
        <f t="shared" si="4"/>
        <v>54, 56, MORPHO</v>
      </c>
      <c r="K408" s="1" t="s">
        <v>2498</v>
      </c>
      <c r="L408" s="1" t="s">
        <v>2499</v>
      </c>
    </row>
    <row r="409" ht="12.75" customHeight="1">
      <c r="A409" s="4" t="s">
        <v>2964</v>
      </c>
      <c r="B409" s="5" t="s">
        <v>2964</v>
      </c>
      <c r="C409" s="1" t="str">
        <f t="shared" si="1"/>
        <v/>
      </c>
      <c r="E409" s="5" t="s">
        <v>2964</v>
      </c>
      <c r="F409" s="6" t="str">
        <f t="shared" si="2"/>
        <v>#N/A</v>
      </c>
      <c r="G409" s="1" t="str">
        <f t="shared" si="3"/>
        <v/>
      </c>
      <c r="H409" s="5" t="str">
        <f t="shared" si="4"/>
        <v>54, 56, MAGNEMELD</v>
      </c>
      <c r="K409" s="1" t="s">
        <v>2500</v>
      </c>
      <c r="L409" s="1" t="s">
        <v>2501</v>
      </c>
    </row>
    <row r="410" ht="12.75" customHeight="1">
      <c r="A410" s="4" t="s">
        <v>2810</v>
      </c>
      <c r="B410" s="5">
        <v>0.04</v>
      </c>
      <c r="C410" s="1" t="str">
        <f t="shared" si="1"/>
        <v/>
      </c>
      <c r="E410" s="5">
        <v>0.04</v>
      </c>
      <c r="F410" s="6" t="str">
        <f t="shared" si="2"/>
        <v>#N/A</v>
      </c>
      <c r="G410" s="1" t="str">
        <f t="shared" si="3"/>
        <v/>
      </c>
      <c r="H410" s="5">
        <f t="shared" si="4"/>
        <v>0.04</v>
      </c>
      <c r="K410" s="1" t="s">
        <v>2502</v>
      </c>
      <c r="L410" s="1" t="s">
        <v>2503</v>
      </c>
    </row>
    <row r="411" ht="12.75" customHeight="1">
      <c r="A411" s="4" t="s">
        <v>2965</v>
      </c>
      <c r="B411" s="5" t="s">
        <v>2965</v>
      </c>
      <c r="C411" s="1" t="str">
        <f t="shared" si="1"/>
        <v/>
      </c>
      <c r="E411" s="5" t="s">
        <v>2965</v>
      </c>
      <c r="F411" s="6" t="str">
        <f t="shared" si="2"/>
        <v>#N/A</v>
      </c>
      <c r="G411" s="1" t="str">
        <f t="shared" si="3"/>
        <v/>
      </c>
      <c r="H411" s="5" t="str">
        <f t="shared" si="4"/>
        <v>54, 56, VOHOO-DU</v>
      </c>
      <c r="K411" s="1" t="s">
        <v>2504</v>
      </c>
      <c r="L411" s="1" t="s">
        <v>2505</v>
      </c>
    </row>
    <row r="412" ht="12.75" customHeight="1">
      <c r="A412" s="4" t="s">
        <v>2966</v>
      </c>
      <c r="B412" s="5" t="s">
        <v>2966</v>
      </c>
      <c r="C412" s="1" t="str">
        <f t="shared" si="1"/>
        <v/>
      </c>
      <c r="E412" s="5" t="s">
        <v>2966</v>
      </c>
      <c r="F412" s="6" t="str">
        <f t="shared" si="2"/>
        <v>#N/A</v>
      </c>
      <c r="G412" s="1" t="str">
        <f t="shared" si="3"/>
        <v/>
      </c>
      <c r="H412" s="5" t="str">
        <f t="shared" si="4"/>
        <v>54, 56, CLEFAEFAE</v>
      </c>
      <c r="K412" s="1" t="s">
        <v>2506</v>
      </c>
      <c r="L412" s="1" t="s">
        <v>2507</v>
      </c>
    </row>
    <row r="413" ht="12.75" customHeight="1">
      <c r="A413" s="4" t="s">
        <v>2813</v>
      </c>
      <c r="B413" s="5">
        <v>0.01</v>
      </c>
      <c r="C413" s="1" t="str">
        <f t="shared" si="1"/>
        <v/>
      </c>
      <c r="E413" s="5">
        <v>0.01</v>
      </c>
      <c r="F413" s="6" t="str">
        <f t="shared" si="2"/>
        <v>#N/A</v>
      </c>
      <c r="G413" s="1" t="str">
        <f t="shared" si="3"/>
        <v/>
      </c>
      <c r="H413" s="5">
        <f t="shared" si="4"/>
        <v>0.01</v>
      </c>
      <c r="K413" s="1" t="s">
        <v>2508</v>
      </c>
      <c r="L413" s="1" t="s">
        <v>2509</v>
      </c>
    </row>
    <row r="414" ht="12.75" customHeight="1">
      <c r="A414" s="4" t="s">
        <v>2967</v>
      </c>
      <c r="B414" s="5" t="s">
        <v>2967</v>
      </c>
      <c r="C414" s="1" t="str">
        <f t="shared" si="1"/>
        <v/>
      </c>
      <c r="E414" s="5" t="s">
        <v>2967</v>
      </c>
      <c r="F414" s="6" t="str">
        <f t="shared" si="2"/>
        <v>#N/A</v>
      </c>
      <c r="G414" s="1" t="str">
        <f t="shared" si="3"/>
        <v/>
      </c>
      <c r="H414" s="5" t="str">
        <f t="shared" si="4"/>
        <v>55, 56, KABUTAK</v>
      </c>
      <c r="K414" s="1" t="s">
        <v>2510</v>
      </c>
      <c r="L414" s="1" t="s">
        <v>2511</v>
      </c>
    </row>
    <row r="415" ht="12.75" customHeight="1">
      <c r="A415" s="4" t="s">
        <v>2968</v>
      </c>
      <c r="B415" s="5" t="s">
        <v>2968</v>
      </c>
      <c r="C415" s="1" t="str">
        <f t="shared" si="1"/>
        <v/>
      </c>
      <c r="E415" s="5" t="s">
        <v>2968</v>
      </c>
      <c r="F415" s="6" t="str">
        <f t="shared" si="2"/>
        <v>#N/A</v>
      </c>
      <c r="G415" s="1" t="str">
        <f t="shared" si="3"/>
        <v/>
      </c>
      <c r="H415" s="5" t="str">
        <f t="shared" si="4"/>
        <v>55, 56, OMAPAL</v>
      </c>
      <c r="K415" s="1" t="s">
        <v>2512</v>
      </c>
      <c r="L415" s="1" t="s">
        <v>2513</v>
      </c>
    </row>
    <row r="416" ht="12.75" customHeight="1">
      <c r="A416" s="4" t="s">
        <v>2969</v>
      </c>
      <c r="B416" s="5" t="s">
        <v>2969</v>
      </c>
      <c r="C416" s="1" t="str">
        <f t="shared" si="1"/>
        <v/>
      </c>
      <c r="E416" s="5" t="s">
        <v>2969</v>
      </c>
      <c r="F416" s="6" t="str">
        <f t="shared" si="2"/>
        <v>#N/A</v>
      </c>
      <c r="G416" s="1" t="str">
        <f t="shared" si="3"/>
        <v/>
      </c>
      <c r="H416" s="5" t="str">
        <f t="shared" si="4"/>
        <v>2, 50, 55, POLITOES</v>
      </c>
      <c r="K416" s="1" t="s">
        <v>2514</v>
      </c>
      <c r="L416" s="1" t="s">
        <v>2515</v>
      </c>
    </row>
    <row r="417" ht="12.75" customHeight="1">
      <c r="A417" s="4" t="s">
        <v>2970</v>
      </c>
      <c r="B417" s="5" t="s">
        <v>2970</v>
      </c>
      <c r="C417" s="1" t="str">
        <f t="shared" si="1"/>
        <v/>
      </c>
      <c r="E417" s="5" t="s">
        <v>2970</v>
      </c>
      <c r="F417" s="6" t="str">
        <f t="shared" si="2"/>
        <v>#N/A</v>
      </c>
      <c r="G417" s="1" t="str">
        <f t="shared" si="3"/>
        <v/>
      </c>
      <c r="H417" s="5" t="str">
        <f t="shared" si="4"/>
        <v>50, 55, DRAGONITE</v>
      </c>
      <c r="K417" s="1" t="s">
        <v>2516</v>
      </c>
      <c r="L417" s="1" t="s">
        <v>2517</v>
      </c>
    </row>
    <row r="418" ht="12.75" customHeight="1">
      <c r="A418" s="4" t="s">
        <v>2971</v>
      </c>
      <c r="B418" s="5" t="s">
        <v>2971</v>
      </c>
      <c r="C418" s="1" t="str">
        <f t="shared" si="1"/>
        <v/>
      </c>
      <c r="E418" s="5" t="s">
        <v>2971</v>
      </c>
      <c r="F418" s="6" t="str">
        <f t="shared" si="2"/>
        <v>#N/A</v>
      </c>
      <c r="G418" s="1" t="str">
        <f t="shared" si="3"/>
        <v/>
      </c>
      <c r="H418" s="5" t="str">
        <f t="shared" si="4"/>
        <v>52, 57, POLIWISE</v>
      </c>
      <c r="K418" s="1" t="s">
        <v>2518</v>
      </c>
      <c r="L418" s="1" t="s">
        <v>2519</v>
      </c>
    </row>
    <row r="419" ht="12.75" customHeight="1">
      <c r="A419" s="4" t="s">
        <v>2972</v>
      </c>
      <c r="B419" s="5" t="s">
        <v>2972</v>
      </c>
      <c r="C419" s="1" t="str">
        <f t="shared" si="1"/>
        <v/>
      </c>
      <c r="E419" s="5" t="s">
        <v>2972</v>
      </c>
      <c r="F419" s="6" t="str">
        <f t="shared" si="2"/>
        <v>#N/A</v>
      </c>
      <c r="G419" s="1" t="str">
        <f t="shared" si="3"/>
        <v/>
      </c>
      <c r="H419" s="5" t="str">
        <f t="shared" si="4"/>
        <v>52, 57, DRAGONIER</v>
      </c>
      <c r="K419" s="1" t="s">
        <v>2520</v>
      </c>
      <c r="L419" s="1" t="s">
        <v>2521</v>
      </c>
    </row>
    <row r="420" ht="12.75" customHeight="1">
      <c r="A420" s="4" t="s">
        <v>2973</v>
      </c>
      <c r="B420" s="5" t="s">
        <v>2973</v>
      </c>
      <c r="C420" s="1" t="str">
        <f t="shared" si="1"/>
        <v/>
      </c>
      <c r="E420" s="5" t="s">
        <v>2973</v>
      </c>
      <c r="F420" s="6" t="str">
        <f t="shared" si="2"/>
        <v>#N/A</v>
      </c>
      <c r="G420" s="1" t="str">
        <f t="shared" si="3"/>
        <v/>
      </c>
      <c r="H420" s="5" t="str">
        <f t="shared" si="4"/>
        <v>53, 58, NESSEA</v>
      </c>
      <c r="K420" s="1" t="s">
        <v>2522</v>
      </c>
      <c r="L420" s="1" t="s">
        <v>2523</v>
      </c>
    </row>
    <row r="421" ht="12.75" customHeight="1">
      <c r="A421" s="4" t="s">
        <v>2926</v>
      </c>
      <c r="B421" s="5" t="s">
        <v>2926</v>
      </c>
      <c r="C421" s="1" t="str">
        <f t="shared" si="1"/>
        <v/>
      </c>
      <c r="E421" s="5" t="s">
        <v>2926</v>
      </c>
      <c r="F421" s="6" t="str">
        <f t="shared" si="2"/>
        <v>#N/A</v>
      </c>
      <c r="G421" s="1" t="str">
        <f t="shared" si="3"/>
        <v/>
      </c>
      <c r="H421" s="5" t="str">
        <f t="shared" si="4"/>
        <v>20, old rod:</v>
      </c>
      <c r="K421" s="1" t="s">
        <v>2524</v>
      </c>
      <c r="L421" s="1" t="s">
        <v>2525</v>
      </c>
    </row>
    <row r="422" ht="12.75" customHeight="1">
      <c r="A422" s="4" t="s">
        <v>548</v>
      </c>
      <c r="B422" s="5" t="s">
        <v>548</v>
      </c>
      <c r="C422" s="1" t="str">
        <f t="shared" si="1"/>
        <v/>
      </c>
      <c r="E422" s="5" t="s">
        <v>548</v>
      </c>
      <c r="F422" s="6" t="str">
        <f t="shared" si="2"/>
        <v>#N/A</v>
      </c>
      <c r="G422" s="1" t="str">
        <f t="shared" si="3"/>
        <v/>
      </c>
      <c r="H422" s="5" t="str">
        <f t="shared" si="4"/>
        <v>23, 36, CLOYSTER</v>
      </c>
      <c r="K422" s="1" t="s">
        <v>2526</v>
      </c>
      <c r="L422" s="1" t="s">
        <v>2527</v>
      </c>
    </row>
    <row r="423" ht="12.75" customHeight="1">
      <c r="A423" s="4" t="s">
        <v>2974</v>
      </c>
      <c r="B423" s="5" t="s">
        <v>2974</v>
      </c>
      <c r="C423" s="1" t="str">
        <f t="shared" si="1"/>
        <v/>
      </c>
      <c r="E423" s="5" t="s">
        <v>2974</v>
      </c>
      <c r="F423" s="6" t="str">
        <f t="shared" si="2"/>
        <v>#N/A</v>
      </c>
      <c r="G423" s="1" t="str">
        <f t="shared" si="3"/>
        <v/>
      </c>
      <c r="H423" s="5" t="str">
        <f t="shared" si="4"/>
        <v>23, 36, GYARADOS</v>
      </c>
      <c r="K423" s="1" t="s">
        <v>2528</v>
      </c>
      <c r="L423" s="1" t="s">
        <v>2529</v>
      </c>
    </row>
    <row r="424" ht="12.75" customHeight="1">
      <c r="A424" s="4" t="s">
        <v>2847</v>
      </c>
      <c r="B424" s="5" t="s">
        <v>2847</v>
      </c>
      <c r="C424" s="1" t="str">
        <f t="shared" si="1"/>
        <v/>
      </c>
      <c r="E424" s="5" t="s">
        <v>2847</v>
      </c>
      <c r="F424" s="6" t="str">
        <f t="shared" si="2"/>
        <v>#N/A</v>
      </c>
      <c r="G424" s="1" t="str">
        <f t="shared" si="3"/>
        <v/>
      </c>
      <c r="H424" s="5" t="str">
        <f t="shared" si="4"/>
        <v>good rod:</v>
      </c>
      <c r="K424" s="1" t="s">
        <v>2530</v>
      </c>
      <c r="L424" s="1" t="s">
        <v>2531</v>
      </c>
    </row>
    <row r="425" ht="12.75" customHeight="1">
      <c r="A425" s="4" t="s">
        <v>2975</v>
      </c>
      <c r="B425" s="5" t="s">
        <v>2975</v>
      </c>
      <c r="C425" s="1" t="str">
        <f t="shared" si="1"/>
        <v/>
      </c>
      <c r="E425" s="5" t="s">
        <v>2975</v>
      </c>
      <c r="F425" s="6" t="str">
        <f t="shared" si="2"/>
        <v>#N/A</v>
      </c>
      <c r="G425" s="1" t="str">
        <f t="shared" si="3"/>
        <v/>
      </c>
      <c r="H425" s="5" t="str">
        <f t="shared" si="4"/>
        <v>30, 38, CLOYSTER</v>
      </c>
      <c r="K425" s="1" t="s">
        <v>2532</v>
      </c>
      <c r="L425" s="1" t="s">
        <v>2533</v>
      </c>
    </row>
    <row r="426" ht="12.75" customHeight="1">
      <c r="A426" s="4" t="s">
        <v>2976</v>
      </c>
      <c r="B426" s="5" t="s">
        <v>2976</v>
      </c>
      <c r="C426" s="1" t="str">
        <f t="shared" si="1"/>
        <v/>
      </c>
      <c r="E426" s="5" t="s">
        <v>2976</v>
      </c>
      <c r="F426" s="6" t="str">
        <f t="shared" si="2"/>
        <v>#N/A</v>
      </c>
      <c r="G426" s="1" t="str">
        <f t="shared" si="3"/>
        <v/>
      </c>
      <c r="H426" s="5" t="str">
        <f t="shared" si="4"/>
        <v>32, 40, KINGDRA</v>
      </c>
      <c r="K426" s="1" t="s">
        <v>2534</v>
      </c>
      <c r="L426" s="1" t="s">
        <v>2535</v>
      </c>
    </row>
    <row r="427" ht="12.75" customHeight="1">
      <c r="A427" s="4" t="s">
        <v>2977</v>
      </c>
      <c r="B427" s="5" t="s">
        <v>2977</v>
      </c>
      <c r="C427" s="1" t="str">
        <f t="shared" si="1"/>
        <v/>
      </c>
      <c r="E427" s="5" t="s">
        <v>2977</v>
      </c>
      <c r="F427" s="6" t="str">
        <f t="shared" si="2"/>
        <v>#N/A</v>
      </c>
      <c r="G427" s="1" t="str">
        <f t="shared" si="3"/>
        <v/>
      </c>
      <c r="H427" s="5" t="str">
        <f t="shared" si="4"/>
        <v>32, 40, HYDRADOS</v>
      </c>
    </row>
    <row r="428" ht="12.75" customHeight="1">
      <c r="A428" s="4" t="s">
        <v>2851</v>
      </c>
      <c r="B428" s="5" t="s">
        <v>2851</v>
      </c>
      <c r="C428" s="1" t="str">
        <f t="shared" si="1"/>
        <v/>
      </c>
      <c r="E428" s="5" t="s">
        <v>2851</v>
      </c>
      <c r="F428" s="6" t="str">
        <f t="shared" si="2"/>
        <v>#N/A</v>
      </c>
      <c r="G428" s="1" t="str">
        <f t="shared" si="3"/>
        <v/>
      </c>
      <c r="H428" s="5" t="str">
        <f t="shared" si="4"/>
        <v>super rod:</v>
      </c>
    </row>
    <row r="429" ht="12.75" customHeight="1">
      <c r="A429" s="4" t="s">
        <v>2978</v>
      </c>
      <c r="B429" s="5" t="s">
        <v>2978</v>
      </c>
      <c r="C429" s="1" t="str">
        <f t="shared" si="1"/>
        <v/>
      </c>
      <c r="E429" s="5" t="s">
        <v>2978</v>
      </c>
      <c r="F429" s="6" t="str">
        <f t="shared" si="2"/>
        <v>#N/A</v>
      </c>
      <c r="G429" s="1" t="str">
        <f t="shared" si="3"/>
        <v/>
      </c>
      <c r="H429" s="5" t="str">
        <f t="shared" si="4"/>
        <v>50, 55, LORDRA</v>
      </c>
    </row>
    <row r="430" ht="12.75" customHeight="1">
      <c r="A430" s="4" t="s">
        <v>2979</v>
      </c>
      <c r="B430" s="5" t="s">
        <v>2979</v>
      </c>
      <c r="C430" s="1" t="str">
        <f t="shared" si="1"/>
        <v/>
      </c>
      <c r="E430" s="5" t="s">
        <v>2979</v>
      </c>
      <c r="F430" s="6" t="str">
        <f t="shared" si="2"/>
        <v>#N/A</v>
      </c>
      <c r="G430" s="1" t="str">
        <f t="shared" si="3"/>
        <v/>
      </c>
      <c r="H430" s="5" t="str">
        <f t="shared" si="4"/>
        <v>50, 55, AN'ENEMY</v>
      </c>
    </row>
    <row r="431" ht="12.75" customHeight="1">
      <c r="A431" s="4" t="s">
        <v>2980</v>
      </c>
      <c r="B431" s="5" t="s">
        <v>2980</v>
      </c>
      <c r="C431" s="1" t="str">
        <f t="shared" si="1"/>
        <v/>
      </c>
      <c r="E431" s="5" t="s">
        <v>2980</v>
      </c>
      <c r="F431" s="6" t="str">
        <f t="shared" si="2"/>
        <v>#N/A</v>
      </c>
      <c r="G431" s="1" t="str">
        <f t="shared" si="3"/>
        <v/>
      </c>
      <c r="H431" s="5" t="str">
        <f t="shared" si="4"/>
        <v>52, 57, DRACOSMIC</v>
      </c>
    </row>
    <row r="432" ht="12.75" customHeight="1">
      <c r="A432" s="4" t="s">
        <v>2981</v>
      </c>
      <c r="B432" s="5" t="s">
        <v>2981</v>
      </c>
      <c r="C432" s="1" t="str">
        <f t="shared" si="1"/>
        <v/>
      </c>
      <c r="E432" s="5" t="s">
        <v>2981</v>
      </c>
      <c r="F432" s="6" t="str">
        <f t="shared" si="2"/>
        <v>#N/A</v>
      </c>
      <c r="G432" s="1" t="str">
        <f t="shared" si="3"/>
        <v/>
      </c>
      <c r="H432" s="5" t="str">
        <f t="shared" si="4"/>
        <v>52, 57, GLAISHELL</v>
      </c>
    </row>
    <row r="433" ht="12.75" customHeight="1">
      <c r="A433" s="4" t="s">
        <v>2982</v>
      </c>
      <c r="B433" s="5" t="s">
        <v>2982</v>
      </c>
      <c r="C433" s="1" t="str">
        <f t="shared" si="1"/>
        <v/>
      </c>
      <c r="E433" s="5" t="s">
        <v>2982</v>
      </c>
      <c r="F433" s="6" t="str">
        <f t="shared" si="2"/>
        <v>#N/A</v>
      </c>
      <c r="G433" s="1" t="str">
        <f t="shared" si="3"/>
        <v/>
      </c>
      <c r="H433" s="5" t="str">
        <f t="shared" si="4"/>
        <v>53, 58, STARWE</v>
      </c>
    </row>
    <row r="434" ht="12.75" customHeight="1">
      <c r="A434" s="4" t="s">
        <v>2539</v>
      </c>
      <c r="B434" s="5" t="s">
        <v>2539</v>
      </c>
      <c r="C434" s="1">
        <f t="shared" si="1"/>
        <v>1</v>
      </c>
      <c r="E434" s="5" t="s">
        <v>2539</v>
      </c>
      <c r="F434" s="6" t="str">
        <f t="shared" si="2"/>
        <v>#N/A</v>
      </c>
      <c r="G434" s="1" t="str">
        <f t="shared" si="3"/>
        <v/>
      </c>
      <c r="H434" s="5" t="str">
        <f t="shared" si="4"/>
        <v>NEW ROUTE</v>
      </c>
    </row>
    <row r="435" ht="12.75" customHeight="1">
      <c r="A435" s="4" t="s">
        <v>1733</v>
      </c>
      <c r="B435" s="5" t="s">
        <v>1733</v>
      </c>
      <c r="C435" s="1" t="str">
        <f t="shared" si="1"/>
        <v/>
      </c>
      <c r="E435" s="5" t="s">
        <v>1733</v>
      </c>
      <c r="F435" s="6" t="str">
        <f t="shared" si="2"/>
        <v>Cerulean Cave 2F</v>
      </c>
      <c r="G435" s="1" t="str">
        <f t="shared" si="3"/>
        <v>Cerulean Cave 2F</v>
      </c>
      <c r="H435" s="5" t="str">
        <f t="shared" si="4"/>
        <v>Cerulean Cave 2F</v>
      </c>
    </row>
    <row r="436" ht="12.75" customHeight="1">
      <c r="A436" s="4" t="s">
        <v>2799</v>
      </c>
      <c r="B436" s="5">
        <v>0.2</v>
      </c>
      <c r="C436" s="1" t="str">
        <f t="shared" si="1"/>
        <v/>
      </c>
      <c r="E436" s="5">
        <v>0.2</v>
      </c>
      <c r="F436" s="6" t="str">
        <f t="shared" si="2"/>
        <v>#N/A</v>
      </c>
      <c r="G436" s="1" t="str">
        <f t="shared" si="3"/>
        <v/>
      </c>
      <c r="H436" s="5">
        <f t="shared" si="4"/>
        <v>0.2</v>
      </c>
    </row>
    <row r="437" ht="12.75" customHeight="1">
      <c r="A437" s="4" t="s">
        <v>532</v>
      </c>
      <c r="B437" s="5" t="s">
        <v>532</v>
      </c>
      <c r="C437" s="1" t="str">
        <f t="shared" si="1"/>
        <v/>
      </c>
      <c r="E437" s="5" t="s">
        <v>532</v>
      </c>
      <c r="F437" s="6" t="str">
        <f t="shared" si="2"/>
        <v>#N/A</v>
      </c>
      <c r="G437" s="1" t="str">
        <f t="shared" si="3"/>
        <v/>
      </c>
      <c r="H437" s="5" t="str">
        <f t="shared" si="4"/>
        <v>50, 55, DUGROUPLE</v>
      </c>
    </row>
    <row r="438" ht="12.75" customHeight="1">
      <c r="A438" s="4" t="s">
        <v>2958</v>
      </c>
      <c r="B438" s="5" t="s">
        <v>2958</v>
      </c>
      <c r="C438" s="1" t="str">
        <f t="shared" si="1"/>
        <v/>
      </c>
      <c r="E438" s="5" t="s">
        <v>2958</v>
      </c>
      <c r="F438" s="6" t="str">
        <f t="shared" si="2"/>
        <v>#N/A</v>
      </c>
      <c r="G438" s="1" t="str">
        <f t="shared" si="3"/>
        <v/>
      </c>
      <c r="H438" s="5" t="str">
        <f t="shared" si="4"/>
        <v>50, 55, POLABAT</v>
      </c>
    </row>
    <row r="439" ht="12.75" customHeight="1">
      <c r="A439" s="4" t="s">
        <v>2802</v>
      </c>
      <c r="B439" s="5">
        <v>0.1</v>
      </c>
      <c r="C439" s="1" t="str">
        <f t="shared" si="1"/>
        <v/>
      </c>
      <c r="E439" s="5">
        <v>0.1</v>
      </c>
      <c r="F439" s="6" t="str">
        <f t="shared" si="2"/>
        <v>#N/A</v>
      </c>
      <c r="G439" s="1" t="str">
        <f t="shared" si="3"/>
        <v/>
      </c>
      <c r="H439" s="5">
        <f t="shared" si="4"/>
        <v>0.1</v>
      </c>
    </row>
    <row r="440" ht="12.75" customHeight="1">
      <c r="A440" s="4" t="s">
        <v>2959</v>
      </c>
      <c r="B440" s="5" t="s">
        <v>2959</v>
      </c>
      <c r="C440" s="1" t="str">
        <f t="shared" si="1"/>
        <v/>
      </c>
      <c r="E440" s="5" t="s">
        <v>2959</v>
      </c>
      <c r="F440" s="6" t="str">
        <f t="shared" si="2"/>
        <v>#N/A</v>
      </c>
      <c r="G440" s="1" t="str">
        <f t="shared" si="3"/>
        <v/>
      </c>
      <c r="H440" s="5" t="str">
        <f t="shared" si="4"/>
        <v>52, 55, VENOMENON</v>
      </c>
    </row>
    <row r="441" ht="12.75" customHeight="1">
      <c r="A441" s="4" t="s">
        <v>2960</v>
      </c>
      <c r="B441" s="5" t="s">
        <v>2960</v>
      </c>
      <c r="C441" s="1" t="str">
        <f t="shared" si="1"/>
        <v/>
      </c>
      <c r="E441" s="5" t="s">
        <v>2960</v>
      </c>
      <c r="F441" s="6" t="str">
        <f t="shared" si="2"/>
        <v>#N/A</v>
      </c>
      <c r="G441" s="1" t="str">
        <f t="shared" si="3"/>
        <v/>
      </c>
      <c r="H441" s="5" t="str">
        <f t="shared" si="4"/>
        <v>52, 55, "MR. JEST"</v>
      </c>
    </row>
    <row r="442" ht="12.75" customHeight="1">
      <c r="A442" s="4" t="s">
        <v>2961</v>
      </c>
      <c r="B442" s="5" t="s">
        <v>2961</v>
      </c>
      <c r="C442" s="1" t="str">
        <f t="shared" si="1"/>
        <v/>
      </c>
      <c r="E442" s="5" t="s">
        <v>2961</v>
      </c>
      <c r="F442" s="6" t="str">
        <f t="shared" si="2"/>
        <v>#N/A</v>
      </c>
      <c r="G442" s="1" t="str">
        <f t="shared" si="3"/>
        <v/>
      </c>
      <c r="H442" s="5" t="str">
        <f t="shared" si="4"/>
        <v>52, 55, NIDORULY</v>
      </c>
    </row>
    <row r="443" ht="12.75" customHeight="1">
      <c r="A443" s="4" t="s">
        <v>2962</v>
      </c>
      <c r="B443" s="5" t="s">
        <v>2962</v>
      </c>
      <c r="C443" s="1" t="str">
        <f t="shared" si="1"/>
        <v/>
      </c>
      <c r="E443" s="5" t="s">
        <v>2962</v>
      </c>
      <c r="F443" s="6" t="str">
        <f t="shared" si="2"/>
        <v>#N/A</v>
      </c>
      <c r="G443" s="1" t="str">
        <f t="shared" si="3"/>
        <v/>
      </c>
      <c r="H443" s="5" t="str">
        <f t="shared" si="4"/>
        <v>52, 55, NIDOREGAL</v>
      </c>
    </row>
    <row r="444" ht="12.75" customHeight="1">
      <c r="A444" s="4" t="s">
        <v>2807</v>
      </c>
      <c r="B444" s="5">
        <v>0.05</v>
      </c>
      <c r="C444" s="1" t="str">
        <f t="shared" si="1"/>
        <v/>
      </c>
      <c r="E444" s="5">
        <v>0.05</v>
      </c>
      <c r="F444" s="6" t="str">
        <f t="shared" si="2"/>
        <v>#N/A</v>
      </c>
      <c r="G444" s="1" t="str">
        <f t="shared" si="3"/>
        <v/>
      </c>
      <c r="H444" s="5">
        <f t="shared" si="4"/>
        <v>0.05</v>
      </c>
    </row>
    <row r="445" ht="12.75" customHeight="1">
      <c r="A445" s="4" t="s">
        <v>2963</v>
      </c>
      <c r="B445" s="5" t="s">
        <v>2963</v>
      </c>
      <c r="C445" s="1" t="str">
        <f t="shared" si="1"/>
        <v/>
      </c>
      <c r="E445" s="5" t="s">
        <v>2963</v>
      </c>
      <c r="F445" s="6" t="str">
        <f t="shared" si="2"/>
        <v>#N/A</v>
      </c>
      <c r="G445" s="1" t="str">
        <f t="shared" si="3"/>
        <v/>
      </c>
      <c r="H445" s="5" t="str">
        <f t="shared" si="4"/>
        <v>54, 56, MORPHO</v>
      </c>
    </row>
    <row r="446" ht="12.75" customHeight="1">
      <c r="A446" s="4" t="s">
        <v>2964</v>
      </c>
      <c r="B446" s="5" t="s">
        <v>2964</v>
      </c>
      <c r="C446" s="1" t="str">
        <f t="shared" si="1"/>
        <v/>
      </c>
      <c r="E446" s="5" t="s">
        <v>2964</v>
      </c>
      <c r="F446" s="6" t="str">
        <f t="shared" si="2"/>
        <v>#N/A</v>
      </c>
      <c r="G446" s="1" t="str">
        <f t="shared" si="3"/>
        <v/>
      </c>
      <c r="H446" s="5" t="str">
        <f t="shared" si="4"/>
        <v>54, 56, MAGNEMELD</v>
      </c>
    </row>
    <row r="447" ht="12.75" customHeight="1">
      <c r="A447" s="4" t="s">
        <v>2810</v>
      </c>
      <c r="B447" s="5">
        <v>0.04</v>
      </c>
      <c r="C447" s="1" t="str">
        <f t="shared" si="1"/>
        <v/>
      </c>
      <c r="E447" s="5">
        <v>0.04</v>
      </c>
      <c r="F447" s="6" t="str">
        <f t="shared" si="2"/>
        <v>#N/A</v>
      </c>
      <c r="G447" s="1" t="str">
        <f t="shared" si="3"/>
        <v/>
      </c>
      <c r="H447" s="5">
        <f t="shared" si="4"/>
        <v>0.04</v>
      </c>
    </row>
    <row r="448" ht="12.75" customHeight="1">
      <c r="A448" s="4" t="s">
        <v>2965</v>
      </c>
      <c r="B448" s="5" t="s">
        <v>2965</v>
      </c>
      <c r="C448" s="1" t="str">
        <f t="shared" si="1"/>
        <v/>
      </c>
      <c r="E448" s="5" t="s">
        <v>2965</v>
      </c>
      <c r="F448" s="6" t="str">
        <f t="shared" si="2"/>
        <v>#N/A</v>
      </c>
      <c r="G448" s="1" t="str">
        <f t="shared" si="3"/>
        <v/>
      </c>
      <c r="H448" s="5" t="str">
        <f t="shared" si="4"/>
        <v>54, 56, VOHOO-DU</v>
      </c>
    </row>
    <row r="449" ht="12.75" customHeight="1">
      <c r="A449" s="4" t="s">
        <v>2966</v>
      </c>
      <c r="B449" s="5" t="s">
        <v>2966</v>
      </c>
      <c r="C449" s="1" t="str">
        <f t="shared" si="1"/>
        <v/>
      </c>
      <c r="E449" s="5" t="s">
        <v>2966</v>
      </c>
      <c r="F449" s="6" t="str">
        <f t="shared" si="2"/>
        <v>#N/A</v>
      </c>
      <c r="G449" s="1" t="str">
        <f t="shared" si="3"/>
        <v/>
      </c>
      <c r="H449" s="5" t="str">
        <f t="shared" si="4"/>
        <v>54, 56, CLEFAEFAE</v>
      </c>
    </row>
    <row r="450" ht="12.75" customHeight="1">
      <c r="A450" s="4" t="s">
        <v>2813</v>
      </c>
      <c r="B450" s="5">
        <v>0.01</v>
      </c>
      <c r="C450" s="1" t="str">
        <f t="shared" si="1"/>
        <v/>
      </c>
      <c r="E450" s="5">
        <v>0.01</v>
      </c>
      <c r="F450" s="6" t="str">
        <f t="shared" si="2"/>
        <v>#N/A</v>
      </c>
      <c r="G450" s="1" t="str">
        <f t="shared" si="3"/>
        <v/>
      </c>
      <c r="H450" s="5">
        <f t="shared" si="4"/>
        <v>0.01</v>
      </c>
    </row>
    <row r="451" ht="12.75" customHeight="1">
      <c r="A451" s="4" t="s">
        <v>2967</v>
      </c>
      <c r="B451" s="5" t="s">
        <v>2967</v>
      </c>
      <c r="C451" s="1" t="str">
        <f t="shared" si="1"/>
        <v/>
      </c>
      <c r="E451" s="5" t="s">
        <v>2967</v>
      </c>
      <c r="F451" s="6" t="str">
        <f t="shared" si="2"/>
        <v>#N/A</v>
      </c>
      <c r="G451" s="1" t="str">
        <f t="shared" si="3"/>
        <v/>
      </c>
      <c r="H451" s="5" t="str">
        <f t="shared" si="4"/>
        <v>55, 56, KABUTAK</v>
      </c>
    </row>
    <row r="452" ht="12.75" customHeight="1">
      <c r="A452" s="4" t="s">
        <v>2968</v>
      </c>
      <c r="B452" s="5" t="s">
        <v>2968</v>
      </c>
      <c r="C452" s="1" t="str">
        <f t="shared" si="1"/>
        <v/>
      </c>
      <c r="E452" s="5" t="s">
        <v>2968</v>
      </c>
      <c r="F452" s="6" t="str">
        <f t="shared" si="2"/>
        <v>#N/A</v>
      </c>
      <c r="G452" s="1" t="str">
        <f t="shared" si="3"/>
        <v/>
      </c>
      <c r="H452" s="5" t="str">
        <f t="shared" si="4"/>
        <v>55, 56, OMAPAL</v>
      </c>
    </row>
    <row r="453" ht="12.75" customHeight="1">
      <c r="A453" s="4" t="s">
        <v>2539</v>
      </c>
      <c r="B453" s="5" t="s">
        <v>2539</v>
      </c>
      <c r="C453" s="1">
        <f t="shared" si="1"/>
        <v>1</v>
      </c>
      <c r="E453" s="5" t="s">
        <v>2539</v>
      </c>
      <c r="F453" s="6" t="str">
        <f t="shared" si="2"/>
        <v>#N/A</v>
      </c>
      <c r="G453" s="1" t="str">
        <f t="shared" si="3"/>
        <v/>
      </c>
      <c r="H453" s="5" t="str">
        <f t="shared" si="4"/>
        <v>NEW ROUTE</v>
      </c>
    </row>
    <row r="454" ht="12.75" customHeight="1">
      <c r="A454" s="4" t="s">
        <v>1738</v>
      </c>
      <c r="B454" s="5" t="s">
        <v>1738</v>
      </c>
      <c r="C454" s="1" t="str">
        <f t="shared" si="1"/>
        <v/>
      </c>
      <c r="E454" s="5" t="s">
        <v>1738</v>
      </c>
      <c r="F454" s="6" t="str">
        <f t="shared" si="2"/>
        <v>Cerulean Cave B1F</v>
      </c>
      <c r="G454" s="1" t="str">
        <f t="shared" si="3"/>
        <v>Cerulean Cave B1F</v>
      </c>
      <c r="H454" s="5" t="str">
        <f t="shared" si="4"/>
        <v>Cerulean Cave B1F</v>
      </c>
    </row>
    <row r="455" ht="12.75" customHeight="1">
      <c r="A455" s="4" t="s">
        <v>2799</v>
      </c>
      <c r="B455" s="5">
        <v>0.2</v>
      </c>
      <c r="C455" s="1" t="str">
        <f t="shared" si="1"/>
        <v/>
      </c>
      <c r="E455" s="5">
        <v>0.2</v>
      </c>
      <c r="F455" s="6" t="str">
        <f t="shared" si="2"/>
        <v>#N/A</v>
      </c>
      <c r="G455" s="1" t="str">
        <f t="shared" si="3"/>
        <v/>
      </c>
      <c r="H455" s="5">
        <f t="shared" si="4"/>
        <v>0.2</v>
      </c>
    </row>
    <row r="456" ht="12.75" customHeight="1">
      <c r="A456" s="4" t="s">
        <v>532</v>
      </c>
      <c r="B456" s="5" t="s">
        <v>532</v>
      </c>
      <c r="C456" s="1" t="str">
        <f t="shared" si="1"/>
        <v/>
      </c>
      <c r="E456" s="5" t="s">
        <v>532</v>
      </c>
      <c r="F456" s="6" t="str">
        <f t="shared" si="2"/>
        <v>#N/A</v>
      </c>
      <c r="G456" s="1" t="str">
        <f t="shared" si="3"/>
        <v/>
      </c>
      <c r="H456" s="5" t="str">
        <f t="shared" si="4"/>
        <v>50, 55, DUGROUPLE</v>
      </c>
    </row>
    <row r="457" ht="12.75" customHeight="1">
      <c r="A457" s="4" t="s">
        <v>2958</v>
      </c>
      <c r="B457" s="5" t="s">
        <v>2958</v>
      </c>
      <c r="C457" s="1" t="str">
        <f t="shared" si="1"/>
        <v/>
      </c>
      <c r="E457" s="5" t="s">
        <v>2958</v>
      </c>
      <c r="F457" s="6" t="str">
        <f t="shared" si="2"/>
        <v>#N/A</v>
      </c>
      <c r="G457" s="1" t="str">
        <f t="shared" si="3"/>
        <v/>
      </c>
      <c r="H457" s="5" t="str">
        <f t="shared" si="4"/>
        <v>50, 55, POLABAT</v>
      </c>
    </row>
    <row r="458" ht="12.75" customHeight="1">
      <c r="A458" s="4" t="s">
        <v>2802</v>
      </c>
      <c r="B458" s="5">
        <v>0.1</v>
      </c>
      <c r="C458" s="1" t="str">
        <f t="shared" si="1"/>
        <v/>
      </c>
      <c r="E458" s="5">
        <v>0.1</v>
      </c>
      <c r="F458" s="6" t="str">
        <f t="shared" si="2"/>
        <v>#N/A</v>
      </c>
      <c r="G458" s="1" t="str">
        <f t="shared" si="3"/>
        <v/>
      </c>
      <c r="H458" s="5">
        <f t="shared" si="4"/>
        <v>0.1</v>
      </c>
    </row>
    <row r="459" ht="12.75" customHeight="1">
      <c r="A459" s="4" t="s">
        <v>2959</v>
      </c>
      <c r="B459" s="5" t="s">
        <v>2959</v>
      </c>
      <c r="C459" s="1" t="str">
        <f t="shared" si="1"/>
        <v/>
      </c>
      <c r="E459" s="5" t="s">
        <v>2959</v>
      </c>
      <c r="F459" s="6" t="str">
        <f t="shared" si="2"/>
        <v>#N/A</v>
      </c>
      <c r="G459" s="1" t="str">
        <f t="shared" si="3"/>
        <v/>
      </c>
      <c r="H459" s="5" t="str">
        <f t="shared" si="4"/>
        <v>52, 55, VENOMENON</v>
      </c>
    </row>
    <row r="460" ht="12.75" customHeight="1">
      <c r="A460" s="4" t="s">
        <v>2960</v>
      </c>
      <c r="B460" s="5" t="s">
        <v>2960</v>
      </c>
      <c r="C460" s="1" t="str">
        <f t="shared" si="1"/>
        <v/>
      </c>
      <c r="E460" s="5" t="s">
        <v>2960</v>
      </c>
      <c r="F460" s="6" t="str">
        <f t="shared" si="2"/>
        <v>#N/A</v>
      </c>
      <c r="G460" s="1" t="str">
        <f t="shared" si="3"/>
        <v/>
      </c>
      <c r="H460" s="5" t="str">
        <f t="shared" si="4"/>
        <v>52, 55, "MR. JEST"</v>
      </c>
    </row>
    <row r="461" ht="12.75" customHeight="1">
      <c r="A461" s="4" t="s">
        <v>2961</v>
      </c>
      <c r="B461" s="5" t="s">
        <v>2961</v>
      </c>
      <c r="C461" s="1" t="str">
        <f t="shared" si="1"/>
        <v/>
      </c>
      <c r="E461" s="5" t="s">
        <v>2961</v>
      </c>
      <c r="F461" s="6" t="str">
        <f t="shared" si="2"/>
        <v>#N/A</v>
      </c>
      <c r="G461" s="1" t="str">
        <f t="shared" si="3"/>
        <v/>
      </c>
      <c r="H461" s="5" t="str">
        <f t="shared" si="4"/>
        <v>52, 55, NIDORULY</v>
      </c>
    </row>
    <row r="462" ht="12.75" customHeight="1">
      <c r="A462" s="4" t="s">
        <v>2962</v>
      </c>
      <c r="B462" s="5" t="s">
        <v>2962</v>
      </c>
      <c r="C462" s="1" t="str">
        <f t="shared" si="1"/>
        <v/>
      </c>
      <c r="E462" s="5" t="s">
        <v>2962</v>
      </c>
      <c r="F462" s="6" t="str">
        <f t="shared" si="2"/>
        <v>#N/A</v>
      </c>
      <c r="G462" s="1" t="str">
        <f t="shared" si="3"/>
        <v/>
      </c>
      <c r="H462" s="5" t="str">
        <f t="shared" si="4"/>
        <v>52, 55, NIDOREGAL</v>
      </c>
    </row>
    <row r="463" ht="12.75" customHeight="1">
      <c r="A463" s="4" t="s">
        <v>2807</v>
      </c>
      <c r="B463" s="5">
        <v>0.05</v>
      </c>
      <c r="C463" s="1" t="str">
        <f t="shared" si="1"/>
        <v/>
      </c>
      <c r="E463" s="5">
        <v>0.05</v>
      </c>
      <c r="F463" s="6" t="str">
        <f t="shared" si="2"/>
        <v>#N/A</v>
      </c>
      <c r="G463" s="1" t="str">
        <f t="shared" si="3"/>
        <v/>
      </c>
      <c r="H463" s="5">
        <f t="shared" si="4"/>
        <v>0.05</v>
      </c>
    </row>
    <row r="464" ht="12.75" customHeight="1">
      <c r="A464" s="4" t="s">
        <v>2963</v>
      </c>
      <c r="B464" s="5" t="s">
        <v>2963</v>
      </c>
      <c r="C464" s="1" t="str">
        <f t="shared" si="1"/>
        <v/>
      </c>
      <c r="E464" s="5" t="s">
        <v>2963</v>
      </c>
      <c r="F464" s="6" t="str">
        <f t="shared" si="2"/>
        <v>#N/A</v>
      </c>
      <c r="G464" s="1" t="str">
        <f t="shared" si="3"/>
        <v/>
      </c>
      <c r="H464" s="5" t="str">
        <f t="shared" si="4"/>
        <v>54, 56, MORPHO</v>
      </c>
    </row>
    <row r="465" ht="12.75" customHeight="1">
      <c r="A465" s="4" t="s">
        <v>2964</v>
      </c>
      <c r="B465" s="5" t="s">
        <v>2964</v>
      </c>
      <c r="C465" s="1" t="str">
        <f t="shared" si="1"/>
        <v/>
      </c>
      <c r="E465" s="5" t="s">
        <v>2964</v>
      </c>
      <c r="F465" s="6" t="str">
        <f t="shared" si="2"/>
        <v>#N/A</v>
      </c>
      <c r="G465" s="1" t="str">
        <f t="shared" si="3"/>
        <v/>
      </c>
      <c r="H465" s="5" t="str">
        <f t="shared" si="4"/>
        <v>54, 56, MAGNEMELD</v>
      </c>
    </row>
    <row r="466" ht="12.75" customHeight="1">
      <c r="A466" s="4" t="s">
        <v>2810</v>
      </c>
      <c r="B466" s="5">
        <v>0.04</v>
      </c>
      <c r="C466" s="1" t="str">
        <f t="shared" si="1"/>
        <v/>
      </c>
      <c r="E466" s="5">
        <v>0.04</v>
      </c>
      <c r="F466" s="6" t="str">
        <f t="shared" si="2"/>
        <v>#N/A</v>
      </c>
      <c r="G466" s="1" t="str">
        <f t="shared" si="3"/>
        <v/>
      </c>
      <c r="H466" s="5">
        <f t="shared" si="4"/>
        <v>0.04</v>
      </c>
    </row>
    <row r="467" ht="12.75" customHeight="1">
      <c r="A467" s="4" t="s">
        <v>2965</v>
      </c>
      <c r="B467" s="5" t="s">
        <v>2965</v>
      </c>
      <c r="C467" s="1" t="str">
        <f t="shared" si="1"/>
        <v/>
      </c>
      <c r="E467" s="5" t="s">
        <v>2965</v>
      </c>
      <c r="F467" s="6" t="str">
        <f t="shared" si="2"/>
        <v>#N/A</v>
      </c>
      <c r="G467" s="1" t="str">
        <f t="shared" si="3"/>
        <v/>
      </c>
      <c r="H467" s="5" t="str">
        <f t="shared" si="4"/>
        <v>54, 56, VOHOO-DU</v>
      </c>
    </row>
    <row r="468" ht="12.75" customHeight="1">
      <c r="A468" s="4" t="s">
        <v>2966</v>
      </c>
      <c r="B468" s="5" t="s">
        <v>2966</v>
      </c>
      <c r="C468" s="1" t="str">
        <f t="shared" si="1"/>
        <v/>
      </c>
      <c r="E468" s="5" t="s">
        <v>2966</v>
      </c>
      <c r="F468" s="6" t="str">
        <f t="shared" si="2"/>
        <v>#N/A</v>
      </c>
      <c r="G468" s="1" t="str">
        <f t="shared" si="3"/>
        <v/>
      </c>
      <c r="H468" s="5" t="str">
        <f t="shared" si="4"/>
        <v>54, 56, CLEFAEFAE</v>
      </c>
    </row>
    <row r="469" ht="12.75" customHeight="1">
      <c r="A469" s="4" t="s">
        <v>2813</v>
      </c>
      <c r="B469" s="5">
        <v>0.01</v>
      </c>
      <c r="C469" s="1" t="str">
        <f t="shared" si="1"/>
        <v/>
      </c>
      <c r="E469" s="5">
        <v>0.01</v>
      </c>
      <c r="F469" s="6" t="str">
        <f t="shared" si="2"/>
        <v>#N/A</v>
      </c>
      <c r="G469" s="1" t="str">
        <f t="shared" si="3"/>
        <v/>
      </c>
      <c r="H469" s="5">
        <f t="shared" si="4"/>
        <v>0.01</v>
      </c>
    </row>
    <row r="470" ht="12.75" customHeight="1">
      <c r="A470" s="4" t="s">
        <v>2967</v>
      </c>
      <c r="B470" s="5" t="s">
        <v>2967</v>
      </c>
      <c r="C470" s="1" t="str">
        <f t="shared" si="1"/>
        <v/>
      </c>
      <c r="E470" s="5" t="s">
        <v>2967</v>
      </c>
      <c r="F470" s="6" t="str">
        <f t="shared" si="2"/>
        <v>#N/A</v>
      </c>
      <c r="G470" s="1" t="str">
        <f t="shared" si="3"/>
        <v/>
      </c>
      <c r="H470" s="5" t="str">
        <f t="shared" si="4"/>
        <v>55, 56, KABUTAK</v>
      </c>
    </row>
    <row r="471" ht="12.75" customHeight="1">
      <c r="A471" s="4" t="s">
        <v>2968</v>
      </c>
      <c r="B471" s="5" t="s">
        <v>2968</v>
      </c>
      <c r="C471" s="1" t="str">
        <f t="shared" si="1"/>
        <v/>
      </c>
      <c r="E471" s="5" t="s">
        <v>2968</v>
      </c>
      <c r="F471" s="6" t="str">
        <f t="shared" si="2"/>
        <v>#N/A</v>
      </c>
      <c r="G471" s="1" t="str">
        <f t="shared" si="3"/>
        <v/>
      </c>
      <c r="H471" s="5" t="str">
        <f t="shared" si="4"/>
        <v>55, 56, OMAPAL</v>
      </c>
    </row>
    <row r="472" ht="12.75" customHeight="1">
      <c r="A472" s="4" t="s">
        <v>2969</v>
      </c>
      <c r="B472" s="5" t="s">
        <v>2969</v>
      </c>
      <c r="C472" s="1" t="str">
        <f t="shared" si="1"/>
        <v/>
      </c>
      <c r="E472" s="5" t="s">
        <v>2969</v>
      </c>
      <c r="F472" s="6" t="str">
        <f t="shared" si="2"/>
        <v>#N/A</v>
      </c>
      <c r="G472" s="1" t="str">
        <f t="shared" si="3"/>
        <v/>
      </c>
      <c r="H472" s="5" t="str">
        <f t="shared" si="4"/>
        <v>2, 50, 55, POLITOES</v>
      </c>
    </row>
    <row r="473" ht="12.75" customHeight="1">
      <c r="A473" s="4" t="s">
        <v>2970</v>
      </c>
      <c r="B473" s="5" t="s">
        <v>2970</v>
      </c>
      <c r="C473" s="1" t="str">
        <f t="shared" si="1"/>
        <v/>
      </c>
      <c r="E473" s="5" t="s">
        <v>2970</v>
      </c>
      <c r="F473" s="6" t="str">
        <f t="shared" si="2"/>
        <v>#N/A</v>
      </c>
      <c r="G473" s="1" t="str">
        <f t="shared" si="3"/>
        <v/>
      </c>
      <c r="H473" s="5" t="str">
        <f t="shared" si="4"/>
        <v>50, 55, DRAGONITE</v>
      </c>
    </row>
    <row r="474" ht="12.75" customHeight="1">
      <c r="A474" s="4" t="s">
        <v>2971</v>
      </c>
      <c r="B474" s="5" t="s">
        <v>2971</v>
      </c>
      <c r="C474" s="1" t="str">
        <f t="shared" si="1"/>
        <v/>
      </c>
      <c r="E474" s="5" t="s">
        <v>2971</v>
      </c>
      <c r="F474" s="6" t="str">
        <f t="shared" si="2"/>
        <v>#N/A</v>
      </c>
      <c r="G474" s="1" t="str">
        <f t="shared" si="3"/>
        <v/>
      </c>
      <c r="H474" s="5" t="str">
        <f t="shared" si="4"/>
        <v>52, 57, POLIWISE</v>
      </c>
    </row>
    <row r="475" ht="12.75" customHeight="1">
      <c r="A475" s="4" t="s">
        <v>2972</v>
      </c>
      <c r="B475" s="5" t="s">
        <v>2972</v>
      </c>
      <c r="C475" s="1" t="str">
        <f t="shared" si="1"/>
        <v/>
      </c>
      <c r="E475" s="5" t="s">
        <v>2972</v>
      </c>
      <c r="F475" s="6" t="str">
        <f t="shared" si="2"/>
        <v>#N/A</v>
      </c>
      <c r="G475" s="1" t="str">
        <f t="shared" si="3"/>
        <v/>
      </c>
      <c r="H475" s="5" t="str">
        <f t="shared" si="4"/>
        <v>52, 57, DRAGONIER</v>
      </c>
    </row>
    <row r="476" ht="12.75" customHeight="1">
      <c r="A476" s="4" t="s">
        <v>2973</v>
      </c>
      <c r="B476" s="5" t="s">
        <v>2973</v>
      </c>
      <c r="C476" s="1" t="str">
        <f t="shared" si="1"/>
        <v/>
      </c>
      <c r="E476" s="5" t="s">
        <v>2973</v>
      </c>
      <c r="F476" s="6" t="str">
        <f t="shared" si="2"/>
        <v>#N/A</v>
      </c>
      <c r="G476" s="1" t="str">
        <f t="shared" si="3"/>
        <v/>
      </c>
      <c r="H476" s="5" t="str">
        <f t="shared" si="4"/>
        <v>53, 58, NESSEA</v>
      </c>
    </row>
    <row r="477" ht="12.75" customHeight="1">
      <c r="A477" s="4" t="s">
        <v>2926</v>
      </c>
      <c r="B477" s="5" t="s">
        <v>2926</v>
      </c>
      <c r="C477" s="1" t="str">
        <f t="shared" si="1"/>
        <v/>
      </c>
      <c r="E477" s="5" t="s">
        <v>2926</v>
      </c>
      <c r="F477" s="6" t="str">
        <f t="shared" si="2"/>
        <v>#N/A</v>
      </c>
      <c r="G477" s="1" t="str">
        <f t="shared" si="3"/>
        <v/>
      </c>
      <c r="H477" s="5" t="str">
        <f t="shared" si="4"/>
        <v>20, old rod:</v>
      </c>
    </row>
    <row r="478" ht="12.75" customHeight="1">
      <c r="A478" s="4" t="s">
        <v>548</v>
      </c>
      <c r="B478" s="5" t="s">
        <v>548</v>
      </c>
      <c r="C478" s="1" t="str">
        <f t="shared" si="1"/>
        <v/>
      </c>
      <c r="E478" s="5" t="s">
        <v>548</v>
      </c>
      <c r="F478" s="6" t="str">
        <f t="shared" si="2"/>
        <v>#N/A</v>
      </c>
      <c r="G478" s="1" t="str">
        <f t="shared" si="3"/>
        <v/>
      </c>
      <c r="H478" s="5" t="str">
        <f t="shared" si="4"/>
        <v>23, 36, CLOYSTER</v>
      </c>
    </row>
    <row r="479" ht="12.75" customHeight="1">
      <c r="A479" s="4" t="s">
        <v>2974</v>
      </c>
      <c r="B479" s="5" t="s">
        <v>2974</v>
      </c>
      <c r="C479" s="1" t="str">
        <f t="shared" si="1"/>
        <v/>
      </c>
      <c r="E479" s="5" t="s">
        <v>2974</v>
      </c>
      <c r="F479" s="6" t="str">
        <f t="shared" si="2"/>
        <v>#N/A</v>
      </c>
      <c r="G479" s="1" t="str">
        <f t="shared" si="3"/>
        <v/>
      </c>
      <c r="H479" s="5" t="str">
        <f t="shared" si="4"/>
        <v>23, 36, GYARADOS</v>
      </c>
    </row>
    <row r="480" ht="12.75" customHeight="1">
      <c r="A480" s="4" t="s">
        <v>2847</v>
      </c>
      <c r="B480" s="5" t="s">
        <v>2847</v>
      </c>
      <c r="C480" s="1" t="str">
        <f t="shared" si="1"/>
        <v/>
      </c>
      <c r="E480" s="5" t="s">
        <v>2847</v>
      </c>
      <c r="F480" s="6" t="str">
        <f t="shared" si="2"/>
        <v>#N/A</v>
      </c>
      <c r="G480" s="1" t="str">
        <f t="shared" si="3"/>
        <v/>
      </c>
      <c r="H480" s="5" t="str">
        <f t="shared" si="4"/>
        <v>good rod:</v>
      </c>
    </row>
    <row r="481" ht="12.75" customHeight="1">
      <c r="A481" s="4" t="s">
        <v>2975</v>
      </c>
      <c r="B481" s="5" t="s">
        <v>2975</v>
      </c>
      <c r="C481" s="1" t="str">
        <f t="shared" si="1"/>
        <v/>
      </c>
      <c r="E481" s="5" t="s">
        <v>2975</v>
      </c>
      <c r="F481" s="6" t="str">
        <f t="shared" si="2"/>
        <v>#N/A</v>
      </c>
      <c r="G481" s="1" t="str">
        <f t="shared" si="3"/>
        <v/>
      </c>
      <c r="H481" s="5" t="str">
        <f t="shared" si="4"/>
        <v>30, 38, CLOYSTER</v>
      </c>
    </row>
    <row r="482" ht="12.75" customHeight="1">
      <c r="A482" s="4" t="s">
        <v>2976</v>
      </c>
      <c r="B482" s="5" t="s">
        <v>2976</v>
      </c>
      <c r="C482" s="1" t="str">
        <f t="shared" si="1"/>
        <v/>
      </c>
      <c r="E482" s="5" t="s">
        <v>2976</v>
      </c>
      <c r="F482" s="6" t="str">
        <f t="shared" si="2"/>
        <v>#N/A</v>
      </c>
      <c r="G482" s="1" t="str">
        <f t="shared" si="3"/>
        <v/>
      </c>
      <c r="H482" s="5" t="str">
        <f t="shared" si="4"/>
        <v>32, 40, KINGDRA</v>
      </c>
    </row>
    <row r="483" ht="12.75" customHeight="1">
      <c r="A483" s="4" t="s">
        <v>2977</v>
      </c>
      <c r="B483" s="5" t="s">
        <v>2977</v>
      </c>
      <c r="C483" s="1" t="str">
        <f t="shared" si="1"/>
        <v/>
      </c>
      <c r="E483" s="5" t="s">
        <v>2977</v>
      </c>
      <c r="F483" s="6" t="str">
        <f t="shared" si="2"/>
        <v>#N/A</v>
      </c>
      <c r="G483" s="1" t="str">
        <f t="shared" si="3"/>
        <v/>
      </c>
      <c r="H483" s="5" t="str">
        <f t="shared" si="4"/>
        <v>32, 40, HYDRADOS</v>
      </c>
    </row>
    <row r="484" ht="12.75" customHeight="1">
      <c r="A484" s="4" t="s">
        <v>2851</v>
      </c>
      <c r="B484" s="5" t="s">
        <v>2851</v>
      </c>
      <c r="C484" s="1" t="str">
        <f t="shared" si="1"/>
        <v/>
      </c>
      <c r="E484" s="5" t="s">
        <v>2851</v>
      </c>
      <c r="F484" s="6" t="str">
        <f t="shared" si="2"/>
        <v>#N/A</v>
      </c>
      <c r="G484" s="1" t="str">
        <f t="shared" si="3"/>
        <v/>
      </c>
      <c r="H484" s="5" t="str">
        <f t="shared" si="4"/>
        <v>super rod:</v>
      </c>
    </row>
    <row r="485" ht="12.75" customHeight="1">
      <c r="A485" s="4" t="s">
        <v>2978</v>
      </c>
      <c r="B485" s="5" t="s">
        <v>2978</v>
      </c>
      <c r="C485" s="1" t="str">
        <f t="shared" si="1"/>
        <v/>
      </c>
      <c r="E485" s="5" t="s">
        <v>2978</v>
      </c>
      <c r="F485" s="6" t="str">
        <f t="shared" si="2"/>
        <v>#N/A</v>
      </c>
      <c r="G485" s="1" t="str">
        <f t="shared" si="3"/>
        <v/>
      </c>
      <c r="H485" s="5" t="str">
        <f t="shared" si="4"/>
        <v>50, 55, LORDRA</v>
      </c>
    </row>
    <row r="486" ht="12.75" customHeight="1">
      <c r="A486" s="4" t="s">
        <v>2979</v>
      </c>
      <c r="B486" s="5" t="s">
        <v>2979</v>
      </c>
      <c r="C486" s="1" t="str">
        <f t="shared" si="1"/>
        <v/>
      </c>
      <c r="E486" s="5" t="s">
        <v>2979</v>
      </c>
      <c r="F486" s="6" t="str">
        <f t="shared" si="2"/>
        <v>#N/A</v>
      </c>
      <c r="G486" s="1" t="str">
        <f t="shared" si="3"/>
        <v/>
      </c>
      <c r="H486" s="5" t="str">
        <f t="shared" si="4"/>
        <v>50, 55, AN'ENEMY</v>
      </c>
    </row>
    <row r="487" ht="12.75" customHeight="1">
      <c r="A487" s="4" t="s">
        <v>2980</v>
      </c>
      <c r="B487" s="5" t="s">
        <v>2980</v>
      </c>
      <c r="C487" s="1" t="str">
        <f t="shared" si="1"/>
        <v/>
      </c>
      <c r="E487" s="5" t="s">
        <v>2980</v>
      </c>
      <c r="F487" s="6" t="str">
        <f t="shared" si="2"/>
        <v>#N/A</v>
      </c>
      <c r="G487" s="1" t="str">
        <f t="shared" si="3"/>
        <v/>
      </c>
      <c r="H487" s="5" t="str">
        <f t="shared" si="4"/>
        <v>52, 57, DRACOSMIC</v>
      </c>
    </row>
    <row r="488" ht="12.75" customHeight="1">
      <c r="A488" s="4" t="s">
        <v>2981</v>
      </c>
      <c r="B488" s="5" t="s">
        <v>2981</v>
      </c>
      <c r="C488" s="1" t="str">
        <f t="shared" si="1"/>
        <v/>
      </c>
      <c r="E488" s="5" t="s">
        <v>2981</v>
      </c>
      <c r="F488" s="6" t="str">
        <f t="shared" si="2"/>
        <v>#N/A</v>
      </c>
      <c r="G488" s="1" t="str">
        <f t="shared" si="3"/>
        <v/>
      </c>
      <c r="H488" s="5" t="str">
        <f t="shared" si="4"/>
        <v>52, 57, GLAISHELL</v>
      </c>
    </row>
    <row r="489" ht="12.75" customHeight="1">
      <c r="A489" s="4" t="s">
        <v>2982</v>
      </c>
      <c r="B489" s="5" t="s">
        <v>2982</v>
      </c>
      <c r="C489" s="1" t="str">
        <f t="shared" si="1"/>
        <v/>
      </c>
      <c r="E489" s="5" t="s">
        <v>2982</v>
      </c>
      <c r="F489" s="6" t="str">
        <f t="shared" si="2"/>
        <v>#N/A</v>
      </c>
      <c r="G489" s="1" t="str">
        <f t="shared" si="3"/>
        <v/>
      </c>
      <c r="H489" s="5" t="str">
        <f t="shared" si="4"/>
        <v>53, 58, STARWE</v>
      </c>
    </row>
    <row r="490" ht="12.75" customHeight="1">
      <c r="A490" s="4" t="s">
        <v>2539</v>
      </c>
      <c r="B490" s="5" t="s">
        <v>2539</v>
      </c>
      <c r="C490" s="1">
        <f t="shared" si="1"/>
        <v>1</v>
      </c>
      <c r="E490" s="5" t="s">
        <v>2539</v>
      </c>
      <c r="F490" s="6" t="str">
        <f t="shared" si="2"/>
        <v>#N/A</v>
      </c>
      <c r="G490" s="1" t="str">
        <f t="shared" si="3"/>
        <v/>
      </c>
      <c r="H490" s="5" t="str">
        <f t="shared" si="4"/>
        <v>NEW ROUTE</v>
      </c>
    </row>
    <row r="491" ht="12.75" customHeight="1">
      <c r="A491" s="4" t="s">
        <v>1767</v>
      </c>
      <c r="B491" s="5" t="s">
        <v>1767</v>
      </c>
      <c r="C491" s="1" t="str">
        <f t="shared" si="1"/>
        <v/>
      </c>
      <c r="E491" s="5" t="s">
        <v>1767</v>
      </c>
      <c r="F491" s="6" t="str">
        <f t="shared" si="2"/>
        <v>Rock Tunnel 1F</v>
      </c>
      <c r="G491" s="1" t="str">
        <f t="shared" si="3"/>
        <v>Rock Tunnel 1F</v>
      </c>
      <c r="H491" s="5" t="str">
        <f t="shared" si="4"/>
        <v>Rock Tunnel 1F</v>
      </c>
    </row>
    <row r="492" ht="12.75" customHeight="1">
      <c r="A492" s="4" t="s">
        <v>2799</v>
      </c>
      <c r="B492" s="5">
        <v>0.2</v>
      </c>
      <c r="C492" s="1" t="str">
        <f t="shared" si="1"/>
        <v/>
      </c>
      <c r="E492" s="5">
        <v>0.2</v>
      </c>
      <c r="F492" s="6" t="str">
        <f t="shared" si="2"/>
        <v>#N/A</v>
      </c>
      <c r="G492" s="1" t="str">
        <f t="shared" si="3"/>
        <v/>
      </c>
      <c r="H492" s="5">
        <f t="shared" si="4"/>
        <v>0.2</v>
      </c>
    </row>
    <row r="493" ht="12.75" customHeight="1">
      <c r="A493" s="4" t="s">
        <v>562</v>
      </c>
      <c r="B493" s="5" t="s">
        <v>562</v>
      </c>
      <c r="C493" s="1" t="str">
        <f t="shared" si="1"/>
        <v/>
      </c>
      <c r="E493" s="5" t="s">
        <v>562</v>
      </c>
      <c r="F493" s="6" t="str">
        <f t="shared" si="2"/>
        <v>#N/A</v>
      </c>
      <c r="G493" s="1" t="str">
        <f t="shared" si="3"/>
        <v/>
      </c>
      <c r="H493" s="5" t="str">
        <f t="shared" si="4"/>
        <v>20, 23, RHYHORN</v>
      </c>
    </row>
    <row r="494" ht="12.75" customHeight="1">
      <c r="A494" s="4" t="s">
        <v>2987</v>
      </c>
      <c r="B494" s="5" t="s">
        <v>2987</v>
      </c>
      <c r="C494" s="1" t="str">
        <f t="shared" si="1"/>
        <v/>
      </c>
      <c r="E494" s="5" t="s">
        <v>2987</v>
      </c>
      <c r="F494" s="6" t="str">
        <f t="shared" si="2"/>
        <v>#N/A</v>
      </c>
      <c r="G494" s="1" t="str">
        <f t="shared" si="3"/>
        <v/>
      </c>
      <c r="H494" s="5" t="str">
        <f t="shared" si="4"/>
        <v>20, 23, GEODUDE</v>
      </c>
    </row>
    <row r="495" ht="12.75" customHeight="1">
      <c r="A495" s="4" t="s">
        <v>2802</v>
      </c>
      <c r="B495" s="5">
        <v>0.1</v>
      </c>
      <c r="C495" s="1" t="str">
        <f t="shared" si="1"/>
        <v/>
      </c>
      <c r="E495" s="5">
        <v>0.1</v>
      </c>
      <c r="F495" s="6" t="str">
        <f t="shared" si="2"/>
        <v>#N/A</v>
      </c>
      <c r="G495" s="1" t="str">
        <f t="shared" si="3"/>
        <v/>
      </c>
      <c r="H495" s="5">
        <f t="shared" si="4"/>
        <v>0.1</v>
      </c>
    </row>
    <row r="496" ht="12.75" customHeight="1">
      <c r="A496" s="4" t="s">
        <v>2988</v>
      </c>
      <c r="B496" s="5" t="s">
        <v>2988</v>
      </c>
      <c r="C496" s="1" t="str">
        <f t="shared" si="1"/>
        <v/>
      </c>
      <c r="E496" s="5" t="s">
        <v>2988</v>
      </c>
      <c r="F496" s="6" t="str">
        <f t="shared" si="2"/>
        <v>#N/A</v>
      </c>
      <c r="G496" s="1" t="str">
        <f t="shared" si="3"/>
        <v/>
      </c>
      <c r="H496" s="5" t="str">
        <f t="shared" si="4"/>
        <v>20, 24, ONIX</v>
      </c>
    </row>
    <row r="497" ht="12.75" customHeight="1">
      <c r="A497" s="4" t="s">
        <v>2989</v>
      </c>
      <c r="B497" s="5" t="s">
        <v>2989</v>
      </c>
      <c r="C497" s="1" t="str">
        <f t="shared" si="1"/>
        <v/>
      </c>
      <c r="E497" s="5" t="s">
        <v>2989</v>
      </c>
      <c r="F497" s="6" t="str">
        <f t="shared" si="2"/>
        <v>#N/A</v>
      </c>
      <c r="G497" s="1" t="str">
        <f t="shared" si="3"/>
        <v/>
      </c>
      <c r="H497" s="5" t="str">
        <f t="shared" si="4"/>
        <v>19, 23, MANKEY</v>
      </c>
    </row>
    <row r="498" ht="12.75" customHeight="1">
      <c r="A498" s="4" t="s">
        <v>2990</v>
      </c>
      <c r="B498" s="5" t="s">
        <v>2990</v>
      </c>
      <c r="C498" s="1" t="str">
        <f t="shared" si="1"/>
        <v/>
      </c>
      <c r="E498" s="5" t="s">
        <v>2990</v>
      </c>
      <c r="F498" s="6" t="str">
        <f t="shared" si="2"/>
        <v>#N/A</v>
      </c>
      <c r="G498" s="1" t="str">
        <f t="shared" si="3"/>
        <v/>
      </c>
      <c r="H498" s="5" t="str">
        <f t="shared" si="4"/>
        <v>19, 23, MACHOP</v>
      </c>
    </row>
    <row r="499" ht="12.75" customHeight="1">
      <c r="A499" s="4" t="s">
        <v>2991</v>
      </c>
      <c r="B499" s="5" t="s">
        <v>2991</v>
      </c>
      <c r="C499" s="1" t="str">
        <f t="shared" si="1"/>
        <v/>
      </c>
      <c r="E499" s="5" t="s">
        <v>2991</v>
      </c>
      <c r="F499" s="6" t="str">
        <f t="shared" si="2"/>
        <v>#N/A</v>
      </c>
      <c r="G499" s="1" t="str">
        <f t="shared" si="3"/>
        <v/>
      </c>
      <c r="H499" s="5" t="str">
        <f t="shared" si="4"/>
        <v>22, 24, GOLBAT</v>
      </c>
    </row>
    <row r="500" ht="12.75" customHeight="1">
      <c r="A500" s="4" t="s">
        <v>2807</v>
      </c>
      <c r="B500" s="5">
        <v>0.05</v>
      </c>
      <c r="C500" s="1" t="str">
        <f t="shared" si="1"/>
        <v/>
      </c>
      <c r="E500" s="5">
        <v>0.05</v>
      </c>
      <c r="F500" s="6" t="str">
        <f t="shared" si="2"/>
        <v>#N/A</v>
      </c>
      <c r="G500" s="1" t="str">
        <f t="shared" si="3"/>
        <v/>
      </c>
      <c r="H500" s="5">
        <f t="shared" si="4"/>
        <v>0.05</v>
      </c>
    </row>
    <row r="501" ht="12.75" customHeight="1">
      <c r="A501" s="4" t="s">
        <v>2992</v>
      </c>
      <c r="B501" s="5" t="s">
        <v>2992</v>
      </c>
      <c r="C501" s="1" t="str">
        <f t="shared" si="1"/>
        <v/>
      </c>
      <c r="E501" s="5" t="s">
        <v>2992</v>
      </c>
      <c r="F501" s="6" t="str">
        <f t="shared" si="2"/>
        <v>#N/A</v>
      </c>
      <c r="G501" s="1" t="str">
        <f t="shared" si="3"/>
        <v/>
      </c>
      <c r="H501" s="5" t="str">
        <f t="shared" si="4"/>
        <v>24, 24, RHYHORN</v>
      </c>
    </row>
    <row r="502" ht="12.75" customHeight="1">
      <c r="A502" s="4" t="s">
        <v>2993</v>
      </c>
      <c r="B502" s="5" t="s">
        <v>2993</v>
      </c>
      <c r="C502" s="1" t="str">
        <f t="shared" si="1"/>
        <v/>
      </c>
      <c r="E502" s="5" t="s">
        <v>2993</v>
      </c>
      <c r="F502" s="6" t="str">
        <f t="shared" si="2"/>
        <v>#N/A</v>
      </c>
      <c r="G502" s="1" t="str">
        <f t="shared" si="3"/>
        <v/>
      </c>
      <c r="H502" s="5" t="str">
        <f t="shared" si="4"/>
        <v>24, 24, GEODUDE</v>
      </c>
    </row>
    <row r="503" ht="12.75" customHeight="1">
      <c r="A503" s="4" t="s">
        <v>2810</v>
      </c>
      <c r="B503" s="5">
        <v>0.04</v>
      </c>
      <c r="C503" s="1" t="str">
        <f t="shared" si="1"/>
        <v/>
      </c>
      <c r="E503" s="5">
        <v>0.04</v>
      </c>
      <c r="F503" s="6" t="str">
        <f t="shared" si="2"/>
        <v>#N/A</v>
      </c>
      <c r="G503" s="1" t="str">
        <f t="shared" si="3"/>
        <v/>
      </c>
      <c r="H503" s="5">
        <f t="shared" si="4"/>
        <v>0.04</v>
      </c>
    </row>
    <row r="504" ht="12.75" customHeight="1">
      <c r="A504" s="4" t="s">
        <v>2994</v>
      </c>
      <c r="B504" s="5" t="s">
        <v>2994</v>
      </c>
      <c r="C504" s="1" t="str">
        <f t="shared" si="1"/>
        <v/>
      </c>
      <c r="E504" s="5" t="s">
        <v>2994</v>
      </c>
      <c r="F504" s="6" t="str">
        <f t="shared" si="2"/>
        <v>#N/A</v>
      </c>
      <c r="G504" s="1" t="str">
        <f t="shared" si="3"/>
        <v/>
      </c>
      <c r="H504" s="5" t="str">
        <f t="shared" si="4"/>
        <v>20, 25, GRAVELER</v>
      </c>
    </row>
    <row r="505" ht="12.75" customHeight="1">
      <c r="A505" s="4" t="s">
        <v>2995</v>
      </c>
      <c r="B505" s="5" t="s">
        <v>2995</v>
      </c>
      <c r="C505" s="1" t="str">
        <f t="shared" si="1"/>
        <v/>
      </c>
      <c r="E505" s="5" t="s">
        <v>2995</v>
      </c>
      <c r="F505" s="6" t="str">
        <f t="shared" si="2"/>
        <v>#N/A</v>
      </c>
      <c r="G505" s="1" t="str">
        <f t="shared" si="3"/>
        <v/>
      </c>
      <c r="H505" s="5" t="str">
        <f t="shared" si="4"/>
        <v>25, 25, GOLBAT</v>
      </c>
    </row>
    <row r="506" ht="12.75" customHeight="1">
      <c r="A506" s="4" t="s">
        <v>2813</v>
      </c>
      <c r="B506" s="5">
        <v>0.01</v>
      </c>
      <c r="C506" s="1" t="str">
        <f t="shared" si="1"/>
        <v/>
      </c>
      <c r="E506" s="5">
        <v>0.01</v>
      </c>
      <c r="F506" s="6" t="str">
        <f t="shared" si="2"/>
        <v>#N/A</v>
      </c>
      <c r="G506" s="1" t="str">
        <f t="shared" si="3"/>
        <v/>
      </c>
      <c r="H506" s="5">
        <f t="shared" si="4"/>
        <v>0.01</v>
      </c>
    </row>
    <row r="507" ht="12.75" customHeight="1">
      <c r="A507" s="4" t="s">
        <v>2996</v>
      </c>
      <c r="B507" s="5" t="s">
        <v>2996</v>
      </c>
      <c r="C507" s="1" t="str">
        <f t="shared" si="1"/>
        <v/>
      </c>
      <c r="E507" s="5" t="s">
        <v>2996</v>
      </c>
      <c r="F507" s="6" t="str">
        <f t="shared" si="2"/>
        <v>#N/A</v>
      </c>
      <c r="G507" s="1" t="str">
        <f t="shared" si="3"/>
        <v/>
      </c>
      <c r="H507" s="5" t="str">
        <f t="shared" si="4"/>
        <v>20, 25, PINSIR</v>
      </c>
    </row>
    <row r="508" ht="12.75" customHeight="1">
      <c r="A508" s="4" t="s">
        <v>3716</v>
      </c>
      <c r="B508" s="5" t="s">
        <v>3716</v>
      </c>
      <c r="C508" s="1" t="str">
        <f t="shared" si="1"/>
        <v/>
      </c>
      <c r="E508" s="5" t="s">
        <v>3716</v>
      </c>
      <c r="F508" s="6" t="str">
        <f t="shared" si="2"/>
        <v>#N/A</v>
      </c>
      <c r="G508" s="1" t="str">
        <f t="shared" si="3"/>
        <v/>
      </c>
      <c r="H508" s="5" t="str">
        <f t="shared" si="4"/>
        <v>20, 23, KANGASKHAN</v>
      </c>
    </row>
    <row r="509" ht="12.75" customHeight="1">
      <c r="A509" s="4" t="s">
        <v>2539</v>
      </c>
      <c r="B509" s="5" t="s">
        <v>2539</v>
      </c>
      <c r="C509" s="1">
        <f t="shared" si="1"/>
        <v>1</v>
      </c>
      <c r="E509" s="5" t="s">
        <v>2539</v>
      </c>
      <c r="F509" s="6" t="str">
        <f t="shared" si="2"/>
        <v>#N/A</v>
      </c>
      <c r="G509" s="1" t="str">
        <f t="shared" si="3"/>
        <v/>
      </c>
      <c r="H509" s="5" t="str">
        <f t="shared" si="4"/>
        <v>NEW ROUTE</v>
      </c>
    </row>
    <row r="510" ht="12.75" customHeight="1">
      <c r="A510" s="4" t="s">
        <v>1770</v>
      </c>
      <c r="B510" s="5" t="s">
        <v>1770</v>
      </c>
      <c r="C510" s="1" t="str">
        <f t="shared" si="1"/>
        <v/>
      </c>
      <c r="E510" s="5" t="s">
        <v>1770</v>
      </c>
      <c r="F510" s="6" t="str">
        <f t="shared" si="2"/>
        <v>Rock Tunnel B1F</v>
      </c>
      <c r="G510" s="1" t="str">
        <f t="shared" si="3"/>
        <v>Rock Tunnel B1F</v>
      </c>
      <c r="H510" s="5" t="str">
        <f t="shared" si="4"/>
        <v>Rock Tunnel B1F</v>
      </c>
    </row>
    <row r="511" ht="12.75" customHeight="1">
      <c r="A511" s="4" t="s">
        <v>2799</v>
      </c>
      <c r="B511" s="5">
        <v>0.2</v>
      </c>
      <c r="C511" s="1" t="str">
        <f t="shared" si="1"/>
        <v/>
      </c>
      <c r="E511" s="5">
        <v>0.2</v>
      </c>
      <c r="F511" s="6" t="str">
        <f t="shared" si="2"/>
        <v>#N/A</v>
      </c>
      <c r="G511" s="1" t="str">
        <f t="shared" si="3"/>
        <v/>
      </c>
      <c r="H511" s="5">
        <f t="shared" si="4"/>
        <v>0.2</v>
      </c>
    </row>
    <row r="512" ht="12.75" customHeight="1">
      <c r="A512" s="4" t="s">
        <v>562</v>
      </c>
      <c r="B512" s="5" t="s">
        <v>562</v>
      </c>
      <c r="C512" s="1" t="str">
        <f t="shared" si="1"/>
        <v/>
      </c>
      <c r="E512" s="5" t="s">
        <v>562</v>
      </c>
      <c r="F512" s="6" t="str">
        <f t="shared" si="2"/>
        <v>#N/A</v>
      </c>
      <c r="G512" s="1" t="str">
        <f t="shared" si="3"/>
        <v/>
      </c>
      <c r="H512" s="5" t="str">
        <f t="shared" si="4"/>
        <v>20, 23, RHYHORN</v>
      </c>
    </row>
    <row r="513" ht="12.75" customHeight="1">
      <c r="A513" s="4" t="s">
        <v>2987</v>
      </c>
      <c r="B513" s="5" t="s">
        <v>2987</v>
      </c>
      <c r="C513" s="1" t="str">
        <f t="shared" si="1"/>
        <v/>
      </c>
      <c r="E513" s="5" t="s">
        <v>2987</v>
      </c>
      <c r="F513" s="6" t="str">
        <f t="shared" si="2"/>
        <v>#N/A</v>
      </c>
      <c r="G513" s="1" t="str">
        <f t="shared" si="3"/>
        <v/>
      </c>
      <c r="H513" s="5" t="str">
        <f t="shared" si="4"/>
        <v>20, 23, GEODUDE</v>
      </c>
    </row>
    <row r="514" ht="12.75" customHeight="1">
      <c r="A514" s="4" t="s">
        <v>2802</v>
      </c>
      <c r="B514" s="5">
        <v>0.1</v>
      </c>
      <c r="C514" s="1" t="str">
        <f t="shared" si="1"/>
        <v/>
      </c>
      <c r="E514" s="5">
        <v>0.1</v>
      </c>
      <c r="F514" s="6" t="str">
        <f t="shared" si="2"/>
        <v>#N/A</v>
      </c>
      <c r="G514" s="1" t="str">
        <f t="shared" si="3"/>
        <v/>
      </c>
      <c r="H514" s="5">
        <f t="shared" si="4"/>
        <v>0.1</v>
      </c>
    </row>
    <row r="515" ht="12.75" customHeight="1">
      <c r="A515" s="4" t="s">
        <v>2988</v>
      </c>
      <c r="B515" s="5" t="s">
        <v>2988</v>
      </c>
      <c r="C515" s="1" t="str">
        <f t="shared" si="1"/>
        <v/>
      </c>
      <c r="E515" s="5" t="s">
        <v>2988</v>
      </c>
      <c r="F515" s="6" t="str">
        <f t="shared" si="2"/>
        <v>#N/A</v>
      </c>
      <c r="G515" s="1" t="str">
        <f t="shared" si="3"/>
        <v/>
      </c>
      <c r="H515" s="5" t="str">
        <f t="shared" si="4"/>
        <v>20, 24, ONIX</v>
      </c>
    </row>
    <row r="516" ht="12.75" customHeight="1">
      <c r="A516" s="4" t="s">
        <v>2989</v>
      </c>
      <c r="B516" s="5" t="s">
        <v>2989</v>
      </c>
      <c r="C516" s="1" t="str">
        <f t="shared" si="1"/>
        <v/>
      </c>
      <c r="E516" s="5" t="s">
        <v>2989</v>
      </c>
      <c r="F516" s="6" t="str">
        <f t="shared" si="2"/>
        <v>#N/A</v>
      </c>
      <c r="G516" s="1" t="str">
        <f t="shared" si="3"/>
        <v/>
      </c>
      <c r="H516" s="5" t="str">
        <f t="shared" si="4"/>
        <v>19, 23, MANKEY</v>
      </c>
    </row>
    <row r="517" ht="12.75" customHeight="1">
      <c r="A517" s="4" t="s">
        <v>2990</v>
      </c>
      <c r="B517" s="5" t="s">
        <v>2990</v>
      </c>
      <c r="C517" s="1" t="str">
        <f t="shared" si="1"/>
        <v/>
      </c>
      <c r="E517" s="5" t="s">
        <v>2990</v>
      </c>
      <c r="F517" s="6" t="str">
        <f t="shared" si="2"/>
        <v>#N/A</v>
      </c>
      <c r="G517" s="1" t="str">
        <f t="shared" si="3"/>
        <v/>
      </c>
      <c r="H517" s="5" t="str">
        <f t="shared" si="4"/>
        <v>19, 23, MACHOP</v>
      </c>
    </row>
    <row r="518" ht="12.75" customHeight="1">
      <c r="A518" s="4" t="s">
        <v>2991</v>
      </c>
      <c r="B518" s="5" t="s">
        <v>2991</v>
      </c>
      <c r="C518" s="1" t="str">
        <f t="shared" si="1"/>
        <v/>
      </c>
      <c r="E518" s="5" t="s">
        <v>2991</v>
      </c>
      <c r="F518" s="6" t="str">
        <f t="shared" si="2"/>
        <v>#N/A</v>
      </c>
      <c r="G518" s="1" t="str">
        <f t="shared" si="3"/>
        <v/>
      </c>
      <c r="H518" s="5" t="str">
        <f t="shared" si="4"/>
        <v>22, 24, GOLBAT</v>
      </c>
    </row>
    <row r="519" ht="12.75" customHeight="1">
      <c r="A519" s="4" t="s">
        <v>2807</v>
      </c>
      <c r="B519" s="5">
        <v>0.05</v>
      </c>
      <c r="C519" s="1" t="str">
        <f t="shared" si="1"/>
        <v/>
      </c>
      <c r="E519" s="5">
        <v>0.05</v>
      </c>
      <c r="F519" s="6" t="str">
        <f t="shared" si="2"/>
        <v>#N/A</v>
      </c>
      <c r="G519" s="1" t="str">
        <f t="shared" si="3"/>
        <v/>
      </c>
      <c r="H519" s="5">
        <f t="shared" si="4"/>
        <v>0.05</v>
      </c>
    </row>
    <row r="520" ht="12.75" customHeight="1">
      <c r="A520" s="4" t="s">
        <v>2992</v>
      </c>
      <c r="B520" s="5" t="s">
        <v>2992</v>
      </c>
      <c r="C520" s="1" t="str">
        <f t="shared" si="1"/>
        <v/>
      </c>
      <c r="E520" s="5" t="s">
        <v>2992</v>
      </c>
      <c r="F520" s="6" t="str">
        <f t="shared" si="2"/>
        <v>#N/A</v>
      </c>
      <c r="G520" s="1" t="str">
        <f t="shared" si="3"/>
        <v/>
      </c>
      <c r="H520" s="5" t="str">
        <f t="shared" si="4"/>
        <v>24, 24, RHYHORN</v>
      </c>
    </row>
    <row r="521" ht="12.75" customHeight="1">
      <c r="A521" s="4" t="s">
        <v>2993</v>
      </c>
      <c r="B521" s="5" t="s">
        <v>2993</v>
      </c>
      <c r="C521" s="1" t="str">
        <f t="shared" si="1"/>
        <v/>
      </c>
      <c r="E521" s="5" t="s">
        <v>2993</v>
      </c>
      <c r="F521" s="6" t="str">
        <f t="shared" si="2"/>
        <v>#N/A</v>
      </c>
      <c r="G521" s="1" t="str">
        <f t="shared" si="3"/>
        <v/>
      </c>
      <c r="H521" s="5" t="str">
        <f t="shared" si="4"/>
        <v>24, 24, GEODUDE</v>
      </c>
    </row>
    <row r="522" ht="12.75" customHeight="1">
      <c r="A522" s="4" t="s">
        <v>2810</v>
      </c>
      <c r="B522" s="5">
        <v>0.04</v>
      </c>
      <c r="C522" s="1" t="str">
        <f t="shared" si="1"/>
        <v/>
      </c>
      <c r="E522" s="5">
        <v>0.04</v>
      </c>
      <c r="F522" s="6" t="str">
        <f t="shared" si="2"/>
        <v>#N/A</v>
      </c>
      <c r="G522" s="1" t="str">
        <f t="shared" si="3"/>
        <v/>
      </c>
      <c r="H522" s="5">
        <f t="shared" si="4"/>
        <v>0.04</v>
      </c>
    </row>
    <row r="523" ht="12.75" customHeight="1">
      <c r="A523" s="4" t="s">
        <v>2994</v>
      </c>
      <c r="B523" s="5" t="s">
        <v>2994</v>
      </c>
      <c r="C523" s="1" t="str">
        <f t="shared" si="1"/>
        <v/>
      </c>
      <c r="E523" s="5" t="s">
        <v>2994</v>
      </c>
      <c r="F523" s="6" t="str">
        <f t="shared" si="2"/>
        <v>#N/A</v>
      </c>
      <c r="G523" s="1" t="str">
        <f t="shared" si="3"/>
        <v/>
      </c>
      <c r="H523" s="5" t="str">
        <f t="shared" si="4"/>
        <v>20, 25, GRAVELER</v>
      </c>
    </row>
    <row r="524" ht="12.75" customHeight="1">
      <c r="A524" s="4" t="s">
        <v>2995</v>
      </c>
      <c r="B524" s="5" t="s">
        <v>2995</v>
      </c>
      <c r="C524" s="1" t="str">
        <f t="shared" si="1"/>
        <v/>
      </c>
      <c r="E524" s="5" t="s">
        <v>2995</v>
      </c>
      <c r="F524" s="6" t="str">
        <f t="shared" si="2"/>
        <v>#N/A</v>
      </c>
      <c r="G524" s="1" t="str">
        <f t="shared" si="3"/>
        <v/>
      </c>
      <c r="H524" s="5" t="str">
        <f t="shared" si="4"/>
        <v>25, 25, GOLBAT</v>
      </c>
    </row>
    <row r="525" ht="12.75" customHeight="1">
      <c r="A525" s="4" t="s">
        <v>2813</v>
      </c>
      <c r="B525" s="5">
        <v>0.01</v>
      </c>
      <c r="C525" s="1" t="str">
        <f t="shared" si="1"/>
        <v/>
      </c>
      <c r="E525" s="5">
        <v>0.01</v>
      </c>
      <c r="F525" s="6" t="str">
        <f t="shared" si="2"/>
        <v>#N/A</v>
      </c>
      <c r="G525" s="1" t="str">
        <f t="shared" si="3"/>
        <v/>
      </c>
      <c r="H525" s="5">
        <f t="shared" si="4"/>
        <v>0.01</v>
      </c>
    </row>
    <row r="526" ht="12.75" customHeight="1">
      <c r="A526" s="4" t="s">
        <v>2996</v>
      </c>
      <c r="B526" s="5" t="s">
        <v>2996</v>
      </c>
      <c r="C526" s="1" t="str">
        <f t="shared" si="1"/>
        <v/>
      </c>
      <c r="E526" s="5" t="s">
        <v>2996</v>
      </c>
      <c r="F526" s="6" t="str">
        <f t="shared" si="2"/>
        <v>#N/A</v>
      </c>
      <c r="G526" s="1" t="str">
        <f t="shared" si="3"/>
        <v/>
      </c>
      <c r="H526" s="5" t="str">
        <f t="shared" si="4"/>
        <v>20, 25, PINSIR</v>
      </c>
    </row>
    <row r="527" ht="12.75" customHeight="1">
      <c r="A527" s="4" t="s">
        <v>2999</v>
      </c>
      <c r="B527" s="5" t="s">
        <v>2999</v>
      </c>
      <c r="C527" s="1" t="str">
        <f t="shared" si="1"/>
        <v/>
      </c>
      <c r="E527" s="5" t="s">
        <v>2999</v>
      </c>
      <c r="F527" s="6" t="str">
        <f t="shared" si="2"/>
        <v>#N/A</v>
      </c>
      <c r="G527" s="1" t="str">
        <f t="shared" si="3"/>
        <v/>
      </c>
      <c r="H527" s="5" t="str">
        <f t="shared" si="4"/>
        <v>21, 24, KANGASKHAN</v>
      </c>
    </row>
    <row r="528" ht="12.75" customHeight="1">
      <c r="A528" s="4" t="s">
        <v>3000</v>
      </c>
      <c r="B528" s="5" t="s">
        <v>3000</v>
      </c>
      <c r="C528" s="1" t="str">
        <f t="shared" si="1"/>
        <v/>
      </c>
      <c r="E528" s="5" t="s">
        <v>3000</v>
      </c>
      <c r="F528" s="6" t="str">
        <f t="shared" si="2"/>
        <v>#N/A</v>
      </c>
      <c r="G528" s="1" t="str">
        <f t="shared" si="3"/>
        <v/>
      </c>
      <c r="H528" s="5" t="str">
        <f t="shared" si="4"/>
        <v>50, 5, 20, GEODUDE</v>
      </c>
    </row>
    <row r="529" ht="12.75" customHeight="1">
      <c r="A529" s="4" t="s">
        <v>3001</v>
      </c>
      <c r="B529" s="5" t="s">
        <v>3001</v>
      </c>
      <c r="C529" s="1" t="str">
        <f t="shared" si="1"/>
        <v/>
      </c>
      <c r="E529" s="5" t="s">
        <v>3001</v>
      </c>
      <c r="F529" s="6" t="str">
        <f t="shared" si="2"/>
        <v>#N/A</v>
      </c>
      <c r="G529" s="1" t="str">
        <f t="shared" si="3"/>
        <v/>
      </c>
      <c r="H529" s="5" t="str">
        <f t="shared" si="4"/>
        <v>10, 20, GEODUDE</v>
      </c>
    </row>
    <row r="530" ht="12.75" customHeight="1">
      <c r="A530" s="4" t="s">
        <v>3002</v>
      </c>
      <c r="B530" s="5" t="s">
        <v>3002</v>
      </c>
      <c r="C530" s="1" t="str">
        <f t="shared" si="1"/>
        <v/>
      </c>
      <c r="E530" s="5" t="s">
        <v>3002</v>
      </c>
      <c r="F530" s="6" t="str">
        <f t="shared" si="2"/>
        <v>#N/A</v>
      </c>
      <c r="G530" s="1" t="str">
        <f t="shared" si="3"/>
        <v/>
      </c>
      <c r="H530" s="5" t="str">
        <f t="shared" si="4"/>
        <v>15, 30, GEODUDE</v>
      </c>
    </row>
    <row r="531" ht="12.75" customHeight="1">
      <c r="A531" s="4" t="s">
        <v>3003</v>
      </c>
      <c r="B531" s="5" t="s">
        <v>3003</v>
      </c>
      <c r="C531" s="1" t="str">
        <f t="shared" si="1"/>
        <v/>
      </c>
      <c r="E531" s="5" t="s">
        <v>3003</v>
      </c>
      <c r="F531" s="6" t="str">
        <f t="shared" si="2"/>
        <v>#N/A</v>
      </c>
      <c r="G531" s="1" t="str">
        <f t="shared" si="3"/>
        <v/>
      </c>
      <c r="H531" s="5" t="str">
        <f t="shared" si="4"/>
        <v>25, 40, GRAVELER</v>
      </c>
    </row>
    <row r="532" ht="12.75" customHeight="1">
      <c r="A532" s="4" t="s">
        <v>3234</v>
      </c>
      <c r="B532" s="5" t="s">
        <v>3234</v>
      </c>
      <c r="C532" s="1" t="str">
        <f t="shared" si="1"/>
        <v/>
      </c>
      <c r="E532" s="5" t="s">
        <v>3234</v>
      </c>
      <c r="F532" s="6" t="str">
        <f t="shared" si="2"/>
        <v>#N/A</v>
      </c>
      <c r="G532" s="1" t="str">
        <f t="shared" si="3"/>
        <v/>
      </c>
      <c r="H532" s="5" t="str">
        <f t="shared" si="4"/>
        <v>30, 40, GRAVELER</v>
      </c>
    </row>
    <row r="533" ht="12.75" customHeight="1">
      <c r="A533" s="4" t="s">
        <v>2539</v>
      </c>
      <c r="B533" s="5" t="s">
        <v>2539</v>
      </c>
      <c r="C533" s="1">
        <f t="shared" si="1"/>
        <v>1</v>
      </c>
      <c r="E533" s="5" t="s">
        <v>2539</v>
      </c>
      <c r="F533" s="6" t="str">
        <f t="shared" si="2"/>
        <v>#N/A</v>
      </c>
      <c r="G533" s="1" t="str">
        <f t="shared" si="3"/>
        <v/>
      </c>
      <c r="H533" s="5" t="str">
        <f t="shared" si="4"/>
        <v>NEW ROUTE</v>
      </c>
    </row>
    <row r="534" ht="12.75" customHeight="1">
      <c r="A534" s="4" t="s">
        <v>1773</v>
      </c>
      <c r="B534" s="5" t="s">
        <v>1773</v>
      </c>
      <c r="C534" s="1" t="str">
        <f t="shared" si="1"/>
        <v/>
      </c>
      <c r="E534" s="5" t="s">
        <v>1773</v>
      </c>
      <c r="F534" s="6" t="str">
        <f t="shared" si="2"/>
        <v>Seafoam Islands 1F</v>
      </c>
      <c r="G534" s="1" t="str">
        <f t="shared" si="3"/>
        <v>Seafoam Islands 1F</v>
      </c>
      <c r="H534" s="5" t="str">
        <f t="shared" si="4"/>
        <v>Seafoam Islands 1F</v>
      </c>
    </row>
    <row r="535" ht="12.75" customHeight="1">
      <c r="A535" s="4" t="s">
        <v>2799</v>
      </c>
      <c r="B535" s="5">
        <v>0.2</v>
      </c>
      <c r="C535" s="1" t="str">
        <f t="shared" si="1"/>
        <v/>
      </c>
      <c r="E535" s="5">
        <v>0.2</v>
      </c>
      <c r="F535" s="6" t="str">
        <f t="shared" si="2"/>
        <v>#N/A</v>
      </c>
      <c r="G535" s="1" t="str">
        <f t="shared" si="3"/>
        <v/>
      </c>
      <c r="H535" s="5">
        <f t="shared" si="4"/>
        <v>0.2</v>
      </c>
    </row>
    <row r="536" ht="12.75" customHeight="1">
      <c r="A536" s="4" t="s">
        <v>581</v>
      </c>
      <c r="B536" s="5" t="s">
        <v>581</v>
      </c>
      <c r="C536" s="1" t="str">
        <f t="shared" si="1"/>
        <v/>
      </c>
      <c r="E536" s="5" t="s">
        <v>581</v>
      </c>
      <c r="F536" s="6" t="str">
        <f t="shared" si="2"/>
        <v>#N/A</v>
      </c>
      <c r="G536" s="1" t="str">
        <f t="shared" si="3"/>
        <v/>
      </c>
      <c r="H536" s="5" t="str">
        <f t="shared" si="4"/>
        <v>40, 44, GOLBAT</v>
      </c>
    </row>
    <row r="537" ht="12.75" customHeight="1">
      <c r="A537" s="4" t="s">
        <v>3006</v>
      </c>
      <c r="B537" s="5" t="s">
        <v>3006</v>
      </c>
      <c r="C537" s="1" t="str">
        <f t="shared" si="1"/>
        <v/>
      </c>
      <c r="E537" s="5" t="s">
        <v>3006</v>
      </c>
      <c r="F537" s="6" t="str">
        <f t="shared" si="2"/>
        <v>#N/A</v>
      </c>
      <c r="G537" s="1" t="str">
        <f t="shared" si="3"/>
        <v/>
      </c>
      <c r="H537" s="5" t="str">
        <f t="shared" si="4"/>
        <v>40, 44, GOLDUCK</v>
      </c>
    </row>
    <row r="538" ht="12.75" customHeight="1">
      <c r="A538" s="4" t="s">
        <v>2802</v>
      </c>
      <c r="B538" s="5">
        <v>0.1</v>
      </c>
      <c r="C538" s="1" t="str">
        <f t="shared" si="1"/>
        <v/>
      </c>
      <c r="E538" s="5">
        <v>0.1</v>
      </c>
      <c r="F538" s="6" t="str">
        <f t="shared" si="2"/>
        <v>#N/A</v>
      </c>
      <c r="G538" s="1" t="str">
        <f t="shared" si="3"/>
        <v/>
      </c>
      <c r="H538" s="5">
        <f t="shared" si="4"/>
        <v>0.1</v>
      </c>
    </row>
    <row r="539" ht="12.75" customHeight="1">
      <c r="A539" s="4" t="s">
        <v>3007</v>
      </c>
      <c r="B539" s="5" t="s">
        <v>3007</v>
      </c>
      <c r="C539" s="1" t="str">
        <f t="shared" si="1"/>
        <v/>
      </c>
      <c r="E539" s="5" t="s">
        <v>3007</v>
      </c>
      <c r="F539" s="6" t="str">
        <f t="shared" si="2"/>
        <v>#N/A</v>
      </c>
      <c r="G539" s="1" t="str">
        <f t="shared" si="3"/>
        <v/>
      </c>
      <c r="H539" s="5" t="str">
        <f t="shared" si="4"/>
        <v>40, 44, SLOWBRO</v>
      </c>
    </row>
    <row r="540" ht="12.75" customHeight="1">
      <c r="A540" s="4" t="s">
        <v>3008</v>
      </c>
      <c r="B540" s="5" t="s">
        <v>3008</v>
      </c>
      <c r="C540" s="1" t="str">
        <f t="shared" si="1"/>
        <v/>
      </c>
      <c r="E540" s="5" t="s">
        <v>3008</v>
      </c>
      <c r="F540" s="6" t="str">
        <f t="shared" si="2"/>
        <v>#N/A</v>
      </c>
      <c r="G540" s="1" t="str">
        <f t="shared" si="3"/>
        <v/>
      </c>
      <c r="H540" s="5" t="str">
        <f t="shared" si="4"/>
        <v>40, 44, CROBAT</v>
      </c>
    </row>
    <row r="541" ht="12.75" customHeight="1">
      <c r="A541" s="4" t="s">
        <v>3009</v>
      </c>
      <c r="B541" s="5" t="s">
        <v>3009</v>
      </c>
      <c r="C541" s="1" t="str">
        <f t="shared" si="1"/>
        <v/>
      </c>
      <c r="E541" s="5" t="s">
        <v>3009</v>
      </c>
      <c r="F541" s="6" t="str">
        <f t="shared" si="2"/>
        <v>#N/A</v>
      </c>
      <c r="G541" s="1" t="str">
        <f t="shared" si="3"/>
        <v/>
      </c>
      <c r="H541" s="5" t="str">
        <f t="shared" si="4"/>
        <v>40, 44, DEWGONG</v>
      </c>
    </row>
    <row r="542" ht="12.75" customHeight="1">
      <c r="A542" s="4" t="s">
        <v>3010</v>
      </c>
      <c r="B542" s="5" t="s">
        <v>3010</v>
      </c>
      <c r="C542" s="1" t="str">
        <f t="shared" si="1"/>
        <v/>
      </c>
      <c r="E542" s="5" t="s">
        <v>3010</v>
      </c>
      <c r="F542" s="6" t="str">
        <f t="shared" si="2"/>
        <v>#N/A</v>
      </c>
      <c r="G542" s="1" t="str">
        <f t="shared" si="3"/>
        <v/>
      </c>
      <c r="H542" s="5" t="str">
        <f t="shared" si="4"/>
        <v>40, 44, LICKILICKY</v>
      </c>
    </row>
    <row r="543" ht="12.75" customHeight="1">
      <c r="A543" s="4" t="s">
        <v>2807</v>
      </c>
      <c r="B543" s="5">
        <v>0.05</v>
      </c>
      <c r="C543" s="1" t="str">
        <f t="shared" si="1"/>
        <v/>
      </c>
      <c r="E543" s="5">
        <v>0.05</v>
      </c>
      <c r="F543" s="6" t="str">
        <f t="shared" si="2"/>
        <v>#N/A</v>
      </c>
      <c r="G543" s="1" t="str">
        <f t="shared" si="3"/>
        <v/>
      </c>
      <c r="H543" s="5">
        <f t="shared" si="4"/>
        <v>0.05</v>
      </c>
    </row>
    <row r="544" ht="12.75" customHeight="1">
      <c r="A544" s="4" t="s">
        <v>3011</v>
      </c>
      <c r="B544" s="5" t="s">
        <v>3011</v>
      </c>
      <c r="C544" s="1" t="str">
        <f t="shared" si="1"/>
        <v/>
      </c>
      <c r="E544" s="5" t="s">
        <v>3011</v>
      </c>
      <c r="F544" s="6" t="str">
        <f t="shared" si="2"/>
        <v>#N/A</v>
      </c>
      <c r="G544" s="1" t="str">
        <f t="shared" si="3"/>
        <v/>
      </c>
      <c r="H544" s="5" t="str">
        <f t="shared" si="4"/>
        <v>42, 46, POLABAT</v>
      </c>
    </row>
    <row r="545" ht="12.75" customHeight="1">
      <c r="A545" s="4" t="s">
        <v>3012</v>
      </c>
      <c r="B545" s="5" t="s">
        <v>3012</v>
      </c>
      <c r="C545" s="1" t="str">
        <f t="shared" si="1"/>
        <v/>
      </c>
      <c r="E545" s="5" t="s">
        <v>3012</v>
      </c>
      <c r="F545" s="6" t="str">
        <f t="shared" si="2"/>
        <v>#N/A</v>
      </c>
      <c r="G545" s="1" t="str">
        <f t="shared" si="3"/>
        <v/>
      </c>
      <c r="H545" s="5" t="str">
        <f t="shared" si="4"/>
        <v>42, 46, GILDUCK</v>
      </c>
    </row>
    <row r="546" ht="12.75" customHeight="1">
      <c r="A546" s="4" t="s">
        <v>2810</v>
      </c>
      <c r="B546" s="5">
        <v>0.04</v>
      </c>
      <c r="C546" s="1" t="str">
        <f t="shared" si="1"/>
        <v/>
      </c>
      <c r="E546" s="5">
        <v>0.04</v>
      </c>
      <c r="F546" s="6" t="str">
        <f t="shared" si="2"/>
        <v>#N/A</v>
      </c>
      <c r="G546" s="1" t="str">
        <f t="shared" si="3"/>
        <v/>
      </c>
      <c r="H546" s="5">
        <f t="shared" si="4"/>
        <v>0.04</v>
      </c>
    </row>
    <row r="547" ht="12.75" customHeight="1">
      <c r="A547" s="4" t="s">
        <v>3013</v>
      </c>
      <c r="B547" s="5" t="s">
        <v>3013</v>
      </c>
      <c r="C547" s="1" t="str">
        <f t="shared" si="1"/>
        <v/>
      </c>
      <c r="E547" s="5" t="s">
        <v>3013</v>
      </c>
      <c r="F547" s="6" t="str">
        <f t="shared" si="2"/>
        <v>#N/A</v>
      </c>
      <c r="G547" s="1" t="str">
        <f t="shared" si="3"/>
        <v/>
      </c>
      <c r="H547" s="5" t="str">
        <f t="shared" si="4"/>
        <v>44, 47, SLOWMATE</v>
      </c>
    </row>
    <row r="548" ht="12.75" customHeight="1">
      <c r="A548" s="4" t="s">
        <v>3014</v>
      </c>
      <c r="B548" s="5" t="s">
        <v>3014</v>
      </c>
      <c r="C548" s="1" t="str">
        <f t="shared" si="1"/>
        <v/>
      </c>
      <c r="E548" s="5" t="s">
        <v>3014</v>
      </c>
      <c r="F548" s="6" t="str">
        <f t="shared" si="2"/>
        <v>#N/A</v>
      </c>
      <c r="G548" s="1" t="str">
        <f t="shared" si="3"/>
        <v/>
      </c>
      <c r="H548" s="5" t="str">
        <f t="shared" si="4"/>
        <v>44, 47, PRECIPED</v>
      </c>
    </row>
    <row r="549" ht="12.75" customHeight="1">
      <c r="A549" s="4" t="s">
        <v>2813</v>
      </c>
      <c r="B549" s="5">
        <v>0.01</v>
      </c>
      <c r="C549" s="1" t="str">
        <f t="shared" si="1"/>
        <v/>
      </c>
      <c r="E549" s="5">
        <v>0.01</v>
      </c>
      <c r="F549" s="6" t="str">
        <f t="shared" si="2"/>
        <v>#N/A</v>
      </c>
      <c r="G549" s="1" t="str">
        <f t="shared" si="3"/>
        <v/>
      </c>
      <c r="H549" s="5">
        <f t="shared" si="4"/>
        <v>0.01</v>
      </c>
    </row>
    <row r="550" ht="12.75" customHeight="1">
      <c r="A550" s="4" t="s">
        <v>3015</v>
      </c>
      <c r="B550" s="5" t="s">
        <v>3015</v>
      </c>
      <c r="C550" s="1" t="str">
        <f t="shared" si="1"/>
        <v/>
      </c>
      <c r="E550" s="5" t="s">
        <v>3015</v>
      </c>
      <c r="F550" s="6" t="str">
        <f t="shared" si="2"/>
        <v>#N/A</v>
      </c>
      <c r="G550" s="1" t="str">
        <f t="shared" si="3"/>
        <v/>
      </c>
      <c r="H550" s="5" t="str">
        <f t="shared" si="4"/>
        <v>45, 50, DRAGONITE</v>
      </c>
    </row>
    <row r="551" ht="12.75" customHeight="1">
      <c r="A551" s="4" t="s">
        <v>3717</v>
      </c>
      <c r="B551" s="5" t="s">
        <v>3717</v>
      </c>
      <c r="C551" s="1" t="str">
        <f t="shared" si="1"/>
        <v/>
      </c>
      <c r="E551" s="5" t="s">
        <v>3717</v>
      </c>
      <c r="F551" s="6" t="str">
        <f t="shared" si="2"/>
        <v>#N/A</v>
      </c>
      <c r="G551" s="1" t="str">
        <f t="shared" si="3"/>
        <v/>
      </c>
      <c r="H551" s="5" t="str">
        <f t="shared" si="4"/>
        <v>45, 50, LICKILICKY</v>
      </c>
    </row>
    <row r="552" ht="12.75" customHeight="1">
      <c r="A552" s="4" t="s">
        <v>2539</v>
      </c>
      <c r="B552" s="5" t="s">
        <v>2539</v>
      </c>
      <c r="C552" s="1">
        <f t="shared" si="1"/>
        <v>1</v>
      </c>
      <c r="E552" s="5" t="s">
        <v>2539</v>
      </c>
      <c r="F552" s="6" t="str">
        <f t="shared" si="2"/>
        <v>#N/A</v>
      </c>
      <c r="G552" s="1" t="str">
        <f t="shared" si="3"/>
        <v/>
      </c>
      <c r="H552" s="5" t="str">
        <f t="shared" si="4"/>
        <v>NEW ROUTE</v>
      </c>
    </row>
    <row r="553" ht="12.75" customHeight="1">
      <c r="A553" s="4" t="s">
        <v>1776</v>
      </c>
      <c r="B553" s="5" t="s">
        <v>1776</v>
      </c>
      <c r="C553" s="1" t="str">
        <f t="shared" si="1"/>
        <v/>
      </c>
      <c r="E553" s="5" t="s">
        <v>1776</v>
      </c>
      <c r="F553" s="6" t="str">
        <f t="shared" si="2"/>
        <v>Seafoam Islands B1F</v>
      </c>
      <c r="G553" s="1" t="str">
        <f t="shared" si="3"/>
        <v>Seafoam Islands B1F</v>
      </c>
      <c r="H553" s="5" t="str">
        <f t="shared" si="4"/>
        <v>Seafoam Islands B1F</v>
      </c>
    </row>
    <row r="554" ht="12.75" customHeight="1">
      <c r="A554" s="4" t="s">
        <v>2799</v>
      </c>
      <c r="B554" s="5">
        <v>0.2</v>
      </c>
      <c r="C554" s="1" t="str">
        <f t="shared" si="1"/>
        <v/>
      </c>
      <c r="E554" s="5">
        <v>0.2</v>
      </c>
      <c r="F554" s="6" t="str">
        <f t="shared" si="2"/>
        <v>#N/A</v>
      </c>
      <c r="G554" s="1" t="str">
        <f t="shared" si="3"/>
        <v/>
      </c>
      <c r="H554" s="5">
        <f t="shared" si="4"/>
        <v>0.2</v>
      </c>
    </row>
    <row r="555" ht="12.75" customHeight="1">
      <c r="A555" s="4" t="s">
        <v>581</v>
      </c>
      <c r="B555" s="5" t="s">
        <v>581</v>
      </c>
      <c r="C555" s="1" t="str">
        <f t="shared" si="1"/>
        <v/>
      </c>
      <c r="E555" s="5" t="s">
        <v>581</v>
      </c>
      <c r="F555" s="6" t="str">
        <f t="shared" si="2"/>
        <v>#N/A</v>
      </c>
      <c r="G555" s="1" t="str">
        <f t="shared" si="3"/>
        <v/>
      </c>
      <c r="H555" s="5" t="str">
        <f t="shared" si="4"/>
        <v>40, 44, GOLBAT</v>
      </c>
    </row>
    <row r="556" ht="12.75" customHeight="1">
      <c r="A556" s="4" t="s">
        <v>3006</v>
      </c>
      <c r="B556" s="5" t="s">
        <v>3006</v>
      </c>
      <c r="C556" s="1" t="str">
        <f t="shared" si="1"/>
        <v/>
      </c>
      <c r="E556" s="5" t="s">
        <v>3006</v>
      </c>
      <c r="F556" s="6" t="str">
        <f t="shared" si="2"/>
        <v>#N/A</v>
      </c>
      <c r="G556" s="1" t="str">
        <f t="shared" si="3"/>
        <v/>
      </c>
      <c r="H556" s="5" t="str">
        <f t="shared" si="4"/>
        <v>40, 44, GOLDUCK</v>
      </c>
    </row>
    <row r="557" ht="12.75" customHeight="1">
      <c r="A557" s="4" t="s">
        <v>2802</v>
      </c>
      <c r="B557" s="5">
        <v>0.1</v>
      </c>
      <c r="C557" s="1" t="str">
        <f t="shared" si="1"/>
        <v/>
      </c>
      <c r="E557" s="5">
        <v>0.1</v>
      </c>
      <c r="F557" s="6" t="str">
        <f t="shared" si="2"/>
        <v>#N/A</v>
      </c>
      <c r="G557" s="1" t="str">
        <f t="shared" si="3"/>
        <v/>
      </c>
      <c r="H557" s="5">
        <f t="shared" si="4"/>
        <v>0.1</v>
      </c>
    </row>
    <row r="558" ht="12.75" customHeight="1">
      <c r="A558" s="4" t="s">
        <v>3007</v>
      </c>
      <c r="B558" s="5" t="s">
        <v>3007</v>
      </c>
      <c r="C558" s="1" t="str">
        <f t="shared" si="1"/>
        <v/>
      </c>
      <c r="E558" s="5" t="s">
        <v>3007</v>
      </c>
      <c r="F558" s="6" t="str">
        <f t="shared" si="2"/>
        <v>#N/A</v>
      </c>
      <c r="G558" s="1" t="str">
        <f t="shared" si="3"/>
        <v/>
      </c>
      <c r="H558" s="5" t="str">
        <f t="shared" si="4"/>
        <v>40, 44, SLOWBRO</v>
      </c>
    </row>
    <row r="559" ht="12.75" customHeight="1">
      <c r="A559" s="4" t="s">
        <v>3008</v>
      </c>
      <c r="B559" s="5" t="s">
        <v>3008</v>
      </c>
      <c r="C559" s="1" t="str">
        <f t="shared" si="1"/>
        <v/>
      </c>
      <c r="E559" s="5" t="s">
        <v>3008</v>
      </c>
      <c r="F559" s="6" t="str">
        <f t="shared" si="2"/>
        <v>#N/A</v>
      </c>
      <c r="G559" s="1" t="str">
        <f t="shared" si="3"/>
        <v/>
      </c>
      <c r="H559" s="5" t="str">
        <f t="shared" si="4"/>
        <v>40, 44, CROBAT</v>
      </c>
    </row>
    <row r="560" ht="12.75" customHeight="1">
      <c r="A560" s="4" t="s">
        <v>3009</v>
      </c>
      <c r="B560" s="5" t="s">
        <v>3009</v>
      </c>
      <c r="C560" s="1" t="str">
        <f t="shared" si="1"/>
        <v/>
      </c>
      <c r="E560" s="5" t="s">
        <v>3009</v>
      </c>
      <c r="F560" s="6" t="str">
        <f t="shared" si="2"/>
        <v>#N/A</v>
      </c>
      <c r="G560" s="1" t="str">
        <f t="shared" si="3"/>
        <v/>
      </c>
      <c r="H560" s="5" t="str">
        <f t="shared" si="4"/>
        <v>40, 44, DEWGONG</v>
      </c>
    </row>
    <row r="561" ht="12.75" customHeight="1">
      <c r="A561" s="4" t="s">
        <v>3010</v>
      </c>
      <c r="B561" s="5" t="s">
        <v>3010</v>
      </c>
      <c r="C561" s="1" t="str">
        <f t="shared" si="1"/>
        <v/>
      </c>
      <c r="E561" s="5" t="s">
        <v>3010</v>
      </c>
      <c r="F561" s="6" t="str">
        <f t="shared" si="2"/>
        <v>#N/A</v>
      </c>
      <c r="G561" s="1" t="str">
        <f t="shared" si="3"/>
        <v/>
      </c>
      <c r="H561" s="5" t="str">
        <f t="shared" si="4"/>
        <v>40, 44, LICKILICKY</v>
      </c>
    </row>
    <row r="562" ht="12.75" customHeight="1">
      <c r="A562" s="4" t="s">
        <v>2807</v>
      </c>
      <c r="B562" s="5">
        <v>0.05</v>
      </c>
      <c r="C562" s="1" t="str">
        <f t="shared" si="1"/>
        <v/>
      </c>
      <c r="E562" s="5">
        <v>0.05</v>
      </c>
      <c r="F562" s="6" t="str">
        <f t="shared" si="2"/>
        <v>#N/A</v>
      </c>
      <c r="G562" s="1" t="str">
        <f t="shared" si="3"/>
        <v/>
      </c>
      <c r="H562" s="5">
        <f t="shared" si="4"/>
        <v>0.05</v>
      </c>
    </row>
    <row r="563" ht="12.75" customHeight="1">
      <c r="A563" s="4" t="s">
        <v>3011</v>
      </c>
      <c r="B563" s="5" t="s">
        <v>3011</v>
      </c>
      <c r="C563" s="1" t="str">
        <f t="shared" si="1"/>
        <v/>
      </c>
      <c r="E563" s="5" t="s">
        <v>3011</v>
      </c>
      <c r="F563" s="6" t="str">
        <f t="shared" si="2"/>
        <v>#N/A</v>
      </c>
      <c r="G563" s="1" t="str">
        <f t="shared" si="3"/>
        <v/>
      </c>
      <c r="H563" s="5" t="str">
        <f t="shared" si="4"/>
        <v>42, 46, POLABAT</v>
      </c>
    </row>
    <row r="564" ht="12.75" customHeight="1">
      <c r="A564" s="4" t="s">
        <v>3012</v>
      </c>
      <c r="B564" s="5" t="s">
        <v>3012</v>
      </c>
      <c r="C564" s="1" t="str">
        <f t="shared" si="1"/>
        <v/>
      </c>
      <c r="E564" s="5" t="s">
        <v>3012</v>
      </c>
      <c r="F564" s="6" t="str">
        <f t="shared" si="2"/>
        <v>#N/A</v>
      </c>
      <c r="G564" s="1" t="str">
        <f t="shared" si="3"/>
        <v/>
      </c>
      <c r="H564" s="5" t="str">
        <f t="shared" si="4"/>
        <v>42, 46, GILDUCK</v>
      </c>
    </row>
    <row r="565" ht="12.75" customHeight="1">
      <c r="A565" s="4" t="s">
        <v>2810</v>
      </c>
      <c r="B565" s="5">
        <v>0.04</v>
      </c>
      <c r="C565" s="1" t="str">
        <f t="shared" si="1"/>
        <v/>
      </c>
      <c r="E565" s="5">
        <v>0.04</v>
      </c>
      <c r="F565" s="6" t="str">
        <f t="shared" si="2"/>
        <v>#N/A</v>
      </c>
      <c r="G565" s="1" t="str">
        <f t="shared" si="3"/>
        <v/>
      </c>
      <c r="H565" s="5">
        <f t="shared" si="4"/>
        <v>0.04</v>
      </c>
    </row>
    <row r="566" ht="12.75" customHeight="1">
      <c r="A566" s="4" t="s">
        <v>3013</v>
      </c>
      <c r="B566" s="5" t="s">
        <v>3013</v>
      </c>
      <c r="C566" s="1" t="str">
        <f t="shared" si="1"/>
        <v/>
      </c>
      <c r="E566" s="5" t="s">
        <v>3013</v>
      </c>
      <c r="F566" s="6" t="str">
        <f t="shared" si="2"/>
        <v>#N/A</v>
      </c>
      <c r="G566" s="1" t="str">
        <f t="shared" si="3"/>
        <v/>
      </c>
      <c r="H566" s="5" t="str">
        <f t="shared" si="4"/>
        <v>44, 47, SLOWMATE</v>
      </c>
    </row>
    <row r="567" ht="12.75" customHeight="1">
      <c r="A567" s="4" t="s">
        <v>3014</v>
      </c>
      <c r="B567" s="5" t="s">
        <v>3014</v>
      </c>
      <c r="C567" s="1" t="str">
        <f t="shared" si="1"/>
        <v/>
      </c>
      <c r="E567" s="5" t="s">
        <v>3014</v>
      </c>
      <c r="F567" s="6" t="str">
        <f t="shared" si="2"/>
        <v>#N/A</v>
      </c>
      <c r="G567" s="1" t="str">
        <f t="shared" si="3"/>
        <v/>
      </c>
      <c r="H567" s="5" t="str">
        <f t="shared" si="4"/>
        <v>44, 47, PRECIPED</v>
      </c>
    </row>
    <row r="568" ht="12.75" customHeight="1">
      <c r="A568" s="4" t="s">
        <v>2813</v>
      </c>
      <c r="B568" s="5">
        <v>0.01</v>
      </c>
      <c r="C568" s="1" t="str">
        <f t="shared" si="1"/>
        <v/>
      </c>
      <c r="E568" s="5">
        <v>0.01</v>
      </c>
      <c r="F568" s="6" t="str">
        <f t="shared" si="2"/>
        <v>#N/A</v>
      </c>
      <c r="G568" s="1" t="str">
        <f t="shared" si="3"/>
        <v/>
      </c>
      <c r="H568" s="5">
        <f t="shared" si="4"/>
        <v>0.01</v>
      </c>
    </row>
    <row r="569" ht="12.75" customHeight="1">
      <c r="A569" s="4" t="s">
        <v>3015</v>
      </c>
      <c r="B569" s="5" t="s">
        <v>3015</v>
      </c>
      <c r="C569" s="1" t="str">
        <f t="shared" si="1"/>
        <v/>
      </c>
      <c r="E569" s="5" t="s">
        <v>3015</v>
      </c>
      <c r="F569" s="6" t="str">
        <f t="shared" si="2"/>
        <v>#N/A</v>
      </c>
      <c r="G569" s="1" t="str">
        <f t="shared" si="3"/>
        <v/>
      </c>
      <c r="H569" s="5" t="str">
        <f t="shared" si="4"/>
        <v>45, 50, DRAGONITE</v>
      </c>
    </row>
    <row r="570" ht="12.75" customHeight="1">
      <c r="A570" s="4" t="s">
        <v>3021</v>
      </c>
      <c r="B570" s="5" t="s">
        <v>3021</v>
      </c>
      <c r="C570" s="1" t="str">
        <f t="shared" si="1"/>
        <v/>
      </c>
      <c r="E570" s="5" t="s">
        <v>3021</v>
      </c>
      <c r="F570" s="6" t="str">
        <f t="shared" si="2"/>
        <v>#N/A</v>
      </c>
      <c r="G570" s="1" t="str">
        <f t="shared" si="3"/>
        <v/>
      </c>
      <c r="H570" s="5" t="str">
        <f t="shared" si="4"/>
        <v>45, 50, LICKILOLLY</v>
      </c>
    </row>
    <row r="571" ht="12.75" customHeight="1">
      <c r="A571" s="4" t="s">
        <v>2539</v>
      </c>
      <c r="B571" s="5" t="s">
        <v>2539</v>
      </c>
      <c r="C571" s="1">
        <f t="shared" si="1"/>
        <v>1</v>
      </c>
      <c r="E571" s="5" t="s">
        <v>2539</v>
      </c>
      <c r="F571" s="6" t="str">
        <f t="shared" si="2"/>
        <v>#N/A</v>
      </c>
      <c r="G571" s="1" t="str">
        <f t="shared" si="3"/>
        <v/>
      </c>
      <c r="H571" s="5" t="str">
        <f t="shared" si="4"/>
        <v>NEW ROUTE</v>
      </c>
    </row>
    <row r="572" ht="12.75" customHeight="1">
      <c r="A572" s="4" t="s">
        <v>1781</v>
      </c>
      <c r="B572" s="5" t="s">
        <v>1781</v>
      </c>
      <c r="C572" s="1" t="str">
        <f t="shared" si="1"/>
        <v/>
      </c>
      <c r="E572" s="5" t="s">
        <v>1781</v>
      </c>
      <c r="F572" s="6" t="str">
        <f t="shared" si="2"/>
        <v>Seafoam Islands B2F</v>
      </c>
      <c r="G572" s="1" t="str">
        <f t="shared" si="3"/>
        <v>Seafoam Islands B2F</v>
      </c>
      <c r="H572" s="5" t="str">
        <f t="shared" si="4"/>
        <v>Seafoam Islands B2F</v>
      </c>
    </row>
    <row r="573" ht="12.75" customHeight="1">
      <c r="A573" s="4" t="s">
        <v>2799</v>
      </c>
      <c r="B573" s="5">
        <v>0.2</v>
      </c>
      <c r="C573" s="1" t="str">
        <f t="shared" si="1"/>
        <v/>
      </c>
      <c r="E573" s="5">
        <v>0.2</v>
      </c>
      <c r="F573" s="6" t="str">
        <f t="shared" si="2"/>
        <v>#N/A</v>
      </c>
      <c r="G573" s="1" t="str">
        <f t="shared" si="3"/>
        <v/>
      </c>
      <c r="H573" s="5">
        <f t="shared" si="4"/>
        <v>0.2</v>
      </c>
    </row>
    <row r="574" ht="12.75" customHeight="1">
      <c r="A574" s="4" t="s">
        <v>581</v>
      </c>
      <c r="B574" s="5" t="s">
        <v>581</v>
      </c>
      <c r="C574" s="1" t="str">
        <f t="shared" si="1"/>
        <v/>
      </c>
      <c r="E574" s="5" t="s">
        <v>581</v>
      </c>
      <c r="F574" s="6" t="str">
        <f t="shared" si="2"/>
        <v>#N/A</v>
      </c>
      <c r="G574" s="1" t="str">
        <f t="shared" si="3"/>
        <v/>
      </c>
      <c r="H574" s="5" t="str">
        <f t="shared" si="4"/>
        <v>40, 44, GOLBAT</v>
      </c>
    </row>
    <row r="575" ht="12.75" customHeight="1">
      <c r="A575" s="4" t="s">
        <v>3006</v>
      </c>
      <c r="B575" s="5" t="s">
        <v>3006</v>
      </c>
      <c r="C575" s="1" t="str">
        <f t="shared" si="1"/>
        <v/>
      </c>
      <c r="E575" s="5" t="s">
        <v>3006</v>
      </c>
      <c r="F575" s="6" t="str">
        <f t="shared" si="2"/>
        <v>#N/A</v>
      </c>
      <c r="G575" s="1" t="str">
        <f t="shared" si="3"/>
        <v/>
      </c>
      <c r="H575" s="5" t="str">
        <f t="shared" si="4"/>
        <v>40, 44, GOLDUCK</v>
      </c>
    </row>
    <row r="576" ht="12.75" customHeight="1">
      <c r="A576" s="4" t="s">
        <v>2802</v>
      </c>
      <c r="B576" s="5">
        <v>0.1</v>
      </c>
      <c r="C576" s="1" t="str">
        <f t="shared" si="1"/>
        <v/>
      </c>
      <c r="E576" s="5">
        <v>0.1</v>
      </c>
      <c r="F576" s="6" t="str">
        <f t="shared" si="2"/>
        <v>#N/A</v>
      </c>
      <c r="G576" s="1" t="str">
        <f t="shared" si="3"/>
        <v/>
      </c>
      <c r="H576" s="5">
        <f t="shared" si="4"/>
        <v>0.1</v>
      </c>
    </row>
    <row r="577" ht="12.75" customHeight="1">
      <c r="A577" s="4" t="s">
        <v>3007</v>
      </c>
      <c r="B577" s="5" t="s">
        <v>3007</v>
      </c>
      <c r="C577" s="1" t="str">
        <f t="shared" si="1"/>
        <v/>
      </c>
      <c r="E577" s="5" t="s">
        <v>3007</v>
      </c>
      <c r="F577" s="6" t="str">
        <f t="shared" si="2"/>
        <v>#N/A</v>
      </c>
      <c r="G577" s="1" t="str">
        <f t="shared" si="3"/>
        <v/>
      </c>
      <c r="H577" s="5" t="str">
        <f t="shared" si="4"/>
        <v>40, 44, SLOWBRO</v>
      </c>
    </row>
    <row r="578" ht="12.75" customHeight="1">
      <c r="A578" s="4" t="s">
        <v>3008</v>
      </c>
      <c r="B578" s="5" t="s">
        <v>3008</v>
      </c>
      <c r="C578" s="1" t="str">
        <f t="shared" si="1"/>
        <v/>
      </c>
      <c r="E578" s="5" t="s">
        <v>3008</v>
      </c>
      <c r="F578" s="6" t="str">
        <f t="shared" si="2"/>
        <v>#N/A</v>
      </c>
      <c r="G578" s="1" t="str">
        <f t="shared" si="3"/>
        <v/>
      </c>
      <c r="H578" s="5" t="str">
        <f t="shared" si="4"/>
        <v>40, 44, CROBAT</v>
      </c>
    </row>
    <row r="579" ht="12.75" customHeight="1">
      <c r="A579" s="4" t="s">
        <v>3009</v>
      </c>
      <c r="B579" s="5" t="s">
        <v>3009</v>
      </c>
      <c r="C579" s="1" t="str">
        <f t="shared" si="1"/>
        <v/>
      </c>
      <c r="E579" s="5" t="s">
        <v>3009</v>
      </c>
      <c r="F579" s="6" t="str">
        <f t="shared" si="2"/>
        <v>#N/A</v>
      </c>
      <c r="G579" s="1" t="str">
        <f t="shared" si="3"/>
        <v/>
      </c>
      <c r="H579" s="5" t="str">
        <f t="shared" si="4"/>
        <v>40, 44, DEWGONG</v>
      </c>
    </row>
    <row r="580" ht="12.75" customHeight="1">
      <c r="A580" s="4" t="s">
        <v>3010</v>
      </c>
      <c r="B580" s="5" t="s">
        <v>3010</v>
      </c>
      <c r="C580" s="1" t="str">
        <f t="shared" si="1"/>
        <v/>
      </c>
      <c r="E580" s="5" t="s">
        <v>3010</v>
      </c>
      <c r="F580" s="6" t="str">
        <f t="shared" si="2"/>
        <v>#N/A</v>
      </c>
      <c r="G580" s="1" t="str">
        <f t="shared" si="3"/>
        <v/>
      </c>
      <c r="H580" s="5" t="str">
        <f t="shared" si="4"/>
        <v>40, 44, LICKILICKY</v>
      </c>
    </row>
    <row r="581" ht="12.75" customHeight="1">
      <c r="A581" s="4" t="s">
        <v>2807</v>
      </c>
      <c r="B581" s="5">
        <v>0.05</v>
      </c>
      <c r="C581" s="1" t="str">
        <f t="shared" si="1"/>
        <v/>
      </c>
      <c r="E581" s="5">
        <v>0.05</v>
      </c>
      <c r="F581" s="6" t="str">
        <f t="shared" si="2"/>
        <v>#N/A</v>
      </c>
      <c r="G581" s="1" t="str">
        <f t="shared" si="3"/>
        <v/>
      </c>
      <c r="H581" s="5">
        <f t="shared" si="4"/>
        <v>0.05</v>
      </c>
    </row>
    <row r="582" ht="12.75" customHeight="1">
      <c r="A582" s="4" t="s">
        <v>3011</v>
      </c>
      <c r="B582" s="5" t="s">
        <v>3011</v>
      </c>
      <c r="C582" s="1" t="str">
        <f t="shared" si="1"/>
        <v/>
      </c>
      <c r="E582" s="5" t="s">
        <v>3011</v>
      </c>
      <c r="F582" s="6" t="str">
        <f t="shared" si="2"/>
        <v>#N/A</v>
      </c>
      <c r="G582" s="1" t="str">
        <f t="shared" si="3"/>
        <v/>
      </c>
      <c r="H582" s="5" t="str">
        <f t="shared" si="4"/>
        <v>42, 46, POLABAT</v>
      </c>
    </row>
    <row r="583" ht="12.75" customHeight="1">
      <c r="A583" s="4" t="s">
        <v>3012</v>
      </c>
      <c r="B583" s="5" t="s">
        <v>3012</v>
      </c>
      <c r="C583" s="1" t="str">
        <f t="shared" si="1"/>
        <v/>
      </c>
      <c r="E583" s="5" t="s">
        <v>3012</v>
      </c>
      <c r="F583" s="6" t="str">
        <f t="shared" si="2"/>
        <v>#N/A</v>
      </c>
      <c r="G583" s="1" t="str">
        <f t="shared" si="3"/>
        <v/>
      </c>
      <c r="H583" s="5" t="str">
        <f t="shared" si="4"/>
        <v>42, 46, GILDUCK</v>
      </c>
    </row>
    <row r="584" ht="12.75" customHeight="1">
      <c r="A584" s="4" t="s">
        <v>2810</v>
      </c>
      <c r="B584" s="5">
        <v>0.04</v>
      </c>
      <c r="C584" s="1" t="str">
        <f t="shared" si="1"/>
        <v/>
      </c>
      <c r="E584" s="5">
        <v>0.04</v>
      </c>
      <c r="F584" s="6" t="str">
        <f t="shared" si="2"/>
        <v>#N/A</v>
      </c>
      <c r="G584" s="1" t="str">
        <f t="shared" si="3"/>
        <v/>
      </c>
      <c r="H584" s="5">
        <f t="shared" si="4"/>
        <v>0.04</v>
      </c>
    </row>
    <row r="585" ht="12.75" customHeight="1">
      <c r="A585" s="4" t="s">
        <v>3013</v>
      </c>
      <c r="B585" s="5" t="s">
        <v>3013</v>
      </c>
      <c r="C585" s="1" t="str">
        <f t="shared" si="1"/>
        <v/>
      </c>
      <c r="E585" s="5" t="s">
        <v>3013</v>
      </c>
      <c r="F585" s="6" t="str">
        <f t="shared" si="2"/>
        <v>#N/A</v>
      </c>
      <c r="G585" s="1" t="str">
        <f t="shared" si="3"/>
        <v/>
      </c>
      <c r="H585" s="5" t="str">
        <f t="shared" si="4"/>
        <v>44, 47, SLOWMATE</v>
      </c>
    </row>
    <row r="586" ht="12.75" customHeight="1">
      <c r="A586" s="4" t="s">
        <v>3014</v>
      </c>
      <c r="B586" s="5" t="s">
        <v>3014</v>
      </c>
      <c r="C586" s="1" t="str">
        <f t="shared" si="1"/>
        <v/>
      </c>
      <c r="E586" s="5" t="s">
        <v>3014</v>
      </c>
      <c r="F586" s="6" t="str">
        <f t="shared" si="2"/>
        <v>#N/A</v>
      </c>
      <c r="G586" s="1" t="str">
        <f t="shared" si="3"/>
        <v/>
      </c>
      <c r="H586" s="5" t="str">
        <f t="shared" si="4"/>
        <v>44, 47, PRECIPED</v>
      </c>
    </row>
    <row r="587" ht="12.75" customHeight="1">
      <c r="A587" s="4" t="s">
        <v>2813</v>
      </c>
      <c r="B587" s="5">
        <v>0.01</v>
      </c>
      <c r="C587" s="1" t="str">
        <f t="shared" si="1"/>
        <v/>
      </c>
      <c r="E587" s="5">
        <v>0.01</v>
      </c>
      <c r="F587" s="6" t="str">
        <f t="shared" si="2"/>
        <v>#N/A</v>
      </c>
      <c r="G587" s="1" t="str">
        <f t="shared" si="3"/>
        <v/>
      </c>
      <c r="H587" s="5">
        <f t="shared" si="4"/>
        <v>0.01</v>
      </c>
    </row>
    <row r="588" ht="12.75" customHeight="1">
      <c r="A588" s="4" t="s">
        <v>3015</v>
      </c>
      <c r="B588" s="5" t="s">
        <v>3015</v>
      </c>
      <c r="C588" s="1" t="str">
        <f t="shared" si="1"/>
        <v/>
      </c>
      <c r="E588" s="5" t="s">
        <v>3015</v>
      </c>
      <c r="F588" s="6" t="str">
        <f t="shared" si="2"/>
        <v>#N/A</v>
      </c>
      <c r="G588" s="1" t="str">
        <f t="shared" si="3"/>
        <v/>
      </c>
      <c r="H588" s="5" t="str">
        <f t="shared" si="4"/>
        <v>45, 50, DRAGONITE</v>
      </c>
    </row>
    <row r="589" ht="12.75" customHeight="1">
      <c r="A589" s="4" t="s">
        <v>3021</v>
      </c>
      <c r="B589" s="5" t="s">
        <v>3021</v>
      </c>
      <c r="C589" s="1" t="str">
        <f t="shared" si="1"/>
        <v/>
      </c>
      <c r="E589" s="5" t="s">
        <v>3021</v>
      </c>
      <c r="F589" s="6" t="str">
        <f t="shared" si="2"/>
        <v>#N/A</v>
      </c>
      <c r="G589" s="1" t="str">
        <f t="shared" si="3"/>
        <v/>
      </c>
      <c r="H589" s="5" t="str">
        <f t="shared" si="4"/>
        <v>45, 50, LICKILOLLY</v>
      </c>
    </row>
    <row r="590" ht="12.75" customHeight="1">
      <c r="A590" s="4" t="s">
        <v>2539</v>
      </c>
      <c r="B590" s="5" t="s">
        <v>2539</v>
      </c>
      <c r="C590" s="1">
        <f t="shared" si="1"/>
        <v>1</v>
      </c>
      <c r="E590" s="5" t="s">
        <v>2539</v>
      </c>
      <c r="F590" s="6" t="str">
        <f t="shared" si="2"/>
        <v>#N/A</v>
      </c>
      <c r="G590" s="1" t="str">
        <f t="shared" si="3"/>
        <v/>
      </c>
      <c r="H590" s="5" t="str">
        <f t="shared" si="4"/>
        <v>NEW ROUTE</v>
      </c>
    </row>
    <row r="591" ht="12.75" customHeight="1">
      <c r="A591" s="4" t="s">
        <v>1784</v>
      </c>
      <c r="B591" s="5" t="s">
        <v>1784</v>
      </c>
      <c r="C591" s="1" t="str">
        <f t="shared" si="1"/>
        <v/>
      </c>
      <c r="E591" s="5" t="s">
        <v>1784</v>
      </c>
      <c r="F591" s="6" t="str">
        <f t="shared" si="2"/>
        <v>Seafoam Islands B3F</v>
      </c>
      <c r="G591" s="1" t="str">
        <f t="shared" si="3"/>
        <v>Seafoam Islands B3F</v>
      </c>
      <c r="H591" s="5" t="str">
        <f t="shared" si="4"/>
        <v>Seafoam Islands B3F</v>
      </c>
    </row>
    <row r="592" ht="12.75" customHeight="1">
      <c r="A592" s="4" t="s">
        <v>2799</v>
      </c>
      <c r="B592" s="5">
        <v>0.2</v>
      </c>
      <c r="C592" s="1" t="str">
        <f t="shared" si="1"/>
        <v/>
      </c>
      <c r="E592" s="5">
        <v>0.2</v>
      </c>
      <c r="F592" s="6" t="str">
        <f t="shared" si="2"/>
        <v>#N/A</v>
      </c>
      <c r="G592" s="1" t="str">
        <f t="shared" si="3"/>
        <v/>
      </c>
      <c r="H592" s="5">
        <f t="shared" si="4"/>
        <v>0.2</v>
      </c>
    </row>
    <row r="593" ht="12.75" customHeight="1">
      <c r="A593" s="4" t="s">
        <v>581</v>
      </c>
      <c r="B593" s="5" t="s">
        <v>581</v>
      </c>
      <c r="C593" s="1" t="str">
        <f t="shared" si="1"/>
        <v/>
      </c>
      <c r="E593" s="5" t="s">
        <v>581</v>
      </c>
      <c r="F593" s="6" t="str">
        <f t="shared" si="2"/>
        <v>#N/A</v>
      </c>
      <c r="G593" s="1" t="str">
        <f t="shared" si="3"/>
        <v/>
      </c>
      <c r="H593" s="5" t="str">
        <f t="shared" si="4"/>
        <v>40, 44, GOLBAT</v>
      </c>
    </row>
    <row r="594" ht="12.75" customHeight="1">
      <c r="A594" s="4" t="s">
        <v>3006</v>
      </c>
      <c r="B594" s="5" t="s">
        <v>3006</v>
      </c>
      <c r="C594" s="1" t="str">
        <f t="shared" si="1"/>
        <v/>
      </c>
      <c r="E594" s="5" t="s">
        <v>3006</v>
      </c>
      <c r="F594" s="6" t="str">
        <f t="shared" si="2"/>
        <v>#N/A</v>
      </c>
      <c r="G594" s="1" t="str">
        <f t="shared" si="3"/>
        <v/>
      </c>
      <c r="H594" s="5" t="str">
        <f t="shared" si="4"/>
        <v>40, 44, GOLDUCK</v>
      </c>
    </row>
    <row r="595" ht="12.75" customHeight="1">
      <c r="A595" s="4" t="s">
        <v>2802</v>
      </c>
      <c r="B595" s="5">
        <v>0.1</v>
      </c>
      <c r="C595" s="1" t="str">
        <f t="shared" si="1"/>
        <v/>
      </c>
      <c r="E595" s="5">
        <v>0.1</v>
      </c>
      <c r="F595" s="6" t="str">
        <f t="shared" si="2"/>
        <v>#N/A</v>
      </c>
      <c r="G595" s="1" t="str">
        <f t="shared" si="3"/>
        <v/>
      </c>
      <c r="H595" s="5">
        <f t="shared" si="4"/>
        <v>0.1</v>
      </c>
    </row>
    <row r="596" ht="12.75" customHeight="1">
      <c r="A596" s="4" t="s">
        <v>3007</v>
      </c>
      <c r="B596" s="5" t="s">
        <v>3007</v>
      </c>
      <c r="C596" s="1" t="str">
        <f t="shared" si="1"/>
        <v/>
      </c>
      <c r="E596" s="5" t="s">
        <v>3007</v>
      </c>
      <c r="F596" s="6" t="str">
        <f t="shared" si="2"/>
        <v>#N/A</v>
      </c>
      <c r="G596" s="1" t="str">
        <f t="shared" si="3"/>
        <v/>
      </c>
      <c r="H596" s="5" t="str">
        <f t="shared" si="4"/>
        <v>40, 44, SLOWBRO</v>
      </c>
    </row>
    <row r="597" ht="12.75" customHeight="1">
      <c r="A597" s="4" t="s">
        <v>3008</v>
      </c>
      <c r="B597" s="5" t="s">
        <v>3008</v>
      </c>
      <c r="C597" s="1" t="str">
        <f t="shared" si="1"/>
        <v/>
      </c>
      <c r="E597" s="5" t="s">
        <v>3008</v>
      </c>
      <c r="F597" s="6" t="str">
        <f t="shared" si="2"/>
        <v>#N/A</v>
      </c>
      <c r="G597" s="1" t="str">
        <f t="shared" si="3"/>
        <v/>
      </c>
      <c r="H597" s="5" t="str">
        <f t="shared" si="4"/>
        <v>40, 44, CROBAT</v>
      </c>
    </row>
    <row r="598" ht="12.75" customHeight="1">
      <c r="A598" s="4" t="s">
        <v>3009</v>
      </c>
      <c r="B598" s="5" t="s">
        <v>3009</v>
      </c>
      <c r="C598" s="1" t="str">
        <f t="shared" si="1"/>
        <v/>
      </c>
      <c r="E598" s="5" t="s">
        <v>3009</v>
      </c>
      <c r="F598" s="6" t="str">
        <f t="shared" si="2"/>
        <v>#N/A</v>
      </c>
      <c r="G598" s="1" t="str">
        <f t="shared" si="3"/>
        <v/>
      </c>
      <c r="H598" s="5" t="str">
        <f t="shared" si="4"/>
        <v>40, 44, DEWGONG</v>
      </c>
    </row>
    <row r="599" ht="12.75" customHeight="1">
      <c r="A599" s="4" t="s">
        <v>3010</v>
      </c>
      <c r="B599" s="5" t="s">
        <v>3010</v>
      </c>
      <c r="C599" s="1" t="str">
        <f t="shared" si="1"/>
        <v/>
      </c>
      <c r="E599" s="5" t="s">
        <v>3010</v>
      </c>
      <c r="F599" s="6" t="str">
        <f t="shared" si="2"/>
        <v>#N/A</v>
      </c>
      <c r="G599" s="1" t="str">
        <f t="shared" si="3"/>
        <v/>
      </c>
      <c r="H599" s="5" t="str">
        <f t="shared" si="4"/>
        <v>40, 44, LICKILICKY</v>
      </c>
    </row>
    <row r="600" ht="12.75" customHeight="1">
      <c r="A600" s="4" t="s">
        <v>2807</v>
      </c>
      <c r="B600" s="5">
        <v>0.05</v>
      </c>
      <c r="C600" s="1" t="str">
        <f t="shared" si="1"/>
        <v/>
      </c>
      <c r="E600" s="5">
        <v>0.05</v>
      </c>
      <c r="F600" s="6" t="str">
        <f t="shared" si="2"/>
        <v>#N/A</v>
      </c>
      <c r="G600" s="1" t="str">
        <f t="shared" si="3"/>
        <v/>
      </c>
      <c r="H600" s="5">
        <f t="shared" si="4"/>
        <v>0.05</v>
      </c>
    </row>
    <row r="601" ht="12.75" customHeight="1">
      <c r="A601" s="4" t="s">
        <v>3011</v>
      </c>
      <c r="B601" s="5" t="s">
        <v>3011</v>
      </c>
      <c r="C601" s="1" t="str">
        <f t="shared" si="1"/>
        <v/>
      </c>
      <c r="E601" s="5" t="s">
        <v>3011</v>
      </c>
      <c r="F601" s="6" t="str">
        <f t="shared" si="2"/>
        <v>#N/A</v>
      </c>
      <c r="G601" s="1" t="str">
        <f t="shared" si="3"/>
        <v/>
      </c>
      <c r="H601" s="5" t="str">
        <f t="shared" si="4"/>
        <v>42, 46, POLABAT</v>
      </c>
    </row>
    <row r="602" ht="12.75" customHeight="1">
      <c r="A602" s="4" t="s">
        <v>3012</v>
      </c>
      <c r="B602" s="5" t="s">
        <v>3012</v>
      </c>
      <c r="C602" s="1" t="str">
        <f t="shared" si="1"/>
        <v/>
      </c>
      <c r="E602" s="5" t="s">
        <v>3012</v>
      </c>
      <c r="F602" s="6" t="str">
        <f t="shared" si="2"/>
        <v>#N/A</v>
      </c>
      <c r="G602" s="1" t="str">
        <f t="shared" si="3"/>
        <v/>
      </c>
      <c r="H602" s="5" t="str">
        <f t="shared" si="4"/>
        <v>42, 46, GILDUCK</v>
      </c>
    </row>
    <row r="603" ht="12.75" customHeight="1">
      <c r="A603" s="4" t="s">
        <v>2810</v>
      </c>
      <c r="B603" s="5">
        <v>0.04</v>
      </c>
      <c r="C603" s="1" t="str">
        <f t="shared" si="1"/>
        <v/>
      </c>
      <c r="E603" s="5">
        <v>0.04</v>
      </c>
      <c r="F603" s="6" t="str">
        <f t="shared" si="2"/>
        <v>#N/A</v>
      </c>
      <c r="G603" s="1" t="str">
        <f t="shared" si="3"/>
        <v/>
      </c>
      <c r="H603" s="5">
        <f t="shared" si="4"/>
        <v>0.04</v>
      </c>
    </row>
    <row r="604" ht="12.75" customHeight="1">
      <c r="A604" s="4" t="s">
        <v>3013</v>
      </c>
      <c r="B604" s="5" t="s">
        <v>3013</v>
      </c>
      <c r="C604" s="1" t="str">
        <f t="shared" si="1"/>
        <v/>
      </c>
      <c r="E604" s="5" t="s">
        <v>3013</v>
      </c>
      <c r="F604" s="6" t="str">
        <f t="shared" si="2"/>
        <v>#N/A</v>
      </c>
      <c r="G604" s="1" t="str">
        <f t="shared" si="3"/>
        <v/>
      </c>
      <c r="H604" s="5" t="str">
        <f t="shared" si="4"/>
        <v>44, 47, SLOWMATE</v>
      </c>
    </row>
    <row r="605" ht="12.75" customHeight="1">
      <c r="A605" s="4" t="s">
        <v>3014</v>
      </c>
      <c r="B605" s="5" t="s">
        <v>3014</v>
      </c>
      <c r="C605" s="1" t="str">
        <f t="shared" si="1"/>
        <v/>
      </c>
      <c r="E605" s="5" t="s">
        <v>3014</v>
      </c>
      <c r="F605" s="6" t="str">
        <f t="shared" si="2"/>
        <v>#N/A</v>
      </c>
      <c r="G605" s="1" t="str">
        <f t="shared" si="3"/>
        <v/>
      </c>
      <c r="H605" s="5" t="str">
        <f t="shared" si="4"/>
        <v>44, 47, PRECIPED</v>
      </c>
    </row>
    <row r="606" ht="12.75" customHeight="1">
      <c r="A606" s="4" t="s">
        <v>2813</v>
      </c>
      <c r="B606" s="5">
        <v>0.01</v>
      </c>
      <c r="C606" s="1" t="str">
        <f t="shared" si="1"/>
        <v/>
      </c>
      <c r="E606" s="5">
        <v>0.01</v>
      </c>
      <c r="F606" s="6" t="str">
        <f t="shared" si="2"/>
        <v>#N/A</v>
      </c>
      <c r="G606" s="1" t="str">
        <f t="shared" si="3"/>
        <v/>
      </c>
      <c r="H606" s="5">
        <f t="shared" si="4"/>
        <v>0.01</v>
      </c>
    </row>
    <row r="607" ht="12.75" customHeight="1">
      <c r="A607" s="4" t="s">
        <v>3015</v>
      </c>
      <c r="B607" s="5" t="s">
        <v>3015</v>
      </c>
      <c r="C607" s="1" t="str">
        <f t="shared" si="1"/>
        <v/>
      </c>
      <c r="E607" s="5" t="s">
        <v>3015</v>
      </c>
      <c r="F607" s="6" t="str">
        <f t="shared" si="2"/>
        <v>#N/A</v>
      </c>
      <c r="G607" s="1" t="str">
        <f t="shared" si="3"/>
        <v/>
      </c>
      <c r="H607" s="5" t="str">
        <f t="shared" si="4"/>
        <v>45, 50, DRAGONITE</v>
      </c>
    </row>
    <row r="608" ht="12.75" customHeight="1">
      <c r="A608" s="4" t="s">
        <v>3021</v>
      </c>
      <c r="B608" s="5" t="s">
        <v>3021</v>
      </c>
      <c r="C608" s="1" t="str">
        <f t="shared" si="1"/>
        <v/>
      </c>
      <c r="E608" s="5" t="s">
        <v>3021</v>
      </c>
      <c r="F608" s="6" t="str">
        <f t="shared" si="2"/>
        <v>#N/A</v>
      </c>
      <c r="G608" s="1" t="str">
        <f t="shared" si="3"/>
        <v/>
      </c>
      <c r="H608" s="5" t="str">
        <f t="shared" si="4"/>
        <v>45, 50, LICKILOLLY</v>
      </c>
    </row>
    <row r="609" ht="12.75" customHeight="1">
      <c r="A609" s="4" t="s">
        <v>3022</v>
      </c>
      <c r="B609" s="5" t="s">
        <v>3022</v>
      </c>
      <c r="C609" s="1" t="str">
        <f t="shared" si="1"/>
        <v/>
      </c>
      <c r="E609" s="5" t="s">
        <v>3022</v>
      </c>
      <c r="F609" s="6" t="str">
        <f t="shared" si="2"/>
        <v>#N/A</v>
      </c>
      <c r="G609" s="1" t="str">
        <f t="shared" si="3"/>
        <v/>
      </c>
      <c r="H609" s="5" t="str">
        <f t="shared" si="4"/>
        <v>2, 38, 44, DEWGONG</v>
      </c>
    </row>
    <row r="610" ht="12.75" customHeight="1">
      <c r="A610" s="4" t="s">
        <v>3023</v>
      </c>
      <c r="B610" s="5" t="s">
        <v>3023</v>
      </c>
      <c r="C610" s="1" t="str">
        <f t="shared" si="1"/>
        <v/>
      </c>
      <c r="E610" s="5" t="s">
        <v>3023</v>
      </c>
      <c r="F610" s="6" t="str">
        <f t="shared" si="2"/>
        <v>#N/A</v>
      </c>
      <c r="G610" s="1" t="str">
        <f t="shared" si="3"/>
        <v/>
      </c>
      <c r="H610" s="5" t="str">
        <f t="shared" si="4"/>
        <v>40, 44, SEADRA</v>
      </c>
    </row>
    <row r="611" ht="12.75" customHeight="1">
      <c r="A611" s="4" t="s">
        <v>3024</v>
      </c>
      <c r="B611" s="5" t="s">
        <v>3024</v>
      </c>
      <c r="C611" s="1" t="str">
        <f t="shared" si="1"/>
        <v/>
      </c>
      <c r="E611" s="5" t="s">
        <v>3024</v>
      </c>
      <c r="F611" s="6" t="str">
        <f t="shared" si="2"/>
        <v>#N/A</v>
      </c>
      <c r="G611" s="1" t="str">
        <f t="shared" si="3"/>
        <v/>
      </c>
      <c r="H611" s="5" t="str">
        <f t="shared" si="4"/>
        <v>42, 46, KINGLER</v>
      </c>
    </row>
    <row r="612" ht="12.75" customHeight="1">
      <c r="A612" s="4" t="s">
        <v>3025</v>
      </c>
      <c r="B612" s="5" t="s">
        <v>3025</v>
      </c>
      <c r="C612" s="1" t="str">
        <f t="shared" si="1"/>
        <v/>
      </c>
      <c r="E612" s="5" t="s">
        <v>3025</v>
      </c>
      <c r="F612" s="6" t="str">
        <f t="shared" si="2"/>
        <v>#N/A</v>
      </c>
      <c r="G612" s="1" t="str">
        <f t="shared" si="3"/>
        <v/>
      </c>
      <c r="H612" s="5" t="str">
        <f t="shared" si="4"/>
        <v>42, 46, LAPRAS</v>
      </c>
    </row>
    <row r="613" ht="12.75" customHeight="1">
      <c r="A613" s="4" t="s">
        <v>2923</v>
      </c>
      <c r="B613" s="5" t="s">
        <v>2923</v>
      </c>
      <c r="C613" s="1" t="str">
        <f t="shared" si="1"/>
        <v/>
      </c>
      <c r="E613" s="5" t="s">
        <v>2923</v>
      </c>
      <c r="F613" s="6" t="str">
        <f t="shared" si="2"/>
        <v>#N/A</v>
      </c>
      <c r="G613" s="1" t="str">
        <f t="shared" si="3"/>
        <v/>
      </c>
      <c r="H613" s="5" t="str">
        <f t="shared" si="4"/>
        <v>42, 46, SLOWBRO</v>
      </c>
    </row>
    <row r="614" ht="12.75" customHeight="1">
      <c r="A614" s="4" t="s">
        <v>2926</v>
      </c>
      <c r="B614" s="5" t="s">
        <v>2926</v>
      </c>
      <c r="C614" s="1" t="str">
        <f t="shared" si="1"/>
        <v/>
      </c>
      <c r="E614" s="5" t="s">
        <v>2926</v>
      </c>
      <c r="F614" s="6" t="str">
        <f t="shared" si="2"/>
        <v>#N/A</v>
      </c>
      <c r="G614" s="1" t="str">
        <f t="shared" si="3"/>
        <v/>
      </c>
      <c r="H614" s="5" t="str">
        <f t="shared" si="4"/>
        <v>20, old rod:</v>
      </c>
    </row>
    <row r="615" ht="12.75" customHeight="1">
      <c r="A615" s="4" t="s">
        <v>602</v>
      </c>
      <c r="B615" s="5" t="s">
        <v>602</v>
      </c>
      <c r="C615" s="1" t="str">
        <f t="shared" si="1"/>
        <v/>
      </c>
      <c r="E615" s="5" t="s">
        <v>602</v>
      </c>
      <c r="F615" s="6" t="str">
        <f t="shared" si="2"/>
        <v>#N/A</v>
      </c>
      <c r="G615" s="1" t="str">
        <f t="shared" si="3"/>
        <v/>
      </c>
      <c r="H615" s="5" t="str">
        <f t="shared" si="4"/>
        <v>19, 26, HORSEA</v>
      </c>
    </row>
    <row r="616" ht="12.75" customHeight="1">
      <c r="A616" s="4" t="s">
        <v>3026</v>
      </c>
      <c r="B616" s="5" t="s">
        <v>3026</v>
      </c>
      <c r="C616" s="1" t="str">
        <f t="shared" si="1"/>
        <v/>
      </c>
      <c r="E616" s="5" t="s">
        <v>3026</v>
      </c>
      <c r="F616" s="6" t="str">
        <f t="shared" si="2"/>
        <v>#N/A</v>
      </c>
      <c r="G616" s="1" t="str">
        <f t="shared" si="3"/>
        <v/>
      </c>
      <c r="H616" s="5" t="str">
        <f t="shared" si="4"/>
        <v>19, 26, SHELLDER</v>
      </c>
    </row>
    <row r="617" ht="12.75" customHeight="1">
      <c r="A617" s="4" t="s">
        <v>2847</v>
      </c>
      <c r="B617" s="5" t="s">
        <v>2847</v>
      </c>
      <c r="C617" s="1" t="str">
        <f t="shared" si="1"/>
        <v/>
      </c>
      <c r="E617" s="5" t="s">
        <v>2847</v>
      </c>
      <c r="F617" s="6" t="str">
        <f t="shared" si="2"/>
        <v>#N/A</v>
      </c>
      <c r="G617" s="1" t="str">
        <f t="shared" si="3"/>
        <v/>
      </c>
      <c r="H617" s="5" t="str">
        <f t="shared" si="4"/>
        <v>good rod:</v>
      </c>
    </row>
    <row r="618" ht="12.75" customHeight="1">
      <c r="A618" s="4" t="s">
        <v>3027</v>
      </c>
      <c r="B618" s="5" t="s">
        <v>3027</v>
      </c>
      <c r="C618" s="1" t="str">
        <f t="shared" si="1"/>
        <v/>
      </c>
      <c r="E618" s="5" t="s">
        <v>3027</v>
      </c>
      <c r="F618" s="6" t="str">
        <f t="shared" si="2"/>
        <v>#N/A</v>
      </c>
      <c r="G618" s="1" t="str">
        <f t="shared" si="3"/>
        <v/>
      </c>
      <c r="H618" s="5" t="str">
        <f t="shared" si="4"/>
        <v>29, 33, SEADRA</v>
      </c>
    </row>
    <row r="619" ht="12.75" customHeight="1">
      <c r="A619" s="4" t="s">
        <v>3028</v>
      </c>
      <c r="B619" s="5" t="s">
        <v>3028</v>
      </c>
      <c r="C619" s="1" t="str">
        <f t="shared" si="1"/>
        <v/>
      </c>
      <c r="E619" s="5" t="s">
        <v>3028</v>
      </c>
      <c r="F619" s="6" t="str">
        <f t="shared" si="2"/>
        <v>#N/A</v>
      </c>
      <c r="G619" s="1" t="str">
        <f t="shared" si="3"/>
        <v/>
      </c>
      <c r="H619" s="5" t="str">
        <f t="shared" si="4"/>
        <v>30, 35, KRABBY</v>
      </c>
    </row>
    <row r="620" ht="12.75" customHeight="1">
      <c r="A620" s="4" t="s">
        <v>3029</v>
      </c>
      <c r="B620" s="5" t="s">
        <v>3029</v>
      </c>
      <c r="C620" s="1" t="str">
        <f t="shared" si="1"/>
        <v/>
      </c>
      <c r="E620" s="5" t="s">
        <v>3029</v>
      </c>
      <c r="F620" s="6" t="str">
        <f t="shared" si="2"/>
        <v>#N/A</v>
      </c>
      <c r="G620" s="1" t="str">
        <f t="shared" si="3"/>
        <v/>
      </c>
      <c r="H620" s="5" t="str">
        <f t="shared" si="4"/>
        <v>30, 35, GOLDUCK</v>
      </c>
    </row>
    <row r="621" ht="12.75" customHeight="1">
      <c r="A621" s="4" t="s">
        <v>2851</v>
      </c>
      <c r="B621" s="5" t="s">
        <v>2851</v>
      </c>
      <c r="C621" s="1" t="str">
        <f t="shared" si="1"/>
        <v/>
      </c>
      <c r="E621" s="5" t="s">
        <v>2851</v>
      </c>
      <c r="F621" s="6" t="str">
        <f t="shared" si="2"/>
        <v>#N/A</v>
      </c>
      <c r="G621" s="1" t="str">
        <f t="shared" si="3"/>
        <v/>
      </c>
      <c r="H621" s="5" t="str">
        <f t="shared" si="4"/>
        <v>super rod:</v>
      </c>
    </row>
    <row r="622" ht="12.75" customHeight="1">
      <c r="A622" s="4" t="s">
        <v>3030</v>
      </c>
      <c r="B622" s="5" t="s">
        <v>3030</v>
      </c>
      <c r="C622" s="1" t="str">
        <f t="shared" si="1"/>
        <v/>
      </c>
      <c r="E622" s="5" t="s">
        <v>3030</v>
      </c>
      <c r="F622" s="6" t="str">
        <f t="shared" si="2"/>
        <v>#N/A</v>
      </c>
      <c r="G622" s="1" t="str">
        <f t="shared" si="3"/>
        <v/>
      </c>
      <c r="H622" s="5" t="str">
        <f t="shared" si="4"/>
        <v>36, 40, KINGDRA</v>
      </c>
    </row>
    <row r="623" ht="12.75" customHeight="1">
      <c r="A623" s="4" t="s">
        <v>3031</v>
      </c>
      <c r="B623" s="5" t="s">
        <v>3031</v>
      </c>
      <c r="C623" s="1" t="str">
        <f t="shared" si="1"/>
        <v/>
      </c>
      <c r="E623" s="5" t="s">
        <v>3031</v>
      </c>
      <c r="F623" s="6" t="str">
        <f t="shared" si="2"/>
        <v>#N/A</v>
      </c>
      <c r="G623" s="1" t="str">
        <f t="shared" si="3"/>
        <v/>
      </c>
      <c r="H623" s="5" t="str">
        <f t="shared" si="4"/>
        <v>36, 40, CLOYSTER</v>
      </c>
    </row>
    <row r="624" ht="12.75" customHeight="1">
      <c r="A624" s="4" t="s">
        <v>3032</v>
      </c>
      <c r="B624" s="5" t="s">
        <v>3032</v>
      </c>
      <c r="C624" s="1" t="str">
        <f t="shared" si="1"/>
        <v/>
      </c>
      <c r="E624" s="5" t="s">
        <v>3032</v>
      </c>
      <c r="F624" s="6" t="str">
        <f t="shared" si="2"/>
        <v>#N/A</v>
      </c>
      <c r="G624" s="1" t="str">
        <f t="shared" si="3"/>
        <v/>
      </c>
      <c r="H624" s="5" t="str">
        <f t="shared" si="4"/>
        <v>38, 42, GILDUCK</v>
      </c>
    </row>
    <row r="625" ht="12.75" customHeight="1">
      <c r="A625" s="4" t="s">
        <v>3033</v>
      </c>
      <c r="B625" s="5" t="s">
        <v>3033</v>
      </c>
      <c r="C625" s="1" t="str">
        <f t="shared" si="1"/>
        <v/>
      </c>
      <c r="E625" s="5" t="s">
        <v>3033</v>
      </c>
      <c r="F625" s="6" t="str">
        <f t="shared" si="2"/>
        <v>#N/A</v>
      </c>
      <c r="G625" s="1" t="str">
        <f t="shared" si="3"/>
        <v/>
      </c>
      <c r="H625" s="5" t="str">
        <f t="shared" si="4"/>
        <v>38, 42, KRAKLAW</v>
      </c>
    </row>
    <row r="626" ht="12.75" customHeight="1">
      <c r="A626" s="4" t="s">
        <v>3034</v>
      </c>
      <c r="B626" s="5" t="s">
        <v>3034</v>
      </c>
      <c r="C626" s="1" t="str">
        <f t="shared" si="1"/>
        <v/>
      </c>
      <c r="E626" s="5" t="s">
        <v>3034</v>
      </c>
      <c r="F626" s="6" t="str">
        <f t="shared" si="2"/>
        <v>#N/A</v>
      </c>
      <c r="G626" s="1" t="str">
        <f t="shared" si="3"/>
        <v/>
      </c>
      <c r="H626" s="5" t="str">
        <f t="shared" si="4"/>
        <v>40, 44, LORDRA</v>
      </c>
    </row>
    <row r="627" ht="12.75" customHeight="1">
      <c r="A627" s="4" t="s">
        <v>2539</v>
      </c>
      <c r="B627" s="5" t="s">
        <v>2539</v>
      </c>
      <c r="C627" s="1">
        <f t="shared" si="1"/>
        <v>1</v>
      </c>
      <c r="E627" s="5" t="s">
        <v>2539</v>
      </c>
      <c r="F627" s="6" t="str">
        <f t="shared" si="2"/>
        <v>#N/A</v>
      </c>
      <c r="G627" s="1" t="str">
        <f t="shared" si="3"/>
        <v/>
      </c>
      <c r="H627" s="5" t="str">
        <f t="shared" si="4"/>
        <v>NEW ROUTE</v>
      </c>
    </row>
    <row r="628" ht="12.75" customHeight="1">
      <c r="A628" s="4" t="s">
        <v>1789</v>
      </c>
      <c r="B628" s="5" t="s">
        <v>1789</v>
      </c>
      <c r="C628" s="1" t="str">
        <f t="shared" si="1"/>
        <v/>
      </c>
      <c r="E628" s="5" t="s">
        <v>1789</v>
      </c>
      <c r="F628" s="6" t="str">
        <f t="shared" si="2"/>
        <v>Seafoam Islands B4F</v>
      </c>
      <c r="G628" s="1" t="str">
        <f t="shared" si="3"/>
        <v>Seafoam Islands B4F</v>
      </c>
      <c r="H628" s="5" t="str">
        <f t="shared" si="4"/>
        <v>Seafoam Islands B4F</v>
      </c>
    </row>
    <row r="629" ht="12.75" customHeight="1">
      <c r="A629" s="4" t="s">
        <v>2799</v>
      </c>
      <c r="B629" s="5">
        <v>0.2</v>
      </c>
      <c r="C629" s="1" t="str">
        <f t="shared" si="1"/>
        <v/>
      </c>
      <c r="E629" s="5">
        <v>0.2</v>
      </c>
      <c r="F629" s="6" t="str">
        <f t="shared" si="2"/>
        <v>#N/A</v>
      </c>
      <c r="G629" s="1" t="str">
        <f t="shared" si="3"/>
        <v/>
      </c>
      <c r="H629" s="5">
        <f t="shared" si="4"/>
        <v>0.2</v>
      </c>
    </row>
    <row r="630" ht="12.75" customHeight="1">
      <c r="A630" s="4" t="s">
        <v>581</v>
      </c>
      <c r="B630" s="5" t="s">
        <v>581</v>
      </c>
      <c r="C630" s="1" t="str">
        <f t="shared" si="1"/>
        <v/>
      </c>
      <c r="E630" s="5" t="s">
        <v>581</v>
      </c>
      <c r="F630" s="6" t="str">
        <f t="shared" si="2"/>
        <v>#N/A</v>
      </c>
      <c r="G630" s="1" t="str">
        <f t="shared" si="3"/>
        <v/>
      </c>
      <c r="H630" s="5" t="str">
        <f t="shared" si="4"/>
        <v>40, 44, GOLBAT</v>
      </c>
    </row>
    <row r="631" ht="12.75" customHeight="1">
      <c r="A631" s="4" t="s">
        <v>3006</v>
      </c>
      <c r="B631" s="5" t="s">
        <v>3006</v>
      </c>
      <c r="C631" s="1" t="str">
        <f t="shared" si="1"/>
        <v/>
      </c>
      <c r="E631" s="5" t="s">
        <v>3006</v>
      </c>
      <c r="F631" s="6" t="str">
        <f t="shared" si="2"/>
        <v>#N/A</v>
      </c>
      <c r="G631" s="1" t="str">
        <f t="shared" si="3"/>
        <v/>
      </c>
      <c r="H631" s="5" t="str">
        <f t="shared" si="4"/>
        <v>40, 44, GOLDUCK</v>
      </c>
    </row>
    <row r="632" ht="12.75" customHeight="1">
      <c r="A632" s="4" t="s">
        <v>2802</v>
      </c>
      <c r="B632" s="5">
        <v>0.1</v>
      </c>
      <c r="C632" s="1" t="str">
        <f t="shared" si="1"/>
        <v/>
      </c>
      <c r="E632" s="5">
        <v>0.1</v>
      </c>
      <c r="F632" s="6" t="str">
        <f t="shared" si="2"/>
        <v>#N/A</v>
      </c>
      <c r="G632" s="1" t="str">
        <f t="shared" si="3"/>
        <v/>
      </c>
      <c r="H632" s="5">
        <f t="shared" si="4"/>
        <v>0.1</v>
      </c>
    </row>
    <row r="633" ht="12.75" customHeight="1">
      <c r="A633" s="4" t="s">
        <v>3007</v>
      </c>
      <c r="B633" s="5" t="s">
        <v>3007</v>
      </c>
      <c r="C633" s="1" t="str">
        <f t="shared" si="1"/>
        <v/>
      </c>
      <c r="E633" s="5" t="s">
        <v>3007</v>
      </c>
      <c r="F633" s="6" t="str">
        <f t="shared" si="2"/>
        <v>#N/A</v>
      </c>
      <c r="G633" s="1" t="str">
        <f t="shared" si="3"/>
        <v/>
      </c>
      <c r="H633" s="5" t="str">
        <f t="shared" si="4"/>
        <v>40, 44, SLOWBRO</v>
      </c>
    </row>
    <row r="634" ht="12.75" customHeight="1">
      <c r="A634" s="4" t="s">
        <v>3008</v>
      </c>
      <c r="B634" s="5" t="s">
        <v>3008</v>
      </c>
      <c r="C634" s="1" t="str">
        <f t="shared" si="1"/>
        <v/>
      </c>
      <c r="E634" s="5" t="s">
        <v>3008</v>
      </c>
      <c r="F634" s="6" t="str">
        <f t="shared" si="2"/>
        <v>#N/A</v>
      </c>
      <c r="G634" s="1" t="str">
        <f t="shared" si="3"/>
        <v/>
      </c>
      <c r="H634" s="5" t="str">
        <f t="shared" si="4"/>
        <v>40, 44, CROBAT</v>
      </c>
    </row>
    <row r="635" ht="12.75" customHeight="1">
      <c r="A635" s="4" t="s">
        <v>3009</v>
      </c>
      <c r="B635" s="5" t="s">
        <v>3009</v>
      </c>
      <c r="C635" s="1" t="str">
        <f t="shared" si="1"/>
        <v/>
      </c>
      <c r="E635" s="5" t="s">
        <v>3009</v>
      </c>
      <c r="F635" s="6" t="str">
        <f t="shared" si="2"/>
        <v>#N/A</v>
      </c>
      <c r="G635" s="1" t="str">
        <f t="shared" si="3"/>
        <v/>
      </c>
      <c r="H635" s="5" t="str">
        <f t="shared" si="4"/>
        <v>40, 44, DEWGONG</v>
      </c>
    </row>
    <row r="636" ht="12.75" customHeight="1">
      <c r="A636" s="4" t="s">
        <v>3010</v>
      </c>
      <c r="B636" s="5" t="s">
        <v>3010</v>
      </c>
      <c r="C636" s="1" t="str">
        <f t="shared" si="1"/>
        <v/>
      </c>
      <c r="E636" s="5" t="s">
        <v>3010</v>
      </c>
      <c r="F636" s="6" t="str">
        <f t="shared" si="2"/>
        <v>#N/A</v>
      </c>
      <c r="G636" s="1" t="str">
        <f t="shared" si="3"/>
        <v/>
      </c>
      <c r="H636" s="5" t="str">
        <f t="shared" si="4"/>
        <v>40, 44, LICKILICKY</v>
      </c>
    </row>
    <row r="637" ht="12.75" customHeight="1">
      <c r="A637" s="4" t="s">
        <v>2807</v>
      </c>
      <c r="B637" s="5">
        <v>0.05</v>
      </c>
      <c r="C637" s="1" t="str">
        <f t="shared" si="1"/>
        <v/>
      </c>
      <c r="E637" s="5">
        <v>0.05</v>
      </c>
      <c r="F637" s="6" t="str">
        <f t="shared" si="2"/>
        <v>#N/A</v>
      </c>
      <c r="G637" s="1" t="str">
        <f t="shared" si="3"/>
        <v/>
      </c>
      <c r="H637" s="5">
        <f t="shared" si="4"/>
        <v>0.05</v>
      </c>
    </row>
    <row r="638" ht="12.75" customHeight="1">
      <c r="A638" s="4" t="s">
        <v>3011</v>
      </c>
      <c r="B638" s="5" t="s">
        <v>3011</v>
      </c>
      <c r="C638" s="1" t="str">
        <f t="shared" si="1"/>
        <v/>
      </c>
      <c r="E638" s="5" t="s">
        <v>3011</v>
      </c>
      <c r="F638" s="6" t="str">
        <f t="shared" si="2"/>
        <v>#N/A</v>
      </c>
      <c r="G638" s="1" t="str">
        <f t="shared" si="3"/>
        <v/>
      </c>
      <c r="H638" s="5" t="str">
        <f t="shared" si="4"/>
        <v>42, 46, POLABAT</v>
      </c>
    </row>
    <row r="639" ht="12.75" customHeight="1">
      <c r="A639" s="4" t="s">
        <v>3012</v>
      </c>
      <c r="B639" s="5" t="s">
        <v>3012</v>
      </c>
      <c r="C639" s="1" t="str">
        <f t="shared" si="1"/>
        <v/>
      </c>
      <c r="E639" s="5" t="s">
        <v>3012</v>
      </c>
      <c r="F639" s="6" t="str">
        <f t="shared" si="2"/>
        <v>#N/A</v>
      </c>
      <c r="G639" s="1" t="str">
        <f t="shared" si="3"/>
        <v/>
      </c>
      <c r="H639" s="5" t="str">
        <f t="shared" si="4"/>
        <v>42, 46, GILDUCK</v>
      </c>
    </row>
    <row r="640" ht="12.75" customHeight="1">
      <c r="A640" s="4" t="s">
        <v>2810</v>
      </c>
      <c r="B640" s="5">
        <v>0.04</v>
      </c>
      <c r="C640" s="1" t="str">
        <f t="shared" si="1"/>
        <v/>
      </c>
      <c r="E640" s="5">
        <v>0.04</v>
      </c>
      <c r="F640" s="6" t="str">
        <f t="shared" si="2"/>
        <v>#N/A</v>
      </c>
      <c r="G640" s="1" t="str">
        <f t="shared" si="3"/>
        <v/>
      </c>
      <c r="H640" s="5">
        <f t="shared" si="4"/>
        <v>0.04</v>
      </c>
    </row>
    <row r="641" ht="12.75" customHeight="1">
      <c r="A641" s="4" t="s">
        <v>3013</v>
      </c>
      <c r="B641" s="5" t="s">
        <v>3013</v>
      </c>
      <c r="C641" s="1" t="str">
        <f t="shared" si="1"/>
        <v/>
      </c>
      <c r="E641" s="5" t="s">
        <v>3013</v>
      </c>
      <c r="F641" s="6" t="str">
        <f t="shared" si="2"/>
        <v>#N/A</v>
      </c>
      <c r="G641" s="1" t="str">
        <f t="shared" si="3"/>
        <v/>
      </c>
      <c r="H641" s="5" t="str">
        <f t="shared" si="4"/>
        <v>44, 47, SLOWMATE</v>
      </c>
    </row>
    <row r="642" ht="12.75" customHeight="1">
      <c r="A642" s="4" t="s">
        <v>3014</v>
      </c>
      <c r="B642" s="5" t="s">
        <v>3014</v>
      </c>
      <c r="C642" s="1" t="str">
        <f t="shared" si="1"/>
        <v/>
      </c>
      <c r="E642" s="5" t="s">
        <v>3014</v>
      </c>
      <c r="F642" s="6" t="str">
        <f t="shared" si="2"/>
        <v>#N/A</v>
      </c>
      <c r="G642" s="1" t="str">
        <f t="shared" si="3"/>
        <v/>
      </c>
      <c r="H642" s="5" t="str">
        <f t="shared" si="4"/>
        <v>44, 47, PRECIPED</v>
      </c>
    </row>
    <row r="643" ht="12.75" customHeight="1">
      <c r="A643" s="4" t="s">
        <v>2813</v>
      </c>
      <c r="B643" s="5">
        <v>0.01</v>
      </c>
      <c r="C643" s="1" t="str">
        <f t="shared" si="1"/>
        <v/>
      </c>
      <c r="E643" s="5">
        <v>0.01</v>
      </c>
      <c r="F643" s="6" t="str">
        <f t="shared" si="2"/>
        <v>#N/A</v>
      </c>
      <c r="G643" s="1" t="str">
        <f t="shared" si="3"/>
        <v/>
      </c>
      <c r="H643" s="5">
        <f t="shared" si="4"/>
        <v>0.01</v>
      </c>
    </row>
    <row r="644" ht="12.75" customHeight="1">
      <c r="A644" s="4" t="s">
        <v>3015</v>
      </c>
      <c r="B644" s="5" t="s">
        <v>3015</v>
      </c>
      <c r="C644" s="1" t="str">
        <f t="shared" si="1"/>
        <v/>
      </c>
      <c r="E644" s="5" t="s">
        <v>3015</v>
      </c>
      <c r="F644" s="6" t="str">
        <f t="shared" si="2"/>
        <v>#N/A</v>
      </c>
      <c r="G644" s="1" t="str">
        <f t="shared" si="3"/>
        <v/>
      </c>
      <c r="H644" s="5" t="str">
        <f t="shared" si="4"/>
        <v>45, 50, DRAGONITE</v>
      </c>
    </row>
    <row r="645" ht="12.75" customHeight="1">
      <c r="A645" s="4" t="s">
        <v>3021</v>
      </c>
      <c r="B645" s="5" t="s">
        <v>3021</v>
      </c>
      <c r="C645" s="1" t="str">
        <f t="shared" si="1"/>
        <v/>
      </c>
      <c r="E645" s="5" t="s">
        <v>3021</v>
      </c>
      <c r="F645" s="6" t="str">
        <f t="shared" si="2"/>
        <v>#N/A</v>
      </c>
      <c r="G645" s="1" t="str">
        <f t="shared" si="3"/>
        <v/>
      </c>
      <c r="H645" s="5" t="str">
        <f t="shared" si="4"/>
        <v>45, 50, LICKILOLLY</v>
      </c>
    </row>
    <row r="646" ht="12.75" customHeight="1">
      <c r="A646" s="4" t="s">
        <v>3022</v>
      </c>
      <c r="B646" s="5" t="s">
        <v>3022</v>
      </c>
      <c r="C646" s="1" t="str">
        <f t="shared" si="1"/>
        <v/>
      </c>
      <c r="E646" s="5" t="s">
        <v>3022</v>
      </c>
      <c r="F646" s="6" t="str">
        <f t="shared" si="2"/>
        <v>#N/A</v>
      </c>
      <c r="G646" s="1" t="str">
        <f t="shared" si="3"/>
        <v/>
      </c>
      <c r="H646" s="5" t="str">
        <f t="shared" si="4"/>
        <v>2, 38, 44, DEWGONG</v>
      </c>
    </row>
    <row r="647" ht="12.75" customHeight="1">
      <c r="A647" s="4" t="s">
        <v>3023</v>
      </c>
      <c r="B647" s="5" t="s">
        <v>3023</v>
      </c>
      <c r="C647" s="1" t="str">
        <f t="shared" si="1"/>
        <v/>
      </c>
      <c r="E647" s="5" t="s">
        <v>3023</v>
      </c>
      <c r="F647" s="6" t="str">
        <f t="shared" si="2"/>
        <v>#N/A</v>
      </c>
      <c r="G647" s="1" t="str">
        <f t="shared" si="3"/>
        <v/>
      </c>
      <c r="H647" s="5" t="str">
        <f t="shared" si="4"/>
        <v>40, 44, SEADRA</v>
      </c>
    </row>
    <row r="648" ht="12.75" customHeight="1">
      <c r="A648" s="4" t="s">
        <v>3024</v>
      </c>
      <c r="B648" s="5" t="s">
        <v>3024</v>
      </c>
      <c r="C648" s="1" t="str">
        <f t="shared" si="1"/>
        <v/>
      </c>
      <c r="E648" s="5" t="s">
        <v>3024</v>
      </c>
      <c r="F648" s="6" t="str">
        <f t="shared" si="2"/>
        <v>#N/A</v>
      </c>
      <c r="G648" s="1" t="str">
        <f t="shared" si="3"/>
        <v/>
      </c>
      <c r="H648" s="5" t="str">
        <f t="shared" si="4"/>
        <v>42, 46, KINGLER</v>
      </c>
    </row>
    <row r="649" ht="12.75" customHeight="1">
      <c r="A649" s="4" t="s">
        <v>3025</v>
      </c>
      <c r="B649" s="5" t="s">
        <v>3025</v>
      </c>
      <c r="C649" s="1" t="str">
        <f t="shared" si="1"/>
        <v/>
      </c>
      <c r="E649" s="5" t="s">
        <v>3025</v>
      </c>
      <c r="F649" s="6" t="str">
        <f t="shared" si="2"/>
        <v>#N/A</v>
      </c>
      <c r="G649" s="1" t="str">
        <f t="shared" si="3"/>
        <v/>
      </c>
      <c r="H649" s="5" t="str">
        <f t="shared" si="4"/>
        <v>42, 46, LAPRAS</v>
      </c>
    </row>
    <row r="650" ht="12.75" customHeight="1">
      <c r="A650" s="4" t="s">
        <v>2923</v>
      </c>
      <c r="B650" s="5" t="s">
        <v>2923</v>
      </c>
      <c r="C650" s="1" t="str">
        <f t="shared" si="1"/>
        <v/>
      </c>
      <c r="E650" s="5" t="s">
        <v>2923</v>
      </c>
      <c r="F650" s="6" t="str">
        <f t="shared" si="2"/>
        <v>#N/A</v>
      </c>
      <c r="G650" s="1" t="str">
        <f t="shared" si="3"/>
        <v/>
      </c>
      <c r="H650" s="5" t="str">
        <f t="shared" si="4"/>
        <v>42, 46, SLOWBRO</v>
      </c>
    </row>
    <row r="651" ht="12.75" customHeight="1">
      <c r="A651" s="4" t="s">
        <v>2926</v>
      </c>
      <c r="B651" s="5" t="s">
        <v>2926</v>
      </c>
      <c r="C651" s="1" t="str">
        <f t="shared" si="1"/>
        <v/>
      </c>
      <c r="E651" s="5" t="s">
        <v>2926</v>
      </c>
      <c r="F651" s="6" t="str">
        <f t="shared" si="2"/>
        <v>#N/A</v>
      </c>
      <c r="G651" s="1" t="str">
        <f t="shared" si="3"/>
        <v/>
      </c>
      <c r="H651" s="5" t="str">
        <f t="shared" si="4"/>
        <v>20, old rod:</v>
      </c>
    </row>
    <row r="652" ht="12.75" customHeight="1">
      <c r="A652" s="4" t="s">
        <v>602</v>
      </c>
      <c r="B652" s="5" t="s">
        <v>602</v>
      </c>
      <c r="C652" s="1" t="str">
        <f t="shared" si="1"/>
        <v/>
      </c>
      <c r="E652" s="5" t="s">
        <v>602</v>
      </c>
      <c r="F652" s="6" t="str">
        <f t="shared" si="2"/>
        <v>#N/A</v>
      </c>
      <c r="G652" s="1" t="str">
        <f t="shared" si="3"/>
        <v/>
      </c>
      <c r="H652" s="5" t="str">
        <f t="shared" si="4"/>
        <v>19, 26, HORSEA</v>
      </c>
    </row>
    <row r="653" ht="12.75" customHeight="1">
      <c r="A653" s="4" t="s">
        <v>3026</v>
      </c>
      <c r="B653" s="5" t="s">
        <v>3026</v>
      </c>
      <c r="C653" s="1" t="str">
        <f t="shared" si="1"/>
        <v/>
      </c>
      <c r="E653" s="5" t="s">
        <v>3026</v>
      </c>
      <c r="F653" s="6" t="str">
        <f t="shared" si="2"/>
        <v>#N/A</v>
      </c>
      <c r="G653" s="1" t="str">
        <f t="shared" si="3"/>
        <v/>
      </c>
      <c r="H653" s="5" t="str">
        <f t="shared" si="4"/>
        <v>19, 26, SHELLDER</v>
      </c>
    </row>
    <row r="654" ht="12.75" customHeight="1">
      <c r="A654" s="4" t="s">
        <v>2847</v>
      </c>
      <c r="B654" s="5" t="s">
        <v>2847</v>
      </c>
      <c r="C654" s="1" t="str">
        <f t="shared" si="1"/>
        <v/>
      </c>
      <c r="E654" s="5" t="s">
        <v>2847</v>
      </c>
      <c r="F654" s="6" t="str">
        <f t="shared" si="2"/>
        <v>#N/A</v>
      </c>
      <c r="G654" s="1" t="str">
        <f t="shared" si="3"/>
        <v/>
      </c>
      <c r="H654" s="5" t="str">
        <f t="shared" si="4"/>
        <v>good rod:</v>
      </c>
    </row>
    <row r="655" ht="12.75" customHeight="1">
      <c r="A655" s="4" t="s">
        <v>3027</v>
      </c>
      <c r="B655" s="5" t="s">
        <v>3027</v>
      </c>
      <c r="C655" s="1" t="str">
        <f t="shared" si="1"/>
        <v/>
      </c>
      <c r="E655" s="5" t="s">
        <v>3027</v>
      </c>
      <c r="F655" s="6" t="str">
        <f t="shared" si="2"/>
        <v>#N/A</v>
      </c>
      <c r="G655" s="1" t="str">
        <f t="shared" si="3"/>
        <v/>
      </c>
      <c r="H655" s="5" t="str">
        <f t="shared" si="4"/>
        <v>29, 33, SEADRA</v>
      </c>
    </row>
    <row r="656" ht="12.75" customHeight="1">
      <c r="A656" s="4" t="s">
        <v>3028</v>
      </c>
      <c r="B656" s="5" t="s">
        <v>3028</v>
      </c>
      <c r="C656" s="1" t="str">
        <f t="shared" si="1"/>
        <v/>
      </c>
      <c r="E656" s="5" t="s">
        <v>3028</v>
      </c>
      <c r="F656" s="6" t="str">
        <f t="shared" si="2"/>
        <v>#N/A</v>
      </c>
      <c r="G656" s="1" t="str">
        <f t="shared" si="3"/>
        <v/>
      </c>
      <c r="H656" s="5" t="str">
        <f t="shared" si="4"/>
        <v>30, 35, KRABBY</v>
      </c>
    </row>
    <row r="657" ht="12.75" customHeight="1">
      <c r="A657" s="4" t="s">
        <v>3029</v>
      </c>
      <c r="B657" s="5" t="s">
        <v>3029</v>
      </c>
      <c r="C657" s="1" t="str">
        <f t="shared" si="1"/>
        <v/>
      </c>
      <c r="E657" s="5" t="s">
        <v>3029</v>
      </c>
      <c r="F657" s="6" t="str">
        <f t="shared" si="2"/>
        <v>#N/A</v>
      </c>
      <c r="G657" s="1" t="str">
        <f t="shared" si="3"/>
        <v/>
      </c>
      <c r="H657" s="5" t="str">
        <f t="shared" si="4"/>
        <v>30, 35, GOLDUCK</v>
      </c>
    </row>
    <row r="658" ht="12.75" customHeight="1">
      <c r="A658" s="4" t="s">
        <v>2851</v>
      </c>
      <c r="B658" s="5" t="s">
        <v>2851</v>
      </c>
      <c r="C658" s="1" t="str">
        <f t="shared" si="1"/>
        <v/>
      </c>
      <c r="E658" s="5" t="s">
        <v>2851</v>
      </c>
      <c r="F658" s="6" t="str">
        <f t="shared" si="2"/>
        <v>#N/A</v>
      </c>
      <c r="G658" s="1" t="str">
        <f t="shared" si="3"/>
        <v/>
      </c>
      <c r="H658" s="5" t="str">
        <f t="shared" si="4"/>
        <v>super rod:</v>
      </c>
    </row>
    <row r="659" ht="12.75" customHeight="1">
      <c r="A659" s="4" t="s">
        <v>3030</v>
      </c>
      <c r="B659" s="5" t="s">
        <v>3030</v>
      </c>
      <c r="C659" s="1" t="str">
        <f t="shared" si="1"/>
        <v/>
      </c>
      <c r="E659" s="5" t="s">
        <v>3030</v>
      </c>
      <c r="F659" s="6" t="str">
        <f t="shared" si="2"/>
        <v>#N/A</v>
      </c>
      <c r="G659" s="1" t="str">
        <f t="shared" si="3"/>
        <v/>
      </c>
      <c r="H659" s="5" t="str">
        <f t="shared" si="4"/>
        <v>36, 40, KINGDRA</v>
      </c>
    </row>
    <row r="660" ht="12.75" customHeight="1">
      <c r="A660" s="4" t="s">
        <v>3031</v>
      </c>
      <c r="B660" s="5" t="s">
        <v>3031</v>
      </c>
      <c r="C660" s="1" t="str">
        <f t="shared" si="1"/>
        <v/>
      </c>
      <c r="E660" s="5" t="s">
        <v>3031</v>
      </c>
      <c r="F660" s="6" t="str">
        <f t="shared" si="2"/>
        <v>#N/A</v>
      </c>
      <c r="G660" s="1" t="str">
        <f t="shared" si="3"/>
        <v/>
      </c>
      <c r="H660" s="5" t="str">
        <f t="shared" si="4"/>
        <v>36, 40, CLOYSTER</v>
      </c>
    </row>
    <row r="661" ht="12.75" customHeight="1">
      <c r="A661" s="4" t="s">
        <v>3032</v>
      </c>
      <c r="B661" s="5" t="s">
        <v>3032</v>
      </c>
      <c r="C661" s="1" t="str">
        <f t="shared" si="1"/>
        <v/>
      </c>
      <c r="E661" s="5" t="s">
        <v>3032</v>
      </c>
      <c r="F661" s="6" t="str">
        <f t="shared" si="2"/>
        <v>#N/A</v>
      </c>
      <c r="G661" s="1" t="str">
        <f t="shared" si="3"/>
        <v/>
      </c>
      <c r="H661" s="5" t="str">
        <f t="shared" si="4"/>
        <v>38, 42, GILDUCK</v>
      </c>
    </row>
    <row r="662" ht="12.75" customHeight="1">
      <c r="A662" s="4" t="s">
        <v>3033</v>
      </c>
      <c r="B662" s="5" t="s">
        <v>3033</v>
      </c>
      <c r="C662" s="1" t="str">
        <f t="shared" si="1"/>
        <v/>
      </c>
      <c r="E662" s="5" t="s">
        <v>3033</v>
      </c>
      <c r="F662" s="6" t="str">
        <f t="shared" si="2"/>
        <v>#N/A</v>
      </c>
      <c r="G662" s="1" t="str">
        <f t="shared" si="3"/>
        <v/>
      </c>
      <c r="H662" s="5" t="str">
        <f t="shared" si="4"/>
        <v>38, 42, KRAKLAW</v>
      </c>
    </row>
    <row r="663" ht="12.75" customHeight="1">
      <c r="A663" s="4" t="s">
        <v>3034</v>
      </c>
      <c r="B663" s="5" t="s">
        <v>3034</v>
      </c>
      <c r="C663" s="1" t="str">
        <f t="shared" si="1"/>
        <v/>
      </c>
      <c r="E663" s="5" t="s">
        <v>3034</v>
      </c>
      <c r="F663" s="6" t="str">
        <f t="shared" si="2"/>
        <v>#N/A</v>
      </c>
      <c r="G663" s="1" t="str">
        <f t="shared" si="3"/>
        <v/>
      </c>
      <c r="H663" s="5" t="str">
        <f t="shared" si="4"/>
        <v>40, 44, LORDRA</v>
      </c>
    </row>
    <row r="664" ht="12.75" customHeight="1">
      <c r="A664" s="4" t="s">
        <v>2539</v>
      </c>
      <c r="B664" s="5" t="s">
        <v>2539</v>
      </c>
      <c r="C664" s="1">
        <f t="shared" si="1"/>
        <v>1</v>
      </c>
      <c r="E664" s="5" t="s">
        <v>2539</v>
      </c>
      <c r="F664" s="6" t="str">
        <f t="shared" si="2"/>
        <v>#N/A</v>
      </c>
      <c r="G664" s="1" t="str">
        <f t="shared" si="3"/>
        <v/>
      </c>
      <c r="H664" s="5" t="str">
        <f t="shared" si="4"/>
        <v>NEW ROUTE</v>
      </c>
    </row>
    <row r="665" ht="12.75" customHeight="1">
      <c r="A665" s="4" t="s">
        <v>1798</v>
      </c>
      <c r="B665" s="5" t="s">
        <v>1798</v>
      </c>
      <c r="C665" s="1" t="str">
        <f t="shared" si="1"/>
        <v/>
      </c>
      <c r="E665" s="5" t="s">
        <v>1798</v>
      </c>
      <c r="F665" s="6" t="str">
        <f t="shared" si="2"/>
        <v>Pokémon Tower 3F</v>
      </c>
      <c r="G665" s="1" t="str">
        <f t="shared" si="3"/>
        <v>Pokémon Tower 3F</v>
      </c>
      <c r="H665" s="5" t="str">
        <f t="shared" si="4"/>
        <v>Pokémon Tower 3F</v>
      </c>
    </row>
    <row r="666" ht="12.75" customHeight="1">
      <c r="A666" s="4" t="s">
        <v>2799</v>
      </c>
      <c r="B666" s="5">
        <v>0.2</v>
      </c>
      <c r="C666" s="1" t="str">
        <f t="shared" si="1"/>
        <v/>
      </c>
      <c r="E666" s="5">
        <v>0.2</v>
      </c>
      <c r="F666" s="6" t="str">
        <f t="shared" si="2"/>
        <v>#N/A</v>
      </c>
      <c r="G666" s="1" t="str">
        <f t="shared" si="3"/>
        <v/>
      </c>
      <c r="H666" s="5">
        <f t="shared" si="4"/>
        <v>0.2</v>
      </c>
    </row>
    <row r="667" ht="12.75" customHeight="1">
      <c r="A667" s="4" t="s">
        <v>614</v>
      </c>
      <c r="B667" s="5" t="s">
        <v>614</v>
      </c>
      <c r="C667" s="1" t="str">
        <f t="shared" si="1"/>
        <v/>
      </c>
      <c r="E667" s="5" t="s">
        <v>614</v>
      </c>
      <c r="F667" s="6" t="str">
        <f t="shared" si="2"/>
        <v>#N/A</v>
      </c>
      <c r="G667" s="1" t="str">
        <f t="shared" si="3"/>
        <v/>
      </c>
      <c r="H667" s="5" t="str">
        <f t="shared" si="4"/>
        <v>28, 31, GASTLY</v>
      </c>
    </row>
    <row r="668" ht="12.75" customHeight="1">
      <c r="A668" s="4" t="s">
        <v>3038</v>
      </c>
      <c r="B668" s="5" t="s">
        <v>3038</v>
      </c>
      <c r="C668" s="1" t="str">
        <f t="shared" si="1"/>
        <v/>
      </c>
      <c r="E668" s="5" t="s">
        <v>3038</v>
      </c>
      <c r="F668" s="6" t="str">
        <f t="shared" si="2"/>
        <v>#N/A</v>
      </c>
      <c r="G668" s="1" t="str">
        <f t="shared" si="3"/>
        <v/>
      </c>
      <c r="H668" s="5" t="str">
        <f t="shared" si="4"/>
        <v>29, 32, RATTATA</v>
      </c>
    </row>
    <row r="669" ht="12.75" customHeight="1">
      <c r="A669" s="4" t="s">
        <v>2802</v>
      </c>
      <c r="B669" s="5">
        <v>0.1</v>
      </c>
      <c r="C669" s="1" t="str">
        <f t="shared" si="1"/>
        <v/>
      </c>
      <c r="E669" s="5">
        <v>0.1</v>
      </c>
      <c r="F669" s="6" t="str">
        <f t="shared" si="2"/>
        <v>#N/A</v>
      </c>
      <c r="G669" s="1" t="str">
        <f t="shared" si="3"/>
        <v/>
      </c>
      <c r="H669" s="5">
        <f t="shared" si="4"/>
        <v>0.1</v>
      </c>
    </row>
    <row r="670" ht="12.75" customHeight="1">
      <c r="A670" s="4" t="s">
        <v>3039</v>
      </c>
      <c r="B670" s="5" t="s">
        <v>3039</v>
      </c>
      <c r="C670" s="1" t="str">
        <f t="shared" si="1"/>
        <v/>
      </c>
      <c r="E670" s="5" t="s">
        <v>3039</v>
      </c>
      <c r="F670" s="6" t="str">
        <f t="shared" si="2"/>
        <v>#N/A</v>
      </c>
      <c r="G670" s="1" t="str">
        <f t="shared" si="3"/>
        <v/>
      </c>
      <c r="H670" s="5" t="str">
        <f t="shared" si="4"/>
        <v>27, 31, CUBONE</v>
      </c>
    </row>
    <row r="671" ht="12.75" customHeight="1">
      <c r="A671" s="4" t="s">
        <v>3040</v>
      </c>
      <c r="B671" s="5" t="s">
        <v>3040</v>
      </c>
      <c r="C671" s="1" t="str">
        <f t="shared" si="1"/>
        <v/>
      </c>
      <c r="E671" s="5" t="s">
        <v>3040</v>
      </c>
      <c r="F671" s="6" t="str">
        <f t="shared" si="2"/>
        <v>#N/A</v>
      </c>
      <c r="G671" s="1" t="str">
        <f t="shared" si="3"/>
        <v/>
      </c>
      <c r="H671" s="5" t="str">
        <f t="shared" si="4"/>
        <v>29, 32, HAUNTER</v>
      </c>
    </row>
    <row r="672" ht="12.75" customHeight="1">
      <c r="A672" s="4" t="s">
        <v>3041</v>
      </c>
      <c r="B672" s="5" t="s">
        <v>3041</v>
      </c>
      <c r="C672" s="1" t="str">
        <f t="shared" si="1"/>
        <v/>
      </c>
      <c r="E672" s="5" t="s">
        <v>3041</v>
      </c>
      <c r="F672" s="6" t="str">
        <f t="shared" si="2"/>
        <v>#N/A</v>
      </c>
      <c r="G672" s="1" t="str">
        <f t="shared" si="3"/>
        <v/>
      </c>
      <c r="H672" s="5" t="str">
        <f t="shared" si="4"/>
        <v>28, 31, DROWZEE</v>
      </c>
    </row>
    <row r="673" ht="12.75" customHeight="1">
      <c r="A673" s="4" t="s">
        <v>3042</v>
      </c>
      <c r="B673" s="5" t="s">
        <v>3042</v>
      </c>
      <c r="C673" s="1" t="str">
        <f t="shared" si="1"/>
        <v/>
      </c>
      <c r="E673" s="5" t="s">
        <v>3042</v>
      </c>
      <c r="F673" s="6" t="str">
        <f t="shared" si="2"/>
        <v>#N/A</v>
      </c>
      <c r="G673" s="1" t="str">
        <f t="shared" si="3"/>
        <v/>
      </c>
      <c r="H673" s="5" t="str">
        <f t="shared" si="4"/>
        <v>28, 31, VULPIX</v>
      </c>
    </row>
    <row r="674" ht="12.75" customHeight="1">
      <c r="A674" s="4" t="s">
        <v>2807</v>
      </c>
      <c r="B674" s="5">
        <v>0.05</v>
      </c>
      <c r="C674" s="1" t="str">
        <f t="shared" si="1"/>
        <v/>
      </c>
      <c r="E674" s="5">
        <v>0.05</v>
      </c>
      <c r="F674" s="6" t="str">
        <f t="shared" si="2"/>
        <v>#N/A</v>
      </c>
      <c r="G674" s="1" t="str">
        <f t="shared" si="3"/>
        <v/>
      </c>
      <c r="H674" s="5">
        <f t="shared" si="4"/>
        <v>0.05</v>
      </c>
    </row>
    <row r="675" ht="12.75" customHeight="1">
      <c r="A675" s="4" t="s">
        <v>3043</v>
      </c>
      <c r="B675" s="5" t="s">
        <v>3043</v>
      </c>
      <c r="C675" s="1" t="str">
        <f t="shared" si="1"/>
        <v/>
      </c>
      <c r="E675" s="5" t="s">
        <v>3043</v>
      </c>
      <c r="F675" s="6" t="str">
        <f t="shared" si="2"/>
        <v>#N/A</v>
      </c>
      <c r="G675" s="1" t="str">
        <f t="shared" si="3"/>
        <v/>
      </c>
      <c r="H675" s="5" t="str">
        <f t="shared" si="4"/>
        <v>29, 32, HYPNO</v>
      </c>
    </row>
    <row r="676" ht="12.75" customHeight="1">
      <c r="A676" s="4" t="s">
        <v>3044</v>
      </c>
      <c r="B676" s="5" t="s">
        <v>3044</v>
      </c>
      <c r="C676" s="1" t="str">
        <f t="shared" si="1"/>
        <v/>
      </c>
      <c r="E676" s="5" t="s">
        <v>3044</v>
      </c>
      <c r="F676" s="6" t="str">
        <f t="shared" si="2"/>
        <v>#N/A</v>
      </c>
      <c r="G676" s="1" t="str">
        <f t="shared" si="3"/>
        <v/>
      </c>
      <c r="H676" s="5" t="str">
        <f t="shared" si="4"/>
        <v>28, 31, RATICATE</v>
      </c>
    </row>
    <row r="677" ht="12.75" customHeight="1">
      <c r="A677" s="4" t="s">
        <v>2810</v>
      </c>
      <c r="B677" s="5">
        <v>0.04</v>
      </c>
      <c r="C677" s="1" t="str">
        <f t="shared" si="1"/>
        <v/>
      </c>
      <c r="E677" s="5">
        <v>0.04</v>
      </c>
      <c r="F677" s="6" t="str">
        <f t="shared" si="2"/>
        <v>#N/A</v>
      </c>
      <c r="G677" s="1" t="str">
        <f t="shared" si="3"/>
        <v/>
      </c>
      <c r="H677" s="5">
        <f t="shared" si="4"/>
        <v>0.04</v>
      </c>
    </row>
    <row r="678" ht="12.75" customHeight="1">
      <c r="A678" s="4" t="s">
        <v>3045</v>
      </c>
      <c r="B678" s="5" t="s">
        <v>3045</v>
      </c>
      <c r="C678" s="1" t="str">
        <f t="shared" si="1"/>
        <v/>
      </c>
      <c r="E678" s="5" t="s">
        <v>3045</v>
      </c>
      <c r="F678" s="6" t="str">
        <f t="shared" si="2"/>
        <v>#N/A</v>
      </c>
      <c r="G678" s="1" t="str">
        <f t="shared" si="3"/>
        <v/>
      </c>
      <c r="H678" s="5" t="str">
        <f t="shared" si="4"/>
        <v>29, 32, MAROWAK</v>
      </c>
    </row>
    <row r="679" ht="12.75" customHeight="1">
      <c r="A679" s="4" t="s">
        <v>3046</v>
      </c>
      <c r="B679" s="5" t="s">
        <v>3046</v>
      </c>
      <c r="C679" s="1" t="str">
        <f t="shared" si="1"/>
        <v/>
      </c>
      <c r="E679" s="5" t="s">
        <v>3046</v>
      </c>
      <c r="F679" s="6" t="str">
        <f t="shared" si="2"/>
        <v>#N/A</v>
      </c>
      <c r="G679" s="1" t="str">
        <f t="shared" si="3"/>
        <v/>
      </c>
      <c r="H679" s="5" t="str">
        <f t="shared" si="4"/>
        <v>28, 31, RATTCHET</v>
      </c>
    </row>
    <row r="680" ht="12.75" customHeight="1">
      <c r="A680" s="4" t="s">
        <v>2813</v>
      </c>
      <c r="B680" s="5">
        <v>0.01</v>
      </c>
      <c r="C680" s="1" t="str">
        <f t="shared" si="1"/>
        <v/>
      </c>
      <c r="E680" s="5">
        <v>0.01</v>
      </c>
      <c r="F680" s="6" t="str">
        <f t="shared" si="2"/>
        <v>#N/A</v>
      </c>
      <c r="G680" s="1" t="str">
        <f t="shared" si="3"/>
        <v/>
      </c>
      <c r="H680" s="5">
        <f t="shared" si="4"/>
        <v>0.01</v>
      </c>
    </row>
    <row r="681" ht="12.75" customHeight="1">
      <c r="A681" s="4" t="s">
        <v>3047</v>
      </c>
      <c r="B681" s="5" t="s">
        <v>3047</v>
      </c>
      <c r="C681" s="1" t="str">
        <f t="shared" si="1"/>
        <v/>
      </c>
      <c r="E681" s="5" t="s">
        <v>3047</v>
      </c>
      <c r="F681" s="6" t="str">
        <f t="shared" si="2"/>
        <v>#N/A</v>
      </c>
      <c r="G681" s="1" t="str">
        <f t="shared" si="3"/>
        <v/>
      </c>
      <c r="H681" s="5" t="str">
        <f t="shared" si="4"/>
        <v>33, 33, HAUNTER</v>
      </c>
    </row>
    <row r="682" ht="12.75" customHeight="1">
      <c r="A682" s="4" t="s">
        <v>3718</v>
      </c>
      <c r="B682" s="5" t="s">
        <v>3718</v>
      </c>
      <c r="C682" s="1" t="str">
        <f t="shared" si="1"/>
        <v/>
      </c>
      <c r="E682" s="5" t="s">
        <v>3718</v>
      </c>
      <c r="F682" s="6" t="str">
        <f t="shared" si="2"/>
        <v>#N/A</v>
      </c>
      <c r="G682" s="1" t="str">
        <f t="shared" si="3"/>
        <v/>
      </c>
      <c r="H682" s="5" t="str">
        <f t="shared" si="4"/>
        <v>32, 33, NINETALES</v>
      </c>
    </row>
    <row r="683" ht="12.75" customHeight="1">
      <c r="A683" s="4" t="s">
        <v>2539</v>
      </c>
      <c r="B683" s="5" t="s">
        <v>2539</v>
      </c>
      <c r="C683" s="1">
        <f t="shared" si="1"/>
        <v>1</v>
      </c>
      <c r="E683" s="5" t="s">
        <v>2539</v>
      </c>
      <c r="F683" s="6" t="str">
        <f t="shared" si="2"/>
        <v>#N/A</v>
      </c>
      <c r="G683" s="1" t="str">
        <f t="shared" si="3"/>
        <v/>
      </c>
      <c r="H683" s="5" t="str">
        <f t="shared" si="4"/>
        <v>NEW ROUTE</v>
      </c>
    </row>
    <row r="684" ht="12.75" customHeight="1">
      <c r="A684" s="4" t="s">
        <v>1803</v>
      </c>
      <c r="B684" s="5" t="s">
        <v>1803</v>
      </c>
      <c r="C684" s="1" t="str">
        <f t="shared" si="1"/>
        <v/>
      </c>
      <c r="E684" s="5" t="s">
        <v>1803</v>
      </c>
      <c r="F684" s="6" t="str">
        <f t="shared" si="2"/>
        <v>Pokémon Tower 4F</v>
      </c>
      <c r="G684" s="1" t="str">
        <f t="shared" si="3"/>
        <v>Pokémon Tower 4F</v>
      </c>
      <c r="H684" s="5" t="str">
        <f t="shared" si="4"/>
        <v>Pokémon Tower 4F</v>
      </c>
    </row>
    <row r="685" ht="12.75" customHeight="1">
      <c r="A685" s="4" t="s">
        <v>2799</v>
      </c>
      <c r="B685" s="5">
        <v>0.2</v>
      </c>
      <c r="C685" s="1" t="str">
        <f t="shared" si="1"/>
        <v/>
      </c>
      <c r="E685" s="5">
        <v>0.2</v>
      </c>
      <c r="F685" s="6" t="str">
        <f t="shared" si="2"/>
        <v>#N/A</v>
      </c>
      <c r="G685" s="1" t="str">
        <f t="shared" si="3"/>
        <v/>
      </c>
      <c r="H685" s="5">
        <f t="shared" si="4"/>
        <v>0.2</v>
      </c>
    </row>
    <row r="686" ht="12.75" customHeight="1">
      <c r="A686" s="4" t="s">
        <v>614</v>
      </c>
      <c r="B686" s="5" t="s">
        <v>614</v>
      </c>
      <c r="C686" s="1" t="str">
        <f t="shared" si="1"/>
        <v/>
      </c>
      <c r="E686" s="5" t="s">
        <v>614</v>
      </c>
      <c r="F686" s="6" t="str">
        <f t="shared" si="2"/>
        <v>#N/A</v>
      </c>
      <c r="G686" s="1" t="str">
        <f t="shared" si="3"/>
        <v/>
      </c>
      <c r="H686" s="5" t="str">
        <f t="shared" si="4"/>
        <v>28, 31, GASTLY</v>
      </c>
    </row>
    <row r="687" ht="12.75" customHeight="1">
      <c r="A687" s="4" t="s">
        <v>3038</v>
      </c>
      <c r="B687" s="5" t="s">
        <v>3038</v>
      </c>
      <c r="C687" s="1" t="str">
        <f t="shared" si="1"/>
        <v/>
      </c>
      <c r="E687" s="5" t="s">
        <v>3038</v>
      </c>
      <c r="F687" s="6" t="str">
        <f t="shared" si="2"/>
        <v>#N/A</v>
      </c>
      <c r="G687" s="1" t="str">
        <f t="shared" si="3"/>
        <v/>
      </c>
      <c r="H687" s="5" t="str">
        <f t="shared" si="4"/>
        <v>29, 32, RATTATA</v>
      </c>
    </row>
    <row r="688" ht="12.75" customHeight="1">
      <c r="A688" s="4" t="s">
        <v>2802</v>
      </c>
      <c r="B688" s="5">
        <v>0.1</v>
      </c>
      <c r="C688" s="1" t="str">
        <f t="shared" si="1"/>
        <v/>
      </c>
      <c r="E688" s="5">
        <v>0.1</v>
      </c>
      <c r="F688" s="6" t="str">
        <f t="shared" si="2"/>
        <v>#N/A</v>
      </c>
      <c r="G688" s="1" t="str">
        <f t="shared" si="3"/>
        <v/>
      </c>
      <c r="H688" s="5">
        <f t="shared" si="4"/>
        <v>0.1</v>
      </c>
    </row>
    <row r="689" ht="12.75" customHeight="1">
      <c r="A689" s="4" t="s">
        <v>3039</v>
      </c>
      <c r="B689" s="5" t="s">
        <v>3039</v>
      </c>
      <c r="C689" s="1" t="str">
        <f t="shared" si="1"/>
        <v/>
      </c>
      <c r="E689" s="5" t="s">
        <v>3039</v>
      </c>
      <c r="F689" s="6" t="str">
        <f t="shared" si="2"/>
        <v>#N/A</v>
      </c>
      <c r="G689" s="1" t="str">
        <f t="shared" si="3"/>
        <v/>
      </c>
      <c r="H689" s="5" t="str">
        <f t="shared" si="4"/>
        <v>27, 31, CUBONE</v>
      </c>
    </row>
    <row r="690" ht="12.75" customHeight="1">
      <c r="A690" s="4" t="s">
        <v>3040</v>
      </c>
      <c r="B690" s="5" t="s">
        <v>3040</v>
      </c>
      <c r="C690" s="1" t="str">
        <f t="shared" si="1"/>
        <v/>
      </c>
      <c r="E690" s="5" t="s">
        <v>3040</v>
      </c>
      <c r="F690" s="6" t="str">
        <f t="shared" si="2"/>
        <v>#N/A</v>
      </c>
      <c r="G690" s="1" t="str">
        <f t="shared" si="3"/>
        <v/>
      </c>
      <c r="H690" s="5" t="str">
        <f t="shared" si="4"/>
        <v>29, 32, HAUNTER</v>
      </c>
    </row>
    <row r="691" ht="12.75" customHeight="1">
      <c r="A691" s="4" t="s">
        <v>3041</v>
      </c>
      <c r="B691" s="5" t="s">
        <v>3041</v>
      </c>
      <c r="C691" s="1" t="str">
        <f t="shared" si="1"/>
        <v/>
      </c>
      <c r="E691" s="5" t="s">
        <v>3041</v>
      </c>
      <c r="F691" s="6" t="str">
        <f t="shared" si="2"/>
        <v>#N/A</v>
      </c>
      <c r="G691" s="1" t="str">
        <f t="shared" si="3"/>
        <v/>
      </c>
      <c r="H691" s="5" t="str">
        <f t="shared" si="4"/>
        <v>28, 31, DROWZEE</v>
      </c>
    </row>
    <row r="692" ht="12.75" customHeight="1">
      <c r="A692" s="4" t="s">
        <v>3042</v>
      </c>
      <c r="B692" s="5" t="s">
        <v>3042</v>
      </c>
      <c r="C692" s="1" t="str">
        <f t="shared" si="1"/>
        <v/>
      </c>
      <c r="E692" s="5" t="s">
        <v>3042</v>
      </c>
      <c r="F692" s="6" t="str">
        <f t="shared" si="2"/>
        <v>#N/A</v>
      </c>
      <c r="G692" s="1" t="str">
        <f t="shared" si="3"/>
        <v/>
      </c>
      <c r="H692" s="5" t="str">
        <f t="shared" si="4"/>
        <v>28, 31, VULPIX</v>
      </c>
    </row>
    <row r="693" ht="12.75" customHeight="1">
      <c r="A693" s="4" t="s">
        <v>2807</v>
      </c>
      <c r="B693" s="5">
        <v>0.05</v>
      </c>
      <c r="C693" s="1" t="str">
        <f t="shared" si="1"/>
        <v/>
      </c>
      <c r="E693" s="5">
        <v>0.05</v>
      </c>
      <c r="F693" s="6" t="str">
        <f t="shared" si="2"/>
        <v>#N/A</v>
      </c>
      <c r="G693" s="1" t="str">
        <f t="shared" si="3"/>
        <v/>
      </c>
      <c r="H693" s="5">
        <f t="shared" si="4"/>
        <v>0.05</v>
      </c>
    </row>
    <row r="694" ht="12.75" customHeight="1">
      <c r="A694" s="4" t="s">
        <v>3043</v>
      </c>
      <c r="B694" s="5" t="s">
        <v>3043</v>
      </c>
      <c r="C694" s="1" t="str">
        <f t="shared" si="1"/>
        <v/>
      </c>
      <c r="E694" s="5" t="s">
        <v>3043</v>
      </c>
      <c r="F694" s="6" t="str">
        <f t="shared" si="2"/>
        <v>#N/A</v>
      </c>
      <c r="G694" s="1" t="str">
        <f t="shared" si="3"/>
        <v/>
      </c>
      <c r="H694" s="5" t="str">
        <f t="shared" si="4"/>
        <v>29, 32, HYPNO</v>
      </c>
    </row>
    <row r="695" ht="12.75" customHeight="1">
      <c r="A695" s="4" t="s">
        <v>3044</v>
      </c>
      <c r="B695" s="5" t="s">
        <v>3044</v>
      </c>
      <c r="C695" s="1" t="str">
        <f t="shared" si="1"/>
        <v/>
      </c>
      <c r="E695" s="5" t="s">
        <v>3044</v>
      </c>
      <c r="F695" s="6" t="str">
        <f t="shared" si="2"/>
        <v>#N/A</v>
      </c>
      <c r="G695" s="1" t="str">
        <f t="shared" si="3"/>
        <v/>
      </c>
      <c r="H695" s="5" t="str">
        <f t="shared" si="4"/>
        <v>28, 31, RATICATE</v>
      </c>
    </row>
    <row r="696" ht="12.75" customHeight="1">
      <c r="A696" s="4" t="s">
        <v>2810</v>
      </c>
      <c r="B696" s="5">
        <v>0.04</v>
      </c>
      <c r="C696" s="1" t="str">
        <f t="shared" si="1"/>
        <v/>
      </c>
      <c r="E696" s="5">
        <v>0.04</v>
      </c>
      <c r="F696" s="6" t="str">
        <f t="shared" si="2"/>
        <v>#N/A</v>
      </c>
      <c r="G696" s="1" t="str">
        <f t="shared" si="3"/>
        <v/>
      </c>
      <c r="H696" s="5">
        <f t="shared" si="4"/>
        <v>0.04</v>
      </c>
    </row>
    <row r="697" ht="12.75" customHeight="1">
      <c r="A697" s="4" t="s">
        <v>3045</v>
      </c>
      <c r="B697" s="5" t="s">
        <v>3045</v>
      </c>
      <c r="C697" s="1" t="str">
        <f t="shared" si="1"/>
        <v/>
      </c>
      <c r="E697" s="5" t="s">
        <v>3045</v>
      </c>
      <c r="F697" s="6" t="str">
        <f t="shared" si="2"/>
        <v>#N/A</v>
      </c>
      <c r="G697" s="1" t="str">
        <f t="shared" si="3"/>
        <v/>
      </c>
      <c r="H697" s="5" t="str">
        <f t="shared" si="4"/>
        <v>29, 32, MAROWAK</v>
      </c>
    </row>
    <row r="698" ht="12.75" customHeight="1">
      <c r="A698" s="4" t="s">
        <v>3046</v>
      </c>
      <c r="B698" s="5" t="s">
        <v>3046</v>
      </c>
      <c r="C698" s="1" t="str">
        <f t="shared" si="1"/>
        <v/>
      </c>
      <c r="E698" s="5" t="s">
        <v>3046</v>
      </c>
      <c r="F698" s="6" t="str">
        <f t="shared" si="2"/>
        <v>#N/A</v>
      </c>
      <c r="G698" s="1" t="str">
        <f t="shared" si="3"/>
        <v/>
      </c>
      <c r="H698" s="5" t="str">
        <f t="shared" si="4"/>
        <v>28, 31, RATTCHET</v>
      </c>
    </row>
    <row r="699" ht="12.75" customHeight="1">
      <c r="A699" s="4" t="s">
        <v>2813</v>
      </c>
      <c r="B699" s="5">
        <v>0.01</v>
      </c>
      <c r="C699" s="1" t="str">
        <f t="shared" si="1"/>
        <v/>
      </c>
      <c r="E699" s="5">
        <v>0.01</v>
      </c>
      <c r="F699" s="6" t="str">
        <f t="shared" si="2"/>
        <v>#N/A</v>
      </c>
      <c r="G699" s="1" t="str">
        <f t="shared" si="3"/>
        <v/>
      </c>
      <c r="H699" s="5">
        <f t="shared" si="4"/>
        <v>0.01</v>
      </c>
    </row>
    <row r="700" ht="12.75" customHeight="1">
      <c r="A700" s="4" t="s">
        <v>3047</v>
      </c>
      <c r="B700" s="5" t="s">
        <v>3047</v>
      </c>
      <c r="C700" s="1" t="str">
        <f t="shared" si="1"/>
        <v/>
      </c>
      <c r="E700" s="5" t="s">
        <v>3047</v>
      </c>
      <c r="F700" s="6" t="str">
        <f t="shared" si="2"/>
        <v>#N/A</v>
      </c>
      <c r="G700" s="1" t="str">
        <f t="shared" si="3"/>
        <v/>
      </c>
      <c r="H700" s="5" t="str">
        <f t="shared" si="4"/>
        <v>33, 33, HAUNTER</v>
      </c>
    </row>
    <row r="701" ht="12.75" customHeight="1">
      <c r="A701" s="4" t="s">
        <v>3718</v>
      </c>
      <c r="B701" s="5" t="s">
        <v>3718</v>
      </c>
      <c r="C701" s="1" t="str">
        <f t="shared" si="1"/>
        <v/>
      </c>
      <c r="E701" s="5" t="s">
        <v>3718</v>
      </c>
      <c r="F701" s="6" t="str">
        <f t="shared" si="2"/>
        <v>#N/A</v>
      </c>
      <c r="G701" s="1" t="str">
        <f t="shared" si="3"/>
        <v/>
      </c>
      <c r="H701" s="5" t="str">
        <f t="shared" si="4"/>
        <v>32, 33, NINETALES</v>
      </c>
    </row>
    <row r="702" ht="12.75" customHeight="1">
      <c r="A702" s="4" t="s">
        <v>2539</v>
      </c>
      <c r="B702" s="5" t="s">
        <v>2539</v>
      </c>
      <c r="C702" s="1">
        <f t="shared" si="1"/>
        <v>1</v>
      </c>
      <c r="E702" s="5" t="s">
        <v>2539</v>
      </c>
      <c r="F702" s="6" t="str">
        <f t="shared" si="2"/>
        <v>#N/A</v>
      </c>
      <c r="G702" s="1" t="str">
        <f t="shared" si="3"/>
        <v/>
      </c>
      <c r="H702" s="5" t="str">
        <f t="shared" si="4"/>
        <v>NEW ROUTE</v>
      </c>
    </row>
    <row r="703" ht="12.75" customHeight="1">
      <c r="A703" s="4" t="s">
        <v>1808</v>
      </c>
      <c r="B703" s="5" t="s">
        <v>1808</v>
      </c>
      <c r="C703" s="1" t="str">
        <f t="shared" si="1"/>
        <v/>
      </c>
      <c r="E703" s="5" t="s">
        <v>1808</v>
      </c>
      <c r="F703" s="6" t="str">
        <f t="shared" si="2"/>
        <v>Pokémon Tower 5F</v>
      </c>
      <c r="G703" s="1" t="str">
        <f t="shared" si="3"/>
        <v>Pokémon Tower 5F</v>
      </c>
      <c r="H703" s="5" t="str">
        <f t="shared" si="4"/>
        <v>Pokémon Tower 5F</v>
      </c>
    </row>
    <row r="704" ht="12.75" customHeight="1">
      <c r="A704" s="4" t="s">
        <v>2799</v>
      </c>
      <c r="B704" s="5">
        <v>0.2</v>
      </c>
      <c r="C704" s="1" t="str">
        <f t="shared" si="1"/>
        <v/>
      </c>
      <c r="E704" s="5">
        <v>0.2</v>
      </c>
      <c r="F704" s="6" t="str">
        <f t="shared" si="2"/>
        <v>#N/A</v>
      </c>
      <c r="G704" s="1" t="str">
        <f t="shared" si="3"/>
        <v/>
      </c>
      <c r="H704" s="5">
        <f t="shared" si="4"/>
        <v>0.2</v>
      </c>
    </row>
    <row r="705" ht="12.75" customHeight="1">
      <c r="A705" s="4" t="s">
        <v>614</v>
      </c>
      <c r="B705" s="5" t="s">
        <v>614</v>
      </c>
      <c r="C705" s="1" t="str">
        <f t="shared" si="1"/>
        <v/>
      </c>
      <c r="E705" s="5" t="s">
        <v>614</v>
      </c>
      <c r="F705" s="6" t="str">
        <f t="shared" si="2"/>
        <v>#N/A</v>
      </c>
      <c r="G705" s="1" t="str">
        <f t="shared" si="3"/>
        <v/>
      </c>
      <c r="H705" s="5" t="str">
        <f t="shared" si="4"/>
        <v>28, 31, GASTLY</v>
      </c>
    </row>
    <row r="706" ht="12.75" customHeight="1">
      <c r="A706" s="4" t="s">
        <v>3038</v>
      </c>
      <c r="B706" s="5" t="s">
        <v>3038</v>
      </c>
      <c r="C706" s="1" t="str">
        <f t="shared" si="1"/>
        <v/>
      </c>
      <c r="E706" s="5" t="s">
        <v>3038</v>
      </c>
      <c r="F706" s="6" t="str">
        <f t="shared" si="2"/>
        <v>#N/A</v>
      </c>
      <c r="G706" s="1" t="str">
        <f t="shared" si="3"/>
        <v/>
      </c>
      <c r="H706" s="5" t="str">
        <f t="shared" si="4"/>
        <v>29, 32, RATTATA</v>
      </c>
    </row>
    <row r="707" ht="12.75" customHeight="1">
      <c r="A707" s="4" t="s">
        <v>2802</v>
      </c>
      <c r="B707" s="5">
        <v>0.1</v>
      </c>
      <c r="C707" s="1" t="str">
        <f t="shared" si="1"/>
        <v/>
      </c>
      <c r="E707" s="5">
        <v>0.1</v>
      </c>
      <c r="F707" s="6" t="str">
        <f t="shared" si="2"/>
        <v>#N/A</v>
      </c>
      <c r="G707" s="1" t="str">
        <f t="shared" si="3"/>
        <v/>
      </c>
      <c r="H707" s="5">
        <f t="shared" si="4"/>
        <v>0.1</v>
      </c>
    </row>
    <row r="708" ht="12.75" customHeight="1">
      <c r="A708" s="4" t="s">
        <v>3039</v>
      </c>
      <c r="B708" s="5" t="s">
        <v>3039</v>
      </c>
      <c r="C708" s="1" t="str">
        <f t="shared" si="1"/>
        <v/>
      </c>
      <c r="E708" s="5" t="s">
        <v>3039</v>
      </c>
      <c r="F708" s="6" t="str">
        <f t="shared" si="2"/>
        <v>#N/A</v>
      </c>
      <c r="G708" s="1" t="str">
        <f t="shared" si="3"/>
        <v/>
      </c>
      <c r="H708" s="5" t="str">
        <f t="shared" si="4"/>
        <v>27, 31, CUBONE</v>
      </c>
    </row>
    <row r="709" ht="12.75" customHeight="1">
      <c r="A709" s="4" t="s">
        <v>3040</v>
      </c>
      <c r="B709" s="5" t="s">
        <v>3040</v>
      </c>
      <c r="C709" s="1" t="str">
        <f t="shared" si="1"/>
        <v/>
      </c>
      <c r="E709" s="5" t="s">
        <v>3040</v>
      </c>
      <c r="F709" s="6" t="str">
        <f t="shared" si="2"/>
        <v>#N/A</v>
      </c>
      <c r="G709" s="1" t="str">
        <f t="shared" si="3"/>
        <v/>
      </c>
      <c r="H709" s="5" t="str">
        <f t="shared" si="4"/>
        <v>29, 32, HAUNTER</v>
      </c>
    </row>
    <row r="710" ht="12.75" customHeight="1">
      <c r="A710" s="4" t="s">
        <v>3041</v>
      </c>
      <c r="B710" s="5" t="s">
        <v>3041</v>
      </c>
      <c r="C710" s="1" t="str">
        <f t="shared" si="1"/>
        <v/>
      </c>
      <c r="E710" s="5" t="s">
        <v>3041</v>
      </c>
      <c r="F710" s="6" t="str">
        <f t="shared" si="2"/>
        <v>#N/A</v>
      </c>
      <c r="G710" s="1" t="str">
        <f t="shared" si="3"/>
        <v/>
      </c>
      <c r="H710" s="5" t="str">
        <f t="shared" si="4"/>
        <v>28, 31, DROWZEE</v>
      </c>
    </row>
    <row r="711" ht="12.75" customHeight="1">
      <c r="A711" s="4" t="s">
        <v>3042</v>
      </c>
      <c r="B711" s="5" t="s">
        <v>3042</v>
      </c>
      <c r="C711" s="1" t="str">
        <f t="shared" si="1"/>
        <v/>
      </c>
      <c r="E711" s="5" t="s">
        <v>3042</v>
      </c>
      <c r="F711" s="6" t="str">
        <f t="shared" si="2"/>
        <v>#N/A</v>
      </c>
      <c r="G711" s="1" t="str">
        <f t="shared" si="3"/>
        <v/>
      </c>
      <c r="H711" s="5" t="str">
        <f t="shared" si="4"/>
        <v>28, 31, VULPIX</v>
      </c>
    </row>
    <row r="712" ht="12.75" customHeight="1">
      <c r="A712" s="4" t="s">
        <v>2807</v>
      </c>
      <c r="B712" s="5">
        <v>0.05</v>
      </c>
      <c r="C712" s="1" t="str">
        <f t="shared" si="1"/>
        <v/>
      </c>
      <c r="E712" s="5">
        <v>0.05</v>
      </c>
      <c r="F712" s="6" t="str">
        <f t="shared" si="2"/>
        <v>#N/A</v>
      </c>
      <c r="G712" s="1" t="str">
        <f t="shared" si="3"/>
        <v/>
      </c>
      <c r="H712" s="5">
        <f t="shared" si="4"/>
        <v>0.05</v>
      </c>
    </row>
    <row r="713" ht="12.75" customHeight="1">
      <c r="A713" s="4" t="s">
        <v>3043</v>
      </c>
      <c r="B713" s="5" t="s">
        <v>3043</v>
      </c>
      <c r="C713" s="1" t="str">
        <f t="shared" si="1"/>
        <v/>
      </c>
      <c r="E713" s="5" t="s">
        <v>3043</v>
      </c>
      <c r="F713" s="6" t="str">
        <f t="shared" si="2"/>
        <v>#N/A</v>
      </c>
      <c r="G713" s="1" t="str">
        <f t="shared" si="3"/>
        <v/>
      </c>
      <c r="H713" s="5" t="str">
        <f t="shared" si="4"/>
        <v>29, 32, HYPNO</v>
      </c>
    </row>
    <row r="714" ht="12.75" customHeight="1">
      <c r="A714" s="4" t="s">
        <v>3044</v>
      </c>
      <c r="B714" s="5" t="s">
        <v>3044</v>
      </c>
      <c r="C714" s="1" t="str">
        <f t="shared" si="1"/>
        <v/>
      </c>
      <c r="E714" s="5" t="s">
        <v>3044</v>
      </c>
      <c r="F714" s="6" t="str">
        <f t="shared" si="2"/>
        <v>#N/A</v>
      </c>
      <c r="G714" s="1" t="str">
        <f t="shared" si="3"/>
        <v/>
      </c>
      <c r="H714" s="5" t="str">
        <f t="shared" si="4"/>
        <v>28, 31, RATICATE</v>
      </c>
    </row>
    <row r="715" ht="12.75" customHeight="1">
      <c r="A715" s="4" t="s">
        <v>2810</v>
      </c>
      <c r="B715" s="5">
        <v>0.04</v>
      </c>
      <c r="C715" s="1" t="str">
        <f t="shared" si="1"/>
        <v/>
      </c>
      <c r="E715" s="5">
        <v>0.04</v>
      </c>
      <c r="F715" s="6" t="str">
        <f t="shared" si="2"/>
        <v>#N/A</v>
      </c>
      <c r="G715" s="1" t="str">
        <f t="shared" si="3"/>
        <v/>
      </c>
      <c r="H715" s="5">
        <f t="shared" si="4"/>
        <v>0.04</v>
      </c>
    </row>
    <row r="716" ht="12.75" customHeight="1">
      <c r="A716" s="4" t="s">
        <v>3045</v>
      </c>
      <c r="B716" s="5" t="s">
        <v>3045</v>
      </c>
      <c r="C716" s="1" t="str">
        <f t="shared" si="1"/>
        <v/>
      </c>
      <c r="E716" s="5" t="s">
        <v>3045</v>
      </c>
      <c r="F716" s="6" t="str">
        <f t="shared" si="2"/>
        <v>#N/A</v>
      </c>
      <c r="G716" s="1" t="str">
        <f t="shared" si="3"/>
        <v/>
      </c>
      <c r="H716" s="5" t="str">
        <f t="shared" si="4"/>
        <v>29, 32, MAROWAK</v>
      </c>
    </row>
    <row r="717" ht="12.75" customHeight="1">
      <c r="A717" s="4" t="s">
        <v>3046</v>
      </c>
      <c r="B717" s="5" t="s">
        <v>3046</v>
      </c>
      <c r="C717" s="1" t="str">
        <f t="shared" si="1"/>
        <v/>
      </c>
      <c r="E717" s="5" t="s">
        <v>3046</v>
      </c>
      <c r="F717" s="6" t="str">
        <f t="shared" si="2"/>
        <v>#N/A</v>
      </c>
      <c r="G717" s="1" t="str">
        <f t="shared" si="3"/>
        <v/>
      </c>
      <c r="H717" s="5" t="str">
        <f t="shared" si="4"/>
        <v>28, 31, RATTCHET</v>
      </c>
    </row>
    <row r="718" ht="12.75" customHeight="1">
      <c r="A718" s="4" t="s">
        <v>2813</v>
      </c>
      <c r="B718" s="5">
        <v>0.01</v>
      </c>
      <c r="C718" s="1" t="str">
        <f t="shared" si="1"/>
        <v/>
      </c>
      <c r="E718" s="5">
        <v>0.01</v>
      </c>
      <c r="F718" s="6" t="str">
        <f t="shared" si="2"/>
        <v>#N/A</v>
      </c>
      <c r="G718" s="1" t="str">
        <f t="shared" si="3"/>
        <v/>
      </c>
      <c r="H718" s="5">
        <f t="shared" si="4"/>
        <v>0.01</v>
      </c>
    </row>
    <row r="719" ht="12.75" customHeight="1">
      <c r="A719" s="4" t="s">
        <v>3047</v>
      </c>
      <c r="B719" s="5" t="s">
        <v>3047</v>
      </c>
      <c r="C719" s="1" t="str">
        <f t="shared" si="1"/>
        <v/>
      </c>
      <c r="E719" s="5" t="s">
        <v>3047</v>
      </c>
      <c r="F719" s="6" t="str">
        <f t="shared" si="2"/>
        <v>#N/A</v>
      </c>
      <c r="G719" s="1" t="str">
        <f t="shared" si="3"/>
        <v/>
      </c>
      <c r="H719" s="5" t="str">
        <f t="shared" si="4"/>
        <v>33, 33, HAUNTER</v>
      </c>
    </row>
    <row r="720" ht="12.75" customHeight="1">
      <c r="A720" s="4" t="s">
        <v>3718</v>
      </c>
      <c r="B720" s="5" t="s">
        <v>3718</v>
      </c>
      <c r="C720" s="1" t="str">
        <f t="shared" si="1"/>
        <v/>
      </c>
      <c r="E720" s="5" t="s">
        <v>3718</v>
      </c>
      <c r="F720" s="6" t="str">
        <f t="shared" si="2"/>
        <v>#N/A</v>
      </c>
      <c r="G720" s="1" t="str">
        <f t="shared" si="3"/>
        <v/>
      </c>
      <c r="H720" s="5" t="str">
        <f t="shared" si="4"/>
        <v>32, 33, NINETALES</v>
      </c>
    </row>
    <row r="721" ht="12.75" customHeight="1">
      <c r="A721" s="4" t="s">
        <v>2539</v>
      </c>
      <c r="B721" s="5" t="s">
        <v>2539</v>
      </c>
      <c r="C721" s="1">
        <f t="shared" si="1"/>
        <v>1</v>
      </c>
      <c r="E721" s="5" t="s">
        <v>2539</v>
      </c>
      <c r="F721" s="6" t="str">
        <f t="shared" si="2"/>
        <v>#N/A</v>
      </c>
      <c r="G721" s="1" t="str">
        <f t="shared" si="3"/>
        <v/>
      </c>
      <c r="H721" s="5" t="str">
        <f t="shared" si="4"/>
        <v>NEW ROUTE</v>
      </c>
    </row>
    <row r="722" ht="12.75" customHeight="1">
      <c r="A722" s="4" t="s">
        <v>1813</v>
      </c>
      <c r="B722" s="5" t="s">
        <v>1813</v>
      </c>
      <c r="C722" s="1" t="str">
        <f t="shared" si="1"/>
        <v/>
      </c>
      <c r="E722" s="5" t="s">
        <v>1813</v>
      </c>
      <c r="F722" s="6" t="str">
        <f t="shared" si="2"/>
        <v>Pokémon Tower 6F</v>
      </c>
      <c r="G722" s="1" t="str">
        <f t="shared" si="3"/>
        <v>Pokémon Tower 6F</v>
      </c>
      <c r="H722" s="5" t="str">
        <f t="shared" si="4"/>
        <v>Pokémon Tower 6F</v>
      </c>
    </row>
    <row r="723" ht="12.75" customHeight="1">
      <c r="A723" s="4" t="s">
        <v>2799</v>
      </c>
      <c r="B723" s="5">
        <v>0.2</v>
      </c>
      <c r="C723" s="1" t="str">
        <f t="shared" si="1"/>
        <v/>
      </c>
      <c r="E723" s="5">
        <v>0.2</v>
      </c>
      <c r="F723" s="6" t="str">
        <f t="shared" si="2"/>
        <v>#N/A</v>
      </c>
      <c r="G723" s="1" t="str">
        <f t="shared" si="3"/>
        <v/>
      </c>
      <c r="H723" s="5">
        <f t="shared" si="4"/>
        <v>0.2</v>
      </c>
    </row>
    <row r="724" ht="12.75" customHeight="1">
      <c r="A724" s="4" t="s">
        <v>614</v>
      </c>
      <c r="B724" s="5" t="s">
        <v>614</v>
      </c>
      <c r="C724" s="1" t="str">
        <f t="shared" si="1"/>
        <v/>
      </c>
      <c r="E724" s="5" t="s">
        <v>614</v>
      </c>
      <c r="F724" s="6" t="str">
        <f t="shared" si="2"/>
        <v>#N/A</v>
      </c>
      <c r="G724" s="1" t="str">
        <f t="shared" si="3"/>
        <v/>
      </c>
      <c r="H724" s="5" t="str">
        <f t="shared" si="4"/>
        <v>28, 31, GASTLY</v>
      </c>
    </row>
    <row r="725" ht="12.75" customHeight="1">
      <c r="A725" s="4" t="s">
        <v>3038</v>
      </c>
      <c r="B725" s="5" t="s">
        <v>3038</v>
      </c>
      <c r="C725" s="1" t="str">
        <f t="shared" si="1"/>
        <v/>
      </c>
      <c r="E725" s="5" t="s">
        <v>3038</v>
      </c>
      <c r="F725" s="6" t="str">
        <f t="shared" si="2"/>
        <v>#N/A</v>
      </c>
      <c r="G725" s="1" t="str">
        <f t="shared" si="3"/>
        <v/>
      </c>
      <c r="H725" s="5" t="str">
        <f t="shared" si="4"/>
        <v>29, 32, RATTATA</v>
      </c>
    </row>
    <row r="726" ht="12.75" customHeight="1">
      <c r="A726" s="4" t="s">
        <v>2802</v>
      </c>
      <c r="B726" s="5">
        <v>0.1</v>
      </c>
      <c r="C726" s="1" t="str">
        <f t="shared" si="1"/>
        <v/>
      </c>
      <c r="E726" s="5">
        <v>0.1</v>
      </c>
      <c r="F726" s="6" t="str">
        <f t="shared" si="2"/>
        <v>#N/A</v>
      </c>
      <c r="G726" s="1" t="str">
        <f t="shared" si="3"/>
        <v/>
      </c>
      <c r="H726" s="5">
        <f t="shared" si="4"/>
        <v>0.1</v>
      </c>
    </row>
    <row r="727" ht="12.75" customHeight="1">
      <c r="A727" s="4" t="s">
        <v>3039</v>
      </c>
      <c r="B727" s="5" t="s">
        <v>3039</v>
      </c>
      <c r="C727" s="1" t="str">
        <f t="shared" si="1"/>
        <v/>
      </c>
      <c r="E727" s="5" t="s">
        <v>3039</v>
      </c>
      <c r="F727" s="6" t="str">
        <f t="shared" si="2"/>
        <v>#N/A</v>
      </c>
      <c r="G727" s="1" t="str">
        <f t="shared" si="3"/>
        <v/>
      </c>
      <c r="H727" s="5" t="str">
        <f t="shared" si="4"/>
        <v>27, 31, CUBONE</v>
      </c>
    </row>
    <row r="728" ht="12.75" customHeight="1">
      <c r="A728" s="4" t="s">
        <v>3040</v>
      </c>
      <c r="B728" s="5" t="s">
        <v>3040</v>
      </c>
      <c r="C728" s="1" t="str">
        <f t="shared" si="1"/>
        <v/>
      </c>
      <c r="E728" s="5" t="s">
        <v>3040</v>
      </c>
      <c r="F728" s="6" t="str">
        <f t="shared" si="2"/>
        <v>#N/A</v>
      </c>
      <c r="G728" s="1" t="str">
        <f t="shared" si="3"/>
        <v/>
      </c>
      <c r="H728" s="5" t="str">
        <f t="shared" si="4"/>
        <v>29, 32, HAUNTER</v>
      </c>
    </row>
    <row r="729" ht="12.75" customHeight="1">
      <c r="A729" s="4" t="s">
        <v>3041</v>
      </c>
      <c r="B729" s="5" t="s">
        <v>3041</v>
      </c>
      <c r="C729" s="1" t="str">
        <f t="shared" si="1"/>
        <v/>
      </c>
      <c r="E729" s="5" t="s">
        <v>3041</v>
      </c>
      <c r="F729" s="6" t="str">
        <f t="shared" si="2"/>
        <v>#N/A</v>
      </c>
      <c r="G729" s="1" t="str">
        <f t="shared" si="3"/>
        <v/>
      </c>
      <c r="H729" s="5" t="str">
        <f t="shared" si="4"/>
        <v>28, 31, DROWZEE</v>
      </c>
    </row>
    <row r="730" ht="12.75" customHeight="1">
      <c r="A730" s="4" t="s">
        <v>3042</v>
      </c>
      <c r="B730" s="5" t="s">
        <v>3042</v>
      </c>
      <c r="C730" s="1" t="str">
        <f t="shared" si="1"/>
        <v/>
      </c>
      <c r="E730" s="5" t="s">
        <v>3042</v>
      </c>
      <c r="F730" s="6" t="str">
        <f t="shared" si="2"/>
        <v>#N/A</v>
      </c>
      <c r="G730" s="1" t="str">
        <f t="shared" si="3"/>
        <v/>
      </c>
      <c r="H730" s="5" t="str">
        <f t="shared" si="4"/>
        <v>28, 31, VULPIX</v>
      </c>
    </row>
    <row r="731" ht="12.75" customHeight="1">
      <c r="A731" s="4" t="s">
        <v>2807</v>
      </c>
      <c r="B731" s="5">
        <v>0.05</v>
      </c>
      <c r="C731" s="1" t="str">
        <f t="shared" si="1"/>
        <v/>
      </c>
      <c r="E731" s="5">
        <v>0.05</v>
      </c>
      <c r="F731" s="6" t="str">
        <f t="shared" si="2"/>
        <v>#N/A</v>
      </c>
      <c r="G731" s="1" t="str">
        <f t="shared" si="3"/>
        <v/>
      </c>
      <c r="H731" s="5">
        <f t="shared" si="4"/>
        <v>0.05</v>
      </c>
    </row>
    <row r="732" ht="12.75" customHeight="1">
      <c r="A732" s="4" t="s">
        <v>3043</v>
      </c>
      <c r="B732" s="5" t="s">
        <v>3043</v>
      </c>
      <c r="C732" s="1" t="str">
        <f t="shared" si="1"/>
        <v/>
      </c>
      <c r="E732" s="5" t="s">
        <v>3043</v>
      </c>
      <c r="F732" s="6" t="str">
        <f t="shared" si="2"/>
        <v>#N/A</v>
      </c>
      <c r="G732" s="1" t="str">
        <f t="shared" si="3"/>
        <v/>
      </c>
      <c r="H732" s="5" t="str">
        <f t="shared" si="4"/>
        <v>29, 32, HYPNO</v>
      </c>
    </row>
    <row r="733" ht="12.75" customHeight="1">
      <c r="A733" s="4" t="s">
        <v>3044</v>
      </c>
      <c r="B733" s="5" t="s">
        <v>3044</v>
      </c>
      <c r="C733" s="1" t="str">
        <f t="shared" si="1"/>
        <v/>
      </c>
      <c r="E733" s="5" t="s">
        <v>3044</v>
      </c>
      <c r="F733" s="6" t="str">
        <f t="shared" si="2"/>
        <v>#N/A</v>
      </c>
      <c r="G733" s="1" t="str">
        <f t="shared" si="3"/>
        <v/>
      </c>
      <c r="H733" s="5" t="str">
        <f t="shared" si="4"/>
        <v>28, 31, RATICATE</v>
      </c>
    </row>
    <row r="734" ht="12.75" customHeight="1">
      <c r="A734" s="4" t="s">
        <v>2810</v>
      </c>
      <c r="B734" s="5">
        <v>0.04</v>
      </c>
      <c r="C734" s="1" t="str">
        <f t="shared" si="1"/>
        <v/>
      </c>
      <c r="E734" s="5">
        <v>0.04</v>
      </c>
      <c r="F734" s="6" t="str">
        <f t="shared" si="2"/>
        <v>#N/A</v>
      </c>
      <c r="G734" s="1" t="str">
        <f t="shared" si="3"/>
        <v/>
      </c>
      <c r="H734" s="5">
        <f t="shared" si="4"/>
        <v>0.04</v>
      </c>
    </row>
    <row r="735" ht="12.75" customHeight="1">
      <c r="A735" s="4" t="s">
        <v>3045</v>
      </c>
      <c r="B735" s="5" t="s">
        <v>3045</v>
      </c>
      <c r="C735" s="1" t="str">
        <f t="shared" si="1"/>
        <v/>
      </c>
      <c r="E735" s="5" t="s">
        <v>3045</v>
      </c>
      <c r="F735" s="6" t="str">
        <f t="shared" si="2"/>
        <v>#N/A</v>
      </c>
      <c r="G735" s="1" t="str">
        <f t="shared" si="3"/>
        <v/>
      </c>
      <c r="H735" s="5" t="str">
        <f t="shared" si="4"/>
        <v>29, 32, MAROWAK</v>
      </c>
    </row>
    <row r="736" ht="12.75" customHeight="1">
      <c r="A736" s="4" t="s">
        <v>3046</v>
      </c>
      <c r="B736" s="5" t="s">
        <v>3046</v>
      </c>
      <c r="C736" s="1" t="str">
        <f t="shared" si="1"/>
        <v/>
      </c>
      <c r="E736" s="5" t="s">
        <v>3046</v>
      </c>
      <c r="F736" s="6" t="str">
        <f t="shared" si="2"/>
        <v>#N/A</v>
      </c>
      <c r="G736" s="1" t="str">
        <f t="shared" si="3"/>
        <v/>
      </c>
      <c r="H736" s="5" t="str">
        <f t="shared" si="4"/>
        <v>28, 31, RATTCHET</v>
      </c>
    </row>
    <row r="737" ht="12.75" customHeight="1">
      <c r="A737" s="4" t="s">
        <v>2813</v>
      </c>
      <c r="B737" s="5">
        <v>0.01</v>
      </c>
      <c r="C737" s="1" t="str">
        <f t="shared" si="1"/>
        <v/>
      </c>
      <c r="E737" s="5">
        <v>0.01</v>
      </c>
      <c r="F737" s="6" t="str">
        <f t="shared" si="2"/>
        <v>#N/A</v>
      </c>
      <c r="G737" s="1" t="str">
        <f t="shared" si="3"/>
        <v/>
      </c>
      <c r="H737" s="5">
        <f t="shared" si="4"/>
        <v>0.01</v>
      </c>
    </row>
    <row r="738" ht="12.75" customHeight="1">
      <c r="A738" s="4" t="s">
        <v>3047</v>
      </c>
      <c r="B738" s="5" t="s">
        <v>3047</v>
      </c>
      <c r="C738" s="1" t="str">
        <f t="shared" si="1"/>
        <v/>
      </c>
      <c r="E738" s="5" t="s">
        <v>3047</v>
      </c>
      <c r="F738" s="6" t="str">
        <f t="shared" si="2"/>
        <v>#N/A</v>
      </c>
      <c r="G738" s="1" t="str">
        <f t="shared" si="3"/>
        <v/>
      </c>
      <c r="H738" s="5" t="str">
        <f t="shared" si="4"/>
        <v>33, 33, HAUNTER</v>
      </c>
    </row>
    <row r="739" ht="12.75" customHeight="1">
      <c r="A739" s="4" t="s">
        <v>3718</v>
      </c>
      <c r="B739" s="5" t="s">
        <v>3718</v>
      </c>
      <c r="C739" s="1" t="str">
        <f t="shared" si="1"/>
        <v/>
      </c>
      <c r="E739" s="5" t="s">
        <v>3718</v>
      </c>
      <c r="F739" s="6" t="str">
        <f t="shared" si="2"/>
        <v>#N/A</v>
      </c>
      <c r="G739" s="1" t="str">
        <f t="shared" si="3"/>
        <v/>
      </c>
      <c r="H739" s="5" t="str">
        <f t="shared" si="4"/>
        <v>32, 33, NINETALES</v>
      </c>
    </row>
    <row r="740" ht="12.75" customHeight="1">
      <c r="A740" s="4" t="s">
        <v>2539</v>
      </c>
      <c r="B740" s="5" t="s">
        <v>2539</v>
      </c>
      <c r="C740" s="1">
        <f t="shared" si="1"/>
        <v>1</v>
      </c>
      <c r="E740" s="5" t="s">
        <v>2539</v>
      </c>
      <c r="F740" s="6" t="str">
        <f t="shared" si="2"/>
        <v>#N/A</v>
      </c>
      <c r="G740" s="1" t="str">
        <f t="shared" si="3"/>
        <v/>
      </c>
      <c r="H740" s="5" t="str">
        <f t="shared" si="4"/>
        <v>NEW ROUTE</v>
      </c>
    </row>
    <row r="741" ht="12.75" customHeight="1">
      <c r="A741" s="4" t="s">
        <v>1818</v>
      </c>
      <c r="B741" s="5" t="s">
        <v>1818</v>
      </c>
      <c r="C741" s="1" t="str">
        <f t="shared" si="1"/>
        <v/>
      </c>
      <c r="E741" s="5" t="s">
        <v>1818</v>
      </c>
      <c r="F741" s="6" t="str">
        <f t="shared" si="2"/>
        <v>Pokémon Tower 7F</v>
      </c>
      <c r="G741" s="1" t="str">
        <f t="shared" si="3"/>
        <v>Pokémon Tower 7F</v>
      </c>
      <c r="H741" s="5" t="str">
        <f t="shared" si="4"/>
        <v>Pokémon Tower 7F</v>
      </c>
    </row>
    <row r="742" ht="12.75" customHeight="1">
      <c r="A742" s="4" t="s">
        <v>2799</v>
      </c>
      <c r="B742" s="5">
        <v>0.2</v>
      </c>
      <c r="C742" s="1" t="str">
        <f t="shared" si="1"/>
        <v/>
      </c>
      <c r="E742" s="5">
        <v>0.2</v>
      </c>
      <c r="F742" s="6" t="str">
        <f t="shared" si="2"/>
        <v>#N/A</v>
      </c>
      <c r="G742" s="1" t="str">
        <f t="shared" si="3"/>
        <v/>
      </c>
      <c r="H742" s="5">
        <f t="shared" si="4"/>
        <v>0.2</v>
      </c>
    </row>
    <row r="743" ht="12.75" customHeight="1">
      <c r="A743" s="4" t="s">
        <v>614</v>
      </c>
      <c r="B743" s="5" t="s">
        <v>614</v>
      </c>
      <c r="C743" s="1" t="str">
        <f t="shared" si="1"/>
        <v/>
      </c>
      <c r="E743" s="5" t="s">
        <v>614</v>
      </c>
      <c r="F743" s="6" t="str">
        <f t="shared" si="2"/>
        <v>#N/A</v>
      </c>
      <c r="G743" s="1" t="str">
        <f t="shared" si="3"/>
        <v/>
      </c>
      <c r="H743" s="5" t="str">
        <f t="shared" si="4"/>
        <v>28, 31, GASTLY</v>
      </c>
    </row>
    <row r="744" ht="12.75" customHeight="1">
      <c r="A744" s="4" t="s">
        <v>3038</v>
      </c>
      <c r="B744" s="5" t="s">
        <v>3038</v>
      </c>
      <c r="C744" s="1" t="str">
        <f t="shared" si="1"/>
        <v/>
      </c>
      <c r="E744" s="5" t="s">
        <v>3038</v>
      </c>
      <c r="F744" s="6" t="str">
        <f t="shared" si="2"/>
        <v>#N/A</v>
      </c>
      <c r="G744" s="1" t="str">
        <f t="shared" si="3"/>
        <v/>
      </c>
      <c r="H744" s="5" t="str">
        <f t="shared" si="4"/>
        <v>29, 32, RATTATA</v>
      </c>
    </row>
    <row r="745" ht="12.75" customHeight="1">
      <c r="A745" s="4" t="s">
        <v>2802</v>
      </c>
      <c r="B745" s="5">
        <v>0.1</v>
      </c>
      <c r="C745" s="1" t="str">
        <f t="shared" si="1"/>
        <v/>
      </c>
      <c r="E745" s="5">
        <v>0.1</v>
      </c>
      <c r="F745" s="6" t="str">
        <f t="shared" si="2"/>
        <v>#N/A</v>
      </c>
      <c r="G745" s="1" t="str">
        <f t="shared" si="3"/>
        <v/>
      </c>
      <c r="H745" s="5">
        <f t="shared" si="4"/>
        <v>0.1</v>
      </c>
    </row>
    <row r="746" ht="12.75" customHeight="1">
      <c r="A746" s="4" t="s">
        <v>3039</v>
      </c>
      <c r="B746" s="5" t="s">
        <v>3039</v>
      </c>
      <c r="C746" s="1" t="str">
        <f t="shared" si="1"/>
        <v/>
      </c>
      <c r="E746" s="5" t="s">
        <v>3039</v>
      </c>
      <c r="F746" s="6" t="str">
        <f t="shared" si="2"/>
        <v>#N/A</v>
      </c>
      <c r="G746" s="1" t="str">
        <f t="shared" si="3"/>
        <v/>
      </c>
      <c r="H746" s="5" t="str">
        <f t="shared" si="4"/>
        <v>27, 31, CUBONE</v>
      </c>
    </row>
    <row r="747" ht="12.75" customHeight="1">
      <c r="A747" s="4" t="s">
        <v>3040</v>
      </c>
      <c r="B747" s="5" t="s">
        <v>3040</v>
      </c>
      <c r="C747" s="1" t="str">
        <f t="shared" si="1"/>
        <v/>
      </c>
      <c r="E747" s="5" t="s">
        <v>3040</v>
      </c>
      <c r="F747" s="6" t="str">
        <f t="shared" si="2"/>
        <v>#N/A</v>
      </c>
      <c r="G747" s="1" t="str">
        <f t="shared" si="3"/>
        <v/>
      </c>
      <c r="H747" s="5" t="str">
        <f t="shared" si="4"/>
        <v>29, 32, HAUNTER</v>
      </c>
    </row>
    <row r="748" ht="12.75" customHeight="1">
      <c r="A748" s="4" t="s">
        <v>3041</v>
      </c>
      <c r="B748" s="5" t="s">
        <v>3041</v>
      </c>
      <c r="C748" s="1" t="str">
        <f t="shared" si="1"/>
        <v/>
      </c>
      <c r="E748" s="5" t="s">
        <v>3041</v>
      </c>
      <c r="F748" s="6" t="str">
        <f t="shared" si="2"/>
        <v>#N/A</v>
      </c>
      <c r="G748" s="1" t="str">
        <f t="shared" si="3"/>
        <v/>
      </c>
      <c r="H748" s="5" t="str">
        <f t="shared" si="4"/>
        <v>28, 31, DROWZEE</v>
      </c>
    </row>
    <row r="749" ht="12.75" customHeight="1">
      <c r="A749" s="4" t="s">
        <v>3042</v>
      </c>
      <c r="B749" s="5" t="s">
        <v>3042</v>
      </c>
      <c r="C749" s="1" t="str">
        <f t="shared" si="1"/>
        <v/>
      </c>
      <c r="E749" s="5" t="s">
        <v>3042</v>
      </c>
      <c r="F749" s="6" t="str">
        <f t="shared" si="2"/>
        <v>#N/A</v>
      </c>
      <c r="G749" s="1" t="str">
        <f t="shared" si="3"/>
        <v/>
      </c>
      <c r="H749" s="5" t="str">
        <f t="shared" si="4"/>
        <v>28, 31, VULPIX</v>
      </c>
    </row>
    <row r="750" ht="12.75" customHeight="1">
      <c r="A750" s="4" t="s">
        <v>2807</v>
      </c>
      <c r="B750" s="5">
        <v>0.05</v>
      </c>
      <c r="C750" s="1" t="str">
        <f t="shared" si="1"/>
        <v/>
      </c>
      <c r="E750" s="5">
        <v>0.05</v>
      </c>
      <c r="F750" s="6" t="str">
        <f t="shared" si="2"/>
        <v>#N/A</v>
      </c>
      <c r="G750" s="1" t="str">
        <f t="shared" si="3"/>
        <v/>
      </c>
      <c r="H750" s="5">
        <f t="shared" si="4"/>
        <v>0.05</v>
      </c>
    </row>
    <row r="751" ht="12.75" customHeight="1">
      <c r="A751" s="4" t="s">
        <v>3043</v>
      </c>
      <c r="B751" s="5" t="s">
        <v>3043</v>
      </c>
      <c r="C751" s="1" t="str">
        <f t="shared" si="1"/>
        <v/>
      </c>
      <c r="E751" s="5" t="s">
        <v>3043</v>
      </c>
      <c r="F751" s="6" t="str">
        <f t="shared" si="2"/>
        <v>#N/A</v>
      </c>
      <c r="G751" s="1" t="str">
        <f t="shared" si="3"/>
        <v/>
      </c>
      <c r="H751" s="5" t="str">
        <f t="shared" si="4"/>
        <v>29, 32, HYPNO</v>
      </c>
    </row>
    <row r="752" ht="12.75" customHeight="1">
      <c r="A752" s="4" t="s">
        <v>3044</v>
      </c>
      <c r="B752" s="5" t="s">
        <v>3044</v>
      </c>
      <c r="C752" s="1" t="str">
        <f t="shared" si="1"/>
        <v/>
      </c>
      <c r="E752" s="5" t="s">
        <v>3044</v>
      </c>
      <c r="F752" s="6" t="str">
        <f t="shared" si="2"/>
        <v>#N/A</v>
      </c>
      <c r="G752" s="1" t="str">
        <f t="shared" si="3"/>
        <v/>
      </c>
      <c r="H752" s="5" t="str">
        <f t="shared" si="4"/>
        <v>28, 31, RATICATE</v>
      </c>
    </row>
    <row r="753" ht="12.75" customHeight="1">
      <c r="A753" s="4" t="s">
        <v>2810</v>
      </c>
      <c r="B753" s="5">
        <v>0.04</v>
      </c>
      <c r="C753" s="1" t="str">
        <f t="shared" si="1"/>
        <v/>
      </c>
      <c r="E753" s="5">
        <v>0.04</v>
      </c>
      <c r="F753" s="6" t="str">
        <f t="shared" si="2"/>
        <v>#N/A</v>
      </c>
      <c r="G753" s="1" t="str">
        <f t="shared" si="3"/>
        <v/>
      </c>
      <c r="H753" s="5">
        <f t="shared" si="4"/>
        <v>0.04</v>
      </c>
    </row>
    <row r="754" ht="12.75" customHeight="1">
      <c r="A754" s="4" t="s">
        <v>3045</v>
      </c>
      <c r="B754" s="5" t="s">
        <v>3045</v>
      </c>
      <c r="C754" s="1" t="str">
        <f t="shared" si="1"/>
        <v/>
      </c>
      <c r="E754" s="5" t="s">
        <v>3045</v>
      </c>
      <c r="F754" s="6" t="str">
        <f t="shared" si="2"/>
        <v>#N/A</v>
      </c>
      <c r="G754" s="1" t="str">
        <f t="shared" si="3"/>
        <v/>
      </c>
      <c r="H754" s="5" t="str">
        <f t="shared" si="4"/>
        <v>29, 32, MAROWAK</v>
      </c>
    </row>
    <row r="755" ht="12.75" customHeight="1">
      <c r="A755" s="4" t="s">
        <v>3046</v>
      </c>
      <c r="B755" s="5" t="s">
        <v>3046</v>
      </c>
      <c r="C755" s="1" t="str">
        <f t="shared" si="1"/>
        <v/>
      </c>
      <c r="E755" s="5" t="s">
        <v>3046</v>
      </c>
      <c r="F755" s="6" t="str">
        <f t="shared" si="2"/>
        <v>#N/A</v>
      </c>
      <c r="G755" s="1" t="str">
        <f t="shared" si="3"/>
        <v/>
      </c>
      <c r="H755" s="5" t="str">
        <f t="shared" si="4"/>
        <v>28, 31, RATTCHET</v>
      </c>
    </row>
    <row r="756" ht="12.75" customHeight="1">
      <c r="A756" s="4" t="s">
        <v>2813</v>
      </c>
      <c r="B756" s="5">
        <v>0.01</v>
      </c>
      <c r="C756" s="1" t="str">
        <f t="shared" si="1"/>
        <v/>
      </c>
      <c r="E756" s="5">
        <v>0.01</v>
      </c>
      <c r="F756" s="6" t="str">
        <f t="shared" si="2"/>
        <v>#N/A</v>
      </c>
      <c r="G756" s="1" t="str">
        <f t="shared" si="3"/>
        <v/>
      </c>
      <c r="H756" s="5">
        <f t="shared" si="4"/>
        <v>0.01</v>
      </c>
    </row>
    <row r="757" ht="12.75" customHeight="1">
      <c r="A757" s="4" t="s">
        <v>3057</v>
      </c>
      <c r="B757" s="5" t="s">
        <v>3057</v>
      </c>
      <c r="C757" s="1" t="str">
        <f t="shared" si="1"/>
        <v/>
      </c>
      <c r="E757" s="5" t="s">
        <v>3057</v>
      </c>
      <c r="F757" s="6" t="str">
        <f t="shared" si="2"/>
        <v>#N/A</v>
      </c>
      <c r="G757" s="1" t="str">
        <f t="shared" si="3"/>
        <v/>
      </c>
      <c r="H757" s="5" t="str">
        <f t="shared" si="4"/>
        <v>32, 33, GENGAR</v>
      </c>
    </row>
    <row r="758" ht="12.75" customHeight="1">
      <c r="A758" s="4" t="s">
        <v>3718</v>
      </c>
      <c r="B758" s="5" t="s">
        <v>3718</v>
      </c>
      <c r="C758" s="1" t="str">
        <f t="shared" si="1"/>
        <v/>
      </c>
      <c r="E758" s="5" t="s">
        <v>3718</v>
      </c>
      <c r="F758" s="6" t="str">
        <f t="shared" si="2"/>
        <v>#N/A</v>
      </c>
      <c r="G758" s="1" t="str">
        <f t="shared" si="3"/>
        <v/>
      </c>
      <c r="H758" s="5" t="str">
        <f t="shared" si="4"/>
        <v>32, 33, NINETALES</v>
      </c>
    </row>
    <row r="759" ht="12.75" customHeight="1">
      <c r="A759" s="4" t="s">
        <v>2539</v>
      </c>
      <c r="B759" s="5" t="s">
        <v>2539</v>
      </c>
      <c r="C759" s="1">
        <f t="shared" si="1"/>
        <v>1</v>
      </c>
      <c r="E759" s="5" t="s">
        <v>2539</v>
      </c>
      <c r="F759" s="6" t="str">
        <f t="shared" si="2"/>
        <v>#N/A</v>
      </c>
      <c r="G759" s="1" t="str">
        <f t="shared" si="3"/>
        <v/>
      </c>
      <c r="H759" s="5" t="str">
        <f t="shared" si="4"/>
        <v>NEW ROUTE</v>
      </c>
    </row>
    <row r="760" ht="12.75" customHeight="1">
      <c r="A760" s="4" t="s">
        <v>1821</v>
      </c>
      <c r="B760" s="5" t="s">
        <v>1821</v>
      </c>
      <c r="C760" s="1" t="str">
        <f t="shared" si="1"/>
        <v/>
      </c>
      <c r="E760" s="5" t="s">
        <v>1821</v>
      </c>
      <c r="F760" s="6" t="str">
        <f t="shared" si="2"/>
        <v>Power Plant</v>
      </c>
      <c r="G760" s="1" t="str">
        <f t="shared" si="3"/>
        <v>Power Plant</v>
      </c>
      <c r="H760" s="5" t="str">
        <f t="shared" si="4"/>
        <v>Power Plant</v>
      </c>
    </row>
    <row r="761" ht="12.75" customHeight="1">
      <c r="A761" s="4" t="s">
        <v>2799</v>
      </c>
      <c r="B761" s="5">
        <v>0.2</v>
      </c>
      <c r="C761" s="1" t="str">
        <f t="shared" si="1"/>
        <v/>
      </c>
      <c r="E761" s="5">
        <v>0.2</v>
      </c>
      <c r="F761" s="6" t="str">
        <f t="shared" si="2"/>
        <v>#N/A</v>
      </c>
      <c r="G761" s="1" t="str">
        <f t="shared" si="3"/>
        <v/>
      </c>
      <c r="H761" s="5">
        <f t="shared" si="4"/>
        <v>0.2</v>
      </c>
    </row>
    <row r="762" ht="12.75" customHeight="1">
      <c r="A762" s="4" t="s">
        <v>632</v>
      </c>
      <c r="B762" s="5" t="s">
        <v>632</v>
      </c>
      <c r="C762" s="1" t="str">
        <f t="shared" si="1"/>
        <v/>
      </c>
      <c r="E762" s="5" t="s">
        <v>632</v>
      </c>
      <c r="F762" s="6" t="str">
        <f t="shared" si="2"/>
        <v>#N/A</v>
      </c>
      <c r="G762" s="1" t="str">
        <f t="shared" si="3"/>
        <v/>
      </c>
      <c r="H762" s="5" t="str">
        <f t="shared" si="4"/>
        <v>39, 46, MAGNEMITE</v>
      </c>
    </row>
    <row r="763" ht="12.75" customHeight="1">
      <c r="A763" s="4" t="s">
        <v>3059</v>
      </c>
      <c r="B763" s="5" t="s">
        <v>3059</v>
      </c>
      <c r="C763" s="1" t="str">
        <f t="shared" si="1"/>
        <v/>
      </c>
      <c r="E763" s="5" t="s">
        <v>3059</v>
      </c>
      <c r="F763" s="6" t="str">
        <f t="shared" si="2"/>
        <v>#N/A</v>
      </c>
      <c r="G763" s="1" t="str">
        <f t="shared" si="3"/>
        <v/>
      </c>
      <c r="H763" s="5" t="str">
        <f t="shared" si="4"/>
        <v>39, 46, PIKACHU</v>
      </c>
    </row>
    <row r="764" ht="12.75" customHeight="1">
      <c r="A764" s="4" t="s">
        <v>2802</v>
      </c>
      <c r="B764" s="5">
        <v>0.1</v>
      </c>
      <c r="C764" s="1" t="str">
        <f t="shared" si="1"/>
        <v/>
      </c>
      <c r="E764" s="5">
        <v>0.1</v>
      </c>
      <c r="F764" s="6" t="str">
        <f t="shared" si="2"/>
        <v>#N/A</v>
      </c>
      <c r="G764" s="1" t="str">
        <f t="shared" si="3"/>
        <v/>
      </c>
      <c r="H764" s="5">
        <f t="shared" si="4"/>
        <v>0.1</v>
      </c>
    </row>
    <row r="765" ht="12.75" customHeight="1">
      <c r="A765" s="4" t="s">
        <v>3060</v>
      </c>
      <c r="B765" s="5" t="s">
        <v>3060</v>
      </c>
      <c r="C765" s="1" t="str">
        <f t="shared" si="1"/>
        <v/>
      </c>
      <c r="E765" s="5" t="s">
        <v>3060</v>
      </c>
      <c r="F765" s="6" t="str">
        <f t="shared" si="2"/>
        <v>#N/A</v>
      </c>
      <c r="G765" s="1" t="str">
        <f t="shared" si="3"/>
        <v/>
      </c>
      <c r="H765" s="5" t="str">
        <f t="shared" si="4"/>
        <v>41, 48, VOLTORB</v>
      </c>
    </row>
    <row r="766" ht="12.75" customHeight="1">
      <c r="A766" s="4" t="s">
        <v>3061</v>
      </c>
      <c r="B766" s="5" t="s">
        <v>3061</v>
      </c>
      <c r="C766" s="1" t="str">
        <f t="shared" si="1"/>
        <v/>
      </c>
      <c r="E766" s="5" t="s">
        <v>3061</v>
      </c>
      <c r="F766" s="6" t="str">
        <f t="shared" si="2"/>
        <v>#N/A</v>
      </c>
      <c r="G766" s="1" t="str">
        <f t="shared" si="3"/>
        <v/>
      </c>
      <c r="H766" s="5" t="str">
        <f t="shared" si="4"/>
        <v>41, 46, ELECTABUZZ</v>
      </c>
    </row>
    <row r="767" ht="12.75" customHeight="1">
      <c r="A767" s="4" t="s">
        <v>3062</v>
      </c>
      <c r="B767" s="5" t="s">
        <v>3062</v>
      </c>
      <c r="C767" s="1" t="str">
        <f t="shared" si="1"/>
        <v/>
      </c>
      <c r="E767" s="5" t="s">
        <v>3062</v>
      </c>
      <c r="F767" s="6" t="str">
        <f t="shared" si="2"/>
        <v>#N/A</v>
      </c>
      <c r="G767" s="1" t="str">
        <f t="shared" si="3"/>
        <v/>
      </c>
      <c r="H767" s="5" t="str">
        <f t="shared" si="4"/>
        <v>41, 48, PORYGON</v>
      </c>
    </row>
    <row r="768" ht="12.75" customHeight="1">
      <c r="A768" s="4" t="s">
        <v>3063</v>
      </c>
      <c r="B768" s="5" t="s">
        <v>3063</v>
      </c>
      <c r="C768" s="1" t="str">
        <f t="shared" si="1"/>
        <v/>
      </c>
      <c r="E768" s="5" t="s">
        <v>3063</v>
      </c>
      <c r="F768" s="6" t="str">
        <f t="shared" si="2"/>
        <v>#N/A</v>
      </c>
      <c r="G768" s="1" t="str">
        <f t="shared" si="3"/>
        <v/>
      </c>
      <c r="H768" s="5" t="str">
        <f t="shared" si="4"/>
        <v>41, 48, MAGNETON</v>
      </c>
    </row>
    <row r="769" ht="12.75" customHeight="1">
      <c r="A769" s="4" t="s">
        <v>2807</v>
      </c>
      <c r="B769" s="5">
        <v>0.05</v>
      </c>
      <c r="C769" s="1" t="str">
        <f t="shared" si="1"/>
        <v/>
      </c>
      <c r="E769" s="5">
        <v>0.05</v>
      </c>
      <c r="F769" s="6" t="str">
        <f t="shared" si="2"/>
        <v>#N/A</v>
      </c>
      <c r="G769" s="1" t="str">
        <f t="shared" si="3"/>
        <v/>
      </c>
      <c r="H769" s="5">
        <f t="shared" si="4"/>
        <v>0.05</v>
      </c>
    </row>
    <row r="770" ht="12.75" customHeight="1">
      <c r="A770" s="4" t="s">
        <v>3064</v>
      </c>
      <c r="B770" s="5" t="s">
        <v>3064</v>
      </c>
      <c r="C770" s="1" t="str">
        <f t="shared" si="1"/>
        <v/>
      </c>
      <c r="E770" s="5" t="s">
        <v>3064</v>
      </c>
      <c r="F770" s="6" t="str">
        <f t="shared" si="2"/>
        <v>#N/A</v>
      </c>
      <c r="G770" s="1" t="str">
        <f t="shared" si="3"/>
        <v/>
      </c>
      <c r="H770" s="5" t="str">
        <f t="shared" si="4"/>
        <v>43, 50, PORYGON2</v>
      </c>
    </row>
    <row r="771" ht="12.75" customHeight="1">
      <c r="A771" s="4" t="s">
        <v>3065</v>
      </c>
      <c r="B771" s="5" t="s">
        <v>3065</v>
      </c>
      <c r="C771" s="1" t="str">
        <f t="shared" si="1"/>
        <v/>
      </c>
      <c r="E771" s="5" t="s">
        <v>3065</v>
      </c>
      <c r="F771" s="6" t="str">
        <f t="shared" si="2"/>
        <v>#N/A</v>
      </c>
      <c r="G771" s="1" t="str">
        <f t="shared" si="3"/>
        <v/>
      </c>
      <c r="H771" s="5" t="str">
        <f t="shared" si="4"/>
        <v>43, 50, ELECTRODE</v>
      </c>
    </row>
    <row r="772" ht="12.75" customHeight="1">
      <c r="A772" s="4" t="s">
        <v>2810</v>
      </c>
      <c r="B772" s="5">
        <v>0.04</v>
      </c>
      <c r="C772" s="1" t="str">
        <f t="shared" si="1"/>
        <v/>
      </c>
      <c r="E772" s="5">
        <v>0.04</v>
      </c>
      <c r="F772" s="6" t="str">
        <f t="shared" si="2"/>
        <v>#N/A</v>
      </c>
      <c r="G772" s="1" t="str">
        <f t="shared" si="3"/>
        <v/>
      </c>
      <c r="H772" s="5">
        <f t="shared" si="4"/>
        <v>0.04</v>
      </c>
    </row>
    <row r="773" ht="12.75" customHeight="1">
      <c r="A773" s="4" t="s">
        <v>3066</v>
      </c>
      <c r="B773" s="5" t="s">
        <v>3066</v>
      </c>
      <c r="C773" s="1" t="str">
        <f t="shared" si="1"/>
        <v/>
      </c>
      <c r="E773" s="5" t="s">
        <v>3066</v>
      </c>
      <c r="F773" s="6" t="str">
        <f t="shared" si="2"/>
        <v>#N/A</v>
      </c>
      <c r="G773" s="1" t="str">
        <f t="shared" si="3"/>
        <v/>
      </c>
      <c r="H773" s="5" t="str">
        <f t="shared" si="4"/>
        <v>43, 50, JOLTEON</v>
      </c>
    </row>
    <row r="774" ht="12.75" customHeight="1">
      <c r="A774" s="4" t="s">
        <v>3067</v>
      </c>
      <c r="B774" s="5" t="s">
        <v>3067</v>
      </c>
      <c r="C774" s="1" t="str">
        <f t="shared" si="1"/>
        <v/>
      </c>
      <c r="E774" s="5" t="s">
        <v>3067</v>
      </c>
      <c r="F774" s="6" t="str">
        <f t="shared" si="2"/>
        <v>#N/A</v>
      </c>
      <c r="G774" s="1" t="str">
        <f t="shared" si="3"/>
        <v/>
      </c>
      <c r="H774" s="5" t="str">
        <f t="shared" si="4"/>
        <v>43, 50, RAICHU</v>
      </c>
    </row>
    <row r="775" ht="12.75" customHeight="1">
      <c r="A775" s="4" t="s">
        <v>2813</v>
      </c>
      <c r="B775" s="5">
        <v>0.01</v>
      </c>
      <c r="C775" s="1" t="str">
        <f t="shared" si="1"/>
        <v/>
      </c>
      <c r="E775" s="5">
        <v>0.01</v>
      </c>
      <c r="F775" s="6" t="str">
        <f t="shared" si="2"/>
        <v>#N/A</v>
      </c>
      <c r="G775" s="1" t="str">
        <f t="shared" si="3"/>
        <v/>
      </c>
      <c r="H775" s="5">
        <f t="shared" si="4"/>
        <v>0.01</v>
      </c>
    </row>
    <row r="776" ht="12.75" customHeight="1">
      <c r="A776" s="4" t="s">
        <v>3068</v>
      </c>
      <c r="B776" s="5" t="s">
        <v>3068</v>
      </c>
      <c r="C776" s="1" t="str">
        <f t="shared" si="1"/>
        <v/>
      </c>
      <c r="E776" s="5" t="s">
        <v>3068</v>
      </c>
      <c r="F776" s="6" t="str">
        <f t="shared" si="2"/>
        <v>#N/A</v>
      </c>
      <c r="G776" s="1" t="str">
        <f t="shared" si="3"/>
        <v/>
      </c>
      <c r="H776" s="5" t="str">
        <f t="shared" si="4"/>
        <v>45, 52, ELECTIVIRE</v>
      </c>
    </row>
    <row r="777" ht="12.75" customHeight="1">
      <c r="A777" s="4" t="s">
        <v>3719</v>
      </c>
      <c r="B777" s="5" t="s">
        <v>3719</v>
      </c>
      <c r="C777" s="1" t="str">
        <f t="shared" si="1"/>
        <v/>
      </c>
      <c r="E777" s="5" t="s">
        <v>3719</v>
      </c>
      <c r="F777" s="6" t="str">
        <f t="shared" si="2"/>
        <v>#N/A</v>
      </c>
      <c r="G777" s="1" t="str">
        <f t="shared" si="3"/>
        <v/>
      </c>
      <c r="H777" s="5" t="str">
        <f t="shared" si="4"/>
        <v>45, 50, MAGNEZONE</v>
      </c>
    </row>
    <row r="778" ht="12.75" customHeight="1">
      <c r="A778" s="4" t="s">
        <v>2539</v>
      </c>
      <c r="B778" s="5" t="s">
        <v>2539</v>
      </c>
      <c r="C778" s="1">
        <f t="shared" si="1"/>
        <v>1</v>
      </c>
      <c r="E778" s="5" t="s">
        <v>2539</v>
      </c>
      <c r="F778" s="6" t="str">
        <f t="shared" si="2"/>
        <v>#N/A</v>
      </c>
      <c r="G778" s="1" t="str">
        <f t="shared" si="3"/>
        <v/>
      </c>
      <c r="H778" s="5" t="str">
        <f t="shared" si="4"/>
        <v>NEW ROUTE</v>
      </c>
    </row>
    <row r="779" ht="12.75" customHeight="1">
      <c r="A779" s="4" t="s">
        <v>1828</v>
      </c>
      <c r="B779" s="5" t="s">
        <v>1828</v>
      </c>
      <c r="C779" s="1" t="str">
        <f t="shared" si="1"/>
        <v/>
      </c>
      <c r="E779" s="5" t="s">
        <v>1828</v>
      </c>
      <c r="F779" s="6" t="str">
        <f t="shared" si="2"/>
        <v>Mt. Ember Exterior</v>
      </c>
      <c r="G779" s="1" t="str">
        <f t="shared" si="3"/>
        <v>Mt. Ember Exterior</v>
      </c>
      <c r="H779" s="5" t="str">
        <f t="shared" si="4"/>
        <v>Mt. Ember Exterior</v>
      </c>
    </row>
    <row r="780" ht="12.75" customHeight="1">
      <c r="A780" s="4" t="s">
        <v>2799</v>
      </c>
      <c r="B780" s="5">
        <v>0.2</v>
      </c>
      <c r="C780" s="1" t="str">
        <f t="shared" si="1"/>
        <v/>
      </c>
      <c r="E780" s="5">
        <v>0.2</v>
      </c>
      <c r="F780" s="6" t="str">
        <f t="shared" si="2"/>
        <v>#N/A</v>
      </c>
      <c r="G780" s="1" t="str">
        <f t="shared" si="3"/>
        <v/>
      </c>
      <c r="H780" s="5">
        <f t="shared" si="4"/>
        <v>0.2</v>
      </c>
    </row>
    <row r="781" ht="12.75" customHeight="1">
      <c r="A781" s="4" t="s">
        <v>645</v>
      </c>
      <c r="B781" s="5" t="s">
        <v>645</v>
      </c>
      <c r="C781" s="1" t="str">
        <f t="shared" si="1"/>
        <v/>
      </c>
      <c r="E781" s="5" t="s">
        <v>645</v>
      </c>
      <c r="F781" s="6" t="str">
        <f t="shared" si="2"/>
        <v>#N/A</v>
      </c>
      <c r="G781" s="1" t="str">
        <f t="shared" si="3"/>
        <v/>
      </c>
      <c r="H781" s="5" t="str">
        <f t="shared" si="4"/>
        <v>30, 30, PONYTA</v>
      </c>
    </row>
    <row r="782" ht="12.75" customHeight="1">
      <c r="A782" s="4" t="s">
        <v>3071</v>
      </c>
      <c r="B782" s="5" t="s">
        <v>3071</v>
      </c>
      <c r="C782" s="1" t="str">
        <f t="shared" si="1"/>
        <v/>
      </c>
      <c r="E782" s="5" t="s">
        <v>3071</v>
      </c>
      <c r="F782" s="6" t="str">
        <f t="shared" si="2"/>
        <v>#N/A</v>
      </c>
      <c r="G782" s="1" t="str">
        <f t="shared" si="3"/>
        <v/>
      </c>
      <c r="H782" s="5" t="str">
        <f t="shared" si="4"/>
        <v>38, 38, FEAROW</v>
      </c>
    </row>
    <row r="783" ht="12.75" customHeight="1">
      <c r="A783" s="4" t="s">
        <v>2802</v>
      </c>
      <c r="B783" s="5">
        <v>0.1</v>
      </c>
      <c r="C783" s="1" t="str">
        <f t="shared" si="1"/>
        <v/>
      </c>
      <c r="E783" s="5">
        <v>0.1</v>
      </c>
      <c r="F783" s="6" t="str">
        <f t="shared" si="2"/>
        <v>#N/A</v>
      </c>
      <c r="G783" s="1" t="str">
        <f t="shared" si="3"/>
        <v/>
      </c>
      <c r="H783" s="5">
        <f t="shared" si="4"/>
        <v>0.1</v>
      </c>
    </row>
    <row r="784" ht="12.75" customHeight="1">
      <c r="A784" s="4" t="s">
        <v>3072</v>
      </c>
      <c r="B784" s="5" t="s">
        <v>3072</v>
      </c>
      <c r="C784" s="1" t="str">
        <f t="shared" si="1"/>
        <v/>
      </c>
      <c r="E784" s="5" t="s">
        <v>3072</v>
      </c>
      <c r="F784" s="6" t="str">
        <f t="shared" si="2"/>
        <v>#N/A</v>
      </c>
      <c r="G784" s="1" t="str">
        <f t="shared" si="3"/>
        <v/>
      </c>
      <c r="H784" s="5" t="str">
        <f t="shared" si="4"/>
        <v>33, 33, PONYTA</v>
      </c>
    </row>
    <row r="785" ht="12.75" customHeight="1">
      <c r="A785" s="4" t="s">
        <v>817</v>
      </c>
      <c r="B785" s="5" t="s">
        <v>817</v>
      </c>
      <c r="C785" s="1" t="str">
        <f t="shared" si="1"/>
        <v/>
      </c>
      <c r="E785" s="5" t="s">
        <v>817</v>
      </c>
      <c r="F785" s="6" t="str">
        <f t="shared" si="2"/>
        <v>#N/A</v>
      </c>
      <c r="G785" s="1" t="str">
        <f t="shared" si="3"/>
        <v/>
      </c>
      <c r="H785" s="5" t="str">
        <f t="shared" si="4"/>
        <v>32, 32, SPEAROW</v>
      </c>
    </row>
    <row r="786" ht="12.75" customHeight="1">
      <c r="A786" s="4" t="s">
        <v>3073</v>
      </c>
      <c r="B786" s="5" t="s">
        <v>3073</v>
      </c>
      <c r="C786" s="1" t="str">
        <f t="shared" si="1"/>
        <v/>
      </c>
      <c r="E786" s="5" t="s">
        <v>3073</v>
      </c>
      <c r="F786" s="6" t="str">
        <f t="shared" si="2"/>
        <v>#N/A</v>
      </c>
      <c r="G786" s="1" t="str">
        <f t="shared" si="3"/>
        <v/>
      </c>
      <c r="H786" s="5" t="str">
        <f t="shared" si="4"/>
        <v>35, 35, MACHOP</v>
      </c>
    </row>
    <row r="787" ht="12.75" customHeight="1">
      <c r="A787" s="4" t="s">
        <v>658</v>
      </c>
      <c r="B787" s="5" t="s">
        <v>658</v>
      </c>
      <c r="C787" s="1" t="str">
        <f t="shared" si="1"/>
        <v/>
      </c>
      <c r="E787" s="5" t="s">
        <v>658</v>
      </c>
      <c r="F787" s="6" t="str">
        <f t="shared" si="2"/>
        <v>#N/A</v>
      </c>
      <c r="G787" s="1" t="str">
        <f t="shared" si="3"/>
        <v/>
      </c>
      <c r="H787" s="5" t="str">
        <f t="shared" si="4"/>
        <v>33, 33, GEODUDE</v>
      </c>
    </row>
    <row r="788" ht="12.75" customHeight="1">
      <c r="A788" s="4" t="s">
        <v>2807</v>
      </c>
      <c r="B788" s="5">
        <v>0.05</v>
      </c>
      <c r="C788" s="1" t="str">
        <f t="shared" si="1"/>
        <v/>
      </c>
      <c r="E788" s="5">
        <v>0.05</v>
      </c>
      <c r="F788" s="6" t="str">
        <f t="shared" si="2"/>
        <v>#N/A</v>
      </c>
      <c r="G788" s="1" t="str">
        <f t="shared" si="3"/>
        <v/>
      </c>
      <c r="H788" s="5">
        <f t="shared" si="4"/>
        <v>0.05</v>
      </c>
    </row>
    <row r="789" ht="12.75" customHeight="1">
      <c r="A789" s="4" t="s">
        <v>3074</v>
      </c>
      <c r="B789" s="5" t="s">
        <v>3074</v>
      </c>
      <c r="C789" s="1" t="str">
        <f t="shared" si="1"/>
        <v/>
      </c>
      <c r="E789" s="5" t="s">
        <v>3074</v>
      </c>
      <c r="F789" s="6" t="str">
        <f t="shared" si="2"/>
        <v>#N/A</v>
      </c>
      <c r="G789" s="1" t="str">
        <f t="shared" si="3"/>
        <v/>
      </c>
      <c r="H789" s="5" t="str">
        <f t="shared" si="4"/>
        <v>36, 36, PONYTA</v>
      </c>
    </row>
    <row r="790" ht="12.75" customHeight="1">
      <c r="A790" s="4" t="s">
        <v>3075</v>
      </c>
      <c r="B790" s="5" t="s">
        <v>3075</v>
      </c>
      <c r="C790" s="1" t="str">
        <f t="shared" si="1"/>
        <v/>
      </c>
      <c r="E790" s="5" t="s">
        <v>3075</v>
      </c>
      <c r="F790" s="6" t="str">
        <f t="shared" si="2"/>
        <v>#N/A</v>
      </c>
      <c r="G790" s="1" t="str">
        <f t="shared" si="3"/>
        <v/>
      </c>
      <c r="H790" s="5" t="str">
        <f t="shared" si="4"/>
        <v>40, 40, FEAROW</v>
      </c>
    </row>
    <row r="791" ht="12.75" customHeight="1">
      <c r="A791" s="4" t="s">
        <v>2810</v>
      </c>
      <c r="B791" s="5">
        <v>0.04</v>
      </c>
      <c r="C791" s="1" t="str">
        <f t="shared" si="1"/>
        <v/>
      </c>
      <c r="E791" s="5">
        <v>0.04</v>
      </c>
      <c r="F791" s="6" t="str">
        <f t="shared" si="2"/>
        <v>#N/A</v>
      </c>
      <c r="G791" s="1" t="str">
        <f t="shared" si="3"/>
        <v/>
      </c>
      <c r="H791" s="5">
        <f t="shared" si="4"/>
        <v>0.04</v>
      </c>
    </row>
    <row r="792" ht="12.75" customHeight="1">
      <c r="A792" s="4" t="s">
        <v>3076</v>
      </c>
      <c r="B792" s="5" t="s">
        <v>3076</v>
      </c>
      <c r="C792" s="1" t="str">
        <f t="shared" si="1"/>
        <v/>
      </c>
      <c r="E792" s="5" t="s">
        <v>3076</v>
      </c>
      <c r="F792" s="6" t="str">
        <f t="shared" si="2"/>
        <v>#N/A</v>
      </c>
      <c r="G792" s="1" t="str">
        <f t="shared" si="3"/>
        <v/>
      </c>
      <c r="H792" s="5" t="str">
        <f t="shared" si="4"/>
        <v>38, 38, MAGMAR</v>
      </c>
    </row>
    <row r="793" ht="12.75" customHeight="1">
      <c r="A793" s="4" t="s">
        <v>3077</v>
      </c>
      <c r="B793" s="5" t="s">
        <v>3077</v>
      </c>
      <c r="C793" s="1" t="str">
        <f t="shared" si="1"/>
        <v/>
      </c>
      <c r="E793" s="5" t="s">
        <v>3077</v>
      </c>
      <c r="F793" s="6" t="str">
        <f t="shared" si="2"/>
        <v>#N/A</v>
      </c>
      <c r="G793" s="1" t="str">
        <f t="shared" si="3"/>
        <v/>
      </c>
      <c r="H793" s="5" t="str">
        <f t="shared" si="4"/>
        <v>39, 39, RAPIDASH</v>
      </c>
    </row>
    <row r="794" ht="12.75" customHeight="1">
      <c r="A794" s="4" t="s">
        <v>2813</v>
      </c>
      <c r="B794" s="5">
        <v>0.01</v>
      </c>
      <c r="C794" s="1" t="str">
        <f t="shared" si="1"/>
        <v/>
      </c>
      <c r="E794" s="5">
        <v>0.01</v>
      </c>
      <c r="F794" s="6" t="str">
        <f t="shared" si="2"/>
        <v>#N/A</v>
      </c>
      <c r="G794" s="1" t="str">
        <f t="shared" si="3"/>
        <v/>
      </c>
      <c r="H794" s="5">
        <f t="shared" si="4"/>
        <v>0.01</v>
      </c>
    </row>
    <row r="795" ht="12.75" customHeight="1">
      <c r="A795" s="4" t="s">
        <v>3078</v>
      </c>
      <c r="B795" s="5" t="s">
        <v>3078</v>
      </c>
      <c r="C795" s="1" t="str">
        <f t="shared" si="1"/>
        <v/>
      </c>
      <c r="E795" s="5" t="s">
        <v>3078</v>
      </c>
      <c r="F795" s="6" t="str">
        <f t="shared" si="2"/>
        <v>#N/A</v>
      </c>
      <c r="G795" s="1" t="str">
        <f t="shared" si="3"/>
        <v/>
      </c>
      <c r="H795" s="5" t="str">
        <f t="shared" si="4"/>
        <v>40, 40, MAGMAR</v>
      </c>
    </row>
    <row r="796" ht="12.75" customHeight="1">
      <c r="A796" s="4" t="s">
        <v>3079</v>
      </c>
      <c r="B796" s="5" t="s">
        <v>3079</v>
      </c>
      <c r="C796" s="1" t="str">
        <f t="shared" si="1"/>
        <v/>
      </c>
      <c r="E796" s="5" t="s">
        <v>3079</v>
      </c>
      <c r="F796" s="6" t="str">
        <f t="shared" si="2"/>
        <v>#N/A</v>
      </c>
      <c r="G796" s="1" t="str">
        <f t="shared" si="3"/>
        <v/>
      </c>
      <c r="H796" s="5" t="str">
        <f t="shared" si="4"/>
        <v>42, 42, RAPIDASH</v>
      </c>
    </row>
    <row r="797" ht="12.75" customHeight="1">
      <c r="A797" s="4" t="s">
        <v>3000</v>
      </c>
      <c r="B797" s="5" t="s">
        <v>3000</v>
      </c>
      <c r="C797" s="1" t="str">
        <f t="shared" si="1"/>
        <v/>
      </c>
      <c r="E797" s="5" t="s">
        <v>3000</v>
      </c>
      <c r="F797" s="6" t="str">
        <f t="shared" si="2"/>
        <v>#N/A</v>
      </c>
      <c r="G797" s="1" t="str">
        <f t="shared" si="3"/>
        <v/>
      </c>
      <c r="H797" s="5" t="str">
        <f t="shared" si="4"/>
        <v>50, 5, 20, GEODUDE</v>
      </c>
    </row>
    <row r="798" ht="12.75" customHeight="1">
      <c r="A798" s="4" t="s">
        <v>3001</v>
      </c>
      <c r="B798" s="5" t="s">
        <v>3001</v>
      </c>
      <c r="C798" s="1" t="str">
        <f t="shared" si="1"/>
        <v/>
      </c>
      <c r="E798" s="5" t="s">
        <v>3001</v>
      </c>
      <c r="F798" s="6" t="str">
        <f t="shared" si="2"/>
        <v>#N/A</v>
      </c>
      <c r="G798" s="1" t="str">
        <f t="shared" si="3"/>
        <v/>
      </c>
      <c r="H798" s="5" t="str">
        <f t="shared" si="4"/>
        <v>10, 20, GEODUDE</v>
      </c>
    </row>
    <row r="799" ht="12.75" customHeight="1">
      <c r="A799" s="4" t="s">
        <v>3002</v>
      </c>
      <c r="B799" s="5" t="s">
        <v>3002</v>
      </c>
      <c r="C799" s="1" t="str">
        <f t="shared" si="1"/>
        <v/>
      </c>
      <c r="E799" s="5" t="s">
        <v>3002</v>
      </c>
      <c r="F799" s="6" t="str">
        <f t="shared" si="2"/>
        <v>#N/A</v>
      </c>
      <c r="G799" s="1" t="str">
        <f t="shared" si="3"/>
        <v/>
      </c>
      <c r="H799" s="5" t="str">
        <f t="shared" si="4"/>
        <v>15, 30, GEODUDE</v>
      </c>
    </row>
    <row r="800" ht="12.75" customHeight="1">
      <c r="A800" s="4" t="s">
        <v>3003</v>
      </c>
      <c r="B800" s="5" t="s">
        <v>3003</v>
      </c>
      <c r="C800" s="1" t="str">
        <f t="shared" si="1"/>
        <v/>
      </c>
      <c r="E800" s="5" t="s">
        <v>3003</v>
      </c>
      <c r="F800" s="6" t="str">
        <f t="shared" si="2"/>
        <v>#N/A</v>
      </c>
      <c r="G800" s="1" t="str">
        <f t="shared" si="3"/>
        <v/>
      </c>
      <c r="H800" s="5" t="str">
        <f t="shared" si="4"/>
        <v>25, 40, GRAVELER</v>
      </c>
    </row>
    <row r="801" ht="12.75" customHeight="1">
      <c r="A801" s="4" t="s">
        <v>3234</v>
      </c>
      <c r="B801" s="5" t="s">
        <v>3234</v>
      </c>
      <c r="C801" s="1" t="str">
        <f t="shared" si="1"/>
        <v/>
      </c>
      <c r="E801" s="5" t="s">
        <v>3234</v>
      </c>
      <c r="F801" s="6" t="str">
        <f t="shared" si="2"/>
        <v>#N/A</v>
      </c>
      <c r="G801" s="1" t="str">
        <f t="shared" si="3"/>
        <v/>
      </c>
      <c r="H801" s="5" t="str">
        <f t="shared" si="4"/>
        <v>30, 40, GRAVELER</v>
      </c>
    </row>
    <row r="802" ht="12.75" customHeight="1">
      <c r="A802" s="4" t="s">
        <v>2539</v>
      </c>
      <c r="B802" s="5" t="s">
        <v>2539</v>
      </c>
      <c r="C802" s="1">
        <f t="shared" si="1"/>
        <v>1</v>
      </c>
      <c r="E802" s="5" t="s">
        <v>2539</v>
      </c>
      <c r="F802" s="6" t="str">
        <f t="shared" si="2"/>
        <v>#N/A</v>
      </c>
      <c r="G802" s="1" t="str">
        <f t="shared" si="3"/>
        <v/>
      </c>
      <c r="H802" s="5" t="str">
        <f t="shared" si="4"/>
        <v>NEW ROUTE</v>
      </c>
    </row>
    <row r="803" ht="12.75" customHeight="1">
      <c r="A803" s="4" t="s">
        <v>1832</v>
      </c>
      <c r="B803" s="5" t="s">
        <v>1832</v>
      </c>
      <c r="C803" s="1" t="str">
        <f t="shared" si="1"/>
        <v/>
      </c>
      <c r="E803" s="5" t="s">
        <v>1832</v>
      </c>
      <c r="F803" s="6" t="str">
        <f t="shared" si="2"/>
        <v>Mt. Ember Summit Path 1F</v>
      </c>
      <c r="G803" s="1" t="str">
        <f t="shared" si="3"/>
        <v>Mt. Ember Summit Path 1F</v>
      </c>
      <c r="H803" s="5" t="str">
        <f t="shared" si="4"/>
        <v>Mt. Ember Summit Path 1F</v>
      </c>
    </row>
    <row r="804" ht="12.75" customHeight="1">
      <c r="A804" s="4" t="s">
        <v>2799</v>
      </c>
      <c r="B804" s="5">
        <v>0.2</v>
      </c>
      <c r="C804" s="1" t="str">
        <f t="shared" si="1"/>
        <v/>
      </c>
      <c r="E804" s="5">
        <v>0.2</v>
      </c>
      <c r="F804" s="6" t="str">
        <f t="shared" si="2"/>
        <v>#N/A</v>
      </c>
      <c r="G804" s="1" t="str">
        <f t="shared" si="3"/>
        <v/>
      </c>
      <c r="H804" s="5">
        <f t="shared" si="4"/>
        <v>0.2</v>
      </c>
    </row>
    <row r="805" ht="12.75" customHeight="1">
      <c r="A805" s="4" t="s">
        <v>658</v>
      </c>
      <c r="B805" s="5" t="s">
        <v>658</v>
      </c>
      <c r="C805" s="1" t="str">
        <f t="shared" si="1"/>
        <v/>
      </c>
      <c r="E805" s="5" t="s">
        <v>658</v>
      </c>
      <c r="F805" s="6" t="str">
        <f t="shared" si="2"/>
        <v>#N/A</v>
      </c>
      <c r="G805" s="1" t="str">
        <f t="shared" si="3"/>
        <v/>
      </c>
      <c r="H805" s="5" t="str">
        <f t="shared" si="4"/>
        <v>33, 33, GEODUDE</v>
      </c>
    </row>
    <row r="806" ht="12.75" customHeight="1">
      <c r="A806" s="4" t="s">
        <v>3073</v>
      </c>
      <c r="B806" s="5" t="s">
        <v>3073</v>
      </c>
      <c r="C806" s="1" t="str">
        <f t="shared" si="1"/>
        <v/>
      </c>
      <c r="E806" s="5" t="s">
        <v>3073</v>
      </c>
      <c r="F806" s="6" t="str">
        <f t="shared" si="2"/>
        <v>#N/A</v>
      </c>
      <c r="G806" s="1" t="str">
        <f t="shared" si="3"/>
        <v/>
      </c>
      <c r="H806" s="5" t="str">
        <f t="shared" si="4"/>
        <v>35, 35, MACHOP</v>
      </c>
    </row>
    <row r="807" ht="12.75" customHeight="1">
      <c r="A807" s="4" t="s">
        <v>2802</v>
      </c>
      <c r="B807" s="5">
        <v>0.1</v>
      </c>
      <c r="C807" s="1" t="str">
        <f t="shared" si="1"/>
        <v/>
      </c>
      <c r="E807" s="5">
        <v>0.1</v>
      </c>
      <c r="F807" s="6" t="str">
        <f t="shared" si="2"/>
        <v>#N/A</v>
      </c>
      <c r="G807" s="1" t="str">
        <f t="shared" si="3"/>
        <v/>
      </c>
      <c r="H807" s="5">
        <f t="shared" si="4"/>
        <v>0.1</v>
      </c>
    </row>
    <row r="808" ht="12.75" customHeight="1">
      <c r="A808" s="4" t="s">
        <v>3081</v>
      </c>
      <c r="B808" s="5" t="s">
        <v>3081</v>
      </c>
      <c r="C808" s="1" t="str">
        <f t="shared" si="1"/>
        <v/>
      </c>
      <c r="E808" s="5" t="s">
        <v>3081</v>
      </c>
      <c r="F808" s="6" t="str">
        <f t="shared" si="2"/>
        <v>#N/A</v>
      </c>
      <c r="G808" s="1" t="str">
        <f t="shared" si="3"/>
        <v/>
      </c>
      <c r="H808" s="5" t="str">
        <f t="shared" si="4"/>
        <v>29, 29, GEODUDE</v>
      </c>
    </row>
    <row r="809" ht="12.75" customHeight="1">
      <c r="A809" s="4" t="s">
        <v>3082</v>
      </c>
      <c r="B809" s="5" t="s">
        <v>3082</v>
      </c>
      <c r="C809" s="1" t="str">
        <f t="shared" si="1"/>
        <v/>
      </c>
      <c r="E809" s="5" t="s">
        <v>3082</v>
      </c>
      <c r="F809" s="6" t="str">
        <f t="shared" si="2"/>
        <v>#N/A</v>
      </c>
      <c r="G809" s="1" t="str">
        <f t="shared" si="3"/>
        <v/>
      </c>
      <c r="H809" s="5" t="str">
        <f t="shared" si="4"/>
        <v>31, 31, GEODUDE</v>
      </c>
    </row>
    <row r="810" ht="12.75" customHeight="1">
      <c r="A810" s="4" t="s">
        <v>3083</v>
      </c>
      <c r="B810" s="5" t="s">
        <v>3083</v>
      </c>
      <c r="C810" s="1" t="str">
        <f t="shared" si="1"/>
        <v/>
      </c>
      <c r="E810" s="5" t="s">
        <v>3083</v>
      </c>
      <c r="F810" s="6" t="str">
        <f t="shared" si="2"/>
        <v>#N/A</v>
      </c>
      <c r="G810" s="1" t="str">
        <f t="shared" si="3"/>
        <v/>
      </c>
      <c r="H810" s="5" t="str">
        <f t="shared" si="4"/>
        <v>31, 31, MACHOP</v>
      </c>
    </row>
    <row r="811" ht="12.75" customHeight="1">
      <c r="A811" s="4" t="s">
        <v>3084</v>
      </c>
      <c r="B811" s="5" t="s">
        <v>3084</v>
      </c>
      <c r="C811" s="1" t="str">
        <f t="shared" si="1"/>
        <v/>
      </c>
      <c r="E811" s="5" t="s">
        <v>3084</v>
      </c>
      <c r="F811" s="6" t="str">
        <f t="shared" si="2"/>
        <v>#N/A</v>
      </c>
      <c r="G811" s="1" t="str">
        <f t="shared" si="3"/>
        <v/>
      </c>
      <c r="H811" s="5" t="str">
        <f t="shared" si="4"/>
        <v>33, 33, MACHOP</v>
      </c>
    </row>
    <row r="812" ht="12.75" customHeight="1">
      <c r="A812" s="4" t="s">
        <v>2807</v>
      </c>
      <c r="B812" s="5">
        <v>0.05</v>
      </c>
      <c r="C812" s="1" t="str">
        <f t="shared" si="1"/>
        <v/>
      </c>
      <c r="E812" s="5">
        <v>0.05</v>
      </c>
      <c r="F812" s="6" t="str">
        <f t="shared" si="2"/>
        <v>#N/A</v>
      </c>
      <c r="G812" s="1" t="str">
        <f t="shared" si="3"/>
        <v/>
      </c>
      <c r="H812" s="5">
        <f t="shared" si="4"/>
        <v>0.05</v>
      </c>
    </row>
    <row r="813" ht="12.75" customHeight="1">
      <c r="A813" s="4" t="s">
        <v>3085</v>
      </c>
      <c r="B813" s="5" t="s">
        <v>3085</v>
      </c>
      <c r="C813" s="1" t="str">
        <f t="shared" si="1"/>
        <v/>
      </c>
      <c r="E813" s="5" t="s">
        <v>3085</v>
      </c>
      <c r="F813" s="6" t="str">
        <f t="shared" si="2"/>
        <v>#N/A</v>
      </c>
      <c r="G813" s="1" t="str">
        <f t="shared" si="3"/>
        <v/>
      </c>
      <c r="H813" s="5" t="str">
        <f t="shared" si="4"/>
        <v>35, 35, GEODUDE</v>
      </c>
    </row>
    <row r="814" ht="12.75" customHeight="1">
      <c r="A814" s="4" t="s">
        <v>3086</v>
      </c>
      <c r="B814" s="5" t="s">
        <v>3086</v>
      </c>
      <c r="C814" s="1" t="str">
        <f t="shared" si="1"/>
        <v/>
      </c>
      <c r="E814" s="5" t="s">
        <v>3086</v>
      </c>
      <c r="F814" s="6" t="str">
        <f t="shared" si="2"/>
        <v>#N/A</v>
      </c>
      <c r="G814" s="1" t="str">
        <f t="shared" si="3"/>
        <v/>
      </c>
      <c r="H814" s="5" t="str">
        <f t="shared" si="4"/>
        <v>37, 37, MACHOP</v>
      </c>
    </row>
    <row r="815" ht="12.75" customHeight="1">
      <c r="A815" s="4" t="s">
        <v>2810</v>
      </c>
      <c r="B815" s="5">
        <v>0.04</v>
      </c>
      <c r="C815" s="1" t="str">
        <f t="shared" si="1"/>
        <v/>
      </c>
      <c r="E815" s="5">
        <v>0.04</v>
      </c>
      <c r="F815" s="6" t="str">
        <f t="shared" si="2"/>
        <v>#N/A</v>
      </c>
      <c r="G815" s="1" t="str">
        <f t="shared" si="3"/>
        <v/>
      </c>
      <c r="H815" s="5">
        <f t="shared" si="4"/>
        <v>0.04</v>
      </c>
    </row>
    <row r="816" ht="12.75" customHeight="1">
      <c r="A816" s="4" t="s">
        <v>3087</v>
      </c>
      <c r="B816" s="5" t="s">
        <v>3087</v>
      </c>
      <c r="C816" s="1" t="str">
        <f t="shared" si="1"/>
        <v/>
      </c>
      <c r="E816" s="5" t="s">
        <v>3087</v>
      </c>
      <c r="F816" s="6" t="str">
        <f t="shared" si="2"/>
        <v>#N/A</v>
      </c>
      <c r="G816" s="1" t="str">
        <f t="shared" si="3"/>
        <v/>
      </c>
      <c r="H816" s="5" t="str">
        <f t="shared" si="4"/>
        <v>37, 37, GEODUDE</v>
      </c>
    </row>
    <row r="817" ht="12.75" customHeight="1">
      <c r="A817" s="4" t="s">
        <v>3088</v>
      </c>
      <c r="B817" s="5" t="s">
        <v>3088</v>
      </c>
      <c r="C817" s="1" t="str">
        <f t="shared" si="1"/>
        <v/>
      </c>
      <c r="E817" s="5" t="s">
        <v>3088</v>
      </c>
      <c r="F817" s="6" t="str">
        <f t="shared" si="2"/>
        <v>#N/A</v>
      </c>
      <c r="G817" s="1" t="str">
        <f t="shared" si="3"/>
        <v/>
      </c>
      <c r="H817" s="5" t="str">
        <f t="shared" si="4"/>
        <v>39, 39, MACHOP</v>
      </c>
    </row>
    <row r="818" ht="12.75" customHeight="1">
      <c r="A818" s="4" t="s">
        <v>2813</v>
      </c>
      <c r="B818" s="5">
        <v>0.01</v>
      </c>
      <c r="C818" s="1" t="str">
        <f t="shared" si="1"/>
        <v/>
      </c>
      <c r="E818" s="5">
        <v>0.01</v>
      </c>
      <c r="F818" s="6" t="str">
        <f t="shared" si="2"/>
        <v>#N/A</v>
      </c>
      <c r="G818" s="1" t="str">
        <f t="shared" si="3"/>
        <v/>
      </c>
      <c r="H818" s="5">
        <f t="shared" si="4"/>
        <v>0.01</v>
      </c>
    </row>
    <row r="819" ht="12.75" customHeight="1">
      <c r="A819" s="4" t="s">
        <v>3087</v>
      </c>
      <c r="B819" s="5" t="s">
        <v>3087</v>
      </c>
      <c r="C819" s="1" t="str">
        <f t="shared" si="1"/>
        <v/>
      </c>
      <c r="E819" s="5" t="s">
        <v>3087</v>
      </c>
      <c r="F819" s="6" t="str">
        <f t="shared" si="2"/>
        <v>#N/A</v>
      </c>
      <c r="G819" s="1" t="str">
        <f t="shared" si="3"/>
        <v/>
      </c>
      <c r="H819" s="5" t="str">
        <f t="shared" si="4"/>
        <v>37, 37, GEODUDE</v>
      </c>
    </row>
    <row r="820" ht="12.75" customHeight="1">
      <c r="A820" s="4" t="s">
        <v>3088</v>
      </c>
      <c r="B820" s="5" t="s">
        <v>3088</v>
      </c>
      <c r="C820" s="1" t="str">
        <f t="shared" si="1"/>
        <v/>
      </c>
      <c r="E820" s="5" t="s">
        <v>3088</v>
      </c>
      <c r="F820" s="6" t="str">
        <f t="shared" si="2"/>
        <v>#N/A</v>
      </c>
      <c r="G820" s="1" t="str">
        <f t="shared" si="3"/>
        <v/>
      </c>
      <c r="H820" s="5" t="str">
        <f t="shared" si="4"/>
        <v>39, 39, MACHOP</v>
      </c>
    </row>
    <row r="821" ht="12.75" customHeight="1">
      <c r="A821" s="4" t="s">
        <v>2539</v>
      </c>
      <c r="B821" s="5" t="s">
        <v>2539</v>
      </c>
      <c r="C821" s="1">
        <f t="shared" si="1"/>
        <v>1</v>
      </c>
      <c r="E821" s="5" t="s">
        <v>2539</v>
      </c>
      <c r="F821" s="6" t="str">
        <f t="shared" si="2"/>
        <v>#N/A</v>
      </c>
      <c r="G821" s="1" t="str">
        <f t="shared" si="3"/>
        <v/>
      </c>
      <c r="H821" s="5" t="str">
        <f t="shared" si="4"/>
        <v>NEW ROUTE</v>
      </c>
    </row>
    <row r="822" ht="12.75" customHeight="1">
      <c r="A822" s="4" t="s">
        <v>1836</v>
      </c>
      <c r="B822" s="5" t="s">
        <v>1836</v>
      </c>
      <c r="C822" s="1" t="str">
        <f t="shared" si="1"/>
        <v/>
      </c>
      <c r="E822" s="5" t="s">
        <v>1836</v>
      </c>
      <c r="F822" s="6" t="str">
        <f t="shared" si="2"/>
        <v>Mt. Ember Summit Path 2F</v>
      </c>
      <c r="G822" s="1" t="str">
        <f t="shared" si="3"/>
        <v>Mt. Ember Summit Path 2F</v>
      </c>
      <c r="H822" s="5" t="str">
        <f t="shared" si="4"/>
        <v>Mt. Ember Summit Path 2F</v>
      </c>
    </row>
    <row r="823" ht="12.75" customHeight="1">
      <c r="A823" s="4" t="s">
        <v>2799</v>
      </c>
      <c r="B823" s="5">
        <v>0.2</v>
      </c>
      <c r="C823" s="1" t="str">
        <f t="shared" si="1"/>
        <v/>
      </c>
      <c r="E823" s="5">
        <v>0.2</v>
      </c>
      <c r="F823" s="6" t="str">
        <f t="shared" si="2"/>
        <v>#N/A</v>
      </c>
      <c r="G823" s="1" t="str">
        <f t="shared" si="3"/>
        <v/>
      </c>
      <c r="H823" s="5">
        <f t="shared" si="4"/>
        <v>0.2</v>
      </c>
    </row>
    <row r="824" ht="12.75" customHeight="1">
      <c r="A824" s="4" t="s">
        <v>669</v>
      </c>
      <c r="B824" s="5" t="s">
        <v>669</v>
      </c>
      <c r="C824" s="1" t="str">
        <f t="shared" si="1"/>
        <v/>
      </c>
      <c r="E824" s="5" t="s">
        <v>669</v>
      </c>
      <c r="F824" s="6" t="str">
        <f t="shared" si="2"/>
        <v>#N/A</v>
      </c>
      <c r="G824" s="1" t="str">
        <f t="shared" si="3"/>
        <v/>
      </c>
      <c r="H824" s="5" t="str">
        <f t="shared" si="4"/>
        <v>34, 34, GEODUDE</v>
      </c>
    </row>
    <row r="825" ht="12.75" customHeight="1">
      <c r="A825" s="4" t="s">
        <v>3091</v>
      </c>
      <c r="B825" s="5" t="s">
        <v>3091</v>
      </c>
      <c r="C825" s="1" t="str">
        <f t="shared" si="1"/>
        <v/>
      </c>
      <c r="E825" s="5" t="s">
        <v>3091</v>
      </c>
      <c r="F825" s="6" t="str">
        <f t="shared" si="2"/>
        <v>#N/A</v>
      </c>
      <c r="G825" s="1" t="str">
        <f t="shared" si="3"/>
        <v/>
      </c>
      <c r="H825" s="5" t="str">
        <f t="shared" si="4"/>
        <v>36, 36, MACHOP</v>
      </c>
    </row>
    <row r="826" ht="12.75" customHeight="1">
      <c r="A826" s="4" t="s">
        <v>2802</v>
      </c>
      <c r="B826" s="5">
        <v>0.1</v>
      </c>
      <c r="C826" s="1" t="str">
        <f t="shared" si="1"/>
        <v/>
      </c>
      <c r="E826" s="5">
        <v>0.1</v>
      </c>
      <c r="F826" s="6" t="str">
        <f t="shared" si="2"/>
        <v>#N/A</v>
      </c>
      <c r="G826" s="1" t="str">
        <f t="shared" si="3"/>
        <v/>
      </c>
      <c r="H826" s="5">
        <f t="shared" si="4"/>
        <v>0.1</v>
      </c>
    </row>
    <row r="827" ht="12.75" customHeight="1">
      <c r="A827" s="4" t="s">
        <v>3092</v>
      </c>
      <c r="B827" s="5" t="s">
        <v>3092</v>
      </c>
      <c r="C827" s="1" t="str">
        <f t="shared" si="1"/>
        <v/>
      </c>
      <c r="E827" s="5" t="s">
        <v>3092</v>
      </c>
      <c r="F827" s="6" t="str">
        <f t="shared" si="2"/>
        <v>#N/A</v>
      </c>
      <c r="G827" s="1" t="str">
        <f t="shared" si="3"/>
        <v/>
      </c>
      <c r="H827" s="5" t="str">
        <f t="shared" si="4"/>
        <v>30, 30, GEODUDE</v>
      </c>
    </row>
    <row r="828" ht="12.75" customHeight="1">
      <c r="A828" s="4" t="s">
        <v>3093</v>
      </c>
      <c r="B828" s="5" t="s">
        <v>3093</v>
      </c>
      <c r="C828" s="1" t="str">
        <f t="shared" si="1"/>
        <v/>
      </c>
      <c r="E828" s="5" t="s">
        <v>3093</v>
      </c>
      <c r="F828" s="6" t="str">
        <f t="shared" si="2"/>
        <v>#N/A</v>
      </c>
      <c r="G828" s="1" t="str">
        <f t="shared" si="3"/>
        <v/>
      </c>
      <c r="H828" s="5" t="str">
        <f t="shared" si="4"/>
        <v>32, 32, GEODUDE</v>
      </c>
    </row>
    <row r="829" ht="12.75" customHeight="1">
      <c r="A829" s="4" t="s">
        <v>3094</v>
      </c>
      <c r="B829" s="5" t="s">
        <v>3094</v>
      </c>
      <c r="C829" s="1" t="str">
        <f t="shared" si="1"/>
        <v/>
      </c>
      <c r="E829" s="5" t="s">
        <v>3094</v>
      </c>
      <c r="F829" s="6" t="str">
        <f t="shared" si="2"/>
        <v>#N/A</v>
      </c>
      <c r="G829" s="1" t="str">
        <f t="shared" si="3"/>
        <v/>
      </c>
      <c r="H829" s="5" t="str">
        <f t="shared" si="4"/>
        <v>32, 32, MACHOP</v>
      </c>
    </row>
    <row r="830" ht="12.75" customHeight="1">
      <c r="A830" s="4" t="s">
        <v>3095</v>
      </c>
      <c r="B830" s="5" t="s">
        <v>3095</v>
      </c>
      <c r="C830" s="1" t="str">
        <f t="shared" si="1"/>
        <v/>
      </c>
      <c r="E830" s="5" t="s">
        <v>3095</v>
      </c>
      <c r="F830" s="6" t="str">
        <f t="shared" si="2"/>
        <v>#N/A</v>
      </c>
      <c r="G830" s="1" t="str">
        <f t="shared" si="3"/>
        <v/>
      </c>
      <c r="H830" s="5" t="str">
        <f t="shared" si="4"/>
        <v>34, 34, MACHOP</v>
      </c>
    </row>
    <row r="831" ht="12.75" customHeight="1">
      <c r="A831" s="4" t="s">
        <v>2807</v>
      </c>
      <c r="B831" s="5">
        <v>0.05</v>
      </c>
      <c r="C831" s="1" t="str">
        <f t="shared" si="1"/>
        <v/>
      </c>
      <c r="E831" s="5">
        <v>0.05</v>
      </c>
      <c r="F831" s="6" t="str">
        <f t="shared" si="2"/>
        <v>#N/A</v>
      </c>
      <c r="G831" s="1" t="str">
        <f t="shared" si="3"/>
        <v/>
      </c>
      <c r="H831" s="5">
        <f t="shared" si="4"/>
        <v>0.05</v>
      </c>
    </row>
    <row r="832" ht="12.75" customHeight="1">
      <c r="A832" s="4" t="s">
        <v>3096</v>
      </c>
      <c r="B832" s="5" t="s">
        <v>3096</v>
      </c>
      <c r="C832" s="1" t="str">
        <f t="shared" si="1"/>
        <v/>
      </c>
      <c r="E832" s="5" t="s">
        <v>3096</v>
      </c>
      <c r="F832" s="6" t="str">
        <f t="shared" si="2"/>
        <v>#N/A</v>
      </c>
      <c r="G832" s="1" t="str">
        <f t="shared" si="3"/>
        <v/>
      </c>
      <c r="H832" s="5" t="str">
        <f t="shared" si="4"/>
        <v>38, 38, MACHOKE</v>
      </c>
    </row>
    <row r="833" ht="12.75" customHeight="1">
      <c r="A833" s="4" t="s">
        <v>3096</v>
      </c>
      <c r="B833" s="5" t="s">
        <v>3096</v>
      </c>
      <c r="C833" s="1" t="str">
        <f t="shared" si="1"/>
        <v/>
      </c>
      <c r="E833" s="5" t="s">
        <v>3096</v>
      </c>
      <c r="F833" s="6" t="str">
        <f t="shared" si="2"/>
        <v>#N/A</v>
      </c>
      <c r="G833" s="1" t="str">
        <f t="shared" si="3"/>
        <v/>
      </c>
      <c r="H833" s="5" t="str">
        <f t="shared" si="4"/>
        <v>38, 38, MACHOKE</v>
      </c>
    </row>
    <row r="834" ht="12.75" customHeight="1">
      <c r="A834" s="4" t="s">
        <v>2810</v>
      </c>
      <c r="B834" s="5">
        <v>0.04</v>
      </c>
      <c r="C834" s="1" t="str">
        <f t="shared" si="1"/>
        <v/>
      </c>
      <c r="E834" s="5">
        <v>0.04</v>
      </c>
      <c r="F834" s="6" t="str">
        <f t="shared" si="2"/>
        <v>#N/A</v>
      </c>
      <c r="G834" s="1" t="str">
        <f t="shared" si="3"/>
        <v/>
      </c>
      <c r="H834" s="5">
        <f t="shared" si="4"/>
        <v>0.04</v>
      </c>
    </row>
    <row r="835" ht="12.75" customHeight="1">
      <c r="A835" s="4" t="s">
        <v>3097</v>
      </c>
      <c r="B835" s="5" t="s">
        <v>3097</v>
      </c>
      <c r="C835" s="1" t="str">
        <f t="shared" si="1"/>
        <v/>
      </c>
      <c r="E835" s="5" t="s">
        <v>3097</v>
      </c>
      <c r="F835" s="6" t="str">
        <f t="shared" si="2"/>
        <v>#N/A</v>
      </c>
      <c r="G835" s="1" t="str">
        <f t="shared" si="3"/>
        <v/>
      </c>
      <c r="H835" s="5" t="str">
        <f t="shared" si="4"/>
        <v>40, 40, MACHOKE</v>
      </c>
    </row>
    <row r="836" ht="12.75" customHeight="1">
      <c r="A836" s="4" t="s">
        <v>3097</v>
      </c>
      <c r="B836" s="5" t="s">
        <v>3097</v>
      </c>
      <c r="C836" s="1" t="str">
        <f t="shared" si="1"/>
        <v/>
      </c>
      <c r="E836" s="5" t="s">
        <v>3097</v>
      </c>
      <c r="F836" s="6" t="str">
        <f t="shared" si="2"/>
        <v>#N/A</v>
      </c>
      <c r="G836" s="1" t="str">
        <f t="shared" si="3"/>
        <v/>
      </c>
      <c r="H836" s="5" t="str">
        <f t="shared" si="4"/>
        <v>40, 40, MACHOKE</v>
      </c>
    </row>
    <row r="837" ht="12.75" customHeight="1">
      <c r="A837" s="4" t="s">
        <v>2813</v>
      </c>
      <c r="B837" s="5">
        <v>0.01</v>
      </c>
      <c r="C837" s="1" t="str">
        <f t="shared" si="1"/>
        <v/>
      </c>
      <c r="E837" s="5">
        <v>0.01</v>
      </c>
      <c r="F837" s="6" t="str">
        <f t="shared" si="2"/>
        <v>#N/A</v>
      </c>
      <c r="G837" s="1" t="str">
        <f t="shared" si="3"/>
        <v/>
      </c>
      <c r="H837" s="5">
        <f t="shared" si="4"/>
        <v>0.01</v>
      </c>
    </row>
    <row r="838" ht="12.75" customHeight="1">
      <c r="A838" s="4" t="s">
        <v>3097</v>
      </c>
      <c r="B838" s="5" t="s">
        <v>3097</v>
      </c>
      <c r="C838" s="1" t="str">
        <f t="shared" si="1"/>
        <v/>
      </c>
      <c r="E838" s="5" t="s">
        <v>3097</v>
      </c>
      <c r="F838" s="6" t="str">
        <f t="shared" si="2"/>
        <v>#N/A</v>
      </c>
      <c r="G838" s="1" t="str">
        <f t="shared" si="3"/>
        <v/>
      </c>
      <c r="H838" s="5" t="str">
        <f t="shared" si="4"/>
        <v>40, 40, MACHOKE</v>
      </c>
    </row>
    <row r="839" ht="12.75" customHeight="1">
      <c r="A839" s="4" t="s">
        <v>3097</v>
      </c>
      <c r="B839" s="5" t="s">
        <v>3097</v>
      </c>
      <c r="C839" s="1" t="str">
        <f t="shared" si="1"/>
        <v/>
      </c>
      <c r="E839" s="5" t="s">
        <v>3097</v>
      </c>
      <c r="F839" s="6" t="str">
        <f t="shared" si="2"/>
        <v>#N/A</v>
      </c>
      <c r="G839" s="1" t="str">
        <f t="shared" si="3"/>
        <v/>
      </c>
      <c r="H839" s="5" t="str">
        <f t="shared" si="4"/>
        <v>40, 40, MACHOKE</v>
      </c>
    </row>
    <row r="840" ht="12.75" customHeight="1">
      <c r="A840" s="4" t="s">
        <v>3000</v>
      </c>
      <c r="B840" s="5" t="s">
        <v>3000</v>
      </c>
      <c r="C840" s="1" t="str">
        <f t="shared" si="1"/>
        <v/>
      </c>
      <c r="E840" s="5" t="s">
        <v>3000</v>
      </c>
      <c r="F840" s="6" t="str">
        <f t="shared" si="2"/>
        <v>#N/A</v>
      </c>
      <c r="G840" s="1" t="str">
        <f t="shared" si="3"/>
        <v/>
      </c>
      <c r="H840" s="5" t="str">
        <f t="shared" si="4"/>
        <v>50, 5, 20, GEODUDE</v>
      </c>
    </row>
    <row r="841" ht="12.75" customHeight="1">
      <c r="A841" s="4" t="s">
        <v>3001</v>
      </c>
      <c r="B841" s="5" t="s">
        <v>3001</v>
      </c>
      <c r="C841" s="1" t="str">
        <f t="shared" si="1"/>
        <v/>
      </c>
      <c r="E841" s="5" t="s">
        <v>3001</v>
      </c>
      <c r="F841" s="6" t="str">
        <f t="shared" si="2"/>
        <v>#N/A</v>
      </c>
      <c r="G841" s="1" t="str">
        <f t="shared" si="3"/>
        <v/>
      </c>
      <c r="H841" s="5" t="str">
        <f t="shared" si="4"/>
        <v>10, 20, GEODUDE</v>
      </c>
    </row>
    <row r="842" ht="12.75" customHeight="1">
      <c r="A842" s="4" t="s">
        <v>3002</v>
      </c>
      <c r="B842" s="5" t="s">
        <v>3002</v>
      </c>
      <c r="C842" s="1" t="str">
        <f t="shared" si="1"/>
        <v/>
      </c>
      <c r="E842" s="5" t="s">
        <v>3002</v>
      </c>
      <c r="F842" s="6" t="str">
        <f t="shared" si="2"/>
        <v>#N/A</v>
      </c>
      <c r="G842" s="1" t="str">
        <f t="shared" si="3"/>
        <v/>
      </c>
      <c r="H842" s="5" t="str">
        <f t="shared" si="4"/>
        <v>15, 30, GEODUDE</v>
      </c>
    </row>
    <row r="843" ht="12.75" customHeight="1">
      <c r="A843" s="4" t="s">
        <v>3003</v>
      </c>
      <c r="B843" s="5" t="s">
        <v>3003</v>
      </c>
      <c r="C843" s="1" t="str">
        <f t="shared" si="1"/>
        <v/>
      </c>
      <c r="E843" s="5" t="s">
        <v>3003</v>
      </c>
      <c r="F843" s="6" t="str">
        <f t="shared" si="2"/>
        <v>#N/A</v>
      </c>
      <c r="G843" s="1" t="str">
        <f t="shared" si="3"/>
        <v/>
      </c>
      <c r="H843" s="5" t="str">
        <f t="shared" si="4"/>
        <v>25, 40, GRAVELER</v>
      </c>
    </row>
    <row r="844" ht="12.75" customHeight="1">
      <c r="A844" s="4" t="s">
        <v>3234</v>
      </c>
      <c r="B844" s="5" t="s">
        <v>3234</v>
      </c>
      <c r="C844" s="1" t="str">
        <f t="shared" si="1"/>
        <v/>
      </c>
      <c r="E844" s="5" t="s">
        <v>3234</v>
      </c>
      <c r="F844" s="6" t="str">
        <f t="shared" si="2"/>
        <v>#N/A</v>
      </c>
      <c r="G844" s="1" t="str">
        <f t="shared" si="3"/>
        <v/>
      </c>
      <c r="H844" s="5" t="str">
        <f t="shared" si="4"/>
        <v>30, 40, GRAVELER</v>
      </c>
    </row>
    <row r="845" ht="12.75" customHeight="1">
      <c r="A845" s="4" t="s">
        <v>2539</v>
      </c>
      <c r="B845" s="5" t="s">
        <v>2539</v>
      </c>
      <c r="C845" s="1">
        <f t="shared" si="1"/>
        <v>1</v>
      </c>
      <c r="E845" s="5" t="s">
        <v>2539</v>
      </c>
      <c r="F845" s="6" t="str">
        <f t="shared" si="2"/>
        <v>#N/A</v>
      </c>
      <c r="G845" s="1" t="str">
        <f t="shared" si="3"/>
        <v/>
      </c>
      <c r="H845" s="5" t="str">
        <f t="shared" si="4"/>
        <v>NEW ROUTE</v>
      </c>
    </row>
    <row r="846" ht="12.75" customHeight="1">
      <c r="A846" s="4" t="s">
        <v>1840</v>
      </c>
      <c r="B846" s="5" t="s">
        <v>1840</v>
      </c>
      <c r="C846" s="1" t="str">
        <f t="shared" si="1"/>
        <v/>
      </c>
      <c r="E846" s="5" t="s">
        <v>1840</v>
      </c>
      <c r="F846" s="6" t="str">
        <f t="shared" si="2"/>
        <v>Mt. Ember Summit Path 3F</v>
      </c>
      <c r="G846" s="1" t="str">
        <f t="shared" si="3"/>
        <v>Mt. Ember Summit Path 3F</v>
      </c>
      <c r="H846" s="5" t="str">
        <f t="shared" si="4"/>
        <v>Mt. Ember Summit Path 3F</v>
      </c>
    </row>
    <row r="847" ht="12.75" customHeight="1">
      <c r="A847" s="4" t="s">
        <v>2799</v>
      </c>
      <c r="B847" s="5">
        <v>0.2</v>
      </c>
      <c r="C847" s="1" t="str">
        <f t="shared" si="1"/>
        <v/>
      </c>
      <c r="E847" s="5">
        <v>0.2</v>
      </c>
      <c r="F847" s="6" t="str">
        <f t="shared" si="2"/>
        <v>#N/A</v>
      </c>
      <c r="G847" s="1" t="str">
        <f t="shared" si="3"/>
        <v/>
      </c>
      <c r="H847" s="5">
        <f t="shared" si="4"/>
        <v>0.2</v>
      </c>
    </row>
    <row r="848" ht="12.75" customHeight="1">
      <c r="A848" s="4" t="s">
        <v>658</v>
      </c>
      <c r="B848" s="5" t="s">
        <v>658</v>
      </c>
      <c r="C848" s="1" t="str">
        <f t="shared" si="1"/>
        <v/>
      </c>
      <c r="E848" s="5" t="s">
        <v>658</v>
      </c>
      <c r="F848" s="6" t="str">
        <f t="shared" si="2"/>
        <v>#N/A</v>
      </c>
      <c r="G848" s="1" t="str">
        <f t="shared" si="3"/>
        <v/>
      </c>
      <c r="H848" s="5" t="str">
        <f t="shared" si="4"/>
        <v>33, 33, GEODUDE</v>
      </c>
    </row>
    <row r="849" ht="12.75" customHeight="1">
      <c r="A849" s="4" t="s">
        <v>3073</v>
      </c>
      <c r="B849" s="5" t="s">
        <v>3073</v>
      </c>
      <c r="C849" s="1" t="str">
        <f t="shared" si="1"/>
        <v/>
      </c>
      <c r="E849" s="5" t="s">
        <v>3073</v>
      </c>
      <c r="F849" s="6" t="str">
        <f t="shared" si="2"/>
        <v>#N/A</v>
      </c>
      <c r="G849" s="1" t="str">
        <f t="shared" si="3"/>
        <v/>
      </c>
      <c r="H849" s="5" t="str">
        <f t="shared" si="4"/>
        <v>35, 35, MACHOP</v>
      </c>
    </row>
    <row r="850" ht="12.75" customHeight="1">
      <c r="A850" s="4" t="s">
        <v>2802</v>
      </c>
      <c r="B850" s="5">
        <v>0.1</v>
      </c>
      <c r="C850" s="1" t="str">
        <f t="shared" si="1"/>
        <v/>
      </c>
      <c r="E850" s="5">
        <v>0.1</v>
      </c>
      <c r="F850" s="6" t="str">
        <f t="shared" si="2"/>
        <v>#N/A</v>
      </c>
      <c r="G850" s="1" t="str">
        <f t="shared" si="3"/>
        <v/>
      </c>
      <c r="H850" s="5">
        <f t="shared" si="4"/>
        <v>0.1</v>
      </c>
    </row>
    <row r="851" ht="12.75" customHeight="1">
      <c r="A851" s="4" t="s">
        <v>3081</v>
      </c>
      <c r="B851" s="5" t="s">
        <v>3081</v>
      </c>
      <c r="C851" s="1" t="str">
        <f t="shared" si="1"/>
        <v/>
      </c>
      <c r="E851" s="5" t="s">
        <v>3081</v>
      </c>
      <c r="F851" s="6" t="str">
        <f t="shared" si="2"/>
        <v>#N/A</v>
      </c>
      <c r="G851" s="1" t="str">
        <f t="shared" si="3"/>
        <v/>
      </c>
      <c r="H851" s="5" t="str">
        <f t="shared" si="4"/>
        <v>29, 29, GEODUDE</v>
      </c>
    </row>
    <row r="852" ht="12.75" customHeight="1">
      <c r="A852" s="4" t="s">
        <v>3082</v>
      </c>
      <c r="B852" s="5" t="s">
        <v>3082</v>
      </c>
      <c r="C852" s="1" t="str">
        <f t="shared" si="1"/>
        <v/>
      </c>
      <c r="E852" s="5" t="s">
        <v>3082</v>
      </c>
      <c r="F852" s="6" t="str">
        <f t="shared" si="2"/>
        <v>#N/A</v>
      </c>
      <c r="G852" s="1" t="str">
        <f t="shared" si="3"/>
        <v/>
      </c>
      <c r="H852" s="5" t="str">
        <f t="shared" si="4"/>
        <v>31, 31, GEODUDE</v>
      </c>
    </row>
    <row r="853" ht="12.75" customHeight="1">
      <c r="A853" s="4" t="s">
        <v>3083</v>
      </c>
      <c r="B853" s="5" t="s">
        <v>3083</v>
      </c>
      <c r="C853" s="1" t="str">
        <f t="shared" si="1"/>
        <v/>
      </c>
      <c r="E853" s="5" t="s">
        <v>3083</v>
      </c>
      <c r="F853" s="6" t="str">
        <f t="shared" si="2"/>
        <v>#N/A</v>
      </c>
      <c r="G853" s="1" t="str">
        <f t="shared" si="3"/>
        <v/>
      </c>
      <c r="H853" s="5" t="str">
        <f t="shared" si="4"/>
        <v>31, 31, MACHOP</v>
      </c>
    </row>
    <row r="854" ht="12.75" customHeight="1">
      <c r="A854" s="4" t="s">
        <v>3084</v>
      </c>
      <c r="B854" s="5" t="s">
        <v>3084</v>
      </c>
      <c r="C854" s="1" t="str">
        <f t="shared" si="1"/>
        <v/>
      </c>
      <c r="E854" s="5" t="s">
        <v>3084</v>
      </c>
      <c r="F854" s="6" t="str">
        <f t="shared" si="2"/>
        <v>#N/A</v>
      </c>
      <c r="G854" s="1" t="str">
        <f t="shared" si="3"/>
        <v/>
      </c>
      <c r="H854" s="5" t="str">
        <f t="shared" si="4"/>
        <v>33, 33, MACHOP</v>
      </c>
    </row>
    <row r="855" ht="12.75" customHeight="1">
      <c r="A855" s="4" t="s">
        <v>2807</v>
      </c>
      <c r="B855" s="5">
        <v>0.05</v>
      </c>
      <c r="C855" s="1" t="str">
        <f t="shared" si="1"/>
        <v/>
      </c>
      <c r="E855" s="5">
        <v>0.05</v>
      </c>
      <c r="F855" s="6" t="str">
        <f t="shared" si="2"/>
        <v>#N/A</v>
      </c>
      <c r="G855" s="1" t="str">
        <f t="shared" si="3"/>
        <v/>
      </c>
      <c r="H855" s="5">
        <f t="shared" si="4"/>
        <v>0.05</v>
      </c>
    </row>
    <row r="856" ht="12.75" customHeight="1">
      <c r="A856" s="4" t="s">
        <v>3085</v>
      </c>
      <c r="B856" s="5" t="s">
        <v>3085</v>
      </c>
      <c r="C856" s="1" t="str">
        <f t="shared" si="1"/>
        <v/>
      </c>
      <c r="E856" s="5" t="s">
        <v>3085</v>
      </c>
      <c r="F856" s="6" t="str">
        <f t="shared" si="2"/>
        <v>#N/A</v>
      </c>
      <c r="G856" s="1" t="str">
        <f t="shared" si="3"/>
        <v/>
      </c>
      <c r="H856" s="5" t="str">
        <f t="shared" si="4"/>
        <v>35, 35, GEODUDE</v>
      </c>
    </row>
    <row r="857" ht="12.75" customHeight="1">
      <c r="A857" s="4" t="s">
        <v>3086</v>
      </c>
      <c r="B857" s="5" t="s">
        <v>3086</v>
      </c>
      <c r="C857" s="1" t="str">
        <f t="shared" si="1"/>
        <v/>
      </c>
      <c r="E857" s="5" t="s">
        <v>3086</v>
      </c>
      <c r="F857" s="6" t="str">
        <f t="shared" si="2"/>
        <v>#N/A</v>
      </c>
      <c r="G857" s="1" t="str">
        <f t="shared" si="3"/>
        <v/>
      </c>
      <c r="H857" s="5" t="str">
        <f t="shared" si="4"/>
        <v>37, 37, MACHOP</v>
      </c>
    </row>
    <row r="858" ht="12.75" customHeight="1">
      <c r="A858" s="4" t="s">
        <v>2810</v>
      </c>
      <c r="B858" s="5">
        <v>0.04</v>
      </c>
      <c r="C858" s="1" t="str">
        <f t="shared" si="1"/>
        <v/>
      </c>
      <c r="E858" s="5">
        <v>0.04</v>
      </c>
      <c r="F858" s="6" t="str">
        <f t="shared" si="2"/>
        <v>#N/A</v>
      </c>
      <c r="G858" s="1" t="str">
        <f t="shared" si="3"/>
        <v/>
      </c>
      <c r="H858" s="5">
        <f t="shared" si="4"/>
        <v>0.04</v>
      </c>
    </row>
    <row r="859" ht="12.75" customHeight="1">
      <c r="A859" s="4" t="s">
        <v>3087</v>
      </c>
      <c r="B859" s="5" t="s">
        <v>3087</v>
      </c>
      <c r="C859" s="1" t="str">
        <f t="shared" si="1"/>
        <v/>
      </c>
      <c r="E859" s="5" t="s">
        <v>3087</v>
      </c>
      <c r="F859" s="6" t="str">
        <f t="shared" si="2"/>
        <v>#N/A</v>
      </c>
      <c r="G859" s="1" t="str">
        <f t="shared" si="3"/>
        <v/>
      </c>
      <c r="H859" s="5" t="str">
        <f t="shared" si="4"/>
        <v>37, 37, GEODUDE</v>
      </c>
    </row>
    <row r="860" ht="12.75" customHeight="1">
      <c r="A860" s="4" t="s">
        <v>3088</v>
      </c>
      <c r="B860" s="5" t="s">
        <v>3088</v>
      </c>
      <c r="C860" s="1" t="str">
        <f t="shared" si="1"/>
        <v/>
      </c>
      <c r="E860" s="5" t="s">
        <v>3088</v>
      </c>
      <c r="F860" s="6" t="str">
        <f t="shared" si="2"/>
        <v>#N/A</v>
      </c>
      <c r="G860" s="1" t="str">
        <f t="shared" si="3"/>
        <v/>
      </c>
      <c r="H860" s="5" t="str">
        <f t="shared" si="4"/>
        <v>39, 39, MACHOP</v>
      </c>
    </row>
    <row r="861" ht="12.75" customHeight="1">
      <c r="A861" s="4" t="s">
        <v>2813</v>
      </c>
      <c r="B861" s="5">
        <v>0.01</v>
      </c>
      <c r="C861" s="1" t="str">
        <f t="shared" si="1"/>
        <v/>
      </c>
      <c r="E861" s="5">
        <v>0.01</v>
      </c>
      <c r="F861" s="6" t="str">
        <f t="shared" si="2"/>
        <v>#N/A</v>
      </c>
      <c r="G861" s="1" t="str">
        <f t="shared" si="3"/>
        <v/>
      </c>
      <c r="H861" s="5">
        <f t="shared" si="4"/>
        <v>0.01</v>
      </c>
    </row>
    <row r="862" ht="12.75" customHeight="1">
      <c r="A862" s="4" t="s">
        <v>3087</v>
      </c>
      <c r="B862" s="5" t="s">
        <v>3087</v>
      </c>
      <c r="C862" s="1" t="str">
        <f t="shared" si="1"/>
        <v/>
      </c>
      <c r="E862" s="5" t="s">
        <v>3087</v>
      </c>
      <c r="F862" s="6" t="str">
        <f t="shared" si="2"/>
        <v>#N/A</v>
      </c>
      <c r="G862" s="1" t="str">
        <f t="shared" si="3"/>
        <v/>
      </c>
      <c r="H862" s="5" t="str">
        <f t="shared" si="4"/>
        <v>37, 37, GEODUDE</v>
      </c>
    </row>
    <row r="863" ht="12.75" customHeight="1">
      <c r="A863" s="4" t="s">
        <v>3088</v>
      </c>
      <c r="B863" s="5" t="s">
        <v>3088</v>
      </c>
      <c r="C863" s="1" t="str">
        <f t="shared" si="1"/>
        <v/>
      </c>
      <c r="E863" s="5" t="s">
        <v>3088</v>
      </c>
      <c r="F863" s="6" t="str">
        <f t="shared" si="2"/>
        <v>#N/A</v>
      </c>
      <c r="G863" s="1" t="str">
        <f t="shared" si="3"/>
        <v/>
      </c>
      <c r="H863" s="5" t="str">
        <f t="shared" si="4"/>
        <v>39, 39, MACHOP</v>
      </c>
    </row>
    <row r="864" ht="12.75" customHeight="1">
      <c r="A864" s="4" t="s">
        <v>2539</v>
      </c>
      <c r="B864" s="5" t="s">
        <v>2539</v>
      </c>
      <c r="C864" s="1">
        <f t="shared" si="1"/>
        <v>1</v>
      </c>
      <c r="E864" s="5" t="s">
        <v>2539</v>
      </c>
      <c r="F864" s="6" t="str">
        <f t="shared" si="2"/>
        <v>#N/A</v>
      </c>
      <c r="G864" s="1" t="str">
        <f t="shared" si="3"/>
        <v/>
      </c>
      <c r="H864" s="5" t="str">
        <f t="shared" si="4"/>
        <v>NEW ROUTE</v>
      </c>
    </row>
    <row r="865" ht="12.75" customHeight="1">
      <c r="A865" s="4" t="s">
        <v>1855</v>
      </c>
      <c r="B865" s="5" t="s">
        <v>1855</v>
      </c>
      <c r="C865" s="1" t="str">
        <f t="shared" si="1"/>
        <v/>
      </c>
      <c r="E865" s="5" t="s">
        <v>1855</v>
      </c>
      <c r="F865" s="6" t="str">
        <f t="shared" si="2"/>
        <v>Mt. Ember Ruby Path 1F</v>
      </c>
      <c r="G865" s="1" t="str">
        <f t="shared" si="3"/>
        <v>Mt. Ember Ruby Path 1F</v>
      </c>
      <c r="H865" s="5" t="str">
        <f t="shared" si="4"/>
        <v>Mt. Ember Ruby Path 1F</v>
      </c>
    </row>
    <row r="866" ht="12.75" customHeight="1">
      <c r="A866" s="4" t="s">
        <v>2799</v>
      </c>
      <c r="B866" s="5">
        <v>0.2</v>
      </c>
      <c r="C866" s="1" t="str">
        <f t="shared" si="1"/>
        <v/>
      </c>
      <c r="E866" s="5">
        <v>0.2</v>
      </c>
      <c r="F866" s="6" t="str">
        <f t="shared" si="2"/>
        <v>#N/A</v>
      </c>
      <c r="G866" s="1" t="str">
        <f t="shared" si="3"/>
        <v/>
      </c>
      <c r="H866" s="5">
        <f t="shared" si="4"/>
        <v>0.2</v>
      </c>
    </row>
    <row r="867" ht="12.75" customHeight="1">
      <c r="A867" s="4" t="s">
        <v>680</v>
      </c>
      <c r="B867" s="5" t="s">
        <v>680</v>
      </c>
      <c r="C867" s="1" t="str">
        <f t="shared" si="1"/>
        <v/>
      </c>
      <c r="E867" s="5" t="s">
        <v>680</v>
      </c>
      <c r="F867" s="6" t="str">
        <f t="shared" si="2"/>
        <v>#N/A</v>
      </c>
      <c r="G867" s="1" t="str">
        <f t="shared" si="3"/>
        <v/>
      </c>
      <c r="H867" s="5" t="str">
        <f t="shared" si="4"/>
        <v>36, 36, GEODUDE</v>
      </c>
    </row>
    <row r="868" ht="12.75" customHeight="1">
      <c r="A868" s="4" t="s">
        <v>3100</v>
      </c>
      <c r="B868" s="5" t="s">
        <v>3100</v>
      </c>
      <c r="C868" s="1" t="str">
        <f t="shared" si="1"/>
        <v/>
      </c>
      <c r="E868" s="5" t="s">
        <v>3100</v>
      </c>
      <c r="F868" s="6" t="str">
        <f t="shared" si="2"/>
        <v>#N/A</v>
      </c>
      <c r="G868" s="1" t="str">
        <f t="shared" si="3"/>
        <v/>
      </c>
      <c r="H868" s="5" t="str">
        <f t="shared" si="4"/>
        <v>38, 38, MACHOP</v>
      </c>
    </row>
    <row r="869" ht="12.75" customHeight="1">
      <c r="A869" s="4" t="s">
        <v>2802</v>
      </c>
      <c r="B869" s="5">
        <v>0.1</v>
      </c>
      <c r="C869" s="1" t="str">
        <f t="shared" si="1"/>
        <v/>
      </c>
      <c r="E869" s="5">
        <v>0.1</v>
      </c>
      <c r="F869" s="6" t="str">
        <f t="shared" si="2"/>
        <v>#N/A</v>
      </c>
      <c r="G869" s="1" t="str">
        <f t="shared" si="3"/>
        <v/>
      </c>
      <c r="H869" s="5">
        <f t="shared" si="4"/>
        <v>0.1</v>
      </c>
    </row>
    <row r="870" ht="12.75" customHeight="1">
      <c r="A870" s="4" t="s">
        <v>3093</v>
      </c>
      <c r="B870" s="5" t="s">
        <v>3093</v>
      </c>
      <c r="C870" s="1" t="str">
        <f t="shared" si="1"/>
        <v/>
      </c>
      <c r="E870" s="5" t="s">
        <v>3093</v>
      </c>
      <c r="F870" s="6" t="str">
        <f t="shared" si="2"/>
        <v>#N/A</v>
      </c>
      <c r="G870" s="1" t="str">
        <f t="shared" si="3"/>
        <v/>
      </c>
      <c r="H870" s="5" t="str">
        <f t="shared" si="4"/>
        <v>32, 32, GEODUDE</v>
      </c>
    </row>
    <row r="871" ht="12.75" customHeight="1">
      <c r="A871" s="4" t="s">
        <v>669</v>
      </c>
      <c r="B871" s="5" t="s">
        <v>669</v>
      </c>
      <c r="C871" s="1" t="str">
        <f t="shared" si="1"/>
        <v/>
      </c>
      <c r="E871" s="5" t="s">
        <v>669</v>
      </c>
      <c r="F871" s="6" t="str">
        <f t="shared" si="2"/>
        <v>#N/A</v>
      </c>
      <c r="G871" s="1" t="str">
        <f t="shared" si="3"/>
        <v/>
      </c>
      <c r="H871" s="5" t="str">
        <f t="shared" si="4"/>
        <v>34, 34, GEODUDE</v>
      </c>
    </row>
    <row r="872" ht="12.75" customHeight="1">
      <c r="A872" s="4" t="s">
        <v>3095</v>
      </c>
      <c r="B872" s="5" t="s">
        <v>3095</v>
      </c>
      <c r="C872" s="1" t="str">
        <f t="shared" si="1"/>
        <v/>
      </c>
      <c r="E872" s="5" t="s">
        <v>3095</v>
      </c>
      <c r="F872" s="6" t="str">
        <f t="shared" si="2"/>
        <v>#N/A</v>
      </c>
      <c r="G872" s="1" t="str">
        <f t="shared" si="3"/>
        <v/>
      </c>
      <c r="H872" s="5" t="str">
        <f t="shared" si="4"/>
        <v>34, 34, MACHOP</v>
      </c>
    </row>
    <row r="873" ht="12.75" customHeight="1">
      <c r="A873" s="4" t="s">
        <v>3091</v>
      </c>
      <c r="B873" s="5" t="s">
        <v>3091</v>
      </c>
      <c r="C873" s="1" t="str">
        <f t="shared" si="1"/>
        <v/>
      </c>
      <c r="E873" s="5" t="s">
        <v>3091</v>
      </c>
      <c r="F873" s="6" t="str">
        <f t="shared" si="2"/>
        <v>#N/A</v>
      </c>
      <c r="G873" s="1" t="str">
        <f t="shared" si="3"/>
        <v/>
      </c>
      <c r="H873" s="5" t="str">
        <f t="shared" si="4"/>
        <v>36, 36, MACHOP</v>
      </c>
    </row>
    <row r="874" ht="12.75" customHeight="1">
      <c r="A874" s="4" t="s">
        <v>2807</v>
      </c>
      <c r="B874" s="5">
        <v>0.05</v>
      </c>
      <c r="C874" s="1" t="str">
        <f t="shared" si="1"/>
        <v/>
      </c>
      <c r="E874" s="5">
        <v>0.05</v>
      </c>
      <c r="F874" s="6" t="str">
        <f t="shared" si="2"/>
        <v>#N/A</v>
      </c>
      <c r="G874" s="1" t="str">
        <f t="shared" si="3"/>
        <v/>
      </c>
      <c r="H874" s="5">
        <f t="shared" si="4"/>
        <v>0.05</v>
      </c>
    </row>
    <row r="875" ht="12.75" customHeight="1">
      <c r="A875" s="4" t="s">
        <v>692</v>
      </c>
      <c r="B875" s="5" t="s">
        <v>692</v>
      </c>
      <c r="C875" s="1" t="str">
        <f t="shared" si="1"/>
        <v/>
      </c>
      <c r="E875" s="5" t="s">
        <v>692</v>
      </c>
      <c r="F875" s="6" t="str">
        <f t="shared" si="2"/>
        <v>#N/A</v>
      </c>
      <c r="G875" s="1" t="str">
        <f t="shared" si="3"/>
        <v/>
      </c>
      <c r="H875" s="5" t="str">
        <f t="shared" si="4"/>
        <v>38, 38, GEODUDE</v>
      </c>
    </row>
    <row r="876" ht="12.75" customHeight="1">
      <c r="A876" s="4" t="s">
        <v>3097</v>
      </c>
      <c r="B876" s="5" t="s">
        <v>3097</v>
      </c>
      <c r="C876" s="1" t="str">
        <f t="shared" si="1"/>
        <v/>
      </c>
      <c r="E876" s="5" t="s">
        <v>3097</v>
      </c>
      <c r="F876" s="6" t="str">
        <f t="shared" si="2"/>
        <v>#N/A</v>
      </c>
      <c r="G876" s="1" t="str">
        <f t="shared" si="3"/>
        <v/>
      </c>
      <c r="H876" s="5" t="str">
        <f t="shared" si="4"/>
        <v>40, 40, MACHOKE</v>
      </c>
    </row>
    <row r="877" ht="12.75" customHeight="1">
      <c r="A877" s="4" t="s">
        <v>2810</v>
      </c>
      <c r="B877" s="5">
        <v>0.04</v>
      </c>
      <c r="C877" s="1" t="str">
        <f t="shared" si="1"/>
        <v/>
      </c>
      <c r="E877" s="5">
        <v>0.04</v>
      </c>
      <c r="F877" s="6" t="str">
        <f t="shared" si="2"/>
        <v>#N/A</v>
      </c>
      <c r="G877" s="1" t="str">
        <f t="shared" si="3"/>
        <v/>
      </c>
      <c r="H877" s="5">
        <f t="shared" si="4"/>
        <v>0.04</v>
      </c>
    </row>
    <row r="878" ht="12.75" customHeight="1">
      <c r="A878" s="4" t="s">
        <v>701</v>
      </c>
      <c r="B878" s="5" t="s">
        <v>701</v>
      </c>
      <c r="C878" s="1" t="str">
        <f t="shared" si="1"/>
        <v/>
      </c>
      <c r="E878" s="5" t="s">
        <v>701</v>
      </c>
      <c r="F878" s="6" t="str">
        <f t="shared" si="2"/>
        <v>#N/A</v>
      </c>
      <c r="G878" s="1" t="str">
        <f t="shared" si="3"/>
        <v/>
      </c>
      <c r="H878" s="5" t="str">
        <f t="shared" si="4"/>
        <v>40, 40, GEODUDE</v>
      </c>
    </row>
    <row r="879" ht="12.75" customHeight="1">
      <c r="A879" s="4" t="s">
        <v>3101</v>
      </c>
      <c r="B879" s="5" t="s">
        <v>3101</v>
      </c>
      <c r="C879" s="1" t="str">
        <f t="shared" si="1"/>
        <v/>
      </c>
      <c r="E879" s="5" t="s">
        <v>3101</v>
      </c>
      <c r="F879" s="6" t="str">
        <f t="shared" si="2"/>
        <v>#N/A</v>
      </c>
      <c r="G879" s="1" t="str">
        <f t="shared" si="3"/>
        <v/>
      </c>
      <c r="H879" s="5" t="str">
        <f t="shared" si="4"/>
        <v>42, 42, MACHOKE</v>
      </c>
    </row>
    <row r="880" ht="12.75" customHeight="1">
      <c r="A880" s="4" t="s">
        <v>2813</v>
      </c>
      <c r="B880" s="5">
        <v>0.01</v>
      </c>
      <c r="C880" s="1" t="str">
        <f t="shared" si="1"/>
        <v/>
      </c>
      <c r="E880" s="5">
        <v>0.01</v>
      </c>
      <c r="F880" s="6" t="str">
        <f t="shared" si="2"/>
        <v>#N/A</v>
      </c>
      <c r="G880" s="1" t="str">
        <f t="shared" si="3"/>
        <v/>
      </c>
      <c r="H880" s="5">
        <f t="shared" si="4"/>
        <v>0.01</v>
      </c>
    </row>
    <row r="881" ht="12.75" customHeight="1">
      <c r="A881" s="4" t="s">
        <v>701</v>
      </c>
      <c r="B881" s="5" t="s">
        <v>701</v>
      </c>
      <c r="C881" s="1" t="str">
        <f t="shared" si="1"/>
        <v/>
      </c>
      <c r="E881" s="5" t="s">
        <v>701</v>
      </c>
      <c r="F881" s="6" t="str">
        <f t="shared" si="2"/>
        <v>#N/A</v>
      </c>
      <c r="G881" s="1" t="str">
        <f t="shared" si="3"/>
        <v/>
      </c>
      <c r="H881" s="5" t="str">
        <f t="shared" si="4"/>
        <v>40, 40, GEODUDE</v>
      </c>
    </row>
    <row r="882" ht="12.75" customHeight="1">
      <c r="A882" s="4" t="s">
        <v>3101</v>
      </c>
      <c r="B882" s="5" t="s">
        <v>3101</v>
      </c>
      <c r="C882" s="1" t="str">
        <f t="shared" si="1"/>
        <v/>
      </c>
      <c r="E882" s="5" t="s">
        <v>3101</v>
      </c>
      <c r="F882" s="6" t="str">
        <f t="shared" si="2"/>
        <v>#N/A</v>
      </c>
      <c r="G882" s="1" t="str">
        <f t="shared" si="3"/>
        <v/>
      </c>
      <c r="H882" s="5" t="str">
        <f t="shared" si="4"/>
        <v>42, 42, MACHOKE</v>
      </c>
    </row>
    <row r="883" ht="12.75" customHeight="1">
      <c r="A883" s="4" t="s">
        <v>3102</v>
      </c>
      <c r="B883" s="5" t="s">
        <v>3102</v>
      </c>
      <c r="C883" s="1" t="str">
        <f t="shared" si="1"/>
        <v/>
      </c>
      <c r="E883" s="5" t="s">
        <v>3102</v>
      </c>
      <c r="F883" s="6" t="str">
        <f t="shared" si="2"/>
        <v>#N/A</v>
      </c>
      <c r="G883" s="1" t="str">
        <f t="shared" si="3"/>
        <v/>
      </c>
      <c r="H883" s="5" t="str">
        <f t="shared" si="4"/>
        <v>50, 25, 35, GEODUDE</v>
      </c>
    </row>
    <row r="884" ht="12.75" customHeight="1">
      <c r="A884" s="4" t="s">
        <v>3103</v>
      </c>
      <c r="B884" s="5" t="s">
        <v>3103</v>
      </c>
      <c r="C884" s="1" t="str">
        <f t="shared" si="1"/>
        <v/>
      </c>
      <c r="E884" s="5" t="s">
        <v>3103</v>
      </c>
      <c r="F884" s="6" t="str">
        <f t="shared" si="2"/>
        <v>#N/A</v>
      </c>
      <c r="G884" s="1" t="str">
        <f t="shared" si="3"/>
        <v/>
      </c>
      <c r="H884" s="5" t="str">
        <f t="shared" si="4"/>
        <v>30, 45, GRAVELER</v>
      </c>
    </row>
    <row r="885" ht="12.75" customHeight="1">
      <c r="A885" s="4" t="s">
        <v>3104</v>
      </c>
      <c r="B885" s="5" t="s">
        <v>3104</v>
      </c>
      <c r="C885" s="1" t="str">
        <f t="shared" si="1"/>
        <v/>
      </c>
      <c r="E885" s="5" t="s">
        <v>3104</v>
      </c>
      <c r="F885" s="6" t="str">
        <f t="shared" si="2"/>
        <v>#N/A</v>
      </c>
      <c r="G885" s="1" t="str">
        <f t="shared" si="3"/>
        <v/>
      </c>
      <c r="H885" s="5" t="str">
        <f t="shared" si="4"/>
        <v>35, 50, GRAVELER</v>
      </c>
    </row>
    <row r="886" ht="12.75" customHeight="1">
      <c r="A886" s="4" t="s">
        <v>3105</v>
      </c>
      <c r="B886" s="5" t="s">
        <v>3105</v>
      </c>
      <c r="C886" s="1" t="str">
        <f t="shared" si="1"/>
        <v/>
      </c>
      <c r="E886" s="5" t="s">
        <v>3105</v>
      </c>
      <c r="F886" s="6" t="str">
        <f t="shared" si="2"/>
        <v>#N/A</v>
      </c>
      <c r="G886" s="1" t="str">
        <f t="shared" si="3"/>
        <v/>
      </c>
      <c r="H886" s="5" t="str">
        <f t="shared" si="4"/>
        <v>30, 40, GEODUDE</v>
      </c>
    </row>
    <row r="887" ht="12.75" customHeight="1">
      <c r="A887" s="4" t="s">
        <v>3105</v>
      </c>
      <c r="B887" s="5" t="s">
        <v>3105</v>
      </c>
      <c r="C887" s="1" t="str">
        <f t="shared" si="1"/>
        <v/>
      </c>
      <c r="E887" s="5" t="s">
        <v>3105</v>
      </c>
      <c r="F887" s="6" t="str">
        <f t="shared" si="2"/>
        <v>#N/A</v>
      </c>
      <c r="G887" s="1" t="str">
        <f t="shared" si="3"/>
        <v/>
      </c>
      <c r="H887" s="5" t="str">
        <f t="shared" si="4"/>
        <v>30, 40, GEODUDE</v>
      </c>
    </row>
    <row r="888" ht="12.75" customHeight="1">
      <c r="A888" s="4" t="s">
        <v>2539</v>
      </c>
      <c r="B888" s="5" t="s">
        <v>2539</v>
      </c>
      <c r="C888" s="1">
        <f t="shared" si="1"/>
        <v>1</v>
      </c>
      <c r="E888" s="5" t="s">
        <v>2539</v>
      </c>
      <c r="F888" s="6" t="str">
        <f t="shared" si="2"/>
        <v>#N/A</v>
      </c>
      <c r="G888" s="1" t="str">
        <f t="shared" si="3"/>
        <v/>
      </c>
      <c r="H888" s="5" t="str">
        <f t="shared" si="4"/>
        <v>NEW ROUTE</v>
      </c>
    </row>
    <row r="889" ht="12.75" customHeight="1">
      <c r="A889" s="4" t="s">
        <v>1860</v>
      </c>
      <c r="B889" s="5" t="s">
        <v>1860</v>
      </c>
      <c r="C889" s="1" t="str">
        <f t="shared" si="1"/>
        <v/>
      </c>
      <c r="E889" s="5" t="s">
        <v>1860</v>
      </c>
      <c r="F889" s="6" t="str">
        <f t="shared" si="2"/>
        <v>Mt. Ember Ruby Path B1F</v>
      </c>
      <c r="G889" s="1" t="str">
        <f t="shared" si="3"/>
        <v>Mt. Ember Ruby Path B1F</v>
      </c>
      <c r="H889" s="5" t="str">
        <f t="shared" si="4"/>
        <v>Mt. Ember Ruby Path B1F</v>
      </c>
    </row>
    <row r="890" ht="12.75" customHeight="1">
      <c r="A890" s="4" t="s">
        <v>2799</v>
      </c>
      <c r="B890" s="5">
        <v>0.2</v>
      </c>
      <c r="C890" s="1" t="str">
        <f t="shared" si="1"/>
        <v/>
      </c>
      <c r="E890" s="5">
        <v>0.2</v>
      </c>
      <c r="F890" s="6" t="str">
        <f t="shared" si="2"/>
        <v>#N/A</v>
      </c>
      <c r="G890" s="1" t="str">
        <f t="shared" si="3"/>
        <v/>
      </c>
      <c r="H890" s="5">
        <f t="shared" si="4"/>
        <v>0.2</v>
      </c>
    </row>
    <row r="891" ht="12.75" customHeight="1">
      <c r="A891" s="4" t="s">
        <v>692</v>
      </c>
      <c r="B891" s="5" t="s">
        <v>692</v>
      </c>
      <c r="C891" s="1" t="str">
        <f t="shared" si="1"/>
        <v/>
      </c>
      <c r="E891" s="5" t="s">
        <v>692</v>
      </c>
      <c r="F891" s="6" t="str">
        <f t="shared" si="2"/>
        <v>#N/A</v>
      </c>
      <c r="G891" s="1" t="str">
        <f t="shared" si="3"/>
        <v/>
      </c>
      <c r="H891" s="5" t="str">
        <f t="shared" si="4"/>
        <v>38, 38, GEODUDE</v>
      </c>
    </row>
    <row r="892" ht="12.75" customHeight="1">
      <c r="A892" s="4" t="s">
        <v>680</v>
      </c>
      <c r="B892" s="5" t="s">
        <v>680</v>
      </c>
      <c r="C892" s="1" t="str">
        <f t="shared" si="1"/>
        <v/>
      </c>
      <c r="E892" s="5" t="s">
        <v>680</v>
      </c>
      <c r="F892" s="6" t="str">
        <f t="shared" si="2"/>
        <v>#N/A</v>
      </c>
      <c r="G892" s="1" t="str">
        <f t="shared" si="3"/>
        <v/>
      </c>
      <c r="H892" s="5" t="str">
        <f t="shared" si="4"/>
        <v>36, 36, GEODUDE</v>
      </c>
    </row>
    <row r="893" ht="12.75" customHeight="1">
      <c r="A893" s="4" t="s">
        <v>2802</v>
      </c>
      <c r="B893" s="5">
        <v>0.1</v>
      </c>
      <c r="C893" s="1" t="str">
        <f t="shared" si="1"/>
        <v/>
      </c>
      <c r="E893" s="5">
        <v>0.1</v>
      </c>
      <c r="F893" s="6" t="str">
        <f t="shared" si="2"/>
        <v>#N/A</v>
      </c>
      <c r="G893" s="1" t="str">
        <f t="shared" si="3"/>
        <v/>
      </c>
      <c r="H893" s="5">
        <f t="shared" si="4"/>
        <v>0.1</v>
      </c>
    </row>
    <row r="894" ht="12.75" customHeight="1">
      <c r="A894" s="4" t="s">
        <v>669</v>
      </c>
      <c r="B894" s="5" t="s">
        <v>669</v>
      </c>
      <c r="C894" s="1" t="str">
        <f t="shared" si="1"/>
        <v/>
      </c>
      <c r="E894" s="5" t="s">
        <v>669</v>
      </c>
      <c r="F894" s="6" t="str">
        <f t="shared" si="2"/>
        <v>#N/A</v>
      </c>
      <c r="G894" s="1" t="str">
        <f t="shared" si="3"/>
        <v/>
      </c>
      <c r="H894" s="5" t="str">
        <f t="shared" si="4"/>
        <v>34, 34, GEODUDE</v>
      </c>
    </row>
    <row r="895" ht="12.75" customHeight="1">
      <c r="A895" s="4" t="s">
        <v>701</v>
      </c>
      <c r="B895" s="5" t="s">
        <v>701</v>
      </c>
      <c r="C895" s="1" t="str">
        <f t="shared" si="1"/>
        <v/>
      </c>
      <c r="E895" s="5" t="s">
        <v>701</v>
      </c>
      <c r="F895" s="6" t="str">
        <f t="shared" si="2"/>
        <v>#N/A</v>
      </c>
      <c r="G895" s="1" t="str">
        <f t="shared" si="3"/>
        <v/>
      </c>
      <c r="H895" s="5" t="str">
        <f t="shared" si="4"/>
        <v>40, 40, GEODUDE</v>
      </c>
    </row>
    <row r="896" ht="12.75" customHeight="1">
      <c r="A896" s="4" t="s">
        <v>3108</v>
      </c>
      <c r="B896" s="5" t="s">
        <v>3108</v>
      </c>
      <c r="C896" s="1" t="str">
        <f t="shared" si="1"/>
        <v/>
      </c>
      <c r="E896" s="5" t="s">
        <v>3108</v>
      </c>
      <c r="F896" s="6" t="str">
        <f t="shared" si="2"/>
        <v>#N/A</v>
      </c>
      <c r="G896" s="1" t="str">
        <f t="shared" si="3"/>
        <v/>
      </c>
      <c r="H896" s="5" t="str">
        <f t="shared" si="4"/>
        <v>24, 24, SLUGMA</v>
      </c>
    </row>
    <row r="897" ht="12.75" customHeight="1">
      <c r="A897" s="4" t="s">
        <v>707</v>
      </c>
      <c r="B897" s="5" t="s">
        <v>707</v>
      </c>
      <c r="C897" s="1" t="str">
        <f t="shared" si="1"/>
        <v/>
      </c>
      <c r="E897" s="5" t="s">
        <v>707</v>
      </c>
      <c r="F897" s="6" t="str">
        <f t="shared" si="2"/>
        <v>#N/A</v>
      </c>
      <c r="G897" s="1" t="str">
        <f t="shared" si="3"/>
        <v/>
      </c>
      <c r="H897" s="5" t="str">
        <f t="shared" si="4"/>
        <v>26, 26, SLUGMA</v>
      </c>
    </row>
    <row r="898" ht="12.75" customHeight="1">
      <c r="A898" s="4" t="s">
        <v>2807</v>
      </c>
      <c r="B898" s="5">
        <v>0.05</v>
      </c>
      <c r="C898" s="1" t="str">
        <f t="shared" si="1"/>
        <v/>
      </c>
      <c r="E898" s="5">
        <v>0.05</v>
      </c>
      <c r="F898" s="6" t="str">
        <f t="shared" si="2"/>
        <v>#N/A</v>
      </c>
      <c r="G898" s="1" t="str">
        <f t="shared" si="3"/>
        <v/>
      </c>
      <c r="H898" s="5">
        <f t="shared" si="4"/>
        <v>0.05</v>
      </c>
    </row>
    <row r="899" ht="12.75" customHeight="1">
      <c r="A899" s="4" t="s">
        <v>3109</v>
      </c>
      <c r="B899" s="5" t="s">
        <v>3109</v>
      </c>
      <c r="C899" s="1" t="str">
        <f t="shared" si="1"/>
        <v/>
      </c>
      <c r="E899" s="5" t="s">
        <v>3109</v>
      </c>
      <c r="F899" s="6" t="str">
        <f t="shared" si="2"/>
        <v>#N/A</v>
      </c>
      <c r="G899" s="1" t="str">
        <f t="shared" si="3"/>
        <v/>
      </c>
      <c r="H899" s="5" t="str">
        <f t="shared" si="4"/>
        <v>42, 42, GEODUDE</v>
      </c>
    </row>
    <row r="900" ht="12.75" customHeight="1">
      <c r="A900" s="4" t="s">
        <v>3110</v>
      </c>
      <c r="B900" s="5" t="s">
        <v>3110</v>
      </c>
      <c r="C900" s="1" t="str">
        <f t="shared" si="1"/>
        <v/>
      </c>
      <c r="E900" s="5" t="s">
        <v>3110</v>
      </c>
      <c r="F900" s="6" t="str">
        <f t="shared" si="2"/>
        <v>#N/A</v>
      </c>
      <c r="G900" s="1" t="str">
        <f t="shared" si="3"/>
        <v/>
      </c>
      <c r="H900" s="5" t="str">
        <f t="shared" si="4"/>
        <v>28, 28, SLUGMA</v>
      </c>
    </row>
    <row r="901" ht="12.75" customHeight="1">
      <c r="A901" s="4" t="s">
        <v>2810</v>
      </c>
      <c r="B901" s="5">
        <v>0.04</v>
      </c>
      <c r="C901" s="1" t="str">
        <f t="shared" si="1"/>
        <v/>
      </c>
      <c r="E901" s="5">
        <v>0.04</v>
      </c>
      <c r="F901" s="6" t="str">
        <f t="shared" si="2"/>
        <v>#N/A</v>
      </c>
      <c r="G901" s="1" t="str">
        <f t="shared" si="3"/>
        <v/>
      </c>
      <c r="H901" s="5">
        <f t="shared" si="4"/>
        <v>0.04</v>
      </c>
    </row>
    <row r="902" ht="12.75" customHeight="1">
      <c r="A902" s="4" t="s">
        <v>3109</v>
      </c>
      <c r="B902" s="5" t="s">
        <v>3109</v>
      </c>
      <c r="C902" s="1" t="str">
        <f t="shared" si="1"/>
        <v/>
      </c>
      <c r="E902" s="5" t="s">
        <v>3109</v>
      </c>
      <c r="F902" s="6" t="str">
        <f t="shared" si="2"/>
        <v>#N/A</v>
      </c>
      <c r="G902" s="1" t="str">
        <f t="shared" si="3"/>
        <v/>
      </c>
      <c r="H902" s="5" t="str">
        <f t="shared" si="4"/>
        <v>42, 42, GEODUDE</v>
      </c>
    </row>
    <row r="903" ht="12.75" customHeight="1">
      <c r="A903" s="4" t="s">
        <v>3111</v>
      </c>
      <c r="B903" s="5" t="s">
        <v>3111</v>
      </c>
      <c r="C903" s="1" t="str">
        <f t="shared" si="1"/>
        <v/>
      </c>
      <c r="E903" s="5" t="s">
        <v>3111</v>
      </c>
      <c r="F903" s="6" t="str">
        <f t="shared" si="2"/>
        <v>#N/A</v>
      </c>
      <c r="G903" s="1" t="str">
        <f t="shared" si="3"/>
        <v/>
      </c>
      <c r="H903" s="5" t="str">
        <f t="shared" si="4"/>
        <v>30, 30, SLUGMA</v>
      </c>
    </row>
    <row r="904" ht="12.75" customHeight="1">
      <c r="A904" s="4" t="s">
        <v>2813</v>
      </c>
      <c r="B904" s="5">
        <v>0.01</v>
      </c>
      <c r="C904" s="1" t="str">
        <f t="shared" si="1"/>
        <v/>
      </c>
      <c r="E904" s="5">
        <v>0.01</v>
      </c>
      <c r="F904" s="6" t="str">
        <f t="shared" si="2"/>
        <v>#N/A</v>
      </c>
      <c r="G904" s="1" t="str">
        <f t="shared" si="3"/>
        <v/>
      </c>
      <c r="H904" s="5">
        <f t="shared" si="4"/>
        <v>0.01</v>
      </c>
    </row>
    <row r="905" ht="12.75" customHeight="1">
      <c r="A905" s="4" t="s">
        <v>3109</v>
      </c>
      <c r="B905" s="5" t="s">
        <v>3109</v>
      </c>
      <c r="C905" s="1" t="str">
        <f t="shared" si="1"/>
        <v/>
      </c>
      <c r="E905" s="5" t="s">
        <v>3109</v>
      </c>
      <c r="F905" s="6" t="str">
        <f t="shared" si="2"/>
        <v>#N/A</v>
      </c>
      <c r="G905" s="1" t="str">
        <f t="shared" si="3"/>
        <v/>
      </c>
      <c r="H905" s="5" t="str">
        <f t="shared" si="4"/>
        <v>42, 42, GEODUDE</v>
      </c>
    </row>
    <row r="906" ht="12.75" customHeight="1">
      <c r="A906" s="4" t="s">
        <v>3111</v>
      </c>
      <c r="B906" s="5" t="s">
        <v>3111</v>
      </c>
      <c r="C906" s="1" t="str">
        <f t="shared" si="1"/>
        <v/>
      </c>
      <c r="E906" s="5" t="s">
        <v>3111</v>
      </c>
      <c r="F906" s="6" t="str">
        <f t="shared" si="2"/>
        <v>#N/A</v>
      </c>
      <c r="G906" s="1" t="str">
        <f t="shared" si="3"/>
        <v/>
      </c>
      <c r="H906" s="5" t="str">
        <f t="shared" si="4"/>
        <v>30, 30, SLUGMA</v>
      </c>
    </row>
    <row r="907" ht="12.75" customHeight="1">
      <c r="A907" s="4" t="s">
        <v>3102</v>
      </c>
      <c r="B907" s="5" t="s">
        <v>3102</v>
      </c>
      <c r="C907" s="1" t="str">
        <f t="shared" si="1"/>
        <v/>
      </c>
      <c r="E907" s="5" t="s">
        <v>3102</v>
      </c>
      <c r="F907" s="6" t="str">
        <f t="shared" si="2"/>
        <v>#N/A</v>
      </c>
      <c r="G907" s="1" t="str">
        <f t="shared" si="3"/>
        <v/>
      </c>
      <c r="H907" s="5" t="str">
        <f t="shared" si="4"/>
        <v>50, 25, 35, GEODUDE</v>
      </c>
    </row>
    <row r="908" ht="12.75" customHeight="1">
      <c r="A908" s="4" t="s">
        <v>3103</v>
      </c>
      <c r="B908" s="5" t="s">
        <v>3103</v>
      </c>
      <c r="C908" s="1" t="str">
        <f t="shared" si="1"/>
        <v/>
      </c>
      <c r="E908" s="5" t="s">
        <v>3103</v>
      </c>
      <c r="F908" s="6" t="str">
        <f t="shared" si="2"/>
        <v>#N/A</v>
      </c>
      <c r="G908" s="1" t="str">
        <f t="shared" si="3"/>
        <v/>
      </c>
      <c r="H908" s="5" t="str">
        <f t="shared" si="4"/>
        <v>30, 45, GRAVELER</v>
      </c>
    </row>
    <row r="909" ht="12.75" customHeight="1">
      <c r="A909" s="4" t="s">
        <v>3104</v>
      </c>
      <c r="B909" s="5" t="s">
        <v>3104</v>
      </c>
      <c r="C909" s="1" t="str">
        <f t="shared" si="1"/>
        <v/>
      </c>
      <c r="E909" s="5" t="s">
        <v>3104</v>
      </c>
      <c r="F909" s="6" t="str">
        <f t="shared" si="2"/>
        <v>#N/A</v>
      </c>
      <c r="G909" s="1" t="str">
        <f t="shared" si="3"/>
        <v/>
      </c>
      <c r="H909" s="5" t="str">
        <f t="shared" si="4"/>
        <v>35, 50, GRAVELER</v>
      </c>
    </row>
    <row r="910" ht="12.75" customHeight="1">
      <c r="A910" s="4" t="s">
        <v>3105</v>
      </c>
      <c r="B910" s="5" t="s">
        <v>3105</v>
      </c>
      <c r="C910" s="1" t="str">
        <f t="shared" si="1"/>
        <v/>
      </c>
      <c r="E910" s="5" t="s">
        <v>3105</v>
      </c>
      <c r="F910" s="6" t="str">
        <f t="shared" si="2"/>
        <v>#N/A</v>
      </c>
      <c r="G910" s="1" t="str">
        <f t="shared" si="3"/>
        <v/>
      </c>
      <c r="H910" s="5" t="str">
        <f t="shared" si="4"/>
        <v>30, 40, GEODUDE</v>
      </c>
    </row>
    <row r="911" ht="12.75" customHeight="1">
      <c r="A911" s="4" t="s">
        <v>3105</v>
      </c>
      <c r="B911" s="5" t="s">
        <v>3105</v>
      </c>
      <c r="C911" s="1" t="str">
        <f t="shared" si="1"/>
        <v/>
      </c>
      <c r="E911" s="5" t="s">
        <v>3105</v>
      </c>
      <c r="F911" s="6" t="str">
        <f t="shared" si="2"/>
        <v>#N/A</v>
      </c>
      <c r="G911" s="1" t="str">
        <f t="shared" si="3"/>
        <v/>
      </c>
      <c r="H911" s="5" t="str">
        <f t="shared" si="4"/>
        <v>30, 40, GEODUDE</v>
      </c>
    </row>
    <row r="912" ht="12.75" customHeight="1">
      <c r="A912" s="4" t="s">
        <v>2539</v>
      </c>
      <c r="B912" s="5" t="s">
        <v>2539</v>
      </c>
      <c r="C912" s="1">
        <f t="shared" si="1"/>
        <v>1</v>
      </c>
      <c r="E912" s="5" t="s">
        <v>2539</v>
      </c>
      <c r="F912" s="6" t="str">
        <f t="shared" si="2"/>
        <v>#N/A</v>
      </c>
      <c r="G912" s="1" t="str">
        <f t="shared" si="3"/>
        <v/>
      </c>
      <c r="H912" s="5" t="str">
        <f t="shared" si="4"/>
        <v>NEW ROUTE</v>
      </c>
    </row>
    <row r="913" ht="12.75" customHeight="1">
      <c r="A913" s="4" t="s">
        <v>1866</v>
      </c>
      <c r="B913" s="5" t="s">
        <v>1866</v>
      </c>
      <c r="C913" s="1" t="str">
        <f t="shared" si="1"/>
        <v/>
      </c>
      <c r="E913" s="5" t="s">
        <v>1866</v>
      </c>
      <c r="F913" s="6" t="str">
        <f t="shared" si="2"/>
        <v>Mt. Ember Ruby Path B2F</v>
      </c>
      <c r="G913" s="1" t="str">
        <f t="shared" si="3"/>
        <v>Mt. Ember Ruby Path B2F</v>
      </c>
      <c r="H913" s="5" t="str">
        <f t="shared" si="4"/>
        <v>Mt. Ember Ruby Path B2F</v>
      </c>
    </row>
    <row r="914" ht="12.75" customHeight="1">
      <c r="A914" s="4" t="s">
        <v>2799</v>
      </c>
      <c r="B914" s="5">
        <v>0.2</v>
      </c>
      <c r="C914" s="1" t="str">
        <f t="shared" si="1"/>
        <v/>
      </c>
      <c r="E914" s="5">
        <v>0.2</v>
      </c>
      <c r="F914" s="6" t="str">
        <f t="shared" si="2"/>
        <v>#N/A</v>
      </c>
      <c r="G914" s="1" t="str">
        <f t="shared" si="3"/>
        <v/>
      </c>
      <c r="H914" s="5">
        <f t="shared" si="4"/>
        <v>0.2</v>
      </c>
    </row>
    <row r="915" ht="12.75" customHeight="1">
      <c r="A915" s="4" t="s">
        <v>701</v>
      </c>
      <c r="B915" s="5" t="s">
        <v>701</v>
      </c>
      <c r="C915" s="1" t="str">
        <f t="shared" si="1"/>
        <v/>
      </c>
      <c r="E915" s="5" t="s">
        <v>701</v>
      </c>
      <c r="F915" s="6" t="str">
        <f t="shared" si="2"/>
        <v>#N/A</v>
      </c>
      <c r="G915" s="1" t="str">
        <f t="shared" si="3"/>
        <v/>
      </c>
      <c r="H915" s="5" t="str">
        <f t="shared" si="4"/>
        <v>40, 40, GEODUDE</v>
      </c>
    </row>
    <row r="916" ht="12.75" customHeight="1">
      <c r="A916" s="4" t="s">
        <v>707</v>
      </c>
      <c r="B916" s="5" t="s">
        <v>707</v>
      </c>
      <c r="C916" s="1" t="str">
        <f t="shared" si="1"/>
        <v/>
      </c>
      <c r="E916" s="5" t="s">
        <v>707</v>
      </c>
      <c r="F916" s="6" t="str">
        <f t="shared" si="2"/>
        <v>#N/A</v>
      </c>
      <c r="G916" s="1" t="str">
        <f t="shared" si="3"/>
        <v/>
      </c>
      <c r="H916" s="5" t="str">
        <f t="shared" si="4"/>
        <v>26, 26, SLUGMA</v>
      </c>
    </row>
    <row r="917" ht="12.75" customHeight="1">
      <c r="A917" s="4" t="s">
        <v>2802</v>
      </c>
      <c r="B917" s="5">
        <v>0.1</v>
      </c>
      <c r="C917" s="1" t="str">
        <f t="shared" si="1"/>
        <v/>
      </c>
      <c r="E917" s="5">
        <v>0.1</v>
      </c>
      <c r="F917" s="6" t="str">
        <f t="shared" si="2"/>
        <v>#N/A</v>
      </c>
      <c r="G917" s="1" t="str">
        <f t="shared" si="3"/>
        <v/>
      </c>
      <c r="H917" s="5">
        <f t="shared" si="4"/>
        <v>0.1</v>
      </c>
    </row>
    <row r="918" ht="12.75" customHeight="1">
      <c r="A918" s="4" t="s">
        <v>3109</v>
      </c>
      <c r="B918" s="5" t="s">
        <v>3109</v>
      </c>
      <c r="C918" s="1" t="str">
        <f t="shared" si="1"/>
        <v/>
      </c>
      <c r="E918" s="5" t="s">
        <v>3109</v>
      </c>
      <c r="F918" s="6" t="str">
        <f t="shared" si="2"/>
        <v>#N/A</v>
      </c>
      <c r="G918" s="1" t="str">
        <f t="shared" si="3"/>
        <v/>
      </c>
      <c r="H918" s="5" t="str">
        <f t="shared" si="4"/>
        <v>42, 42, GEODUDE</v>
      </c>
    </row>
    <row r="919" ht="12.75" customHeight="1">
      <c r="A919" s="4" t="s">
        <v>3108</v>
      </c>
      <c r="B919" s="5" t="s">
        <v>3108</v>
      </c>
      <c r="C919" s="1" t="str">
        <f t="shared" si="1"/>
        <v/>
      </c>
      <c r="E919" s="5" t="s">
        <v>3108</v>
      </c>
      <c r="F919" s="6" t="str">
        <f t="shared" si="2"/>
        <v>#N/A</v>
      </c>
      <c r="G919" s="1" t="str">
        <f t="shared" si="3"/>
        <v/>
      </c>
      <c r="H919" s="5" t="str">
        <f t="shared" si="4"/>
        <v>24, 24, SLUGMA</v>
      </c>
    </row>
    <row r="920" ht="12.75" customHeight="1">
      <c r="A920" s="4" t="s">
        <v>3110</v>
      </c>
      <c r="B920" s="5" t="s">
        <v>3110</v>
      </c>
      <c r="C920" s="1" t="str">
        <f t="shared" si="1"/>
        <v/>
      </c>
      <c r="E920" s="5" t="s">
        <v>3110</v>
      </c>
      <c r="F920" s="6" t="str">
        <f t="shared" si="2"/>
        <v>#N/A</v>
      </c>
      <c r="G920" s="1" t="str">
        <f t="shared" si="3"/>
        <v/>
      </c>
      <c r="H920" s="5" t="str">
        <f t="shared" si="4"/>
        <v>28, 28, SLUGMA</v>
      </c>
    </row>
    <row r="921" ht="12.75" customHeight="1">
      <c r="A921" s="4" t="s">
        <v>3111</v>
      </c>
      <c r="B921" s="5" t="s">
        <v>3111</v>
      </c>
      <c r="C921" s="1" t="str">
        <f t="shared" si="1"/>
        <v/>
      </c>
      <c r="E921" s="5" t="s">
        <v>3111</v>
      </c>
      <c r="F921" s="6" t="str">
        <f t="shared" si="2"/>
        <v>#N/A</v>
      </c>
      <c r="G921" s="1" t="str">
        <f t="shared" si="3"/>
        <v/>
      </c>
      <c r="H921" s="5" t="str">
        <f t="shared" si="4"/>
        <v>30, 30, SLUGMA</v>
      </c>
    </row>
    <row r="922" ht="12.75" customHeight="1">
      <c r="A922" s="4" t="s">
        <v>2807</v>
      </c>
      <c r="B922" s="5">
        <v>0.05</v>
      </c>
      <c r="C922" s="1" t="str">
        <f t="shared" si="1"/>
        <v/>
      </c>
      <c r="E922" s="5">
        <v>0.05</v>
      </c>
      <c r="F922" s="6" t="str">
        <f t="shared" si="2"/>
        <v>#N/A</v>
      </c>
      <c r="G922" s="1" t="str">
        <f t="shared" si="3"/>
        <v/>
      </c>
      <c r="H922" s="5">
        <f t="shared" si="4"/>
        <v>0.05</v>
      </c>
    </row>
    <row r="923" ht="12.75" customHeight="1">
      <c r="A923" s="4" t="s">
        <v>3113</v>
      </c>
      <c r="B923" s="5" t="s">
        <v>3113</v>
      </c>
      <c r="C923" s="1" t="str">
        <f t="shared" si="1"/>
        <v/>
      </c>
      <c r="E923" s="5" t="s">
        <v>3113</v>
      </c>
      <c r="F923" s="6" t="str">
        <f t="shared" si="2"/>
        <v>#N/A</v>
      </c>
      <c r="G923" s="1" t="str">
        <f t="shared" si="3"/>
        <v/>
      </c>
      <c r="H923" s="5" t="str">
        <f t="shared" si="4"/>
        <v>44, 44, GEODUDE</v>
      </c>
    </row>
    <row r="924" ht="12.75" customHeight="1">
      <c r="A924" s="4" t="s">
        <v>3114</v>
      </c>
      <c r="B924" s="5" t="s">
        <v>3114</v>
      </c>
      <c r="C924" s="1" t="str">
        <f t="shared" si="1"/>
        <v/>
      </c>
      <c r="E924" s="5" t="s">
        <v>3114</v>
      </c>
      <c r="F924" s="6" t="str">
        <f t="shared" si="2"/>
        <v>#N/A</v>
      </c>
      <c r="G924" s="1" t="str">
        <f t="shared" si="3"/>
        <v/>
      </c>
      <c r="H924" s="5" t="str">
        <f t="shared" si="4"/>
        <v>32, 32, SLUGMA</v>
      </c>
    </row>
    <row r="925" ht="12.75" customHeight="1">
      <c r="A925" s="4" t="s">
        <v>2810</v>
      </c>
      <c r="B925" s="5">
        <v>0.04</v>
      </c>
      <c r="C925" s="1" t="str">
        <f t="shared" si="1"/>
        <v/>
      </c>
      <c r="E925" s="5">
        <v>0.04</v>
      </c>
      <c r="F925" s="6" t="str">
        <f t="shared" si="2"/>
        <v>#N/A</v>
      </c>
      <c r="G925" s="1" t="str">
        <f t="shared" si="3"/>
        <v/>
      </c>
      <c r="H925" s="5">
        <f t="shared" si="4"/>
        <v>0.04</v>
      </c>
    </row>
    <row r="926" ht="12.75" customHeight="1">
      <c r="A926" s="4" t="s">
        <v>3113</v>
      </c>
      <c r="B926" s="5" t="s">
        <v>3113</v>
      </c>
      <c r="C926" s="1" t="str">
        <f t="shared" si="1"/>
        <v/>
      </c>
      <c r="E926" s="5" t="s">
        <v>3113</v>
      </c>
      <c r="F926" s="6" t="str">
        <f t="shared" si="2"/>
        <v>#N/A</v>
      </c>
      <c r="G926" s="1" t="str">
        <f t="shared" si="3"/>
        <v/>
      </c>
      <c r="H926" s="5" t="str">
        <f t="shared" si="4"/>
        <v>44, 44, GEODUDE</v>
      </c>
    </row>
    <row r="927" ht="12.75" customHeight="1">
      <c r="A927" s="4" t="s">
        <v>3115</v>
      </c>
      <c r="B927" s="5" t="s">
        <v>3115</v>
      </c>
      <c r="C927" s="1" t="str">
        <f t="shared" si="1"/>
        <v/>
      </c>
      <c r="E927" s="5" t="s">
        <v>3115</v>
      </c>
      <c r="F927" s="6" t="str">
        <f t="shared" si="2"/>
        <v>#N/A</v>
      </c>
      <c r="G927" s="1" t="str">
        <f t="shared" si="3"/>
        <v/>
      </c>
      <c r="H927" s="5" t="str">
        <f t="shared" si="4"/>
        <v>22, 22, SLUGMA</v>
      </c>
    </row>
    <row r="928" ht="12.75" customHeight="1">
      <c r="A928" s="4" t="s">
        <v>2813</v>
      </c>
      <c r="B928" s="5">
        <v>0.01</v>
      </c>
      <c r="C928" s="1" t="str">
        <f t="shared" si="1"/>
        <v/>
      </c>
      <c r="E928" s="5">
        <v>0.01</v>
      </c>
      <c r="F928" s="6" t="str">
        <f t="shared" si="2"/>
        <v>#N/A</v>
      </c>
      <c r="G928" s="1" t="str">
        <f t="shared" si="3"/>
        <v/>
      </c>
      <c r="H928" s="5">
        <f t="shared" si="4"/>
        <v>0.01</v>
      </c>
    </row>
    <row r="929" ht="12.75" customHeight="1">
      <c r="A929" s="4" t="s">
        <v>3113</v>
      </c>
      <c r="B929" s="5" t="s">
        <v>3113</v>
      </c>
      <c r="C929" s="1" t="str">
        <f t="shared" si="1"/>
        <v/>
      </c>
      <c r="E929" s="5" t="s">
        <v>3113</v>
      </c>
      <c r="F929" s="6" t="str">
        <f t="shared" si="2"/>
        <v>#N/A</v>
      </c>
      <c r="G929" s="1" t="str">
        <f t="shared" si="3"/>
        <v/>
      </c>
      <c r="H929" s="5" t="str">
        <f t="shared" si="4"/>
        <v>44, 44, GEODUDE</v>
      </c>
    </row>
    <row r="930" ht="12.75" customHeight="1">
      <c r="A930" s="4" t="s">
        <v>3115</v>
      </c>
      <c r="B930" s="5" t="s">
        <v>3115</v>
      </c>
      <c r="C930" s="1" t="str">
        <f t="shared" si="1"/>
        <v/>
      </c>
      <c r="E930" s="5" t="s">
        <v>3115</v>
      </c>
      <c r="F930" s="6" t="str">
        <f t="shared" si="2"/>
        <v>#N/A</v>
      </c>
      <c r="G930" s="1" t="str">
        <f t="shared" si="3"/>
        <v/>
      </c>
      <c r="H930" s="5" t="str">
        <f t="shared" si="4"/>
        <v>22, 22, SLUGMA</v>
      </c>
    </row>
    <row r="931" ht="12.75" customHeight="1">
      <c r="A931" s="4" t="s">
        <v>3102</v>
      </c>
      <c r="B931" s="5" t="s">
        <v>3102</v>
      </c>
      <c r="C931" s="1" t="str">
        <f t="shared" si="1"/>
        <v/>
      </c>
      <c r="E931" s="5" t="s">
        <v>3102</v>
      </c>
      <c r="F931" s="6" t="str">
        <f t="shared" si="2"/>
        <v>#N/A</v>
      </c>
      <c r="G931" s="1" t="str">
        <f t="shared" si="3"/>
        <v/>
      </c>
      <c r="H931" s="5" t="str">
        <f t="shared" si="4"/>
        <v>50, 25, 35, GEODUDE</v>
      </c>
    </row>
    <row r="932" ht="12.75" customHeight="1">
      <c r="A932" s="4" t="s">
        <v>3103</v>
      </c>
      <c r="B932" s="5" t="s">
        <v>3103</v>
      </c>
      <c r="C932" s="1" t="str">
        <f t="shared" si="1"/>
        <v/>
      </c>
      <c r="E932" s="5" t="s">
        <v>3103</v>
      </c>
      <c r="F932" s="6" t="str">
        <f t="shared" si="2"/>
        <v>#N/A</v>
      </c>
      <c r="G932" s="1" t="str">
        <f t="shared" si="3"/>
        <v/>
      </c>
      <c r="H932" s="5" t="str">
        <f t="shared" si="4"/>
        <v>30, 45, GRAVELER</v>
      </c>
    </row>
    <row r="933" ht="12.75" customHeight="1">
      <c r="A933" s="4" t="s">
        <v>3104</v>
      </c>
      <c r="B933" s="5" t="s">
        <v>3104</v>
      </c>
      <c r="C933" s="1" t="str">
        <f t="shared" si="1"/>
        <v/>
      </c>
      <c r="E933" s="5" t="s">
        <v>3104</v>
      </c>
      <c r="F933" s="6" t="str">
        <f t="shared" si="2"/>
        <v>#N/A</v>
      </c>
      <c r="G933" s="1" t="str">
        <f t="shared" si="3"/>
        <v/>
      </c>
      <c r="H933" s="5" t="str">
        <f t="shared" si="4"/>
        <v>35, 50, GRAVELER</v>
      </c>
    </row>
    <row r="934" ht="12.75" customHeight="1">
      <c r="A934" s="4" t="s">
        <v>3105</v>
      </c>
      <c r="B934" s="5" t="s">
        <v>3105</v>
      </c>
      <c r="C934" s="1" t="str">
        <f t="shared" si="1"/>
        <v/>
      </c>
      <c r="E934" s="5" t="s">
        <v>3105</v>
      </c>
      <c r="F934" s="6" t="str">
        <f t="shared" si="2"/>
        <v>#N/A</v>
      </c>
      <c r="G934" s="1" t="str">
        <f t="shared" si="3"/>
        <v/>
      </c>
      <c r="H934" s="5" t="str">
        <f t="shared" si="4"/>
        <v>30, 40, GEODUDE</v>
      </c>
    </row>
    <row r="935" ht="12.75" customHeight="1">
      <c r="A935" s="4" t="s">
        <v>3105</v>
      </c>
      <c r="B935" s="5" t="s">
        <v>3105</v>
      </c>
      <c r="C935" s="1" t="str">
        <f t="shared" si="1"/>
        <v/>
      </c>
      <c r="E935" s="5" t="s">
        <v>3105</v>
      </c>
      <c r="F935" s="6" t="str">
        <f t="shared" si="2"/>
        <v>#N/A</v>
      </c>
      <c r="G935" s="1" t="str">
        <f t="shared" si="3"/>
        <v/>
      </c>
      <c r="H935" s="5" t="str">
        <f t="shared" si="4"/>
        <v>30, 40, GEODUDE</v>
      </c>
    </row>
    <row r="936" ht="12.75" customHeight="1">
      <c r="A936" s="4" t="s">
        <v>2539</v>
      </c>
      <c r="B936" s="5" t="s">
        <v>2539</v>
      </c>
      <c r="C936" s="1">
        <f t="shared" si="1"/>
        <v>1</v>
      </c>
      <c r="E936" s="5" t="s">
        <v>2539</v>
      </c>
      <c r="F936" s="6" t="str">
        <f t="shared" si="2"/>
        <v>#N/A</v>
      </c>
      <c r="G936" s="1" t="str">
        <f t="shared" si="3"/>
        <v/>
      </c>
      <c r="H936" s="5" t="str">
        <f t="shared" si="4"/>
        <v>NEW ROUTE</v>
      </c>
    </row>
    <row r="937" ht="12.75" customHeight="1">
      <c r="A937" s="4" t="s">
        <v>1872</v>
      </c>
      <c r="B937" s="5" t="s">
        <v>1872</v>
      </c>
      <c r="C937" s="1" t="str">
        <f t="shared" si="1"/>
        <v/>
      </c>
      <c r="E937" s="5" t="s">
        <v>1872</v>
      </c>
      <c r="F937" s="6" t="str">
        <f t="shared" si="2"/>
        <v>Mt. Ember Ruby Path B3F</v>
      </c>
      <c r="G937" s="1" t="str">
        <f t="shared" si="3"/>
        <v>Mt. Ember Ruby Path B3F</v>
      </c>
      <c r="H937" s="5" t="str">
        <f t="shared" si="4"/>
        <v>Mt. Ember Ruby Path B3F</v>
      </c>
    </row>
    <row r="938" ht="12.75" customHeight="1">
      <c r="A938" s="4" t="s">
        <v>2799</v>
      </c>
      <c r="B938" s="5">
        <v>0.2</v>
      </c>
      <c r="C938" s="1" t="str">
        <f t="shared" si="1"/>
        <v/>
      </c>
      <c r="E938" s="5">
        <v>0.2</v>
      </c>
      <c r="F938" s="6" t="str">
        <f t="shared" si="2"/>
        <v>#N/A</v>
      </c>
      <c r="G938" s="1" t="str">
        <f t="shared" si="3"/>
        <v/>
      </c>
      <c r="H938" s="5">
        <f t="shared" si="4"/>
        <v>0.2</v>
      </c>
    </row>
    <row r="939" ht="12.75" customHeight="1">
      <c r="A939" s="4" t="s">
        <v>707</v>
      </c>
      <c r="B939" s="5" t="s">
        <v>707</v>
      </c>
      <c r="C939" s="1" t="str">
        <f t="shared" si="1"/>
        <v/>
      </c>
      <c r="E939" s="5" t="s">
        <v>707</v>
      </c>
      <c r="F939" s="6" t="str">
        <f t="shared" si="2"/>
        <v>#N/A</v>
      </c>
      <c r="G939" s="1" t="str">
        <f t="shared" si="3"/>
        <v/>
      </c>
      <c r="H939" s="5" t="str">
        <f t="shared" si="4"/>
        <v>26, 26, SLUGMA</v>
      </c>
    </row>
    <row r="940" ht="12.75" customHeight="1">
      <c r="A940" s="4" t="s">
        <v>3110</v>
      </c>
      <c r="B940" s="5" t="s">
        <v>3110</v>
      </c>
      <c r="C940" s="1" t="str">
        <f t="shared" si="1"/>
        <v/>
      </c>
      <c r="E940" s="5" t="s">
        <v>3110</v>
      </c>
      <c r="F940" s="6" t="str">
        <f t="shared" si="2"/>
        <v>#N/A</v>
      </c>
      <c r="G940" s="1" t="str">
        <f t="shared" si="3"/>
        <v/>
      </c>
      <c r="H940" s="5" t="str">
        <f t="shared" si="4"/>
        <v>28, 28, SLUGMA</v>
      </c>
    </row>
    <row r="941" ht="12.75" customHeight="1">
      <c r="A941" s="4" t="s">
        <v>2802</v>
      </c>
      <c r="B941" s="5">
        <v>0.1</v>
      </c>
      <c r="C941" s="1" t="str">
        <f t="shared" si="1"/>
        <v/>
      </c>
      <c r="E941" s="5">
        <v>0.1</v>
      </c>
      <c r="F941" s="6" t="str">
        <f t="shared" si="2"/>
        <v>#N/A</v>
      </c>
      <c r="G941" s="1" t="str">
        <f t="shared" si="3"/>
        <v/>
      </c>
      <c r="H941" s="5">
        <f t="shared" si="4"/>
        <v>0.1</v>
      </c>
    </row>
    <row r="942" ht="12.75" customHeight="1">
      <c r="A942" s="4" t="s">
        <v>3111</v>
      </c>
      <c r="B942" s="5" t="s">
        <v>3111</v>
      </c>
      <c r="C942" s="1" t="str">
        <f t="shared" si="1"/>
        <v/>
      </c>
      <c r="E942" s="5" t="s">
        <v>3111</v>
      </c>
      <c r="F942" s="6" t="str">
        <f t="shared" si="2"/>
        <v>#N/A</v>
      </c>
      <c r="G942" s="1" t="str">
        <f t="shared" si="3"/>
        <v/>
      </c>
      <c r="H942" s="5" t="str">
        <f t="shared" si="4"/>
        <v>30, 30, SLUGMA</v>
      </c>
    </row>
    <row r="943" ht="12.75" customHeight="1">
      <c r="A943" s="4" t="s">
        <v>3114</v>
      </c>
      <c r="B943" s="5" t="s">
        <v>3114</v>
      </c>
      <c r="C943" s="1" t="str">
        <f t="shared" si="1"/>
        <v/>
      </c>
      <c r="E943" s="5" t="s">
        <v>3114</v>
      </c>
      <c r="F943" s="6" t="str">
        <f t="shared" si="2"/>
        <v>#N/A</v>
      </c>
      <c r="G943" s="1" t="str">
        <f t="shared" si="3"/>
        <v/>
      </c>
      <c r="H943" s="5" t="str">
        <f t="shared" si="4"/>
        <v>32, 32, SLUGMA</v>
      </c>
    </row>
    <row r="944" ht="12.75" customHeight="1">
      <c r="A944" s="4" t="s">
        <v>3108</v>
      </c>
      <c r="B944" s="5" t="s">
        <v>3108</v>
      </c>
      <c r="C944" s="1" t="str">
        <f t="shared" si="1"/>
        <v/>
      </c>
      <c r="E944" s="5" t="s">
        <v>3108</v>
      </c>
      <c r="F944" s="6" t="str">
        <f t="shared" si="2"/>
        <v>#N/A</v>
      </c>
      <c r="G944" s="1" t="str">
        <f t="shared" si="3"/>
        <v/>
      </c>
      <c r="H944" s="5" t="str">
        <f t="shared" si="4"/>
        <v>24, 24, SLUGMA</v>
      </c>
    </row>
    <row r="945" ht="12.75" customHeight="1">
      <c r="A945" s="4" t="s">
        <v>3115</v>
      </c>
      <c r="B945" s="5" t="s">
        <v>3115</v>
      </c>
      <c r="C945" s="1" t="str">
        <f t="shared" si="1"/>
        <v/>
      </c>
      <c r="E945" s="5" t="s">
        <v>3115</v>
      </c>
      <c r="F945" s="6" t="str">
        <f t="shared" si="2"/>
        <v>#N/A</v>
      </c>
      <c r="G945" s="1" t="str">
        <f t="shared" si="3"/>
        <v/>
      </c>
      <c r="H945" s="5" t="str">
        <f t="shared" si="4"/>
        <v>22, 22, SLUGMA</v>
      </c>
    </row>
    <row r="946" ht="12.75" customHeight="1">
      <c r="A946" s="4" t="s">
        <v>2807</v>
      </c>
      <c r="B946" s="5">
        <v>0.05</v>
      </c>
      <c r="C946" s="1" t="str">
        <f t="shared" si="1"/>
        <v/>
      </c>
      <c r="E946" s="5">
        <v>0.05</v>
      </c>
      <c r="F946" s="6" t="str">
        <f t="shared" si="2"/>
        <v>#N/A</v>
      </c>
      <c r="G946" s="1" t="str">
        <f t="shared" si="3"/>
        <v/>
      </c>
      <c r="H946" s="5">
        <f t="shared" si="4"/>
        <v>0.05</v>
      </c>
    </row>
    <row r="947" ht="12.75" customHeight="1">
      <c r="A947" s="4" t="s">
        <v>3117</v>
      </c>
      <c r="B947" s="5" t="s">
        <v>3117</v>
      </c>
      <c r="C947" s="1" t="str">
        <f t="shared" si="1"/>
        <v/>
      </c>
      <c r="E947" s="5" t="s">
        <v>3117</v>
      </c>
      <c r="F947" s="6" t="str">
        <f t="shared" si="2"/>
        <v>#N/A</v>
      </c>
      <c r="G947" s="1" t="str">
        <f t="shared" si="3"/>
        <v/>
      </c>
      <c r="H947" s="5" t="str">
        <f t="shared" si="4"/>
        <v>20, 20, SLUGMA</v>
      </c>
    </row>
    <row r="948" ht="12.75" customHeight="1">
      <c r="A948" s="4" t="s">
        <v>3118</v>
      </c>
      <c r="B948" s="5" t="s">
        <v>3118</v>
      </c>
      <c r="C948" s="1" t="str">
        <f t="shared" si="1"/>
        <v/>
      </c>
      <c r="E948" s="5" t="s">
        <v>3118</v>
      </c>
      <c r="F948" s="6" t="str">
        <f t="shared" si="2"/>
        <v>#N/A</v>
      </c>
      <c r="G948" s="1" t="str">
        <f t="shared" si="3"/>
        <v/>
      </c>
      <c r="H948" s="5" t="str">
        <f t="shared" si="4"/>
        <v>34, 34, SLUGMA</v>
      </c>
    </row>
    <row r="949" ht="12.75" customHeight="1">
      <c r="A949" s="4" t="s">
        <v>2810</v>
      </c>
      <c r="B949" s="5">
        <v>0.04</v>
      </c>
      <c r="C949" s="1" t="str">
        <f t="shared" si="1"/>
        <v/>
      </c>
      <c r="E949" s="5">
        <v>0.04</v>
      </c>
      <c r="F949" s="6" t="str">
        <f t="shared" si="2"/>
        <v>#N/A</v>
      </c>
      <c r="G949" s="1" t="str">
        <f t="shared" si="3"/>
        <v/>
      </c>
      <c r="H949" s="5">
        <f t="shared" si="4"/>
        <v>0.04</v>
      </c>
    </row>
    <row r="950" ht="12.75" customHeight="1">
      <c r="A950" s="4" t="s">
        <v>3119</v>
      </c>
      <c r="B950" s="5" t="s">
        <v>3119</v>
      </c>
      <c r="C950" s="1" t="str">
        <f t="shared" si="1"/>
        <v/>
      </c>
      <c r="E950" s="5" t="s">
        <v>3119</v>
      </c>
      <c r="F950" s="6" t="str">
        <f t="shared" si="2"/>
        <v>#N/A</v>
      </c>
      <c r="G950" s="1" t="str">
        <f t="shared" si="3"/>
        <v/>
      </c>
      <c r="H950" s="5" t="str">
        <f t="shared" si="4"/>
        <v>36, 36, SLUGMA</v>
      </c>
    </row>
    <row r="951" ht="12.75" customHeight="1">
      <c r="A951" s="4" t="s">
        <v>3120</v>
      </c>
      <c r="B951" s="5" t="s">
        <v>3120</v>
      </c>
      <c r="C951" s="1" t="str">
        <f t="shared" si="1"/>
        <v/>
      </c>
      <c r="E951" s="5" t="s">
        <v>3120</v>
      </c>
      <c r="F951" s="6" t="str">
        <f t="shared" si="2"/>
        <v>#N/A</v>
      </c>
      <c r="G951" s="1" t="str">
        <f t="shared" si="3"/>
        <v/>
      </c>
      <c r="H951" s="5" t="str">
        <f t="shared" si="4"/>
        <v>18, 18, SLUGMA</v>
      </c>
    </row>
    <row r="952" ht="12.75" customHeight="1">
      <c r="A952" s="4" t="s">
        <v>2813</v>
      </c>
      <c r="B952" s="5">
        <v>0.01</v>
      </c>
      <c r="C952" s="1" t="str">
        <f t="shared" si="1"/>
        <v/>
      </c>
      <c r="E952" s="5">
        <v>0.01</v>
      </c>
      <c r="F952" s="6" t="str">
        <f t="shared" si="2"/>
        <v>#N/A</v>
      </c>
      <c r="G952" s="1" t="str">
        <f t="shared" si="3"/>
        <v/>
      </c>
      <c r="H952" s="5">
        <f t="shared" si="4"/>
        <v>0.01</v>
      </c>
    </row>
    <row r="953" ht="12.75" customHeight="1">
      <c r="A953" s="4" t="s">
        <v>3119</v>
      </c>
      <c r="B953" s="5" t="s">
        <v>3119</v>
      </c>
      <c r="C953" s="1" t="str">
        <f t="shared" si="1"/>
        <v/>
      </c>
      <c r="E953" s="5" t="s">
        <v>3119</v>
      </c>
      <c r="F953" s="6" t="str">
        <f t="shared" si="2"/>
        <v>#N/A</v>
      </c>
      <c r="G953" s="1" t="str">
        <f t="shared" si="3"/>
        <v/>
      </c>
      <c r="H953" s="5" t="str">
        <f t="shared" si="4"/>
        <v>36, 36, SLUGMA</v>
      </c>
    </row>
    <row r="954" ht="12.75" customHeight="1">
      <c r="A954" s="4" t="s">
        <v>3120</v>
      </c>
      <c r="B954" s="5" t="s">
        <v>3120</v>
      </c>
      <c r="C954" s="1" t="str">
        <f t="shared" si="1"/>
        <v/>
      </c>
      <c r="E954" s="5" t="s">
        <v>3120</v>
      </c>
      <c r="F954" s="6" t="str">
        <f t="shared" si="2"/>
        <v>#N/A</v>
      </c>
      <c r="G954" s="1" t="str">
        <f t="shared" si="3"/>
        <v/>
      </c>
      <c r="H954" s="5" t="str">
        <f t="shared" si="4"/>
        <v>18, 18, SLUGMA</v>
      </c>
    </row>
    <row r="955" ht="12.75" customHeight="1">
      <c r="A955" s="4" t="s">
        <v>3121</v>
      </c>
      <c r="B955" s="5" t="s">
        <v>3121</v>
      </c>
      <c r="C955" s="1" t="str">
        <f t="shared" si="1"/>
        <v/>
      </c>
      <c r="E955" s="5" t="s">
        <v>3121</v>
      </c>
      <c r="F955" s="6" t="str">
        <f t="shared" si="2"/>
        <v>#N/A</v>
      </c>
      <c r="G955" s="1" t="str">
        <f t="shared" si="3"/>
        <v/>
      </c>
      <c r="H955" s="5" t="str">
        <f t="shared" si="4"/>
        <v>50, 15, 25, SLUGMA</v>
      </c>
    </row>
    <row r="956" ht="12.75" customHeight="1">
      <c r="A956" s="4" t="s">
        <v>3122</v>
      </c>
      <c r="B956" s="5" t="s">
        <v>3122</v>
      </c>
      <c r="C956" s="1" t="str">
        <f t="shared" si="1"/>
        <v/>
      </c>
      <c r="E956" s="5" t="s">
        <v>3122</v>
      </c>
      <c r="F956" s="6" t="str">
        <f t="shared" si="2"/>
        <v>#N/A</v>
      </c>
      <c r="G956" s="1" t="str">
        <f t="shared" si="3"/>
        <v/>
      </c>
      <c r="H956" s="5" t="str">
        <f t="shared" si="4"/>
        <v>25, 35, SLUGMA</v>
      </c>
    </row>
    <row r="957" ht="12.75" customHeight="1">
      <c r="A957" s="4" t="s">
        <v>3123</v>
      </c>
      <c r="B957" s="5" t="s">
        <v>3123</v>
      </c>
      <c r="C957" s="1" t="str">
        <f t="shared" si="1"/>
        <v/>
      </c>
      <c r="E957" s="5" t="s">
        <v>3123</v>
      </c>
      <c r="F957" s="6" t="str">
        <f t="shared" si="2"/>
        <v>#N/A</v>
      </c>
      <c r="G957" s="1" t="str">
        <f t="shared" si="3"/>
        <v/>
      </c>
      <c r="H957" s="5" t="str">
        <f t="shared" si="4"/>
        <v>40, 45, MAGCARGO</v>
      </c>
    </row>
    <row r="958" ht="12.75" customHeight="1">
      <c r="A958" s="4" t="s">
        <v>3124</v>
      </c>
      <c r="B958" s="5" t="s">
        <v>3124</v>
      </c>
      <c r="C958" s="1" t="str">
        <f t="shared" si="1"/>
        <v/>
      </c>
      <c r="E958" s="5" t="s">
        <v>3124</v>
      </c>
      <c r="F958" s="6" t="str">
        <f t="shared" si="2"/>
        <v>#N/A</v>
      </c>
      <c r="G958" s="1" t="str">
        <f t="shared" si="3"/>
        <v/>
      </c>
      <c r="H958" s="5" t="str">
        <f t="shared" si="4"/>
        <v>35, 45, MAGCARGO</v>
      </c>
    </row>
    <row r="959" ht="12.75" customHeight="1">
      <c r="A959" s="4" t="s">
        <v>3720</v>
      </c>
      <c r="B959" s="5" t="s">
        <v>3720</v>
      </c>
      <c r="C959" s="1" t="str">
        <f t="shared" si="1"/>
        <v/>
      </c>
      <c r="E959" s="5" t="s">
        <v>3720</v>
      </c>
      <c r="F959" s="6" t="str">
        <f t="shared" si="2"/>
        <v>#N/A</v>
      </c>
      <c r="G959" s="1" t="str">
        <f t="shared" si="3"/>
        <v/>
      </c>
      <c r="H959" s="5" t="str">
        <f t="shared" si="4"/>
        <v>25, 35, MAGCARGO</v>
      </c>
    </row>
    <row r="960" ht="12.75" customHeight="1">
      <c r="A960" s="4" t="s">
        <v>2539</v>
      </c>
      <c r="B960" s="5" t="s">
        <v>2539</v>
      </c>
      <c r="C960" s="1">
        <f t="shared" si="1"/>
        <v>1</v>
      </c>
      <c r="E960" s="5" t="s">
        <v>2539</v>
      </c>
      <c r="F960" s="6" t="str">
        <f t="shared" si="2"/>
        <v>#N/A</v>
      </c>
      <c r="G960" s="1" t="str">
        <f t="shared" si="3"/>
        <v/>
      </c>
      <c r="H960" s="5" t="str">
        <f t="shared" si="4"/>
        <v>NEW ROUTE</v>
      </c>
    </row>
    <row r="961" ht="12.75" customHeight="1">
      <c r="A961" s="4" t="s">
        <v>1878</v>
      </c>
      <c r="B961" s="5" t="s">
        <v>1878</v>
      </c>
      <c r="C961" s="1" t="str">
        <f t="shared" si="1"/>
        <v/>
      </c>
      <c r="E961" s="5" t="s">
        <v>1878</v>
      </c>
      <c r="F961" s="6" t="str">
        <f t="shared" si="2"/>
        <v>Mt. Ember Ruby Path B1F Stairs</v>
      </c>
      <c r="G961" s="1" t="str">
        <f t="shared" si="3"/>
        <v>Mt. Ember Ruby Path B1F Stairs</v>
      </c>
      <c r="H961" s="5" t="str">
        <f t="shared" si="4"/>
        <v>Mt. Ember Ruby Path B1F Stairs</v>
      </c>
    </row>
    <row r="962" ht="12.75" customHeight="1">
      <c r="A962" s="4" t="s">
        <v>2799</v>
      </c>
      <c r="B962" s="5">
        <v>0.2</v>
      </c>
      <c r="C962" s="1" t="str">
        <f t="shared" si="1"/>
        <v/>
      </c>
      <c r="E962" s="5">
        <v>0.2</v>
      </c>
      <c r="F962" s="6" t="str">
        <f t="shared" si="2"/>
        <v>#N/A</v>
      </c>
      <c r="G962" s="1" t="str">
        <f t="shared" si="3"/>
        <v/>
      </c>
      <c r="H962" s="5">
        <f t="shared" si="4"/>
        <v>0.2</v>
      </c>
    </row>
    <row r="963" ht="12.75" customHeight="1">
      <c r="A963" s="4" t="s">
        <v>701</v>
      </c>
      <c r="B963" s="5" t="s">
        <v>701</v>
      </c>
      <c r="C963" s="1" t="str">
        <f t="shared" si="1"/>
        <v/>
      </c>
      <c r="E963" s="5" t="s">
        <v>701</v>
      </c>
      <c r="F963" s="6" t="str">
        <f t="shared" si="2"/>
        <v>#N/A</v>
      </c>
      <c r="G963" s="1" t="str">
        <f t="shared" si="3"/>
        <v/>
      </c>
      <c r="H963" s="5" t="str">
        <f t="shared" si="4"/>
        <v>40, 40, GEODUDE</v>
      </c>
    </row>
    <row r="964" ht="12.75" customHeight="1">
      <c r="A964" s="4" t="s">
        <v>707</v>
      </c>
      <c r="B964" s="5" t="s">
        <v>707</v>
      </c>
      <c r="C964" s="1" t="str">
        <f t="shared" si="1"/>
        <v/>
      </c>
      <c r="E964" s="5" t="s">
        <v>707</v>
      </c>
      <c r="F964" s="6" t="str">
        <f t="shared" si="2"/>
        <v>#N/A</v>
      </c>
      <c r="G964" s="1" t="str">
        <f t="shared" si="3"/>
        <v/>
      </c>
      <c r="H964" s="5" t="str">
        <f t="shared" si="4"/>
        <v>26, 26, SLUGMA</v>
      </c>
    </row>
    <row r="965" ht="12.75" customHeight="1">
      <c r="A965" s="4" t="s">
        <v>2802</v>
      </c>
      <c r="B965" s="5">
        <v>0.1</v>
      </c>
      <c r="C965" s="1" t="str">
        <f t="shared" si="1"/>
        <v/>
      </c>
      <c r="E965" s="5">
        <v>0.1</v>
      </c>
      <c r="F965" s="6" t="str">
        <f t="shared" si="2"/>
        <v>#N/A</v>
      </c>
      <c r="G965" s="1" t="str">
        <f t="shared" si="3"/>
        <v/>
      </c>
      <c r="H965" s="5">
        <f t="shared" si="4"/>
        <v>0.1</v>
      </c>
    </row>
    <row r="966" ht="12.75" customHeight="1">
      <c r="A966" s="4" t="s">
        <v>3109</v>
      </c>
      <c r="B966" s="5" t="s">
        <v>3109</v>
      </c>
      <c r="C966" s="1" t="str">
        <f t="shared" si="1"/>
        <v/>
      </c>
      <c r="E966" s="5" t="s">
        <v>3109</v>
      </c>
      <c r="F966" s="6" t="str">
        <f t="shared" si="2"/>
        <v>#N/A</v>
      </c>
      <c r="G966" s="1" t="str">
        <f t="shared" si="3"/>
        <v/>
      </c>
      <c r="H966" s="5" t="str">
        <f t="shared" si="4"/>
        <v>42, 42, GEODUDE</v>
      </c>
    </row>
    <row r="967" ht="12.75" customHeight="1">
      <c r="A967" s="4" t="s">
        <v>3108</v>
      </c>
      <c r="B967" s="5" t="s">
        <v>3108</v>
      </c>
      <c r="C967" s="1" t="str">
        <f t="shared" si="1"/>
        <v/>
      </c>
      <c r="E967" s="5" t="s">
        <v>3108</v>
      </c>
      <c r="F967" s="6" t="str">
        <f t="shared" si="2"/>
        <v>#N/A</v>
      </c>
      <c r="G967" s="1" t="str">
        <f t="shared" si="3"/>
        <v/>
      </c>
      <c r="H967" s="5" t="str">
        <f t="shared" si="4"/>
        <v>24, 24, SLUGMA</v>
      </c>
    </row>
    <row r="968" ht="12.75" customHeight="1">
      <c r="A968" s="4" t="s">
        <v>3110</v>
      </c>
      <c r="B968" s="5" t="s">
        <v>3110</v>
      </c>
      <c r="C968" s="1" t="str">
        <f t="shared" si="1"/>
        <v/>
      </c>
      <c r="E968" s="5" t="s">
        <v>3110</v>
      </c>
      <c r="F968" s="6" t="str">
        <f t="shared" si="2"/>
        <v>#N/A</v>
      </c>
      <c r="G968" s="1" t="str">
        <f t="shared" si="3"/>
        <v/>
      </c>
      <c r="H968" s="5" t="str">
        <f t="shared" si="4"/>
        <v>28, 28, SLUGMA</v>
      </c>
    </row>
    <row r="969" ht="12.75" customHeight="1">
      <c r="A969" s="4" t="s">
        <v>3111</v>
      </c>
      <c r="B969" s="5" t="s">
        <v>3111</v>
      </c>
      <c r="C969" s="1" t="str">
        <f t="shared" si="1"/>
        <v/>
      </c>
      <c r="E969" s="5" t="s">
        <v>3111</v>
      </c>
      <c r="F969" s="6" t="str">
        <f t="shared" si="2"/>
        <v>#N/A</v>
      </c>
      <c r="G969" s="1" t="str">
        <f t="shared" si="3"/>
        <v/>
      </c>
      <c r="H969" s="5" t="str">
        <f t="shared" si="4"/>
        <v>30, 30, SLUGMA</v>
      </c>
    </row>
    <row r="970" ht="12.75" customHeight="1">
      <c r="A970" s="4" t="s">
        <v>2807</v>
      </c>
      <c r="B970" s="5">
        <v>0.05</v>
      </c>
      <c r="C970" s="1" t="str">
        <f t="shared" si="1"/>
        <v/>
      </c>
      <c r="E970" s="5">
        <v>0.05</v>
      </c>
      <c r="F970" s="6" t="str">
        <f t="shared" si="2"/>
        <v>#N/A</v>
      </c>
      <c r="G970" s="1" t="str">
        <f t="shared" si="3"/>
        <v/>
      </c>
      <c r="H970" s="5">
        <f t="shared" si="4"/>
        <v>0.05</v>
      </c>
    </row>
    <row r="971" ht="12.75" customHeight="1">
      <c r="A971" s="4" t="s">
        <v>3113</v>
      </c>
      <c r="B971" s="5" t="s">
        <v>3113</v>
      </c>
      <c r="C971" s="1" t="str">
        <f t="shared" si="1"/>
        <v/>
      </c>
      <c r="E971" s="5" t="s">
        <v>3113</v>
      </c>
      <c r="F971" s="6" t="str">
        <f t="shared" si="2"/>
        <v>#N/A</v>
      </c>
      <c r="G971" s="1" t="str">
        <f t="shared" si="3"/>
        <v/>
      </c>
      <c r="H971" s="5" t="str">
        <f t="shared" si="4"/>
        <v>44, 44, GEODUDE</v>
      </c>
    </row>
    <row r="972" ht="12.75" customHeight="1">
      <c r="A972" s="4" t="s">
        <v>3114</v>
      </c>
      <c r="B972" s="5" t="s">
        <v>3114</v>
      </c>
      <c r="C972" s="1" t="str">
        <f t="shared" si="1"/>
        <v/>
      </c>
      <c r="E972" s="5" t="s">
        <v>3114</v>
      </c>
      <c r="F972" s="6" t="str">
        <f t="shared" si="2"/>
        <v>#N/A</v>
      </c>
      <c r="G972" s="1" t="str">
        <f t="shared" si="3"/>
        <v/>
      </c>
      <c r="H972" s="5" t="str">
        <f t="shared" si="4"/>
        <v>32, 32, SLUGMA</v>
      </c>
    </row>
    <row r="973" ht="12.75" customHeight="1">
      <c r="A973" s="4" t="s">
        <v>2810</v>
      </c>
      <c r="B973" s="5">
        <v>0.04</v>
      </c>
      <c r="C973" s="1" t="str">
        <f t="shared" si="1"/>
        <v/>
      </c>
      <c r="E973" s="5">
        <v>0.04</v>
      </c>
      <c r="F973" s="6" t="str">
        <f t="shared" si="2"/>
        <v>#N/A</v>
      </c>
      <c r="G973" s="1" t="str">
        <f t="shared" si="3"/>
        <v/>
      </c>
      <c r="H973" s="5">
        <f t="shared" si="4"/>
        <v>0.04</v>
      </c>
    </row>
    <row r="974" ht="12.75" customHeight="1">
      <c r="A974" s="4" t="s">
        <v>3113</v>
      </c>
      <c r="B974" s="5" t="s">
        <v>3113</v>
      </c>
      <c r="C974" s="1" t="str">
        <f t="shared" si="1"/>
        <v/>
      </c>
      <c r="E974" s="5" t="s">
        <v>3113</v>
      </c>
      <c r="F974" s="6" t="str">
        <f t="shared" si="2"/>
        <v>#N/A</v>
      </c>
      <c r="G974" s="1" t="str">
        <f t="shared" si="3"/>
        <v/>
      </c>
      <c r="H974" s="5" t="str">
        <f t="shared" si="4"/>
        <v>44, 44, GEODUDE</v>
      </c>
    </row>
    <row r="975" ht="12.75" customHeight="1">
      <c r="A975" s="4" t="s">
        <v>3115</v>
      </c>
      <c r="B975" s="5" t="s">
        <v>3115</v>
      </c>
      <c r="C975" s="1" t="str">
        <f t="shared" si="1"/>
        <v/>
      </c>
      <c r="E975" s="5" t="s">
        <v>3115</v>
      </c>
      <c r="F975" s="6" t="str">
        <f t="shared" si="2"/>
        <v>#N/A</v>
      </c>
      <c r="G975" s="1" t="str">
        <f t="shared" si="3"/>
        <v/>
      </c>
      <c r="H975" s="5" t="str">
        <f t="shared" si="4"/>
        <v>22, 22, SLUGMA</v>
      </c>
    </row>
    <row r="976" ht="12.75" customHeight="1">
      <c r="A976" s="4" t="s">
        <v>2813</v>
      </c>
      <c r="B976" s="5">
        <v>0.01</v>
      </c>
      <c r="C976" s="1" t="str">
        <f t="shared" si="1"/>
        <v/>
      </c>
      <c r="E976" s="5">
        <v>0.01</v>
      </c>
      <c r="F976" s="6" t="str">
        <f t="shared" si="2"/>
        <v>#N/A</v>
      </c>
      <c r="G976" s="1" t="str">
        <f t="shared" si="3"/>
        <v/>
      </c>
      <c r="H976" s="5">
        <f t="shared" si="4"/>
        <v>0.01</v>
      </c>
    </row>
    <row r="977" ht="12.75" customHeight="1">
      <c r="A977" s="4" t="s">
        <v>3113</v>
      </c>
      <c r="B977" s="5" t="s">
        <v>3113</v>
      </c>
      <c r="C977" s="1" t="str">
        <f t="shared" si="1"/>
        <v/>
      </c>
      <c r="E977" s="5" t="s">
        <v>3113</v>
      </c>
      <c r="F977" s="6" t="str">
        <f t="shared" si="2"/>
        <v>#N/A</v>
      </c>
      <c r="G977" s="1" t="str">
        <f t="shared" si="3"/>
        <v/>
      </c>
      <c r="H977" s="5" t="str">
        <f t="shared" si="4"/>
        <v>44, 44, GEODUDE</v>
      </c>
    </row>
    <row r="978" ht="12.75" customHeight="1">
      <c r="A978" s="4" t="s">
        <v>3115</v>
      </c>
      <c r="B978" s="5" t="s">
        <v>3115</v>
      </c>
      <c r="C978" s="1" t="str">
        <f t="shared" si="1"/>
        <v/>
      </c>
      <c r="E978" s="5" t="s">
        <v>3115</v>
      </c>
      <c r="F978" s="6" t="str">
        <f t="shared" si="2"/>
        <v>#N/A</v>
      </c>
      <c r="G978" s="1" t="str">
        <f t="shared" si="3"/>
        <v/>
      </c>
      <c r="H978" s="5" t="str">
        <f t="shared" si="4"/>
        <v>22, 22, SLUGMA</v>
      </c>
    </row>
    <row r="979" ht="12.75" customHeight="1">
      <c r="A979" s="4" t="s">
        <v>3102</v>
      </c>
      <c r="B979" s="5" t="s">
        <v>3102</v>
      </c>
      <c r="C979" s="1" t="str">
        <f t="shared" si="1"/>
        <v/>
      </c>
      <c r="E979" s="5" t="s">
        <v>3102</v>
      </c>
      <c r="F979" s="6" t="str">
        <f t="shared" si="2"/>
        <v>#N/A</v>
      </c>
      <c r="G979" s="1" t="str">
        <f t="shared" si="3"/>
        <v/>
      </c>
      <c r="H979" s="5" t="str">
        <f t="shared" si="4"/>
        <v>50, 25, 35, GEODUDE</v>
      </c>
    </row>
    <row r="980" ht="12.75" customHeight="1">
      <c r="A980" s="4" t="s">
        <v>3103</v>
      </c>
      <c r="B980" s="5" t="s">
        <v>3103</v>
      </c>
      <c r="C980" s="1" t="str">
        <f t="shared" si="1"/>
        <v/>
      </c>
      <c r="E980" s="5" t="s">
        <v>3103</v>
      </c>
      <c r="F980" s="6" t="str">
        <f t="shared" si="2"/>
        <v>#N/A</v>
      </c>
      <c r="G980" s="1" t="str">
        <f t="shared" si="3"/>
        <v/>
      </c>
      <c r="H980" s="5" t="str">
        <f t="shared" si="4"/>
        <v>30, 45, GRAVELER</v>
      </c>
    </row>
    <row r="981" ht="12.75" customHeight="1">
      <c r="A981" s="4" t="s">
        <v>3104</v>
      </c>
      <c r="B981" s="5" t="s">
        <v>3104</v>
      </c>
      <c r="C981" s="1" t="str">
        <f t="shared" si="1"/>
        <v/>
      </c>
      <c r="E981" s="5" t="s">
        <v>3104</v>
      </c>
      <c r="F981" s="6" t="str">
        <f t="shared" si="2"/>
        <v>#N/A</v>
      </c>
      <c r="G981" s="1" t="str">
        <f t="shared" si="3"/>
        <v/>
      </c>
      <c r="H981" s="5" t="str">
        <f t="shared" si="4"/>
        <v>35, 50, GRAVELER</v>
      </c>
    </row>
    <row r="982" ht="12.75" customHeight="1">
      <c r="A982" s="4" t="s">
        <v>3105</v>
      </c>
      <c r="B982" s="5" t="s">
        <v>3105</v>
      </c>
      <c r="C982" s="1" t="str">
        <f t="shared" si="1"/>
        <v/>
      </c>
      <c r="E982" s="5" t="s">
        <v>3105</v>
      </c>
      <c r="F982" s="6" t="str">
        <f t="shared" si="2"/>
        <v>#N/A</v>
      </c>
      <c r="G982" s="1" t="str">
        <f t="shared" si="3"/>
        <v/>
      </c>
      <c r="H982" s="5" t="str">
        <f t="shared" si="4"/>
        <v>30, 40, GEODUDE</v>
      </c>
    </row>
    <row r="983" ht="12.75" customHeight="1">
      <c r="A983" s="4" t="s">
        <v>3105</v>
      </c>
      <c r="B983" s="5" t="s">
        <v>3105</v>
      </c>
      <c r="C983" s="1" t="str">
        <f t="shared" si="1"/>
        <v/>
      </c>
      <c r="E983" s="5" t="s">
        <v>3105</v>
      </c>
      <c r="F983" s="6" t="str">
        <f t="shared" si="2"/>
        <v>#N/A</v>
      </c>
      <c r="G983" s="1" t="str">
        <f t="shared" si="3"/>
        <v/>
      </c>
      <c r="H983" s="5" t="str">
        <f t="shared" si="4"/>
        <v>30, 40, GEODUDE</v>
      </c>
    </row>
    <row r="984" ht="12.75" customHeight="1">
      <c r="A984" s="4" t="s">
        <v>2539</v>
      </c>
      <c r="B984" s="5" t="s">
        <v>2539</v>
      </c>
      <c r="C984" s="1">
        <f t="shared" si="1"/>
        <v>1</v>
      </c>
      <c r="E984" s="5" t="s">
        <v>2539</v>
      </c>
      <c r="F984" s="6" t="str">
        <f t="shared" si="2"/>
        <v>#N/A</v>
      </c>
      <c r="G984" s="1" t="str">
        <f t="shared" si="3"/>
        <v/>
      </c>
      <c r="H984" s="5" t="str">
        <f t="shared" si="4"/>
        <v>NEW ROUTE</v>
      </c>
    </row>
    <row r="985" ht="12.75" customHeight="1">
      <c r="A985" s="4" t="s">
        <v>1882</v>
      </c>
      <c r="B985" s="5" t="s">
        <v>1882</v>
      </c>
      <c r="C985" s="1" t="str">
        <f t="shared" si="1"/>
        <v/>
      </c>
      <c r="E985" s="5" t="s">
        <v>1882</v>
      </c>
      <c r="F985" s="6" t="str">
        <f t="shared" si="2"/>
        <v>Mt. Ember Ruby Path B2F Stairs</v>
      </c>
      <c r="G985" s="1" t="str">
        <f t="shared" si="3"/>
        <v>Mt. Ember Ruby Path B2F Stairs</v>
      </c>
      <c r="H985" s="5" t="str">
        <f t="shared" si="4"/>
        <v>Mt. Ember Ruby Path B2F Stairs</v>
      </c>
    </row>
    <row r="986" ht="12.75" customHeight="1">
      <c r="A986" s="4" t="s">
        <v>2799</v>
      </c>
      <c r="B986" s="5">
        <v>0.2</v>
      </c>
      <c r="C986" s="1" t="str">
        <f t="shared" si="1"/>
        <v/>
      </c>
      <c r="E986" s="5">
        <v>0.2</v>
      </c>
      <c r="F986" s="6" t="str">
        <f t="shared" si="2"/>
        <v>#N/A</v>
      </c>
      <c r="G986" s="1" t="str">
        <f t="shared" si="3"/>
        <v/>
      </c>
      <c r="H986" s="5">
        <f t="shared" si="4"/>
        <v>0.2</v>
      </c>
    </row>
    <row r="987" ht="12.75" customHeight="1">
      <c r="A987" s="4" t="s">
        <v>692</v>
      </c>
      <c r="B987" s="5" t="s">
        <v>692</v>
      </c>
      <c r="C987" s="1" t="str">
        <f t="shared" si="1"/>
        <v/>
      </c>
      <c r="E987" s="5" t="s">
        <v>692</v>
      </c>
      <c r="F987" s="6" t="str">
        <f t="shared" si="2"/>
        <v>#N/A</v>
      </c>
      <c r="G987" s="1" t="str">
        <f t="shared" si="3"/>
        <v/>
      </c>
      <c r="H987" s="5" t="str">
        <f t="shared" si="4"/>
        <v>38, 38, GEODUDE</v>
      </c>
    </row>
    <row r="988" ht="12.75" customHeight="1">
      <c r="A988" s="4" t="s">
        <v>680</v>
      </c>
      <c r="B988" s="5" t="s">
        <v>680</v>
      </c>
      <c r="C988" s="1" t="str">
        <f t="shared" si="1"/>
        <v/>
      </c>
      <c r="E988" s="5" t="s">
        <v>680</v>
      </c>
      <c r="F988" s="6" t="str">
        <f t="shared" si="2"/>
        <v>#N/A</v>
      </c>
      <c r="G988" s="1" t="str">
        <f t="shared" si="3"/>
        <v/>
      </c>
      <c r="H988" s="5" t="str">
        <f t="shared" si="4"/>
        <v>36, 36, GEODUDE</v>
      </c>
    </row>
    <row r="989" ht="12.75" customHeight="1">
      <c r="A989" s="4" t="s">
        <v>2802</v>
      </c>
      <c r="B989" s="5">
        <v>0.1</v>
      </c>
      <c r="C989" s="1" t="str">
        <f t="shared" si="1"/>
        <v/>
      </c>
      <c r="E989" s="5">
        <v>0.1</v>
      </c>
      <c r="F989" s="6" t="str">
        <f t="shared" si="2"/>
        <v>#N/A</v>
      </c>
      <c r="G989" s="1" t="str">
        <f t="shared" si="3"/>
        <v/>
      </c>
      <c r="H989" s="5">
        <f t="shared" si="4"/>
        <v>0.1</v>
      </c>
    </row>
    <row r="990" ht="12.75" customHeight="1">
      <c r="A990" s="4" t="s">
        <v>669</v>
      </c>
      <c r="B990" s="5" t="s">
        <v>669</v>
      </c>
      <c r="C990" s="1" t="str">
        <f t="shared" si="1"/>
        <v/>
      </c>
      <c r="E990" s="5" t="s">
        <v>669</v>
      </c>
      <c r="F990" s="6" t="str">
        <f t="shared" si="2"/>
        <v>#N/A</v>
      </c>
      <c r="G990" s="1" t="str">
        <f t="shared" si="3"/>
        <v/>
      </c>
      <c r="H990" s="5" t="str">
        <f t="shared" si="4"/>
        <v>34, 34, GEODUDE</v>
      </c>
    </row>
    <row r="991" ht="12.75" customHeight="1">
      <c r="A991" s="4" t="s">
        <v>701</v>
      </c>
      <c r="B991" s="5" t="s">
        <v>701</v>
      </c>
      <c r="C991" s="1" t="str">
        <f t="shared" si="1"/>
        <v/>
      </c>
      <c r="E991" s="5" t="s">
        <v>701</v>
      </c>
      <c r="F991" s="6" t="str">
        <f t="shared" si="2"/>
        <v>#N/A</v>
      </c>
      <c r="G991" s="1" t="str">
        <f t="shared" si="3"/>
        <v/>
      </c>
      <c r="H991" s="5" t="str">
        <f t="shared" si="4"/>
        <v>40, 40, GEODUDE</v>
      </c>
    </row>
    <row r="992" ht="12.75" customHeight="1">
      <c r="A992" s="4" t="s">
        <v>3108</v>
      </c>
      <c r="B992" s="5" t="s">
        <v>3108</v>
      </c>
      <c r="C992" s="1" t="str">
        <f t="shared" si="1"/>
        <v/>
      </c>
      <c r="E992" s="5" t="s">
        <v>3108</v>
      </c>
      <c r="F992" s="6" t="str">
        <f t="shared" si="2"/>
        <v>#N/A</v>
      </c>
      <c r="G992" s="1" t="str">
        <f t="shared" si="3"/>
        <v/>
      </c>
      <c r="H992" s="5" t="str">
        <f t="shared" si="4"/>
        <v>24, 24, SLUGMA</v>
      </c>
    </row>
    <row r="993" ht="12.75" customHeight="1">
      <c r="A993" s="4" t="s">
        <v>707</v>
      </c>
      <c r="B993" s="5" t="s">
        <v>707</v>
      </c>
      <c r="C993" s="1" t="str">
        <f t="shared" si="1"/>
        <v/>
      </c>
      <c r="E993" s="5" t="s">
        <v>707</v>
      </c>
      <c r="F993" s="6" t="str">
        <f t="shared" si="2"/>
        <v>#N/A</v>
      </c>
      <c r="G993" s="1" t="str">
        <f t="shared" si="3"/>
        <v/>
      </c>
      <c r="H993" s="5" t="str">
        <f t="shared" si="4"/>
        <v>26, 26, SLUGMA</v>
      </c>
    </row>
    <row r="994" ht="12.75" customHeight="1">
      <c r="A994" s="4" t="s">
        <v>2807</v>
      </c>
      <c r="B994" s="5">
        <v>0.05</v>
      </c>
      <c r="C994" s="1" t="str">
        <f t="shared" si="1"/>
        <v/>
      </c>
      <c r="E994" s="5">
        <v>0.05</v>
      </c>
      <c r="F994" s="6" t="str">
        <f t="shared" si="2"/>
        <v>#N/A</v>
      </c>
      <c r="G994" s="1" t="str">
        <f t="shared" si="3"/>
        <v/>
      </c>
      <c r="H994" s="5">
        <f t="shared" si="4"/>
        <v>0.05</v>
      </c>
    </row>
    <row r="995" ht="12.75" customHeight="1">
      <c r="A995" s="4" t="s">
        <v>3109</v>
      </c>
      <c r="B995" s="5" t="s">
        <v>3109</v>
      </c>
      <c r="C995" s="1" t="str">
        <f t="shared" si="1"/>
        <v/>
      </c>
      <c r="E995" s="5" t="s">
        <v>3109</v>
      </c>
      <c r="F995" s="6" t="str">
        <f t="shared" si="2"/>
        <v>#N/A</v>
      </c>
      <c r="G995" s="1" t="str">
        <f t="shared" si="3"/>
        <v/>
      </c>
      <c r="H995" s="5" t="str">
        <f t="shared" si="4"/>
        <v>42, 42, GEODUDE</v>
      </c>
    </row>
    <row r="996" ht="12.75" customHeight="1">
      <c r="A996" s="4" t="s">
        <v>3110</v>
      </c>
      <c r="B996" s="5" t="s">
        <v>3110</v>
      </c>
      <c r="C996" s="1" t="str">
        <f t="shared" si="1"/>
        <v/>
      </c>
      <c r="E996" s="5" t="s">
        <v>3110</v>
      </c>
      <c r="F996" s="6" t="str">
        <f t="shared" si="2"/>
        <v>#N/A</v>
      </c>
      <c r="G996" s="1" t="str">
        <f t="shared" si="3"/>
        <v/>
      </c>
      <c r="H996" s="5" t="str">
        <f t="shared" si="4"/>
        <v>28, 28, SLUGMA</v>
      </c>
    </row>
    <row r="997" ht="12.75" customHeight="1">
      <c r="A997" s="4" t="s">
        <v>2810</v>
      </c>
      <c r="B997" s="5">
        <v>0.04</v>
      </c>
      <c r="C997" s="1" t="str">
        <f t="shared" si="1"/>
        <v/>
      </c>
      <c r="E997" s="5">
        <v>0.04</v>
      </c>
      <c r="F997" s="6" t="str">
        <f t="shared" si="2"/>
        <v>#N/A</v>
      </c>
      <c r="G997" s="1" t="str">
        <f t="shared" si="3"/>
        <v/>
      </c>
      <c r="H997" s="5">
        <f t="shared" si="4"/>
        <v>0.04</v>
      </c>
    </row>
    <row r="998" ht="12.75" customHeight="1">
      <c r="A998" s="4" t="s">
        <v>3109</v>
      </c>
      <c r="B998" s="5" t="s">
        <v>3109</v>
      </c>
      <c r="C998" s="1" t="str">
        <f t="shared" si="1"/>
        <v/>
      </c>
      <c r="E998" s="5" t="s">
        <v>3109</v>
      </c>
      <c r="F998" s="6" t="str">
        <f t="shared" si="2"/>
        <v>#N/A</v>
      </c>
      <c r="G998" s="1" t="str">
        <f t="shared" si="3"/>
        <v/>
      </c>
      <c r="H998" s="5" t="str">
        <f t="shared" si="4"/>
        <v>42, 42, GEODUDE</v>
      </c>
    </row>
    <row r="999" ht="12.75" customHeight="1">
      <c r="A999" s="4" t="s">
        <v>3111</v>
      </c>
      <c r="B999" s="5" t="s">
        <v>3111</v>
      </c>
      <c r="C999" s="1" t="str">
        <f t="shared" si="1"/>
        <v/>
      </c>
      <c r="E999" s="5" t="s">
        <v>3111</v>
      </c>
      <c r="F999" s="6" t="str">
        <f t="shared" si="2"/>
        <v>#N/A</v>
      </c>
      <c r="G999" s="1" t="str">
        <f t="shared" si="3"/>
        <v/>
      </c>
      <c r="H999" s="5" t="str">
        <f t="shared" si="4"/>
        <v>30, 30, SLUGMA</v>
      </c>
    </row>
    <row r="1000" ht="12.75" customHeight="1">
      <c r="A1000" s="4" t="s">
        <v>2813</v>
      </c>
      <c r="B1000" s="5">
        <v>0.01</v>
      </c>
      <c r="C1000" s="1" t="str">
        <f t="shared" si="1"/>
        <v/>
      </c>
      <c r="E1000" s="5">
        <v>0.01</v>
      </c>
      <c r="F1000" s="6" t="str">
        <f t="shared" si="2"/>
        <v>#N/A</v>
      </c>
      <c r="G1000" s="1" t="str">
        <f t="shared" si="3"/>
        <v/>
      </c>
      <c r="H1000" s="5">
        <f t="shared" si="4"/>
        <v>0.01</v>
      </c>
    </row>
    <row r="1001" ht="12.75" customHeight="1">
      <c r="A1001" s="4" t="s">
        <v>3109</v>
      </c>
      <c r="B1001" s="5" t="s">
        <v>3109</v>
      </c>
      <c r="C1001" s="1" t="str">
        <f t="shared" si="1"/>
        <v/>
      </c>
      <c r="E1001" s="5" t="s">
        <v>3109</v>
      </c>
      <c r="F1001" s="6" t="str">
        <f t="shared" si="2"/>
        <v>#N/A</v>
      </c>
      <c r="G1001" s="1" t="str">
        <f t="shared" si="3"/>
        <v/>
      </c>
      <c r="H1001" s="5" t="str">
        <f t="shared" si="4"/>
        <v>42, 42, GEODUDE</v>
      </c>
    </row>
    <row r="1002" ht="12.75" customHeight="1">
      <c r="A1002" s="4" t="s">
        <v>3111</v>
      </c>
      <c r="B1002" s="5" t="s">
        <v>3111</v>
      </c>
      <c r="C1002" s="1" t="str">
        <f t="shared" si="1"/>
        <v/>
      </c>
      <c r="E1002" s="5" t="s">
        <v>3111</v>
      </c>
      <c r="F1002" s="6" t="str">
        <f t="shared" si="2"/>
        <v>#N/A</v>
      </c>
      <c r="G1002" s="1" t="str">
        <f t="shared" si="3"/>
        <v/>
      </c>
      <c r="H1002" s="5" t="str">
        <f t="shared" si="4"/>
        <v>30, 30, SLUGMA</v>
      </c>
    </row>
    <row r="1003" ht="12.75" customHeight="1">
      <c r="A1003" s="4" t="s">
        <v>3102</v>
      </c>
      <c r="B1003" s="5" t="s">
        <v>3102</v>
      </c>
      <c r="C1003" s="1" t="str">
        <f t="shared" si="1"/>
        <v/>
      </c>
      <c r="E1003" s="5" t="s">
        <v>3102</v>
      </c>
      <c r="F1003" s="6" t="str">
        <f t="shared" si="2"/>
        <v>#N/A</v>
      </c>
      <c r="G1003" s="1" t="str">
        <f t="shared" si="3"/>
        <v/>
      </c>
      <c r="H1003" s="5" t="str">
        <f t="shared" si="4"/>
        <v>50, 25, 35, GEODUDE</v>
      </c>
    </row>
    <row r="1004" ht="12.75" customHeight="1">
      <c r="A1004" s="4" t="s">
        <v>3103</v>
      </c>
      <c r="B1004" s="5" t="s">
        <v>3103</v>
      </c>
      <c r="C1004" s="1" t="str">
        <f t="shared" si="1"/>
        <v/>
      </c>
      <c r="E1004" s="5" t="s">
        <v>3103</v>
      </c>
      <c r="F1004" s="6" t="str">
        <f t="shared" si="2"/>
        <v>#N/A</v>
      </c>
      <c r="G1004" s="1" t="str">
        <f t="shared" si="3"/>
        <v/>
      </c>
      <c r="H1004" s="5" t="str">
        <f t="shared" si="4"/>
        <v>30, 45, GRAVELER</v>
      </c>
    </row>
    <row r="1005" ht="12.75" customHeight="1">
      <c r="A1005" s="4" t="s">
        <v>3104</v>
      </c>
      <c r="B1005" s="5" t="s">
        <v>3104</v>
      </c>
      <c r="C1005" s="1" t="str">
        <f t="shared" si="1"/>
        <v/>
      </c>
      <c r="E1005" s="5" t="s">
        <v>3104</v>
      </c>
      <c r="F1005" s="6" t="str">
        <f t="shared" si="2"/>
        <v>#N/A</v>
      </c>
      <c r="G1005" s="1" t="str">
        <f t="shared" si="3"/>
        <v/>
      </c>
      <c r="H1005" s="5" t="str">
        <f t="shared" si="4"/>
        <v>35, 50, GRAVELER</v>
      </c>
    </row>
    <row r="1006" ht="12.75" customHeight="1">
      <c r="A1006" s="4" t="s">
        <v>3105</v>
      </c>
      <c r="B1006" s="5" t="s">
        <v>3105</v>
      </c>
      <c r="C1006" s="1" t="str">
        <f t="shared" si="1"/>
        <v/>
      </c>
      <c r="E1006" s="5" t="s">
        <v>3105</v>
      </c>
      <c r="F1006" s="6" t="str">
        <f t="shared" si="2"/>
        <v>#N/A</v>
      </c>
      <c r="G1006" s="1" t="str">
        <f t="shared" si="3"/>
        <v/>
      </c>
      <c r="H1006" s="5" t="str">
        <f t="shared" si="4"/>
        <v>30, 40, GEODUDE</v>
      </c>
    </row>
    <row r="1007" ht="12.75" customHeight="1">
      <c r="A1007" s="4" t="s">
        <v>3105</v>
      </c>
      <c r="B1007" s="5" t="s">
        <v>3105</v>
      </c>
      <c r="C1007" s="1" t="str">
        <f t="shared" si="1"/>
        <v/>
      </c>
      <c r="E1007" s="5" t="s">
        <v>3105</v>
      </c>
      <c r="F1007" s="6" t="str">
        <f t="shared" si="2"/>
        <v>#N/A</v>
      </c>
      <c r="G1007" s="1" t="str">
        <f t="shared" si="3"/>
        <v/>
      </c>
      <c r="H1007" s="5" t="str">
        <f t="shared" si="4"/>
        <v>30, 40, GEODUDE</v>
      </c>
    </row>
    <row r="1008" ht="12.75" customHeight="1">
      <c r="A1008" s="4" t="s">
        <v>2539</v>
      </c>
      <c r="B1008" s="5" t="s">
        <v>2539</v>
      </c>
      <c r="C1008" s="1">
        <f t="shared" si="1"/>
        <v>1</v>
      </c>
      <c r="E1008" s="5" t="s">
        <v>2539</v>
      </c>
      <c r="F1008" s="6" t="str">
        <f t="shared" si="2"/>
        <v>#N/A</v>
      </c>
      <c r="G1008" s="1" t="str">
        <f t="shared" si="3"/>
        <v/>
      </c>
      <c r="H1008" s="5" t="str">
        <f t="shared" si="4"/>
        <v>NEW ROUTE</v>
      </c>
    </row>
    <row r="1009" ht="12.75" customHeight="1">
      <c r="A1009" s="4" t="s">
        <v>1886</v>
      </c>
      <c r="B1009" s="5" t="s">
        <v>1886</v>
      </c>
      <c r="C1009" s="1" t="str">
        <f t="shared" si="1"/>
        <v/>
      </c>
      <c r="E1009" s="5" t="s">
        <v>1886</v>
      </c>
      <c r="F1009" s="6" t="str">
        <f t="shared" si="2"/>
        <v>Three Island Berry Forest</v>
      </c>
      <c r="G1009" s="1" t="str">
        <f t="shared" si="3"/>
        <v>Three Island Berry Forest</v>
      </c>
      <c r="H1009" s="5" t="str">
        <f t="shared" si="4"/>
        <v>Three Island Berry Forest</v>
      </c>
    </row>
    <row r="1010" ht="12.75" customHeight="1">
      <c r="A1010" s="4" t="s">
        <v>2799</v>
      </c>
      <c r="B1010" s="5">
        <v>0.2</v>
      </c>
      <c r="C1010" s="1" t="str">
        <f t="shared" si="1"/>
        <v/>
      </c>
      <c r="E1010" s="5">
        <v>0.2</v>
      </c>
      <c r="F1010" s="6" t="str">
        <f t="shared" si="2"/>
        <v>#N/A</v>
      </c>
      <c r="G1010" s="1" t="str">
        <f t="shared" si="3"/>
        <v/>
      </c>
      <c r="H1010" s="5">
        <f t="shared" si="4"/>
        <v>0.2</v>
      </c>
    </row>
    <row r="1011" ht="12.75" customHeight="1">
      <c r="A1011" s="4" t="s">
        <v>720</v>
      </c>
      <c r="B1011" s="5" t="s">
        <v>720</v>
      </c>
      <c r="C1011" s="1" t="str">
        <f t="shared" si="1"/>
        <v/>
      </c>
      <c r="E1011" s="5" t="s">
        <v>720</v>
      </c>
      <c r="F1011" s="6" t="str">
        <f t="shared" si="2"/>
        <v>#N/A</v>
      </c>
      <c r="G1011" s="1" t="str">
        <f t="shared" si="3"/>
        <v/>
      </c>
      <c r="H1011" s="5" t="str">
        <f t="shared" si="4"/>
        <v>37, 37, PIDGEOTTO</v>
      </c>
    </row>
    <row r="1012" ht="12.75" customHeight="1">
      <c r="A1012" s="4" t="s">
        <v>3129</v>
      </c>
      <c r="B1012" s="5" t="s">
        <v>3129</v>
      </c>
      <c r="C1012" s="1" t="str">
        <f t="shared" si="1"/>
        <v/>
      </c>
      <c r="E1012" s="5" t="s">
        <v>3129</v>
      </c>
      <c r="F1012" s="6" t="str">
        <f t="shared" si="2"/>
        <v>#N/A</v>
      </c>
      <c r="G1012" s="1" t="str">
        <f t="shared" si="3"/>
        <v/>
      </c>
      <c r="H1012" s="5" t="str">
        <f t="shared" si="4"/>
        <v>35, 35, WEEPINBELL</v>
      </c>
    </row>
    <row r="1013" ht="12.75" customHeight="1">
      <c r="A1013" s="4" t="s">
        <v>2802</v>
      </c>
      <c r="B1013" s="5">
        <v>0.1</v>
      </c>
      <c r="C1013" s="1" t="str">
        <f t="shared" si="1"/>
        <v/>
      </c>
      <c r="E1013" s="5">
        <v>0.1</v>
      </c>
      <c r="F1013" s="6" t="str">
        <f t="shared" si="2"/>
        <v>#N/A</v>
      </c>
      <c r="G1013" s="1" t="str">
        <f t="shared" si="3"/>
        <v/>
      </c>
      <c r="H1013" s="5">
        <f t="shared" si="4"/>
        <v>0.1</v>
      </c>
    </row>
    <row r="1014" ht="12.75" customHeight="1">
      <c r="A1014" s="4" t="s">
        <v>846</v>
      </c>
      <c r="B1014" s="5" t="s">
        <v>846</v>
      </c>
      <c r="C1014" s="1" t="str">
        <f t="shared" si="1"/>
        <v/>
      </c>
      <c r="E1014" s="5" t="s">
        <v>846</v>
      </c>
      <c r="F1014" s="6" t="str">
        <f t="shared" si="2"/>
        <v>#N/A</v>
      </c>
      <c r="G1014" s="1" t="str">
        <f t="shared" si="3"/>
        <v/>
      </c>
      <c r="H1014" s="5" t="str">
        <f t="shared" si="4"/>
        <v>32, 32, PIDGEY</v>
      </c>
    </row>
    <row r="1015" ht="12.75" customHeight="1">
      <c r="A1015" s="4" t="s">
        <v>3130</v>
      </c>
      <c r="B1015" s="5" t="s">
        <v>3130</v>
      </c>
      <c r="C1015" s="1" t="str">
        <f t="shared" si="1"/>
        <v/>
      </c>
      <c r="E1015" s="5" t="s">
        <v>3130</v>
      </c>
      <c r="F1015" s="6" t="str">
        <f t="shared" si="2"/>
        <v>#N/A</v>
      </c>
      <c r="G1015" s="1" t="str">
        <f t="shared" si="3"/>
        <v/>
      </c>
      <c r="H1015" s="5" t="str">
        <f t="shared" si="4"/>
        <v>30, 30, BELLSPROUT</v>
      </c>
    </row>
    <row r="1016" ht="12.75" customHeight="1">
      <c r="A1016" s="4" t="s">
        <v>3131</v>
      </c>
      <c r="B1016" s="5" t="s">
        <v>3131</v>
      </c>
      <c r="C1016" s="1" t="str">
        <f t="shared" si="1"/>
        <v/>
      </c>
      <c r="E1016" s="5" t="s">
        <v>3131</v>
      </c>
      <c r="F1016" s="6" t="str">
        <f t="shared" si="2"/>
        <v>#N/A</v>
      </c>
      <c r="G1016" s="1" t="str">
        <f t="shared" si="3"/>
        <v/>
      </c>
      <c r="H1016" s="5" t="str">
        <f t="shared" si="4"/>
        <v>34, 34, VENONAT</v>
      </c>
    </row>
    <row r="1017" ht="12.75" customHeight="1">
      <c r="A1017" s="4" t="s">
        <v>3132</v>
      </c>
      <c r="B1017" s="5" t="s">
        <v>3132</v>
      </c>
      <c r="C1017" s="1" t="str">
        <f t="shared" si="1"/>
        <v/>
      </c>
      <c r="E1017" s="5" t="s">
        <v>3132</v>
      </c>
      <c r="F1017" s="6" t="str">
        <f t="shared" si="2"/>
        <v>#N/A</v>
      </c>
      <c r="G1017" s="1" t="str">
        <f t="shared" si="3"/>
        <v/>
      </c>
      <c r="H1017" s="5" t="str">
        <f t="shared" si="4"/>
        <v>34, 34, DROWZEE</v>
      </c>
    </row>
    <row r="1018" ht="12.75" customHeight="1">
      <c r="A1018" s="4" t="s">
        <v>2807</v>
      </c>
      <c r="B1018" s="5">
        <v>0.05</v>
      </c>
      <c r="C1018" s="1" t="str">
        <f t="shared" si="1"/>
        <v/>
      </c>
      <c r="E1018" s="5">
        <v>0.05</v>
      </c>
      <c r="F1018" s="6" t="str">
        <f t="shared" si="2"/>
        <v>#N/A</v>
      </c>
      <c r="G1018" s="1" t="str">
        <f t="shared" si="3"/>
        <v/>
      </c>
      <c r="H1018" s="5">
        <f t="shared" si="4"/>
        <v>0.05</v>
      </c>
    </row>
    <row r="1019" ht="12.75" customHeight="1">
      <c r="A1019" s="4" t="s">
        <v>3133</v>
      </c>
      <c r="B1019" s="5" t="s">
        <v>3133</v>
      </c>
      <c r="C1019" s="1" t="str">
        <f t="shared" si="1"/>
        <v/>
      </c>
      <c r="E1019" s="5" t="s">
        <v>3133</v>
      </c>
      <c r="F1019" s="6" t="str">
        <f t="shared" si="2"/>
        <v>#N/A</v>
      </c>
      <c r="G1019" s="1" t="str">
        <f t="shared" si="3"/>
        <v/>
      </c>
      <c r="H1019" s="5" t="str">
        <f t="shared" si="4"/>
        <v>35, 35, EXEGGCUTE</v>
      </c>
    </row>
    <row r="1020" ht="12.75" customHeight="1">
      <c r="A1020" s="4" t="s">
        <v>3134</v>
      </c>
      <c r="B1020" s="5" t="s">
        <v>3134</v>
      </c>
      <c r="C1020" s="1" t="str">
        <f t="shared" si="1"/>
        <v/>
      </c>
      <c r="E1020" s="5" t="s">
        <v>3134</v>
      </c>
      <c r="F1020" s="6" t="str">
        <f t="shared" si="2"/>
        <v>#N/A</v>
      </c>
      <c r="G1020" s="1" t="str">
        <f t="shared" si="3"/>
        <v/>
      </c>
      <c r="H1020" s="5" t="str">
        <f t="shared" si="4"/>
        <v>31, 31, SLOWPOKE</v>
      </c>
    </row>
    <row r="1021" ht="12.75" customHeight="1">
      <c r="A1021" s="4" t="s">
        <v>2810</v>
      </c>
      <c r="B1021" s="5">
        <v>0.04</v>
      </c>
      <c r="C1021" s="1" t="str">
        <f t="shared" si="1"/>
        <v/>
      </c>
      <c r="E1021" s="5">
        <v>0.04</v>
      </c>
      <c r="F1021" s="6" t="str">
        <f t="shared" si="2"/>
        <v>#N/A</v>
      </c>
      <c r="G1021" s="1" t="str">
        <f t="shared" si="3"/>
        <v/>
      </c>
      <c r="H1021" s="5">
        <f t="shared" si="4"/>
        <v>0.04</v>
      </c>
    </row>
    <row r="1022" ht="12.75" customHeight="1">
      <c r="A1022" s="4" t="s">
        <v>3135</v>
      </c>
      <c r="B1022" s="5" t="s">
        <v>3135</v>
      </c>
      <c r="C1022" s="1" t="str">
        <f t="shared" si="1"/>
        <v/>
      </c>
      <c r="E1022" s="5" t="s">
        <v>3135</v>
      </c>
      <c r="F1022" s="6" t="str">
        <f t="shared" si="2"/>
        <v>#N/A</v>
      </c>
      <c r="G1022" s="1" t="str">
        <f t="shared" si="3"/>
        <v/>
      </c>
      <c r="H1022" s="5" t="str">
        <f t="shared" si="4"/>
        <v>37, 37, VENOMOTH</v>
      </c>
    </row>
    <row r="1023" ht="12.75" customHeight="1">
      <c r="A1023" s="4" t="s">
        <v>3136</v>
      </c>
      <c r="B1023" s="5" t="s">
        <v>3136</v>
      </c>
      <c r="C1023" s="1" t="str">
        <f t="shared" si="1"/>
        <v/>
      </c>
      <c r="E1023" s="5" t="s">
        <v>3136</v>
      </c>
      <c r="F1023" s="6" t="str">
        <f t="shared" si="2"/>
        <v>#N/A</v>
      </c>
      <c r="G1023" s="1" t="str">
        <f t="shared" si="3"/>
        <v/>
      </c>
      <c r="H1023" s="5" t="str">
        <f t="shared" si="4"/>
        <v>37, 37, HYPNO</v>
      </c>
    </row>
    <row r="1024" ht="12.75" customHeight="1">
      <c r="A1024" s="4" t="s">
        <v>2813</v>
      </c>
      <c r="B1024" s="5">
        <v>0.01</v>
      </c>
      <c r="C1024" s="1" t="str">
        <f t="shared" si="1"/>
        <v/>
      </c>
      <c r="E1024" s="5">
        <v>0.01</v>
      </c>
      <c r="F1024" s="6" t="str">
        <f t="shared" si="2"/>
        <v>#N/A</v>
      </c>
      <c r="G1024" s="1" t="str">
        <f t="shared" si="3"/>
        <v/>
      </c>
      <c r="H1024" s="5">
        <f t="shared" si="4"/>
        <v>0.01</v>
      </c>
    </row>
    <row r="1025" ht="12.75" customHeight="1">
      <c r="A1025" s="4" t="s">
        <v>3137</v>
      </c>
      <c r="B1025" s="5" t="s">
        <v>3137</v>
      </c>
      <c r="C1025" s="1" t="str">
        <f t="shared" si="1"/>
        <v/>
      </c>
      <c r="E1025" s="5" t="s">
        <v>3137</v>
      </c>
      <c r="F1025" s="6" t="str">
        <f t="shared" si="2"/>
        <v>#N/A</v>
      </c>
      <c r="G1025" s="1" t="str">
        <f t="shared" si="3"/>
        <v/>
      </c>
      <c r="H1025" s="5" t="str">
        <f t="shared" si="4"/>
        <v>40, 40, VENOMOTH</v>
      </c>
    </row>
    <row r="1026" ht="12.75" customHeight="1">
      <c r="A1026" s="4" t="s">
        <v>3138</v>
      </c>
      <c r="B1026" s="5" t="s">
        <v>3138</v>
      </c>
      <c r="C1026" s="1" t="str">
        <f t="shared" si="1"/>
        <v/>
      </c>
      <c r="E1026" s="5" t="s">
        <v>3138</v>
      </c>
      <c r="F1026" s="6" t="str">
        <f t="shared" si="2"/>
        <v>#N/A</v>
      </c>
      <c r="G1026" s="1" t="str">
        <f t="shared" si="3"/>
        <v/>
      </c>
      <c r="H1026" s="5" t="str">
        <f t="shared" si="4"/>
        <v>40, 40, HYPNO</v>
      </c>
    </row>
    <row r="1027" ht="12.75" customHeight="1">
      <c r="A1027" s="4" t="s">
        <v>3139</v>
      </c>
      <c r="B1027" s="5" t="s">
        <v>3139</v>
      </c>
      <c r="C1027" s="1" t="str">
        <f t="shared" si="1"/>
        <v/>
      </c>
      <c r="E1027" s="5" t="s">
        <v>3139</v>
      </c>
      <c r="F1027" s="6" t="str">
        <f t="shared" si="2"/>
        <v>#N/A</v>
      </c>
      <c r="G1027" s="1" t="str">
        <f t="shared" si="3"/>
        <v/>
      </c>
      <c r="H1027" s="5" t="str">
        <f t="shared" si="4"/>
        <v>2, 5, 20, SLOWPOKE</v>
      </c>
    </row>
    <row r="1028" ht="12.75" customHeight="1">
      <c r="A1028" s="4" t="s">
        <v>3140</v>
      </c>
      <c r="B1028" s="5" t="s">
        <v>3140</v>
      </c>
      <c r="C1028" s="1" t="str">
        <f t="shared" si="1"/>
        <v/>
      </c>
      <c r="E1028" s="5" t="s">
        <v>3140</v>
      </c>
      <c r="F1028" s="6" t="str">
        <f t="shared" si="2"/>
        <v>#N/A</v>
      </c>
      <c r="G1028" s="1" t="str">
        <f t="shared" si="3"/>
        <v/>
      </c>
      <c r="H1028" s="5" t="str">
        <f t="shared" si="4"/>
        <v>20, 35, SLOWPOKE</v>
      </c>
    </row>
    <row r="1029" ht="12.75" customHeight="1">
      <c r="A1029" s="4" t="s">
        <v>3141</v>
      </c>
      <c r="B1029" s="5" t="s">
        <v>3141</v>
      </c>
      <c r="C1029" s="1" t="str">
        <f t="shared" si="1"/>
        <v/>
      </c>
      <c r="E1029" s="5" t="s">
        <v>3141</v>
      </c>
      <c r="F1029" s="6" t="str">
        <f t="shared" si="2"/>
        <v>#N/A</v>
      </c>
      <c r="G1029" s="1" t="str">
        <f t="shared" si="3"/>
        <v/>
      </c>
      <c r="H1029" s="5" t="str">
        <f t="shared" si="4"/>
        <v>35, 40, SLOWPOKE</v>
      </c>
    </row>
    <row r="1030" ht="12.75" customHeight="1">
      <c r="A1030" s="4" t="s">
        <v>3142</v>
      </c>
      <c r="B1030" s="5" t="s">
        <v>3142</v>
      </c>
      <c r="C1030" s="1" t="str">
        <f t="shared" si="1"/>
        <v/>
      </c>
      <c r="E1030" s="5" t="s">
        <v>3142</v>
      </c>
      <c r="F1030" s="6" t="str">
        <f t="shared" si="2"/>
        <v>#N/A</v>
      </c>
      <c r="G1030" s="1" t="str">
        <f t="shared" si="3"/>
        <v/>
      </c>
      <c r="H1030" s="5" t="str">
        <f t="shared" si="4"/>
        <v>35, 40, SLOWBRO</v>
      </c>
    </row>
    <row r="1031" ht="12.75" customHeight="1">
      <c r="A1031" s="4" t="s">
        <v>3142</v>
      </c>
      <c r="B1031" s="5" t="s">
        <v>3142</v>
      </c>
      <c r="C1031" s="1" t="str">
        <f t="shared" si="1"/>
        <v/>
      </c>
      <c r="E1031" s="5" t="s">
        <v>3142</v>
      </c>
      <c r="F1031" s="6" t="str">
        <f t="shared" si="2"/>
        <v>#N/A</v>
      </c>
      <c r="G1031" s="1" t="str">
        <f t="shared" si="3"/>
        <v/>
      </c>
      <c r="H1031" s="5" t="str">
        <f t="shared" si="4"/>
        <v>35, 40, SLOWBRO</v>
      </c>
    </row>
    <row r="1032" ht="12.75" customHeight="1">
      <c r="A1032" s="4" t="s">
        <v>2926</v>
      </c>
      <c r="B1032" s="5" t="s">
        <v>2926</v>
      </c>
      <c r="C1032" s="1" t="str">
        <f t="shared" si="1"/>
        <v/>
      </c>
      <c r="E1032" s="5" t="s">
        <v>2926</v>
      </c>
      <c r="F1032" s="6" t="str">
        <f t="shared" si="2"/>
        <v>#N/A</v>
      </c>
      <c r="G1032" s="1" t="str">
        <f t="shared" si="3"/>
        <v/>
      </c>
      <c r="H1032" s="5" t="str">
        <f t="shared" si="4"/>
        <v>20, old rod:</v>
      </c>
    </row>
    <row r="1033" ht="12.75" customHeight="1">
      <c r="A1033" s="4" t="s">
        <v>417</v>
      </c>
      <c r="B1033" s="5" t="s">
        <v>417</v>
      </c>
      <c r="C1033" s="1" t="str">
        <f t="shared" si="1"/>
        <v/>
      </c>
      <c r="E1033" s="5" t="s">
        <v>417</v>
      </c>
      <c r="F1033" s="6" t="str">
        <f t="shared" si="2"/>
        <v>#N/A</v>
      </c>
      <c r="G1033" s="1" t="str">
        <f t="shared" si="3"/>
        <v/>
      </c>
      <c r="H1033" s="5" t="str">
        <f t="shared" si="4"/>
        <v>5, 5, MAGIKARP</v>
      </c>
    </row>
    <row r="1034" ht="12.75" customHeight="1">
      <c r="A1034" s="4" t="s">
        <v>417</v>
      </c>
      <c r="B1034" s="5" t="s">
        <v>417</v>
      </c>
      <c r="C1034" s="1" t="str">
        <f t="shared" si="1"/>
        <v/>
      </c>
      <c r="E1034" s="5" t="s">
        <v>417</v>
      </c>
      <c r="F1034" s="6" t="str">
        <f t="shared" si="2"/>
        <v>#N/A</v>
      </c>
      <c r="G1034" s="1" t="str">
        <f t="shared" si="3"/>
        <v/>
      </c>
      <c r="H1034" s="5" t="str">
        <f t="shared" si="4"/>
        <v>5, 5, MAGIKARP</v>
      </c>
    </row>
    <row r="1035" ht="12.75" customHeight="1">
      <c r="A1035" s="4" t="s">
        <v>2847</v>
      </c>
      <c r="B1035" s="5" t="s">
        <v>2847</v>
      </c>
      <c r="C1035" s="1" t="str">
        <f t="shared" si="1"/>
        <v/>
      </c>
      <c r="E1035" s="5" t="s">
        <v>2847</v>
      </c>
      <c r="F1035" s="6" t="str">
        <f t="shared" si="2"/>
        <v>#N/A</v>
      </c>
      <c r="G1035" s="1" t="str">
        <f t="shared" si="3"/>
        <v/>
      </c>
      <c r="H1035" s="5" t="str">
        <f t="shared" si="4"/>
        <v>good rod:</v>
      </c>
    </row>
    <row r="1036" ht="12.75" customHeight="1">
      <c r="A1036" s="4" t="s">
        <v>3143</v>
      </c>
      <c r="B1036" s="5" t="s">
        <v>3143</v>
      </c>
      <c r="C1036" s="1" t="str">
        <f t="shared" si="1"/>
        <v/>
      </c>
      <c r="E1036" s="5" t="s">
        <v>3143</v>
      </c>
      <c r="F1036" s="6" t="str">
        <f t="shared" si="2"/>
        <v>#N/A</v>
      </c>
      <c r="G1036" s="1" t="str">
        <f t="shared" si="3"/>
        <v/>
      </c>
      <c r="H1036" s="5" t="str">
        <f t="shared" si="4"/>
        <v>5, 15, GOLDEEN</v>
      </c>
    </row>
    <row r="1037" ht="12.75" customHeight="1">
      <c r="A1037" s="4" t="s">
        <v>2849</v>
      </c>
      <c r="B1037" s="5" t="s">
        <v>2849</v>
      </c>
      <c r="C1037" s="1" t="str">
        <f t="shared" si="1"/>
        <v/>
      </c>
      <c r="E1037" s="5" t="s">
        <v>2849</v>
      </c>
      <c r="F1037" s="6" t="str">
        <f t="shared" si="2"/>
        <v>#N/A</v>
      </c>
      <c r="G1037" s="1" t="str">
        <f t="shared" si="3"/>
        <v/>
      </c>
      <c r="H1037" s="5" t="str">
        <f t="shared" si="4"/>
        <v>5, 15, MAGIKARP</v>
      </c>
    </row>
    <row r="1038" ht="12.75" customHeight="1">
      <c r="A1038" s="4" t="s">
        <v>3144</v>
      </c>
      <c r="B1038" s="5" t="s">
        <v>3144</v>
      </c>
      <c r="C1038" s="1" t="str">
        <f t="shared" si="1"/>
        <v/>
      </c>
      <c r="E1038" s="5" t="s">
        <v>3144</v>
      </c>
      <c r="F1038" s="6" t="str">
        <f t="shared" si="2"/>
        <v>#N/A</v>
      </c>
      <c r="G1038" s="1" t="str">
        <f t="shared" si="3"/>
        <v/>
      </c>
      <c r="H1038" s="5" t="str">
        <f t="shared" si="4"/>
        <v>5, 15, POLIWAG</v>
      </c>
    </row>
    <row r="1039" ht="12.75" customHeight="1">
      <c r="A1039" s="4" t="s">
        <v>2851</v>
      </c>
      <c r="B1039" s="5" t="s">
        <v>2851</v>
      </c>
      <c r="C1039" s="1" t="str">
        <f t="shared" si="1"/>
        <v/>
      </c>
      <c r="E1039" s="5" t="s">
        <v>2851</v>
      </c>
      <c r="F1039" s="6" t="str">
        <f t="shared" si="2"/>
        <v>#N/A</v>
      </c>
      <c r="G1039" s="1" t="str">
        <f t="shared" si="3"/>
        <v/>
      </c>
      <c r="H1039" s="5" t="str">
        <f t="shared" si="4"/>
        <v>super rod:</v>
      </c>
    </row>
    <row r="1040" ht="12.75" customHeight="1">
      <c r="A1040" s="4" t="s">
        <v>3145</v>
      </c>
      <c r="B1040" s="5" t="s">
        <v>3145</v>
      </c>
      <c r="C1040" s="1" t="str">
        <f t="shared" si="1"/>
        <v/>
      </c>
      <c r="E1040" s="5" t="s">
        <v>3145</v>
      </c>
      <c r="F1040" s="6" t="str">
        <f t="shared" si="2"/>
        <v>#N/A</v>
      </c>
      <c r="G1040" s="1" t="str">
        <f t="shared" si="3"/>
        <v/>
      </c>
      <c r="H1040" s="5" t="str">
        <f t="shared" si="4"/>
        <v>15, 25, GOLDEEN</v>
      </c>
    </row>
    <row r="1041" ht="12.75" customHeight="1">
      <c r="A1041" s="4" t="s">
        <v>3146</v>
      </c>
      <c r="B1041" s="5" t="s">
        <v>3146</v>
      </c>
      <c r="C1041" s="1" t="str">
        <f t="shared" si="1"/>
        <v/>
      </c>
      <c r="E1041" s="5" t="s">
        <v>3146</v>
      </c>
      <c r="F1041" s="6" t="str">
        <f t="shared" si="2"/>
        <v>#N/A</v>
      </c>
      <c r="G1041" s="1" t="str">
        <f t="shared" si="3"/>
        <v/>
      </c>
      <c r="H1041" s="5" t="str">
        <f t="shared" si="4"/>
        <v>20, 30, SEAKING</v>
      </c>
    </row>
    <row r="1042" ht="12.75" customHeight="1">
      <c r="A1042" s="4" t="s">
        <v>2854</v>
      </c>
      <c r="B1042" s="5" t="s">
        <v>2854</v>
      </c>
      <c r="C1042" s="1" t="str">
        <f t="shared" si="1"/>
        <v/>
      </c>
      <c r="E1042" s="5" t="s">
        <v>2854</v>
      </c>
      <c r="F1042" s="6" t="str">
        <f t="shared" si="2"/>
        <v>#N/A</v>
      </c>
      <c r="G1042" s="1" t="str">
        <f t="shared" si="3"/>
        <v/>
      </c>
      <c r="H1042" s="5" t="str">
        <f t="shared" si="4"/>
        <v>15, 25, GYARADOS</v>
      </c>
    </row>
    <row r="1043" ht="12.75" customHeight="1">
      <c r="A1043" s="4" t="s">
        <v>3147</v>
      </c>
      <c r="B1043" s="5" t="s">
        <v>3147</v>
      </c>
      <c r="C1043" s="1" t="str">
        <f t="shared" si="1"/>
        <v/>
      </c>
      <c r="E1043" s="5" t="s">
        <v>3147</v>
      </c>
      <c r="F1043" s="6" t="str">
        <f t="shared" si="2"/>
        <v>#N/A</v>
      </c>
      <c r="G1043" s="1" t="str">
        <f t="shared" si="3"/>
        <v/>
      </c>
      <c r="H1043" s="5" t="str">
        <f t="shared" si="4"/>
        <v>15, 25, SLOWPOKE</v>
      </c>
    </row>
    <row r="1044" ht="12.75" customHeight="1">
      <c r="A1044" s="4" t="s">
        <v>2856</v>
      </c>
      <c r="B1044" s="5" t="s">
        <v>2856</v>
      </c>
      <c r="C1044" s="1" t="str">
        <f t="shared" si="1"/>
        <v/>
      </c>
      <c r="E1044" s="5" t="s">
        <v>2856</v>
      </c>
      <c r="F1044" s="6" t="str">
        <f t="shared" si="2"/>
        <v>#N/A</v>
      </c>
      <c r="G1044" s="1" t="str">
        <f t="shared" si="3"/>
        <v/>
      </c>
      <c r="H1044" s="5" t="str">
        <f t="shared" si="4"/>
        <v>25, 35, SLOWPOKE</v>
      </c>
    </row>
    <row r="1045" ht="12.75" customHeight="1">
      <c r="A1045" s="4" t="s">
        <v>2539</v>
      </c>
      <c r="B1045" s="5" t="s">
        <v>2539</v>
      </c>
      <c r="C1045" s="1">
        <f t="shared" si="1"/>
        <v>1</v>
      </c>
      <c r="E1045" s="5" t="s">
        <v>2539</v>
      </c>
      <c r="F1045" s="6" t="str">
        <f t="shared" si="2"/>
        <v>#N/A</v>
      </c>
      <c r="G1045" s="1" t="str">
        <f t="shared" si="3"/>
        <v/>
      </c>
      <c r="H1045" s="5" t="str">
        <f t="shared" si="4"/>
        <v>NEW ROUTE</v>
      </c>
    </row>
    <row r="1046" ht="12.75" customHeight="1">
      <c r="A1046" s="4" t="s">
        <v>1890</v>
      </c>
      <c r="B1046" s="5" t="s">
        <v>1890</v>
      </c>
      <c r="C1046" s="1" t="str">
        <f t="shared" si="1"/>
        <v/>
      </c>
      <c r="E1046" s="5" t="s">
        <v>1890</v>
      </c>
      <c r="F1046" s="6" t="str">
        <f t="shared" si="2"/>
        <v>Four Island Icefall Cave Entrance</v>
      </c>
      <c r="G1046" s="1" t="str">
        <f t="shared" si="3"/>
        <v>Four Island Icefall Cave Entrance</v>
      </c>
      <c r="H1046" s="5" t="str">
        <f t="shared" si="4"/>
        <v>Four Island Icefall Cave Entrance</v>
      </c>
    </row>
    <row r="1047" ht="12.75" customHeight="1">
      <c r="A1047" s="4" t="s">
        <v>2799</v>
      </c>
      <c r="B1047" s="5">
        <v>0.2</v>
      </c>
      <c r="C1047" s="1" t="str">
        <f t="shared" si="1"/>
        <v/>
      </c>
      <c r="E1047" s="5">
        <v>0.2</v>
      </c>
      <c r="F1047" s="6" t="str">
        <f t="shared" si="2"/>
        <v>#N/A</v>
      </c>
      <c r="G1047" s="1" t="str">
        <f t="shared" si="3"/>
        <v/>
      </c>
      <c r="H1047" s="5">
        <f t="shared" si="4"/>
        <v>0.2</v>
      </c>
    </row>
    <row r="1048" ht="12.75" customHeight="1">
      <c r="A1048" s="4" t="s">
        <v>742</v>
      </c>
      <c r="B1048" s="5" t="s">
        <v>742</v>
      </c>
      <c r="C1048" s="1" t="str">
        <f t="shared" si="1"/>
        <v/>
      </c>
      <c r="E1048" s="5" t="s">
        <v>742</v>
      </c>
      <c r="F1048" s="6" t="str">
        <f t="shared" si="2"/>
        <v>#N/A</v>
      </c>
      <c r="G1048" s="1" t="str">
        <f t="shared" si="3"/>
        <v/>
      </c>
      <c r="H1048" s="5" t="str">
        <f t="shared" si="4"/>
        <v>43, 43, SEEL</v>
      </c>
    </row>
    <row r="1049" ht="12.75" customHeight="1">
      <c r="A1049" s="4" t="s">
        <v>3149</v>
      </c>
      <c r="B1049" s="5" t="s">
        <v>3149</v>
      </c>
      <c r="C1049" s="1" t="str">
        <f t="shared" si="1"/>
        <v/>
      </c>
      <c r="E1049" s="5" t="s">
        <v>3149</v>
      </c>
      <c r="F1049" s="6" t="str">
        <f t="shared" si="2"/>
        <v>#N/A</v>
      </c>
      <c r="G1049" s="1" t="str">
        <f t="shared" si="3"/>
        <v/>
      </c>
      <c r="H1049" s="5" t="str">
        <f t="shared" si="4"/>
        <v>45, 45, GOLBAT</v>
      </c>
    </row>
    <row r="1050" ht="12.75" customHeight="1">
      <c r="A1050" s="4" t="s">
        <v>2802</v>
      </c>
      <c r="B1050" s="5">
        <v>0.1</v>
      </c>
      <c r="C1050" s="1" t="str">
        <f t="shared" si="1"/>
        <v/>
      </c>
      <c r="E1050" s="5">
        <v>0.1</v>
      </c>
      <c r="F1050" s="6" t="str">
        <f t="shared" si="2"/>
        <v>#N/A</v>
      </c>
      <c r="G1050" s="1" t="str">
        <f t="shared" si="3"/>
        <v/>
      </c>
      <c r="H1050" s="5">
        <f t="shared" si="4"/>
        <v>0.1</v>
      </c>
    </row>
    <row r="1051" ht="12.75" customHeight="1">
      <c r="A1051" s="4" t="s">
        <v>3150</v>
      </c>
      <c r="B1051" s="5" t="s">
        <v>3150</v>
      </c>
      <c r="C1051" s="1" t="str">
        <f t="shared" si="1"/>
        <v/>
      </c>
      <c r="E1051" s="5" t="s">
        <v>3150</v>
      </c>
      <c r="F1051" s="6" t="str">
        <f t="shared" si="2"/>
        <v>#N/A</v>
      </c>
      <c r="G1051" s="1" t="str">
        <f t="shared" si="3"/>
        <v/>
      </c>
      <c r="H1051" s="5" t="str">
        <f t="shared" si="4"/>
        <v>45, 45, SEEL</v>
      </c>
    </row>
    <row r="1052" ht="12.75" customHeight="1">
      <c r="A1052" s="4" t="s">
        <v>3151</v>
      </c>
      <c r="B1052" s="5" t="s">
        <v>3151</v>
      </c>
      <c r="C1052" s="1" t="str">
        <f t="shared" si="1"/>
        <v/>
      </c>
      <c r="E1052" s="5" t="s">
        <v>3151</v>
      </c>
      <c r="F1052" s="6" t="str">
        <f t="shared" si="2"/>
        <v>#N/A</v>
      </c>
      <c r="G1052" s="1" t="str">
        <f t="shared" si="3"/>
        <v/>
      </c>
      <c r="H1052" s="5" t="str">
        <f t="shared" si="4"/>
        <v>47, 47, SEEL</v>
      </c>
    </row>
    <row r="1053" ht="12.75" customHeight="1">
      <c r="A1053" s="4" t="s">
        <v>3152</v>
      </c>
      <c r="B1053" s="5" t="s">
        <v>3152</v>
      </c>
      <c r="C1053" s="1" t="str">
        <f t="shared" si="1"/>
        <v/>
      </c>
      <c r="E1053" s="5" t="s">
        <v>3152</v>
      </c>
      <c r="F1053" s="6" t="str">
        <f t="shared" si="2"/>
        <v>#N/A</v>
      </c>
      <c r="G1053" s="1" t="str">
        <f t="shared" si="3"/>
        <v/>
      </c>
      <c r="H1053" s="5" t="str">
        <f t="shared" si="4"/>
        <v>40, 40, ZUBAT</v>
      </c>
    </row>
    <row r="1054" ht="12.75" customHeight="1">
      <c r="A1054" s="4" t="s">
        <v>3153</v>
      </c>
      <c r="B1054" s="5" t="s">
        <v>3153</v>
      </c>
      <c r="C1054" s="1" t="str">
        <f t="shared" si="1"/>
        <v/>
      </c>
      <c r="E1054" s="5" t="s">
        <v>3153</v>
      </c>
      <c r="F1054" s="6" t="str">
        <f t="shared" si="2"/>
        <v>#N/A</v>
      </c>
      <c r="G1054" s="1" t="str">
        <f t="shared" si="3"/>
        <v/>
      </c>
      <c r="H1054" s="5" t="str">
        <f t="shared" si="4"/>
        <v>49, 49, DEWGONG</v>
      </c>
    </row>
    <row r="1055" ht="12.75" customHeight="1">
      <c r="A1055" s="4" t="s">
        <v>2807</v>
      </c>
      <c r="B1055" s="5">
        <v>0.05</v>
      </c>
      <c r="C1055" s="1" t="str">
        <f t="shared" si="1"/>
        <v/>
      </c>
      <c r="E1055" s="5">
        <v>0.05</v>
      </c>
      <c r="F1055" s="6" t="str">
        <f t="shared" si="2"/>
        <v>#N/A</v>
      </c>
      <c r="G1055" s="1" t="str">
        <f t="shared" si="3"/>
        <v/>
      </c>
      <c r="H1055" s="5">
        <f t="shared" si="4"/>
        <v>0.05</v>
      </c>
    </row>
    <row r="1056" ht="12.75" customHeight="1">
      <c r="A1056" s="4" t="s">
        <v>3154</v>
      </c>
      <c r="B1056" s="5" t="s">
        <v>3154</v>
      </c>
      <c r="C1056" s="1" t="str">
        <f t="shared" si="1"/>
        <v/>
      </c>
      <c r="E1056" s="5" t="s">
        <v>3154</v>
      </c>
      <c r="F1056" s="6" t="str">
        <f t="shared" si="2"/>
        <v>#N/A</v>
      </c>
      <c r="G1056" s="1" t="str">
        <f t="shared" si="3"/>
        <v/>
      </c>
      <c r="H1056" s="5" t="str">
        <f t="shared" si="4"/>
        <v>51, 51, DEWGONG</v>
      </c>
    </row>
    <row r="1057" ht="12.75" customHeight="1">
      <c r="A1057" s="4" t="s">
        <v>3155</v>
      </c>
      <c r="B1057" s="5" t="s">
        <v>3155</v>
      </c>
      <c r="C1057" s="1" t="str">
        <f t="shared" si="1"/>
        <v/>
      </c>
      <c r="E1057" s="5" t="s">
        <v>3155</v>
      </c>
      <c r="F1057" s="6" t="str">
        <f t="shared" si="2"/>
        <v>#N/A</v>
      </c>
      <c r="G1057" s="1" t="str">
        <f t="shared" si="3"/>
        <v/>
      </c>
      <c r="H1057" s="5" t="str">
        <f t="shared" si="4"/>
        <v>41, 41, SLOWPOKE</v>
      </c>
    </row>
    <row r="1058" ht="12.75" customHeight="1">
      <c r="A1058" s="4" t="s">
        <v>2810</v>
      </c>
      <c r="B1058" s="5">
        <v>0.04</v>
      </c>
      <c r="C1058" s="1" t="str">
        <f t="shared" si="1"/>
        <v/>
      </c>
      <c r="E1058" s="5">
        <v>0.04</v>
      </c>
      <c r="F1058" s="6" t="str">
        <f t="shared" si="2"/>
        <v>#N/A</v>
      </c>
      <c r="G1058" s="1" t="str">
        <f t="shared" si="3"/>
        <v/>
      </c>
      <c r="H1058" s="5">
        <f t="shared" si="4"/>
        <v>0.04</v>
      </c>
    </row>
    <row r="1059" ht="12.75" customHeight="1">
      <c r="A1059" s="4" t="s">
        <v>3156</v>
      </c>
      <c r="B1059" s="5" t="s">
        <v>3156</v>
      </c>
      <c r="C1059" s="1" t="str">
        <f t="shared" si="1"/>
        <v/>
      </c>
      <c r="E1059" s="5" t="s">
        <v>3156</v>
      </c>
      <c r="F1059" s="6" t="str">
        <f t="shared" si="2"/>
        <v>#N/A</v>
      </c>
      <c r="G1059" s="1" t="str">
        <f t="shared" si="3"/>
        <v/>
      </c>
      <c r="H1059" s="5" t="str">
        <f t="shared" si="4"/>
        <v>48, 48, GOLBAT</v>
      </c>
    </row>
    <row r="1060" ht="12.75" customHeight="1">
      <c r="A1060" s="4" t="s">
        <v>3157</v>
      </c>
      <c r="B1060" s="5" t="s">
        <v>3157</v>
      </c>
      <c r="C1060" s="1" t="str">
        <f t="shared" si="1"/>
        <v/>
      </c>
      <c r="E1060" s="5" t="s">
        <v>3157</v>
      </c>
      <c r="F1060" s="6" t="str">
        <f t="shared" si="2"/>
        <v>#N/A</v>
      </c>
      <c r="G1060" s="1" t="str">
        <f t="shared" si="3"/>
        <v/>
      </c>
      <c r="H1060" s="5" t="str">
        <f t="shared" si="4"/>
        <v>53, 53, DEWGONG</v>
      </c>
    </row>
    <row r="1061" ht="12.75" customHeight="1">
      <c r="A1061" s="4" t="s">
        <v>2813</v>
      </c>
      <c r="B1061" s="5">
        <v>0.01</v>
      </c>
      <c r="C1061" s="1" t="str">
        <f t="shared" si="1"/>
        <v/>
      </c>
      <c r="E1061" s="5">
        <v>0.01</v>
      </c>
      <c r="F1061" s="6" t="str">
        <f t="shared" si="2"/>
        <v>#N/A</v>
      </c>
      <c r="G1061" s="1" t="str">
        <f t="shared" si="3"/>
        <v/>
      </c>
      <c r="H1061" s="5">
        <f t="shared" si="4"/>
        <v>0.01</v>
      </c>
    </row>
    <row r="1062" ht="12.75" customHeight="1">
      <c r="A1062" s="4" t="s">
        <v>3156</v>
      </c>
      <c r="B1062" s="5" t="s">
        <v>3156</v>
      </c>
      <c r="C1062" s="1" t="str">
        <f t="shared" si="1"/>
        <v/>
      </c>
      <c r="E1062" s="5" t="s">
        <v>3156</v>
      </c>
      <c r="F1062" s="6" t="str">
        <f t="shared" si="2"/>
        <v>#N/A</v>
      </c>
      <c r="G1062" s="1" t="str">
        <f t="shared" si="3"/>
        <v/>
      </c>
      <c r="H1062" s="5" t="str">
        <f t="shared" si="4"/>
        <v>48, 48, GOLBAT</v>
      </c>
    </row>
    <row r="1063" ht="12.75" customHeight="1">
      <c r="A1063" s="4" t="s">
        <v>3157</v>
      </c>
      <c r="B1063" s="5" t="s">
        <v>3157</v>
      </c>
      <c r="C1063" s="1" t="str">
        <f t="shared" si="1"/>
        <v/>
      </c>
      <c r="E1063" s="5" t="s">
        <v>3157</v>
      </c>
      <c r="F1063" s="6" t="str">
        <f t="shared" si="2"/>
        <v>#N/A</v>
      </c>
      <c r="G1063" s="1" t="str">
        <f t="shared" si="3"/>
        <v/>
      </c>
      <c r="H1063" s="5" t="str">
        <f t="shared" si="4"/>
        <v>53, 53, DEWGONG</v>
      </c>
    </row>
    <row r="1064" ht="12.75" customHeight="1">
      <c r="A1064" s="4" t="s">
        <v>3158</v>
      </c>
      <c r="B1064" s="5" t="s">
        <v>3158</v>
      </c>
      <c r="C1064" s="1" t="str">
        <f t="shared" si="1"/>
        <v/>
      </c>
      <c r="E1064" s="5" t="s">
        <v>3158</v>
      </c>
      <c r="F1064" s="6" t="str">
        <f t="shared" si="2"/>
        <v>#N/A</v>
      </c>
      <c r="G1064" s="1" t="str">
        <f t="shared" si="3"/>
        <v/>
      </c>
      <c r="H1064" s="5" t="str">
        <f t="shared" si="4"/>
        <v>2, 5, 35, SEEL</v>
      </c>
    </row>
    <row r="1065" ht="12.75" customHeight="1">
      <c r="A1065" s="4" t="s">
        <v>3159</v>
      </c>
      <c r="B1065" s="5" t="s">
        <v>3159</v>
      </c>
      <c r="C1065" s="1" t="str">
        <f t="shared" si="1"/>
        <v/>
      </c>
      <c r="E1065" s="5" t="s">
        <v>3159</v>
      </c>
      <c r="F1065" s="6" t="str">
        <f t="shared" si="2"/>
        <v>#N/A</v>
      </c>
      <c r="G1065" s="1" t="str">
        <f t="shared" si="3"/>
        <v/>
      </c>
      <c r="H1065" s="5" t="str">
        <f t="shared" si="4"/>
        <v>5, 35, SLOWPOKE</v>
      </c>
    </row>
    <row r="1066" ht="12.75" customHeight="1">
      <c r="A1066" s="4" t="s">
        <v>3160</v>
      </c>
      <c r="B1066" s="5" t="s">
        <v>3160</v>
      </c>
      <c r="C1066" s="1" t="str">
        <f t="shared" si="1"/>
        <v/>
      </c>
      <c r="E1066" s="5" t="s">
        <v>3160</v>
      </c>
      <c r="F1066" s="6" t="str">
        <f t="shared" si="2"/>
        <v>#N/A</v>
      </c>
      <c r="G1066" s="1" t="str">
        <f t="shared" si="3"/>
        <v/>
      </c>
      <c r="H1066" s="5" t="str">
        <f t="shared" si="4"/>
        <v>35, 40, DEWGONG</v>
      </c>
    </row>
    <row r="1067" ht="12.75" customHeight="1">
      <c r="A1067" s="4" t="s">
        <v>3161</v>
      </c>
      <c r="B1067" s="5" t="s">
        <v>3161</v>
      </c>
      <c r="C1067" s="1" t="str">
        <f t="shared" si="1"/>
        <v/>
      </c>
      <c r="E1067" s="5" t="s">
        <v>3161</v>
      </c>
      <c r="F1067" s="6" t="str">
        <f t="shared" si="2"/>
        <v>#N/A</v>
      </c>
      <c r="G1067" s="1" t="str">
        <f t="shared" si="3"/>
        <v/>
      </c>
      <c r="H1067" s="5" t="str">
        <f t="shared" si="4"/>
        <v>5, 15, MARILL</v>
      </c>
    </row>
    <row r="1068" ht="12.75" customHeight="1">
      <c r="A1068" s="4" t="s">
        <v>3161</v>
      </c>
      <c r="B1068" s="5" t="s">
        <v>3161</v>
      </c>
      <c r="C1068" s="1" t="str">
        <f t="shared" si="1"/>
        <v/>
      </c>
      <c r="E1068" s="5" t="s">
        <v>3161</v>
      </c>
      <c r="F1068" s="6" t="str">
        <f t="shared" si="2"/>
        <v>#N/A</v>
      </c>
      <c r="G1068" s="1" t="str">
        <f t="shared" si="3"/>
        <v/>
      </c>
      <c r="H1068" s="5" t="str">
        <f t="shared" si="4"/>
        <v>5, 15, MARILL</v>
      </c>
    </row>
    <row r="1069" ht="12.75" customHeight="1">
      <c r="A1069" s="4" t="s">
        <v>2926</v>
      </c>
      <c r="B1069" s="5" t="s">
        <v>2926</v>
      </c>
      <c r="C1069" s="1" t="str">
        <f t="shared" si="1"/>
        <v/>
      </c>
      <c r="E1069" s="5" t="s">
        <v>2926</v>
      </c>
      <c r="F1069" s="6" t="str">
        <f t="shared" si="2"/>
        <v>#N/A</v>
      </c>
      <c r="G1069" s="1" t="str">
        <f t="shared" si="3"/>
        <v/>
      </c>
      <c r="H1069" s="5" t="str">
        <f t="shared" si="4"/>
        <v>20, old rod:</v>
      </c>
    </row>
    <row r="1070" ht="12.75" customHeight="1">
      <c r="A1070" s="4" t="s">
        <v>417</v>
      </c>
      <c r="B1070" s="5" t="s">
        <v>417</v>
      </c>
      <c r="C1070" s="1" t="str">
        <f t="shared" si="1"/>
        <v/>
      </c>
      <c r="E1070" s="5" t="s">
        <v>417</v>
      </c>
      <c r="F1070" s="6" t="str">
        <f t="shared" si="2"/>
        <v>#N/A</v>
      </c>
      <c r="G1070" s="1" t="str">
        <f t="shared" si="3"/>
        <v/>
      </c>
      <c r="H1070" s="5" t="str">
        <f t="shared" si="4"/>
        <v>5, 5, MAGIKARP</v>
      </c>
    </row>
    <row r="1071" ht="12.75" customHeight="1">
      <c r="A1071" s="4" t="s">
        <v>417</v>
      </c>
      <c r="B1071" s="5" t="s">
        <v>417</v>
      </c>
      <c r="C1071" s="1" t="str">
        <f t="shared" si="1"/>
        <v/>
      </c>
      <c r="E1071" s="5" t="s">
        <v>417</v>
      </c>
      <c r="F1071" s="6" t="str">
        <f t="shared" si="2"/>
        <v>#N/A</v>
      </c>
      <c r="G1071" s="1" t="str">
        <f t="shared" si="3"/>
        <v/>
      </c>
      <c r="H1071" s="5" t="str">
        <f t="shared" si="4"/>
        <v>5, 5, MAGIKARP</v>
      </c>
    </row>
    <row r="1072" ht="12.75" customHeight="1">
      <c r="A1072" s="4" t="s">
        <v>2847</v>
      </c>
      <c r="B1072" s="5" t="s">
        <v>2847</v>
      </c>
      <c r="C1072" s="1" t="str">
        <f t="shared" si="1"/>
        <v/>
      </c>
      <c r="E1072" s="5" t="s">
        <v>2847</v>
      </c>
      <c r="F1072" s="6" t="str">
        <f t="shared" si="2"/>
        <v>#N/A</v>
      </c>
      <c r="G1072" s="1" t="str">
        <f t="shared" si="3"/>
        <v/>
      </c>
      <c r="H1072" s="5" t="str">
        <f t="shared" si="4"/>
        <v>good rod:</v>
      </c>
    </row>
    <row r="1073" ht="12.75" customHeight="1">
      <c r="A1073" s="4" t="s">
        <v>3144</v>
      </c>
      <c r="B1073" s="5" t="s">
        <v>3144</v>
      </c>
      <c r="C1073" s="1" t="str">
        <f t="shared" si="1"/>
        <v/>
      </c>
      <c r="E1073" s="5" t="s">
        <v>3144</v>
      </c>
      <c r="F1073" s="6" t="str">
        <f t="shared" si="2"/>
        <v>#N/A</v>
      </c>
      <c r="G1073" s="1" t="str">
        <f t="shared" si="3"/>
        <v/>
      </c>
      <c r="H1073" s="5" t="str">
        <f t="shared" si="4"/>
        <v>5, 15, POLIWAG</v>
      </c>
    </row>
    <row r="1074" ht="12.75" customHeight="1">
      <c r="A1074" s="4" t="s">
        <v>2849</v>
      </c>
      <c r="B1074" s="5" t="s">
        <v>2849</v>
      </c>
      <c r="C1074" s="1" t="str">
        <f t="shared" si="1"/>
        <v/>
      </c>
      <c r="E1074" s="5" t="s">
        <v>2849</v>
      </c>
      <c r="F1074" s="6" t="str">
        <f t="shared" si="2"/>
        <v>#N/A</v>
      </c>
      <c r="G1074" s="1" t="str">
        <f t="shared" si="3"/>
        <v/>
      </c>
      <c r="H1074" s="5" t="str">
        <f t="shared" si="4"/>
        <v>5, 15, MAGIKARP</v>
      </c>
    </row>
    <row r="1075" ht="12.75" customHeight="1">
      <c r="A1075" s="4" t="s">
        <v>3143</v>
      </c>
      <c r="B1075" s="5" t="s">
        <v>3143</v>
      </c>
      <c r="C1075" s="1" t="str">
        <f t="shared" si="1"/>
        <v/>
      </c>
      <c r="E1075" s="5" t="s">
        <v>3143</v>
      </c>
      <c r="F1075" s="6" t="str">
        <f t="shared" si="2"/>
        <v>#N/A</v>
      </c>
      <c r="G1075" s="1" t="str">
        <f t="shared" si="3"/>
        <v/>
      </c>
      <c r="H1075" s="5" t="str">
        <f t="shared" si="4"/>
        <v>5, 15, GOLDEEN</v>
      </c>
    </row>
    <row r="1076" ht="12.75" customHeight="1">
      <c r="A1076" s="4" t="s">
        <v>2851</v>
      </c>
      <c r="B1076" s="5" t="s">
        <v>2851</v>
      </c>
      <c r="C1076" s="1" t="str">
        <f t="shared" si="1"/>
        <v/>
      </c>
      <c r="E1076" s="5" t="s">
        <v>2851</v>
      </c>
      <c r="F1076" s="6" t="str">
        <f t="shared" si="2"/>
        <v>#N/A</v>
      </c>
      <c r="G1076" s="1" t="str">
        <f t="shared" si="3"/>
        <v/>
      </c>
      <c r="H1076" s="5" t="str">
        <f t="shared" si="4"/>
        <v>super rod:</v>
      </c>
    </row>
    <row r="1077" ht="12.75" customHeight="1">
      <c r="A1077" s="4" t="s">
        <v>3162</v>
      </c>
      <c r="B1077" s="5" t="s">
        <v>3162</v>
      </c>
      <c r="C1077" s="1" t="str">
        <f t="shared" si="1"/>
        <v/>
      </c>
      <c r="E1077" s="5" t="s">
        <v>3162</v>
      </c>
      <c r="F1077" s="6" t="str">
        <f t="shared" si="2"/>
        <v>#N/A</v>
      </c>
      <c r="G1077" s="1" t="str">
        <f t="shared" si="3"/>
        <v/>
      </c>
      <c r="H1077" s="5" t="str">
        <f t="shared" si="4"/>
        <v>15, 25, POLIWAG</v>
      </c>
    </row>
    <row r="1078" ht="12.75" customHeight="1">
      <c r="A1078" s="4" t="s">
        <v>3163</v>
      </c>
      <c r="B1078" s="5" t="s">
        <v>3163</v>
      </c>
      <c r="C1078" s="1" t="str">
        <f t="shared" si="1"/>
        <v/>
      </c>
      <c r="E1078" s="5" t="s">
        <v>3163</v>
      </c>
      <c r="F1078" s="6" t="str">
        <f t="shared" si="2"/>
        <v>#N/A</v>
      </c>
      <c r="G1078" s="1" t="str">
        <f t="shared" si="3"/>
        <v/>
      </c>
      <c r="H1078" s="5" t="str">
        <f t="shared" si="4"/>
        <v>20, 30, POLIWHIRL</v>
      </c>
    </row>
    <row r="1079" ht="12.75" customHeight="1">
      <c r="A1079" s="4" t="s">
        <v>2854</v>
      </c>
      <c r="B1079" s="5" t="s">
        <v>2854</v>
      </c>
      <c r="C1079" s="1" t="str">
        <f t="shared" si="1"/>
        <v/>
      </c>
      <c r="E1079" s="5" t="s">
        <v>2854</v>
      </c>
      <c r="F1079" s="6" t="str">
        <f t="shared" si="2"/>
        <v>#N/A</v>
      </c>
      <c r="G1079" s="1" t="str">
        <f t="shared" si="3"/>
        <v/>
      </c>
      <c r="H1079" s="5" t="str">
        <f t="shared" si="4"/>
        <v>15, 25, GYARADOS</v>
      </c>
    </row>
    <row r="1080" ht="12.75" customHeight="1">
      <c r="A1080" s="4" t="s">
        <v>3147</v>
      </c>
      <c r="B1080" s="5" t="s">
        <v>3147</v>
      </c>
      <c r="C1080" s="1" t="str">
        <f t="shared" si="1"/>
        <v/>
      </c>
      <c r="E1080" s="5" t="s">
        <v>3147</v>
      </c>
      <c r="F1080" s="6" t="str">
        <f t="shared" si="2"/>
        <v>#N/A</v>
      </c>
      <c r="G1080" s="1" t="str">
        <f t="shared" si="3"/>
        <v/>
      </c>
      <c r="H1080" s="5" t="str">
        <f t="shared" si="4"/>
        <v>15, 25, SLOWPOKE</v>
      </c>
    </row>
    <row r="1081" ht="12.75" customHeight="1">
      <c r="A1081" s="4" t="s">
        <v>2856</v>
      </c>
      <c r="B1081" s="5" t="s">
        <v>2856</v>
      </c>
      <c r="C1081" s="1" t="str">
        <f t="shared" si="1"/>
        <v/>
      </c>
      <c r="E1081" s="5" t="s">
        <v>2856</v>
      </c>
      <c r="F1081" s="6" t="str">
        <f t="shared" si="2"/>
        <v>#N/A</v>
      </c>
      <c r="G1081" s="1" t="str">
        <f t="shared" si="3"/>
        <v/>
      </c>
      <c r="H1081" s="5" t="str">
        <f t="shared" si="4"/>
        <v>25, 35, SLOWPOKE</v>
      </c>
    </row>
    <row r="1082" ht="12.75" customHeight="1">
      <c r="A1082" s="4" t="s">
        <v>2539</v>
      </c>
      <c r="B1082" s="5" t="s">
        <v>2539</v>
      </c>
      <c r="C1082" s="1">
        <f t="shared" si="1"/>
        <v>1</v>
      </c>
      <c r="E1082" s="5" t="s">
        <v>2539</v>
      </c>
      <c r="F1082" s="6" t="str">
        <f t="shared" si="2"/>
        <v>#N/A</v>
      </c>
      <c r="G1082" s="1" t="str">
        <f t="shared" si="3"/>
        <v/>
      </c>
      <c r="H1082" s="5" t="str">
        <f t="shared" si="4"/>
        <v>NEW ROUTE</v>
      </c>
    </row>
    <row r="1083" ht="12.75" customHeight="1">
      <c r="A1083" s="4" t="s">
        <v>1895</v>
      </c>
      <c r="B1083" s="5" t="s">
        <v>1895</v>
      </c>
      <c r="C1083" s="1" t="str">
        <f t="shared" si="1"/>
        <v/>
      </c>
      <c r="E1083" s="5" t="s">
        <v>1895</v>
      </c>
      <c r="F1083" s="6" t="str">
        <f t="shared" si="2"/>
        <v>Four Island Icefall Cave 1F</v>
      </c>
      <c r="G1083" s="1" t="str">
        <f t="shared" si="3"/>
        <v>Four Island Icefall Cave 1F</v>
      </c>
      <c r="H1083" s="5" t="str">
        <f t="shared" si="4"/>
        <v>Four Island Icefall Cave 1F</v>
      </c>
    </row>
    <row r="1084" ht="12.75" customHeight="1">
      <c r="A1084" s="4" t="s">
        <v>2799</v>
      </c>
      <c r="B1084" s="5">
        <v>0.2</v>
      </c>
      <c r="C1084" s="1" t="str">
        <f t="shared" si="1"/>
        <v/>
      </c>
      <c r="E1084" s="5">
        <v>0.2</v>
      </c>
      <c r="F1084" s="6" t="str">
        <f t="shared" si="2"/>
        <v>#N/A</v>
      </c>
      <c r="G1084" s="1" t="str">
        <f t="shared" si="3"/>
        <v/>
      </c>
      <c r="H1084" s="5">
        <f t="shared" si="4"/>
        <v>0.2</v>
      </c>
    </row>
    <row r="1085" ht="12.75" customHeight="1">
      <c r="A1085" s="4" t="s">
        <v>760</v>
      </c>
      <c r="B1085" s="5" t="s">
        <v>760</v>
      </c>
      <c r="C1085" s="1" t="str">
        <f t="shared" si="1"/>
        <v/>
      </c>
      <c r="E1085" s="5" t="s">
        <v>760</v>
      </c>
      <c r="F1085" s="6" t="str">
        <f t="shared" si="2"/>
        <v>#N/A</v>
      </c>
      <c r="G1085" s="1" t="str">
        <f t="shared" si="3"/>
        <v/>
      </c>
      <c r="H1085" s="5" t="str">
        <f t="shared" si="4"/>
        <v>25, 25, SWINUB</v>
      </c>
    </row>
    <row r="1086" ht="12.75" customHeight="1">
      <c r="A1086" s="4" t="s">
        <v>3149</v>
      </c>
      <c r="B1086" s="5" t="s">
        <v>3149</v>
      </c>
      <c r="C1086" s="1" t="str">
        <f t="shared" si="1"/>
        <v/>
      </c>
      <c r="E1086" s="5" t="s">
        <v>3149</v>
      </c>
      <c r="F1086" s="6" t="str">
        <f t="shared" si="2"/>
        <v>#N/A</v>
      </c>
      <c r="G1086" s="1" t="str">
        <f t="shared" si="3"/>
        <v/>
      </c>
      <c r="H1086" s="5" t="str">
        <f t="shared" si="4"/>
        <v>45, 45, GOLBAT</v>
      </c>
    </row>
    <row r="1087" ht="12.75" customHeight="1">
      <c r="A1087" s="4" t="s">
        <v>2802</v>
      </c>
      <c r="B1087" s="5">
        <v>0.1</v>
      </c>
      <c r="C1087" s="1" t="str">
        <f t="shared" si="1"/>
        <v/>
      </c>
      <c r="E1087" s="5">
        <v>0.1</v>
      </c>
      <c r="F1087" s="6" t="str">
        <f t="shared" si="2"/>
        <v>#N/A</v>
      </c>
      <c r="G1087" s="1" t="str">
        <f t="shared" si="3"/>
        <v/>
      </c>
      <c r="H1087" s="5">
        <f t="shared" si="4"/>
        <v>0.1</v>
      </c>
    </row>
    <row r="1088" ht="12.75" customHeight="1">
      <c r="A1088" s="4" t="s">
        <v>3150</v>
      </c>
      <c r="B1088" s="5" t="s">
        <v>3150</v>
      </c>
      <c r="C1088" s="1" t="str">
        <f t="shared" si="1"/>
        <v/>
      </c>
      <c r="E1088" s="5" t="s">
        <v>3150</v>
      </c>
      <c r="F1088" s="6" t="str">
        <f t="shared" si="2"/>
        <v>#N/A</v>
      </c>
      <c r="G1088" s="1" t="str">
        <f t="shared" si="3"/>
        <v/>
      </c>
      <c r="H1088" s="5" t="str">
        <f t="shared" si="4"/>
        <v>45, 45, SEEL</v>
      </c>
    </row>
    <row r="1089" ht="12.75" customHeight="1">
      <c r="A1089" s="4" t="s">
        <v>3165</v>
      </c>
      <c r="B1089" s="5" t="s">
        <v>3165</v>
      </c>
      <c r="C1089" s="1" t="str">
        <f t="shared" si="1"/>
        <v/>
      </c>
      <c r="E1089" s="5" t="s">
        <v>3165</v>
      </c>
      <c r="F1089" s="6" t="str">
        <f t="shared" si="2"/>
        <v>#N/A</v>
      </c>
      <c r="G1089" s="1" t="str">
        <f t="shared" si="3"/>
        <v/>
      </c>
      <c r="H1089" s="5" t="str">
        <f t="shared" si="4"/>
        <v>27, 27, SWINUB</v>
      </c>
    </row>
    <row r="1090" ht="12.75" customHeight="1">
      <c r="A1090" s="4" t="s">
        <v>3152</v>
      </c>
      <c r="B1090" s="5" t="s">
        <v>3152</v>
      </c>
      <c r="C1090" s="1" t="str">
        <f t="shared" si="1"/>
        <v/>
      </c>
      <c r="E1090" s="5" t="s">
        <v>3152</v>
      </c>
      <c r="F1090" s="6" t="str">
        <f t="shared" si="2"/>
        <v>#N/A</v>
      </c>
      <c r="G1090" s="1" t="str">
        <f t="shared" si="3"/>
        <v/>
      </c>
      <c r="H1090" s="5" t="str">
        <f t="shared" si="4"/>
        <v>40, 40, ZUBAT</v>
      </c>
    </row>
    <row r="1091" ht="12.75" customHeight="1">
      <c r="A1091" s="4" t="s">
        <v>3166</v>
      </c>
      <c r="B1091" s="5" t="s">
        <v>3166</v>
      </c>
      <c r="C1091" s="1" t="str">
        <f t="shared" si="1"/>
        <v/>
      </c>
      <c r="E1091" s="5" t="s">
        <v>3166</v>
      </c>
      <c r="F1091" s="6" t="str">
        <f t="shared" si="2"/>
        <v>#N/A</v>
      </c>
      <c r="G1091" s="1" t="str">
        <f t="shared" si="3"/>
        <v/>
      </c>
      <c r="H1091" s="5" t="str">
        <f t="shared" si="4"/>
        <v>29, 29, SWINUB</v>
      </c>
    </row>
    <row r="1092" ht="12.75" customHeight="1">
      <c r="A1092" s="4" t="s">
        <v>2807</v>
      </c>
      <c r="B1092" s="5">
        <v>0.05</v>
      </c>
      <c r="C1092" s="1" t="str">
        <f t="shared" si="1"/>
        <v/>
      </c>
      <c r="E1092" s="5">
        <v>0.05</v>
      </c>
      <c r="F1092" s="6" t="str">
        <f t="shared" si="2"/>
        <v>#N/A</v>
      </c>
      <c r="G1092" s="1" t="str">
        <f t="shared" si="3"/>
        <v/>
      </c>
      <c r="H1092" s="5">
        <f t="shared" si="4"/>
        <v>0.05</v>
      </c>
    </row>
    <row r="1093" ht="12.75" customHeight="1">
      <c r="A1093" s="4" t="s">
        <v>3167</v>
      </c>
      <c r="B1093" s="5" t="s">
        <v>3167</v>
      </c>
      <c r="C1093" s="1" t="str">
        <f t="shared" si="1"/>
        <v/>
      </c>
      <c r="E1093" s="5" t="s">
        <v>3167</v>
      </c>
      <c r="F1093" s="6" t="str">
        <f t="shared" si="2"/>
        <v>#N/A</v>
      </c>
      <c r="G1093" s="1" t="str">
        <f t="shared" si="3"/>
        <v/>
      </c>
      <c r="H1093" s="5" t="str">
        <f t="shared" si="4"/>
        <v>30, 30, SNEASEL</v>
      </c>
    </row>
    <row r="1094" ht="12.75" customHeight="1">
      <c r="A1094" s="4" t="s">
        <v>3168</v>
      </c>
      <c r="B1094" s="5" t="s">
        <v>3168</v>
      </c>
      <c r="C1094" s="1" t="str">
        <f t="shared" si="1"/>
        <v/>
      </c>
      <c r="E1094" s="5" t="s">
        <v>3168</v>
      </c>
      <c r="F1094" s="6" t="str">
        <f t="shared" si="2"/>
        <v>#N/A</v>
      </c>
      <c r="G1094" s="1" t="str">
        <f t="shared" si="3"/>
        <v/>
      </c>
      <c r="H1094" s="5" t="str">
        <f t="shared" si="4"/>
        <v>31, 31, SWINUB</v>
      </c>
    </row>
    <row r="1095" ht="12.75" customHeight="1">
      <c r="A1095" s="4" t="s">
        <v>2810</v>
      </c>
      <c r="B1095" s="5">
        <v>0.04</v>
      </c>
      <c r="C1095" s="1" t="str">
        <f t="shared" si="1"/>
        <v/>
      </c>
      <c r="E1095" s="5">
        <v>0.04</v>
      </c>
      <c r="F1095" s="6" t="str">
        <f t="shared" si="2"/>
        <v>#N/A</v>
      </c>
      <c r="G1095" s="1" t="str">
        <f t="shared" si="3"/>
        <v/>
      </c>
      <c r="H1095" s="5">
        <f t="shared" si="4"/>
        <v>0.04</v>
      </c>
    </row>
    <row r="1096" ht="12.75" customHeight="1">
      <c r="A1096" s="4" t="s">
        <v>3156</v>
      </c>
      <c r="B1096" s="5" t="s">
        <v>3156</v>
      </c>
      <c r="C1096" s="1" t="str">
        <f t="shared" si="1"/>
        <v/>
      </c>
      <c r="E1096" s="5" t="s">
        <v>3156</v>
      </c>
      <c r="F1096" s="6" t="str">
        <f t="shared" si="2"/>
        <v>#N/A</v>
      </c>
      <c r="G1096" s="1" t="str">
        <f t="shared" si="3"/>
        <v/>
      </c>
      <c r="H1096" s="5" t="str">
        <f t="shared" si="4"/>
        <v>48, 48, GOLBAT</v>
      </c>
    </row>
    <row r="1097" ht="12.75" customHeight="1">
      <c r="A1097" s="4" t="s">
        <v>3169</v>
      </c>
      <c r="B1097" s="5" t="s">
        <v>3169</v>
      </c>
      <c r="C1097" s="1" t="str">
        <f t="shared" si="1"/>
        <v/>
      </c>
      <c r="E1097" s="5" t="s">
        <v>3169</v>
      </c>
      <c r="F1097" s="6" t="str">
        <f t="shared" si="2"/>
        <v>#N/A</v>
      </c>
      <c r="G1097" s="1" t="str">
        <f t="shared" si="3"/>
        <v/>
      </c>
      <c r="H1097" s="5" t="str">
        <f t="shared" si="4"/>
        <v>23, 23, SWINUB</v>
      </c>
    </row>
    <row r="1098" ht="12.75" customHeight="1">
      <c r="A1098" s="4" t="s">
        <v>2813</v>
      </c>
      <c r="B1098" s="5">
        <v>0.01</v>
      </c>
      <c r="C1098" s="1" t="str">
        <f t="shared" si="1"/>
        <v/>
      </c>
      <c r="E1098" s="5">
        <v>0.01</v>
      </c>
      <c r="F1098" s="6" t="str">
        <f t="shared" si="2"/>
        <v>#N/A</v>
      </c>
      <c r="G1098" s="1" t="str">
        <f t="shared" si="3"/>
        <v/>
      </c>
      <c r="H1098" s="5">
        <f t="shared" si="4"/>
        <v>0.01</v>
      </c>
    </row>
    <row r="1099" ht="12.75" customHeight="1">
      <c r="A1099" s="4" t="s">
        <v>3156</v>
      </c>
      <c r="B1099" s="5" t="s">
        <v>3156</v>
      </c>
      <c r="C1099" s="1" t="str">
        <f t="shared" si="1"/>
        <v/>
      </c>
      <c r="E1099" s="5" t="s">
        <v>3156</v>
      </c>
      <c r="F1099" s="6" t="str">
        <f t="shared" si="2"/>
        <v>#N/A</v>
      </c>
      <c r="G1099" s="1" t="str">
        <f t="shared" si="3"/>
        <v/>
      </c>
      <c r="H1099" s="5" t="str">
        <f t="shared" si="4"/>
        <v>48, 48, GOLBAT</v>
      </c>
    </row>
    <row r="1100" ht="12.75" customHeight="1">
      <c r="A1100" s="4" t="s">
        <v>3169</v>
      </c>
      <c r="B1100" s="5" t="s">
        <v>3169</v>
      </c>
      <c r="C1100" s="1" t="str">
        <f t="shared" si="1"/>
        <v/>
      </c>
      <c r="E1100" s="5" t="s">
        <v>3169</v>
      </c>
      <c r="F1100" s="6" t="str">
        <f t="shared" si="2"/>
        <v>#N/A</v>
      </c>
      <c r="G1100" s="1" t="str">
        <f t="shared" si="3"/>
        <v/>
      </c>
      <c r="H1100" s="5" t="str">
        <f t="shared" si="4"/>
        <v>23, 23, SWINUB</v>
      </c>
    </row>
    <row r="1101" ht="12.75" customHeight="1">
      <c r="A1101" s="4" t="s">
        <v>2539</v>
      </c>
      <c r="B1101" s="5" t="s">
        <v>2539</v>
      </c>
      <c r="C1101" s="1">
        <f t="shared" si="1"/>
        <v>1</v>
      </c>
      <c r="E1101" s="5" t="s">
        <v>2539</v>
      </c>
      <c r="F1101" s="6" t="str">
        <f t="shared" si="2"/>
        <v>#N/A</v>
      </c>
      <c r="G1101" s="1" t="str">
        <f t="shared" si="3"/>
        <v/>
      </c>
      <c r="H1101" s="5" t="str">
        <f t="shared" si="4"/>
        <v>NEW ROUTE</v>
      </c>
    </row>
    <row r="1102" ht="12.75" customHeight="1">
      <c r="A1102" s="4" t="s">
        <v>1900</v>
      </c>
      <c r="B1102" s="5" t="s">
        <v>1900</v>
      </c>
      <c r="C1102" s="1" t="str">
        <f t="shared" si="1"/>
        <v/>
      </c>
      <c r="E1102" s="5" t="s">
        <v>1900</v>
      </c>
      <c r="F1102" s="6" t="str">
        <f t="shared" si="2"/>
        <v>Four Island Icefall Cave B1F</v>
      </c>
      <c r="G1102" s="1" t="str">
        <f t="shared" si="3"/>
        <v>Four Island Icefall Cave B1F</v>
      </c>
      <c r="H1102" s="5" t="str">
        <f t="shared" si="4"/>
        <v>Four Island Icefall Cave B1F</v>
      </c>
    </row>
    <row r="1103" ht="12.75" customHeight="1">
      <c r="A1103" s="4" t="s">
        <v>2799</v>
      </c>
      <c r="B1103" s="5">
        <v>0.2</v>
      </c>
      <c r="C1103" s="1" t="str">
        <f t="shared" si="1"/>
        <v/>
      </c>
      <c r="E1103" s="5">
        <v>0.2</v>
      </c>
      <c r="F1103" s="6" t="str">
        <f t="shared" si="2"/>
        <v>#N/A</v>
      </c>
      <c r="G1103" s="1" t="str">
        <f t="shared" si="3"/>
        <v/>
      </c>
      <c r="H1103" s="5">
        <f t="shared" si="4"/>
        <v>0.2</v>
      </c>
    </row>
    <row r="1104" ht="12.75" customHeight="1">
      <c r="A1104" s="4" t="s">
        <v>760</v>
      </c>
      <c r="B1104" s="5" t="s">
        <v>760</v>
      </c>
      <c r="C1104" s="1" t="str">
        <f t="shared" si="1"/>
        <v/>
      </c>
      <c r="E1104" s="5" t="s">
        <v>760</v>
      </c>
      <c r="F1104" s="6" t="str">
        <f t="shared" si="2"/>
        <v>#N/A</v>
      </c>
      <c r="G1104" s="1" t="str">
        <f t="shared" si="3"/>
        <v/>
      </c>
      <c r="H1104" s="5" t="str">
        <f t="shared" si="4"/>
        <v>25, 25, SWINUB</v>
      </c>
    </row>
    <row r="1105" ht="12.75" customHeight="1">
      <c r="A1105" s="4" t="s">
        <v>3149</v>
      </c>
      <c r="B1105" s="5" t="s">
        <v>3149</v>
      </c>
      <c r="C1105" s="1" t="str">
        <f t="shared" si="1"/>
        <v/>
      </c>
      <c r="E1105" s="5" t="s">
        <v>3149</v>
      </c>
      <c r="F1105" s="6" t="str">
        <f t="shared" si="2"/>
        <v>#N/A</v>
      </c>
      <c r="G1105" s="1" t="str">
        <f t="shared" si="3"/>
        <v/>
      </c>
      <c r="H1105" s="5" t="str">
        <f t="shared" si="4"/>
        <v>45, 45, GOLBAT</v>
      </c>
    </row>
    <row r="1106" ht="12.75" customHeight="1">
      <c r="A1106" s="4" t="s">
        <v>2802</v>
      </c>
      <c r="B1106" s="5">
        <v>0.1</v>
      </c>
      <c r="C1106" s="1" t="str">
        <f t="shared" si="1"/>
        <v/>
      </c>
      <c r="E1106" s="5">
        <v>0.1</v>
      </c>
      <c r="F1106" s="6" t="str">
        <f t="shared" si="2"/>
        <v>#N/A</v>
      </c>
      <c r="G1106" s="1" t="str">
        <f t="shared" si="3"/>
        <v/>
      </c>
      <c r="H1106" s="5">
        <f t="shared" si="4"/>
        <v>0.1</v>
      </c>
    </row>
    <row r="1107" ht="12.75" customHeight="1">
      <c r="A1107" s="4" t="s">
        <v>3150</v>
      </c>
      <c r="B1107" s="5" t="s">
        <v>3150</v>
      </c>
      <c r="C1107" s="1" t="str">
        <f t="shared" si="1"/>
        <v/>
      </c>
      <c r="E1107" s="5" t="s">
        <v>3150</v>
      </c>
      <c r="F1107" s="6" t="str">
        <f t="shared" si="2"/>
        <v>#N/A</v>
      </c>
      <c r="G1107" s="1" t="str">
        <f t="shared" si="3"/>
        <v/>
      </c>
      <c r="H1107" s="5" t="str">
        <f t="shared" si="4"/>
        <v>45, 45, SEEL</v>
      </c>
    </row>
    <row r="1108" ht="12.75" customHeight="1">
      <c r="A1108" s="4" t="s">
        <v>3165</v>
      </c>
      <c r="B1108" s="5" t="s">
        <v>3165</v>
      </c>
      <c r="C1108" s="1" t="str">
        <f t="shared" si="1"/>
        <v/>
      </c>
      <c r="E1108" s="5" t="s">
        <v>3165</v>
      </c>
      <c r="F1108" s="6" t="str">
        <f t="shared" si="2"/>
        <v>#N/A</v>
      </c>
      <c r="G1108" s="1" t="str">
        <f t="shared" si="3"/>
        <v/>
      </c>
      <c r="H1108" s="5" t="str">
        <f t="shared" si="4"/>
        <v>27, 27, SWINUB</v>
      </c>
    </row>
    <row r="1109" ht="12.75" customHeight="1">
      <c r="A1109" s="4" t="s">
        <v>3152</v>
      </c>
      <c r="B1109" s="5" t="s">
        <v>3152</v>
      </c>
      <c r="C1109" s="1" t="str">
        <f t="shared" si="1"/>
        <v/>
      </c>
      <c r="E1109" s="5" t="s">
        <v>3152</v>
      </c>
      <c r="F1109" s="6" t="str">
        <f t="shared" si="2"/>
        <v>#N/A</v>
      </c>
      <c r="G1109" s="1" t="str">
        <f t="shared" si="3"/>
        <v/>
      </c>
      <c r="H1109" s="5" t="str">
        <f t="shared" si="4"/>
        <v>40, 40, ZUBAT</v>
      </c>
    </row>
    <row r="1110" ht="12.75" customHeight="1">
      <c r="A1110" s="4" t="s">
        <v>3166</v>
      </c>
      <c r="B1110" s="5" t="s">
        <v>3166</v>
      </c>
      <c r="C1110" s="1" t="str">
        <f t="shared" si="1"/>
        <v/>
      </c>
      <c r="E1110" s="5" t="s">
        <v>3166</v>
      </c>
      <c r="F1110" s="6" t="str">
        <f t="shared" si="2"/>
        <v>#N/A</v>
      </c>
      <c r="G1110" s="1" t="str">
        <f t="shared" si="3"/>
        <v/>
      </c>
      <c r="H1110" s="5" t="str">
        <f t="shared" si="4"/>
        <v>29, 29, SWINUB</v>
      </c>
    </row>
    <row r="1111" ht="12.75" customHeight="1">
      <c r="A1111" s="4" t="s">
        <v>2807</v>
      </c>
      <c r="B1111" s="5">
        <v>0.05</v>
      </c>
      <c r="C1111" s="1" t="str">
        <f t="shared" si="1"/>
        <v/>
      </c>
      <c r="E1111" s="5">
        <v>0.05</v>
      </c>
      <c r="F1111" s="6" t="str">
        <f t="shared" si="2"/>
        <v>#N/A</v>
      </c>
      <c r="G1111" s="1" t="str">
        <f t="shared" si="3"/>
        <v/>
      </c>
      <c r="H1111" s="5">
        <f t="shared" si="4"/>
        <v>0.05</v>
      </c>
    </row>
    <row r="1112" ht="12.75" customHeight="1">
      <c r="A1112" s="4" t="s">
        <v>3167</v>
      </c>
      <c r="B1112" s="5" t="s">
        <v>3167</v>
      </c>
      <c r="C1112" s="1" t="str">
        <f t="shared" si="1"/>
        <v/>
      </c>
      <c r="E1112" s="5" t="s">
        <v>3167</v>
      </c>
      <c r="F1112" s="6" t="str">
        <f t="shared" si="2"/>
        <v>#N/A</v>
      </c>
      <c r="G1112" s="1" t="str">
        <f t="shared" si="3"/>
        <v/>
      </c>
      <c r="H1112" s="5" t="str">
        <f t="shared" si="4"/>
        <v>30, 30, SNEASEL</v>
      </c>
    </row>
    <row r="1113" ht="12.75" customHeight="1">
      <c r="A1113" s="4" t="s">
        <v>3168</v>
      </c>
      <c r="B1113" s="5" t="s">
        <v>3168</v>
      </c>
      <c r="C1113" s="1" t="str">
        <f t="shared" si="1"/>
        <v/>
      </c>
      <c r="E1113" s="5" t="s">
        <v>3168</v>
      </c>
      <c r="F1113" s="6" t="str">
        <f t="shared" si="2"/>
        <v>#N/A</v>
      </c>
      <c r="G1113" s="1" t="str">
        <f t="shared" si="3"/>
        <v/>
      </c>
      <c r="H1113" s="5" t="str">
        <f t="shared" si="4"/>
        <v>31, 31, SWINUB</v>
      </c>
    </row>
    <row r="1114" ht="12.75" customHeight="1">
      <c r="A1114" s="4" t="s">
        <v>2810</v>
      </c>
      <c r="B1114" s="5">
        <v>0.04</v>
      </c>
      <c r="C1114" s="1" t="str">
        <f t="shared" si="1"/>
        <v/>
      </c>
      <c r="E1114" s="5">
        <v>0.04</v>
      </c>
      <c r="F1114" s="6" t="str">
        <f t="shared" si="2"/>
        <v>#N/A</v>
      </c>
      <c r="G1114" s="1" t="str">
        <f t="shared" si="3"/>
        <v/>
      </c>
      <c r="H1114" s="5">
        <f t="shared" si="4"/>
        <v>0.04</v>
      </c>
    </row>
    <row r="1115" ht="12.75" customHeight="1">
      <c r="A1115" s="4" t="s">
        <v>3156</v>
      </c>
      <c r="B1115" s="5" t="s">
        <v>3156</v>
      </c>
      <c r="C1115" s="1" t="str">
        <f t="shared" si="1"/>
        <v/>
      </c>
      <c r="E1115" s="5" t="s">
        <v>3156</v>
      </c>
      <c r="F1115" s="6" t="str">
        <f t="shared" si="2"/>
        <v>#N/A</v>
      </c>
      <c r="G1115" s="1" t="str">
        <f t="shared" si="3"/>
        <v/>
      </c>
      <c r="H1115" s="5" t="str">
        <f t="shared" si="4"/>
        <v>48, 48, GOLBAT</v>
      </c>
    </row>
    <row r="1116" ht="12.75" customHeight="1">
      <c r="A1116" s="4" t="s">
        <v>3169</v>
      </c>
      <c r="B1116" s="5" t="s">
        <v>3169</v>
      </c>
      <c r="C1116" s="1" t="str">
        <f t="shared" si="1"/>
        <v/>
      </c>
      <c r="E1116" s="5" t="s">
        <v>3169</v>
      </c>
      <c r="F1116" s="6" t="str">
        <f t="shared" si="2"/>
        <v>#N/A</v>
      </c>
      <c r="G1116" s="1" t="str">
        <f t="shared" si="3"/>
        <v/>
      </c>
      <c r="H1116" s="5" t="str">
        <f t="shared" si="4"/>
        <v>23, 23, SWINUB</v>
      </c>
    </row>
    <row r="1117" ht="12.75" customHeight="1">
      <c r="A1117" s="4" t="s">
        <v>2813</v>
      </c>
      <c r="B1117" s="5">
        <v>0.01</v>
      </c>
      <c r="C1117" s="1" t="str">
        <f t="shared" si="1"/>
        <v/>
      </c>
      <c r="E1117" s="5">
        <v>0.01</v>
      </c>
      <c r="F1117" s="6" t="str">
        <f t="shared" si="2"/>
        <v>#N/A</v>
      </c>
      <c r="G1117" s="1" t="str">
        <f t="shared" si="3"/>
        <v/>
      </c>
      <c r="H1117" s="5">
        <f t="shared" si="4"/>
        <v>0.01</v>
      </c>
    </row>
    <row r="1118" ht="12.75" customHeight="1">
      <c r="A1118" s="4" t="s">
        <v>3156</v>
      </c>
      <c r="B1118" s="5" t="s">
        <v>3156</v>
      </c>
      <c r="C1118" s="1" t="str">
        <f t="shared" si="1"/>
        <v/>
      </c>
      <c r="E1118" s="5" t="s">
        <v>3156</v>
      </c>
      <c r="F1118" s="6" t="str">
        <f t="shared" si="2"/>
        <v>#N/A</v>
      </c>
      <c r="G1118" s="1" t="str">
        <f t="shared" si="3"/>
        <v/>
      </c>
      <c r="H1118" s="5" t="str">
        <f t="shared" si="4"/>
        <v>48, 48, GOLBAT</v>
      </c>
    </row>
    <row r="1119" ht="12.75" customHeight="1">
      <c r="A1119" s="4" t="s">
        <v>3169</v>
      </c>
      <c r="B1119" s="5" t="s">
        <v>3169</v>
      </c>
      <c r="C1119" s="1" t="str">
        <f t="shared" si="1"/>
        <v/>
      </c>
      <c r="E1119" s="5" t="s">
        <v>3169</v>
      </c>
      <c r="F1119" s="6" t="str">
        <f t="shared" si="2"/>
        <v>#N/A</v>
      </c>
      <c r="G1119" s="1" t="str">
        <f t="shared" si="3"/>
        <v/>
      </c>
      <c r="H1119" s="5" t="str">
        <f t="shared" si="4"/>
        <v>23, 23, SWINUB</v>
      </c>
    </row>
    <row r="1120" ht="12.75" customHeight="1">
      <c r="A1120" s="4" t="s">
        <v>2539</v>
      </c>
      <c r="B1120" s="5" t="s">
        <v>2539</v>
      </c>
      <c r="C1120" s="1">
        <f t="shared" si="1"/>
        <v>1</v>
      </c>
      <c r="E1120" s="5" t="s">
        <v>2539</v>
      </c>
      <c r="F1120" s="6" t="str">
        <f t="shared" si="2"/>
        <v>#N/A</v>
      </c>
      <c r="G1120" s="1" t="str">
        <f t="shared" si="3"/>
        <v/>
      </c>
      <c r="H1120" s="5" t="str">
        <f t="shared" si="4"/>
        <v>NEW ROUTE</v>
      </c>
    </row>
    <row r="1121" ht="12.75" customHeight="1">
      <c r="A1121" s="4" t="s">
        <v>1905</v>
      </c>
      <c r="B1121" s="5" t="s">
        <v>1905</v>
      </c>
      <c r="C1121" s="1" t="str">
        <f t="shared" si="1"/>
        <v/>
      </c>
      <c r="E1121" s="5" t="s">
        <v>1905</v>
      </c>
      <c r="F1121" s="6" t="str">
        <f t="shared" si="2"/>
        <v>Four Island Icefall Cave Back</v>
      </c>
      <c r="G1121" s="1" t="str">
        <f t="shared" si="3"/>
        <v>Four Island Icefall Cave Back</v>
      </c>
      <c r="H1121" s="5" t="str">
        <f t="shared" si="4"/>
        <v>Four Island Icefall Cave Back</v>
      </c>
    </row>
    <row r="1122" ht="12.75" customHeight="1">
      <c r="A1122" s="4" t="s">
        <v>2799</v>
      </c>
      <c r="B1122" s="5">
        <v>0.2</v>
      </c>
      <c r="C1122" s="1" t="str">
        <f t="shared" si="1"/>
        <v/>
      </c>
      <c r="E1122" s="5">
        <v>0.2</v>
      </c>
      <c r="F1122" s="6" t="str">
        <f t="shared" si="2"/>
        <v>#N/A</v>
      </c>
      <c r="G1122" s="1" t="str">
        <f t="shared" si="3"/>
        <v/>
      </c>
      <c r="H1122" s="5">
        <f t="shared" si="4"/>
        <v>0.2</v>
      </c>
    </row>
    <row r="1123" ht="12.75" customHeight="1">
      <c r="A1123" s="4" t="s">
        <v>742</v>
      </c>
      <c r="B1123" s="5" t="s">
        <v>742</v>
      </c>
      <c r="C1123" s="1" t="str">
        <f t="shared" si="1"/>
        <v/>
      </c>
      <c r="E1123" s="5" t="s">
        <v>742</v>
      </c>
      <c r="F1123" s="6" t="str">
        <f t="shared" si="2"/>
        <v>#N/A</v>
      </c>
      <c r="G1123" s="1" t="str">
        <f t="shared" si="3"/>
        <v/>
      </c>
      <c r="H1123" s="5" t="str">
        <f t="shared" si="4"/>
        <v>43, 43, SEEL</v>
      </c>
    </row>
    <row r="1124" ht="12.75" customHeight="1">
      <c r="A1124" s="4" t="s">
        <v>3149</v>
      </c>
      <c r="B1124" s="5" t="s">
        <v>3149</v>
      </c>
      <c r="C1124" s="1" t="str">
        <f t="shared" si="1"/>
        <v/>
      </c>
      <c r="E1124" s="5" t="s">
        <v>3149</v>
      </c>
      <c r="F1124" s="6" t="str">
        <f t="shared" si="2"/>
        <v>#N/A</v>
      </c>
      <c r="G1124" s="1" t="str">
        <f t="shared" si="3"/>
        <v/>
      </c>
      <c r="H1124" s="5" t="str">
        <f t="shared" si="4"/>
        <v>45, 45, GOLBAT</v>
      </c>
    </row>
    <row r="1125" ht="12.75" customHeight="1">
      <c r="A1125" s="4" t="s">
        <v>2802</v>
      </c>
      <c r="B1125" s="5">
        <v>0.1</v>
      </c>
      <c r="C1125" s="1" t="str">
        <f t="shared" si="1"/>
        <v/>
      </c>
      <c r="E1125" s="5">
        <v>0.1</v>
      </c>
      <c r="F1125" s="6" t="str">
        <f t="shared" si="2"/>
        <v>#N/A</v>
      </c>
      <c r="G1125" s="1" t="str">
        <f t="shared" si="3"/>
        <v/>
      </c>
      <c r="H1125" s="5">
        <f t="shared" si="4"/>
        <v>0.1</v>
      </c>
    </row>
    <row r="1126" ht="12.75" customHeight="1">
      <c r="A1126" s="4" t="s">
        <v>3150</v>
      </c>
      <c r="B1126" s="5" t="s">
        <v>3150</v>
      </c>
      <c r="C1126" s="1" t="str">
        <f t="shared" si="1"/>
        <v/>
      </c>
      <c r="E1126" s="5" t="s">
        <v>3150</v>
      </c>
      <c r="F1126" s="6" t="str">
        <f t="shared" si="2"/>
        <v>#N/A</v>
      </c>
      <c r="G1126" s="1" t="str">
        <f t="shared" si="3"/>
        <v/>
      </c>
      <c r="H1126" s="5" t="str">
        <f t="shared" si="4"/>
        <v>45, 45, SEEL</v>
      </c>
    </row>
    <row r="1127" ht="12.75" customHeight="1">
      <c r="A1127" s="4" t="s">
        <v>3151</v>
      </c>
      <c r="B1127" s="5" t="s">
        <v>3151</v>
      </c>
      <c r="C1127" s="1" t="str">
        <f t="shared" si="1"/>
        <v/>
      </c>
      <c r="E1127" s="5" t="s">
        <v>3151</v>
      </c>
      <c r="F1127" s="6" t="str">
        <f t="shared" si="2"/>
        <v>#N/A</v>
      </c>
      <c r="G1127" s="1" t="str">
        <f t="shared" si="3"/>
        <v/>
      </c>
      <c r="H1127" s="5" t="str">
        <f t="shared" si="4"/>
        <v>47, 47, SEEL</v>
      </c>
    </row>
    <row r="1128" ht="12.75" customHeight="1">
      <c r="A1128" s="4" t="s">
        <v>3152</v>
      </c>
      <c r="B1128" s="5" t="s">
        <v>3152</v>
      </c>
      <c r="C1128" s="1" t="str">
        <f t="shared" si="1"/>
        <v/>
      </c>
      <c r="E1128" s="5" t="s">
        <v>3152</v>
      </c>
      <c r="F1128" s="6" t="str">
        <f t="shared" si="2"/>
        <v>#N/A</v>
      </c>
      <c r="G1128" s="1" t="str">
        <f t="shared" si="3"/>
        <v/>
      </c>
      <c r="H1128" s="5" t="str">
        <f t="shared" si="4"/>
        <v>40, 40, ZUBAT</v>
      </c>
    </row>
    <row r="1129" ht="12.75" customHeight="1">
      <c r="A1129" s="4" t="s">
        <v>3153</v>
      </c>
      <c r="B1129" s="5" t="s">
        <v>3153</v>
      </c>
      <c r="C1129" s="1" t="str">
        <f t="shared" si="1"/>
        <v/>
      </c>
      <c r="E1129" s="5" t="s">
        <v>3153</v>
      </c>
      <c r="F1129" s="6" t="str">
        <f t="shared" si="2"/>
        <v>#N/A</v>
      </c>
      <c r="G1129" s="1" t="str">
        <f t="shared" si="3"/>
        <v/>
      </c>
      <c r="H1129" s="5" t="str">
        <f t="shared" si="4"/>
        <v>49, 49, DEWGONG</v>
      </c>
    </row>
    <row r="1130" ht="12.75" customHeight="1">
      <c r="A1130" s="4" t="s">
        <v>2807</v>
      </c>
      <c r="B1130" s="5">
        <v>0.05</v>
      </c>
      <c r="C1130" s="1" t="str">
        <f t="shared" si="1"/>
        <v/>
      </c>
      <c r="E1130" s="5">
        <v>0.05</v>
      </c>
      <c r="F1130" s="6" t="str">
        <f t="shared" si="2"/>
        <v>#N/A</v>
      </c>
      <c r="G1130" s="1" t="str">
        <f t="shared" si="3"/>
        <v/>
      </c>
      <c r="H1130" s="5">
        <f t="shared" si="4"/>
        <v>0.05</v>
      </c>
    </row>
    <row r="1131" ht="12.75" customHeight="1">
      <c r="A1131" s="4" t="s">
        <v>3154</v>
      </c>
      <c r="B1131" s="5" t="s">
        <v>3154</v>
      </c>
      <c r="C1131" s="1" t="str">
        <f t="shared" si="1"/>
        <v/>
      </c>
      <c r="E1131" s="5" t="s">
        <v>3154</v>
      </c>
      <c r="F1131" s="6" t="str">
        <f t="shared" si="2"/>
        <v>#N/A</v>
      </c>
      <c r="G1131" s="1" t="str">
        <f t="shared" si="3"/>
        <v/>
      </c>
      <c r="H1131" s="5" t="str">
        <f t="shared" si="4"/>
        <v>51, 51, DEWGONG</v>
      </c>
    </row>
    <row r="1132" ht="12.75" customHeight="1">
      <c r="A1132" s="4" t="s">
        <v>3155</v>
      </c>
      <c r="B1132" s="5" t="s">
        <v>3155</v>
      </c>
      <c r="C1132" s="1" t="str">
        <f t="shared" si="1"/>
        <v/>
      </c>
      <c r="E1132" s="5" t="s">
        <v>3155</v>
      </c>
      <c r="F1132" s="6" t="str">
        <f t="shared" si="2"/>
        <v>#N/A</v>
      </c>
      <c r="G1132" s="1" t="str">
        <f t="shared" si="3"/>
        <v/>
      </c>
      <c r="H1132" s="5" t="str">
        <f t="shared" si="4"/>
        <v>41, 41, SLOWPOKE</v>
      </c>
    </row>
    <row r="1133" ht="12.75" customHeight="1">
      <c r="A1133" s="4" t="s">
        <v>2810</v>
      </c>
      <c r="B1133" s="5">
        <v>0.04</v>
      </c>
      <c r="C1133" s="1" t="str">
        <f t="shared" si="1"/>
        <v/>
      </c>
      <c r="E1133" s="5">
        <v>0.04</v>
      </c>
      <c r="F1133" s="6" t="str">
        <f t="shared" si="2"/>
        <v>#N/A</v>
      </c>
      <c r="G1133" s="1" t="str">
        <f t="shared" si="3"/>
        <v/>
      </c>
      <c r="H1133" s="5">
        <f t="shared" si="4"/>
        <v>0.04</v>
      </c>
    </row>
    <row r="1134" ht="12.75" customHeight="1">
      <c r="A1134" s="4" t="s">
        <v>3156</v>
      </c>
      <c r="B1134" s="5" t="s">
        <v>3156</v>
      </c>
      <c r="C1134" s="1" t="str">
        <f t="shared" si="1"/>
        <v/>
      </c>
      <c r="E1134" s="5" t="s">
        <v>3156</v>
      </c>
      <c r="F1134" s="6" t="str">
        <f t="shared" si="2"/>
        <v>#N/A</v>
      </c>
      <c r="G1134" s="1" t="str">
        <f t="shared" si="3"/>
        <v/>
      </c>
      <c r="H1134" s="5" t="str">
        <f t="shared" si="4"/>
        <v>48, 48, GOLBAT</v>
      </c>
    </row>
    <row r="1135" ht="12.75" customHeight="1">
      <c r="A1135" s="4" t="s">
        <v>3157</v>
      </c>
      <c r="B1135" s="5" t="s">
        <v>3157</v>
      </c>
      <c r="C1135" s="1" t="str">
        <f t="shared" si="1"/>
        <v/>
      </c>
      <c r="E1135" s="5" t="s">
        <v>3157</v>
      </c>
      <c r="F1135" s="6" t="str">
        <f t="shared" si="2"/>
        <v>#N/A</v>
      </c>
      <c r="G1135" s="1" t="str">
        <f t="shared" si="3"/>
        <v/>
      </c>
      <c r="H1135" s="5" t="str">
        <f t="shared" si="4"/>
        <v>53, 53, DEWGONG</v>
      </c>
    </row>
    <row r="1136" ht="12.75" customHeight="1">
      <c r="A1136" s="4" t="s">
        <v>2813</v>
      </c>
      <c r="B1136" s="5">
        <v>0.01</v>
      </c>
      <c r="C1136" s="1" t="str">
        <f t="shared" si="1"/>
        <v/>
      </c>
      <c r="E1136" s="5">
        <v>0.01</v>
      </c>
      <c r="F1136" s="6" t="str">
        <f t="shared" si="2"/>
        <v>#N/A</v>
      </c>
      <c r="G1136" s="1" t="str">
        <f t="shared" si="3"/>
        <v/>
      </c>
      <c r="H1136" s="5">
        <f t="shared" si="4"/>
        <v>0.01</v>
      </c>
    </row>
    <row r="1137" ht="12.75" customHeight="1">
      <c r="A1137" s="4" t="s">
        <v>3156</v>
      </c>
      <c r="B1137" s="5" t="s">
        <v>3156</v>
      </c>
      <c r="C1137" s="1" t="str">
        <f t="shared" si="1"/>
        <v/>
      </c>
      <c r="E1137" s="5" t="s">
        <v>3156</v>
      </c>
      <c r="F1137" s="6" t="str">
        <f t="shared" si="2"/>
        <v>#N/A</v>
      </c>
      <c r="G1137" s="1" t="str">
        <f t="shared" si="3"/>
        <v/>
      </c>
      <c r="H1137" s="5" t="str">
        <f t="shared" si="4"/>
        <v>48, 48, GOLBAT</v>
      </c>
    </row>
    <row r="1138" ht="12.75" customHeight="1">
      <c r="A1138" s="4" t="s">
        <v>3157</v>
      </c>
      <c r="B1138" s="5" t="s">
        <v>3157</v>
      </c>
      <c r="C1138" s="1" t="str">
        <f t="shared" si="1"/>
        <v/>
      </c>
      <c r="E1138" s="5" t="s">
        <v>3157</v>
      </c>
      <c r="F1138" s="6" t="str">
        <f t="shared" si="2"/>
        <v>#N/A</v>
      </c>
      <c r="G1138" s="1" t="str">
        <f t="shared" si="3"/>
        <v/>
      </c>
      <c r="H1138" s="5" t="str">
        <f t="shared" si="4"/>
        <v>53, 53, DEWGONG</v>
      </c>
    </row>
    <row r="1139" ht="12.75" customHeight="1">
      <c r="A1139" s="4" t="s">
        <v>3173</v>
      </c>
      <c r="B1139" s="5" t="s">
        <v>3173</v>
      </c>
      <c r="C1139" s="1" t="str">
        <f t="shared" si="1"/>
        <v/>
      </c>
      <c r="E1139" s="5" t="s">
        <v>3173</v>
      </c>
      <c r="F1139" s="6" t="str">
        <f t="shared" si="2"/>
        <v>#N/A</v>
      </c>
      <c r="G1139" s="1" t="str">
        <f t="shared" si="3"/>
        <v/>
      </c>
      <c r="H1139" s="5" t="str">
        <f t="shared" si="4"/>
        <v>2, 5, 20, TENTACOOL</v>
      </c>
    </row>
    <row r="1140" ht="12.75" customHeight="1">
      <c r="A1140" s="4" t="s">
        <v>3174</v>
      </c>
      <c r="B1140" s="5" t="s">
        <v>3174</v>
      </c>
      <c r="C1140" s="1" t="str">
        <f t="shared" si="1"/>
        <v/>
      </c>
      <c r="E1140" s="5" t="s">
        <v>3174</v>
      </c>
      <c r="F1140" s="6" t="str">
        <f t="shared" si="2"/>
        <v>#N/A</v>
      </c>
      <c r="G1140" s="1" t="str">
        <f t="shared" si="3"/>
        <v/>
      </c>
      <c r="H1140" s="5" t="str">
        <f t="shared" si="4"/>
        <v>20, 35, TENTACOOL</v>
      </c>
    </row>
    <row r="1141" ht="12.75" customHeight="1">
      <c r="A1141" s="4" t="s">
        <v>3175</v>
      </c>
      <c r="B1141" s="5" t="s">
        <v>3175</v>
      </c>
      <c r="C1141" s="1" t="str">
        <f t="shared" si="1"/>
        <v/>
      </c>
      <c r="E1141" s="5" t="s">
        <v>3175</v>
      </c>
      <c r="F1141" s="6" t="str">
        <f t="shared" si="2"/>
        <v>#N/A</v>
      </c>
      <c r="G1141" s="1" t="str">
        <f t="shared" si="3"/>
        <v/>
      </c>
      <c r="H1141" s="5" t="str">
        <f t="shared" si="4"/>
        <v>35, 45, TENTACOOL</v>
      </c>
    </row>
    <row r="1142" ht="12.75" customHeight="1">
      <c r="A1142" s="4" t="s">
        <v>3176</v>
      </c>
      <c r="B1142" s="5" t="s">
        <v>3176</v>
      </c>
      <c r="C1142" s="1" t="str">
        <f t="shared" si="1"/>
        <v/>
      </c>
      <c r="E1142" s="5" t="s">
        <v>3176</v>
      </c>
      <c r="F1142" s="6" t="str">
        <f t="shared" si="2"/>
        <v>#N/A</v>
      </c>
      <c r="G1142" s="1" t="str">
        <f t="shared" si="3"/>
        <v/>
      </c>
      <c r="H1142" s="5" t="str">
        <f t="shared" si="4"/>
        <v>35, 45, TENTACRUEL</v>
      </c>
    </row>
    <row r="1143" ht="12.75" customHeight="1">
      <c r="A1143" s="4" t="s">
        <v>3177</v>
      </c>
      <c r="B1143" s="5" t="s">
        <v>3177</v>
      </c>
      <c r="C1143" s="1" t="str">
        <f t="shared" si="1"/>
        <v/>
      </c>
      <c r="E1143" s="5" t="s">
        <v>3177</v>
      </c>
      <c r="F1143" s="6" t="str">
        <f t="shared" si="2"/>
        <v>#N/A</v>
      </c>
      <c r="G1143" s="1" t="str">
        <f t="shared" si="3"/>
        <v/>
      </c>
      <c r="H1143" s="5" t="str">
        <f t="shared" si="4"/>
        <v>30, 45, LAPRAS</v>
      </c>
    </row>
    <row r="1144" ht="12.75" customHeight="1">
      <c r="A1144" s="4" t="s">
        <v>2926</v>
      </c>
      <c r="B1144" s="5" t="s">
        <v>2926</v>
      </c>
      <c r="C1144" s="1" t="str">
        <f t="shared" si="1"/>
        <v/>
      </c>
      <c r="E1144" s="5" t="s">
        <v>2926</v>
      </c>
      <c r="F1144" s="6" t="str">
        <f t="shared" si="2"/>
        <v>#N/A</v>
      </c>
      <c r="G1144" s="1" t="str">
        <f t="shared" si="3"/>
        <v/>
      </c>
      <c r="H1144" s="5" t="str">
        <f t="shared" si="4"/>
        <v>20, old rod:</v>
      </c>
    </row>
    <row r="1145" ht="12.75" customHeight="1">
      <c r="A1145" s="4" t="s">
        <v>417</v>
      </c>
      <c r="B1145" s="5" t="s">
        <v>417</v>
      </c>
      <c r="C1145" s="1" t="str">
        <f t="shared" si="1"/>
        <v/>
      </c>
      <c r="E1145" s="5" t="s">
        <v>417</v>
      </c>
      <c r="F1145" s="6" t="str">
        <f t="shared" si="2"/>
        <v>#N/A</v>
      </c>
      <c r="G1145" s="1" t="str">
        <f t="shared" si="3"/>
        <v/>
      </c>
      <c r="H1145" s="5" t="str">
        <f t="shared" si="4"/>
        <v>5, 5, MAGIKARP</v>
      </c>
    </row>
    <row r="1146" ht="12.75" customHeight="1">
      <c r="A1146" s="4" t="s">
        <v>417</v>
      </c>
      <c r="B1146" s="5" t="s">
        <v>417</v>
      </c>
      <c r="C1146" s="1" t="str">
        <f t="shared" si="1"/>
        <v/>
      </c>
      <c r="E1146" s="5" t="s">
        <v>417</v>
      </c>
      <c r="F1146" s="6" t="str">
        <f t="shared" si="2"/>
        <v>#N/A</v>
      </c>
      <c r="G1146" s="1" t="str">
        <f t="shared" si="3"/>
        <v/>
      </c>
      <c r="H1146" s="5" t="str">
        <f t="shared" si="4"/>
        <v>5, 5, MAGIKARP</v>
      </c>
    </row>
    <row r="1147" ht="12.75" customHeight="1">
      <c r="A1147" s="4" t="s">
        <v>2847</v>
      </c>
      <c r="B1147" s="5" t="s">
        <v>2847</v>
      </c>
      <c r="C1147" s="1" t="str">
        <f t="shared" si="1"/>
        <v/>
      </c>
      <c r="E1147" s="5" t="s">
        <v>2847</v>
      </c>
      <c r="F1147" s="6" t="str">
        <f t="shared" si="2"/>
        <v>#N/A</v>
      </c>
      <c r="G1147" s="1" t="str">
        <f t="shared" si="3"/>
        <v/>
      </c>
      <c r="H1147" s="5" t="str">
        <f t="shared" si="4"/>
        <v>good rod:</v>
      </c>
    </row>
    <row r="1148" ht="12.75" customHeight="1">
      <c r="A1148" s="4" t="s">
        <v>2848</v>
      </c>
      <c r="B1148" s="5" t="s">
        <v>2848</v>
      </c>
      <c r="C1148" s="1" t="str">
        <f t="shared" si="1"/>
        <v/>
      </c>
      <c r="E1148" s="5" t="s">
        <v>2848</v>
      </c>
      <c r="F1148" s="6" t="str">
        <f t="shared" si="2"/>
        <v>#N/A</v>
      </c>
      <c r="G1148" s="1" t="str">
        <f t="shared" si="3"/>
        <v/>
      </c>
      <c r="H1148" s="5" t="str">
        <f t="shared" si="4"/>
        <v>5, 15, KRABBY</v>
      </c>
    </row>
    <row r="1149" ht="12.75" customHeight="1">
      <c r="A1149" s="4" t="s">
        <v>2849</v>
      </c>
      <c r="B1149" s="5" t="s">
        <v>2849</v>
      </c>
      <c r="C1149" s="1" t="str">
        <f t="shared" si="1"/>
        <v/>
      </c>
      <c r="E1149" s="5" t="s">
        <v>2849</v>
      </c>
      <c r="F1149" s="6" t="str">
        <f t="shared" si="2"/>
        <v>#N/A</v>
      </c>
      <c r="G1149" s="1" t="str">
        <f t="shared" si="3"/>
        <v/>
      </c>
      <c r="H1149" s="5" t="str">
        <f t="shared" si="4"/>
        <v>5, 15, MAGIKARP</v>
      </c>
    </row>
    <row r="1150" ht="12.75" customHeight="1">
      <c r="A1150" s="4" t="s">
        <v>2848</v>
      </c>
      <c r="B1150" s="5" t="s">
        <v>2848</v>
      </c>
      <c r="C1150" s="1" t="str">
        <f t="shared" si="1"/>
        <v/>
      </c>
      <c r="E1150" s="5" t="s">
        <v>2848</v>
      </c>
      <c r="F1150" s="6" t="str">
        <f t="shared" si="2"/>
        <v>#N/A</v>
      </c>
      <c r="G1150" s="1" t="str">
        <f t="shared" si="3"/>
        <v/>
      </c>
      <c r="H1150" s="5" t="str">
        <f t="shared" si="4"/>
        <v>5, 15, KRABBY</v>
      </c>
    </row>
    <row r="1151" ht="12.75" customHeight="1">
      <c r="A1151" s="4" t="s">
        <v>2851</v>
      </c>
      <c r="B1151" s="5" t="s">
        <v>2851</v>
      </c>
      <c r="C1151" s="1" t="str">
        <f t="shared" si="1"/>
        <v/>
      </c>
      <c r="E1151" s="5" t="s">
        <v>2851</v>
      </c>
      <c r="F1151" s="6" t="str">
        <f t="shared" si="2"/>
        <v>#N/A</v>
      </c>
      <c r="G1151" s="1" t="str">
        <f t="shared" si="3"/>
        <v/>
      </c>
      <c r="H1151" s="5" t="str">
        <f t="shared" si="4"/>
        <v>super rod:</v>
      </c>
    </row>
    <row r="1152" ht="12.75" customHeight="1">
      <c r="A1152" s="4" t="s">
        <v>2852</v>
      </c>
      <c r="B1152" s="5" t="s">
        <v>2852</v>
      </c>
      <c r="C1152" s="1" t="str">
        <f t="shared" si="1"/>
        <v/>
      </c>
      <c r="E1152" s="5" t="s">
        <v>2852</v>
      </c>
      <c r="F1152" s="6" t="str">
        <f t="shared" si="2"/>
        <v>#N/A</v>
      </c>
      <c r="G1152" s="1" t="str">
        <f t="shared" si="3"/>
        <v/>
      </c>
      <c r="H1152" s="5" t="str">
        <f t="shared" si="4"/>
        <v>15, 25, KRABBY</v>
      </c>
    </row>
    <row r="1153" ht="12.75" customHeight="1">
      <c r="A1153" s="4" t="s">
        <v>2853</v>
      </c>
      <c r="B1153" s="5" t="s">
        <v>2853</v>
      </c>
      <c r="C1153" s="1" t="str">
        <f t="shared" si="1"/>
        <v/>
      </c>
      <c r="E1153" s="5" t="s">
        <v>2853</v>
      </c>
      <c r="F1153" s="6" t="str">
        <f t="shared" si="2"/>
        <v>#N/A</v>
      </c>
      <c r="G1153" s="1" t="str">
        <f t="shared" si="3"/>
        <v/>
      </c>
      <c r="H1153" s="5" t="str">
        <f t="shared" si="4"/>
        <v>15, 25, STARYU</v>
      </c>
    </row>
    <row r="1154" ht="12.75" customHeight="1">
      <c r="A1154" s="4" t="s">
        <v>2854</v>
      </c>
      <c r="B1154" s="5" t="s">
        <v>2854</v>
      </c>
      <c r="C1154" s="1" t="str">
        <f t="shared" si="1"/>
        <v/>
      </c>
      <c r="E1154" s="5" t="s">
        <v>2854</v>
      </c>
      <c r="F1154" s="6" t="str">
        <f t="shared" si="2"/>
        <v>#N/A</v>
      </c>
      <c r="G1154" s="1" t="str">
        <f t="shared" si="3"/>
        <v/>
      </c>
      <c r="H1154" s="5" t="str">
        <f t="shared" si="4"/>
        <v>15, 25, GYARADOS</v>
      </c>
    </row>
    <row r="1155" ht="12.75" customHeight="1">
      <c r="A1155" s="4" t="s">
        <v>3178</v>
      </c>
      <c r="B1155" s="5" t="s">
        <v>3178</v>
      </c>
      <c r="C1155" s="1" t="str">
        <f t="shared" si="1"/>
        <v/>
      </c>
      <c r="E1155" s="5" t="s">
        <v>3178</v>
      </c>
      <c r="F1155" s="6" t="str">
        <f t="shared" si="2"/>
        <v>#N/A</v>
      </c>
      <c r="G1155" s="1" t="str">
        <f t="shared" si="3"/>
        <v/>
      </c>
      <c r="H1155" s="5" t="str">
        <f t="shared" si="4"/>
        <v>25, 35, KINGLER</v>
      </c>
    </row>
    <row r="1156" ht="12.75" customHeight="1">
      <c r="A1156" s="4" t="s">
        <v>2856</v>
      </c>
      <c r="B1156" s="5" t="s">
        <v>2856</v>
      </c>
      <c r="C1156" s="1" t="str">
        <f t="shared" si="1"/>
        <v/>
      </c>
      <c r="E1156" s="5" t="s">
        <v>2856</v>
      </c>
      <c r="F1156" s="6" t="str">
        <f t="shared" si="2"/>
        <v>#N/A</v>
      </c>
      <c r="G1156" s="1" t="str">
        <f t="shared" si="3"/>
        <v/>
      </c>
      <c r="H1156" s="5" t="str">
        <f t="shared" si="4"/>
        <v>25, 35, SLOWPOKE</v>
      </c>
    </row>
    <row r="1157" ht="12.75" customHeight="1">
      <c r="A1157" s="4" t="s">
        <v>2539</v>
      </c>
      <c r="B1157" s="5" t="s">
        <v>2539</v>
      </c>
      <c r="C1157" s="1">
        <f t="shared" si="1"/>
        <v>1</v>
      </c>
      <c r="E1157" s="5" t="s">
        <v>2539</v>
      </c>
      <c r="F1157" s="6" t="str">
        <f t="shared" si="2"/>
        <v>#N/A</v>
      </c>
      <c r="G1157" s="1" t="str">
        <f t="shared" si="3"/>
        <v/>
      </c>
      <c r="H1157" s="5" t="str">
        <f t="shared" si="4"/>
        <v>NEW ROUTE</v>
      </c>
    </row>
    <row r="1158" ht="12.75" customHeight="1">
      <c r="A1158" s="4" t="s">
        <v>1936</v>
      </c>
      <c r="B1158" s="5" t="s">
        <v>1936</v>
      </c>
      <c r="C1158" s="1" t="str">
        <f t="shared" si="1"/>
        <v/>
      </c>
      <c r="E1158" s="5" t="s">
        <v>1936</v>
      </c>
      <c r="F1158" s="6" t="str">
        <f t="shared" si="2"/>
        <v>Six Island Pattern Bush</v>
      </c>
      <c r="G1158" s="1" t="str">
        <f t="shared" si="3"/>
        <v>Six Island Pattern Bush</v>
      </c>
      <c r="H1158" s="5" t="str">
        <f t="shared" si="4"/>
        <v>Six Island Pattern Bush</v>
      </c>
    </row>
    <row r="1159" ht="12.75" customHeight="1">
      <c r="A1159" s="4" t="s">
        <v>2799</v>
      </c>
      <c r="B1159" s="5">
        <v>0.2</v>
      </c>
      <c r="C1159" s="1" t="str">
        <f t="shared" si="1"/>
        <v/>
      </c>
      <c r="E1159" s="5">
        <v>0.2</v>
      </c>
      <c r="F1159" s="6" t="str">
        <f t="shared" si="2"/>
        <v>#N/A</v>
      </c>
      <c r="G1159" s="1" t="str">
        <f t="shared" si="3"/>
        <v/>
      </c>
      <c r="H1159" s="5">
        <f t="shared" si="4"/>
        <v>0.2</v>
      </c>
    </row>
    <row r="1160" ht="12.75" customHeight="1">
      <c r="A1160" s="4" t="s">
        <v>776</v>
      </c>
      <c r="B1160" s="5" t="s">
        <v>776</v>
      </c>
      <c r="C1160" s="1" t="str">
        <f t="shared" si="1"/>
        <v/>
      </c>
      <c r="E1160" s="5" t="s">
        <v>776</v>
      </c>
      <c r="F1160" s="6" t="str">
        <f t="shared" si="2"/>
        <v>#N/A</v>
      </c>
      <c r="G1160" s="1" t="str">
        <f t="shared" si="3"/>
        <v/>
      </c>
      <c r="H1160" s="5" t="str">
        <f t="shared" si="4"/>
        <v>9, 9, LEDYBA</v>
      </c>
    </row>
    <row r="1161" ht="12.75" customHeight="1">
      <c r="A1161" s="4" t="s">
        <v>3180</v>
      </c>
      <c r="B1161" s="5" t="s">
        <v>3180</v>
      </c>
      <c r="C1161" s="1" t="str">
        <f t="shared" si="1"/>
        <v/>
      </c>
      <c r="E1161" s="5" t="s">
        <v>3180</v>
      </c>
      <c r="F1161" s="6" t="str">
        <f t="shared" si="2"/>
        <v>#N/A</v>
      </c>
      <c r="G1161" s="1" t="str">
        <f t="shared" si="3"/>
        <v/>
      </c>
      <c r="H1161" s="5" t="str">
        <f t="shared" si="4"/>
        <v>9, 9, KAKUNA</v>
      </c>
    </row>
    <row r="1162" ht="12.75" customHeight="1">
      <c r="A1162" s="4" t="s">
        <v>2802</v>
      </c>
      <c r="B1162" s="5">
        <v>0.1</v>
      </c>
      <c r="C1162" s="1" t="str">
        <f t="shared" si="1"/>
        <v/>
      </c>
      <c r="E1162" s="5">
        <v>0.1</v>
      </c>
      <c r="F1162" s="6" t="str">
        <f t="shared" si="2"/>
        <v>#N/A</v>
      </c>
      <c r="G1162" s="1" t="str">
        <f t="shared" si="3"/>
        <v/>
      </c>
      <c r="H1162" s="5">
        <f t="shared" si="4"/>
        <v>0.1</v>
      </c>
    </row>
    <row r="1163" ht="12.75" customHeight="1">
      <c r="A1163" s="4" t="s">
        <v>3181</v>
      </c>
      <c r="B1163" s="5" t="s">
        <v>3181</v>
      </c>
      <c r="C1163" s="1" t="str">
        <f t="shared" si="1"/>
        <v/>
      </c>
      <c r="E1163" s="5" t="s">
        <v>3181</v>
      </c>
      <c r="F1163" s="6" t="str">
        <f t="shared" si="2"/>
        <v>#N/A</v>
      </c>
      <c r="G1163" s="1" t="str">
        <f t="shared" si="3"/>
        <v/>
      </c>
      <c r="H1163" s="5" t="str">
        <f t="shared" si="4"/>
        <v>14, 14, LEDYBA</v>
      </c>
    </row>
    <row r="1164" ht="12.75" customHeight="1">
      <c r="A1164" s="4" t="s">
        <v>3182</v>
      </c>
      <c r="B1164" s="5" t="s">
        <v>3182</v>
      </c>
      <c r="C1164" s="1" t="str">
        <f t="shared" si="1"/>
        <v/>
      </c>
      <c r="E1164" s="5" t="s">
        <v>3182</v>
      </c>
      <c r="F1164" s="6" t="str">
        <f t="shared" si="2"/>
        <v>#N/A</v>
      </c>
      <c r="G1164" s="1" t="str">
        <f t="shared" si="3"/>
        <v/>
      </c>
      <c r="H1164" s="5" t="str">
        <f t="shared" si="4"/>
        <v>6, 6, CATERPIE</v>
      </c>
    </row>
    <row r="1165" ht="12.75" customHeight="1">
      <c r="A1165" s="4" t="s">
        <v>3183</v>
      </c>
      <c r="B1165" s="5" t="s">
        <v>3183</v>
      </c>
      <c r="C1165" s="1" t="str">
        <f t="shared" si="1"/>
        <v/>
      </c>
      <c r="E1165" s="5" t="s">
        <v>3183</v>
      </c>
      <c r="F1165" s="6" t="str">
        <f t="shared" si="2"/>
        <v>#N/A</v>
      </c>
      <c r="G1165" s="1" t="str">
        <f t="shared" si="3"/>
        <v/>
      </c>
      <c r="H1165" s="5" t="str">
        <f t="shared" si="4"/>
        <v>6, 6, WEEDLE</v>
      </c>
    </row>
    <row r="1166" ht="12.75" customHeight="1">
      <c r="A1166" s="4" t="s">
        <v>3184</v>
      </c>
      <c r="B1166" s="5" t="s">
        <v>3184</v>
      </c>
      <c r="C1166" s="1" t="str">
        <f t="shared" si="1"/>
        <v/>
      </c>
      <c r="E1166" s="5" t="s">
        <v>3184</v>
      </c>
      <c r="F1166" s="6" t="str">
        <f t="shared" si="2"/>
        <v>#N/A</v>
      </c>
      <c r="G1166" s="1" t="str">
        <f t="shared" si="3"/>
        <v/>
      </c>
      <c r="H1166" s="5" t="str">
        <f t="shared" si="4"/>
        <v>15, 15, HERACROSS</v>
      </c>
    </row>
    <row r="1167" ht="12.75" customHeight="1">
      <c r="A1167" s="4" t="s">
        <v>2807</v>
      </c>
      <c r="B1167" s="5">
        <v>0.05</v>
      </c>
      <c r="C1167" s="1" t="str">
        <f t="shared" si="1"/>
        <v/>
      </c>
      <c r="E1167" s="5">
        <v>0.05</v>
      </c>
      <c r="F1167" s="6" t="str">
        <f t="shared" si="2"/>
        <v>#N/A</v>
      </c>
      <c r="G1167" s="1" t="str">
        <f t="shared" si="3"/>
        <v/>
      </c>
      <c r="H1167" s="5">
        <f t="shared" si="4"/>
        <v>0.05</v>
      </c>
    </row>
    <row r="1168" ht="12.75" customHeight="1">
      <c r="A1168" s="4" t="s">
        <v>3185</v>
      </c>
      <c r="B1168" s="5" t="s">
        <v>3185</v>
      </c>
      <c r="C1168" s="1" t="str">
        <f t="shared" si="1"/>
        <v/>
      </c>
      <c r="E1168" s="5" t="s">
        <v>3185</v>
      </c>
      <c r="F1168" s="6" t="str">
        <f t="shared" si="2"/>
        <v>#N/A</v>
      </c>
      <c r="G1168" s="1" t="str">
        <f t="shared" si="3"/>
        <v/>
      </c>
      <c r="H1168" s="5" t="str">
        <f t="shared" si="4"/>
        <v>9, 9, METAPOD</v>
      </c>
    </row>
    <row r="1169" ht="12.75" customHeight="1">
      <c r="A1169" s="4" t="s">
        <v>3186</v>
      </c>
      <c r="B1169" s="5" t="s">
        <v>3186</v>
      </c>
      <c r="C1169" s="1" t="str">
        <f t="shared" si="1"/>
        <v/>
      </c>
      <c r="E1169" s="5" t="s">
        <v>3186</v>
      </c>
      <c r="F1169" s="6" t="str">
        <f t="shared" si="2"/>
        <v>#N/A</v>
      </c>
      <c r="G1169" s="1" t="str">
        <f t="shared" si="3"/>
        <v/>
      </c>
      <c r="H1169" s="5" t="str">
        <f t="shared" si="4"/>
        <v>20, 20, HERACROSS</v>
      </c>
    </row>
    <row r="1170" ht="12.75" customHeight="1">
      <c r="A1170" s="4" t="s">
        <v>2810</v>
      </c>
      <c r="B1170" s="5">
        <v>0.04</v>
      </c>
      <c r="C1170" s="1" t="str">
        <f t="shared" si="1"/>
        <v/>
      </c>
      <c r="E1170" s="5">
        <v>0.04</v>
      </c>
      <c r="F1170" s="6" t="str">
        <f t="shared" si="2"/>
        <v>#N/A</v>
      </c>
      <c r="G1170" s="1" t="str">
        <f t="shared" si="3"/>
        <v/>
      </c>
      <c r="H1170" s="5">
        <f t="shared" si="4"/>
        <v>0.04</v>
      </c>
    </row>
    <row r="1171" ht="12.75" customHeight="1">
      <c r="A1171" s="4" t="s">
        <v>3187</v>
      </c>
      <c r="B1171" s="5" t="s">
        <v>3187</v>
      </c>
      <c r="C1171" s="1" t="str">
        <f t="shared" si="1"/>
        <v/>
      </c>
      <c r="E1171" s="5" t="s">
        <v>3187</v>
      </c>
      <c r="F1171" s="6" t="str">
        <f t="shared" si="2"/>
        <v>#N/A</v>
      </c>
      <c r="G1171" s="1" t="str">
        <f t="shared" si="3"/>
        <v/>
      </c>
      <c r="H1171" s="5" t="str">
        <f t="shared" si="4"/>
        <v>9, 9, SPINARAK</v>
      </c>
    </row>
    <row r="1172" ht="12.75" customHeight="1">
      <c r="A1172" s="4" t="s">
        <v>3188</v>
      </c>
      <c r="B1172" s="5" t="s">
        <v>3188</v>
      </c>
      <c r="C1172" s="1" t="str">
        <f t="shared" si="1"/>
        <v/>
      </c>
      <c r="E1172" s="5" t="s">
        <v>3188</v>
      </c>
      <c r="F1172" s="6" t="str">
        <f t="shared" si="2"/>
        <v>#N/A</v>
      </c>
      <c r="G1172" s="1" t="str">
        <f t="shared" si="3"/>
        <v/>
      </c>
      <c r="H1172" s="5" t="str">
        <f t="shared" si="4"/>
        <v>25, 25, HERACROSS</v>
      </c>
    </row>
    <row r="1173" ht="12.75" customHeight="1">
      <c r="A1173" s="4" t="s">
        <v>2813</v>
      </c>
      <c r="B1173" s="5">
        <v>0.01</v>
      </c>
      <c r="C1173" s="1" t="str">
        <f t="shared" si="1"/>
        <v/>
      </c>
      <c r="E1173" s="5">
        <v>0.01</v>
      </c>
      <c r="F1173" s="6" t="str">
        <f t="shared" si="2"/>
        <v>#N/A</v>
      </c>
      <c r="G1173" s="1" t="str">
        <f t="shared" si="3"/>
        <v/>
      </c>
      <c r="H1173" s="5">
        <f t="shared" si="4"/>
        <v>0.01</v>
      </c>
    </row>
    <row r="1174" ht="12.75" customHeight="1">
      <c r="A1174" s="4" t="s">
        <v>3189</v>
      </c>
      <c r="B1174" s="5" t="s">
        <v>3189</v>
      </c>
      <c r="C1174" s="1" t="str">
        <f t="shared" si="1"/>
        <v/>
      </c>
      <c r="E1174" s="5" t="s">
        <v>3189</v>
      </c>
      <c r="F1174" s="6" t="str">
        <f t="shared" si="2"/>
        <v>#N/A</v>
      </c>
      <c r="G1174" s="1" t="str">
        <f t="shared" si="3"/>
        <v/>
      </c>
      <c r="H1174" s="5" t="str">
        <f t="shared" si="4"/>
        <v>14, 14, SPINARAK</v>
      </c>
    </row>
    <row r="1175" ht="12.75" customHeight="1">
      <c r="A1175" s="4" t="s">
        <v>3721</v>
      </c>
      <c r="B1175" s="5" t="s">
        <v>3721</v>
      </c>
      <c r="C1175" s="1" t="str">
        <f t="shared" si="1"/>
        <v/>
      </c>
      <c r="E1175" s="5" t="s">
        <v>3721</v>
      </c>
      <c r="F1175" s="6" t="str">
        <f t="shared" si="2"/>
        <v>#N/A</v>
      </c>
      <c r="G1175" s="1" t="str">
        <f t="shared" si="3"/>
        <v/>
      </c>
      <c r="H1175" s="5" t="str">
        <f t="shared" si="4"/>
        <v>30, 30, HERACROSS</v>
      </c>
    </row>
    <row r="1176" ht="12.75" customHeight="1">
      <c r="A1176" s="4" t="s">
        <v>2539</v>
      </c>
      <c r="B1176" s="5" t="s">
        <v>2539</v>
      </c>
      <c r="C1176" s="1">
        <f t="shared" si="1"/>
        <v>1</v>
      </c>
      <c r="E1176" s="5" t="s">
        <v>2539</v>
      </c>
      <c r="F1176" s="6" t="str">
        <f t="shared" si="2"/>
        <v>#N/A</v>
      </c>
      <c r="G1176" s="1" t="str">
        <f t="shared" si="3"/>
        <v/>
      </c>
      <c r="H1176" s="5" t="str">
        <f t="shared" si="4"/>
        <v>NEW ROUTE</v>
      </c>
    </row>
    <row r="1177" ht="12.75" customHeight="1">
      <c r="A1177" s="4" t="s">
        <v>1971</v>
      </c>
      <c r="B1177" s="5" t="s">
        <v>1971</v>
      </c>
      <c r="C1177" s="1" t="str">
        <f t="shared" si="1"/>
        <v/>
      </c>
      <c r="E1177" s="5" t="s">
        <v>1971</v>
      </c>
      <c r="F1177" s="6" t="str">
        <f t="shared" si="2"/>
        <v>Five Island Lost Cave Room 1</v>
      </c>
      <c r="G1177" s="1" t="str">
        <f t="shared" si="3"/>
        <v>Five Island Lost Cave Room 1</v>
      </c>
      <c r="H1177" s="5" t="str">
        <f t="shared" si="4"/>
        <v>Five Island Lost Cave Room 1</v>
      </c>
    </row>
    <row r="1178" ht="12.75" customHeight="1">
      <c r="A1178" s="4" t="s">
        <v>2799</v>
      </c>
      <c r="B1178" s="5">
        <v>0.2</v>
      </c>
      <c r="C1178" s="1" t="str">
        <f t="shared" si="1"/>
        <v/>
      </c>
      <c r="E1178" s="5">
        <v>0.2</v>
      </c>
      <c r="F1178" s="6" t="str">
        <f t="shared" si="2"/>
        <v>#N/A</v>
      </c>
      <c r="G1178" s="1" t="str">
        <f t="shared" si="3"/>
        <v/>
      </c>
      <c r="H1178" s="5">
        <f t="shared" si="4"/>
        <v>0.2</v>
      </c>
    </row>
    <row r="1179" ht="12.75" customHeight="1">
      <c r="A1179" s="4" t="s">
        <v>789</v>
      </c>
      <c r="B1179" s="5" t="s">
        <v>789</v>
      </c>
      <c r="C1179" s="1" t="str">
        <f t="shared" si="1"/>
        <v/>
      </c>
      <c r="E1179" s="5" t="s">
        <v>789</v>
      </c>
      <c r="F1179" s="6" t="str">
        <f t="shared" si="2"/>
        <v>#N/A</v>
      </c>
      <c r="G1179" s="1" t="str">
        <f t="shared" si="3"/>
        <v/>
      </c>
      <c r="H1179" s="5" t="str">
        <f t="shared" si="4"/>
        <v>40, 40, GASTLY</v>
      </c>
    </row>
    <row r="1180" ht="12.75" customHeight="1">
      <c r="A1180" s="4" t="s">
        <v>3193</v>
      </c>
      <c r="B1180" s="5" t="s">
        <v>3193</v>
      </c>
      <c r="C1180" s="1" t="str">
        <f t="shared" si="1"/>
        <v/>
      </c>
      <c r="E1180" s="5" t="s">
        <v>3193</v>
      </c>
      <c r="F1180" s="6" t="str">
        <f t="shared" si="2"/>
        <v>#N/A</v>
      </c>
      <c r="G1180" s="1" t="str">
        <f t="shared" si="3"/>
        <v/>
      </c>
      <c r="H1180" s="5" t="str">
        <f t="shared" si="4"/>
        <v>37, 37, ZUBAT</v>
      </c>
    </row>
    <row r="1181" ht="12.75" customHeight="1">
      <c r="A1181" s="4" t="s">
        <v>2802</v>
      </c>
      <c r="B1181" s="5">
        <v>0.1</v>
      </c>
      <c r="C1181" s="1" t="str">
        <f t="shared" si="1"/>
        <v/>
      </c>
      <c r="E1181" s="5">
        <v>0.1</v>
      </c>
      <c r="F1181" s="6" t="str">
        <f t="shared" si="2"/>
        <v>#N/A</v>
      </c>
      <c r="G1181" s="1" t="str">
        <f t="shared" si="3"/>
        <v/>
      </c>
      <c r="H1181" s="5">
        <f t="shared" si="4"/>
        <v>0.1</v>
      </c>
    </row>
    <row r="1182" ht="12.75" customHeight="1">
      <c r="A1182" s="4" t="s">
        <v>3194</v>
      </c>
      <c r="B1182" s="5" t="s">
        <v>3194</v>
      </c>
      <c r="C1182" s="1" t="str">
        <f t="shared" si="1"/>
        <v/>
      </c>
      <c r="E1182" s="5" t="s">
        <v>3194</v>
      </c>
      <c r="F1182" s="6" t="str">
        <f t="shared" si="2"/>
        <v>#N/A</v>
      </c>
      <c r="G1182" s="1" t="str">
        <f t="shared" si="3"/>
        <v/>
      </c>
      <c r="H1182" s="5" t="str">
        <f t="shared" si="4"/>
        <v>44, 44, HAUNTER</v>
      </c>
    </row>
    <row r="1183" ht="12.75" customHeight="1">
      <c r="A1183" s="4" t="s">
        <v>3195</v>
      </c>
      <c r="B1183" s="5" t="s">
        <v>3195</v>
      </c>
      <c r="C1183" s="1" t="str">
        <f t="shared" si="1"/>
        <v/>
      </c>
      <c r="E1183" s="5" t="s">
        <v>3195</v>
      </c>
      <c r="F1183" s="6" t="str">
        <f t="shared" si="2"/>
        <v>#N/A</v>
      </c>
      <c r="G1183" s="1" t="str">
        <f t="shared" si="3"/>
        <v/>
      </c>
      <c r="H1183" s="5" t="str">
        <f t="shared" si="4"/>
        <v>46, 46, HAUNTER</v>
      </c>
    </row>
    <row r="1184" ht="12.75" customHeight="1">
      <c r="A1184" s="4" t="s">
        <v>3196</v>
      </c>
      <c r="B1184" s="5" t="s">
        <v>3196</v>
      </c>
      <c r="C1184" s="1" t="str">
        <f t="shared" si="1"/>
        <v/>
      </c>
      <c r="E1184" s="5" t="s">
        <v>3196</v>
      </c>
      <c r="F1184" s="6" t="str">
        <f t="shared" si="2"/>
        <v>#N/A</v>
      </c>
      <c r="G1184" s="1" t="str">
        <f t="shared" si="3"/>
        <v/>
      </c>
      <c r="H1184" s="5" t="str">
        <f t="shared" si="4"/>
        <v>41, 41, GOLBAT</v>
      </c>
    </row>
    <row r="1185" ht="12.75" customHeight="1">
      <c r="A1185" s="4" t="s">
        <v>3197</v>
      </c>
      <c r="B1185" s="5" t="s">
        <v>3197</v>
      </c>
      <c r="C1185" s="1" t="str">
        <f t="shared" si="1"/>
        <v/>
      </c>
      <c r="E1185" s="5" t="s">
        <v>3197</v>
      </c>
      <c r="F1185" s="6" t="str">
        <f t="shared" si="2"/>
        <v>#N/A</v>
      </c>
      <c r="G1185" s="1" t="str">
        <f t="shared" si="3"/>
        <v/>
      </c>
      <c r="H1185" s="5" t="str">
        <f t="shared" si="4"/>
        <v>43, 43, GOLBAT</v>
      </c>
    </row>
    <row r="1186" ht="12.75" customHeight="1">
      <c r="A1186" s="4" t="s">
        <v>2807</v>
      </c>
      <c r="B1186" s="5">
        <v>0.05</v>
      </c>
      <c r="C1186" s="1" t="str">
        <f t="shared" si="1"/>
        <v/>
      </c>
      <c r="E1186" s="5">
        <v>0.05</v>
      </c>
      <c r="F1186" s="6" t="str">
        <f t="shared" si="2"/>
        <v>#N/A</v>
      </c>
      <c r="G1186" s="1" t="str">
        <f t="shared" si="3"/>
        <v/>
      </c>
      <c r="H1186" s="5">
        <f t="shared" si="4"/>
        <v>0.05</v>
      </c>
    </row>
    <row r="1187" ht="12.75" customHeight="1">
      <c r="A1187" s="4" t="s">
        <v>3198</v>
      </c>
      <c r="B1187" s="5" t="s">
        <v>3198</v>
      </c>
      <c r="C1187" s="1" t="str">
        <f t="shared" si="1"/>
        <v/>
      </c>
      <c r="E1187" s="5" t="s">
        <v>3198</v>
      </c>
      <c r="F1187" s="6" t="str">
        <f t="shared" si="2"/>
        <v>#N/A</v>
      </c>
      <c r="G1187" s="1" t="str">
        <f t="shared" si="3"/>
        <v/>
      </c>
      <c r="H1187" s="5" t="str">
        <f t="shared" si="4"/>
        <v>38, 38, GASTLY</v>
      </c>
    </row>
    <row r="1188" ht="12.75" customHeight="1">
      <c r="A1188" s="4" t="s">
        <v>3199</v>
      </c>
      <c r="B1188" s="5" t="s">
        <v>3199</v>
      </c>
      <c r="C1188" s="1" t="str">
        <f t="shared" si="1"/>
        <v/>
      </c>
      <c r="E1188" s="5" t="s">
        <v>3199</v>
      </c>
      <c r="F1188" s="6" t="str">
        <f t="shared" si="2"/>
        <v>#N/A</v>
      </c>
      <c r="G1188" s="1" t="str">
        <f t="shared" si="3"/>
        <v/>
      </c>
      <c r="H1188" s="5" t="str">
        <f t="shared" si="4"/>
        <v>48, 48, HAUNTER</v>
      </c>
    </row>
    <row r="1189" ht="12.75" customHeight="1">
      <c r="A1189" s="4" t="s">
        <v>2810</v>
      </c>
      <c r="B1189" s="5">
        <v>0.04</v>
      </c>
      <c r="C1189" s="1" t="str">
        <f t="shared" si="1"/>
        <v/>
      </c>
      <c r="E1189" s="5">
        <v>0.04</v>
      </c>
      <c r="F1189" s="6" t="str">
        <f t="shared" si="2"/>
        <v>#N/A</v>
      </c>
      <c r="G1189" s="1" t="str">
        <f t="shared" si="3"/>
        <v/>
      </c>
      <c r="H1189" s="5">
        <f t="shared" si="4"/>
        <v>0.04</v>
      </c>
    </row>
    <row r="1190" ht="12.75" customHeight="1">
      <c r="A1190" s="4" t="s">
        <v>3200</v>
      </c>
      <c r="B1190" s="5" t="s">
        <v>3200</v>
      </c>
      <c r="C1190" s="1" t="str">
        <f t="shared" si="1"/>
        <v/>
      </c>
      <c r="E1190" s="5" t="s">
        <v>3200</v>
      </c>
      <c r="F1190" s="6" t="str">
        <f t="shared" si="2"/>
        <v>#N/A</v>
      </c>
      <c r="G1190" s="1" t="str">
        <f t="shared" si="3"/>
        <v/>
      </c>
      <c r="H1190" s="5" t="str">
        <f t="shared" si="4"/>
        <v>50, 50, HAUNTER</v>
      </c>
    </row>
    <row r="1191" ht="12.75" customHeight="1">
      <c r="A1191" s="4" t="s">
        <v>3201</v>
      </c>
      <c r="B1191" s="5" t="s">
        <v>3201</v>
      </c>
      <c r="C1191" s="1" t="str">
        <f t="shared" si="1"/>
        <v/>
      </c>
      <c r="E1191" s="5" t="s">
        <v>3201</v>
      </c>
      <c r="F1191" s="6" t="str">
        <f t="shared" si="2"/>
        <v>#N/A</v>
      </c>
      <c r="G1191" s="1" t="str">
        <f t="shared" si="3"/>
        <v/>
      </c>
      <c r="H1191" s="5" t="str">
        <f t="shared" si="4"/>
        <v>22, 22, MISDREAVUS</v>
      </c>
    </row>
    <row r="1192" ht="12.75" customHeight="1">
      <c r="A1192" s="4" t="s">
        <v>2813</v>
      </c>
      <c r="B1192" s="5">
        <v>0.01</v>
      </c>
      <c r="C1192" s="1" t="str">
        <f t="shared" si="1"/>
        <v/>
      </c>
      <c r="E1192" s="5">
        <v>0.01</v>
      </c>
      <c r="F1192" s="6" t="str">
        <f t="shared" si="2"/>
        <v>#N/A</v>
      </c>
      <c r="G1192" s="1" t="str">
        <f t="shared" si="3"/>
        <v/>
      </c>
      <c r="H1192" s="5">
        <f t="shared" si="4"/>
        <v>0.01</v>
      </c>
    </row>
    <row r="1193" ht="12.75" customHeight="1">
      <c r="A1193" s="4" t="s">
        <v>3202</v>
      </c>
      <c r="B1193" s="5" t="s">
        <v>3202</v>
      </c>
      <c r="C1193" s="1" t="str">
        <f t="shared" si="1"/>
        <v/>
      </c>
      <c r="E1193" s="5" t="s">
        <v>3202</v>
      </c>
      <c r="F1193" s="6" t="str">
        <f t="shared" si="2"/>
        <v>#N/A</v>
      </c>
      <c r="G1193" s="1" t="str">
        <f t="shared" si="3"/>
        <v/>
      </c>
      <c r="H1193" s="5" t="str">
        <f t="shared" si="4"/>
        <v>52, 52, HAUNTER</v>
      </c>
    </row>
    <row r="1194" ht="12.75" customHeight="1">
      <c r="A1194" s="4" t="s">
        <v>3201</v>
      </c>
      <c r="B1194" s="5" t="s">
        <v>3201</v>
      </c>
      <c r="C1194" s="1" t="str">
        <f t="shared" si="1"/>
        <v/>
      </c>
      <c r="E1194" s="5" t="s">
        <v>3201</v>
      </c>
      <c r="F1194" s="6" t="str">
        <f t="shared" si="2"/>
        <v>#N/A</v>
      </c>
      <c r="G1194" s="1" t="str">
        <f t="shared" si="3"/>
        <v/>
      </c>
      <c r="H1194" s="5" t="str">
        <f t="shared" si="4"/>
        <v>22, 22, MISDREAVUS</v>
      </c>
    </row>
    <row r="1195" ht="12.75" customHeight="1">
      <c r="A1195" s="4" t="s">
        <v>2539</v>
      </c>
      <c r="B1195" s="5" t="s">
        <v>2539</v>
      </c>
      <c r="C1195" s="1">
        <f t="shared" si="1"/>
        <v>1</v>
      </c>
      <c r="E1195" s="5" t="s">
        <v>2539</v>
      </c>
      <c r="F1195" s="6" t="str">
        <f t="shared" si="2"/>
        <v>#N/A</v>
      </c>
      <c r="G1195" s="1" t="str">
        <f t="shared" si="3"/>
        <v/>
      </c>
      <c r="H1195" s="5" t="str">
        <f t="shared" si="4"/>
        <v>NEW ROUTE</v>
      </c>
    </row>
    <row r="1196" ht="12.75" customHeight="1">
      <c r="A1196" s="4" t="s">
        <v>1973</v>
      </c>
      <c r="B1196" s="5" t="s">
        <v>1973</v>
      </c>
      <c r="C1196" s="1" t="str">
        <f t="shared" si="1"/>
        <v/>
      </c>
      <c r="E1196" s="5" t="s">
        <v>1973</v>
      </c>
      <c r="F1196" s="6" t="str">
        <f t="shared" si="2"/>
        <v>Five Island Lost Cave Room 2</v>
      </c>
      <c r="G1196" s="1" t="str">
        <f t="shared" si="3"/>
        <v>Five Island Lost Cave Room 2</v>
      </c>
      <c r="H1196" s="5" t="str">
        <f t="shared" si="4"/>
        <v>Five Island Lost Cave Room 2</v>
      </c>
    </row>
    <row r="1197" ht="12.75" customHeight="1">
      <c r="A1197" s="4" t="s">
        <v>2799</v>
      </c>
      <c r="B1197" s="5">
        <v>0.2</v>
      </c>
      <c r="C1197" s="1" t="str">
        <f t="shared" si="1"/>
        <v/>
      </c>
      <c r="E1197" s="5">
        <v>0.2</v>
      </c>
      <c r="F1197" s="6" t="str">
        <f t="shared" si="2"/>
        <v>#N/A</v>
      </c>
      <c r="G1197" s="1" t="str">
        <f t="shared" si="3"/>
        <v/>
      </c>
      <c r="H1197" s="5">
        <f t="shared" si="4"/>
        <v>0.2</v>
      </c>
    </row>
    <row r="1198" ht="12.75" customHeight="1">
      <c r="A1198" s="4" t="s">
        <v>789</v>
      </c>
      <c r="B1198" s="5" t="s">
        <v>789</v>
      </c>
      <c r="C1198" s="1" t="str">
        <f t="shared" si="1"/>
        <v/>
      </c>
      <c r="E1198" s="5" t="s">
        <v>789</v>
      </c>
      <c r="F1198" s="6" t="str">
        <f t="shared" si="2"/>
        <v>#N/A</v>
      </c>
      <c r="G1198" s="1" t="str">
        <f t="shared" si="3"/>
        <v/>
      </c>
      <c r="H1198" s="5" t="str">
        <f t="shared" si="4"/>
        <v>40, 40, GASTLY</v>
      </c>
    </row>
    <row r="1199" ht="12.75" customHeight="1">
      <c r="A1199" s="4" t="s">
        <v>3193</v>
      </c>
      <c r="B1199" s="5" t="s">
        <v>3193</v>
      </c>
      <c r="C1199" s="1" t="str">
        <f t="shared" si="1"/>
        <v/>
      </c>
      <c r="E1199" s="5" t="s">
        <v>3193</v>
      </c>
      <c r="F1199" s="6" t="str">
        <f t="shared" si="2"/>
        <v>#N/A</v>
      </c>
      <c r="G1199" s="1" t="str">
        <f t="shared" si="3"/>
        <v/>
      </c>
      <c r="H1199" s="5" t="str">
        <f t="shared" si="4"/>
        <v>37, 37, ZUBAT</v>
      </c>
    </row>
    <row r="1200" ht="12.75" customHeight="1">
      <c r="A1200" s="4" t="s">
        <v>2802</v>
      </c>
      <c r="B1200" s="5">
        <v>0.1</v>
      </c>
      <c r="C1200" s="1" t="str">
        <f t="shared" si="1"/>
        <v/>
      </c>
      <c r="E1200" s="5">
        <v>0.1</v>
      </c>
      <c r="F1200" s="6" t="str">
        <f t="shared" si="2"/>
        <v>#N/A</v>
      </c>
      <c r="G1200" s="1" t="str">
        <f t="shared" si="3"/>
        <v/>
      </c>
      <c r="H1200" s="5">
        <f t="shared" si="4"/>
        <v>0.1</v>
      </c>
    </row>
    <row r="1201" ht="12.75" customHeight="1">
      <c r="A1201" s="4" t="s">
        <v>3194</v>
      </c>
      <c r="B1201" s="5" t="s">
        <v>3194</v>
      </c>
      <c r="C1201" s="1" t="str">
        <f t="shared" si="1"/>
        <v/>
      </c>
      <c r="E1201" s="5" t="s">
        <v>3194</v>
      </c>
      <c r="F1201" s="6" t="str">
        <f t="shared" si="2"/>
        <v>#N/A</v>
      </c>
      <c r="G1201" s="1" t="str">
        <f t="shared" si="3"/>
        <v/>
      </c>
      <c r="H1201" s="5" t="str">
        <f t="shared" si="4"/>
        <v>44, 44, HAUNTER</v>
      </c>
    </row>
    <row r="1202" ht="12.75" customHeight="1">
      <c r="A1202" s="4" t="s">
        <v>3195</v>
      </c>
      <c r="B1202" s="5" t="s">
        <v>3195</v>
      </c>
      <c r="C1202" s="1" t="str">
        <f t="shared" si="1"/>
        <v/>
      </c>
      <c r="E1202" s="5" t="s">
        <v>3195</v>
      </c>
      <c r="F1202" s="6" t="str">
        <f t="shared" si="2"/>
        <v>#N/A</v>
      </c>
      <c r="G1202" s="1" t="str">
        <f t="shared" si="3"/>
        <v/>
      </c>
      <c r="H1202" s="5" t="str">
        <f t="shared" si="4"/>
        <v>46, 46, HAUNTER</v>
      </c>
    </row>
    <row r="1203" ht="12.75" customHeight="1">
      <c r="A1203" s="4" t="s">
        <v>3196</v>
      </c>
      <c r="B1203" s="5" t="s">
        <v>3196</v>
      </c>
      <c r="C1203" s="1" t="str">
        <f t="shared" si="1"/>
        <v/>
      </c>
      <c r="E1203" s="5" t="s">
        <v>3196</v>
      </c>
      <c r="F1203" s="6" t="str">
        <f t="shared" si="2"/>
        <v>#N/A</v>
      </c>
      <c r="G1203" s="1" t="str">
        <f t="shared" si="3"/>
        <v/>
      </c>
      <c r="H1203" s="5" t="str">
        <f t="shared" si="4"/>
        <v>41, 41, GOLBAT</v>
      </c>
    </row>
    <row r="1204" ht="12.75" customHeight="1">
      <c r="A1204" s="4" t="s">
        <v>3197</v>
      </c>
      <c r="B1204" s="5" t="s">
        <v>3197</v>
      </c>
      <c r="C1204" s="1" t="str">
        <f t="shared" si="1"/>
        <v/>
      </c>
      <c r="E1204" s="5" t="s">
        <v>3197</v>
      </c>
      <c r="F1204" s="6" t="str">
        <f t="shared" si="2"/>
        <v>#N/A</v>
      </c>
      <c r="G1204" s="1" t="str">
        <f t="shared" si="3"/>
        <v/>
      </c>
      <c r="H1204" s="5" t="str">
        <f t="shared" si="4"/>
        <v>43, 43, GOLBAT</v>
      </c>
    </row>
    <row r="1205" ht="12.75" customHeight="1">
      <c r="A1205" s="4" t="s">
        <v>2807</v>
      </c>
      <c r="B1205" s="5">
        <v>0.05</v>
      </c>
      <c r="C1205" s="1" t="str">
        <f t="shared" si="1"/>
        <v/>
      </c>
      <c r="E1205" s="5">
        <v>0.05</v>
      </c>
      <c r="F1205" s="6" t="str">
        <f t="shared" si="2"/>
        <v>#N/A</v>
      </c>
      <c r="G1205" s="1" t="str">
        <f t="shared" si="3"/>
        <v/>
      </c>
      <c r="H1205" s="5">
        <f t="shared" si="4"/>
        <v>0.05</v>
      </c>
    </row>
    <row r="1206" ht="12.75" customHeight="1">
      <c r="A1206" s="4" t="s">
        <v>3198</v>
      </c>
      <c r="B1206" s="5" t="s">
        <v>3198</v>
      </c>
      <c r="C1206" s="1" t="str">
        <f t="shared" si="1"/>
        <v/>
      </c>
      <c r="E1206" s="5" t="s">
        <v>3198</v>
      </c>
      <c r="F1206" s="6" t="str">
        <f t="shared" si="2"/>
        <v>#N/A</v>
      </c>
      <c r="G1206" s="1" t="str">
        <f t="shared" si="3"/>
        <v/>
      </c>
      <c r="H1206" s="5" t="str">
        <f t="shared" si="4"/>
        <v>38, 38, GASTLY</v>
      </c>
    </row>
    <row r="1207" ht="12.75" customHeight="1">
      <c r="A1207" s="4" t="s">
        <v>3199</v>
      </c>
      <c r="B1207" s="5" t="s">
        <v>3199</v>
      </c>
      <c r="C1207" s="1" t="str">
        <f t="shared" si="1"/>
        <v/>
      </c>
      <c r="E1207" s="5" t="s">
        <v>3199</v>
      </c>
      <c r="F1207" s="6" t="str">
        <f t="shared" si="2"/>
        <v>#N/A</v>
      </c>
      <c r="G1207" s="1" t="str">
        <f t="shared" si="3"/>
        <v/>
      </c>
      <c r="H1207" s="5" t="str">
        <f t="shared" si="4"/>
        <v>48, 48, HAUNTER</v>
      </c>
    </row>
    <row r="1208" ht="12.75" customHeight="1">
      <c r="A1208" s="4" t="s">
        <v>2810</v>
      </c>
      <c r="B1208" s="5">
        <v>0.04</v>
      </c>
      <c r="C1208" s="1" t="str">
        <f t="shared" si="1"/>
        <v/>
      </c>
      <c r="E1208" s="5">
        <v>0.04</v>
      </c>
      <c r="F1208" s="6" t="str">
        <f t="shared" si="2"/>
        <v>#N/A</v>
      </c>
      <c r="G1208" s="1" t="str">
        <f t="shared" si="3"/>
        <v/>
      </c>
      <c r="H1208" s="5">
        <f t="shared" si="4"/>
        <v>0.04</v>
      </c>
    </row>
    <row r="1209" ht="12.75" customHeight="1">
      <c r="A1209" s="4" t="s">
        <v>3200</v>
      </c>
      <c r="B1209" s="5" t="s">
        <v>3200</v>
      </c>
      <c r="C1209" s="1" t="str">
        <f t="shared" si="1"/>
        <v/>
      </c>
      <c r="E1209" s="5" t="s">
        <v>3200</v>
      </c>
      <c r="F1209" s="6" t="str">
        <f t="shared" si="2"/>
        <v>#N/A</v>
      </c>
      <c r="G1209" s="1" t="str">
        <f t="shared" si="3"/>
        <v/>
      </c>
      <c r="H1209" s="5" t="str">
        <f t="shared" si="4"/>
        <v>50, 50, HAUNTER</v>
      </c>
    </row>
    <row r="1210" ht="12.75" customHeight="1">
      <c r="A1210" s="4" t="s">
        <v>3201</v>
      </c>
      <c r="B1210" s="5" t="s">
        <v>3201</v>
      </c>
      <c r="C1210" s="1" t="str">
        <f t="shared" si="1"/>
        <v/>
      </c>
      <c r="E1210" s="5" t="s">
        <v>3201</v>
      </c>
      <c r="F1210" s="6" t="str">
        <f t="shared" si="2"/>
        <v>#N/A</v>
      </c>
      <c r="G1210" s="1" t="str">
        <f t="shared" si="3"/>
        <v/>
      </c>
      <c r="H1210" s="5" t="str">
        <f t="shared" si="4"/>
        <v>22, 22, MISDREAVUS</v>
      </c>
    </row>
    <row r="1211" ht="12.75" customHeight="1">
      <c r="A1211" s="4" t="s">
        <v>2813</v>
      </c>
      <c r="B1211" s="5">
        <v>0.01</v>
      </c>
      <c r="C1211" s="1" t="str">
        <f t="shared" si="1"/>
        <v/>
      </c>
      <c r="E1211" s="5">
        <v>0.01</v>
      </c>
      <c r="F1211" s="6" t="str">
        <f t="shared" si="2"/>
        <v>#N/A</v>
      </c>
      <c r="G1211" s="1" t="str">
        <f t="shared" si="3"/>
        <v/>
      </c>
      <c r="H1211" s="5">
        <f t="shared" si="4"/>
        <v>0.01</v>
      </c>
    </row>
    <row r="1212" ht="12.75" customHeight="1">
      <c r="A1212" s="4" t="s">
        <v>3202</v>
      </c>
      <c r="B1212" s="5" t="s">
        <v>3202</v>
      </c>
      <c r="C1212" s="1" t="str">
        <f t="shared" si="1"/>
        <v/>
      </c>
      <c r="E1212" s="5" t="s">
        <v>3202</v>
      </c>
      <c r="F1212" s="6" t="str">
        <f t="shared" si="2"/>
        <v>#N/A</v>
      </c>
      <c r="G1212" s="1" t="str">
        <f t="shared" si="3"/>
        <v/>
      </c>
      <c r="H1212" s="5" t="str">
        <f t="shared" si="4"/>
        <v>52, 52, HAUNTER</v>
      </c>
    </row>
    <row r="1213" ht="12.75" customHeight="1">
      <c r="A1213" s="4" t="s">
        <v>3201</v>
      </c>
      <c r="B1213" s="5" t="s">
        <v>3201</v>
      </c>
      <c r="C1213" s="1" t="str">
        <f t="shared" si="1"/>
        <v/>
      </c>
      <c r="E1213" s="5" t="s">
        <v>3201</v>
      </c>
      <c r="F1213" s="6" t="str">
        <f t="shared" si="2"/>
        <v>#N/A</v>
      </c>
      <c r="G1213" s="1" t="str">
        <f t="shared" si="3"/>
        <v/>
      </c>
      <c r="H1213" s="5" t="str">
        <f t="shared" si="4"/>
        <v>22, 22, MISDREAVUS</v>
      </c>
    </row>
    <row r="1214" ht="12.75" customHeight="1">
      <c r="A1214" s="4" t="s">
        <v>2539</v>
      </c>
      <c r="B1214" s="5" t="s">
        <v>2539</v>
      </c>
      <c r="C1214" s="1">
        <f t="shared" si="1"/>
        <v>1</v>
      </c>
      <c r="E1214" s="5" t="s">
        <v>2539</v>
      </c>
      <c r="F1214" s="6" t="str">
        <f t="shared" si="2"/>
        <v>#N/A</v>
      </c>
      <c r="G1214" s="1" t="str">
        <f t="shared" si="3"/>
        <v/>
      </c>
      <c r="H1214" s="5" t="str">
        <f t="shared" si="4"/>
        <v>NEW ROUTE</v>
      </c>
    </row>
    <row r="1215" ht="12.75" customHeight="1">
      <c r="A1215" s="4" t="s">
        <v>1975</v>
      </c>
      <c r="B1215" s="5" t="s">
        <v>1975</v>
      </c>
      <c r="C1215" s="1" t="str">
        <f t="shared" si="1"/>
        <v/>
      </c>
      <c r="E1215" s="5" t="s">
        <v>1975</v>
      </c>
      <c r="F1215" s="6" t="str">
        <f t="shared" si="2"/>
        <v>Five Island Lost Cave Room 3</v>
      </c>
      <c r="G1215" s="1" t="str">
        <f t="shared" si="3"/>
        <v>Five Island Lost Cave Room 3</v>
      </c>
      <c r="H1215" s="5" t="str">
        <f t="shared" si="4"/>
        <v>Five Island Lost Cave Room 3</v>
      </c>
    </row>
    <row r="1216" ht="12.75" customHeight="1">
      <c r="A1216" s="4" t="s">
        <v>2799</v>
      </c>
      <c r="B1216" s="5">
        <v>0.2</v>
      </c>
      <c r="C1216" s="1" t="str">
        <f t="shared" si="1"/>
        <v/>
      </c>
      <c r="E1216" s="5">
        <v>0.2</v>
      </c>
      <c r="F1216" s="6" t="str">
        <f t="shared" si="2"/>
        <v>#N/A</v>
      </c>
      <c r="G1216" s="1" t="str">
        <f t="shared" si="3"/>
        <v/>
      </c>
      <c r="H1216" s="5">
        <f t="shared" si="4"/>
        <v>0.2</v>
      </c>
    </row>
    <row r="1217" ht="12.75" customHeight="1">
      <c r="A1217" s="4" t="s">
        <v>789</v>
      </c>
      <c r="B1217" s="5" t="s">
        <v>789</v>
      </c>
      <c r="C1217" s="1" t="str">
        <f t="shared" si="1"/>
        <v/>
      </c>
      <c r="E1217" s="5" t="s">
        <v>789</v>
      </c>
      <c r="F1217" s="6" t="str">
        <f t="shared" si="2"/>
        <v>#N/A</v>
      </c>
      <c r="G1217" s="1" t="str">
        <f t="shared" si="3"/>
        <v/>
      </c>
      <c r="H1217" s="5" t="str">
        <f t="shared" si="4"/>
        <v>40, 40, GASTLY</v>
      </c>
    </row>
    <row r="1218" ht="12.75" customHeight="1">
      <c r="A1218" s="4" t="s">
        <v>3193</v>
      </c>
      <c r="B1218" s="5" t="s">
        <v>3193</v>
      </c>
      <c r="C1218" s="1" t="str">
        <f t="shared" si="1"/>
        <v/>
      </c>
      <c r="E1218" s="5" t="s">
        <v>3193</v>
      </c>
      <c r="F1218" s="6" t="str">
        <f t="shared" si="2"/>
        <v>#N/A</v>
      </c>
      <c r="G1218" s="1" t="str">
        <f t="shared" si="3"/>
        <v/>
      </c>
      <c r="H1218" s="5" t="str">
        <f t="shared" si="4"/>
        <v>37, 37, ZUBAT</v>
      </c>
    </row>
    <row r="1219" ht="12.75" customHeight="1">
      <c r="A1219" s="4" t="s">
        <v>2802</v>
      </c>
      <c r="B1219" s="5">
        <v>0.1</v>
      </c>
      <c r="C1219" s="1" t="str">
        <f t="shared" si="1"/>
        <v/>
      </c>
      <c r="E1219" s="5">
        <v>0.1</v>
      </c>
      <c r="F1219" s="6" t="str">
        <f t="shared" si="2"/>
        <v>#N/A</v>
      </c>
      <c r="G1219" s="1" t="str">
        <f t="shared" si="3"/>
        <v/>
      </c>
      <c r="H1219" s="5">
        <f t="shared" si="4"/>
        <v>0.1</v>
      </c>
    </row>
    <row r="1220" ht="12.75" customHeight="1">
      <c r="A1220" s="4" t="s">
        <v>3194</v>
      </c>
      <c r="B1220" s="5" t="s">
        <v>3194</v>
      </c>
      <c r="C1220" s="1" t="str">
        <f t="shared" si="1"/>
        <v/>
      </c>
      <c r="E1220" s="5" t="s">
        <v>3194</v>
      </c>
      <c r="F1220" s="6" t="str">
        <f t="shared" si="2"/>
        <v>#N/A</v>
      </c>
      <c r="G1220" s="1" t="str">
        <f t="shared" si="3"/>
        <v/>
      </c>
      <c r="H1220" s="5" t="str">
        <f t="shared" si="4"/>
        <v>44, 44, HAUNTER</v>
      </c>
    </row>
    <row r="1221" ht="12.75" customHeight="1">
      <c r="A1221" s="4" t="s">
        <v>3195</v>
      </c>
      <c r="B1221" s="5" t="s">
        <v>3195</v>
      </c>
      <c r="C1221" s="1" t="str">
        <f t="shared" si="1"/>
        <v/>
      </c>
      <c r="E1221" s="5" t="s">
        <v>3195</v>
      </c>
      <c r="F1221" s="6" t="str">
        <f t="shared" si="2"/>
        <v>#N/A</v>
      </c>
      <c r="G1221" s="1" t="str">
        <f t="shared" si="3"/>
        <v/>
      </c>
      <c r="H1221" s="5" t="str">
        <f t="shared" si="4"/>
        <v>46, 46, HAUNTER</v>
      </c>
    </row>
    <row r="1222" ht="12.75" customHeight="1">
      <c r="A1222" s="4" t="s">
        <v>3196</v>
      </c>
      <c r="B1222" s="5" t="s">
        <v>3196</v>
      </c>
      <c r="C1222" s="1" t="str">
        <f t="shared" si="1"/>
        <v/>
      </c>
      <c r="E1222" s="5" t="s">
        <v>3196</v>
      </c>
      <c r="F1222" s="6" t="str">
        <f t="shared" si="2"/>
        <v>#N/A</v>
      </c>
      <c r="G1222" s="1" t="str">
        <f t="shared" si="3"/>
        <v/>
      </c>
      <c r="H1222" s="5" t="str">
        <f t="shared" si="4"/>
        <v>41, 41, GOLBAT</v>
      </c>
    </row>
    <row r="1223" ht="12.75" customHeight="1">
      <c r="A1223" s="4" t="s">
        <v>3197</v>
      </c>
      <c r="B1223" s="5" t="s">
        <v>3197</v>
      </c>
      <c r="C1223" s="1" t="str">
        <f t="shared" si="1"/>
        <v/>
      </c>
      <c r="E1223" s="5" t="s">
        <v>3197</v>
      </c>
      <c r="F1223" s="6" t="str">
        <f t="shared" si="2"/>
        <v>#N/A</v>
      </c>
      <c r="G1223" s="1" t="str">
        <f t="shared" si="3"/>
        <v/>
      </c>
      <c r="H1223" s="5" t="str">
        <f t="shared" si="4"/>
        <v>43, 43, GOLBAT</v>
      </c>
    </row>
    <row r="1224" ht="12.75" customHeight="1">
      <c r="A1224" s="4" t="s">
        <v>2807</v>
      </c>
      <c r="B1224" s="5">
        <v>0.05</v>
      </c>
      <c r="C1224" s="1" t="str">
        <f t="shared" si="1"/>
        <v/>
      </c>
      <c r="E1224" s="5">
        <v>0.05</v>
      </c>
      <c r="F1224" s="6" t="str">
        <f t="shared" si="2"/>
        <v>#N/A</v>
      </c>
      <c r="G1224" s="1" t="str">
        <f t="shared" si="3"/>
        <v/>
      </c>
      <c r="H1224" s="5">
        <f t="shared" si="4"/>
        <v>0.05</v>
      </c>
    </row>
    <row r="1225" ht="12.75" customHeight="1">
      <c r="A1225" s="4" t="s">
        <v>3198</v>
      </c>
      <c r="B1225" s="5" t="s">
        <v>3198</v>
      </c>
      <c r="C1225" s="1" t="str">
        <f t="shared" si="1"/>
        <v/>
      </c>
      <c r="E1225" s="5" t="s">
        <v>3198</v>
      </c>
      <c r="F1225" s="6" t="str">
        <f t="shared" si="2"/>
        <v>#N/A</v>
      </c>
      <c r="G1225" s="1" t="str">
        <f t="shared" si="3"/>
        <v/>
      </c>
      <c r="H1225" s="5" t="str">
        <f t="shared" si="4"/>
        <v>38, 38, GASTLY</v>
      </c>
    </row>
    <row r="1226" ht="12.75" customHeight="1">
      <c r="A1226" s="4" t="s">
        <v>3199</v>
      </c>
      <c r="B1226" s="5" t="s">
        <v>3199</v>
      </c>
      <c r="C1226" s="1" t="str">
        <f t="shared" si="1"/>
        <v/>
      </c>
      <c r="E1226" s="5" t="s">
        <v>3199</v>
      </c>
      <c r="F1226" s="6" t="str">
        <f t="shared" si="2"/>
        <v>#N/A</v>
      </c>
      <c r="G1226" s="1" t="str">
        <f t="shared" si="3"/>
        <v/>
      </c>
      <c r="H1226" s="5" t="str">
        <f t="shared" si="4"/>
        <v>48, 48, HAUNTER</v>
      </c>
    </row>
    <row r="1227" ht="12.75" customHeight="1">
      <c r="A1227" s="4" t="s">
        <v>2810</v>
      </c>
      <c r="B1227" s="5">
        <v>0.04</v>
      </c>
      <c r="C1227" s="1" t="str">
        <f t="shared" si="1"/>
        <v/>
      </c>
      <c r="E1227" s="5">
        <v>0.04</v>
      </c>
      <c r="F1227" s="6" t="str">
        <f t="shared" si="2"/>
        <v>#N/A</v>
      </c>
      <c r="G1227" s="1" t="str">
        <f t="shared" si="3"/>
        <v/>
      </c>
      <c r="H1227" s="5">
        <f t="shared" si="4"/>
        <v>0.04</v>
      </c>
    </row>
    <row r="1228" ht="12.75" customHeight="1">
      <c r="A1228" s="4" t="s">
        <v>3200</v>
      </c>
      <c r="B1228" s="5" t="s">
        <v>3200</v>
      </c>
      <c r="C1228" s="1" t="str">
        <f t="shared" si="1"/>
        <v/>
      </c>
      <c r="E1228" s="5" t="s">
        <v>3200</v>
      </c>
      <c r="F1228" s="6" t="str">
        <f t="shared" si="2"/>
        <v>#N/A</v>
      </c>
      <c r="G1228" s="1" t="str">
        <f t="shared" si="3"/>
        <v/>
      </c>
      <c r="H1228" s="5" t="str">
        <f t="shared" si="4"/>
        <v>50, 50, HAUNTER</v>
      </c>
    </row>
    <row r="1229" ht="12.75" customHeight="1">
      <c r="A1229" s="4" t="s">
        <v>3201</v>
      </c>
      <c r="B1229" s="5" t="s">
        <v>3201</v>
      </c>
      <c r="C1229" s="1" t="str">
        <f t="shared" si="1"/>
        <v/>
      </c>
      <c r="E1229" s="5" t="s">
        <v>3201</v>
      </c>
      <c r="F1229" s="6" t="str">
        <f t="shared" si="2"/>
        <v>#N/A</v>
      </c>
      <c r="G1229" s="1" t="str">
        <f t="shared" si="3"/>
        <v/>
      </c>
      <c r="H1229" s="5" t="str">
        <f t="shared" si="4"/>
        <v>22, 22, MISDREAVUS</v>
      </c>
    </row>
    <row r="1230" ht="12.75" customHeight="1">
      <c r="A1230" s="4" t="s">
        <v>2813</v>
      </c>
      <c r="B1230" s="5">
        <v>0.01</v>
      </c>
      <c r="C1230" s="1" t="str">
        <f t="shared" si="1"/>
        <v/>
      </c>
      <c r="E1230" s="5">
        <v>0.01</v>
      </c>
      <c r="F1230" s="6" t="str">
        <f t="shared" si="2"/>
        <v>#N/A</v>
      </c>
      <c r="G1230" s="1" t="str">
        <f t="shared" si="3"/>
        <v/>
      </c>
      <c r="H1230" s="5">
        <f t="shared" si="4"/>
        <v>0.01</v>
      </c>
    </row>
    <row r="1231" ht="12.75" customHeight="1">
      <c r="A1231" s="4" t="s">
        <v>3202</v>
      </c>
      <c r="B1231" s="5" t="s">
        <v>3202</v>
      </c>
      <c r="C1231" s="1" t="str">
        <f t="shared" si="1"/>
        <v/>
      </c>
      <c r="E1231" s="5" t="s">
        <v>3202</v>
      </c>
      <c r="F1231" s="6" t="str">
        <f t="shared" si="2"/>
        <v>#N/A</v>
      </c>
      <c r="G1231" s="1" t="str">
        <f t="shared" si="3"/>
        <v/>
      </c>
      <c r="H1231" s="5" t="str">
        <f t="shared" si="4"/>
        <v>52, 52, HAUNTER</v>
      </c>
    </row>
    <row r="1232" ht="12.75" customHeight="1">
      <c r="A1232" s="4" t="s">
        <v>3201</v>
      </c>
      <c r="B1232" s="5" t="s">
        <v>3201</v>
      </c>
      <c r="C1232" s="1" t="str">
        <f t="shared" si="1"/>
        <v/>
      </c>
      <c r="E1232" s="5" t="s">
        <v>3201</v>
      </c>
      <c r="F1232" s="6" t="str">
        <f t="shared" si="2"/>
        <v>#N/A</v>
      </c>
      <c r="G1232" s="1" t="str">
        <f t="shared" si="3"/>
        <v/>
      </c>
      <c r="H1232" s="5" t="str">
        <f t="shared" si="4"/>
        <v>22, 22, MISDREAVUS</v>
      </c>
    </row>
    <row r="1233" ht="12.75" customHeight="1">
      <c r="A1233" s="4" t="s">
        <v>2539</v>
      </c>
      <c r="B1233" s="5" t="s">
        <v>2539</v>
      </c>
      <c r="C1233" s="1">
        <f t="shared" si="1"/>
        <v>1</v>
      </c>
      <c r="E1233" s="5" t="s">
        <v>2539</v>
      </c>
      <c r="F1233" s="6" t="str">
        <f t="shared" si="2"/>
        <v>#N/A</v>
      </c>
      <c r="G1233" s="1" t="str">
        <f t="shared" si="3"/>
        <v/>
      </c>
      <c r="H1233" s="5" t="str">
        <f t="shared" si="4"/>
        <v>NEW ROUTE</v>
      </c>
    </row>
    <row r="1234" ht="12.75" customHeight="1">
      <c r="A1234" s="4" t="s">
        <v>1977</v>
      </c>
      <c r="B1234" s="5" t="s">
        <v>1977</v>
      </c>
      <c r="C1234" s="1" t="str">
        <f t="shared" si="1"/>
        <v/>
      </c>
      <c r="E1234" s="5" t="s">
        <v>1977</v>
      </c>
      <c r="F1234" s="6" t="str">
        <f t="shared" si="2"/>
        <v>Five Island Lost Cave Room 4</v>
      </c>
      <c r="G1234" s="1" t="str">
        <f t="shared" si="3"/>
        <v>Five Island Lost Cave Room 4</v>
      </c>
      <c r="H1234" s="5" t="str">
        <f t="shared" si="4"/>
        <v>Five Island Lost Cave Room 4</v>
      </c>
    </row>
    <row r="1235" ht="12.75" customHeight="1">
      <c r="A1235" s="4" t="s">
        <v>2799</v>
      </c>
      <c r="B1235" s="5">
        <v>0.2</v>
      </c>
      <c r="C1235" s="1" t="str">
        <f t="shared" si="1"/>
        <v/>
      </c>
      <c r="E1235" s="5">
        <v>0.2</v>
      </c>
      <c r="F1235" s="6" t="str">
        <f t="shared" si="2"/>
        <v>#N/A</v>
      </c>
      <c r="G1235" s="1" t="str">
        <f t="shared" si="3"/>
        <v/>
      </c>
      <c r="H1235" s="5">
        <f t="shared" si="4"/>
        <v>0.2</v>
      </c>
    </row>
    <row r="1236" ht="12.75" customHeight="1">
      <c r="A1236" s="4" t="s">
        <v>789</v>
      </c>
      <c r="B1236" s="5" t="s">
        <v>789</v>
      </c>
      <c r="C1236" s="1" t="str">
        <f t="shared" si="1"/>
        <v/>
      </c>
      <c r="E1236" s="5" t="s">
        <v>789</v>
      </c>
      <c r="F1236" s="6" t="str">
        <f t="shared" si="2"/>
        <v>#N/A</v>
      </c>
      <c r="G1236" s="1" t="str">
        <f t="shared" si="3"/>
        <v/>
      </c>
      <c r="H1236" s="5" t="str">
        <f t="shared" si="4"/>
        <v>40, 40, GASTLY</v>
      </c>
    </row>
    <row r="1237" ht="12.75" customHeight="1">
      <c r="A1237" s="4" t="s">
        <v>3193</v>
      </c>
      <c r="B1237" s="5" t="s">
        <v>3193</v>
      </c>
      <c r="C1237" s="1" t="str">
        <f t="shared" si="1"/>
        <v/>
      </c>
      <c r="E1237" s="5" t="s">
        <v>3193</v>
      </c>
      <c r="F1237" s="6" t="str">
        <f t="shared" si="2"/>
        <v>#N/A</v>
      </c>
      <c r="G1237" s="1" t="str">
        <f t="shared" si="3"/>
        <v/>
      </c>
      <c r="H1237" s="5" t="str">
        <f t="shared" si="4"/>
        <v>37, 37, ZUBAT</v>
      </c>
    </row>
    <row r="1238" ht="12.75" customHeight="1">
      <c r="A1238" s="4" t="s">
        <v>2802</v>
      </c>
      <c r="B1238" s="5">
        <v>0.1</v>
      </c>
      <c r="C1238" s="1" t="str">
        <f t="shared" si="1"/>
        <v/>
      </c>
      <c r="E1238" s="5">
        <v>0.1</v>
      </c>
      <c r="F1238" s="6" t="str">
        <f t="shared" si="2"/>
        <v>#N/A</v>
      </c>
      <c r="G1238" s="1" t="str">
        <f t="shared" si="3"/>
        <v/>
      </c>
      <c r="H1238" s="5">
        <f t="shared" si="4"/>
        <v>0.1</v>
      </c>
    </row>
    <row r="1239" ht="12.75" customHeight="1">
      <c r="A1239" s="4" t="s">
        <v>3194</v>
      </c>
      <c r="B1239" s="5" t="s">
        <v>3194</v>
      </c>
      <c r="C1239" s="1" t="str">
        <f t="shared" si="1"/>
        <v/>
      </c>
      <c r="E1239" s="5" t="s">
        <v>3194</v>
      </c>
      <c r="F1239" s="6" t="str">
        <f t="shared" si="2"/>
        <v>#N/A</v>
      </c>
      <c r="G1239" s="1" t="str">
        <f t="shared" si="3"/>
        <v/>
      </c>
      <c r="H1239" s="5" t="str">
        <f t="shared" si="4"/>
        <v>44, 44, HAUNTER</v>
      </c>
    </row>
    <row r="1240" ht="12.75" customHeight="1">
      <c r="A1240" s="4" t="s">
        <v>3195</v>
      </c>
      <c r="B1240" s="5" t="s">
        <v>3195</v>
      </c>
      <c r="C1240" s="1" t="str">
        <f t="shared" si="1"/>
        <v/>
      </c>
      <c r="E1240" s="5" t="s">
        <v>3195</v>
      </c>
      <c r="F1240" s="6" t="str">
        <f t="shared" si="2"/>
        <v>#N/A</v>
      </c>
      <c r="G1240" s="1" t="str">
        <f t="shared" si="3"/>
        <v/>
      </c>
      <c r="H1240" s="5" t="str">
        <f t="shared" si="4"/>
        <v>46, 46, HAUNTER</v>
      </c>
    </row>
    <row r="1241" ht="12.75" customHeight="1">
      <c r="A1241" s="4" t="s">
        <v>3196</v>
      </c>
      <c r="B1241" s="5" t="s">
        <v>3196</v>
      </c>
      <c r="C1241" s="1" t="str">
        <f t="shared" si="1"/>
        <v/>
      </c>
      <c r="E1241" s="5" t="s">
        <v>3196</v>
      </c>
      <c r="F1241" s="6" t="str">
        <f t="shared" si="2"/>
        <v>#N/A</v>
      </c>
      <c r="G1241" s="1" t="str">
        <f t="shared" si="3"/>
        <v/>
      </c>
      <c r="H1241" s="5" t="str">
        <f t="shared" si="4"/>
        <v>41, 41, GOLBAT</v>
      </c>
    </row>
    <row r="1242" ht="12.75" customHeight="1">
      <c r="A1242" s="4" t="s">
        <v>3197</v>
      </c>
      <c r="B1242" s="5" t="s">
        <v>3197</v>
      </c>
      <c r="C1242" s="1" t="str">
        <f t="shared" si="1"/>
        <v/>
      </c>
      <c r="E1242" s="5" t="s">
        <v>3197</v>
      </c>
      <c r="F1242" s="6" t="str">
        <f t="shared" si="2"/>
        <v>#N/A</v>
      </c>
      <c r="G1242" s="1" t="str">
        <f t="shared" si="3"/>
        <v/>
      </c>
      <c r="H1242" s="5" t="str">
        <f t="shared" si="4"/>
        <v>43, 43, GOLBAT</v>
      </c>
    </row>
    <row r="1243" ht="12.75" customHeight="1">
      <c r="A1243" s="4" t="s">
        <v>2807</v>
      </c>
      <c r="B1243" s="5">
        <v>0.05</v>
      </c>
      <c r="C1243" s="1" t="str">
        <f t="shared" si="1"/>
        <v/>
      </c>
      <c r="E1243" s="5">
        <v>0.05</v>
      </c>
      <c r="F1243" s="6" t="str">
        <f t="shared" si="2"/>
        <v>#N/A</v>
      </c>
      <c r="G1243" s="1" t="str">
        <f t="shared" si="3"/>
        <v/>
      </c>
      <c r="H1243" s="5">
        <f t="shared" si="4"/>
        <v>0.05</v>
      </c>
    </row>
    <row r="1244" ht="12.75" customHeight="1">
      <c r="A1244" s="4" t="s">
        <v>3198</v>
      </c>
      <c r="B1244" s="5" t="s">
        <v>3198</v>
      </c>
      <c r="C1244" s="1" t="str">
        <f t="shared" si="1"/>
        <v/>
      </c>
      <c r="E1244" s="5" t="s">
        <v>3198</v>
      </c>
      <c r="F1244" s="6" t="str">
        <f t="shared" si="2"/>
        <v>#N/A</v>
      </c>
      <c r="G1244" s="1" t="str">
        <f t="shared" si="3"/>
        <v/>
      </c>
      <c r="H1244" s="5" t="str">
        <f t="shared" si="4"/>
        <v>38, 38, GASTLY</v>
      </c>
    </row>
    <row r="1245" ht="12.75" customHeight="1">
      <c r="A1245" s="4" t="s">
        <v>3199</v>
      </c>
      <c r="B1245" s="5" t="s">
        <v>3199</v>
      </c>
      <c r="C1245" s="1" t="str">
        <f t="shared" si="1"/>
        <v/>
      </c>
      <c r="E1245" s="5" t="s">
        <v>3199</v>
      </c>
      <c r="F1245" s="6" t="str">
        <f t="shared" si="2"/>
        <v>#N/A</v>
      </c>
      <c r="G1245" s="1" t="str">
        <f t="shared" si="3"/>
        <v/>
      </c>
      <c r="H1245" s="5" t="str">
        <f t="shared" si="4"/>
        <v>48, 48, HAUNTER</v>
      </c>
    </row>
    <row r="1246" ht="12.75" customHeight="1">
      <c r="A1246" s="4" t="s">
        <v>2810</v>
      </c>
      <c r="B1246" s="5">
        <v>0.04</v>
      </c>
      <c r="C1246" s="1" t="str">
        <f t="shared" si="1"/>
        <v/>
      </c>
      <c r="E1246" s="5">
        <v>0.04</v>
      </c>
      <c r="F1246" s="6" t="str">
        <f t="shared" si="2"/>
        <v>#N/A</v>
      </c>
      <c r="G1246" s="1" t="str">
        <f t="shared" si="3"/>
        <v/>
      </c>
      <c r="H1246" s="5">
        <f t="shared" si="4"/>
        <v>0.04</v>
      </c>
    </row>
    <row r="1247" ht="12.75" customHeight="1">
      <c r="A1247" s="4" t="s">
        <v>3200</v>
      </c>
      <c r="B1247" s="5" t="s">
        <v>3200</v>
      </c>
      <c r="C1247" s="1" t="str">
        <f t="shared" si="1"/>
        <v/>
      </c>
      <c r="E1247" s="5" t="s">
        <v>3200</v>
      </c>
      <c r="F1247" s="6" t="str">
        <f t="shared" si="2"/>
        <v>#N/A</v>
      </c>
      <c r="G1247" s="1" t="str">
        <f t="shared" si="3"/>
        <v/>
      </c>
      <c r="H1247" s="5" t="str">
        <f t="shared" si="4"/>
        <v>50, 50, HAUNTER</v>
      </c>
    </row>
    <row r="1248" ht="12.75" customHeight="1">
      <c r="A1248" s="4" t="s">
        <v>3201</v>
      </c>
      <c r="B1248" s="5" t="s">
        <v>3201</v>
      </c>
      <c r="C1248" s="1" t="str">
        <f t="shared" si="1"/>
        <v/>
      </c>
      <c r="E1248" s="5" t="s">
        <v>3201</v>
      </c>
      <c r="F1248" s="6" t="str">
        <f t="shared" si="2"/>
        <v>#N/A</v>
      </c>
      <c r="G1248" s="1" t="str">
        <f t="shared" si="3"/>
        <v/>
      </c>
      <c r="H1248" s="5" t="str">
        <f t="shared" si="4"/>
        <v>22, 22, MISDREAVUS</v>
      </c>
    </row>
    <row r="1249" ht="12.75" customHeight="1">
      <c r="A1249" s="4" t="s">
        <v>2813</v>
      </c>
      <c r="B1249" s="5">
        <v>0.01</v>
      </c>
      <c r="C1249" s="1" t="str">
        <f t="shared" si="1"/>
        <v/>
      </c>
      <c r="E1249" s="5">
        <v>0.01</v>
      </c>
      <c r="F1249" s="6" t="str">
        <f t="shared" si="2"/>
        <v>#N/A</v>
      </c>
      <c r="G1249" s="1" t="str">
        <f t="shared" si="3"/>
        <v/>
      </c>
      <c r="H1249" s="5">
        <f t="shared" si="4"/>
        <v>0.01</v>
      </c>
    </row>
    <row r="1250" ht="12.75" customHeight="1">
      <c r="A1250" s="4" t="s">
        <v>3202</v>
      </c>
      <c r="B1250" s="5" t="s">
        <v>3202</v>
      </c>
      <c r="C1250" s="1" t="str">
        <f t="shared" si="1"/>
        <v/>
      </c>
      <c r="E1250" s="5" t="s">
        <v>3202</v>
      </c>
      <c r="F1250" s="6" t="str">
        <f t="shared" si="2"/>
        <v>#N/A</v>
      </c>
      <c r="G1250" s="1" t="str">
        <f t="shared" si="3"/>
        <v/>
      </c>
      <c r="H1250" s="5" t="str">
        <f t="shared" si="4"/>
        <v>52, 52, HAUNTER</v>
      </c>
    </row>
    <row r="1251" ht="12.75" customHeight="1">
      <c r="A1251" s="4" t="s">
        <v>3201</v>
      </c>
      <c r="B1251" s="5" t="s">
        <v>3201</v>
      </c>
      <c r="C1251" s="1" t="str">
        <f t="shared" si="1"/>
        <v/>
      </c>
      <c r="E1251" s="5" t="s">
        <v>3201</v>
      </c>
      <c r="F1251" s="6" t="str">
        <f t="shared" si="2"/>
        <v>#N/A</v>
      </c>
      <c r="G1251" s="1" t="str">
        <f t="shared" si="3"/>
        <v/>
      </c>
      <c r="H1251" s="5" t="str">
        <f t="shared" si="4"/>
        <v>22, 22, MISDREAVUS</v>
      </c>
    </row>
    <row r="1252" ht="12.75" customHeight="1">
      <c r="A1252" s="4" t="s">
        <v>2539</v>
      </c>
      <c r="B1252" s="5" t="s">
        <v>2539</v>
      </c>
      <c r="C1252" s="1">
        <f t="shared" si="1"/>
        <v>1</v>
      </c>
      <c r="E1252" s="5" t="s">
        <v>2539</v>
      </c>
      <c r="F1252" s="6" t="str">
        <f t="shared" si="2"/>
        <v>#N/A</v>
      </c>
      <c r="G1252" s="1" t="str">
        <f t="shared" si="3"/>
        <v/>
      </c>
      <c r="H1252" s="5" t="str">
        <f t="shared" si="4"/>
        <v>NEW ROUTE</v>
      </c>
    </row>
    <row r="1253" ht="12.75" customHeight="1">
      <c r="A1253" s="4" t="s">
        <v>1979</v>
      </c>
      <c r="B1253" s="5" t="s">
        <v>1979</v>
      </c>
      <c r="C1253" s="1" t="str">
        <f t="shared" si="1"/>
        <v/>
      </c>
      <c r="E1253" s="5" t="s">
        <v>1979</v>
      </c>
      <c r="F1253" s="6" t="str">
        <f t="shared" si="2"/>
        <v>Five Island Lost Cave Room 5</v>
      </c>
      <c r="G1253" s="1" t="str">
        <f t="shared" si="3"/>
        <v>Five Island Lost Cave Room 5</v>
      </c>
      <c r="H1253" s="5" t="str">
        <f t="shared" si="4"/>
        <v>Five Island Lost Cave Room 5</v>
      </c>
    </row>
    <row r="1254" ht="12.75" customHeight="1">
      <c r="A1254" s="4" t="s">
        <v>2799</v>
      </c>
      <c r="B1254" s="5">
        <v>0.2</v>
      </c>
      <c r="C1254" s="1" t="str">
        <f t="shared" si="1"/>
        <v/>
      </c>
      <c r="E1254" s="5">
        <v>0.2</v>
      </c>
      <c r="F1254" s="6" t="str">
        <f t="shared" si="2"/>
        <v>#N/A</v>
      </c>
      <c r="G1254" s="1" t="str">
        <f t="shared" si="3"/>
        <v/>
      </c>
      <c r="H1254" s="5">
        <f t="shared" si="4"/>
        <v>0.2</v>
      </c>
    </row>
    <row r="1255" ht="12.75" customHeight="1">
      <c r="A1255" s="4" t="s">
        <v>789</v>
      </c>
      <c r="B1255" s="5" t="s">
        <v>789</v>
      </c>
      <c r="C1255" s="1" t="str">
        <f t="shared" si="1"/>
        <v/>
      </c>
      <c r="E1255" s="5" t="s">
        <v>789</v>
      </c>
      <c r="F1255" s="6" t="str">
        <f t="shared" si="2"/>
        <v>#N/A</v>
      </c>
      <c r="G1255" s="1" t="str">
        <f t="shared" si="3"/>
        <v/>
      </c>
      <c r="H1255" s="5" t="str">
        <f t="shared" si="4"/>
        <v>40, 40, GASTLY</v>
      </c>
    </row>
    <row r="1256" ht="12.75" customHeight="1">
      <c r="A1256" s="4" t="s">
        <v>3193</v>
      </c>
      <c r="B1256" s="5" t="s">
        <v>3193</v>
      </c>
      <c r="C1256" s="1" t="str">
        <f t="shared" si="1"/>
        <v/>
      </c>
      <c r="E1256" s="5" t="s">
        <v>3193</v>
      </c>
      <c r="F1256" s="6" t="str">
        <f t="shared" si="2"/>
        <v>#N/A</v>
      </c>
      <c r="G1256" s="1" t="str">
        <f t="shared" si="3"/>
        <v/>
      </c>
      <c r="H1256" s="5" t="str">
        <f t="shared" si="4"/>
        <v>37, 37, ZUBAT</v>
      </c>
    </row>
    <row r="1257" ht="12.75" customHeight="1">
      <c r="A1257" s="4" t="s">
        <v>2802</v>
      </c>
      <c r="B1257" s="5">
        <v>0.1</v>
      </c>
      <c r="C1257" s="1" t="str">
        <f t="shared" si="1"/>
        <v/>
      </c>
      <c r="E1257" s="5">
        <v>0.1</v>
      </c>
      <c r="F1257" s="6" t="str">
        <f t="shared" si="2"/>
        <v>#N/A</v>
      </c>
      <c r="G1257" s="1" t="str">
        <f t="shared" si="3"/>
        <v/>
      </c>
      <c r="H1257" s="5">
        <f t="shared" si="4"/>
        <v>0.1</v>
      </c>
    </row>
    <row r="1258" ht="12.75" customHeight="1">
      <c r="A1258" s="4" t="s">
        <v>3194</v>
      </c>
      <c r="B1258" s="5" t="s">
        <v>3194</v>
      </c>
      <c r="C1258" s="1" t="str">
        <f t="shared" si="1"/>
        <v/>
      </c>
      <c r="E1258" s="5" t="s">
        <v>3194</v>
      </c>
      <c r="F1258" s="6" t="str">
        <f t="shared" si="2"/>
        <v>#N/A</v>
      </c>
      <c r="G1258" s="1" t="str">
        <f t="shared" si="3"/>
        <v/>
      </c>
      <c r="H1258" s="5" t="str">
        <f t="shared" si="4"/>
        <v>44, 44, HAUNTER</v>
      </c>
    </row>
    <row r="1259" ht="12.75" customHeight="1">
      <c r="A1259" s="4" t="s">
        <v>3195</v>
      </c>
      <c r="B1259" s="5" t="s">
        <v>3195</v>
      </c>
      <c r="C1259" s="1" t="str">
        <f t="shared" si="1"/>
        <v/>
      </c>
      <c r="E1259" s="5" t="s">
        <v>3195</v>
      </c>
      <c r="F1259" s="6" t="str">
        <f t="shared" si="2"/>
        <v>#N/A</v>
      </c>
      <c r="G1259" s="1" t="str">
        <f t="shared" si="3"/>
        <v/>
      </c>
      <c r="H1259" s="5" t="str">
        <f t="shared" si="4"/>
        <v>46, 46, HAUNTER</v>
      </c>
    </row>
    <row r="1260" ht="12.75" customHeight="1">
      <c r="A1260" s="4" t="s">
        <v>3196</v>
      </c>
      <c r="B1260" s="5" t="s">
        <v>3196</v>
      </c>
      <c r="C1260" s="1" t="str">
        <f t="shared" si="1"/>
        <v/>
      </c>
      <c r="E1260" s="5" t="s">
        <v>3196</v>
      </c>
      <c r="F1260" s="6" t="str">
        <f t="shared" si="2"/>
        <v>#N/A</v>
      </c>
      <c r="G1260" s="1" t="str">
        <f t="shared" si="3"/>
        <v/>
      </c>
      <c r="H1260" s="5" t="str">
        <f t="shared" si="4"/>
        <v>41, 41, GOLBAT</v>
      </c>
    </row>
    <row r="1261" ht="12.75" customHeight="1">
      <c r="A1261" s="4" t="s">
        <v>3197</v>
      </c>
      <c r="B1261" s="5" t="s">
        <v>3197</v>
      </c>
      <c r="C1261" s="1" t="str">
        <f t="shared" si="1"/>
        <v/>
      </c>
      <c r="E1261" s="5" t="s">
        <v>3197</v>
      </c>
      <c r="F1261" s="6" t="str">
        <f t="shared" si="2"/>
        <v>#N/A</v>
      </c>
      <c r="G1261" s="1" t="str">
        <f t="shared" si="3"/>
        <v/>
      </c>
      <c r="H1261" s="5" t="str">
        <f t="shared" si="4"/>
        <v>43, 43, GOLBAT</v>
      </c>
    </row>
    <row r="1262" ht="12.75" customHeight="1">
      <c r="A1262" s="4" t="s">
        <v>2807</v>
      </c>
      <c r="B1262" s="5">
        <v>0.05</v>
      </c>
      <c r="C1262" s="1" t="str">
        <f t="shared" si="1"/>
        <v/>
      </c>
      <c r="E1262" s="5">
        <v>0.05</v>
      </c>
      <c r="F1262" s="6" t="str">
        <f t="shared" si="2"/>
        <v>#N/A</v>
      </c>
      <c r="G1262" s="1" t="str">
        <f t="shared" si="3"/>
        <v/>
      </c>
      <c r="H1262" s="5">
        <f t="shared" si="4"/>
        <v>0.05</v>
      </c>
    </row>
    <row r="1263" ht="12.75" customHeight="1">
      <c r="A1263" s="4" t="s">
        <v>3198</v>
      </c>
      <c r="B1263" s="5" t="s">
        <v>3198</v>
      </c>
      <c r="C1263" s="1" t="str">
        <f t="shared" si="1"/>
        <v/>
      </c>
      <c r="E1263" s="5" t="s">
        <v>3198</v>
      </c>
      <c r="F1263" s="6" t="str">
        <f t="shared" si="2"/>
        <v>#N/A</v>
      </c>
      <c r="G1263" s="1" t="str">
        <f t="shared" si="3"/>
        <v/>
      </c>
      <c r="H1263" s="5" t="str">
        <f t="shared" si="4"/>
        <v>38, 38, GASTLY</v>
      </c>
    </row>
    <row r="1264" ht="12.75" customHeight="1">
      <c r="A1264" s="4" t="s">
        <v>3199</v>
      </c>
      <c r="B1264" s="5" t="s">
        <v>3199</v>
      </c>
      <c r="C1264" s="1" t="str">
        <f t="shared" si="1"/>
        <v/>
      </c>
      <c r="E1264" s="5" t="s">
        <v>3199</v>
      </c>
      <c r="F1264" s="6" t="str">
        <f t="shared" si="2"/>
        <v>#N/A</v>
      </c>
      <c r="G1264" s="1" t="str">
        <f t="shared" si="3"/>
        <v/>
      </c>
      <c r="H1264" s="5" t="str">
        <f t="shared" si="4"/>
        <v>48, 48, HAUNTER</v>
      </c>
    </row>
    <row r="1265" ht="12.75" customHeight="1">
      <c r="A1265" s="4" t="s">
        <v>2810</v>
      </c>
      <c r="B1265" s="5">
        <v>0.04</v>
      </c>
      <c r="C1265" s="1" t="str">
        <f t="shared" si="1"/>
        <v/>
      </c>
      <c r="E1265" s="5">
        <v>0.04</v>
      </c>
      <c r="F1265" s="6" t="str">
        <f t="shared" si="2"/>
        <v>#N/A</v>
      </c>
      <c r="G1265" s="1" t="str">
        <f t="shared" si="3"/>
        <v/>
      </c>
      <c r="H1265" s="5">
        <f t="shared" si="4"/>
        <v>0.04</v>
      </c>
    </row>
    <row r="1266" ht="12.75" customHeight="1">
      <c r="A1266" s="4" t="s">
        <v>3200</v>
      </c>
      <c r="B1266" s="5" t="s">
        <v>3200</v>
      </c>
      <c r="C1266" s="1" t="str">
        <f t="shared" si="1"/>
        <v/>
      </c>
      <c r="E1266" s="5" t="s">
        <v>3200</v>
      </c>
      <c r="F1266" s="6" t="str">
        <f t="shared" si="2"/>
        <v>#N/A</v>
      </c>
      <c r="G1266" s="1" t="str">
        <f t="shared" si="3"/>
        <v/>
      </c>
      <c r="H1266" s="5" t="str">
        <f t="shared" si="4"/>
        <v>50, 50, HAUNTER</v>
      </c>
    </row>
    <row r="1267" ht="12.75" customHeight="1">
      <c r="A1267" s="4" t="s">
        <v>3201</v>
      </c>
      <c r="B1267" s="5" t="s">
        <v>3201</v>
      </c>
      <c r="C1267" s="1" t="str">
        <f t="shared" si="1"/>
        <v/>
      </c>
      <c r="E1267" s="5" t="s">
        <v>3201</v>
      </c>
      <c r="F1267" s="6" t="str">
        <f t="shared" si="2"/>
        <v>#N/A</v>
      </c>
      <c r="G1267" s="1" t="str">
        <f t="shared" si="3"/>
        <v/>
      </c>
      <c r="H1267" s="5" t="str">
        <f t="shared" si="4"/>
        <v>22, 22, MISDREAVUS</v>
      </c>
    </row>
    <row r="1268" ht="12.75" customHeight="1">
      <c r="A1268" s="4" t="s">
        <v>2813</v>
      </c>
      <c r="B1268" s="5">
        <v>0.01</v>
      </c>
      <c r="C1268" s="1" t="str">
        <f t="shared" si="1"/>
        <v/>
      </c>
      <c r="E1268" s="5">
        <v>0.01</v>
      </c>
      <c r="F1268" s="6" t="str">
        <f t="shared" si="2"/>
        <v>#N/A</v>
      </c>
      <c r="G1268" s="1" t="str">
        <f t="shared" si="3"/>
        <v/>
      </c>
      <c r="H1268" s="5">
        <f t="shared" si="4"/>
        <v>0.01</v>
      </c>
    </row>
    <row r="1269" ht="12.75" customHeight="1">
      <c r="A1269" s="4" t="s">
        <v>3202</v>
      </c>
      <c r="B1269" s="5" t="s">
        <v>3202</v>
      </c>
      <c r="C1269" s="1" t="str">
        <f t="shared" si="1"/>
        <v/>
      </c>
      <c r="E1269" s="5" t="s">
        <v>3202</v>
      </c>
      <c r="F1269" s="6" t="str">
        <f t="shared" si="2"/>
        <v>#N/A</v>
      </c>
      <c r="G1269" s="1" t="str">
        <f t="shared" si="3"/>
        <v/>
      </c>
      <c r="H1269" s="5" t="str">
        <f t="shared" si="4"/>
        <v>52, 52, HAUNTER</v>
      </c>
    </row>
    <row r="1270" ht="12.75" customHeight="1">
      <c r="A1270" s="4" t="s">
        <v>3201</v>
      </c>
      <c r="B1270" s="5" t="s">
        <v>3201</v>
      </c>
      <c r="C1270" s="1" t="str">
        <f t="shared" si="1"/>
        <v/>
      </c>
      <c r="E1270" s="5" t="s">
        <v>3201</v>
      </c>
      <c r="F1270" s="6" t="str">
        <f t="shared" si="2"/>
        <v>#N/A</v>
      </c>
      <c r="G1270" s="1" t="str">
        <f t="shared" si="3"/>
        <v/>
      </c>
      <c r="H1270" s="5" t="str">
        <f t="shared" si="4"/>
        <v>22, 22, MISDREAVUS</v>
      </c>
    </row>
    <row r="1271" ht="12.75" customHeight="1">
      <c r="A1271" s="4" t="s">
        <v>2539</v>
      </c>
      <c r="B1271" s="5" t="s">
        <v>2539</v>
      </c>
      <c r="C1271" s="1">
        <f t="shared" si="1"/>
        <v>1</v>
      </c>
      <c r="E1271" s="5" t="s">
        <v>2539</v>
      </c>
      <c r="F1271" s="6" t="str">
        <f t="shared" si="2"/>
        <v>#N/A</v>
      </c>
      <c r="G1271" s="1" t="str">
        <f t="shared" si="3"/>
        <v/>
      </c>
      <c r="H1271" s="5" t="str">
        <f t="shared" si="4"/>
        <v>NEW ROUTE</v>
      </c>
    </row>
    <row r="1272" ht="12.75" customHeight="1">
      <c r="A1272" s="4" t="s">
        <v>1981</v>
      </c>
      <c r="B1272" s="5" t="s">
        <v>1981</v>
      </c>
      <c r="C1272" s="1" t="str">
        <f t="shared" si="1"/>
        <v/>
      </c>
      <c r="E1272" s="5" t="s">
        <v>1981</v>
      </c>
      <c r="F1272" s="6" t="str">
        <f t="shared" si="2"/>
        <v>Five Island Lost Cave Room 6</v>
      </c>
      <c r="G1272" s="1" t="str">
        <f t="shared" si="3"/>
        <v>Five Island Lost Cave Room 6</v>
      </c>
      <c r="H1272" s="5" t="str">
        <f t="shared" si="4"/>
        <v>Five Island Lost Cave Room 6</v>
      </c>
    </row>
    <row r="1273" ht="12.75" customHeight="1">
      <c r="A1273" s="4" t="s">
        <v>2799</v>
      </c>
      <c r="B1273" s="5">
        <v>0.2</v>
      </c>
      <c r="C1273" s="1" t="str">
        <f t="shared" si="1"/>
        <v/>
      </c>
      <c r="E1273" s="5">
        <v>0.2</v>
      </c>
      <c r="F1273" s="6" t="str">
        <f t="shared" si="2"/>
        <v>#N/A</v>
      </c>
      <c r="G1273" s="1" t="str">
        <f t="shared" si="3"/>
        <v/>
      </c>
      <c r="H1273" s="5">
        <f t="shared" si="4"/>
        <v>0.2</v>
      </c>
    </row>
    <row r="1274" ht="12.75" customHeight="1">
      <c r="A1274" s="4" t="s">
        <v>789</v>
      </c>
      <c r="B1274" s="5" t="s">
        <v>789</v>
      </c>
      <c r="C1274" s="1" t="str">
        <f t="shared" si="1"/>
        <v/>
      </c>
      <c r="E1274" s="5" t="s">
        <v>789</v>
      </c>
      <c r="F1274" s="6" t="str">
        <f t="shared" si="2"/>
        <v>#N/A</v>
      </c>
      <c r="G1274" s="1" t="str">
        <f t="shared" si="3"/>
        <v/>
      </c>
      <c r="H1274" s="5" t="str">
        <f t="shared" si="4"/>
        <v>40, 40, GASTLY</v>
      </c>
    </row>
    <row r="1275" ht="12.75" customHeight="1">
      <c r="A1275" s="4" t="s">
        <v>3193</v>
      </c>
      <c r="B1275" s="5" t="s">
        <v>3193</v>
      </c>
      <c r="C1275" s="1" t="str">
        <f t="shared" si="1"/>
        <v/>
      </c>
      <c r="E1275" s="5" t="s">
        <v>3193</v>
      </c>
      <c r="F1275" s="6" t="str">
        <f t="shared" si="2"/>
        <v>#N/A</v>
      </c>
      <c r="G1275" s="1" t="str">
        <f t="shared" si="3"/>
        <v/>
      </c>
      <c r="H1275" s="5" t="str">
        <f t="shared" si="4"/>
        <v>37, 37, ZUBAT</v>
      </c>
    </row>
    <row r="1276" ht="12.75" customHeight="1">
      <c r="A1276" s="4" t="s">
        <v>2802</v>
      </c>
      <c r="B1276" s="5">
        <v>0.1</v>
      </c>
      <c r="C1276" s="1" t="str">
        <f t="shared" si="1"/>
        <v/>
      </c>
      <c r="E1276" s="5">
        <v>0.1</v>
      </c>
      <c r="F1276" s="6" t="str">
        <f t="shared" si="2"/>
        <v>#N/A</v>
      </c>
      <c r="G1276" s="1" t="str">
        <f t="shared" si="3"/>
        <v/>
      </c>
      <c r="H1276" s="5">
        <f t="shared" si="4"/>
        <v>0.1</v>
      </c>
    </row>
    <row r="1277" ht="12.75" customHeight="1">
      <c r="A1277" s="4" t="s">
        <v>3194</v>
      </c>
      <c r="B1277" s="5" t="s">
        <v>3194</v>
      </c>
      <c r="C1277" s="1" t="str">
        <f t="shared" si="1"/>
        <v/>
      </c>
      <c r="E1277" s="5" t="s">
        <v>3194</v>
      </c>
      <c r="F1277" s="6" t="str">
        <f t="shared" si="2"/>
        <v>#N/A</v>
      </c>
      <c r="G1277" s="1" t="str">
        <f t="shared" si="3"/>
        <v/>
      </c>
      <c r="H1277" s="5" t="str">
        <f t="shared" si="4"/>
        <v>44, 44, HAUNTER</v>
      </c>
    </row>
    <row r="1278" ht="12.75" customHeight="1">
      <c r="A1278" s="4" t="s">
        <v>3195</v>
      </c>
      <c r="B1278" s="5" t="s">
        <v>3195</v>
      </c>
      <c r="C1278" s="1" t="str">
        <f t="shared" si="1"/>
        <v/>
      </c>
      <c r="E1278" s="5" t="s">
        <v>3195</v>
      </c>
      <c r="F1278" s="6" t="str">
        <f t="shared" si="2"/>
        <v>#N/A</v>
      </c>
      <c r="G1278" s="1" t="str">
        <f t="shared" si="3"/>
        <v/>
      </c>
      <c r="H1278" s="5" t="str">
        <f t="shared" si="4"/>
        <v>46, 46, HAUNTER</v>
      </c>
    </row>
    <row r="1279" ht="12.75" customHeight="1">
      <c r="A1279" s="4" t="s">
        <v>3196</v>
      </c>
      <c r="B1279" s="5" t="s">
        <v>3196</v>
      </c>
      <c r="C1279" s="1" t="str">
        <f t="shared" si="1"/>
        <v/>
      </c>
      <c r="E1279" s="5" t="s">
        <v>3196</v>
      </c>
      <c r="F1279" s="6" t="str">
        <f t="shared" si="2"/>
        <v>#N/A</v>
      </c>
      <c r="G1279" s="1" t="str">
        <f t="shared" si="3"/>
        <v/>
      </c>
      <c r="H1279" s="5" t="str">
        <f t="shared" si="4"/>
        <v>41, 41, GOLBAT</v>
      </c>
    </row>
    <row r="1280" ht="12.75" customHeight="1">
      <c r="A1280" s="4" t="s">
        <v>3197</v>
      </c>
      <c r="B1280" s="5" t="s">
        <v>3197</v>
      </c>
      <c r="C1280" s="1" t="str">
        <f t="shared" si="1"/>
        <v/>
      </c>
      <c r="E1280" s="5" t="s">
        <v>3197</v>
      </c>
      <c r="F1280" s="6" t="str">
        <f t="shared" si="2"/>
        <v>#N/A</v>
      </c>
      <c r="G1280" s="1" t="str">
        <f t="shared" si="3"/>
        <v/>
      </c>
      <c r="H1280" s="5" t="str">
        <f t="shared" si="4"/>
        <v>43, 43, GOLBAT</v>
      </c>
    </row>
    <row r="1281" ht="12.75" customHeight="1">
      <c r="A1281" s="4" t="s">
        <v>2807</v>
      </c>
      <c r="B1281" s="5">
        <v>0.05</v>
      </c>
      <c r="C1281" s="1" t="str">
        <f t="shared" si="1"/>
        <v/>
      </c>
      <c r="E1281" s="5">
        <v>0.05</v>
      </c>
      <c r="F1281" s="6" t="str">
        <f t="shared" si="2"/>
        <v>#N/A</v>
      </c>
      <c r="G1281" s="1" t="str">
        <f t="shared" si="3"/>
        <v/>
      </c>
      <c r="H1281" s="5">
        <f t="shared" si="4"/>
        <v>0.05</v>
      </c>
    </row>
    <row r="1282" ht="12.75" customHeight="1">
      <c r="A1282" s="4" t="s">
        <v>3198</v>
      </c>
      <c r="B1282" s="5" t="s">
        <v>3198</v>
      </c>
      <c r="C1282" s="1" t="str">
        <f t="shared" si="1"/>
        <v/>
      </c>
      <c r="E1282" s="5" t="s">
        <v>3198</v>
      </c>
      <c r="F1282" s="6" t="str">
        <f t="shared" si="2"/>
        <v>#N/A</v>
      </c>
      <c r="G1282" s="1" t="str">
        <f t="shared" si="3"/>
        <v/>
      </c>
      <c r="H1282" s="5" t="str">
        <f t="shared" si="4"/>
        <v>38, 38, GASTLY</v>
      </c>
    </row>
    <row r="1283" ht="12.75" customHeight="1">
      <c r="A1283" s="4" t="s">
        <v>3199</v>
      </c>
      <c r="B1283" s="5" t="s">
        <v>3199</v>
      </c>
      <c r="C1283" s="1" t="str">
        <f t="shared" si="1"/>
        <v/>
      </c>
      <c r="E1283" s="5" t="s">
        <v>3199</v>
      </c>
      <c r="F1283" s="6" t="str">
        <f t="shared" si="2"/>
        <v>#N/A</v>
      </c>
      <c r="G1283" s="1" t="str">
        <f t="shared" si="3"/>
        <v/>
      </c>
      <c r="H1283" s="5" t="str">
        <f t="shared" si="4"/>
        <v>48, 48, HAUNTER</v>
      </c>
    </row>
    <row r="1284" ht="12.75" customHeight="1">
      <c r="A1284" s="4" t="s">
        <v>2810</v>
      </c>
      <c r="B1284" s="5">
        <v>0.04</v>
      </c>
      <c r="C1284" s="1" t="str">
        <f t="shared" si="1"/>
        <v/>
      </c>
      <c r="E1284" s="5">
        <v>0.04</v>
      </c>
      <c r="F1284" s="6" t="str">
        <f t="shared" si="2"/>
        <v>#N/A</v>
      </c>
      <c r="G1284" s="1" t="str">
        <f t="shared" si="3"/>
        <v/>
      </c>
      <c r="H1284" s="5">
        <f t="shared" si="4"/>
        <v>0.04</v>
      </c>
    </row>
    <row r="1285" ht="12.75" customHeight="1">
      <c r="A1285" s="4" t="s">
        <v>3200</v>
      </c>
      <c r="B1285" s="5" t="s">
        <v>3200</v>
      </c>
      <c r="C1285" s="1" t="str">
        <f t="shared" si="1"/>
        <v/>
      </c>
      <c r="E1285" s="5" t="s">
        <v>3200</v>
      </c>
      <c r="F1285" s="6" t="str">
        <f t="shared" si="2"/>
        <v>#N/A</v>
      </c>
      <c r="G1285" s="1" t="str">
        <f t="shared" si="3"/>
        <v/>
      </c>
      <c r="H1285" s="5" t="str">
        <f t="shared" si="4"/>
        <v>50, 50, HAUNTER</v>
      </c>
    </row>
    <row r="1286" ht="12.75" customHeight="1">
      <c r="A1286" s="4" t="s">
        <v>3201</v>
      </c>
      <c r="B1286" s="5" t="s">
        <v>3201</v>
      </c>
      <c r="C1286" s="1" t="str">
        <f t="shared" si="1"/>
        <v/>
      </c>
      <c r="E1286" s="5" t="s">
        <v>3201</v>
      </c>
      <c r="F1286" s="6" t="str">
        <f t="shared" si="2"/>
        <v>#N/A</v>
      </c>
      <c r="G1286" s="1" t="str">
        <f t="shared" si="3"/>
        <v/>
      </c>
      <c r="H1286" s="5" t="str">
        <f t="shared" si="4"/>
        <v>22, 22, MISDREAVUS</v>
      </c>
    </row>
    <row r="1287" ht="12.75" customHeight="1">
      <c r="A1287" s="4" t="s">
        <v>2813</v>
      </c>
      <c r="B1287" s="5">
        <v>0.01</v>
      </c>
      <c r="C1287" s="1" t="str">
        <f t="shared" si="1"/>
        <v/>
      </c>
      <c r="E1287" s="5">
        <v>0.01</v>
      </c>
      <c r="F1287" s="6" t="str">
        <f t="shared" si="2"/>
        <v>#N/A</v>
      </c>
      <c r="G1287" s="1" t="str">
        <f t="shared" si="3"/>
        <v/>
      </c>
      <c r="H1287" s="5">
        <f t="shared" si="4"/>
        <v>0.01</v>
      </c>
    </row>
    <row r="1288" ht="12.75" customHeight="1">
      <c r="A1288" s="4" t="s">
        <v>3202</v>
      </c>
      <c r="B1288" s="5" t="s">
        <v>3202</v>
      </c>
      <c r="C1288" s="1" t="str">
        <f t="shared" si="1"/>
        <v/>
      </c>
      <c r="E1288" s="5" t="s">
        <v>3202</v>
      </c>
      <c r="F1288" s="6" t="str">
        <f t="shared" si="2"/>
        <v>#N/A</v>
      </c>
      <c r="G1288" s="1" t="str">
        <f t="shared" si="3"/>
        <v/>
      </c>
      <c r="H1288" s="5" t="str">
        <f t="shared" si="4"/>
        <v>52, 52, HAUNTER</v>
      </c>
    </row>
    <row r="1289" ht="12.75" customHeight="1">
      <c r="A1289" s="4" t="s">
        <v>3201</v>
      </c>
      <c r="B1289" s="5" t="s">
        <v>3201</v>
      </c>
      <c r="C1289" s="1" t="str">
        <f t="shared" si="1"/>
        <v/>
      </c>
      <c r="E1289" s="5" t="s">
        <v>3201</v>
      </c>
      <c r="F1289" s="6" t="str">
        <f t="shared" si="2"/>
        <v>#N/A</v>
      </c>
      <c r="G1289" s="1" t="str">
        <f t="shared" si="3"/>
        <v/>
      </c>
      <c r="H1289" s="5" t="str">
        <f t="shared" si="4"/>
        <v>22, 22, MISDREAVUS</v>
      </c>
    </row>
    <row r="1290" ht="12.75" customHeight="1">
      <c r="A1290" s="4" t="s">
        <v>2539</v>
      </c>
      <c r="B1290" s="5" t="s">
        <v>2539</v>
      </c>
      <c r="C1290" s="1">
        <f t="shared" si="1"/>
        <v>1</v>
      </c>
      <c r="E1290" s="5" t="s">
        <v>2539</v>
      </c>
      <c r="F1290" s="6" t="str">
        <f t="shared" si="2"/>
        <v>#N/A</v>
      </c>
      <c r="G1290" s="1" t="str">
        <f t="shared" si="3"/>
        <v/>
      </c>
      <c r="H1290" s="5" t="str">
        <f t="shared" si="4"/>
        <v>NEW ROUTE</v>
      </c>
    </row>
    <row r="1291" ht="12.75" customHeight="1">
      <c r="A1291" s="4" t="s">
        <v>1983</v>
      </c>
      <c r="B1291" s="5" t="s">
        <v>1983</v>
      </c>
      <c r="C1291" s="1" t="str">
        <f t="shared" si="1"/>
        <v/>
      </c>
      <c r="E1291" s="5" t="s">
        <v>1983</v>
      </c>
      <c r="F1291" s="6" t="str">
        <f t="shared" si="2"/>
        <v>Five Island Lost Cave Room 7</v>
      </c>
      <c r="G1291" s="1" t="str">
        <f t="shared" si="3"/>
        <v>Five Island Lost Cave Room 7</v>
      </c>
      <c r="H1291" s="5" t="str">
        <f t="shared" si="4"/>
        <v>Five Island Lost Cave Room 7</v>
      </c>
    </row>
    <row r="1292" ht="12.75" customHeight="1">
      <c r="A1292" s="4" t="s">
        <v>2799</v>
      </c>
      <c r="B1292" s="5">
        <v>0.2</v>
      </c>
      <c r="C1292" s="1" t="str">
        <f t="shared" si="1"/>
        <v/>
      </c>
      <c r="E1292" s="5">
        <v>0.2</v>
      </c>
      <c r="F1292" s="6" t="str">
        <f t="shared" si="2"/>
        <v>#N/A</v>
      </c>
      <c r="G1292" s="1" t="str">
        <f t="shared" si="3"/>
        <v/>
      </c>
      <c r="H1292" s="5">
        <f t="shared" si="4"/>
        <v>0.2</v>
      </c>
    </row>
    <row r="1293" ht="12.75" customHeight="1">
      <c r="A1293" s="4" t="s">
        <v>789</v>
      </c>
      <c r="B1293" s="5" t="s">
        <v>789</v>
      </c>
      <c r="C1293" s="1" t="str">
        <f t="shared" si="1"/>
        <v/>
      </c>
      <c r="E1293" s="5" t="s">
        <v>789</v>
      </c>
      <c r="F1293" s="6" t="str">
        <f t="shared" si="2"/>
        <v>#N/A</v>
      </c>
      <c r="G1293" s="1" t="str">
        <f t="shared" si="3"/>
        <v/>
      </c>
      <c r="H1293" s="5" t="str">
        <f t="shared" si="4"/>
        <v>40, 40, GASTLY</v>
      </c>
    </row>
    <row r="1294" ht="12.75" customHeight="1">
      <c r="A1294" s="4" t="s">
        <v>3193</v>
      </c>
      <c r="B1294" s="5" t="s">
        <v>3193</v>
      </c>
      <c r="C1294" s="1" t="str">
        <f t="shared" si="1"/>
        <v/>
      </c>
      <c r="E1294" s="5" t="s">
        <v>3193</v>
      </c>
      <c r="F1294" s="6" t="str">
        <f t="shared" si="2"/>
        <v>#N/A</v>
      </c>
      <c r="G1294" s="1" t="str">
        <f t="shared" si="3"/>
        <v/>
      </c>
      <c r="H1294" s="5" t="str">
        <f t="shared" si="4"/>
        <v>37, 37, ZUBAT</v>
      </c>
    </row>
    <row r="1295" ht="12.75" customHeight="1">
      <c r="A1295" s="4" t="s">
        <v>2802</v>
      </c>
      <c r="B1295" s="5">
        <v>0.1</v>
      </c>
      <c r="C1295" s="1" t="str">
        <f t="shared" si="1"/>
        <v/>
      </c>
      <c r="E1295" s="5">
        <v>0.1</v>
      </c>
      <c r="F1295" s="6" t="str">
        <f t="shared" si="2"/>
        <v>#N/A</v>
      </c>
      <c r="G1295" s="1" t="str">
        <f t="shared" si="3"/>
        <v/>
      </c>
      <c r="H1295" s="5">
        <f t="shared" si="4"/>
        <v>0.1</v>
      </c>
    </row>
    <row r="1296" ht="12.75" customHeight="1">
      <c r="A1296" s="4" t="s">
        <v>3194</v>
      </c>
      <c r="B1296" s="5" t="s">
        <v>3194</v>
      </c>
      <c r="C1296" s="1" t="str">
        <f t="shared" si="1"/>
        <v/>
      </c>
      <c r="E1296" s="5" t="s">
        <v>3194</v>
      </c>
      <c r="F1296" s="6" t="str">
        <f t="shared" si="2"/>
        <v>#N/A</v>
      </c>
      <c r="G1296" s="1" t="str">
        <f t="shared" si="3"/>
        <v/>
      </c>
      <c r="H1296" s="5" t="str">
        <f t="shared" si="4"/>
        <v>44, 44, HAUNTER</v>
      </c>
    </row>
    <row r="1297" ht="12.75" customHeight="1">
      <c r="A1297" s="4" t="s">
        <v>3195</v>
      </c>
      <c r="B1297" s="5" t="s">
        <v>3195</v>
      </c>
      <c r="C1297" s="1" t="str">
        <f t="shared" si="1"/>
        <v/>
      </c>
      <c r="E1297" s="5" t="s">
        <v>3195</v>
      </c>
      <c r="F1297" s="6" t="str">
        <f t="shared" si="2"/>
        <v>#N/A</v>
      </c>
      <c r="G1297" s="1" t="str">
        <f t="shared" si="3"/>
        <v/>
      </c>
      <c r="H1297" s="5" t="str">
        <f t="shared" si="4"/>
        <v>46, 46, HAUNTER</v>
      </c>
    </row>
    <row r="1298" ht="12.75" customHeight="1">
      <c r="A1298" s="4" t="s">
        <v>3196</v>
      </c>
      <c r="B1298" s="5" t="s">
        <v>3196</v>
      </c>
      <c r="C1298" s="1" t="str">
        <f t="shared" si="1"/>
        <v/>
      </c>
      <c r="E1298" s="5" t="s">
        <v>3196</v>
      </c>
      <c r="F1298" s="6" t="str">
        <f t="shared" si="2"/>
        <v>#N/A</v>
      </c>
      <c r="G1298" s="1" t="str">
        <f t="shared" si="3"/>
        <v/>
      </c>
      <c r="H1298" s="5" t="str">
        <f t="shared" si="4"/>
        <v>41, 41, GOLBAT</v>
      </c>
    </row>
    <row r="1299" ht="12.75" customHeight="1">
      <c r="A1299" s="4" t="s">
        <v>3197</v>
      </c>
      <c r="B1299" s="5" t="s">
        <v>3197</v>
      </c>
      <c r="C1299" s="1" t="str">
        <f t="shared" si="1"/>
        <v/>
      </c>
      <c r="E1299" s="5" t="s">
        <v>3197</v>
      </c>
      <c r="F1299" s="6" t="str">
        <f t="shared" si="2"/>
        <v>#N/A</v>
      </c>
      <c r="G1299" s="1" t="str">
        <f t="shared" si="3"/>
        <v/>
      </c>
      <c r="H1299" s="5" t="str">
        <f t="shared" si="4"/>
        <v>43, 43, GOLBAT</v>
      </c>
    </row>
    <row r="1300" ht="12.75" customHeight="1">
      <c r="A1300" s="4" t="s">
        <v>2807</v>
      </c>
      <c r="B1300" s="5">
        <v>0.05</v>
      </c>
      <c r="C1300" s="1" t="str">
        <f t="shared" si="1"/>
        <v/>
      </c>
      <c r="E1300" s="5">
        <v>0.05</v>
      </c>
      <c r="F1300" s="6" t="str">
        <f t="shared" si="2"/>
        <v>#N/A</v>
      </c>
      <c r="G1300" s="1" t="str">
        <f t="shared" si="3"/>
        <v/>
      </c>
      <c r="H1300" s="5">
        <f t="shared" si="4"/>
        <v>0.05</v>
      </c>
    </row>
    <row r="1301" ht="12.75" customHeight="1">
      <c r="A1301" s="4" t="s">
        <v>3198</v>
      </c>
      <c r="B1301" s="5" t="s">
        <v>3198</v>
      </c>
      <c r="C1301" s="1" t="str">
        <f t="shared" si="1"/>
        <v/>
      </c>
      <c r="E1301" s="5" t="s">
        <v>3198</v>
      </c>
      <c r="F1301" s="6" t="str">
        <f t="shared" si="2"/>
        <v>#N/A</v>
      </c>
      <c r="G1301" s="1" t="str">
        <f t="shared" si="3"/>
        <v/>
      </c>
      <c r="H1301" s="5" t="str">
        <f t="shared" si="4"/>
        <v>38, 38, GASTLY</v>
      </c>
    </row>
    <row r="1302" ht="12.75" customHeight="1">
      <c r="A1302" s="4" t="s">
        <v>3199</v>
      </c>
      <c r="B1302" s="5" t="s">
        <v>3199</v>
      </c>
      <c r="C1302" s="1" t="str">
        <f t="shared" si="1"/>
        <v/>
      </c>
      <c r="E1302" s="5" t="s">
        <v>3199</v>
      </c>
      <c r="F1302" s="6" t="str">
        <f t="shared" si="2"/>
        <v>#N/A</v>
      </c>
      <c r="G1302" s="1" t="str">
        <f t="shared" si="3"/>
        <v/>
      </c>
      <c r="H1302" s="5" t="str">
        <f t="shared" si="4"/>
        <v>48, 48, HAUNTER</v>
      </c>
    </row>
    <row r="1303" ht="12.75" customHeight="1">
      <c r="A1303" s="4" t="s">
        <v>2810</v>
      </c>
      <c r="B1303" s="5">
        <v>0.04</v>
      </c>
      <c r="C1303" s="1" t="str">
        <f t="shared" si="1"/>
        <v/>
      </c>
      <c r="E1303" s="5">
        <v>0.04</v>
      </c>
      <c r="F1303" s="6" t="str">
        <f t="shared" si="2"/>
        <v>#N/A</v>
      </c>
      <c r="G1303" s="1" t="str">
        <f t="shared" si="3"/>
        <v/>
      </c>
      <c r="H1303" s="5">
        <f t="shared" si="4"/>
        <v>0.04</v>
      </c>
    </row>
    <row r="1304" ht="12.75" customHeight="1">
      <c r="A1304" s="4" t="s">
        <v>3200</v>
      </c>
      <c r="B1304" s="5" t="s">
        <v>3200</v>
      </c>
      <c r="C1304" s="1" t="str">
        <f t="shared" si="1"/>
        <v/>
      </c>
      <c r="E1304" s="5" t="s">
        <v>3200</v>
      </c>
      <c r="F1304" s="6" t="str">
        <f t="shared" si="2"/>
        <v>#N/A</v>
      </c>
      <c r="G1304" s="1" t="str">
        <f t="shared" si="3"/>
        <v/>
      </c>
      <c r="H1304" s="5" t="str">
        <f t="shared" si="4"/>
        <v>50, 50, HAUNTER</v>
      </c>
    </row>
    <row r="1305" ht="12.75" customHeight="1">
      <c r="A1305" s="4" t="s">
        <v>3201</v>
      </c>
      <c r="B1305" s="5" t="s">
        <v>3201</v>
      </c>
      <c r="C1305" s="1" t="str">
        <f t="shared" si="1"/>
        <v/>
      </c>
      <c r="E1305" s="5" t="s">
        <v>3201</v>
      </c>
      <c r="F1305" s="6" t="str">
        <f t="shared" si="2"/>
        <v>#N/A</v>
      </c>
      <c r="G1305" s="1" t="str">
        <f t="shared" si="3"/>
        <v/>
      </c>
      <c r="H1305" s="5" t="str">
        <f t="shared" si="4"/>
        <v>22, 22, MISDREAVUS</v>
      </c>
    </row>
    <row r="1306" ht="12.75" customHeight="1">
      <c r="A1306" s="4" t="s">
        <v>2813</v>
      </c>
      <c r="B1306" s="5">
        <v>0.01</v>
      </c>
      <c r="C1306" s="1" t="str">
        <f t="shared" si="1"/>
        <v/>
      </c>
      <c r="E1306" s="5">
        <v>0.01</v>
      </c>
      <c r="F1306" s="6" t="str">
        <f t="shared" si="2"/>
        <v>#N/A</v>
      </c>
      <c r="G1306" s="1" t="str">
        <f t="shared" si="3"/>
        <v/>
      </c>
      <c r="H1306" s="5">
        <f t="shared" si="4"/>
        <v>0.01</v>
      </c>
    </row>
    <row r="1307" ht="12.75" customHeight="1">
      <c r="A1307" s="4" t="s">
        <v>3202</v>
      </c>
      <c r="B1307" s="5" t="s">
        <v>3202</v>
      </c>
      <c r="C1307" s="1" t="str">
        <f t="shared" si="1"/>
        <v/>
      </c>
      <c r="E1307" s="5" t="s">
        <v>3202</v>
      </c>
      <c r="F1307" s="6" t="str">
        <f t="shared" si="2"/>
        <v>#N/A</v>
      </c>
      <c r="G1307" s="1" t="str">
        <f t="shared" si="3"/>
        <v/>
      </c>
      <c r="H1307" s="5" t="str">
        <f t="shared" si="4"/>
        <v>52, 52, HAUNTER</v>
      </c>
    </row>
    <row r="1308" ht="12.75" customHeight="1">
      <c r="A1308" s="4" t="s">
        <v>3201</v>
      </c>
      <c r="B1308" s="5" t="s">
        <v>3201</v>
      </c>
      <c r="C1308" s="1" t="str">
        <f t="shared" si="1"/>
        <v/>
      </c>
      <c r="E1308" s="5" t="s">
        <v>3201</v>
      </c>
      <c r="F1308" s="6" t="str">
        <f t="shared" si="2"/>
        <v>#N/A</v>
      </c>
      <c r="G1308" s="1" t="str">
        <f t="shared" si="3"/>
        <v/>
      </c>
      <c r="H1308" s="5" t="str">
        <f t="shared" si="4"/>
        <v>22, 22, MISDREAVUS</v>
      </c>
    </row>
    <row r="1309" ht="12.75" customHeight="1">
      <c r="A1309" s="4" t="s">
        <v>2539</v>
      </c>
      <c r="B1309" s="5" t="s">
        <v>2539</v>
      </c>
      <c r="C1309" s="1">
        <f t="shared" si="1"/>
        <v>1</v>
      </c>
      <c r="E1309" s="5" t="s">
        <v>2539</v>
      </c>
      <c r="F1309" s="6" t="str">
        <f t="shared" si="2"/>
        <v>#N/A</v>
      </c>
      <c r="G1309" s="1" t="str">
        <f t="shared" si="3"/>
        <v/>
      </c>
      <c r="H1309" s="5" t="str">
        <f t="shared" si="4"/>
        <v>NEW ROUTE</v>
      </c>
    </row>
    <row r="1310" ht="12.75" customHeight="1">
      <c r="A1310" s="4" t="s">
        <v>1985</v>
      </c>
      <c r="B1310" s="5" t="s">
        <v>1985</v>
      </c>
      <c r="C1310" s="1" t="str">
        <f t="shared" si="1"/>
        <v/>
      </c>
      <c r="E1310" s="5" t="s">
        <v>1985</v>
      </c>
      <c r="F1310" s="6" t="str">
        <f t="shared" si="2"/>
        <v>Five Island Lost Cave Room 8</v>
      </c>
      <c r="G1310" s="1" t="str">
        <f t="shared" si="3"/>
        <v>Five Island Lost Cave Room 8</v>
      </c>
      <c r="H1310" s="5" t="str">
        <f t="shared" si="4"/>
        <v>Five Island Lost Cave Room 8</v>
      </c>
    </row>
    <row r="1311" ht="12.75" customHeight="1">
      <c r="A1311" s="4" t="s">
        <v>2799</v>
      </c>
      <c r="B1311" s="5">
        <v>0.2</v>
      </c>
      <c r="C1311" s="1" t="str">
        <f t="shared" si="1"/>
        <v/>
      </c>
      <c r="E1311" s="5">
        <v>0.2</v>
      </c>
      <c r="F1311" s="6" t="str">
        <f t="shared" si="2"/>
        <v>#N/A</v>
      </c>
      <c r="G1311" s="1" t="str">
        <f t="shared" si="3"/>
        <v/>
      </c>
      <c r="H1311" s="5">
        <f t="shared" si="4"/>
        <v>0.2</v>
      </c>
    </row>
    <row r="1312" ht="12.75" customHeight="1">
      <c r="A1312" s="4" t="s">
        <v>789</v>
      </c>
      <c r="B1312" s="5" t="s">
        <v>789</v>
      </c>
      <c r="C1312" s="1" t="str">
        <f t="shared" si="1"/>
        <v/>
      </c>
      <c r="E1312" s="5" t="s">
        <v>789</v>
      </c>
      <c r="F1312" s="6" t="str">
        <f t="shared" si="2"/>
        <v>#N/A</v>
      </c>
      <c r="G1312" s="1" t="str">
        <f t="shared" si="3"/>
        <v/>
      </c>
      <c r="H1312" s="5" t="str">
        <f t="shared" si="4"/>
        <v>40, 40, GASTLY</v>
      </c>
    </row>
    <row r="1313" ht="12.75" customHeight="1">
      <c r="A1313" s="4" t="s">
        <v>3193</v>
      </c>
      <c r="B1313" s="5" t="s">
        <v>3193</v>
      </c>
      <c r="C1313" s="1" t="str">
        <f t="shared" si="1"/>
        <v/>
      </c>
      <c r="E1313" s="5" t="s">
        <v>3193</v>
      </c>
      <c r="F1313" s="6" t="str">
        <f t="shared" si="2"/>
        <v>#N/A</v>
      </c>
      <c r="G1313" s="1" t="str">
        <f t="shared" si="3"/>
        <v/>
      </c>
      <c r="H1313" s="5" t="str">
        <f t="shared" si="4"/>
        <v>37, 37, ZUBAT</v>
      </c>
    </row>
    <row r="1314" ht="12.75" customHeight="1">
      <c r="A1314" s="4" t="s">
        <v>2802</v>
      </c>
      <c r="B1314" s="5">
        <v>0.1</v>
      </c>
      <c r="C1314" s="1" t="str">
        <f t="shared" si="1"/>
        <v/>
      </c>
      <c r="E1314" s="5">
        <v>0.1</v>
      </c>
      <c r="F1314" s="6" t="str">
        <f t="shared" si="2"/>
        <v>#N/A</v>
      </c>
      <c r="G1314" s="1" t="str">
        <f t="shared" si="3"/>
        <v/>
      </c>
      <c r="H1314" s="5">
        <f t="shared" si="4"/>
        <v>0.1</v>
      </c>
    </row>
    <row r="1315" ht="12.75" customHeight="1">
      <c r="A1315" s="4" t="s">
        <v>3194</v>
      </c>
      <c r="B1315" s="5" t="s">
        <v>3194</v>
      </c>
      <c r="C1315" s="1" t="str">
        <f t="shared" si="1"/>
        <v/>
      </c>
      <c r="E1315" s="5" t="s">
        <v>3194</v>
      </c>
      <c r="F1315" s="6" t="str">
        <f t="shared" si="2"/>
        <v>#N/A</v>
      </c>
      <c r="G1315" s="1" t="str">
        <f t="shared" si="3"/>
        <v/>
      </c>
      <c r="H1315" s="5" t="str">
        <f t="shared" si="4"/>
        <v>44, 44, HAUNTER</v>
      </c>
    </row>
    <row r="1316" ht="12.75" customHeight="1">
      <c r="A1316" s="4" t="s">
        <v>3195</v>
      </c>
      <c r="B1316" s="5" t="s">
        <v>3195</v>
      </c>
      <c r="C1316" s="1" t="str">
        <f t="shared" si="1"/>
        <v/>
      </c>
      <c r="E1316" s="5" t="s">
        <v>3195</v>
      </c>
      <c r="F1316" s="6" t="str">
        <f t="shared" si="2"/>
        <v>#N/A</v>
      </c>
      <c r="G1316" s="1" t="str">
        <f t="shared" si="3"/>
        <v/>
      </c>
      <c r="H1316" s="5" t="str">
        <f t="shared" si="4"/>
        <v>46, 46, HAUNTER</v>
      </c>
    </row>
    <row r="1317" ht="12.75" customHeight="1">
      <c r="A1317" s="4" t="s">
        <v>3196</v>
      </c>
      <c r="B1317" s="5" t="s">
        <v>3196</v>
      </c>
      <c r="C1317" s="1" t="str">
        <f t="shared" si="1"/>
        <v/>
      </c>
      <c r="E1317" s="5" t="s">
        <v>3196</v>
      </c>
      <c r="F1317" s="6" t="str">
        <f t="shared" si="2"/>
        <v>#N/A</v>
      </c>
      <c r="G1317" s="1" t="str">
        <f t="shared" si="3"/>
        <v/>
      </c>
      <c r="H1317" s="5" t="str">
        <f t="shared" si="4"/>
        <v>41, 41, GOLBAT</v>
      </c>
    </row>
    <row r="1318" ht="12.75" customHeight="1">
      <c r="A1318" s="4" t="s">
        <v>3197</v>
      </c>
      <c r="B1318" s="5" t="s">
        <v>3197</v>
      </c>
      <c r="C1318" s="1" t="str">
        <f t="shared" si="1"/>
        <v/>
      </c>
      <c r="E1318" s="5" t="s">
        <v>3197</v>
      </c>
      <c r="F1318" s="6" t="str">
        <f t="shared" si="2"/>
        <v>#N/A</v>
      </c>
      <c r="G1318" s="1" t="str">
        <f t="shared" si="3"/>
        <v/>
      </c>
      <c r="H1318" s="5" t="str">
        <f t="shared" si="4"/>
        <v>43, 43, GOLBAT</v>
      </c>
    </row>
    <row r="1319" ht="12.75" customHeight="1">
      <c r="A1319" s="4" t="s">
        <v>2807</v>
      </c>
      <c r="B1319" s="5">
        <v>0.05</v>
      </c>
      <c r="C1319" s="1" t="str">
        <f t="shared" si="1"/>
        <v/>
      </c>
      <c r="E1319" s="5">
        <v>0.05</v>
      </c>
      <c r="F1319" s="6" t="str">
        <f t="shared" si="2"/>
        <v>#N/A</v>
      </c>
      <c r="G1319" s="1" t="str">
        <f t="shared" si="3"/>
        <v/>
      </c>
      <c r="H1319" s="5">
        <f t="shared" si="4"/>
        <v>0.05</v>
      </c>
    </row>
    <row r="1320" ht="12.75" customHeight="1">
      <c r="A1320" s="4" t="s">
        <v>3198</v>
      </c>
      <c r="B1320" s="5" t="s">
        <v>3198</v>
      </c>
      <c r="C1320" s="1" t="str">
        <f t="shared" si="1"/>
        <v/>
      </c>
      <c r="E1320" s="5" t="s">
        <v>3198</v>
      </c>
      <c r="F1320" s="6" t="str">
        <f t="shared" si="2"/>
        <v>#N/A</v>
      </c>
      <c r="G1320" s="1" t="str">
        <f t="shared" si="3"/>
        <v/>
      </c>
      <c r="H1320" s="5" t="str">
        <f t="shared" si="4"/>
        <v>38, 38, GASTLY</v>
      </c>
    </row>
    <row r="1321" ht="12.75" customHeight="1">
      <c r="A1321" s="4" t="s">
        <v>3199</v>
      </c>
      <c r="B1321" s="5" t="s">
        <v>3199</v>
      </c>
      <c r="C1321" s="1" t="str">
        <f t="shared" si="1"/>
        <v/>
      </c>
      <c r="E1321" s="5" t="s">
        <v>3199</v>
      </c>
      <c r="F1321" s="6" t="str">
        <f t="shared" si="2"/>
        <v>#N/A</v>
      </c>
      <c r="G1321" s="1" t="str">
        <f t="shared" si="3"/>
        <v/>
      </c>
      <c r="H1321" s="5" t="str">
        <f t="shared" si="4"/>
        <v>48, 48, HAUNTER</v>
      </c>
    </row>
    <row r="1322" ht="12.75" customHeight="1">
      <c r="A1322" s="4" t="s">
        <v>2810</v>
      </c>
      <c r="B1322" s="5">
        <v>0.04</v>
      </c>
      <c r="C1322" s="1" t="str">
        <f t="shared" si="1"/>
        <v/>
      </c>
      <c r="E1322" s="5">
        <v>0.04</v>
      </c>
      <c r="F1322" s="6" t="str">
        <f t="shared" si="2"/>
        <v>#N/A</v>
      </c>
      <c r="G1322" s="1" t="str">
        <f t="shared" si="3"/>
        <v/>
      </c>
      <c r="H1322" s="5">
        <f t="shared" si="4"/>
        <v>0.04</v>
      </c>
    </row>
    <row r="1323" ht="12.75" customHeight="1">
      <c r="A1323" s="4" t="s">
        <v>3200</v>
      </c>
      <c r="B1323" s="5" t="s">
        <v>3200</v>
      </c>
      <c r="C1323" s="1" t="str">
        <f t="shared" si="1"/>
        <v/>
      </c>
      <c r="E1323" s="5" t="s">
        <v>3200</v>
      </c>
      <c r="F1323" s="6" t="str">
        <f t="shared" si="2"/>
        <v>#N/A</v>
      </c>
      <c r="G1323" s="1" t="str">
        <f t="shared" si="3"/>
        <v/>
      </c>
      <c r="H1323" s="5" t="str">
        <f t="shared" si="4"/>
        <v>50, 50, HAUNTER</v>
      </c>
    </row>
    <row r="1324" ht="12.75" customHeight="1">
      <c r="A1324" s="4" t="s">
        <v>3201</v>
      </c>
      <c r="B1324" s="5" t="s">
        <v>3201</v>
      </c>
      <c r="C1324" s="1" t="str">
        <f t="shared" si="1"/>
        <v/>
      </c>
      <c r="E1324" s="5" t="s">
        <v>3201</v>
      </c>
      <c r="F1324" s="6" t="str">
        <f t="shared" si="2"/>
        <v>#N/A</v>
      </c>
      <c r="G1324" s="1" t="str">
        <f t="shared" si="3"/>
        <v/>
      </c>
      <c r="H1324" s="5" t="str">
        <f t="shared" si="4"/>
        <v>22, 22, MISDREAVUS</v>
      </c>
    </row>
    <row r="1325" ht="12.75" customHeight="1">
      <c r="A1325" s="4" t="s">
        <v>2813</v>
      </c>
      <c r="B1325" s="5">
        <v>0.01</v>
      </c>
      <c r="C1325" s="1" t="str">
        <f t="shared" si="1"/>
        <v/>
      </c>
      <c r="E1325" s="5">
        <v>0.01</v>
      </c>
      <c r="F1325" s="6" t="str">
        <f t="shared" si="2"/>
        <v>#N/A</v>
      </c>
      <c r="G1325" s="1" t="str">
        <f t="shared" si="3"/>
        <v/>
      </c>
      <c r="H1325" s="5">
        <f t="shared" si="4"/>
        <v>0.01</v>
      </c>
    </row>
    <row r="1326" ht="12.75" customHeight="1">
      <c r="A1326" s="4" t="s">
        <v>3202</v>
      </c>
      <c r="B1326" s="5" t="s">
        <v>3202</v>
      </c>
      <c r="C1326" s="1" t="str">
        <f t="shared" si="1"/>
        <v/>
      </c>
      <c r="E1326" s="5" t="s">
        <v>3202</v>
      </c>
      <c r="F1326" s="6" t="str">
        <f t="shared" si="2"/>
        <v>#N/A</v>
      </c>
      <c r="G1326" s="1" t="str">
        <f t="shared" si="3"/>
        <v/>
      </c>
      <c r="H1326" s="5" t="str">
        <f t="shared" si="4"/>
        <v>52, 52, HAUNTER</v>
      </c>
    </row>
    <row r="1327" ht="12.75" customHeight="1">
      <c r="A1327" s="4" t="s">
        <v>3201</v>
      </c>
      <c r="B1327" s="5" t="s">
        <v>3201</v>
      </c>
      <c r="C1327" s="1" t="str">
        <f t="shared" si="1"/>
        <v/>
      </c>
      <c r="E1327" s="5" t="s">
        <v>3201</v>
      </c>
      <c r="F1327" s="6" t="str">
        <f t="shared" si="2"/>
        <v>#N/A</v>
      </c>
      <c r="G1327" s="1" t="str">
        <f t="shared" si="3"/>
        <v/>
      </c>
      <c r="H1327" s="5" t="str">
        <f t="shared" si="4"/>
        <v>22, 22, MISDREAVUS</v>
      </c>
    </row>
    <row r="1328" ht="12.75" customHeight="1">
      <c r="A1328" s="4" t="s">
        <v>2539</v>
      </c>
      <c r="B1328" s="5" t="s">
        <v>2539</v>
      </c>
      <c r="C1328" s="1">
        <f t="shared" si="1"/>
        <v>1</v>
      </c>
      <c r="E1328" s="5" t="s">
        <v>2539</v>
      </c>
      <c r="F1328" s="6" t="str">
        <f t="shared" si="2"/>
        <v>#N/A</v>
      </c>
      <c r="G1328" s="1" t="str">
        <f t="shared" si="3"/>
        <v/>
      </c>
      <c r="H1328" s="5" t="str">
        <f t="shared" si="4"/>
        <v>NEW ROUTE</v>
      </c>
    </row>
    <row r="1329" ht="12.75" customHeight="1">
      <c r="A1329" s="4" t="s">
        <v>1987</v>
      </c>
      <c r="B1329" s="5" t="s">
        <v>1987</v>
      </c>
      <c r="C1329" s="1" t="str">
        <f t="shared" si="1"/>
        <v/>
      </c>
      <c r="E1329" s="5" t="s">
        <v>1987</v>
      </c>
      <c r="F1329" s="6" t="str">
        <f t="shared" si="2"/>
        <v>Five Island Lost Cave Room 9</v>
      </c>
      <c r="G1329" s="1" t="str">
        <f t="shared" si="3"/>
        <v>Five Island Lost Cave Room 9</v>
      </c>
      <c r="H1329" s="5" t="str">
        <f t="shared" si="4"/>
        <v>Five Island Lost Cave Room 9</v>
      </c>
    </row>
    <row r="1330" ht="12.75" customHeight="1">
      <c r="A1330" s="4" t="s">
        <v>2799</v>
      </c>
      <c r="B1330" s="5">
        <v>0.2</v>
      </c>
      <c r="C1330" s="1" t="str">
        <f t="shared" si="1"/>
        <v/>
      </c>
      <c r="E1330" s="5">
        <v>0.2</v>
      </c>
      <c r="F1330" s="6" t="str">
        <f t="shared" si="2"/>
        <v>#N/A</v>
      </c>
      <c r="G1330" s="1" t="str">
        <f t="shared" si="3"/>
        <v/>
      </c>
      <c r="H1330" s="5">
        <f t="shared" si="4"/>
        <v>0.2</v>
      </c>
    </row>
    <row r="1331" ht="12.75" customHeight="1">
      <c r="A1331" s="4" t="s">
        <v>789</v>
      </c>
      <c r="B1331" s="5" t="s">
        <v>789</v>
      </c>
      <c r="C1331" s="1" t="str">
        <f t="shared" si="1"/>
        <v/>
      </c>
      <c r="E1331" s="5" t="s">
        <v>789</v>
      </c>
      <c r="F1331" s="6" t="str">
        <f t="shared" si="2"/>
        <v>#N/A</v>
      </c>
      <c r="G1331" s="1" t="str">
        <f t="shared" si="3"/>
        <v/>
      </c>
      <c r="H1331" s="5" t="str">
        <f t="shared" si="4"/>
        <v>40, 40, GASTLY</v>
      </c>
    </row>
    <row r="1332" ht="12.75" customHeight="1">
      <c r="A1332" s="4" t="s">
        <v>3193</v>
      </c>
      <c r="B1332" s="5" t="s">
        <v>3193</v>
      </c>
      <c r="C1332" s="1" t="str">
        <f t="shared" si="1"/>
        <v/>
      </c>
      <c r="E1332" s="5" t="s">
        <v>3193</v>
      </c>
      <c r="F1332" s="6" t="str">
        <f t="shared" si="2"/>
        <v>#N/A</v>
      </c>
      <c r="G1332" s="1" t="str">
        <f t="shared" si="3"/>
        <v/>
      </c>
      <c r="H1332" s="5" t="str">
        <f t="shared" si="4"/>
        <v>37, 37, ZUBAT</v>
      </c>
    </row>
    <row r="1333" ht="12.75" customHeight="1">
      <c r="A1333" s="4" t="s">
        <v>2802</v>
      </c>
      <c r="B1333" s="5">
        <v>0.1</v>
      </c>
      <c r="C1333" s="1" t="str">
        <f t="shared" si="1"/>
        <v/>
      </c>
      <c r="E1333" s="5">
        <v>0.1</v>
      </c>
      <c r="F1333" s="6" t="str">
        <f t="shared" si="2"/>
        <v>#N/A</v>
      </c>
      <c r="G1333" s="1" t="str">
        <f t="shared" si="3"/>
        <v/>
      </c>
      <c r="H1333" s="5">
        <f t="shared" si="4"/>
        <v>0.1</v>
      </c>
    </row>
    <row r="1334" ht="12.75" customHeight="1">
      <c r="A1334" s="4" t="s">
        <v>3194</v>
      </c>
      <c r="B1334" s="5" t="s">
        <v>3194</v>
      </c>
      <c r="C1334" s="1" t="str">
        <f t="shared" si="1"/>
        <v/>
      </c>
      <c r="E1334" s="5" t="s">
        <v>3194</v>
      </c>
      <c r="F1334" s="6" t="str">
        <f t="shared" si="2"/>
        <v>#N/A</v>
      </c>
      <c r="G1334" s="1" t="str">
        <f t="shared" si="3"/>
        <v/>
      </c>
      <c r="H1334" s="5" t="str">
        <f t="shared" si="4"/>
        <v>44, 44, HAUNTER</v>
      </c>
    </row>
    <row r="1335" ht="12.75" customHeight="1">
      <c r="A1335" s="4" t="s">
        <v>3195</v>
      </c>
      <c r="B1335" s="5" t="s">
        <v>3195</v>
      </c>
      <c r="C1335" s="1" t="str">
        <f t="shared" si="1"/>
        <v/>
      </c>
      <c r="E1335" s="5" t="s">
        <v>3195</v>
      </c>
      <c r="F1335" s="6" t="str">
        <f t="shared" si="2"/>
        <v>#N/A</v>
      </c>
      <c r="G1335" s="1" t="str">
        <f t="shared" si="3"/>
        <v/>
      </c>
      <c r="H1335" s="5" t="str">
        <f t="shared" si="4"/>
        <v>46, 46, HAUNTER</v>
      </c>
    </row>
    <row r="1336" ht="12.75" customHeight="1">
      <c r="A1336" s="4" t="s">
        <v>3196</v>
      </c>
      <c r="B1336" s="5" t="s">
        <v>3196</v>
      </c>
      <c r="C1336" s="1" t="str">
        <f t="shared" si="1"/>
        <v/>
      </c>
      <c r="E1336" s="5" t="s">
        <v>3196</v>
      </c>
      <c r="F1336" s="6" t="str">
        <f t="shared" si="2"/>
        <v>#N/A</v>
      </c>
      <c r="G1336" s="1" t="str">
        <f t="shared" si="3"/>
        <v/>
      </c>
      <c r="H1336" s="5" t="str">
        <f t="shared" si="4"/>
        <v>41, 41, GOLBAT</v>
      </c>
    </row>
    <row r="1337" ht="12.75" customHeight="1">
      <c r="A1337" s="4" t="s">
        <v>3197</v>
      </c>
      <c r="B1337" s="5" t="s">
        <v>3197</v>
      </c>
      <c r="C1337" s="1" t="str">
        <f t="shared" si="1"/>
        <v/>
      </c>
      <c r="E1337" s="5" t="s">
        <v>3197</v>
      </c>
      <c r="F1337" s="6" t="str">
        <f t="shared" si="2"/>
        <v>#N/A</v>
      </c>
      <c r="G1337" s="1" t="str">
        <f t="shared" si="3"/>
        <v/>
      </c>
      <c r="H1337" s="5" t="str">
        <f t="shared" si="4"/>
        <v>43, 43, GOLBAT</v>
      </c>
    </row>
    <row r="1338" ht="12.75" customHeight="1">
      <c r="A1338" s="4" t="s">
        <v>2807</v>
      </c>
      <c r="B1338" s="5">
        <v>0.05</v>
      </c>
      <c r="C1338" s="1" t="str">
        <f t="shared" si="1"/>
        <v/>
      </c>
      <c r="E1338" s="5">
        <v>0.05</v>
      </c>
      <c r="F1338" s="6" t="str">
        <f t="shared" si="2"/>
        <v>#N/A</v>
      </c>
      <c r="G1338" s="1" t="str">
        <f t="shared" si="3"/>
        <v/>
      </c>
      <c r="H1338" s="5">
        <f t="shared" si="4"/>
        <v>0.05</v>
      </c>
    </row>
    <row r="1339" ht="12.75" customHeight="1">
      <c r="A1339" s="4" t="s">
        <v>3198</v>
      </c>
      <c r="B1339" s="5" t="s">
        <v>3198</v>
      </c>
      <c r="C1339" s="1" t="str">
        <f t="shared" si="1"/>
        <v/>
      </c>
      <c r="E1339" s="5" t="s">
        <v>3198</v>
      </c>
      <c r="F1339" s="6" t="str">
        <f t="shared" si="2"/>
        <v>#N/A</v>
      </c>
      <c r="G1339" s="1" t="str">
        <f t="shared" si="3"/>
        <v/>
      </c>
      <c r="H1339" s="5" t="str">
        <f t="shared" si="4"/>
        <v>38, 38, GASTLY</v>
      </c>
    </row>
    <row r="1340" ht="12.75" customHeight="1">
      <c r="A1340" s="4" t="s">
        <v>3199</v>
      </c>
      <c r="B1340" s="5" t="s">
        <v>3199</v>
      </c>
      <c r="C1340" s="1" t="str">
        <f t="shared" si="1"/>
        <v/>
      </c>
      <c r="E1340" s="5" t="s">
        <v>3199</v>
      </c>
      <c r="F1340" s="6" t="str">
        <f t="shared" si="2"/>
        <v>#N/A</v>
      </c>
      <c r="G1340" s="1" t="str">
        <f t="shared" si="3"/>
        <v/>
      </c>
      <c r="H1340" s="5" t="str">
        <f t="shared" si="4"/>
        <v>48, 48, HAUNTER</v>
      </c>
    </row>
    <row r="1341" ht="12.75" customHeight="1">
      <c r="A1341" s="4" t="s">
        <v>2810</v>
      </c>
      <c r="B1341" s="5">
        <v>0.04</v>
      </c>
      <c r="C1341" s="1" t="str">
        <f t="shared" si="1"/>
        <v/>
      </c>
      <c r="E1341" s="5">
        <v>0.04</v>
      </c>
      <c r="F1341" s="6" t="str">
        <f t="shared" si="2"/>
        <v>#N/A</v>
      </c>
      <c r="G1341" s="1" t="str">
        <f t="shared" si="3"/>
        <v/>
      </c>
      <c r="H1341" s="5">
        <f t="shared" si="4"/>
        <v>0.04</v>
      </c>
    </row>
    <row r="1342" ht="12.75" customHeight="1">
      <c r="A1342" s="4" t="s">
        <v>3200</v>
      </c>
      <c r="B1342" s="5" t="s">
        <v>3200</v>
      </c>
      <c r="C1342" s="1" t="str">
        <f t="shared" si="1"/>
        <v/>
      </c>
      <c r="E1342" s="5" t="s">
        <v>3200</v>
      </c>
      <c r="F1342" s="6" t="str">
        <f t="shared" si="2"/>
        <v>#N/A</v>
      </c>
      <c r="G1342" s="1" t="str">
        <f t="shared" si="3"/>
        <v/>
      </c>
      <c r="H1342" s="5" t="str">
        <f t="shared" si="4"/>
        <v>50, 50, HAUNTER</v>
      </c>
    </row>
    <row r="1343" ht="12.75" customHeight="1">
      <c r="A1343" s="4" t="s">
        <v>3201</v>
      </c>
      <c r="B1343" s="5" t="s">
        <v>3201</v>
      </c>
      <c r="C1343" s="1" t="str">
        <f t="shared" si="1"/>
        <v/>
      </c>
      <c r="E1343" s="5" t="s">
        <v>3201</v>
      </c>
      <c r="F1343" s="6" t="str">
        <f t="shared" si="2"/>
        <v>#N/A</v>
      </c>
      <c r="G1343" s="1" t="str">
        <f t="shared" si="3"/>
        <v/>
      </c>
      <c r="H1343" s="5" t="str">
        <f t="shared" si="4"/>
        <v>22, 22, MISDREAVUS</v>
      </c>
    </row>
    <row r="1344" ht="12.75" customHeight="1">
      <c r="A1344" s="4" t="s">
        <v>2813</v>
      </c>
      <c r="B1344" s="5">
        <v>0.01</v>
      </c>
      <c r="C1344" s="1" t="str">
        <f t="shared" si="1"/>
        <v/>
      </c>
      <c r="E1344" s="5">
        <v>0.01</v>
      </c>
      <c r="F1344" s="6" t="str">
        <f t="shared" si="2"/>
        <v>#N/A</v>
      </c>
      <c r="G1344" s="1" t="str">
        <f t="shared" si="3"/>
        <v/>
      </c>
      <c r="H1344" s="5">
        <f t="shared" si="4"/>
        <v>0.01</v>
      </c>
    </row>
    <row r="1345" ht="12.75" customHeight="1">
      <c r="A1345" s="4" t="s">
        <v>3202</v>
      </c>
      <c r="B1345" s="5" t="s">
        <v>3202</v>
      </c>
      <c r="C1345" s="1" t="str">
        <f t="shared" si="1"/>
        <v/>
      </c>
      <c r="E1345" s="5" t="s">
        <v>3202</v>
      </c>
      <c r="F1345" s="6" t="str">
        <f t="shared" si="2"/>
        <v>#N/A</v>
      </c>
      <c r="G1345" s="1" t="str">
        <f t="shared" si="3"/>
        <v/>
      </c>
      <c r="H1345" s="5" t="str">
        <f t="shared" si="4"/>
        <v>52, 52, HAUNTER</v>
      </c>
    </row>
    <row r="1346" ht="12.75" customHeight="1">
      <c r="A1346" s="4" t="s">
        <v>3201</v>
      </c>
      <c r="B1346" s="5" t="s">
        <v>3201</v>
      </c>
      <c r="C1346" s="1" t="str">
        <f t="shared" si="1"/>
        <v/>
      </c>
      <c r="E1346" s="5" t="s">
        <v>3201</v>
      </c>
      <c r="F1346" s="6" t="str">
        <f t="shared" si="2"/>
        <v>#N/A</v>
      </c>
      <c r="G1346" s="1" t="str">
        <f t="shared" si="3"/>
        <v/>
      </c>
      <c r="H1346" s="5" t="str">
        <f t="shared" si="4"/>
        <v>22, 22, MISDREAVUS</v>
      </c>
    </row>
    <row r="1347" ht="12.75" customHeight="1">
      <c r="A1347" s="4" t="s">
        <v>2539</v>
      </c>
      <c r="B1347" s="5" t="s">
        <v>2539</v>
      </c>
      <c r="C1347" s="1">
        <f t="shared" si="1"/>
        <v>1</v>
      </c>
      <c r="E1347" s="5" t="s">
        <v>2539</v>
      </c>
      <c r="F1347" s="6" t="str">
        <f t="shared" si="2"/>
        <v>#N/A</v>
      </c>
      <c r="G1347" s="1" t="str">
        <f t="shared" si="3"/>
        <v/>
      </c>
      <c r="H1347" s="5" t="str">
        <f t="shared" si="4"/>
        <v>NEW ROUTE</v>
      </c>
    </row>
    <row r="1348" ht="12.75" customHeight="1">
      <c r="A1348" s="4" t="s">
        <v>1989</v>
      </c>
      <c r="B1348" s="5" t="s">
        <v>1989</v>
      </c>
      <c r="C1348" s="1" t="str">
        <f t="shared" si="1"/>
        <v/>
      </c>
      <c r="E1348" s="5" t="s">
        <v>1989</v>
      </c>
      <c r="F1348" s="6" t="str">
        <f t="shared" si="2"/>
        <v>Five Island Lost Cave Room 10</v>
      </c>
      <c r="G1348" s="1" t="str">
        <f t="shared" si="3"/>
        <v>Five Island Lost Cave Room 10</v>
      </c>
      <c r="H1348" s="5" t="str">
        <f t="shared" si="4"/>
        <v>Five Island Lost Cave Room 10</v>
      </c>
    </row>
    <row r="1349" ht="12.75" customHeight="1">
      <c r="A1349" s="4" t="s">
        <v>2799</v>
      </c>
      <c r="B1349" s="5">
        <v>0.2</v>
      </c>
      <c r="C1349" s="1" t="str">
        <f t="shared" si="1"/>
        <v/>
      </c>
      <c r="E1349" s="5">
        <v>0.2</v>
      </c>
      <c r="F1349" s="6" t="str">
        <f t="shared" si="2"/>
        <v>#N/A</v>
      </c>
      <c r="G1349" s="1" t="str">
        <f t="shared" si="3"/>
        <v/>
      </c>
      <c r="H1349" s="5">
        <f t="shared" si="4"/>
        <v>0.2</v>
      </c>
    </row>
    <row r="1350" ht="12.75" customHeight="1">
      <c r="A1350" s="4" t="s">
        <v>789</v>
      </c>
      <c r="B1350" s="5" t="s">
        <v>789</v>
      </c>
      <c r="C1350" s="1" t="str">
        <f t="shared" si="1"/>
        <v/>
      </c>
      <c r="E1350" s="5" t="s">
        <v>789</v>
      </c>
      <c r="F1350" s="6" t="str">
        <f t="shared" si="2"/>
        <v>#N/A</v>
      </c>
      <c r="G1350" s="1" t="str">
        <f t="shared" si="3"/>
        <v/>
      </c>
      <c r="H1350" s="5" t="str">
        <f t="shared" si="4"/>
        <v>40, 40, GASTLY</v>
      </c>
    </row>
    <row r="1351" ht="12.75" customHeight="1">
      <c r="A1351" s="4" t="s">
        <v>3193</v>
      </c>
      <c r="B1351" s="5" t="s">
        <v>3193</v>
      </c>
      <c r="C1351" s="1" t="str">
        <f t="shared" si="1"/>
        <v/>
      </c>
      <c r="E1351" s="5" t="s">
        <v>3193</v>
      </c>
      <c r="F1351" s="6" t="str">
        <f t="shared" si="2"/>
        <v>#N/A</v>
      </c>
      <c r="G1351" s="1" t="str">
        <f t="shared" si="3"/>
        <v/>
      </c>
      <c r="H1351" s="5" t="str">
        <f t="shared" si="4"/>
        <v>37, 37, ZUBAT</v>
      </c>
    </row>
    <row r="1352" ht="12.75" customHeight="1">
      <c r="A1352" s="4" t="s">
        <v>2802</v>
      </c>
      <c r="B1352" s="5">
        <v>0.1</v>
      </c>
      <c r="C1352" s="1" t="str">
        <f t="shared" si="1"/>
        <v/>
      </c>
      <c r="E1352" s="5">
        <v>0.1</v>
      </c>
      <c r="F1352" s="6" t="str">
        <f t="shared" si="2"/>
        <v>#N/A</v>
      </c>
      <c r="G1352" s="1" t="str">
        <f t="shared" si="3"/>
        <v/>
      </c>
      <c r="H1352" s="5">
        <f t="shared" si="4"/>
        <v>0.1</v>
      </c>
    </row>
    <row r="1353" ht="12.75" customHeight="1">
      <c r="A1353" s="4" t="s">
        <v>3194</v>
      </c>
      <c r="B1353" s="5" t="s">
        <v>3194</v>
      </c>
      <c r="C1353" s="1" t="str">
        <f t="shared" si="1"/>
        <v/>
      </c>
      <c r="E1353" s="5" t="s">
        <v>3194</v>
      </c>
      <c r="F1353" s="6" t="str">
        <f t="shared" si="2"/>
        <v>#N/A</v>
      </c>
      <c r="G1353" s="1" t="str">
        <f t="shared" si="3"/>
        <v/>
      </c>
      <c r="H1353" s="5" t="str">
        <f t="shared" si="4"/>
        <v>44, 44, HAUNTER</v>
      </c>
    </row>
    <row r="1354" ht="12.75" customHeight="1">
      <c r="A1354" s="4" t="s">
        <v>3195</v>
      </c>
      <c r="B1354" s="5" t="s">
        <v>3195</v>
      </c>
      <c r="C1354" s="1" t="str">
        <f t="shared" si="1"/>
        <v/>
      </c>
      <c r="E1354" s="5" t="s">
        <v>3195</v>
      </c>
      <c r="F1354" s="6" t="str">
        <f t="shared" si="2"/>
        <v>#N/A</v>
      </c>
      <c r="G1354" s="1" t="str">
        <f t="shared" si="3"/>
        <v/>
      </c>
      <c r="H1354" s="5" t="str">
        <f t="shared" si="4"/>
        <v>46, 46, HAUNTER</v>
      </c>
    </row>
    <row r="1355" ht="12.75" customHeight="1">
      <c r="A1355" s="4" t="s">
        <v>3196</v>
      </c>
      <c r="B1355" s="5" t="s">
        <v>3196</v>
      </c>
      <c r="C1355" s="1" t="str">
        <f t="shared" si="1"/>
        <v/>
      </c>
      <c r="E1355" s="5" t="s">
        <v>3196</v>
      </c>
      <c r="F1355" s="6" t="str">
        <f t="shared" si="2"/>
        <v>#N/A</v>
      </c>
      <c r="G1355" s="1" t="str">
        <f t="shared" si="3"/>
        <v/>
      </c>
      <c r="H1355" s="5" t="str">
        <f t="shared" si="4"/>
        <v>41, 41, GOLBAT</v>
      </c>
    </row>
    <row r="1356" ht="12.75" customHeight="1">
      <c r="A1356" s="4" t="s">
        <v>3197</v>
      </c>
      <c r="B1356" s="5" t="s">
        <v>3197</v>
      </c>
      <c r="C1356" s="1" t="str">
        <f t="shared" si="1"/>
        <v/>
      </c>
      <c r="E1356" s="5" t="s">
        <v>3197</v>
      </c>
      <c r="F1356" s="6" t="str">
        <f t="shared" si="2"/>
        <v>#N/A</v>
      </c>
      <c r="G1356" s="1" t="str">
        <f t="shared" si="3"/>
        <v/>
      </c>
      <c r="H1356" s="5" t="str">
        <f t="shared" si="4"/>
        <v>43, 43, GOLBAT</v>
      </c>
    </row>
    <row r="1357" ht="12.75" customHeight="1">
      <c r="A1357" s="4" t="s">
        <v>2807</v>
      </c>
      <c r="B1357" s="5">
        <v>0.05</v>
      </c>
      <c r="C1357" s="1" t="str">
        <f t="shared" si="1"/>
        <v/>
      </c>
      <c r="E1357" s="5">
        <v>0.05</v>
      </c>
      <c r="F1357" s="6" t="str">
        <f t="shared" si="2"/>
        <v>#N/A</v>
      </c>
      <c r="G1357" s="1" t="str">
        <f t="shared" si="3"/>
        <v/>
      </c>
      <c r="H1357" s="5">
        <f t="shared" si="4"/>
        <v>0.05</v>
      </c>
    </row>
    <row r="1358" ht="12.75" customHeight="1">
      <c r="A1358" s="4" t="s">
        <v>3198</v>
      </c>
      <c r="B1358" s="5" t="s">
        <v>3198</v>
      </c>
      <c r="C1358" s="1" t="str">
        <f t="shared" si="1"/>
        <v/>
      </c>
      <c r="E1358" s="5" t="s">
        <v>3198</v>
      </c>
      <c r="F1358" s="6" t="str">
        <f t="shared" si="2"/>
        <v>#N/A</v>
      </c>
      <c r="G1358" s="1" t="str">
        <f t="shared" si="3"/>
        <v/>
      </c>
      <c r="H1358" s="5" t="str">
        <f t="shared" si="4"/>
        <v>38, 38, GASTLY</v>
      </c>
    </row>
    <row r="1359" ht="12.75" customHeight="1">
      <c r="A1359" s="4" t="s">
        <v>3199</v>
      </c>
      <c r="B1359" s="5" t="s">
        <v>3199</v>
      </c>
      <c r="C1359" s="1" t="str">
        <f t="shared" si="1"/>
        <v/>
      </c>
      <c r="E1359" s="5" t="s">
        <v>3199</v>
      </c>
      <c r="F1359" s="6" t="str">
        <f t="shared" si="2"/>
        <v>#N/A</v>
      </c>
      <c r="G1359" s="1" t="str">
        <f t="shared" si="3"/>
        <v/>
      </c>
      <c r="H1359" s="5" t="str">
        <f t="shared" si="4"/>
        <v>48, 48, HAUNTER</v>
      </c>
    </row>
    <row r="1360" ht="12.75" customHeight="1">
      <c r="A1360" s="4" t="s">
        <v>2810</v>
      </c>
      <c r="B1360" s="5">
        <v>0.04</v>
      </c>
      <c r="C1360" s="1" t="str">
        <f t="shared" si="1"/>
        <v/>
      </c>
      <c r="E1360" s="5">
        <v>0.04</v>
      </c>
      <c r="F1360" s="6" t="str">
        <f t="shared" si="2"/>
        <v>#N/A</v>
      </c>
      <c r="G1360" s="1" t="str">
        <f t="shared" si="3"/>
        <v/>
      </c>
      <c r="H1360" s="5">
        <f t="shared" si="4"/>
        <v>0.04</v>
      </c>
    </row>
    <row r="1361" ht="12.75" customHeight="1">
      <c r="A1361" s="4" t="s">
        <v>3200</v>
      </c>
      <c r="B1361" s="5" t="s">
        <v>3200</v>
      </c>
      <c r="C1361" s="1" t="str">
        <f t="shared" si="1"/>
        <v/>
      </c>
      <c r="E1361" s="5" t="s">
        <v>3200</v>
      </c>
      <c r="F1361" s="6" t="str">
        <f t="shared" si="2"/>
        <v>#N/A</v>
      </c>
      <c r="G1361" s="1" t="str">
        <f t="shared" si="3"/>
        <v/>
      </c>
      <c r="H1361" s="5" t="str">
        <f t="shared" si="4"/>
        <v>50, 50, HAUNTER</v>
      </c>
    </row>
    <row r="1362" ht="12.75" customHeight="1">
      <c r="A1362" s="4" t="s">
        <v>3201</v>
      </c>
      <c r="B1362" s="5" t="s">
        <v>3201</v>
      </c>
      <c r="C1362" s="1" t="str">
        <f t="shared" si="1"/>
        <v/>
      </c>
      <c r="E1362" s="5" t="s">
        <v>3201</v>
      </c>
      <c r="F1362" s="6" t="str">
        <f t="shared" si="2"/>
        <v>#N/A</v>
      </c>
      <c r="G1362" s="1" t="str">
        <f t="shared" si="3"/>
        <v/>
      </c>
      <c r="H1362" s="5" t="str">
        <f t="shared" si="4"/>
        <v>22, 22, MISDREAVUS</v>
      </c>
    </row>
    <row r="1363" ht="12.75" customHeight="1">
      <c r="A1363" s="4" t="s">
        <v>2813</v>
      </c>
      <c r="B1363" s="5">
        <v>0.01</v>
      </c>
      <c r="C1363" s="1" t="str">
        <f t="shared" si="1"/>
        <v/>
      </c>
      <c r="E1363" s="5">
        <v>0.01</v>
      </c>
      <c r="F1363" s="6" t="str">
        <f t="shared" si="2"/>
        <v>#N/A</v>
      </c>
      <c r="G1363" s="1" t="str">
        <f t="shared" si="3"/>
        <v/>
      </c>
      <c r="H1363" s="5">
        <f t="shared" si="4"/>
        <v>0.01</v>
      </c>
    </row>
    <row r="1364" ht="12.75" customHeight="1">
      <c r="A1364" s="4" t="s">
        <v>3202</v>
      </c>
      <c r="B1364" s="5" t="s">
        <v>3202</v>
      </c>
      <c r="C1364" s="1" t="str">
        <f t="shared" si="1"/>
        <v/>
      </c>
      <c r="E1364" s="5" t="s">
        <v>3202</v>
      </c>
      <c r="F1364" s="6" t="str">
        <f t="shared" si="2"/>
        <v>#N/A</v>
      </c>
      <c r="G1364" s="1" t="str">
        <f t="shared" si="3"/>
        <v/>
      </c>
      <c r="H1364" s="5" t="str">
        <f t="shared" si="4"/>
        <v>52, 52, HAUNTER</v>
      </c>
    </row>
    <row r="1365" ht="12.75" customHeight="1">
      <c r="A1365" s="4" t="s">
        <v>3201</v>
      </c>
      <c r="B1365" s="5" t="s">
        <v>3201</v>
      </c>
      <c r="C1365" s="1" t="str">
        <f t="shared" si="1"/>
        <v/>
      </c>
      <c r="E1365" s="5" t="s">
        <v>3201</v>
      </c>
      <c r="F1365" s="6" t="str">
        <f t="shared" si="2"/>
        <v>#N/A</v>
      </c>
      <c r="G1365" s="1" t="str">
        <f t="shared" si="3"/>
        <v/>
      </c>
      <c r="H1365" s="5" t="str">
        <f t="shared" si="4"/>
        <v>22, 22, MISDREAVUS</v>
      </c>
    </row>
    <row r="1366" ht="12.75" customHeight="1">
      <c r="A1366" s="4" t="s">
        <v>2539</v>
      </c>
      <c r="B1366" s="5" t="s">
        <v>2539</v>
      </c>
      <c r="C1366" s="1">
        <f t="shared" si="1"/>
        <v>1</v>
      </c>
      <c r="E1366" s="5" t="s">
        <v>2539</v>
      </c>
      <c r="F1366" s="6" t="str">
        <f t="shared" si="2"/>
        <v>#N/A</v>
      </c>
      <c r="G1366" s="1" t="str">
        <f t="shared" si="3"/>
        <v/>
      </c>
      <c r="H1366" s="5" t="str">
        <f t="shared" si="4"/>
        <v>NEW ROUTE</v>
      </c>
    </row>
    <row r="1367" ht="12.75" customHeight="1">
      <c r="A1367" s="4" t="s">
        <v>1991</v>
      </c>
      <c r="B1367" s="5" t="s">
        <v>1991</v>
      </c>
      <c r="C1367" s="1" t="str">
        <f t="shared" si="1"/>
        <v/>
      </c>
      <c r="E1367" s="5" t="s">
        <v>1991</v>
      </c>
      <c r="F1367" s="6" t="str">
        <f t="shared" si="2"/>
        <v>Five Island Lost Cave Room 11</v>
      </c>
      <c r="G1367" s="1" t="str">
        <f t="shared" si="3"/>
        <v>Five Island Lost Cave Room 11</v>
      </c>
      <c r="H1367" s="5" t="str">
        <f t="shared" si="4"/>
        <v>Five Island Lost Cave Room 11</v>
      </c>
    </row>
    <row r="1368" ht="12.75" customHeight="1">
      <c r="A1368" s="4" t="s">
        <v>2799</v>
      </c>
      <c r="B1368" s="5">
        <v>0.2</v>
      </c>
      <c r="C1368" s="1" t="str">
        <f t="shared" si="1"/>
        <v/>
      </c>
      <c r="E1368" s="5">
        <v>0.2</v>
      </c>
      <c r="F1368" s="6" t="str">
        <f t="shared" si="2"/>
        <v>#N/A</v>
      </c>
      <c r="G1368" s="1" t="str">
        <f t="shared" si="3"/>
        <v/>
      </c>
      <c r="H1368" s="5">
        <f t="shared" si="4"/>
        <v>0.2</v>
      </c>
    </row>
    <row r="1369" ht="12.75" customHeight="1">
      <c r="A1369" s="4" t="s">
        <v>789</v>
      </c>
      <c r="B1369" s="5" t="s">
        <v>789</v>
      </c>
      <c r="C1369" s="1" t="str">
        <f t="shared" si="1"/>
        <v/>
      </c>
      <c r="E1369" s="5" t="s">
        <v>789</v>
      </c>
      <c r="F1369" s="6" t="str">
        <f t="shared" si="2"/>
        <v>#N/A</v>
      </c>
      <c r="G1369" s="1" t="str">
        <f t="shared" si="3"/>
        <v/>
      </c>
      <c r="H1369" s="5" t="str">
        <f t="shared" si="4"/>
        <v>40, 40, GASTLY</v>
      </c>
    </row>
    <row r="1370" ht="12.75" customHeight="1">
      <c r="A1370" s="4" t="s">
        <v>3193</v>
      </c>
      <c r="B1370" s="5" t="s">
        <v>3193</v>
      </c>
      <c r="C1370" s="1" t="str">
        <f t="shared" si="1"/>
        <v/>
      </c>
      <c r="E1370" s="5" t="s">
        <v>3193</v>
      </c>
      <c r="F1370" s="6" t="str">
        <f t="shared" si="2"/>
        <v>#N/A</v>
      </c>
      <c r="G1370" s="1" t="str">
        <f t="shared" si="3"/>
        <v/>
      </c>
      <c r="H1370" s="5" t="str">
        <f t="shared" si="4"/>
        <v>37, 37, ZUBAT</v>
      </c>
    </row>
    <row r="1371" ht="12.75" customHeight="1">
      <c r="A1371" s="4" t="s">
        <v>2802</v>
      </c>
      <c r="B1371" s="5">
        <v>0.1</v>
      </c>
      <c r="C1371" s="1" t="str">
        <f t="shared" si="1"/>
        <v/>
      </c>
      <c r="E1371" s="5">
        <v>0.1</v>
      </c>
      <c r="F1371" s="6" t="str">
        <f t="shared" si="2"/>
        <v>#N/A</v>
      </c>
      <c r="G1371" s="1" t="str">
        <f t="shared" si="3"/>
        <v/>
      </c>
      <c r="H1371" s="5">
        <f t="shared" si="4"/>
        <v>0.1</v>
      </c>
    </row>
    <row r="1372" ht="12.75" customHeight="1">
      <c r="A1372" s="4" t="s">
        <v>3194</v>
      </c>
      <c r="B1372" s="5" t="s">
        <v>3194</v>
      </c>
      <c r="C1372" s="1" t="str">
        <f t="shared" si="1"/>
        <v/>
      </c>
      <c r="E1372" s="5" t="s">
        <v>3194</v>
      </c>
      <c r="F1372" s="6" t="str">
        <f t="shared" si="2"/>
        <v>#N/A</v>
      </c>
      <c r="G1372" s="1" t="str">
        <f t="shared" si="3"/>
        <v/>
      </c>
      <c r="H1372" s="5" t="str">
        <f t="shared" si="4"/>
        <v>44, 44, HAUNTER</v>
      </c>
    </row>
    <row r="1373" ht="12.75" customHeight="1">
      <c r="A1373" s="4" t="s">
        <v>3195</v>
      </c>
      <c r="B1373" s="5" t="s">
        <v>3195</v>
      </c>
      <c r="C1373" s="1" t="str">
        <f t="shared" si="1"/>
        <v/>
      </c>
      <c r="E1373" s="5" t="s">
        <v>3195</v>
      </c>
      <c r="F1373" s="6" t="str">
        <f t="shared" si="2"/>
        <v>#N/A</v>
      </c>
      <c r="G1373" s="1" t="str">
        <f t="shared" si="3"/>
        <v/>
      </c>
      <c r="H1373" s="5" t="str">
        <f t="shared" si="4"/>
        <v>46, 46, HAUNTER</v>
      </c>
    </row>
    <row r="1374" ht="12.75" customHeight="1">
      <c r="A1374" s="4" t="s">
        <v>3196</v>
      </c>
      <c r="B1374" s="5" t="s">
        <v>3196</v>
      </c>
      <c r="C1374" s="1" t="str">
        <f t="shared" si="1"/>
        <v/>
      </c>
      <c r="E1374" s="5" t="s">
        <v>3196</v>
      </c>
      <c r="F1374" s="6" t="str">
        <f t="shared" si="2"/>
        <v>#N/A</v>
      </c>
      <c r="G1374" s="1" t="str">
        <f t="shared" si="3"/>
        <v/>
      </c>
      <c r="H1374" s="5" t="str">
        <f t="shared" si="4"/>
        <v>41, 41, GOLBAT</v>
      </c>
    </row>
    <row r="1375" ht="12.75" customHeight="1">
      <c r="A1375" s="4" t="s">
        <v>3216</v>
      </c>
      <c r="B1375" s="5" t="s">
        <v>3216</v>
      </c>
      <c r="C1375" s="1" t="str">
        <f t="shared" si="1"/>
        <v/>
      </c>
      <c r="E1375" s="5" t="s">
        <v>3216</v>
      </c>
      <c r="F1375" s="6" t="str">
        <f t="shared" si="2"/>
        <v>#N/A</v>
      </c>
      <c r="G1375" s="1" t="str">
        <f t="shared" si="3"/>
        <v/>
      </c>
      <c r="H1375" s="5" t="str">
        <f t="shared" si="4"/>
        <v>15, 15, MISDREAVUS</v>
      </c>
    </row>
    <row r="1376" ht="12.75" customHeight="1">
      <c r="A1376" s="4" t="s">
        <v>2807</v>
      </c>
      <c r="B1376" s="5">
        <v>0.05</v>
      </c>
      <c r="C1376" s="1" t="str">
        <f t="shared" si="1"/>
        <v/>
      </c>
      <c r="E1376" s="5">
        <v>0.05</v>
      </c>
      <c r="F1376" s="6" t="str">
        <f t="shared" si="2"/>
        <v>#N/A</v>
      </c>
      <c r="G1376" s="1" t="str">
        <f t="shared" si="3"/>
        <v/>
      </c>
      <c r="H1376" s="5">
        <f t="shared" si="4"/>
        <v>0.05</v>
      </c>
    </row>
    <row r="1377" ht="12.75" customHeight="1">
      <c r="A1377" s="4" t="s">
        <v>3217</v>
      </c>
      <c r="B1377" s="5" t="s">
        <v>3217</v>
      </c>
      <c r="C1377" s="1" t="str">
        <f t="shared" si="1"/>
        <v/>
      </c>
      <c r="E1377" s="5" t="s">
        <v>3217</v>
      </c>
      <c r="F1377" s="6" t="str">
        <f t="shared" si="2"/>
        <v>#N/A</v>
      </c>
      <c r="G1377" s="1" t="str">
        <f t="shared" si="3"/>
        <v/>
      </c>
      <c r="H1377" s="5" t="str">
        <f t="shared" si="4"/>
        <v>20, 20, MISDREAVUS</v>
      </c>
    </row>
    <row r="1378" ht="12.75" customHeight="1">
      <c r="A1378" s="4" t="s">
        <v>3199</v>
      </c>
      <c r="B1378" s="5" t="s">
        <v>3199</v>
      </c>
      <c r="C1378" s="1" t="str">
        <f t="shared" si="1"/>
        <v/>
      </c>
      <c r="E1378" s="5" t="s">
        <v>3199</v>
      </c>
      <c r="F1378" s="6" t="str">
        <f t="shared" si="2"/>
        <v>#N/A</v>
      </c>
      <c r="G1378" s="1" t="str">
        <f t="shared" si="3"/>
        <v/>
      </c>
      <c r="H1378" s="5" t="str">
        <f t="shared" si="4"/>
        <v>48, 48, HAUNTER</v>
      </c>
    </row>
    <row r="1379" ht="12.75" customHeight="1">
      <c r="A1379" s="4" t="s">
        <v>2810</v>
      </c>
      <c r="B1379" s="5">
        <v>0.04</v>
      </c>
      <c r="C1379" s="1" t="str">
        <f t="shared" si="1"/>
        <v/>
      </c>
      <c r="E1379" s="5">
        <v>0.04</v>
      </c>
      <c r="F1379" s="6" t="str">
        <f t="shared" si="2"/>
        <v>#N/A</v>
      </c>
      <c r="G1379" s="1" t="str">
        <f t="shared" si="3"/>
        <v/>
      </c>
      <c r="H1379" s="5">
        <f t="shared" si="4"/>
        <v>0.04</v>
      </c>
    </row>
    <row r="1380" ht="12.75" customHeight="1">
      <c r="A1380" s="4" t="s">
        <v>3200</v>
      </c>
      <c r="B1380" s="5" t="s">
        <v>3200</v>
      </c>
      <c r="C1380" s="1" t="str">
        <f t="shared" si="1"/>
        <v/>
      </c>
      <c r="E1380" s="5" t="s">
        <v>3200</v>
      </c>
      <c r="F1380" s="6" t="str">
        <f t="shared" si="2"/>
        <v>#N/A</v>
      </c>
      <c r="G1380" s="1" t="str">
        <f t="shared" si="3"/>
        <v/>
      </c>
      <c r="H1380" s="5" t="str">
        <f t="shared" si="4"/>
        <v>50, 50, HAUNTER</v>
      </c>
    </row>
    <row r="1381" ht="12.75" customHeight="1">
      <c r="A1381" s="4" t="s">
        <v>3201</v>
      </c>
      <c r="B1381" s="5" t="s">
        <v>3201</v>
      </c>
      <c r="C1381" s="1" t="str">
        <f t="shared" si="1"/>
        <v/>
      </c>
      <c r="E1381" s="5" t="s">
        <v>3201</v>
      </c>
      <c r="F1381" s="6" t="str">
        <f t="shared" si="2"/>
        <v>#N/A</v>
      </c>
      <c r="G1381" s="1" t="str">
        <f t="shared" si="3"/>
        <v/>
      </c>
      <c r="H1381" s="5" t="str">
        <f t="shared" si="4"/>
        <v>22, 22, MISDREAVUS</v>
      </c>
    </row>
    <row r="1382" ht="12.75" customHeight="1">
      <c r="A1382" s="4" t="s">
        <v>2813</v>
      </c>
      <c r="B1382" s="5">
        <v>0.01</v>
      </c>
      <c r="C1382" s="1" t="str">
        <f t="shared" si="1"/>
        <v/>
      </c>
      <c r="E1382" s="5">
        <v>0.01</v>
      </c>
      <c r="F1382" s="6" t="str">
        <f t="shared" si="2"/>
        <v>#N/A</v>
      </c>
      <c r="G1382" s="1" t="str">
        <f t="shared" si="3"/>
        <v/>
      </c>
      <c r="H1382" s="5">
        <f t="shared" si="4"/>
        <v>0.01</v>
      </c>
    </row>
    <row r="1383" ht="12.75" customHeight="1">
      <c r="A1383" s="4" t="s">
        <v>3202</v>
      </c>
      <c r="B1383" s="5" t="s">
        <v>3202</v>
      </c>
      <c r="C1383" s="1" t="str">
        <f t="shared" si="1"/>
        <v/>
      </c>
      <c r="E1383" s="5" t="s">
        <v>3202</v>
      </c>
      <c r="F1383" s="6" t="str">
        <f t="shared" si="2"/>
        <v>#N/A</v>
      </c>
      <c r="G1383" s="1" t="str">
        <f t="shared" si="3"/>
        <v/>
      </c>
      <c r="H1383" s="5" t="str">
        <f t="shared" si="4"/>
        <v>52, 52, HAUNTER</v>
      </c>
    </row>
    <row r="1384" ht="12.75" customHeight="1">
      <c r="A1384" s="4" t="s">
        <v>3201</v>
      </c>
      <c r="B1384" s="5" t="s">
        <v>3201</v>
      </c>
      <c r="C1384" s="1" t="str">
        <f t="shared" si="1"/>
        <v/>
      </c>
      <c r="E1384" s="5" t="s">
        <v>3201</v>
      </c>
      <c r="F1384" s="6" t="str">
        <f t="shared" si="2"/>
        <v>#N/A</v>
      </c>
      <c r="G1384" s="1" t="str">
        <f t="shared" si="3"/>
        <v/>
      </c>
      <c r="H1384" s="5" t="str">
        <f t="shared" si="4"/>
        <v>22, 22, MISDREAVUS</v>
      </c>
    </row>
    <row r="1385" ht="12.75" customHeight="1">
      <c r="A1385" s="4" t="s">
        <v>2539</v>
      </c>
      <c r="B1385" s="5" t="s">
        <v>2539</v>
      </c>
      <c r="C1385" s="1">
        <f t="shared" si="1"/>
        <v>1</v>
      </c>
      <c r="E1385" s="5" t="s">
        <v>2539</v>
      </c>
      <c r="F1385" s="6" t="str">
        <f t="shared" si="2"/>
        <v>#N/A</v>
      </c>
      <c r="G1385" s="1" t="str">
        <f t="shared" si="3"/>
        <v/>
      </c>
      <c r="H1385" s="5" t="str">
        <f t="shared" si="4"/>
        <v>NEW ROUTE</v>
      </c>
    </row>
    <row r="1386" ht="12.75" customHeight="1">
      <c r="A1386" s="4" t="s">
        <v>1993</v>
      </c>
      <c r="B1386" s="5" t="s">
        <v>1993</v>
      </c>
      <c r="C1386" s="1" t="str">
        <f t="shared" si="1"/>
        <v/>
      </c>
      <c r="E1386" s="5" t="s">
        <v>1993</v>
      </c>
      <c r="F1386" s="6" t="str">
        <f t="shared" si="2"/>
        <v>Five Island Lost Cave Room 12</v>
      </c>
      <c r="G1386" s="1" t="str">
        <f t="shared" si="3"/>
        <v>Five Island Lost Cave Room 12</v>
      </c>
      <c r="H1386" s="5" t="str">
        <f t="shared" si="4"/>
        <v>Five Island Lost Cave Room 12</v>
      </c>
    </row>
    <row r="1387" ht="12.75" customHeight="1">
      <c r="A1387" s="4" t="s">
        <v>2799</v>
      </c>
      <c r="B1387" s="5">
        <v>0.2</v>
      </c>
      <c r="C1387" s="1" t="str">
        <f t="shared" si="1"/>
        <v/>
      </c>
      <c r="E1387" s="5">
        <v>0.2</v>
      </c>
      <c r="F1387" s="6" t="str">
        <f t="shared" si="2"/>
        <v>#N/A</v>
      </c>
      <c r="G1387" s="1" t="str">
        <f t="shared" si="3"/>
        <v/>
      </c>
      <c r="H1387" s="5">
        <f t="shared" si="4"/>
        <v>0.2</v>
      </c>
    </row>
    <row r="1388" ht="12.75" customHeight="1">
      <c r="A1388" s="4" t="s">
        <v>789</v>
      </c>
      <c r="B1388" s="5" t="s">
        <v>789</v>
      </c>
      <c r="C1388" s="1" t="str">
        <f t="shared" si="1"/>
        <v/>
      </c>
      <c r="E1388" s="5" t="s">
        <v>789</v>
      </c>
      <c r="F1388" s="6" t="str">
        <f t="shared" si="2"/>
        <v>#N/A</v>
      </c>
      <c r="G1388" s="1" t="str">
        <f t="shared" si="3"/>
        <v/>
      </c>
      <c r="H1388" s="5" t="str">
        <f t="shared" si="4"/>
        <v>40, 40, GASTLY</v>
      </c>
    </row>
    <row r="1389" ht="12.75" customHeight="1">
      <c r="A1389" s="4" t="s">
        <v>3193</v>
      </c>
      <c r="B1389" s="5" t="s">
        <v>3193</v>
      </c>
      <c r="C1389" s="1" t="str">
        <f t="shared" si="1"/>
        <v/>
      </c>
      <c r="E1389" s="5" t="s">
        <v>3193</v>
      </c>
      <c r="F1389" s="6" t="str">
        <f t="shared" si="2"/>
        <v>#N/A</v>
      </c>
      <c r="G1389" s="1" t="str">
        <f t="shared" si="3"/>
        <v/>
      </c>
      <c r="H1389" s="5" t="str">
        <f t="shared" si="4"/>
        <v>37, 37, ZUBAT</v>
      </c>
    </row>
    <row r="1390" ht="12.75" customHeight="1">
      <c r="A1390" s="4" t="s">
        <v>2802</v>
      </c>
      <c r="B1390" s="5">
        <v>0.1</v>
      </c>
      <c r="C1390" s="1" t="str">
        <f t="shared" si="1"/>
        <v/>
      </c>
      <c r="E1390" s="5">
        <v>0.1</v>
      </c>
      <c r="F1390" s="6" t="str">
        <f t="shared" si="2"/>
        <v>#N/A</v>
      </c>
      <c r="G1390" s="1" t="str">
        <f t="shared" si="3"/>
        <v/>
      </c>
      <c r="H1390" s="5">
        <f t="shared" si="4"/>
        <v>0.1</v>
      </c>
    </row>
    <row r="1391" ht="12.75" customHeight="1">
      <c r="A1391" s="4" t="s">
        <v>3194</v>
      </c>
      <c r="B1391" s="5" t="s">
        <v>3194</v>
      </c>
      <c r="C1391" s="1" t="str">
        <f t="shared" si="1"/>
        <v/>
      </c>
      <c r="E1391" s="5" t="s">
        <v>3194</v>
      </c>
      <c r="F1391" s="6" t="str">
        <f t="shared" si="2"/>
        <v>#N/A</v>
      </c>
      <c r="G1391" s="1" t="str">
        <f t="shared" si="3"/>
        <v/>
      </c>
      <c r="H1391" s="5" t="str">
        <f t="shared" si="4"/>
        <v>44, 44, HAUNTER</v>
      </c>
    </row>
    <row r="1392" ht="12.75" customHeight="1">
      <c r="A1392" s="4" t="s">
        <v>3195</v>
      </c>
      <c r="B1392" s="5" t="s">
        <v>3195</v>
      </c>
      <c r="C1392" s="1" t="str">
        <f t="shared" si="1"/>
        <v/>
      </c>
      <c r="E1392" s="5" t="s">
        <v>3195</v>
      </c>
      <c r="F1392" s="6" t="str">
        <f t="shared" si="2"/>
        <v>#N/A</v>
      </c>
      <c r="G1392" s="1" t="str">
        <f t="shared" si="3"/>
        <v/>
      </c>
      <c r="H1392" s="5" t="str">
        <f t="shared" si="4"/>
        <v>46, 46, HAUNTER</v>
      </c>
    </row>
    <row r="1393" ht="12.75" customHeight="1">
      <c r="A1393" s="4" t="s">
        <v>3196</v>
      </c>
      <c r="B1393" s="5" t="s">
        <v>3196</v>
      </c>
      <c r="C1393" s="1" t="str">
        <f t="shared" si="1"/>
        <v/>
      </c>
      <c r="E1393" s="5" t="s">
        <v>3196</v>
      </c>
      <c r="F1393" s="6" t="str">
        <f t="shared" si="2"/>
        <v>#N/A</v>
      </c>
      <c r="G1393" s="1" t="str">
        <f t="shared" si="3"/>
        <v/>
      </c>
      <c r="H1393" s="5" t="str">
        <f t="shared" si="4"/>
        <v>41, 41, GOLBAT</v>
      </c>
    </row>
    <row r="1394" ht="12.75" customHeight="1">
      <c r="A1394" s="4" t="s">
        <v>3216</v>
      </c>
      <c r="B1394" s="5" t="s">
        <v>3216</v>
      </c>
      <c r="C1394" s="1" t="str">
        <f t="shared" si="1"/>
        <v/>
      </c>
      <c r="E1394" s="5" t="s">
        <v>3216</v>
      </c>
      <c r="F1394" s="6" t="str">
        <f t="shared" si="2"/>
        <v>#N/A</v>
      </c>
      <c r="G1394" s="1" t="str">
        <f t="shared" si="3"/>
        <v/>
      </c>
      <c r="H1394" s="5" t="str">
        <f t="shared" si="4"/>
        <v>15, 15, MISDREAVUS</v>
      </c>
    </row>
    <row r="1395" ht="12.75" customHeight="1">
      <c r="A1395" s="4" t="s">
        <v>2807</v>
      </c>
      <c r="B1395" s="5">
        <v>0.05</v>
      </c>
      <c r="C1395" s="1" t="str">
        <f t="shared" si="1"/>
        <v/>
      </c>
      <c r="E1395" s="5">
        <v>0.05</v>
      </c>
      <c r="F1395" s="6" t="str">
        <f t="shared" si="2"/>
        <v>#N/A</v>
      </c>
      <c r="G1395" s="1" t="str">
        <f t="shared" si="3"/>
        <v/>
      </c>
      <c r="H1395" s="5">
        <f t="shared" si="4"/>
        <v>0.05</v>
      </c>
    </row>
    <row r="1396" ht="12.75" customHeight="1">
      <c r="A1396" s="4" t="s">
        <v>3217</v>
      </c>
      <c r="B1396" s="5" t="s">
        <v>3217</v>
      </c>
      <c r="C1396" s="1" t="str">
        <f t="shared" si="1"/>
        <v/>
      </c>
      <c r="E1396" s="5" t="s">
        <v>3217</v>
      </c>
      <c r="F1396" s="6" t="str">
        <f t="shared" si="2"/>
        <v>#N/A</v>
      </c>
      <c r="G1396" s="1" t="str">
        <f t="shared" si="3"/>
        <v/>
      </c>
      <c r="H1396" s="5" t="str">
        <f t="shared" si="4"/>
        <v>20, 20, MISDREAVUS</v>
      </c>
    </row>
    <row r="1397" ht="12.75" customHeight="1">
      <c r="A1397" s="4" t="s">
        <v>3199</v>
      </c>
      <c r="B1397" s="5" t="s">
        <v>3199</v>
      </c>
      <c r="C1397" s="1" t="str">
        <f t="shared" si="1"/>
        <v/>
      </c>
      <c r="E1397" s="5" t="s">
        <v>3199</v>
      </c>
      <c r="F1397" s="6" t="str">
        <f t="shared" si="2"/>
        <v>#N/A</v>
      </c>
      <c r="G1397" s="1" t="str">
        <f t="shared" si="3"/>
        <v/>
      </c>
      <c r="H1397" s="5" t="str">
        <f t="shared" si="4"/>
        <v>48, 48, HAUNTER</v>
      </c>
    </row>
    <row r="1398" ht="12.75" customHeight="1">
      <c r="A1398" s="4" t="s">
        <v>2810</v>
      </c>
      <c r="B1398" s="5">
        <v>0.04</v>
      </c>
      <c r="C1398" s="1" t="str">
        <f t="shared" si="1"/>
        <v/>
      </c>
      <c r="E1398" s="5">
        <v>0.04</v>
      </c>
      <c r="F1398" s="6" t="str">
        <f t="shared" si="2"/>
        <v>#N/A</v>
      </c>
      <c r="G1398" s="1" t="str">
        <f t="shared" si="3"/>
        <v/>
      </c>
      <c r="H1398" s="5">
        <f t="shared" si="4"/>
        <v>0.04</v>
      </c>
    </row>
    <row r="1399" ht="12.75" customHeight="1">
      <c r="A1399" s="4" t="s">
        <v>3200</v>
      </c>
      <c r="B1399" s="5" t="s">
        <v>3200</v>
      </c>
      <c r="C1399" s="1" t="str">
        <f t="shared" si="1"/>
        <v/>
      </c>
      <c r="E1399" s="5" t="s">
        <v>3200</v>
      </c>
      <c r="F1399" s="6" t="str">
        <f t="shared" si="2"/>
        <v>#N/A</v>
      </c>
      <c r="G1399" s="1" t="str">
        <f t="shared" si="3"/>
        <v/>
      </c>
      <c r="H1399" s="5" t="str">
        <f t="shared" si="4"/>
        <v>50, 50, HAUNTER</v>
      </c>
    </row>
    <row r="1400" ht="12.75" customHeight="1">
      <c r="A1400" s="4" t="s">
        <v>3201</v>
      </c>
      <c r="B1400" s="5" t="s">
        <v>3201</v>
      </c>
      <c r="C1400" s="1" t="str">
        <f t="shared" si="1"/>
        <v/>
      </c>
      <c r="E1400" s="5" t="s">
        <v>3201</v>
      </c>
      <c r="F1400" s="6" t="str">
        <f t="shared" si="2"/>
        <v>#N/A</v>
      </c>
      <c r="G1400" s="1" t="str">
        <f t="shared" si="3"/>
        <v/>
      </c>
      <c r="H1400" s="5" t="str">
        <f t="shared" si="4"/>
        <v>22, 22, MISDREAVUS</v>
      </c>
    </row>
    <row r="1401" ht="12.75" customHeight="1">
      <c r="A1401" s="4" t="s">
        <v>2813</v>
      </c>
      <c r="B1401" s="5">
        <v>0.01</v>
      </c>
      <c r="C1401" s="1" t="str">
        <f t="shared" si="1"/>
        <v/>
      </c>
      <c r="E1401" s="5">
        <v>0.01</v>
      </c>
      <c r="F1401" s="6" t="str">
        <f t="shared" si="2"/>
        <v>#N/A</v>
      </c>
      <c r="G1401" s="1" t="str">
        <f t="shared" si="3"/>
        <v/>
      </c>
      <c r="H1401" s="5">
        <f t="shared" si="4"/>
        <v>0.01</v>
      </c>
    </row>
    <row r="1402" ht="12.75" customHeight="1">
      <c r="A1402" s="4" t="s">
        <v>3202</v>
      </c>
      <c r="B1402" s="5" t="s">
        <v>3202</v>
      </c>
      <c r="C1402" s="1" t="str">
        <f t="shared" si="1"/>
        <v/>
      </c>
      <c r="E1402" s="5" t="s">
        <v>3202</v>
      </c>
      <c r="F1402" s="6" t="str">
        <f t="shared" si="2"/>
        <v>#N/A</v>
      </c>
      <c r="G1402" s="1" t="str">
        <f t="shared" si="3"/>
        <v/>
      </c>
      <c r="H1402" s="5" t="str">
        <f t="shared" si="4"/>
        <v>52, 52, HAUNTER</v>
      </c>
    </row>
    <row r="1403" ht="12.75" customHeight="1">
      <c r="A1403" s="4" t="s">
        <v>3201</v>
      </c>
      <c r="B1403" s="5" t="s">
        <v>3201</v>
      </c>
      <c r="C1403" s="1" t="str">
        <f t="shared" si="1"/>
        <v/>
      </c>
      <c r="E1403" s="5" t="s">
        <v>3201</v>
      </c>
      <c r="F1403" s="6" t="str">
        <f t="shared" si="2"/>
        <v>#N/A</v>
      </c>
      <c r="G1403" s="1" t="str">
        <f t="shared" si="3"/>
        <v/>
      </c>
      <c r="H1403" s="5" t="str">
        <f t="shared" si="4"/>
        <v>22, 22, MISDREAVUS</v>
      </c>
    </row>
    <row r="1404" ht="12.75" customHeight="1">
      <c r="A1404" s="4" t="s">
        <v>2539</v>
      </c>
      <c r="B1404" s="5" t="s">
        <v>2539</v>
      </c>
      <c r="C1404" s="1">
        <f t="shared" si="1"/>
        <v>1</v>
      </c>
      <c r="E1404" s="5" t="s">
        <v>2539</v>
      </c>
      <c r="F1404" s="6" t="str">
        <f t="shared" si="2"/>
        <v>#N/A</v>
      </c>
      <c r="G1404" s="1" t="str">
        <f t="shared" si="3"/>
        <v/>
      </c>
      <c r="H1404" s="5" t="str">
        <f t="shared" si="4"/>
        <v>NEW ROUTE</v>
      </c>
    </row>
    <row r="1405" ht="12.75" customHeight="1">
      <c r="A1405" s="4" t="s">
        <v>1995</v>
      </c>
      <c r="B1405" s="5" t="s">
        <v>1995</v>
      </c>
      <c r="C1405" s="1" t="str">
        <f t="shared" si="1"/>
        <v/>
      </c>
      <c r="E1405" s="5" t="s">
        <v>1995</v>
      </c>
      <c r="F1405" s="6" t="str">
        <f t="shared" si="2"/>
        <v>Five Island Lost Cave Room 13</v>
      </c>
      <c r="G1405" s="1" t="str">
        <f t="shared" si="3"/>
        <v>Five Island Lost Cave Room 13</v>
      </c>
      <c r="H1405" s="5" t="str">
        <f t="shared" si="4"/>
        <v>Five Island Lost Cave Room 13</v>
      </c>
    </row>
    <row r="1406" ht="12.75" customHeight="1">
      <c r="A1406" s="4" t="s">
        <v>2799</v>
      </c>
      <c r="B1406" s="5">
        <v>0.2</v>
      </c>
      <c r="C1406" s="1" t="str">
        <f t="shared" si="1"/>
        <v/>
      </c>
      <c r="E1406" s="5">
        <v>0.2</v>
      </c>
      <c r="F1406" s="6" t="str">
        <f t="shared" si="2"/>
        <v>#N/A</v>
      </c>
      <c r="G1406" s="1" t="str">
        <f t="shared" si="3"/>
        <v/>
      </c>
      <c r="H1406" s="5">
        <f t="shared" si="4"/>
        <v>0.2</v>
      </c>
    </row>
    <row r="1407" ht="12.75" customHeight="1">
      <c r="A1407" s="4" t="s">
        <v>789</v>
      </c>
      <c r="B1407" s="5" t="s">
        <v>789</v>
      </c>
      <c r="C1407" s="1" t="str">
        <f t="shared" si="1"/>
        <v/>
      </c>
      <c r="E1407" s="5" t="s">
        <v>789</v>
      </c>
      <c r="F1407" s="6" t="str">
        <f t="shared" si="2"/>
        <v>#N/A</v>
      </c>
      <c r="G1407" s="1" t="str">
        <f t="shared" si="3"/>
        <v/>
      </c>
      <c r="H1407" s="5" t="str">
        <f t="shared" si="4"/>
        <v>40, 40, GASTLY</v>
      </c>
    </row>
    <row r="1408" ht="12.75" customHeight="1">
      <c r="A1408" s="4" t="s">
        <v>3193</v>
      </c>
      <c r="B1408" s="5" t="s">
        <v>3193</v>
      </c>
      <c r="C1408" s="1" t="str">
        <f t="shared" si="1"/>
        <v/>
      </c>
      <c r="E1408" s="5" t="s">
        <v>3193</v>
      </c>
      <c r="F1408" s="6" t="str">
        <f t="shared" si="2"/>
        <v>#N/A</v>
      </c>
      <c r="G1408" s="1" t="str">
        <f t="shared" si="3"/>
        <v/>
      </c>
      <c r="H1408" s="5" t="str">
        <f t="shared" si="4"/>
        <v>37, 37, ZUBAT</v>
      </c>
    </row>
    <row r="1409" ht="12.75" customHeight="1">
      <c r="A1409" s="4" t="s">
        <v>2802</v>
      </c>
      <c r="B1409" s="5">
        <v>0.1</v>
      </c>
      <c r="C1409" s="1" t="str">
        <f t="shared" si="1"/>
        <v/>
      </c>
      <c r="E1409" s="5">
        <v>0.1</v>
      </c>
      <c r="F1409" s="6" t="str">
        <f t="shared" si="2"/>
        <v>#N/A</v>
      </c>
      <c r="G1409" s="1" t="str">
        <f t="shared" si="3"/>
        <v/>
      </c>
      <c r="H1409" s="5">
        <f t="shared" si="4"/>
        <v>0.1</v>
      </c>
    </row>
    <row r="1410" ht="12.75" customHeight="1">
      <c r="A1410" s="4" t="s">
        <v>3194</v>
      </c>
      <c r="B1410" s="5" t="s">
        <v>3194</v>
      </c>
      <c r="C1410" s="1" t="str">
        <f t="shared" si="1"/>
        <v/>
      </c>
      <c r="E1410" s="5" t="s">
        <v>3194</v>
      </c>
      <c r="F1410" s="6" t="str">
        <f t="shared" si="2"/>
        <v>#N/A</v>
      </c>
      <c r="G1410" s="1" t="str">
        <f t="shared" si="3"/>
        <v/>
      </c>
      <c r="H1410" s="5" t="str">
        <f t="shared" si="4"/>
        <v>44, 44, HAUNTER</v>
      </c>
    </row>
    <row r="1411" ht="12.75" customHeight="1">
      <c r="A1411" s="4" t="s">
        <v>3195</v>
      </c>
      <c r="B1411" s="5" t="s">
        <v>3195</v>
      </c>
      <c r="C1411" s="1" t="str">
        <f t="shared" si="1"/>
        <v/>
      </c>
      <c r="E1411" s="5" t="s">
        <v>3195</v>
      </c>
      <c r="F1411" s="6" t="str">
        <f t="shared" si="2"/>
        <v>#N/A</v>
      </c>
      <c r="G1411" s="1" t="str">
        <f t="shared" si="3"/>
        <v/>
      </c>
      <c r="H1411" s="5" t="str">
        <f t="shared" si="4"/>
        <v>46, 46, HAUNTER</v>
      </c>
    </row>
    <row r="1412" ht="12.75" customHeight="1">
      <c r="A1412" s="4" t="s">
        <v>3196</v>
      </c>
      <c r="B1412" s="5" t="s">
        <v>3196</v>
      </c>
      <c r="C1412" s="1" t="str">
        <f t="shared" si="1"/>
        <v/>
      </c>
      <c r="E1412" s="5" t="s">
        <v>3196</v>
      </c>
      <c r="F1412" s="6" t="str">
        <f t="shared" si="2"/>
        <v>#N/A</v>
      </c>
      <c r="G1412" s="1" t="str">
        <f t="shared" si="3"/>
        <v/>
      </c>
      <c r="H1412" s="5" t="str">
        <f t="shared" si="4"/>
        <v>41, 41, GOLBAT</v>
      </c>
    </row>
    <row r="1413" ht="12.75" customHeight="1">
      <c r="A1413" s="4" t="s">
        <v>3216</v>
      </c>
      <c r="B1413" s="5" t="s">
        <v>3216</v>
      </c>
      <c r="C1413" s="1" t="str">
        <f t="shared" si="1"/>
        <v/>
      </c>
      <c r="E1413" s="5" t="s">
        <v>3216</v>
      </c>
      <c r="F1413" s="6" t="str">
        <f t="shared" si="2"/>
        <v>#N/A</v>
      </c>
      <c r="G1413" s="1" t="str">
        <f t="shared" si="3"/>
        <v/>
      </c>
      <c r="H1413" s="5" t="str">
        <f t="shared" si="4"/>
        <v>15, 15, MISDREAVUS</v>
      </c>
    </row>
    <row r="1414" ht="12.75" customHeight="1">
      <c r="A1414" s="4" t="s">
        <v>2807</v>
      </c>
      <c r="B1414" s="5">
        <v>0.05</v>
      </c>
      <c r="C1414" s="1" t="str">
        <f t="shared" si="1"/>
        <v/>
      </c>
      <c r="E1414" s="5">
        <v>0.05</v>
      </c>
      <c r="F1414" s="6" t="str">
        <f t="shared" si="2"/>
        <v>#N/A</v>
      </c>
      <c r="G1414" s="1" t="str">
        <f t="shared" si="3"/>
        <v/>
      </c>
      <c r="H1414" s="5">
        <f t="shared" si="4"/>
        <v>0.05</v>
      </c>
    </row>
    <row r="1415" ht="12.75" customHeight="1">
      <c r="A1415" s="4" t="s">
        <v>3217</v>
      </c>
      <c r="B1415" s="5" t="s">
        <v>3217</v>
      </c>
      <c r="C1415" s="1" t="str">
        <f t="shared" si="1"/>
        <v/>
      </c>
      <c r="E1415" s="5" t="s">
        <v>3217</v>
      </c>
      <c r="F1415" s="6" t="str">
        <f t="shared" si="2"/>
        <v>#N/A</v>
      </c>
      <c r="G1415" s="1" t="str">
        <f t="shared" si="3"/>
        <v/>
      </c>
      <c r="H1415" s="5" t="str">
        <f t="shared" si="4"/>
        <v>20, 20, MISDREAVUS</v>
      </c>
    </row>
    <row r="1416" ht="12.75" customHeight="1">
      <c r="A1416" s="4" t="s">
        <v>3199</v>
      </c>
      <c r="B1416" s="5" t="s">
        <v>3199</v>
      </c>
      <c r="C1416" s="1" t="str">
        <f t="shared" si="1"/>
        <v/>
      </c>
      <c r="E1416" s="5" t="s">
        <v>3199</v>
      </c>
      <c r="F1416" s="6" t="str">
        <f t="shared" si="2"/>
        <v>#N/A</v>
      </c>
      <c r="G1416" s="1" t="str">
        <f t="shared" si="3"/>
        <v/>
      </c>
      <c r="H1416" s="5" t="str">
        <f t="shared" si="4"/>
        <v>48, 48, HAUNTER</v>
      </c>
    </row>
    <row r="1417" ht="12.75" customHeight="1">
      <c r="A1417" s="4" t="s">
        <v>2810</v>
      </c>
      <c r="B1417" s="5">
        <v>0.04</v>
      </c>
      <c r="C1417" s="1" t="str">
        <f t="shared" si="1"/>
        <v/>
      </c>
      <c r="E1417" s="5">
        <v>0.04</v>
      </c>
      <c r="F1417" s="6" t="str">
        <f t="shared" si="2"/>
        <v>#N/A</v>
      </c>
      <c r="G1417" s="1" t="str">
        <f t="shared" si="3"/>
        <v/>
      </c>
      <c r="H1417" s="5">
        <f t="shared" si="4"/>
        <v>0.04</v>
      </c>
    </row>
    <row r="1418" ht="12.75" customHeight="1">
      <c r="A1418" s="4" t="s">
        <v>3200</v>
      </c>
      <c r="B1418" s="5" t="s">
        <v>3200</v>
      </c>
      <c r="C1418" s="1" t="str">
        <f t="shared" si="1"/>
        <v/>
      </c>
      <c r="E1418" s="5" t="s">
        <v>3200</v>
      </c>
      <c r="F1418" s="6" t="str">
        <f t="shared" si="2"/>
        <v>#N/A</v>
      </c>
      <c r="G1418" s="1" t="str">
        <f t="shared" si="3"/>
        <v/>
      </c>
      <c r="H1418" s="5" t="str">
        <f t="shared" si="4"/>
        <v>50, 50, HAUNTER</v>
      </c>
    </row>
    <row r="1419" ht="12.75" customHeight="1">
      <c r="A1419" s="4" t="s">
        <v>3201</v>
      </c>
      <c r="B1419" s="5" t="s">
        <v>3201</v>
      </c>
      <c r="C1419" s="1" t="str">
        <f t="shared" si="1"/>
        <v/>
      </c>
      <c r="E1419" s="5" t="s">
        <v>3201</v>
      </c>
      <c r="F1419" s="6" t="str">
        <f t="shared" si="2"/>
        <v>#N/A</v>
      </c>
      <c r="G1419" s="1" t="str">
        <f t="shared" si="3"/>
        <v/>
      </c>
      <c r="H1419" s="5" t="str">
        <f t="shared" si="4"/>
        <v>22, 22, MISDREAVUS</v>
      </c>
    </row>
    <row r="1420" ht="12.75" customHeight="1">
      <c r="A1420" s="4" t="s">
        <v>2813</v>
      </c>
      <c r="B1420" s="5">
        <v>0.01</v>
      </c>
      <c r="C1420" s="1" t="str">
        <f t="shared" si="1"/>
        <v/>
      </c>
      <c r="E1420" s="5">
        <v>0.01</v>
      </c>
      <c r="F1420" s="6" t="str">
        <f t="shared" si="2"/>
        <v>#N/A</v>
      </c>
      <c r="G1420" s="1" t="str">
        <f t="shared" si="3"/>
        <v/>
      </c>
      <c r="H1420" s="5">
        <f t="shared" si="4"/>
        <v>0.01</v>
      </c>
    </row>
    <row r="1421" ht="12.75" customHeight="1">
      <c r="A1421" s="4" t="s">
        <v>3202</v>
      </c>
      <c r="B1421" s="5" t="s">
        <v>3202</v>
      </c>
      <c r="C1421" s="1" t="str">
        <f t="shared" si="1"/>
        <v/>
      </c>
      <c r="E1421" s="5" t="s">
        <v>3202</v>
      </c>
      <c r="F1421" s="6" t="str">
        <f t="shared" si="2"/>
        <v>#N/A</v>
      </c>
      <c r="G1421" s="1" t="str">
        <f t="shared" si="3"/>
        <v/>
      </c>
      <c r="H1421" s="5" t="str">
        <f t="shared" si="4"/>
        <v>52, 52, HAUNTER</v>
      </c>
    </row>
    <row r="1422" ht="12.75" customHeight="1">
      <c r="A1422" s="4" t="s">
        <v>3201</v>
      </c>
      <c r="B1422" s="5" t="s">
        <v>3201</v>
      </c>
      <c r="C1422" s="1" t="str">
        <f t="shared" si="1"/>
        <v/>
      </c>
      <c r="E1422" s="5" t="s">
        <v>3201</v>
      </c>
      <c r="F1422" s="6" t="str">
        <f t="shared" si="2"/>
        <v>#N/A</v>
      </c>
      <c r="G1422" s="1" t="str">
        <f t="shared" si="3"/>
        <v/>
      </c>
      <c r="H1422" s="5" t="str">
        <f t="shared" si="4"/>
        <v>22, 22, MISDREAVUS</v>
      </c>
    </row>
    <row r="1423" ht="12.75" customHeight="1">
      <c r="A1423" s="4" t="s">
        <v>2539</v>
      </c>
      <c r="B1423" s="5" t="s">
        <v>2539</v>
      </c>
      <c r="C1423" s="1">
        <f t="shared" si="1"/>
        <v>1</v>
      </c>
      <c r="E1423" s="5" t="s">
        <v>2539</v>
      </c>
      <c r="F1423" s="6" t="str">
        <f t="shared" si="2"/>
        <v>#N/A</v>
      </c>
      <c r="G1423" s="1" t="str">
        <f t="shared" si="3"/>
        <v/>
      </c>
      <c r="H1423" s="5" t="str">
        <f t="shared" si="4"/>
        <v>NEW ROUTE</v>
      </c>
    </row>
    <row r="1424" ht="12.75" customHeight="1">
      <c r="A1424" s="4" t="s">
        <v>1997</v>
      </c>
      <c r="B1424" s="5" t="s">
        <v>1997</v>
      </c>
      <c r="C1424" s="1" t="str">
        <f t="shared" si="1"/>
        <v/>
      </c>
      <c r="E1424" s="5" t="s">
        <v>1997</v>
      </c>
      <c r="F1424" s="6" t="str">
        <f t="shared" si="2"/>
        <v>Five Island Lost Cave Room 14</v>
      </c>
      <c r="G1424" s="1" t="str">
        <f t="shared" si="3"/>
        <v>Five Island Lost Cave Room 14</v>
      </c>
      <c r="H1424" s="5" t="str">
        <f t="shared" si="4"/>
        <v>Five Island Lost Cave Room 14</v>
      </c>
    </row>
    <row r="1425" ht="12.75" customHeight="1">
      <c r="A1425" s="4" t="s">
        <v>2799</v>
      </c>
      <c r="B1425" s="5">
        <v>0.2</v>
      </c>
      <c r="C1425" s="1" t="str">
        <f t="shared" si="1"/>
        <v/>
      </c>
      <c r="E1425" s="5">
        <v>0.2</v>
      </c>
      <c r="F1425" s="6" t="str">
        <f t="shared" si="2"/>
        <v>#N/A</v>
      </c>
      <c r="G1425" s="1" t="str">
        <f t="shared" si="3"/>
        <v/>
      </c>
      <c r="H1425" s="5">
        <f t="shared" si="4"/>
        <v>0.2</v>
      </c>
    </row>
    <row r="1426" ht="12.75" customHeight="1">
      <c r="A1426" s="4" t="s">
        <v>789</v>
      </c>
      <c r="B1426" s="5" t="s">
        <v>789</v>
      </c>
      <c r="C1426" s="1" t="str">
        <f t="shared" si="1"/>
        <v/>
      </c>
      <c r="E1426" s="5" t="s">
        <v>789</v>
      </c>
      <c r="F1426" s="6" t="str">
        <f t="shared" si="2"/>
        <v>#N/A</v>
      </c>
      <c r="G1426" s="1" t="str">
        <f t="shared" si="3"/>
        <v/>
      </c>
      <c r="H1426" s="5" t="str">
        <f t="shared" si="4"/>
        <v>40, 40, GASTLY</v>
      </c>
    </row>
    <row r="1427" ht="12.75" customHeight="1">
      <c r="A1427" s="4" t="s">
        <v>3193</v>
      </c>
      <c r="B1427" s="5" t="s">
        <v>3193</v>
      </c>
      <c r="C1427" s="1" t="str">
        <f t="shared" si="1"/>
        <v/>
      </c>
      <c r="E1427" s="5" t="s">
        <v>3193</v>
      </c>
      <c r="F1427" s="6" t="str">
        <f t="shared" si="2"/>
        <v>#N/A</v>
      </c>
      <c r="G1427" s="1" t="str">
        <f t="shared" si="3"/>
        <v/>
      </c>
      <c r="H1427" s="5" t="str">
        <f t="shared" si="4"/>
        <v>37, 37, ZUBAT</v>
      </c>
    </row>
    <row r="1428" ht="12.75" customHeight="1">
      <c r="A1428" s="4" t="s">
        <v>2802</v>
      </c>
      <c r="B1428" s="5">
        <v>0.1</v>
      </c>
      <c r="C1428" s="1" t="str">
        <f t="shared" si="1"/>
        <v/>
      </c>
      <c r="E1428" s="5">
        <v>0.1</v>
      </c>
      <c r="F1428" s="6" t="str">
        <f t="shared" si="2"/>
        <v>#N/A</v>
      </c>
      <c r="G1428" s="1" t="str">
        <f t="shared" si="3"/>
        <v/>
      </c>
      <c r="H1428" s="5">
        <f t="shared" si="4"/>
        <v>0.1</v>
      </c>
    </row>
    <row r="1429" ht="12.75" customHeight="1">
      <c r="A1429" s="4" t="s">
        <v>3194</v>
      </c>
      <c r="B1429" s="5" t="s">
        <v>3194</v>
      </c>
      <c r="C1429" s="1" t="str">
        <f t="shared" si="1"/>
        <v/>
      </c>
      <c r="E1429" s="5" t="s">
        <v>3194</v>
      </c>
      <c r="F1429" s="6" t="str">
        <f t="shared" si="2"/>
        <v>#N/A</v>
      </c>
      <c r="G1429" s="1" t="str">
        <f t="shared" si="3"/>
        <v/>
      </c>
      <c r="H1429" s="5" t="str">
        <f t="shared" si="4"/>
        <v>44, 44, HAUNTER</v>
      </c>
    </row>
    <row r="1430" ht="12.75" customHeight="1">
      <c r="A1430" s="4" t="s">
        <v>3195</v>
      </c>
      <c r="B1430" s="5" t="s">
        <v>3195</v>
      </c>
      <c r="C1430" s="1" t="str">
        <f t="shared" si="1"/>
        <v/>
      </c>
      <c r="E1430" s="5" t="s">
        <v>3195</v>
      </c>
      <c r="F1430" s="6" t="str">
        <f t="shared" si="2"/>
        <v>#N/A</v>
      </c>
      <c r="G1430" s="1" t="str">
        <f t="shared" si="3"/>
        <v/>
      </c>
      <c r="H1430" s="5" t="str">
        <f t="shared" si="4"/>
        <v>46, 46, HAUNTER</v>
      </c>
    </row>
    <row r="1431" ht="12.75" customHeight="1">
      <c r="A1431" s="4" t="s">
        <v>3196</v>
      </c>
      <c r="B1431" s="5" t="s">
        <v>3196</v>
      </c>
      <c r="C1431" s="1" t="str">
        <f t="shared" si="1"/>
        <v/>
      </c>
      <c r="E1431" s="5" t="s">
        <v>3196</v>
      </c>
      <c r="F1431" s="6" t="str">
        <f t="shared" si="2"/>
        <v>#N/A</v>
      </c>
      <c r="G1431" s="1" t="str">
        <f t="shared" si="3"/>
        <v/>
      </c>
      <c r="H1431" s="5" t="str">
        <f t="shared" si="4"/>
        <v>41, 41, GOLBAT</v>
      </c>
    </row>
    <row r="1432" ht="12.75" customHeight="1">
      <c r="A1432" s="4" t="s">
        <v>3216</v>
      </c>
      <c r="B1432" s="5" t="s">
        <v>3216</v>
      </c>
      <c r="C1432" s="1" t="str">
        <f t="shared" si="1"/>
        <v/>
      </c>
      <c r="E1432" s="5" t="s">
        <v>3216</v>
      </c>
      <c r="F1432" s="6" t="str">
        <f t="shared" si="2"/>
        <v>#N/A</v>
      </c>
      <c r="G1432" s="1" t="str">
        <f t="shared" si="3"/>
        <v/>
      </c>
      <c r="H1432" s="5" t="str">
        <f t="shared" si="4"/>
        <v>15, 15, MISDREAVUS</v>
      </c>
    </row>
    <row r="1433" ht="12.75" customHeight="1">
      <c r="A1433" s="4" t="s">
        <v>2807</v>
      </c>
      <c r="B1433" s="5">
        <v>0.05</v>
      </c>
      <c r="C1433" s="1" t="str">
        <f t="shared" si="1"/>
        <v/>
      </c>
      <c r="E1433" s="5">
        <v>0.05</v>
      </c>
      <c r="F1433" s="6" t="str">
        <f t="shared" si="2"/>
        <v>#N/A</v>
      </c>
      <c r="G1433" s="1" t="str">
        <f t="shared" si="3"/>
        <v/>
      </c>
      <c r="H1433" s="5">
        <f t="shared" si="4"/>
        <v>0.05</v>
      </c>
    </row>
    <row r="1434" ht="12.75" customHeight="1">
      <c r="A1434" s="4" t="s">
        <v>3217</v>
      </c>
      <c r="B1434" s="5" t="s">
        <v>3217</v>
      </c>
      <c r="C1434" s="1" t="str">
        <f t="shared" si="1"/>
        <v/>
      </c>
      <c r="E1434" s="5" t="s">
        <v>3217</v>
      </c>
      <c r="F1434" s="6" t="str">
        <f t="shared" si="2"/>
        <v>#N/A</v>
      </c>
      <c r="G1434" s="1" t="str">
        <f t="shared" si="3"/>
        <v/>
      </c>
      <c r="H1434" s="5" t="str">
        <f t="shared" si="4"/>
        <v>20, 20, MISDREAVUS</v>
      </c>
    </row>
    <row r="1435" ht="12.75" customHeight="1">
      <c r="A1435" s="4" t="s">
        <v>3199</v>
      </c>
      <c r="B1435" s="5" t="s">
        <v>3199</v>
      </c>
      <c r="C1435" s="1" t="str">
        <f t="shared" si="1"/>
        <v/>
      </c>
      <c r="E1435" s="5" t="s">
        <v>3199</v>
      </c>
      <c r="F1435" s="6" t="str">
        <f t="shared" si="2"/>
        <v>#N/A</v>
      </c>
      <c r="G1435" s="1" t="str">
        <f t="shared" si="3"/>
        <v/>
      </c>
      <c r="H1435" s="5" t="str">
        <f t="shared" si="4"/>
        <v>48, 48, HAUNTER</v>
      </c>
    </row>
    <row r="1436" ht="12.75" customHeight="1">
      <c r="A1436" s="4" t="s">
        <v>2810</v>
      </c>
      <c r="B1436" s="5">
        <v>0.04</v>
      </c>
      <c r="C1436" s="1" t="str">
        <f t="shared" si="1"/>
        <v/>
      </c>
      <c r="E1436" s="5">
        <v>0.04</v>
      </c>
      <c r="F1436" s="6" t="str">
        <f t="shared" si="2"/>
        <v>#N/A</v>
      </c>
      <c r="G1436" s="1" t="str">
        <f t="shared" si="3"/>
        <v/>
      </c>
      <c r="H1436" s="5">
        <f t="shared" si="4"/>
        <v>0.04</v>
      </c>
    </row>
    <row r="1437" ht="12.75" customHeight="1">
      <c r="A1437" s="4" t="s">
        <v>3200</v>
      </c>
      <c r="B1437" s="5" t="s">
        <v>3200</v>
      </c>
      <c r="C1437" s="1" t="str">
        <f t="shared" si="1"/>
        <v/>
      </c>
      <c r="E1437" s="5" t="s">
        <v>3200</v>
      </c>
      <c r="F1437" s="6" t="str">
        <f t="shared" si="2"/>
        <v>#N/A</v>
      </c>
      <c r="G1437" s="1" t="str">
        <f t="shared" si="3"/>
        <v/>
      </c>
      <c r="H1437" s="5" t="str">
        <f t="shared" si="4"/>
        <v>50, 50, HAUNTER</v>
      </c>
    </row>
    <row r="1438" ht="12.75" customHeight="1">
      <c r="A1438" s="4" t="s">
        <v>3201</v>
      </c>
      <c r="B1438" s="5" t="s">
        <v>3201</v>
      </c>
      <c r="C1438" s="1" t="str">
        <f t="shared" si="1"/>
        <v/>
      </c>
      <c r="E1438" s="5" t="s">
        <v>3201</v>
      </c>
      <c r="F1438" s="6" t="str">
        <f t="shared" si="2"/>
        <v>#N/A</v>
      </c>
      <c r="G1438" s="1" t="str">
        <f t="shared" si="3"/>
        <v/>
      </c>
      <c r="H1438" s="5" t="str">
        <f t="shared" si="4"/>
        <v>22, 22, MISDREAVUS</v>
      </c>
    </row>
    <row r="1439" ht="12.75" customHeight="1">
      <c r="A1439" s="4" t="s">
        <v>2813</v>
      </c>
      <c r="B1439" s="5">
        <v>0.01</v>
      </c>
      <c r="C1439" s="1" t="str">
        <f t="shared" si="1"/>
        <v/>
      </c>
      <c r="E1439" s="5">
        <v>0.01</v>
      </c>
      <c r="F1439" s="6" t="str">
        <f t="shared" si="2"/>
        <v>#N/A</v>
      </c>
      <c r="G1439" s="1" t="str">
        <f t="shared" si="3"/>
        <v/>
      </c>
      <c r="H1439" s="5">
        <f t="shared" si="4"/>
        <v>0.01</v>
      </c>
    </row>
    <row r="1440" ht="12.75" customHeight="1">
      <c r="A1440" s="4" t="s">
        <v>3202</v>
      </c>
      <c r="B1440" s="5" t="s">
        <v>3202</v>
      </c>
      <c r="C1440" s="1" t="str">
        <f t="shared" si="1"/>
        <v/>
      </c>
      <c r="E1440" s="5" t="s">
        <v>3202</v>
      </c>
      <c r="F1440" s="6" t="str">
        <f t="shared" si="2"/>
        <v>#N/A</v>
      </c>
      <c r="G1440" s="1" t="str">
        <f t="shared" si="3"/>
        <v/>
      </c>
      <c r="H1440" s="5" t="str">
        <f t="shared" si="4"/>
        <v>52, 52, HAUNTER</v>
      </c>
    </row>
    <row r="1441" ht="12.75" customHeight="1">
      <c r="A1441" s="4" t="s">
        <v>3201</v>
      </c>
      <c r="B1441" s="5" t="s">
        <v>3201</v>
      </c>
      <c r="C1441" s="1" t="str">
        <f t="shared" si="1"/>
        <v/>
      </c>
      <c r="E1441" s="5" t="s">
        <v>3201</v>
      </c>
      <c r="F1441" s="6" t="str">
        <f t="shared" si="2"/>
        <v>#N/A</v>
      </c>
      <c r="G1441" s="1" t="str">
        <f t="shared" si="3"/>
        <v/>
      </c>
      <c r="H1441" s="5" t="str">
        <f t="shared" si="4"/>
        <v>22, 22, MISDREAVUS</v>
      </c>
    </row>
    <row r="1442" ht="12.75" customHeight="1">
      <c r="A1442" s="4" t="s">
        <v>2539</v>
      </c>
      <c r="B1442" s="5" t="s">
        <v>2539</v>
      </c>
      <c r="C1442" s="1">
        <f t="shared" si="1"/>
        <v>1</v>
      </c>
      <c r="E1442" s="5" t="s">
        <v>2539</v>
      </c>
      <c r="F1442" s="6" t="str">
        <f t="shared" si="2"/>
        <v>#N/A</v>
      </c>
      <c r="G1442" s="1" t="str">
        <f t="shared" si="3"/>
        <v/>
      </c>
      <c r="H1442" s="5" t="str">
        <f t="shared" si="4"/>
        <v>NEW ROUTE</v>
      </c>
    </row>
    <row r="1443" ht="12.75" customHeight="1">
      <c r="A1443" s="4" t="s">
        <v>2155</v>
      </c>
      <c r="B1443" s="5" t="s">
        <v>2155</v>
      </c>
      <c r="C1443" s="1" t="str">
        <f t="shared" si="1"/>
        <v/>
      </c>
      <c r="E1443" s="5" t="s">
        <v>2155</v>
      </c>
      <c r="F1443" s="6" t="str">
        <f t="shared" si="2"/>
        <v>One Island Kindle Road</v>
      </c>
      <c r="G1443" s="1" t="str">
        <f t="shared" si="3"/>
        <v>One Island Kindle Road</v>
      </c>
      <c r="H1443" s="5" t="str">
        <f t="shared" si="4"/>
        <v>One Island Kindle Road</v>
      </c>
    </row>
    <row r="1444" ht="12.75" customHeight="1">
      <c r="A1444" s="4" t="s">
        <v>2799</v>
      </c>
      <c r="B1444" s="5">
        <v>0.2</v>
      </c>
      <c r="C1444" s="1" t="str">
        <f t="shared" si="1"/>
        <v/>
      </c>
      <c r="E1444" s="5">
        <v>0.2</v>
      </c>
      <c r="F1444" s="6" t="str">
        <f t="shared" si="2"/>
        <v>#N/A</v>
      </c>
      <c r="G1444" s="1" t="str">
        <f t="shared" si="3"/>
        <v/>
      </c>
      <c r="H1444" s="5">
        <f t="shared" si="4"/>
        <v>0.2</v>
      </c>
    </row>
    <row r="1445" ht="12.75" customHeight="1">
      <c r="A1445" s="4" t="s">
        <v>817</v>
      </c>
      <c r="B1445" s="5" t="s">
        <v>817</v>
      </c>
      <c r="C1445" s="1" t="str">
        <f t="shared" si="1"/>
        <v/>
      </c>
      <c r="E1445" s="5" t="s">
        <v>817</v>
      </c>
      <c r="F1445" s="6" t="str">
        <f t="shared" si="2"/>
        <v>#N/A</v>
      </c>
      <c r="G1445" s="1" t="str">
        <f t="shared" si="3"/>
        <v/>
      </c>
      <c r="H1445" s="5" t="str">
        <f t="shared" si="4"/>
        <v>32, 32, SPEAROW</v>
      </c>
    </row>
    <row r="1446" ht="12.75" customHeight="1">
      <c r="A1446" s="4" t="s">
        <v>3222</v>
      </c>
      <c r="B1446" s="5" t="s">
        <v>3222</v>
      </c>
      <c r="C1446" s="1" t="str">
        <f t="shared" si="1"/>
        <v/>
      </c>
      <c r="E1446" s="5" t="s">
        <v>3222</v>
      </c>
      <c r="F1446" s="6" t="str">
        <f t="shared" si="2"/>
        <v>#N/A</v>
      </c>
      <c r="G1446" s="1" t="str">
        <f t="shared" si="3"/>
        <v/>
      </c>
      <c r="H1446" s="5" t="str">
        <f t="shared" si="4"/>
        <v>34, 34, PONYTA</v>
      </c>
    </row>
    <row r="1447" ht="12.75" customHeight="1">
      <c r="A1447" s="4" t="s">
        <v>2802</v>
      </c>
      <c r="B1447" s="5">
        <v>0.1</v>
      </c>
      <c r="C1447" s="1" t="str">
        <f t="shared" si="1"/>
        <v/>
      </c>
      <c r="E1447" s="5">
        <v>0.1</v>
      </c>
      <c r="F1447" s="6" t="str">
        <f t="shared" si="2"/>
        <v>#N/A</v>
      </c>
      <c r="G1447" s="1" t="str">
        <f t="shared" si="3"/>
        <v/>
      </c>
      <c r="H1447" s="5">
        <f t="shared" si="4"/>
        <v>0.1</v>
      </c>
    </row>
    <row r="1448" ht="12.75" customHeight="1">
      <c r="A1448" s="4" t="s">
        <v>3223</v>
      </c>
      <c r="B1448" s="5" t="s">
        <v>3223</v>
      </c>
      <c r="C1448" s="1" t="str">
        <f t="shared" si="1"/>
        <v/>
      </c>
      <c r="E1448" s="5" t="s">
        <v>3223</v>
      </c>
      <c r="F1448" s="6" t="str">
        <f t="shared" si="2"/>
        <v>#N/A</v>
      </c>
      <c r="G1448" s="1" t="str">
        <f t="shared" si="3"/>
        <v/>
      </c>
      <c r="H1448" s="5" t="str">
        <f t="shared" si="4"/>
        <v>36, 36, FEAROW</v>
      </c>
    </row>
    <row r="1449" ht="12.75" customHeight="1">
      <c r="A1449" s="4" t="s">
        <v>3224</v>
      </c>
      <c r="B1449" s="5" t="s">
        <v>3224</v>
      </c>
      <c r="C1449" s="1" t="str">
        <f t="shared" si="1"/>
        <v/>
      </c>
      <c r="E1449" s="5" t="s">
        <v>3224</v>
      </c>
      <c r="F1449" s="6" t="str">
        <f t="shared" si="2"/>
        <v>#N/A</v>
      </c>
      <c r="G1449" s="1" t="str">
        <f t="shared" si="3"/>
        <v/>
      </c>
      <c r="H1449" s="5" t="str">
        <f t="shared" si="4"/>
        <v>31, 31, PONYTA</v>
      </c>
    </row>
    <row r="1450" ht="12.75" customHeight="1">
      <c r="A1450" s="4" t="s">
        <v>3082</v>
      </c>
      <c r="B1450" s="5" t="s">
        <v>3082</v>
      </c>
      <c r="C1450" s="1" t="str">
        <f t="shared" si="1"/>
        <v/>
      </c>
      <c r="E1450" s="5" t="s">
        <v>3082</v>
      </c>
      <c r="F1450" s="6" t="str">
        <f t="shared" si="2"/>
        <v>#N/A</v>
      </c>
      <c r="G1450" s="1" t="str">
        <f t="shared" si="3"/>
        <v/>
      </c>
      <c r="H1450" s="5" t="str">
        <f t="shared" si="4"/>
        <v>31, 31, GEODUDE</v>
      </c>
    </row>
    <row r="1451" ht="12.75" customHeight="1">
      <c r="A1451" s="4" t="s">
        <v>3225</v>
      </c>
      <c r="B1451" s="5" t="s">
        <v>3225</v>
      </c>
      <c r="C1451" s="1" t="str">
        <f t="shared" si="1"/>
        <v/>
      </c>
      <c r="E1451" s="5" t="s">
        <v>3225</v>
      </c>
      <c r="F1451" s="6" t="str">
        <f t="shared" si="2"/>
        <v>#N/A</v>
      </c>
      <c r="G1451" s="1" t="str">
        <f t="shared" si="3"/>
        <v/>
      </c>
      <c r="H1451" s="5" t="str">
        <f t="shared" si="4"/>
        <v>31, 31, MEOWTH</v>
      </c>
    </row>
    <row r="1452" ht="12.75" customHeight="1">
      <c r="A1452" s="4" t="s">
        <v>2807</v>
      </c>
      <c r="B1452" s="5">
        <v>0.05</v>
      </c>
      <c r="C1452" s="1" t="str">
        <f t="shared" si="1"/>
        <v/>
      </c>
      <c r="E1452" s="5">
        <v>0.05</v>
      </c>
      <c r="F1452" s="6" t="str">
        <f t="shared" si="2"/>
        <v>#N/A</v>
      </c>
      <c r="G1452" s="1" t="str">
        <f t="shared" si="3"/>
        <v/>
      </c>
      <c r="H1452" s="5">
        <f t="shared" si="4"/>
        <v>0.05</v>
      </c>
    </row>
    <row r="1453" ht="12.75" customHeight="1">
      <c r="A1453" s="4" t="s">
        <v>3226</v>
      </c>
      <c r="B1453" s="5" t="s">
        <v>3226</v>
      </c>
      <c r="C1453" s="1" t="str">
        <f t="shared" si="1"/>
        <v/>
      </c>
      <c r="E1453" s="5" t="s">
        <v>3226</v>
      </c>
      <c r="F1453" s="6" t="str">
        <f t="shared" si="2"/>
        <v>#N/A</v>
      </c>
      <c r="G1453" s="1" t="str">
        <f t="shared" si="3"/>
        <v/>
      </c>
      <c r="H1453" s="5" t="str">
        <f t="shared" si="4"/>
        <v>30, 30, SPEAROW</v>
      </c>
    </row>
    <row r="1454" ht="12.75" customHeight="1">
      <c r="A1454" s="4" t="s">
        <v>3227</v>
      </c>
      <c r="B1454" s="5" t="s">
        <v>3227</v>
      </c>
      <c r="C1454" s="1" t="str">
        <f t="shared" si="1"/>
        <v/>
      </c>
      <c r="E1454" s="5" t="s">
        <v>3227</v>
      </c>
      <c r="F1454" s="6" t="str">
        <f t="shared" si="2"/>
        <v>#N/A</v>
      </c>
      <c r="G1454" s="1" t="str">
        <f t="shared" si="3"/>
        <v/>
      </c>
      <c r="H1454" s="5" t="str">
        <f t="shared" si="4"/>
        <v>34, 34, SLOWPOKE</v>
      </c>
    </row>
    <row r="1455" ht="12.75" customHeight="1">
      <c r="A1455" s="4" t="s">
        <v>2810</v>
      </c>
      <c r="B1455" s="5">
        <v>0.04</v>
      </c>
      <c r="C1455" s="1" t="str">
        <f t="shared" si="1"/>
        <v/>
      </c>
      <c r="E1455" s="5">
        <v>0.04</v>
      </c>
      <c r="F1455" s="6" t="str">
        <f t="shared" si="2"/>
        <v>#N/A</v>
      </c>
      <c r="G1455" s="1" t="str">
        <f t="shared" si="3"/>
        <v/>
      </c>
      <c r="H1455" s="5">
        <f t="shared" si="4"/>
        <v>0.04</v>
      </c>
    </row>
    <row r="1456" ht="12.75" customHeight="1">
      <c r="A1456" s="4" t="s">
        <v>3228</v>
      </c>
      <c r="B1456" s="5" t="s">
        <v>3228</v>
      </c>
      <c r="C1456" s="1" t="str">
        <f t="shared" si="1"/>
        <v/>
      </c>
      <c r="E1456" s="5" t="s">
        <v>3228</v>
      </c>
      <c r="F1456" s="6" t="str">
        <f t="shared" si="2"/>
        <v>#N/A</v>
      </c>
      <c r="G1456" s="1" t="str">
        <f t="shared" si="3"/>
        <v/>
      </c>
      <c r="H1456" s="5" t="str">
        <f t="shared" si="4"/>
        <v>37, 37, RAPIDASH</v>
      </c>
    </row>
    <row r="1457" ht="12.75" customHeight="1">
      <c r="A1457" s="4" t="s">
        <v>3229</v>
      </c>
      <c r="B1457" s="5" t="s">
        <v>3229</v>
      </c>
      <c r="C1457" s="1" t="str">
        <f t="shared" si="1"/>
        <v/>
      </c>
      <c r="E1457" s="5" t="s">
        <v>3229</v>
      </c>
      <c r="F1457" s="6" t="str">
        <f t="shared" si="2"/>
        <v>#N/A</v>
      </c>
      <c r="G1457" s="1" t="str">
        <f t="shared" si="3"/>
        <v/>
      </c>
      <c r="H1457" s="5" t="str">
        <f t="shared" si="4"/>
        <v>37, 37, PERSIAN</v>
      </c>
    </row>
    <row r="1458" ht="12.75" customHeight="1">
      <c r="A1458" s="4" t="s">
        <v>2813</v>
      </c>
      <c r="B1458" s="5">
        <v>0.01</v>
      </c>
      <c r="C1458" s="1" t="str">
        <f t="shared" si="1"/>
        <v/>
      </c>
      <c r="E1458" s="5">
        <v>0.01</v>
      </c>
      <c r="F1458" s="6" t="str">
        <f t="shared" si="2"/>
        <v>#N/A</v>
      </c>
      <c r="G1458" s="1" t="str">
        <f t="shared" si="3"/>
        <v/>
      </c>
      <c r="H1458" s="5">
        <f t="shared" si="4"/>
        <v>0.01</v>
      </c>
    </row>
    <row r="1459" ht="12.75" customHeight="1">
      <c r="A1459" s="4" t="s">
        <v>3230</v>
      </c>
      <c r="B1459" s="5" t="s">
        <v>3230</v>
      </c>
      <c r="C1459" s="1" t="str">
        <f t="shared" si="1"/>
        <v/>
      </c>
      <c r="E1459" s="5" t="s">
        <v>3230</v>
      </c>
      <c r="F1459" s="6" t="str">
        <f t="shared" si="2"/>
        <v>#N/A</v>
      </c>
      <c r="G1459" s="1" t="str">
        <f t="shared" si="3"/>
        <v/>
      </c>
      <c r="H1459" s="5" t="str">
        <f t="shared" si="4"/>
        <v>40, 40, RAPIDASH</v>
      </c>
    </row>
    <row r="1460" ht="12.75" customHeight="1">
      <c r="A1460" s="4" t="s">
        <v>3231</v>
      </c>
      <c r="B1460" s="5" t="s">
        <v>3231</v>
      </c>
      <c r="C1460" s="1" t="str">
        <f t="shared" si="1"/>
        <v/>
      </c>
      <c r="E1460" s="5" t="s">
        <v>3231</v>
      </c>
      <c r="F1460" s="6" t="str">
        <f t="shared" si="2"/>
        <v>#N/A</v>
      </c>
      <c r="G1460" s="1" t="str">
        <f t="shared" si="3"/>
        <v/>
      </c>
      <c r="H1460" s="5" t="str">
        <f t="shared" si="4"/>
        <v>40, 40, PERSIAN</v>
      </c>
    </row>
    <row r="1461" ht="12.75" customHeight="1">
      <c r="A1461" s="4" t="s">
        <v>3173</v>
      </c>
      <c r="B1461" s="5" t="s">
        <v>3173</v>
      </c>
      <c r="C1461" s="1" t="str">
        <f t="shared" si="1"/>
        <v/>
      </c>
      <c r="E1461" s="5" t="s">
        <v>3173</v>
      </c>
      <c r="F1461" s="6" t="str">
        <f t="shared" si="2"/>
        <v>#N/A</v>
      </c>
      <c r="G1461" s="1" t="str">
        <f t="shared" si="3"/>
        <v/>
      </c>
      <c r="H1461" s="5" t="str">
        <f t="shared" si="4"/>
        <v>2, 5, 20, TENTACOOL</v>
      </c>
    </row>
    <row r="1462" ht="12.75" customHeight="1">
      <c r="A1462" s="4" t="s">
        <v>3174</v>
      </c>
      <c r="B1462" s="5" t="s">
        <v>3174</v>
      </c>
      <c r="C1462" s="1" t="str">
        <f t="shared" si="1"/>
        <v/>
      </c>
      <c r="E1462" s="5" t="s">
        <v>3174</v>
      </c>
      <c r="F1462" s="6" t="str">
        <f t="shared" si="2"/>
        <v>#N/A</v>
      </c>
      <c r="G1462" s="1" t="str">
        <f t="shared" si="3"/>
        <v/>
      </c>
      <c r="H1462" s="5" t="str">
        <f t="shared" si="4"/>
        <v>20, 35, TENTACOOL</v>
      </c>
    </row>
    <row r="1463" ht="12.75" customHeight="1">
      <c r="A1463" s="4" t="s">
        <v>2845</v>
      </c>
      <c r="B1463" s="5" t="s">
        <v>2845</v>
      </c>
      <c r="C1463" s="1" t="str">
        <f t="shared" si="1"/>
        <v/>
      </c>
      <c r="E1463" s="5" t="s">
        <v>2845</v>
      </c>
      <c r="F1463" s="6" t="str">
        <f t="shared" si="2"/>
        <v>#N/A</v>
      </c>
      <c r="G1463" s="1" t="str">
        <f t="shared" si="3"/>
        <v/>
      </c>
      <c r="H1463" s="5" t="str">
        <f t="shared" si="4"/>
        <v>35, 40, TENTACOOL</v>
      </c>
    </row>
    <row r="1464" ht="12.75" customHeight="1">
      <c r="A1464" s="4" t="s">
        <v>3232</v>
      </c>
      <c r="B1464" s="5" t="s">
        <v>3232</v>
      </c>
      <c r="C1464" s="1" t="str">
        <f t="shared" si="1"/>
        <v/>
      </c>
      <c r="E1464" s="5" t="s">
        <v>3232</v>
      </c>
      <c r="F1464" s="6" t="str">
        <f t="shared" si="2"/>
        <v>#N/A</v>
      </c>
      <c r="G1464" s="1" t="str">
        <f t="shared" si="3"/>
        <v/>
      </c>
      <c r="H1464" s="5" t="str">
        <f t="shared" si="4"/>
        <v>35, 40, TENTACRUEL</v>
      </c>
    </row>
    <row r="1465" ht="12.75" customHeight="1">
      <c r="A1465" s="4" t="s">
        <v>3232</v>
      </c>
      <c r="B1465" s="5" t="s">
        <v>3232</v>
      </c>
      <c r="C1465" s="1" t="str">
        <f t="shared" si="1"/>
        <v/>
      </c>
      <c r="E1465" s="5" t="s">
        <v>3232</v>
      </c>
      <c r="F1465" s="6" t="str">
        <f t="shared" si="2"/>
        <v>#N/A</v>
      </c>
      <c r="G1465" s="1" t="str">
        <f t="shared" si="3"/>
        <v/>
      </c>
      <c r="H1465" s="5" t="str">
        <f t="shared" si="4"/>
        <v>35, 40, TENTACRUEL</v>
      </c>
    </row>
    <row r="1466" ht="12.75" customHeight="1">
      <c r="A1466" s="4" t="s">
        <v>3233</v>
      </c>
      <c r="B1466" s="5" t="s">
        <v>3233</v>
      </c>
      <c r="C1466" s="1" t="str">
        <f t="shared" si="1"/>
        <v/>
      </c>
      <c r="E1466" s="5" t="s">
        <v>3233</v>
      </c>
      <c r="F1466" s="6" t="str">
        <f t="shared" si="2"/>
        <v>#N/A</v>
      </c>
      <c r="G1466" s="1" t="str">
        <f t="shared" si="3"/>
        <v/>
      </c>
      <c r="H1466" s="5" t="str">
        <f t="shared" si="4"/>
        <v>25, 5, 20, GEODUDE</v>
      </c>
    </row>
    <row r="1467" ht="12.75" customHeight="1">
      <c r="A1467" s="4" t="s">
        <v>3001</v>
      </c>
      <c r="B1467" s="5" t="s">
        <v>3001</v>
      </c>
      <c r="C1467" s="1" t="str">
        <f t="shared" si="1"/>
        <v/>
      </c>
      <c r="E1467" s="5" t="s">
        <v>3001</v>
      </c>
      <c r="F1467" s="6" t="str">
        <f t="shared" si="2"/>
        <v>#N/A</v>
      </c>
      <c r="G1467" s="1" t="str">
        <f t="shared" si="3"/>
        <v/>
      </c>
      <c r="H1467" s="5" t="str">
        <f t="shared" si="4"/>
        <v>10, 20, GEODUDE</v>
      </c>
    </row>
    <row r="1468" ht="12.75" customHeight="1">
      <c r="A1468" s="4" t="s">
        <v>3002</v>
      </c>
      <c r="B1468" s="5" t="s">
        <v>3002</v>
      </c>
      <c r="C1468" s="1" t="str">
        <f t="shared" si="1"/>
        <v/>
      </c>
      <c r="E1468" s="5" t="s">
        <v>3002</v>
      </c>
      <c r="F1468" s="6" t="str">
        <f t="shared" si="2"/>
        <v>#N/A</v>
      </c>
      <c r="G1468" s="1" t="str">
        <f t="shared" si="3"/>
        <v/>
      </c>
      <c r="H1468" s="5" t="str">
        <f t="shared" si="4"/>
        <v>15, 30, GEODUDE</v>
      </c>
    </row>
    <row r="1469" ht="12.75" customHeight="1">
      <c r="A1469" s="4" t="s">
        <v>3003</v>
      </c>
      <c r="B1469" s="5" t="s">
        <v>3003</v>
      </c>
      <c r="C1469" s="1" t="str">
        <f t="shared" si="1"/>
        <v/>
      </c>
      <c r="E1469" s="5" t="s">
        <v>3003</v>
      </c>
      <c r="F1469" s="6" t="str">
        <f t="shared" si="2"/>
        <v>#N/A</v>
      </c>
      <c r="G1469" s="1" t="str">
        <f t="shared" si="3"/>
        <v/>
      </c>
      <c r="H1469" s="5" t="str">
        <f t="shared" si="4"/>
        <v>25, 40, GRAVELER</v>
      </c>
    </row>
    <row r="1470" ht="12.75" customHeight="1">
      <c r="A1470" s="4" t="s">
        <v>3234</v>
      </c>
      <c r="B1470" s="5" t="s">
        <v>3234</v>
      </c>
      <c r="C1470" s="1" t="str">
        <f t="shared" si="1"/>
        <v/>
      </c>
      <c r="E1470" s="5" t="s">
        <v>3234</v>
      </c>
      <c r="F1470" s="6" t="str">
        <f t="shared" si="2"/>
        <v>#N/A</v>
      </c>
      <c r="G1470" s="1" t="str">
        <f t="shared" si="3"/>
        <v/>
      </c>
      <c r="H1470" s="5" t="str">
        <f t="shared" si="4"/>
        <v>30, 40, GRAVELER</v>
      </c>
    </row>
    <row r="1471" ht="12.75" customHeight="1">
      <c r="A1471" s="4" t="s">
        <v>2926</v>
      </c>
      <c r="B1471" s="5" t="s">
        <v>2926</v>
      </c>
      <c r="C1471" s="1" t="str">
        <f t="shared" si="1"/>
        <v/>
      </c>
      <c r="E1471" s="5" t="s">
        <v>2926</v>
      </c>
      <c r="F1471" s="6" t="str">
        <f t="shared" si="2"/>
        <v>#N/A</v>
      </c>
      <c r="G1471" s="1" t="str">
        <f t="shared" si="3"/>
        <v/>
      </c>
      <c r="H1471" s="5" t="str">
        <f t="shared" si="4"/>
        <v>20, old rod:</v>
      </c>
    </row>
    <row r="1472" ht="12.75" customHeight="1">
      <c r="A1472" s="4" t="s">
        <v>417</v>
      </c>
      <c r="B1472" s="5" t="s">
        <v>417</v>
      </c>
      <c r="C1472" s="1" t="str">
        <f t="shared" si="1"/>
        <v/>
      </c>
      <c r="E1472" s="5" t="s">
        <v>417</v>
      </c>
      <c r="F1472" s="6" t="str">
        <f t="shared" si="2"/>
        <v>#N/A</v>
      </c>
      <c r="G1472" s="1" t="str">
        <f t="shared" si="3"/>
        <v/>
      </c>
      <c r="H1472" s="5" t="str">
        <f t="shared" si="4"/>
        <v>5, 5, MAGIKARP</v>
      </c>
    </row>
    <row r="1473" ht="12.75" customHeight="1">
      <c r="A1473" s="4" t="s">
        <v>417</v>
      </c>
      <c r="B1473" s="5" t="s">
        <v>417</v>
      </c>
      <c r="C1473" s="1" t="str">
        <f t="shared" si="1"/>
        <v/>
      </c>
      <c r="E1473" s="5" t="s">
        <v>417</v>
      </c>
      <c r="F1473" s="6" t="str">
        <f t="shared" si="2"/>
        <v>#N/A</v>
      </c>
      <c r="G1473" s="1" t="str">
        <f t="shared" si="3"/>
        <v/>
      </c>
      <c r="H1473" s="5" t="str">
        <f t="shared" si="4"/>
        <v>5, 5, MAGIKARP</v>
      </c>
    </row>
    <row r="1474" ht="12.75" customHeight="1">
      <c r="A1474" s="4" t="s">
        <v>2847</v>
      </c>
      <c r="B1474" s="5" t="s">
        <v>2847</v>
      </c>
      <c r="C1474" s="1" t="str">
        <f t="shared" si="1"/>
        <v/>
      </c>
      <c r="E1474" s="5" t="s">
        <v>2847</v>
      </c>
      <c r="F1474" s="6" t="str">
        <f t="shared" si="2"/>
        <v>#N/A</v>
      </c>
      <c r="G1474" s="1" t="str">
        <f t="shared" si="3"/>
        <v/>
      </c>
      <c r="H1474" s="5" t="str">
        <f t="shared" si="4"/>
        <v>good rod:</v>
      </c>
    </row>
    <row r="1475" ht="12.75" customHeight="1">
      <c r="A1475" s="4" t="s">
        <v>2848</v>
      </c>
      <c r="B1475" s="5" t="s">
        <v>2848</v>
      </c>
      <c r="C1475" s="1" t="str">
        <f t="shared" si="1"/>
        <v/>
      </c>
      <c r="E1475" s="5" t="s">
        <v>2848</v>
      </c>
      <c r="F1475" s="6" t="str">
        <f t="shared" si="2"/>
        <v>#N/A</v>
      </c>
      <c r="G1475" s="1" t="str">
        <f t="shared" si="3"/>
        <v/>
      </c>
      <c r="H1475" s="5" t="str">
        <f t="shared" si="4"/>
        <v>5, 15, KRABBY</v>
      </c>
    </row>
    <row r="1476" ht="12.75" customHeight="1">
      <c r="A1476" s="4" t="s">
        <v>2849</v>
      </c>
      <c r="B1476" s="5" t="s">
        <v>2849</v>
      </c>
      <c r="C1476" s="1" t="str">
        <f t="shared" si="1"/>
        <v/>
      </c>
      <c r="E1476" s="5" t="s">
        <v>2849</v>
      </c>
      <c r="F1476" s="6" t="str">
        <f t="shared" si="2"/>
        <v>#N/A</v>
      </c>
      <c r="G1476" s="1" t="str">
        <f t="shared" si="3"/>
        <v/>
      </c>
      <c r="H1476" s="5" t="str">
        <f t="shared" si="4"/>
        <v>5, 15, MAGIKARP</v>
      </c>
    </row>
    <row r="1477" ht="12.75" customHeight="1">
      <c r="A1477" s="4" t="s">
        <v>2848</v>
      </c>
      <c r="B1477" s="5" t="s">
        <v>2848</v>
      </c>
      <c r="C1477" s="1" t="str">
        <f t="shared" si="1"/>
        <v/>
      </c>
      <c r="E1477" s="5" t="s">
        <v>2848</v>
      </c>
      <c r="F1477" s="6" t="str">
        <f t="shared" si="2"/>
        <v>#N/A</v>
      </c>
      <c r="G1477" s="1" t="str">
        <f t="shared" si="3"/>
        <v/>
      </c>
      <c r="H1477" s="5" t="str">
        <f t="shared" si="4"/>
        <v>5, 15, KRABBY</v>
      </c>
    </row>
    <row r="1478" ht="12.75" customHeight="1">
      <c r="A1478" s="4" t="s">
        <v>2851</v>
      </c>
      <c r="B1478" s="5" t="s">
        <v>2851</v>
      </c>
      <c r="C1478" s="1" t="str">
        <f t="shared" si="1"/>
        <v/>
      </c>
      <c r="E1478" s="5" t="s">
        <v>2851</v>
      </c>
      <c r="F1478" s="6" t="str">
        <f t="shared" si="2"/>
        <v>#N/A</v>
      </c>
      <c r="G1478" s="1" t="str">
        <f t="shared" si="3"/>
        <v/>
      </c>
      <c r="H1478" s="5" t="str">
        <f t="shared" si="4"/>
        <v>super rod:</v>
      </c>
    </row>
    <row r="1479" ht="12.75" customHeight="1">
      <c r="A1479" s="4" t="s">
        <v>2852</v>
      </c>
      <c r="B1479" s="5" t="s">
        <v>2852</v>
      </c>
      <c r="C1479" s="1" t="str">
        <f t="shared" si="1"/>
        <v/>
      </c>
      <c r="E1479" s="5" t="s">
        <v>2852</v>
      </c>
      <c r="F1479" s="6" t="str">
        <f t="shared" si="2"/>
        <v>#N/A</v>
      </c>
      <c r="G1479" s="1" t="str">
        <f t="shared" si="3"/>
        <v/>
      </c>
      <c r="H1479" s="5" t="str">
        <f t="shared" si="4"/>
        <v>15, 25, KRABBY</v>
      </c>
    </row>
    <row r="1480" ht="12.75" customHeight="1">
      <c r="A1480" s="4" t="s">
        <v>2852</v>
      </c>
      <c r="B1480" s="5" t="s">
        <v>2852</v>
      </c>
      <c r="C1480" s="1" t="str">
        <f t="shared" si="1"/>
        <v/>
      </c>
      <c r="E1480" s="5" t="s">
        <v>2852</v>
      </c>
      <c r="F1480" s="6" t="str">
        <f t="shared" si="2"/>
        <v>#N/A</v>
      </c>
      <c r="G1480" s="1" t="str">
        <f t="shared" si="3"/>
        <v/>
      </c>
      <c r="H1480" s="5" t="str">
        <f t="shared" si="4"/>
        <v>15, 25, KRABBY</v>
      </c>
    </row>
    <row r="1481" ht="12.75" customHeight="1">
      <c r="A1481" s="4" t="s">
        <v>2854</v>
      </c>
      <c r="B1481" s="5" t="s">
        <v>2854</v>
      </c>
      <c r="C1481" s="1" t="str">
        <f t="shared" si="1"/>
        <v/>
      </c>
      <c r="E1481" s="5" t="s">
        <v>2854</v>
      </c>
      <c r="F1481" s="6" t="str">
        <f t="shared" si="2"/>
        <v>#N/A</v>
      </c>
      <c r="G1481" s="1" t="str">
        <f t="shared" si="3"/>
        <v/>
      </c>
      <c r="H1481" s="5" t="str">
        <f t="shared" si="4"/>
        <v>15, 25, GYARADOS</v>
      </c>
    </row>
    <row r="1482" ht="12.75" customHeight="1">
      <c r="A1482" s="4" t="s">
        <v>3178</v>
      </c>
      <c r="B1482" s="5" t="s">
        <v>3178</v>
      </c>
      <c r="C1482" s="1" t="str">
        <f t="shared" si="1"/>
        <v/>
      </c>
      <c r="E1482" s="5" t="s">
        <v>3178</v>
      </c>
      <c r="F1482" s="6" t="str">
        <f t="shared" si="2"/>
        <v>#N/A</v>
      </c>
      <c r="G1482" s="1" t="str">
        <f t="shared" si="3"/>
        <v/>
      </c>
      <c r="H1482" s="5" t="str">
        <f t="shared" si="4"/>
        <v>25, 35, KINGLER</v>
      </c>
    </row>
    <row r="1483" ht="12.75" customHeight="1">
      <c r="A1483" s="4" t="s">
        <v>2856</v>
      </c>
      <c r="B1483" s="5" t="s">
        <v>2856</v>
      </c>
      <c r="C1483" s="1" t="str">
        <f t="shared" si="1"/>
        <v/>
      </c>
      <c r="E1483" s="5" t="s">
        <v>2856</v>
      </c>
      <c r="F1483" s="6" t="str">
        <f t="shared" si="2"/>
        <v>#N/A</v>
      </c>
      <c r="G1483" s="1" t="str">
        <f t="shared" si="3"/>
        <v/>
      </c>
      <c r="H1483" s="5" t="str">
        <f t="shared" si="4"/>
        <v>25, 35, SLOWPOKE</v>
      </c>
    </row>
    <row r="1484" ht="12.75" customHeight="1">
      <c r="A1484" s="4" t="s">
        <v>2539</v>
      </c>
      <c r="B1484" s="5" t="s">
        <v>2539</v>
      </c>
      <c r="C1484" s="1">
        <f t="shared" si="1"/>
        <v>1</v>
      </c>
      <c r="E1484" s="5" t="s">
        <v>2539</v>
      </c>
      <c r="F1484" s="6" t="str">
        <f t="shared" si="2"/>
        <v>#N/A</v>
      </c>
      <c r="G1484" s="1" t="str">
        <f t="shared" si="3"/>
        <v/>
      </c>
      <c r="H1484" s="5" t="str">
        <f t="shared" si="4"/>
        <v>NEW ROUTE</v>
      </c>
    </row>
    <row r="1485" ht="12.75" customHeight="1">
      <c r="A1485" s="4" t="s">
        <v>2157</v>
      </c>
      <c r="B1485" s="5" t="s">
        <v>2157</v>
      </c>
      <c r="C1485" s="1" t="str">
        <f t="shared" si="1"/>
        <v/>
      </c>
      <c r="E1485" s="5" t="s">
        <v>2157</v>
      </c>
      <c r="F1485" s="6" t="str">
        <f t="shared" si="2"/>
        <v>One Island Treasure Beach</v>
      </c>
      <c r="G1485" s="1" t="str">
        <f t="shared" si="3"/>
        <v>One Island Treasure Beach</v>
      </c>
      <c r="H1485" s="5" t="str">
        <f t="shared" si="4"/>
        <v>One Island Treasure Beach</v>
      </c>
    </row>
    <row r="1486" ht="12.75" customHeight="1">
      <c r="A1486" s="4" t="s">
        <v>2799</v>
      </c>
      <c r="B1486" s="5">
        <v>0.2</v>
      </c>
      <c r="C1486" s="1" t="str">
        <f t="shared" si="1"/>
        <v/>
      </c>
      <c r="E1486" s="5">
        <v>0.2</v>
      </c>
      <c r="F1486" s="6" t="str">
        <f t="shared" si="2"/>
        <v>#N/A</v>
      </c>
      <c r="G1486" s="1" t="str">
        <f t="shared" si="3"/>
        <v/>
      </c>
      <c r="H1486" s="5">
        <f t="shared" si="4"/>
        <v>0.2</v>
      </c>
    </row>
    <row r="1487" ht="12.75" customHeight="1">
      <c r="A1487" s="4" t="s">
        <v>817</v>
      </c>
      <c r="B1487" s="5" t="s">
        <v>817</v>
      </c>
      <c r="C1487" s="1" t="str">
        <f t="shared" si="1"/>
        <v/>
      </c>
      <c r="E1487" s="5" t="s">
        <v>817</v>
      </c>
      <c r="F1487" s="6" t="str">
        <f t="shared" si="2"/>
        <v>#N/A</v>
      </c>
      <c r="G1487" s="1" t="str">
        <f t="shared" si="3"/>
        <v/>
      </c>
      <c r="H1487" s="5" t="str">
        <f t="shared" si="4"/>
        <v>32, 32, SPEAROW</v>
      </c>
    </row>
    <row r="1488" ht="12.75" customHeight="1">
      <c r="A1488" s="4" t="s">
        <v>3236</v>
      </c>
      <c r="B1488" s="5" t="s">
        <v>3236</v>
      </c>
      <c r="C1488" s="1" t="str">
        <f t="shared" si="1"/>
        <v/>
      </c>
      <c r="E1488" s="5" t="s">
        <v>3236</v>
      </c>
      <c r="F1488" s="6" t="str">
        <f t="shared" si="2"/>
        <v>#N/A</v>
      </c>
      <c r="G1488" s="1" t="str">
        <f t="shared" si="3"/>
        <v/>
      </c>
      <c r="H1488" s="5" t="str">
        <f t="shared" si="4"/>
        <v>33, 33, TANGELA</v>
      </c>
    </row>
    <row r="1489" ht="12.75" customHeight="1">
      <c r="A1489" s="4" t="s">
        <v>2802</v>
      </c>
      <c r="B1489" s="5">
        <v>0.1</v>
      </c>
      <c r="C1489" s="1" t="str">
        <f t="shared" si="1"/>
        <v/>
      </c>
      <c r="E1489" s="5">
        <v>0.1</v>
      </c>
      <c r="F1489" s="6" t="str">
        <f t="shared" si="2"/>
        <v>#N/A</v>
      </c>
      <c r="G1489" s="1" t="str">
        <f t="shared" si="3"/>
        <v/>
      </c>
      <c r="H1489" s="5">
        <f t="shared" si="4"/>
        <v>0.1</v>
      </c>
    </row>
    <row r="1490" ht="12.75" customHeight="1">
      <c r="A1490" s="4" t="s">
        <v>838</v>
      </c>
      <c r="B1490" s="5" t="s">
        <v>838</v>
      </c>
      <c r="C1490" s="1" t="str">
        <f t="shared" si="1"/>
        <v/>
      </c>
      <c r="E1490" s="5" t="s">
        <v>838</v>
      </c>
      <c r="F1490" s="6" t="str">
        <f t="shared" si="2"/>
        <v>#N/A</v>
      </c>
      <c r="G1490" s="1" t="str">
        <f t="shared" si="3"/>
        <v/>
      </c>
      <c r="H1490" s="5" t="str">
        <f t="shared" si="4"/>
        <v>31, 31, SPEAROW</v>
      </c>
    </row>
    <row r="1491" ht="12.75" customHeight="1">
      <c r="A1491" s="4" t="s">
        <v>3237</v>
      </c>
      <c r="B1491" s="5" t="s">
        <v>3237</v>
      </c>
      <c r="C1491" s="1" t="str">
        <f t="shared" si="1"/>
        <v/>
      </c>
      <c r="E1491" s="5" t="s">
        <v>3237</v>
      </c>
      <c r="F1491" s="6" t="str">
        <f t="shared" si="2"/>
        <v>#N/A</v>
      </c>
      <c r="G1491" s="1" t="str">
        <f t="shared" si="3"/>
        <v/>
      </c>
      <c r="H1491" s="5" t="str">
        <f t="shared" si="4"/>
        <v>35, 35, TANGELA</v>
      </c>
    </row>
    <row r="1492" ht="12.75" customHeight="1">
      <c r="A1492" s="4" t="s">
        <v>3223</v>
      </c>
      <c r="B1492" s="5" t="s">
        <v>3223</v>
      </c>
      <c r="C1492" s="1" t="str">
        <f t="shared" si="1"/>
        <v/>
      </c>
      <c r="E1492" s="5" t="s">
        <v>3223</v>
      </c>
      <c r="F1492" s="6" t="str">
        <f t="shared" si="2"/>
        <v>#N/A</v>
      </c>
      <c r="G1492" s="1" t="str">
        <f t="shared" si="3"/>
        <v/>
      </c>
      <c r="H1492" s="5" t="str">
        <f t="shared" si="4"/>
        <v>36, 36, FEAROW</v>
      </c>
    </row>
    <row r="1493" ht="12.75" customHeight="1">
      <c r="A1493" s="4" t="s">
        <v>3225</v>
      </c>
      <c r="B1493" s="5" t="s">
        <v>3225</v>
      </c>
      <c r="C1493" s="1" t="str">
        <f t="shared" si="1"/>
        <v/>
      </c>
      <c r="E1493" s="5" t="s">
        <v>3225</v>
      </c>
      <c r="F1493" s="6" t="str">
        <f t="shared" si="2"/>
        <v>#N/A</v>
      </c>
      <c r="G1493" s="1" t="str">
        <f t="shared" si="3"/>
        <v/>
      </c>
      <c r="H1493" s="5" t="str">
        <f t="shared" si="4"/>
        <v>31, 31, MEOWTH</v>
      </c>
    </row>
    <row r="1494" ht="12.75" customHeight="1">
      <c r="A1494" s="4" t="s">
        <v>2807</v>
      </c>
      <c r="B1494" s="5">
        <v>0.05</v>
      </c>
      <c r="C1494" s="1" t="str">
        <f t="shared" si="1"/>
        <v/>
      </c>
      <c r="E1494" s="5">
        <v>0.05</v>
      </c>
      <c r="F1494" s="6" t="str">
        <f t="shared" si="2"/>
        <v>#N/A</v>
      </c>
      <c r="G1494" s="1" t="str">
        <f t="shared" si="3"/>
        <v/>
      </c>
      <c r="H1494" s="5">
        <f t="shared" si="4"/>
        <v>0.05</v>
      </c>
    </row>
    <row r="1495" ht="12.75" customHeight="1">
      <c r="A1495" s="4" t="s">
        <v>3071</v>
      </c>
      <c r="B1495" s="5" t="s">
        <v>3071</v>
      </c>
      <c r="C1495" s="1" t="str">
        <f t="shared" si="1"/>
        <v/>
      </c>
      <c r="E1495" s="5" t="s">
        <v>3071</v>
      </c>
      <c r="F1495" s="6" t="str">
        <f t="shared" si="2"/>
        <v>#N/A</v>
      </c>
      <c r="G1495" s="1" t="str">
        <f t="shared" si="3"/>
        <v/>
      </c>
      <c r="H1495" s="5" t="str">
        <f t="shared" si="4"/>
        <v>38, 38, FEAROW</v>
      </c>
    </row>
    <row r="1496" ht="12.75" customHeight="1">
      <c r="A1496" s="4" t="s">
        <v>3134</v>
      </c>
      <c r="B1496" s="5" t="s">
        <v>3134</v>
      </c>
      <c r="C1496" s="1" t="str">
        <f t="shared" si="1"/>
        <v/>
      </c>
      <c r="E1496" s="5" t="s">
        <v>3134</v>
      </c>
      <c r="F1496" s="6" t="str">
        <f t="shared" si="2"/>
        <v>#N/A</v>
      </c>
      <c r="G1496" s="1" t="str">
        <f t="shared" si="3"/>
        <v/>
      </c>
      <c r="H1496" s="5" t="str">
        <f t="shared" si="4"/>
        <v>31, 31, SLOWPOKE</v>
      </c>
    </row>
    <row r="1497" ht="12.75" customHeight="1">
      <c r="A1497" s="4" t="s">
        <v>2810</v>
      </c>
      <c r="B1497" s="5">
        <v>0.04</v>
      </c>
      <c r="C1497" s="1" t="str">
        <f t="shared" si="1"/>
        <v/>
      </c>
      <c r="E1497" s="5">
        <v>0.04</v>
      </c>
      <c r="F1497" s="6" t="str">
        <f t="shared" si="2"/>
        <v>#N/A</v>
      </c>
      <c r="G1497" s="1" t="str">
        <f t="shared" si="3"/>
        <v/>
      </c>
      <c r="H1497" s="5">
        <f t="shared" si="4"/>
        <v>0.04</v>
      </c>
    </row>
    <row r="1498" ht="12.75" customHeight="1">
      <c r="A1498" s="4" t="s">
        <v>3075</v>
      </c>
      <c r="B1498" s="5" t="s">
        <v>3075</v>
      </c>
      <c r="C1498" s="1" t="str">
        <f t="shared" si="1"/>
        <v/>
      </c>
      <c r="E1498" s="5" t="s">
        <v>3075</v>
      </c>
      <c r="F1498" s="6" t="str">
        <f t="shared" si="2"/>
        <v>#N/A</v>
      </c>
      <c r="G1498" s="1" t="str">
        <f t="shared" si="3"/>
        <v/>
      </c>
      <c r="H1498" s="5" t="str">
        <f t="shared" si="4"/>
        <v>40, 40, FEAROW</v>
      </c>
    </row>
    <row r="1499" ht="12.75" customHeight="1">
      <c r="A1499" s="4" t="s">
        <v>3229</v>
      </c>
      <c r="B1499" s="5" t="s">
        <v>3229</v>
      </c>
      <c r="C1499" s="1" t="str">
        <f t="shared" si="1"/>
        <v/>
      </c>
      <c r="E1499" s="5" t="s">
        <v>3229</v>
      </c>
      <c r="F1499" s="6" t="str">
        <f t="shared" si="2"/>
        <v>#N/A</v>
      </c>
      <c r="G1499" s="1" t="str">
        <f t="shared" si="3"/>
        <v/>
      </c>
      <c r="H1499" s="5" t="str">
        <f t="shared" si="4"/>
        <v>37, 37, PERSIAN</v>
      </c>
    </row>
    <row r="1500" ht="12.75" customHeight="1">
      <c r="A1500" s="4" t="s">
        <v>2813</v>
      </c>
      <c r="B1500" s="5">
        <v>0.01</v>
      </c>
      <c r="C1500" s="1" t="str">
        <f t="shared" si="1"/>
        <v/>
      </c>
      <c r="E1500" s="5">
        <v>0.01</v>
      </c>
      <c r="F1500" s="6" t="str">
        <f t="shared" si="2"/>
        <v>#N/A</v>
      </c>
      <c r="G1500" s="1" t="str">
        <f t="shared" si="3"/>
        <v/>
      </c>
      <c r="H1500" s="5">
        <f t="shared" si="4"/>
        <v>0.01</v>
      </c>
    </row>
    <row r="1501" ht="12.75" customHeight="1">
      <c r="A1501" s="4" t="s">
        <v>3075</v>
      </c>
      <c r="B1501" s="5" t="s">
        <v>3075</v>
      </c>
      <c r="C1501" s="1" t="str">
        <f t="shared" si="1"/>
        <v/>
      </c>
      <c r="E1501" s="5" t="s">
        <v>3075</v>
      </c>
      <c r="F1501" s="6" t="str">
        <f t="shared" si="2"/>
        <v>#N/A</v>
      </c>
      <c r="G1501" s="1" t="str">
        <f t="shared" si="3"/>
        <v/>
      </c>
      <c r="H1501" s="5" t="str">
        <f t="shared" si="4"/>
        <v>40, 40, FEAROW</v>
      </c>
    </row>
    <row r="1502" ht="12.75" customHeight="1">
      <c r="A1502" s="4" t="s">
        <v>3231</v>
      </c>
      <c r="B1502" s="5" t="s">
        <v>3231</v>
      </c>
      <c r="C1502" s="1" t="str">
        <f t="shared" si="1"/>
        <v/>
      </c>
      <c r="E1502" s="5" t="s">
        <v>3231</v>
      </c>
      <c r="F1502" s="6" t="str">
        <f t="shared" si="2"/>
        <v>#N/A</v>
      </c>
      <c r="G1502" s="1" t="str">
        <f t="shared" si="3"/>
        <v/>
      </c>
      <c r="H1502" s="5" t="str">
        <f t="shared" si="4"/>
        <v>40, 40, PERSIAN</v>
      </c>
    </row>
    <row r="1503" ht="12.75" customHeight="1">
      <c r="A1503" s="4" t="s">
        <v>3173</v>
      </c>
      <c r="B1503" s="5" t="s">
        <v>3173</v>
      </c>
      <c r="C1503" s="1" t="str">
        <f t="shared" si="1"/>
        <v/>
      </c>
      <c r="E1503" s="5" t="s">
        <v>3173</v>
      </c>
      <c r="F1503" s="6" t="str">
        <f t="shared" si="2"/>
        <v>#N/A</v>
      </c>
      <c r="G1503" s="1" t="str">
        <f t="shared" si="3"/>
        <v/>
      </c>
      <c r="H1503" s="5" t="str">
        <f t="shared" si="4"/>
        <v>2, 5, 20, TENTACOOL</v>
      </c>
    </row>
    <row r="1504" ht="12.75" customHeight="1">
      <c r="A1504" s="4" t="s">
        <v>3174</v>
      </c>
      <c r="B1504" s="5" t="s">
        <v>3174</v>
      </c>
      <c r="C1504" s="1" t="str">
        <f t="shared" si="1"/>
        <v/>
      </c>
      <c r="E1504" s="5" t="s">
        <v>3174</v>
      </c>
      <c r="F1504" s="6" t="str">
        <f t="shared" si="2"/>
        <v>#N/A</v>
      </c>
      <c r="G1504" s="1" t="str">
        <f t="shared" si="3"/>
        <v/>
      </c>
      <c r="H1504" s="5" t="str">
        <f t="shared" si="4"/>
        <v>20, 35, TENTACOOL</v>
      </c>
    </row>
    <row r="1505" ht="12.75" customHeight="1">
      <c r="A1505" s="4" t="s">
        <v>2845</v>
      </c>
      <c r="B1505" s="5" t="s">
        <v>2845</v>
      </c>
      <c r="C1505" s="1" t="str">
        <f t="shared" si="1"/>
        <v/>
      </c>
      <c r="E1505" s="5" t="s">
        <v>2845</v>
      </c>
      <c r="F1505" s="6" t="str">
        <f t="shared" si="2"/>
        <v>#N/A</v>
      </c>
      <c r="G1505" s="1" t="str">
        <f t="shared" si="3"/>
        <v/>
      </c>
      <c r="H1505" s="5" t="str">
        <f t="shared" si="4"/>
        <v>35, 40, TENTACOOL</v>
      </c>
    </row>
    <row r="1506" ht="12.75" customHeight="1">
      <c r="A1506" s="4" t="s">
        <v>3232</v>
      </c>
      <c r="B1506" s="5" t="s">
        <v>3232</v>
      </c>
      <c r="C1506" s="1" t="str">
        <f t="shared" si="1"/>
        <v/>
      </c>
      <c r="E1506" s="5" t="s">
        <v>3232</v>
      </c>
      <c r="F1506" s="6" t="str">
        <f t="shared" si="2"/>
        <v>#N/A</v>
      </c>
      <c r="G1506" s="1" t="str">
        <f t="shared" si="3"/>
        <v/>
      </c>
      <c r="H1506" s="5" t="str">
        <f t="shared" si="4"/>
        <v>35, 40, TENTACRUEL</v>
      </c>
    </row>
    <row r="1507" ht="12.75" customHeight="1">
      <c r="A1507" s="4" t="s">
        <v>3232</v>
      </c>
      <c r="B1507" s="5" t="s">
        <v>3232</v>
      </c>
      <c r="C1507" s="1" t="str">
        <f t="shared" si="1"/>
        <v/>
      </c>
      <c r="E1507" s="5" t="s">
        <v>3232</v>
      </c>
      <c r="F1507" s="6" t="str">
        <f t="shared" si="2"/>
        <v>#N/A</v>
      </c>
      <c r="G1507" s="1" t="str">
        <f t="shared" si="3"/>
        <v/>
      </c>
      <c r="H1507" s="5" t="str">
        <f t="shared" si="4"/>
        <v>35, 40, TENTACRUEL</v>
      </c>
    </row>
    <row r="1508" ht="12.75" customHeight="1">
      <c r="A1508" s="4" t="s">
        <v>2926</v>
      </c>
      <c r="B1508" s="5" t="s">
        <v>2926</v>
      </c>
      <c r="C1508" s="1" t="str">
        <f t="shared" si="1"/>
        <v/>
      </c>
      <c r="E1508" s="5" t="s">
        <v>2926</v>
      </c>
      <c r="F1508" s="6" t="str">
        <f t="shared" si="2"/>
        <v>#N/A</v>
      </c>
      <c r="G1508" s="1" t="str">
        <f t="shared" si="3"/>
        <v/>
      </c>
      <c r="H1508" s="5" t="str">
        <f t="shared" si="4"/>
        <v>20, old rod:</v>
      </c>
    </row>
    <row r="1509" ht="12.75" customHeight="1">
      <c r="A1509" s="4" t="s">
        <v>417</v>
      </c>
      <c r="B1509" s="5" t="s">
        <v>417</v>
      </c>
      <c r="C1509" s="1" t="str">
        <f t="shared" si="1"/>
        <v/>
      </c>
      <c r="E1509" s="5" t="s">
        <v>417</v>
      </c>
      <c r="F1509" s="6" t="str">
        <f t="shared" si="2"/>
        <v>#N/A</v>
      </c>
      <c r="G1509" s="1" t="str">
        <f t="shared" si="3"/>
        <v/>
      </c>
      <c r="H1509" s="5" t="str">
        <f t="shared" si="4"/>
        <v>5, 5, MAGIKARP</v>
      </c>
    </row>
    <row r="1510" ht="12.75" customHeight="1">
      <c r="A1510" s="4" t="s">
        <v>417</v>
      </c>
      <c r="B1510" s="5" t="s">
        <v>417</v>
      </c>
      <c r="C1510" s="1" t="str">
        <f t="shared" si="1"/>
        <v/>
      </c>
      <c r="E1510" s="5" t="s">
        <v>417</v>
      </c>
      <c r="F1510" s="6" t="str">
        <f t="shared" si="2"/>
        <v>#N/A</v>
      </c>
      <c r="G1510" s="1" t="str">
        <f t="shared" si="3"/>
        <v/>
      </c>
      <c r="H1510" s="5" t="str">
        <f t="shared" si="4"/>
        <v>5, 5, MAGIKARP</v>
      </c>
    </row>
    <row r="1511" ht="12.75" customHeight="1">
      <c r="A1511" s="4" t="s">
        <v>2847</v>
      </c>
      <c r="B1511" s="5" t="s">
        <v>2847</v>
      </c>
      <c r="C1511" s="1" t="str">
        <f t="shared" si="1"/>
        <v/>
      </c>
      <c r="E1511" s="5" t="s">
        <v>2847</v>
      </c>
      <c r="F1511" s="6" t="str">
        <f t="shared" si="2"/>
        <v>#N/A</v>
      </c>
      <c r="G1511" s="1" t="str">
        <f t="shared" si="3"/>
        <v/>
      </c>
      <c r="H1511" s="5" t="str">
        <f t="shared" si="4"/>
        <v>good rod:</v>
      </c>
    </row>
    <row r="1512" ht="12.75" customHeight="1">
      <c r="A1512" s="4" t="s">
        <v>2848</v>
      </c>
      <c r="B1512" s="5" t="s">
        <v>2848</v>
      </c>
      <c r="C1512" s="1" t="str">
        <f t="shared" si="1"/>
        <v/>
      </c>
      <c r="E1512" s="5" t="s">
        <v>2848</v>
      </c>
      <c r="F1512" s="6" t="str">
        <f t="shared" si="2"/>
        <v>#N/A</v>
      </c>
      <c r="G1512" s="1" t="str">
        <f t="shared" si="3"/>
        <v/>
      </c>
      <c r="H1512" s="5" t="str">
        <f t="shared" si="4"/>
        <v>5, 15, KRABBY</v>
      </c>
    </row>
    <row r="1513" ht="12.75" customHeight="1">
      <c r="A1513" s="4" t="s">
        <v>2849</v>
      </c>
      <c r="B1513" s="5" t="s">
        <v>2849</v>
      </c>
      <c r="C1513" s="1" t="str">
        <f t="shared" si="1"/>
        <v/>
      </c>
      <c r="E1513" s="5" t="s">
        <v>2849</v>
      </c>
      <c r="F1513" s="6" t="str">
        <f t="shared" si="2"/>
        <v>#N/A</v>
      </c>
      <c r="G1513" s="1" t="str">
        <f t="shared" si="3"/>
        <v/>
      </c>
      <c r="H1513" s="5" t="str">
        <f t="shared" si="4"/>
        <v>5, 15, MAGIKARP</v>
      </c>
    </row>
    <row r="1514" ht="12.75" customHeight="1">
      <c r="A1514" s="4" t="s">
        <v>2848</v>
      </c>
      <c r="B1514" s="5" t="s">
        <v>2848</v>
      </c>
      <c r="C1514" s="1" t="str">
        <f t="shared" si="1"/>
        <v/>
      </c>
      <c r="E1514" s="5" t="s">
        <v>2848</v>
      </c>
      <c r="F1514" s="6" t="str">
        <f t="shared" si="2"/>
        <v>#N/A</v>
      </c>
      <c r="G1514" s="1" t="str">
        <f t="shared" si="3"/>
        <v/>
      </c>
      <c r="H1514" s="5" t="str">
        <f t="shared" si="4"/>
        <v>5, 15, KRABBY</v>
      </c>
    </row>
    <row r="1515" ht="12.75" customHeight="1">
      <c r="A1515" s="4" t="s">
        <v>2851</v>
      </c>
      <c r="B1515" s="5" t="s">
        <v>2851</v>
      </c>
      <c r="C1515" s="1" t="str">
        <f t="shared" si="1"/>
        <v/>
      </c>
      <c r="E1515" s="5" t="s">
        <v>2851</v>
      </c>
      <c r="F1515" s="6" t="str">
        <f t="shared" si="2"/>
        <v>#N/A</v>
      </c>
      <c r="G1515" s="1" t="str">
        <f t="shared" si="3"/>
        <v/>
      </c>
      <c r="H1515" s="5" t="str">
        <f t="shared" si="4"/>
        <v>super rod:</v>
      </c>
    </row>
    <row r="1516" ht="12.75" customHeight="1">
      <c r="A1516" s="4" t="s">
        <v>2852</v>
      </c>
      <c r="B1516" s="5" t="s">
        <v>2852</v>
      </c>
      <c r="C1516" s="1" t="str">
        <f t="shared" si="1"/>
        <v/>
      </c>
      <c r="E1516" s="5" t="s">
        <v>2852</v>
      </c>
      <c r="F1516" s="6" t="str">
        <f t="shared" si="2"/>
        <v>#N/A</v>
      </c>
      <c r="G1516" s="1" t="str">
        <f t="shared" si="3"/>
        <v/>
      </c>
      <c r="H1516" s="5" t="str">
        <f t="shared" si="4"/>
        <v>15, 25, KRABBY</v>
      </c>
    </row>
    <row r="1517" ht="12.75" customHeight="1">
      <c r="A1517" s="4" t="s">
        <v>2852</v>
      </c>
      <c r="B1517" s="5" t="s">
        <v>2852</v>
      </c>
      <c r="C1517" s="1" t="str">
        <f t="shared" si="1"/>
        <v/>
      </c>
      <c r="E1517" s="5" t="s">
        <v>2852</v>
      </c>
      <c r="F1517" s="6" t="str">
        <f t="shared" si="2"/>
        <v>#N/A</v>
      </c>
      <c r="G1517" s="1" t="str">
        <f t="shared" si="3"/>
        <v/>
      </c>
      <c r="H1517" s="5" t="str">
        <f t="shared" si="4"/>
        <v>15, 25, KRABBY</v>
      </c>
    </row>
    <row r="1518" ht="12.75" customHeight="1">
      <c r="A1518" s="4" t="s">
        <v>2854</v>
      </c>
      <c r="B1518" s="5" t="s">
        <v>2854</v>
      </c>
      <c r="C1518" s="1" t="str">
        <f t="shared" si="1"/>
        <v/>
      </c>
      <c r="E1518" s="5" t="s">
        <v>2854</v>
      </c>
      <c r="F1518" s="6" t="str">
        <f t="shared" si="2"/>
        <v>#N/A</v>
      </c>
      <c r="G1518" s="1" t="str">
        <f t="shared" si="3"/>
        <v/>
      </c>
      <c r="H1518" s="5" t="str">
        <f t="shared" si="4"/>
        <v>15, 25, GYARADOS</v>
      </c>
    </row>
    <row r="1519" ht="12.75" customHeight="1">
      <c r="A1519" s="4" t="s">
        <v>3178</v>
      </c>
      <c r="B1519" s="5" t="s">
        <v>3178</v>
      </c>
      <c r="C1519" s="1" t="str">
        <f t="shared" si="1"/>
        <v/>
      </c>
      <c r="E1519" s="5" t="s">
        <v>3178</v>
      </c>
      <c r="F1519" s="6" t="str">
        <f t="shared" si="2"/>
        <v>#N/A</v>
      </c>
      <c r="G1519" s="1" t="str">
        <f t="shared" si="3"/>
        <v/>
      </c>
      <c r="H1519" s="5" t="str">
        <f t="shared" si="4"/>
        <v>25, 35, KINGLER</v>
      </c>
    </row>
    <row r="1520" ht="12.75" customHeight="1">
      <c r="A1520" s="4" t="s">
        <v>2856</v>
      </c>
      <c r="B1520" s="5" t="s">
        <v>2856</v>
      </c>
      <c r="C1520" s="1" t="str">
        <f t="shared" si="1"/>
        <v/>
      </c>
      <c r="E1520" s="5" t="s">
        <v>2856</v>
      </c>
      <c r="F1520" s="6" t="str">
        <f t="shared" si="2"/>
        <v>#N/A</v>
      </c>
      <c r="G1520" s="1" t="str">
        <f t="shared" si="3"/>
        <v/>
      </c>
      <c r="H1520" s="5" t="str">
        <f t="shared" si="4"/>
        <v>25, 35, SLOWPOKE</v>
      </c>
    </row>
    <row r="1521" ht="12.75" customHeight="1">
      <c r="A1521" s="4" t="s">
        <v>2539</v>
      </c>
      <c r="B1521" s="5" t="s">
        <v>2539</v>
      </c>
      <c r="C1521" s="1">
        <f t="shared" si="1"/>
        <v>1</v>
      </c>
      <c r="E1521" s="5" t="s">
        <v>2539</v>
      </c>
      <c r="F1521" s="6" t="str">
        <f t="shared" si="2"/>
        <v>#N/A</v>
      </c>
      <c r="G1521" s="1" t="str">
        <f t="shared" si="3"/>
        <v/>
      </c>
      <c r="H1521" s="5" t="str">
        <f t="shared" si="4"/>
        <v>NEW ROUTE</v>
      </c>
    </row>
    <row r="1522" ht="12.75" customHeight="1">
      <c r="A1522" s="4" t="s">
        <v>2159</v>
      </c>
      <c r="B1522" s="5" t="s">
        <v>2159</v>
      </c>
      <c r="C1522" s="1" t="str">
        <f t="shared" si="1"/>
        <v/>
      </c>
      <c r="E1522" s="5" t="s">
        <v>2159</v>
      </c>
      <c r="F1522" s="6" t="str">
        <f t="shared" si="2"/>
        <v>Two Island Cape Brink</v>
      </c>
      <c r="G1522" s="1" t="str">
        <f t="shared" si="3"/>
        <v>Two Island Cape Brink</v>
      </c>
      <c r="H1522" s="5" t="str">
        <f t="shared" si="4"/>
        <v>Two Island Cape Brink</v>
      </c>
    </row>
    <row r="1523" ht="12.75" customHeight="1">
      <c r="A1523" s="4" t="s">
        <v>2799</v>
      </c>
      <c r="B1523" s="5">
        <v>0.2</v>
      </c>
      <c r="C1523" s="1" t="str">
        <f t="shared" si="1"/>
        <v/>
      </c>
      <c r="E1523" s="5">
        <v>0.2</v>
      </c>
      <c r="F1523" s="6" t="str">
        <f t="shared" si="2"/>
        <v>#N/A</v>
      </c>
      <c r="G1523" s="1" t="str">
        <f t="shared" si="3"/>
        <v/>
      </c>
      <c r="H1523" s="5">
        <f t="shared" si="4"/>
        <v>0.2</v>
      </c>
    </row>
    <row r="1524" ht="12.75" customHeight="1">
      <c r="A1524" s="4" t="s">
        <v>838</v>
      </c>
      <c r="B1524" s="5" t="s">
        <v>838</v>
      </c>
      <c r="C1524" s="1" t="str">
        <f t="shared" si="1"/>
        <v/>
      </c>
      <c r="E1524" s="5" t="s">
        <v>838</v>
      </c>
      <c r="F1524" s="6" t="str">
        <f t="shared" si="2"/>
        <v>#N/A</v>
      </c>
      <c r="G1524" s="1" t="str">
        <f t="shared" si="3"/>
        <v/>
      </c>
      <c r="H1524" s="5" t="str">
        <f t="shared" si="4"/>
        <v>31, 31, SPEAROW</v>
      </c>
    </row>
    <row r="1525" ht="12.75" customHeight="1">
      <c r="A1525" s="4" t="s">
        <v>3130</v>
      </c>
      <c r="B1525" s="5" t="s">
        <v>3130</v>
      </c>
      <c r="C1525" s="1" t="str">
        <f t="shared" si="1"/>
        <v/>
      </c>
      <c r="E1525" s="5" t="s">
        <v>3130</v>
      </c>
      <c r="F1525" s="6" t="str">
        <f t="shared" si="2"/>
        <v>#N/A</v>
      </c>
      <c r="G1525" s="1" t="str">
        <f t="shared" si="3"/>
        <v/>
      </c>
      <c r="H1525" s="5" t="str">
        <f t="shared" si="4"/>
        <v>30, 30, BELLSPROUT</v>
      </c>
    </row>
    <row r="1526" ht="12.75" customHeight="1">
      <c r="A1526" s="4" t="s">
        <v>2802</v>
      </c>
      <c r="B1526" s="5">
        <v>0.1</v>
      </c>
      <c r="C1526" s="1" t="str">
        <f t="shared" si="1"/>
        <v/>
      </c>
      <c r="E1526" s="5">
        <v>0.1</v>
      </c>
      <c r="F1526" s="6" t="str">
        <f t="shared" si="2"/>
        <v>#N/A</v>
      </c>
      <c r="G1526" s="1" t="str">
        <f t="shared" si="3"/>
        <v/>
      </c>
      <c r="H1526" s="5">
        <f t="shared" si="4"/>
        <v>0.1</v>
      </c>
    </row>
    <row r="1527" ht="12.75" customHeight="1">
      <c r="A1527" s="4" t="s">
        <v>3239</v>
      </c>
      <c r="B1527" s="5" t="s">
        <v>3239</v>
      </c>
      <c r="C1527" s="1" t="str">
        <f t="shared" si="1"/>
        <v/>
      </c>
      <c r="E1527" s="5" t="s">
        <v>3239</v>
      </c>
      <c r="F1527" s="6" t="str">
        <f t="shared" si="2"/>
        <v>#N/A</v>
      </c>
      <c r="G1527" s="1" t="str">
        <f t="shared" si="3"/>
        <v/>
      </c>
      <c r="H1527" s="5" t="str">
        <f t="shared" si="4"/>
        <v>32, 32, BELLSPROUT</v>
      </c>
    </row>
    <row r="1528" ht="12.75" customHeight="1">
      <c r="A1528" s="4" t="s">
        <v>3240</v>
      </c>
      <c r="B1528" s="5" t="s">
        <v>3240</v>
      </c>
      <c r="C1528" s="1" t="str">
        <f t="shared" si="1"/>
        <v/>
      </c>
      <c r="E1528" s="5" t="s">
        <v>3240</v>
      </c>
      <c r="F1528" s="6" t="str">
        <f t="shared" si="2"/>
        <v>#N/A</v>
      </c>
      <c r="G1528" s="1" t="str">
        <f t="shared" si="3"/>
        <v/>
      </c>
      <c r="H1528" s="5" t="str">
        <f t="shared" si="4"/>
        <v>36, 36, WEEPINBELL</v>
      </c>
    </row>
    <row r="1529" ht="12.75" customHeight="1">
      <c r="A1529" s="4" t="s">
        <v>3223</v>
      </c>
      <c r="B1529" s="5" t="s">
        <v>3223</v>
      </c>
      <c r="C1529" s="1" t="str">
        <f t="shared" si="1"/>
        <v/>
      </c>
      <c r="E1529" s="5" t="s">
        <v>3223</v>
      </c>
      <c r="F1529" s="6" t="str">
        <f t="shared" si="2"/>
        <v>#N/A</v>
      </c>
      <c r="G1529" s="1" t="str">
        <f t="shared" si="3"/>
        <v/>
      </c>
      <c r="H1529" s="5" t="str">
        <f t="shared" si="4"/>
        <v>36, 36, FEAROW</v>
      </c>
    </row>
    <row r="1530" ht="12.75" customHeight="1">
      <c r="A1530" s="4" t="s">
        <v>3225</v>
      </c>
      <c r="B1530" s="5" t="s">
        <v>3225</v>
      </c>
      <c r="C1530" s="1" t="str">
        <f t="shared" si="1"/>
        <v/>
      </c>
      <c r="E1530" s="5" t="s">
        <v>3225</v>
      </c>
      <c r="F1530" s="6" t="str">
        <f t="shared" si="2"/>
        <v>#N/A</v>
      </c>
      <c r="G1530" s="1" t="str">
        <f t="shared" si="3"/>
        <v/>
      </c>
      <c r="H1530" s="5" t="str">
        <f t="shared" si="4"/>
        <v>31, 31, MEOWTH</v>
      </c>
    </row>
    <row r="1531" ht="12.75" customHeight="1">
      <c r="A1531" s="4" t="s">
        <v>2807</v>
      </c>
      <c r="B1531" s="5">
        <v>0.05</v>
      </c>
      <c r="C1531" s="1" t="str">
        <f t="shared" si="1"/>
        <v/>
      </c>
      <c r="E1531" s="5">
        <v>0.05</v>
      </c>
      <c r="F1531" s="6" t="str">
        <f t="shared" si="2"/>
        <v>#N/A</v>
      </c>
      <c r="G1531" s="1" t="str">
        <f t="shared" si="3"/>
        <v/>
      </c>
      <c r="H1531" s="5">
        <f t="shared" si="4"/>
        <v>0.05</v>
      </c>
    </row>
    <row r="1532" ht="12.75" customHeight="1">
      <c r="A1532" s="4" t="s">
        <v>3241</v>
      </c>
      <c r="B1532" s="5" t="s">
        <v>3241</v>
      </c>
      <c r="C1532" s="1" t="str">
        <f t="shared" si="1"/>
        <v/>
      </c>
      <c r="E1532" s="5" t="s">
        <v>3241</v>
      </c>
      <c r="F1532" s="6" t="str">
        <f t="shared" si="2"/>
        <v>#N/A</v>
      </c>
      <c r="G1532" s="1" t="str">
        <f t="shared" si="3"/>
        <v/>
      </c>
      <c r="H1532" s="5" t="str">
        <f t="shared" si="4"/>
        <v>38, 38, WEEPINBELL</v>
      </c>
    </row>
    <row r="1533" ht="12.75" customHeight="1">
      <c r="A1533" s="4" t="s">
        <v>3134</v>
      </c>
      <c r="B1533" s="5" t="s">
        <v>3134</v>
      </c>
      <c r="C1533" s="1" t="str">
        <f t="shared" si="1"/>
        <v/>
      </c>
      <c r="E1533" s="5" t="s">
        <v>3134</v>
      </c>
      <c r="F1533" s="6" t="str">
        <f t="shared" si="2"/>
        <v>#N/A</v>
      </c>
      <c r="G1533" s="1" t="str">
        <f t="shared" si="3"/>
        <v/>
      </c>
      <c r="H1533" s="5" t="str">
        <f t="shared" si="4"/>
        <v>31, 31, SLOWPOKE</v>
      </c>
    </row>
    <row r="1534" ht="12.75" customHeight="1">
      <c r="A1534" s="4" t="s">
        <v>2810</v>
      </c>
      <c r="B1534" s="5">
        <v>0.04</v>
      </c>
      <c r="C1534" s="1" t="str">
        <f t="shared" si="1"/>
        <v/>
      </c>
      <c r="E1534" s="5">
        <v>0.04</v>
      </c>
      <c r="F1534" s="6" t="str">
        <f t="shared" si="2"/>
        <v>#N/A</v>
      </c>
      <c r="G1534" s="1" t="str">
        <f t="shared" si="3"/>
        <v/>
      </c>
      <c r="H1534" s="5">
        <f t="shared" si="4"/>
        <v>0.04</v>
      </c>
    </row>
    <row r="1535" ht="12.75" customHeight="1">
      <c r="A1535" s="4" t="s">
        <v>3242</v>
      </c>
      <c r="B1535" s="5" t="s">
        <v>3242</v>
      </c>
      <c r="C1535" s="1" t="str">
        <f t="shared" si="1"/>
        <v/>
      </c>
      <c r="E1535" s="5" t="s">
        <v>3242</v>
      </c>
      <c r="F1535" s="6" t="str">
        <f t="shared" si="2"/>
        <v>#N/A</v>
      </c>
      <c r="G1535" s="1" t="str">
        <f t="shared" si="3"/>
        <v/>
      </c>
      <c r="H1535" s="5" t="str">
        <f t="shared" si="4"/>
        <v>37, 37, SLOWBRO</v>
      </c>
    </row>
    <row r="1536" ht="12.75" customHeight="1">
      <c r="A1536" s="4" t="s">
        <v>3229</v>
      </c>
      <c r="B1536" s="5" t="s">
        <v>3229</v>
      </c>
      <c r="C1536" s="1" t="str">
        <f t="shared" si="1"/>
        <v/>
      </c>
      <c r="E1536" s="5" t="s">
        <v>3229</v>
      </c>
      <c r="F1536" s="6" t="str">
        <f t="shared" si="2"/>
        <v>#N/A</v>
      </c>
      <c r="G1536" s="1" t="str">
        <f t="shared" si="3"/>
        <v/>
      </c>
      <c r="H1536" s="5" t="str">
        <f t="shared" si="4"/>
        <v>37, 37, PERSIAN</v>
      </c>
    </row>
    <row r="1537" ht="12.75" customHeight="1">
      <c r="A1537" s="4" t="s">
        <v>2813</v>
      </c>
      <c r="B1537" s="5">
        <v>0.01</v>
      </c>
      <c r="C1537" s="1" t="str">
        <f t="shared" si="1"/>
        <v/>
      </c>
      <c r="E1537" s="5">
        <v>0.01</v>
      </c>
      <c r="F1537" s="6" t="str">
        <f t="shared" si="2"/>
        <v>#N/A</v>
      </c>
      <c r="G1537" s="1" t="str">
        <f t="shared" si="3"/>
        <v/>
      </c>
      <c r="H1537" s="5">
        <f t="shared" si="4"/>
        <v>0.01</v>
      </c>
    </row>
    <row r="1538" ht="12.75" customHeight="1">
      <c r="A1538" s="4" t="s">
        <v>3243</v>
      </c>
      <c r="B1538" s="5" t="s">
        <v>3243</v>
      </c>
      <c r="C1538" s="1" t="str">
        <f t="shared" si="1"/>
        <v/>
      </c>
      <c r="E1538" s="5" t="s">
        <v>3243</v>
      </c>
      <c r="F1538" s="6" t="str">
        <f t="shared" si="2"/>
        <v>#N/A</v>
      </c>
      <c r="G1538" s="1" t="str">
        <f t="shared" si="3"/>
        <v/>
      </c>
      <c r="H1538" s="5" t="str">
        <f t="shared" si="4"/>
        <v>40, 40, SLOWBRO</v>
      </c>
    </row>
    <row r="1539" ht="12.75" customHeight="1">
      <c r="A1539" s="4" t="s">
        <v>3231</v>
      </c>
      <c r="B1539" s="5" t="s">
        <v>3231</v>
      </c>
      <c r="C1539" s="1" t="str">
        <f t="shared" si="1"/>
        <v/>
      </c>
      <c r="E1539" s="5" t="s">
        <v>3231</v>
      </c>
      <c r="F1539" s="6" t="str">
        <f t="shared" si="2"/>
        <v>#N/A</v>
      </c>
      <c r="G1539" s="1" t="str">
        <f t="shared" si="3"/>
        <v/>
      </c>
      <c r="H1539" s="5" t="str">
        <f t="shared" si="4"/>
        <v>40, 40, PERSIAN</v>
      </c>
    </row>
    <row r="1540" ht="12.75" customHeight="1">
      <c r="A1540" s="4" t="s">
        <v>3139</v>
      </c>
      <c r="B1540" s="5" t="s">
        <v>3139</v>
      </c>
      <c r="C1540" s="1" t="str">
        <f t="shared" si="1"/>
        <v/>
      </c>
      <c r="E1540" s="5" t="s">
        <v>3139</v>
      </c>
      <c r="F1540" s="6" t="str">
        <f t="shared" si="2"/>
        <v>#N/A</v>
      </c>
      <c r="G1540" s="1" t="str">
        <f t="shared" si="3"/>
        <v/>
      </c>
      <c r="H1540" s="5" t="str">
        <f t="shared" si="4"/>
        <v>2, 5, 20, SLOWPOKE</v>
      </c>
    </row>
    <row r="1541" ht="12.75" customHeight="1">
      <c r="A1541" s="4" t="s">
        <v>3140</v>
      </c>
      <c r="B1541" s="5" t="s">
        <v>3140</v>
      </c>
      <c r="C1541" s="1" t="str">
        <f t="shared" si="1"/>
        <v/>
      </c>
      <c r="E1541" s="5" t="s">
        <v>3140</v>
      </c>
      <c r="F1541" s="6" t="str">
        <f t="shared" si="2"/>
        <v>#N/A</v>
      </c>
      <c r="G1541" s="1" t="str">
        <f t="shared" si="3"/>
        <v/>
      </c>
      <c r="H1541" s="5" t="str">
        <f t="shared" si="4"/>
        <v>20, 35, SLOWPOKE</v>
      </c>
    </row>
    <row r="1542" ht="12.75" customHeight="1">
      <c r="A1542" s="4" t="s">
        <v>3141</v>
      </c>
      <c r="B1542" s="5" t="s">
        <v>3141</v>
      </c>
      <c r="C1542" s="1" t="str">
        <f t="shared" si="1"/>
        <v/>
      </c>
      <c r="E1542" s="5" t="s">
        <v>3141</v>
      </c>
      <c r="F1542" s="6" t="str">
        <f t="shared" si="2"/>
        <v>#N/A</v>
      </c>
      <c r="G1542" s="1" t="str">
        <f t="shared" si="3"/>
        <v/>
      </c>
      <c r="H1542" s="5" t="str">
        <f t="shared" si="4"/>
        <v>35, 40, SLOWPOKE</v>
      </c>
    </row>
    <row r="1543" ht="12.75" customHeight="1">
      <c r="A1543" s="4" t="s">
        <v>3142</v>
      </c>
      <c r="B1543" s="5" t="s">
        <v>3142</v>
      </c>
      <c r="C1543" s="1" t="str">
        <f t="shared" si="1"/>
        <v/>
      </c>
      <c r="E1543" s="5" t="s">
        <v>3142</v>
      </c>
      <c r="F1543" s="6" t="str">
        <f t="shared" si="2"/>
        <v>#N/A</v>
      </c>
      <c r="G1543" s="1" t="str">
        <f t="shared" si="3"/>
        <v/>
      </c>
      <c r="H1543" s="5" t="str">
        <f t="shared" si="4"/>
        <v>35, 40, SLOWBRO</v>
      </c>
    </row>
    <row r="1544" ht="12.75" customHeight="1">
      <c r="A1544" s="4" t="s">
        <v>3142</v>
      </c>
      <c r="B1544" s="5" t="s">
        <v>3142</v>
      </c>
      <c r="C1544" s="1" t="str">
        <f t="shared" si="1"/>
        <v/>
      </c>
      <c r="E1544" s="5" t="s">
        <v>3142</v>
      </c>
      <c r="F1544" s="6" t="str">
        <f t="shared" si="2"/>
        <v>#N/A</v>
      </c>
      <c r="G1544" s="1" t="str">
        <f t="shared" si="3"/>
        <v/>
      </c>
      <c r="H1544" s="5" t="str">
        <f t="shared" si="4"/>
        <v>35, 40, SLOWBRO</v>
      </c>
    </row>
    <row r="1545" ht="12.75" customHeight="1">
      <c r="A1545" s="4" t="s">
        <v>2926</v>
      </c>
      <c r="B1545" s="5" t="s">
        <v>2926</v>
      </c>
      <c r="C1545" s="1" t="str">
        <f t="shared" si="1"/>
        <v/>
      </c>
      <c r="E1545" s="5" t="s">
        <v>2926</v>
      </c>
      <c r="F1545" s="6" t="str">
        <f t="shared" si="2"/>
        <v>#N/A</v>
      </c>
      <c r="G1545" s="1" t="str">
        <f t="shared" si="3"/>
        <v/>
      </c>
      <c r="H1545" s="5" t="str">
        <f t="shared" si="4"/>
        <v>20, old rod:</v>
      </c>
    </row>
    <row r="1546" ht="12.75" customHeight="1">
      <c r="A1546" s="4" t="s">
        <v>417</v>
      </c>
      <c r="B1546" s="5" t="s">
        <v>417</v>
      </c>
      <c r="C1546" s="1" t="str">
        <f t="shared" si="1"/>
        <v/>
      </c>
      <c r="E1546" s="5" t="s">
        <v>417</v>
      </c>
      <c r="F1546" s="6" t="str">
        <f t="shared" si="2"/>
        <v>#N/A</v>
      </c>
      <c r="G1546" s="1" t="str">
        <f t="shared" si="3"/>
        <v/>
      </c>
      <c r="H1546" s="5" t="str">
        <f t="shared" si="4"/>
        <v>5, 5, MAGIKARP</v>
      </c>
    </row>
    <row r="1547" ht="12.75" customHeight="1">
      <c r="A1547" s="4" t="s">
        <v>417</v>
      </c>
      <c r="B1547" s="5" t="s">
        <v>417</v>
      </c>
      <c r="C1547" s="1" t="str">
        <f t="shared" si="1"/>
        <v/>
      </c>
      <c r="E1547" s="5" t="s">
        <v>417</v>
      </c>
      <c r="F1547" s="6" t="str">
        <f t="shared" si="2"/>
        <v>#N/A</v>
      </c>
      <c r="G1547" s="1" t="str">
        <f t="shared" si="3"/>
        <v/>
      </c>
      <c r="H1547" s="5" t="str">
        <f t="shared" si="4"/>
        <v>5, 5, MAGIKARP</v>
      </c>
    </row>
    <row r="1548" ht="12.75" customHeight="1">
      <c r="A1548" s="4" t="s">
        <v>2847</v>
      </c>
      <c r="B1548" s="5" t="s">
        <v>2847</v>
      </c>
      <c r="C1548" s="1" t="str">
        <f t="shared" si="1"/>
        <v/>
      </c>
      <c r="E1548" s="5" t="s">
        <v>2847</v>
      </c>
      <c r="F1548" s="6" t="str">
        <f t="shared" si="2"/>
        <v>#N/A</v>
      </c>
      <c r="G1548" s="1" t="str">
        <f t="shared" si="3"/>
        <v/>
      </c>
      <c r="H1548" s="5" t="str">
        <f t="shared" si="4"/>
        <v>good rod:</v>
      </c>
    </row>
    <row r="1549" ht="12.75" customHeight="1">
      <c r="A1549" s="4" t="s">
        <v>3144</v>
      </c>
      <c r="B1549" s="5" t="s">
        <v>3144</v>
      </c>
      <c r="C1549" s="1" t="str">
        <f t="shared" si="1"/>
        <v/>
      </c>
      <c r="E1549" s="5" t="s">
        <v>3144</v>
      </c>
      <c r="F1549" s="6" t="str">
        <f t="shared" si="2"/>
        <v>#N/A</v>
      </c>
      <c r="G1549" s="1" t="str">
        <f t="shared" si="3"/>
        <v/>
      </c>
      <c r="H1549" s="5" t="str">
        <f t="shared" si="4"/>
        <v>5, 15, POLIWAG</v>
      </c>
    </row>
    <row r="1550" ht="12.75" customHeight="1">
      <c r="A1550" s="4" t="s">
        <v>2849</v>
      </c>
      <c r="B1550" s="5" t="s">
        <v>2849</v>
      </c>
      <c r="C1550" s="1" t="str">
        <f t="shared" si="1"/>
        <v/>
      </c>
      <c r="E1550" s="5" t="s">
        <v>2849</v>
      </c>
      <c r="F1550" s="6" t="str">
        <f t="shared" si="2"/>
        <v>#N/A</v>
      </c>
      <c r="G1550" s="1" t="str">
        <f t="shared" si="3"/>
        <v/>
      </c>
      <c r="H1550" s="5" t="str">
        <f t="shared" si="4"/>
        <v>5, 15, MAGIKARP</v>
      </c>
    </row>
    <row r="1551" ht="12.75" customHeight="1">
      <c r="A1551" s="4" t="s">
        <v>3143</v>
      </c>
      <c r="B1551" s="5" t="s">
        <v>3143</v>
      </c>
      <c r="C1551" s="1" t="str">
        <f t="shared" si="1"/>
        <v/>
      </c>
      <c r="E1551" s="5" t="s">
        <v>3143</v>
      </c>
      <c r="F1551" s="6" t="str">
        <f t="shared" si="2"/>
        <v>#N/A</v>
      </c>
      <c r="G1551" s="1" t="str">
        <f t="shared" si="3"/>
        <v/>
      </c>
      <c r="H1551" s="5" t="str">
        <f t="shared" si="4"/>
        <v>5, 15, GOLDEEN</v>
      </c>
    </row>
    <row r="1552" ht="12.75" customHeight="1">
      <c r="A1552" s="4" t="s">
        <v>2851</v>
      </c>
      <c r="B1552" s="5" t="s">
        <v>2851</v>
      </c>
      <c r="C1552" s="1" t="str">
        <f t="shared" si="1"/>
        <v/>
      </c>
      <c r="E1552" s="5" t="s">
        <v>2851</v>
      </c>
      <c r="F1552" s="6" t="str">
        <f t="shared" si="2"/>
        <v>#N/A</v>
      </c>
      <c r="G1552" s="1" t="str">
        <f t="shared" si="3"/>
        <v/>
      </c>
      <c r="H1552" s="5" t="str">
        <f t="shared" si="4"/>
        <v>super rod:</v>
      </c>
    </row>
    <row r="1553" ht="12.75" customHeight="1">
      <c r="A1553" s="4" t="s">
        <v>3162</v>
      </c>
      <c r="B1553" s="5" t="s">
        <v>3162</v>
      </c>
      <c r="C1553" s="1" t="str">
        <f t="shared" si="1"/>
        <v/>
      </c>
      <c r="E1553" s="5" t="s">
        <v>3162</v>
      </c>
      <c r="F1553" s="6" t="str">
        <f t="shared" si="2"/>
        <v>#N/A</v>
      </c>
      <c r="G1553" s="1" t="str">
        <f t="shared" si="3"/>
        <v/>
      </c>
      <c r="H1553" s="5" t="str">
        <f t="shared" si="4"/>
        <v>15, 25, POLIWAG</v>
      </c>
    </row>
    <row r="1554" ht="12.75" customHeight="1">
      <c r="A1554" s="4" t="s">
        <v>3163</v>
      </c>
      <c r="B1554" s="5" t="s">
        <v>3163</v>
      </c>
      <c r="C1554" s="1" t="str">
        <f t="shared" si="1"/>
        <v/>
      </c>
      <c r="E1554" s="5" t="s">
        <v>3163</v>
      </c>
      <c r="F1554" s="6" t="str">
        <f t="shared" si="2"/>
        <v>#N/A</v>
      </c>
      <c r="G1554" s="1" t="str">
        <f t="shared" si="3"/>
        <v/>
      </c>
      <c r="H1554" s="5" t="str">
        <f t="shared" si="4"/>
        <v>20, 30, POLIWHIRL</v>
      </c>
    </row>
    <row r="1555" ht="12.75" customHeight="1">
      <c r="A1555" s="4" t="s">
        <v>2854</v>
      </c>
      <c r="B1555" s="5" t="s">
        <v>2854</v>
      </c>
      <c r="C1555" s="1" t="str">
        <f t="shared" si="1"/>
        <v/>
      </c>
      <c r="E1555" s="5" t="s">
        <v>2854</v>
      </c>
      <c r="F1555" s="6" t="str">
        <f t="shared" si="2"/>
        <v>#N/A</v>
      </c>
      <c r="G1555" s="1" t="str">
        <f t="shared" si="3"/>
        <v/>
      </c>
      <c r="H1555" s="5" t="str">
        <f t="shared" si="4"/>
        <v>15, 25, GYARADOS</v>
      </c>
    </row>
    <row r="1556" ht="12.75" customHeight="1">
      <c r="A1556" s="4" t="s">
        <v>3147</v>
      </c>
      <c r="B1556" s="5" t="s">
        <v>3147</v>
      </c>
      <c r="C1556" s="1" t="str">
        <f t="shared" si="1"/>
        <v/>
      </c>
      <c r="E1556" s="5" t="s">
        <v>3147</v>
      </c>
      <c r="F1556" s="6" t="str">
        <f t="shared" si="2"/>
        <v>#N/A</v>
      </c>
      <c r="G1556" s="1" t="str">
        <f t="shared" si="3"/>
        <v/>
      </c>
      <c r="H1556" s="5" t="str">
        <f t="shared" si="4"/>
        <v>15, 25, SLOWPOKE</v>
      </c>
    </row>
    <row r="1557" ht="12.75" customHeight="1">
      <c r="A1557" s="4" t="s">
        <v>2856</v>
      </c>
      <c r="B1557" s="5" t="s">
        <v>2856</v>
      </c>
      <c r="C1557" s="1" t="str">
        <f t="shared" si="1"/>
        <v/>
      </c>
      <c r="E1557" s="5" t="s">
        <v>2856</v>
      </c>
      <c r="F1557" s="6" t="str">
        <f t="shared" si="2"/>
        <v>#N/A</v>
      </c>
      <c r="G1557" s="1" t="str">
        <f t="shared" si="3"/>
        <v/>
      </c>
      <c r="H1557" s="5" t="str">
        <f t="shared" si="4"/>
        <v>25, 35, SLOWPOKE</v>
      </c>
    </row>
    <row r="1558" ht="12.75" customHeight="1">
      <c r="A1558" s="4" t="s">
        <v>2539</v>
      </c>
      <c r="B1558" s="5" t="s">
        <v>2539</v>
      </c>
      <c r="C1558" s="1">
        <f t="shared" si="1"/>
        <v>1</v>
      </c>
      <c r="E1558" s="5" t="s">
        <v>2539</v>
      </c>
      <c r="F1558" s="6" t="str">
        <f t="shared" si="2"/>
        <v>#N/A</v>
      </c>
      <c r="G1558" s="1" t="str">
        <f t="shared" si="3"/>
        <v/>
      </c>
      <c r="H1558" s="5" t="str">
        <f t="shared" si="4"/>
        <v>NEW ROUTE</v>
      </c>
    </row>
    <row r="1559" ht="12.75" customHeight="1">
      <c r="A1559" s="4" t="s">
        <v>2161</v>
      </c>
      <c r="B1559" s="5" t="s">
        <v>2161</v>
      </c>
      <c r="C1559" s="1" t="str">
        <f t="shared" si="1"/>
        <v/>
      </c>
      <c r="E1559" s="5" t="s">
        <v>2161</v>
      </c>
      <c r="F1559" s="6" t="str">
        <f t="shared" si="2"/>
        <v>Three Island Bond Bridge</v>
      </c>
      <c r="G1559" s="1" t="str">
        <f t="shared" si="3"/>
        <v>Three Island Bond Bridge</v>
      </c>
      <c r="H1559" s="5" t="str">
        <f t="shared" si="4"/>
        <v>Three Island Bond Bridge</v>
      </c>
    </row>
    <row r="1560" ht="12.75" customHeight="1">
      <c r="A1560" s="4" t="s">
        <v>2799</v>
      </c>
      <c r="B1560" s="5">
        <v>0.2</v>
      </c>
      <c r="C1560" s="1" t="str">
        <f t="shared" si="1"/>
        <v/>
      </c>
      <c r="E1560" s="5">
        <v>0.2</v>
      </c>
      <c r="F1560" s="6" t="str">
        <f t="shared" si="2"/>
        <v>#N/A</v>
      </c>
      <c r="G1560" s="1" t="str">
        <f t="shared" si="3"/>
        <v/>
      </c>
      <c r="H1560" s="5">
        <f t="shared" si="4"/>
        <v>0.2</v>
      </c>
    </row>
    <row r="1561" ht="12.75" customHeight="1">
      <c r="A1561" s="4" t="s">
        <v>846</v>
      </c>
      <c r="B1561" s="5" t="s">
        <v>846</v>
      </c>
      <c r="C1561" s="1" t="str">
        <f t="shared" si="1"/>
        <v/>
      </c>
      <c r="E1561" s="5" t="s">
        <v>846</v>
      </c>
      <c r="F1561" s="6" t="str">
        <f t="shared" si="2"/>
        <v>#N/A</v>
      </c>
      <c r="G1561" s="1" t="str">
        <f t="shared" si="3"/>
        <v/>
      </c>
      <c r="H1561" s="5" t="str">
        <f t="shared" si="4"/>
        <v>32, 32, PIDGEY</v>
      </c>
    </row>
    <row r="1562" ht="12.75" customHeight="1">
      <c r="A1562" s="4" t="s">
        <v>3245</v>
      </c>
      <c r="B1562" s="5" t="s">
        <v>3245</v>
      </c>
      <c r="C1562" s="1" t="str">
        <f t="shared" si="1"/>
        <v/>
      </c>
      <c r="E1562" s="5" t="s">
        <v>3245</v>
      </c>
      <c r="F1562" s="6" t="str">
        <f t="shared" si="2"/>
        <v>#N/A</v>
      </c>
      <c r="G1562" s="1" t="str">
        <f t="shared" si="3"/>
        <v/>
      </c>
      <c r="H1562" s="5" t="str">
        <f t="shared" si="4"/>
        <v>31, 31, BELLSPROUT</v>
      </c>
    </row>
    <row r="1563" ht="12.75" customHeight="1">
      <c r="A1563" s="4" t="s">
        <v>2802</v>
      </c>
      <c r="B1563" s="5">
        <v>0.1</v>
      </c>
      <c r="C1563" s="1" t="str">
        <f t="shared" si="1"/>
        <v/>
      </c>
      <c r="E1563" s="5">
        <v>0.1</v>
      </c>
      <c r="F1563" s="6" t="str">
        <f t="shared" si="2"/>
        <v>#N/A</v>
      </c>
      <c r="G1563" s="1" t="str">
        <f t="shared" si="3"/>
        <v/>
      </c>
      <c r="H1563" s="5">
        <f t="shared" si="4"/>
        <v>0.1</v>
      </c>
    </row>
    <row r="1564" ht="12.75" customHeight="1">
      <c r="A1564" s="4" t="s">
        <v>3246</v>
      </c>
      <c r="B1564" s="5" t="s">
        <v>3246</v>
      </c>
      <c r="C1564" s="1" t="str">
        <f t="shared" si="1"/>
        <v/>
      </c>
      <c r="E1564" s="5" t="s">
        <v>3246</v>
      </c>
      <c r="F1564" s="6" t="str">
        <f t="shared" si="2"/>
        <v>#N/A</v>
      </c>
      <c r="G1564" s="1" t="str">
        <f t="shared" si="3"/>
        <v/>
      </c>
      <c r="H1564" s="5" t="str">
        <f t="shared" si="4"/>
        <v>29, 29, PIDGEY</v>
      </c>
    </row>
    <row r="1565" ht="12.75" customHeight="1">
      <c r="A1565" s="4" t="s">
        <v>3240</v>
      </c>
      <c r="B1565" s="5" t="s">
        <v>3240</v>
      </c>
      <c r="C1565" s="1" t="str">
        <f t="shared" si="1"/>
        <v/>
      </c>
      <c r="E1565" s="5" t="s">
        <v>3240</v>
      </c>
      <c r="F1565" s="6" t="str">
        <f t="shared" si="2"/>
        <v>#N/A</v>
      </c>
      <c r="G1565" s="1" t="str">
        <f t="shared" si="3"/>
        <v/>
      </c>
      <c r="H1565" s="5" t="str">
        <f t="shared" si="4"/>
        <v>36, 36, WEEPINBELL</v>
      </c>
    </row>
    <row r="1566" ht="12.75" customHeight="1">
      <c r="A1566" s="4" t="s">
        <v>3247</v>
      </c>
      <c r="B1566" s="5" t="s">
        <v>3247</v>
      </c>
      <c r="C1566" s="1" t="str">
        <f t="shared" si="1"/>
        <v/>
      </c>
      <c r="E1566" s="5" t="s">
        <v>3247</v>
      </c>
      <c r="F1566" s="6" t="str">
        <f t="shared" si="2"/>
        <v>#N/A</v>
      </c>
      <c r="G1566" s="1" t="str">
        <f t="shared" si="3"/>
        <v/>
      </c>
      <c r="H1566" s="5" t="str">
        <f t="shared" si="4"/>
        <v>34, 34, PIDGEOTTO</v>
      </c>
    </row>
    <row r="1567" ht="12.75" customHeight="1">
      <c r="A1567" s="4" t="s">
        <v>3225</v>
      </c>
      <c r="B1567" s="5" t="s">
        <v>3225</v>
      </c>
      <c r="C1567" s="1" t="str">
        <f t="shared" si="1"/>
        <v/>
      </c>
      <c r="E1567" s="5" t="s">
        <v>3225</v>
      </c>
      <c r="F1567" s="6" t="str">
        <f t="shared" si="2"/>
        <v>#N/A</v>
      </c>
      <c r="G1567" s="1" t="str">
        <f t="shared" si="3"/>
        <v/>
      </c>
      <c r="H1567" s="5" t="str">
        <f t="shared" si="4"/>
        <v>31, 31, MEOWTH</v>
      </c>
    </row>
    <row r="1568" ht="12.75" customHeight="1">
      <c r="A1568" s="4" t="s">
        <v>2807</v>
      </c>
      <c r="B1568" s="5">
        <v>0.05</v>
      </c>
      <c r="C1568" s="1" t="str">
        <f t="shared" si="1"/>
        <v/>
      </c>
      <c r="E1568" s="5">
        <v>0.05</v>
      </c>
      <c r="F1568" s="6" t="str">
        <f t="shared" si="2"/>
        <v>#N/A</v>
      </c>
      <c r="G1568" s="1" t="str">
        <f t="shared" si="3"/>
        <v/>
      </c>
      <c r="H1568" s="5">
        <f t="shared" si="4"/>
        <v>0.05</v>
      </c>
    </row>
    <row r="1569" ht="12.75" customHeight="1">
      <c r="A1569" s="4" t="s">
        <v>3131</v>
      </c>
      <c r="B1569" s="5" t="s">
        <v>3131</v>
      </c>
      <c r="C1569" s="1" t="str">
        <f t="shared" si="1"/>
        <v/>
      </c>
      <c r="E1569" s="5" t="s">
        <v>3131</v>
      </c>
      <c r="F1569" s="6" t="str">
        <f t="shared" si="2"/>
        <v>#N/A</v>
      </c>
      <c r="G1569" s="1" t="str">
        <f t="shared" si="3"/>
        <v/>
      </c>
      <c r="H1569" s="5" t="str">
        <f t="shared" si="4"/>
        <v>34, 34, VENONAT</v>
      </c>
    </row>
    <row r="1570" ht="12.75" customHeight="1">
      <c r="A1570" s="4" t="s">
        <v>3134</v>
      </c>
      <c r="B1570" s="5" t="s">
        <v>3134</v>
      </c>
      <c r="C1570" s="1" t="str">
        <f t="shared" si="1"/>
        <v/>
      </c>
      <c r="E1570" s="5" t="s">
        <v>3134</v>
      </c>
      <c r="F1570" s="6" t="str">
        <f t="shared" si="2"/>
        <v>#N/A</v>
      </c>
      <c r="G1570" s="1" t="str">
        <f t="shared" si="3"/>
        <v/>
      </c>
      <c r="H1570" s="5" t="str">
        <f t="shared" si="4"/>
        <v>31, 31, SLOWPOKE</v>
      </c>
    </row>
    <row r="1571" ht="12.75" customHeight="1">
      <c r="A1571" s="4" t="s">
        <v>2810</v>
      </c>
      <c r="B1571" s="5">
        <v>0.04</v>
      </c>
      <c r="C1571" s="1" t="str">
        <f t="shared" si="1"/>
        <v/>
      </c>
      <c r="E1571" s="5">
        <v>0.04</v>
      </c>
      <c r="F1571" s="6" t="str">
        <f t="shared" si="2"/>
        <v>#N/A</v>
      </c>
      <c r="G1571" s="1" t="str">
        <f t="shared" si="3"/>
        <v/>
      </c>
      <c r="H1571" s="5">
        <f t="shared" si="4"/>
        <v>0.04</v>
      </c>
    </row>
    <row r="1572" ht="12.75" customHeight="1">
      <c r="A1572" s="4" t="s">
        <v>720</v>
      </c>
      <c r="B1572" s="5" t="s">
        <v>720</v>
      </c>
      <c r="C1572" s="1" t="str">
        <f t="shared" si="1"/>
        <v/>
      </c>
      <c r="E1572" s="5" t="s">
        <v>720</v>
      </c>
      <c r="F1572" s="6" t="str">
        <f t="shared" si="2"/>
        <v>#N/A</v>
      </c>
      <c r="G1572" s="1" t="str">
        <f t="shared" si="3"/>
        <v/>
      </c>
      <c r="H1572" s="5" t="str">
        <f t="shared" si="4"/>
        <v>37, 37, PIDGEOTTO</v>
      </c>
    </row>
    <row r="1573" ht="12.75" customHeight="1">
      <c r="A1573" s="4" t="s">
        <v>3229</v>
      </c>
      <c r="B1573" s="5" t="s">
        <v>3229</v>
      </c>
      <c r="C1573" s="1" t="str">
        <f t="shared" si="1"/>
        <v/>
      </c>
      <c r="E1573" s="5" t="s">
        <v>3229</v>
      </c>
      <c r="F1573" s="6" t="str">
        <f t="shared" si="2"/>
        <v>#N/A</v>
      </c>
      <c r="G1573" s="1" t="str">
        <f t="shared" si="3"/>
        <v/>
      </c>
      <c r="H1573" s="5" t="str">
        <f t="shared" si="4"/>
        <v>37, 37, PERSIAN</v>
      </c>
    </row>
    <row r="1574" ht="12.75" customHeight="1">
      <c r="A1574" s="4" t="s">
        <v>2813</v>
      </c>
      <c r="B1574" s="5">
        <v>0.01</v>
      </c>
      <c r="C1574" s="1" t="str">
        <f t="shared" si="1"/>
        <v/>
      </c>
      <c r="E1574" s="5">
        <v>0.01</v>
      </c>
      <c r="F1574" s="6" t="str">
        <f t="shared" si="2"/>
        <v>#N/A</v>
      </c>
      <c r="G1574" s="1" t="str">
        <f t="shared" si="3"/>
        <v/>
      </c>
      <c r="H1574" s="5">
        <f t="shared" si="4"/>
        <v>0.01</v>
      </c>
    </row>
    <row r="1575" ht="12.75" customHeight="1">
      <c r="A1575" s="4" t="s">
        <v>3248</v>
      </c>
      <c r="B1575" s="5" t="s">
        <v>3248</v>
      </c>
      <c r="C1575" s="1" t="str">
        <f t="shared" si="1"/>
        <v/>
      </c>
      <c r="E1575" s="5" t="s">
        <v>3248</v>
      </c>
      <c r="F1575" s="6" t="str">
        <f t="shared" si="2"/>
        <v>#N/A</v>
      </c>
      <c r="G1575" s="1" t="str">
        <f t="shared" si="3"/>
        <v/>
      </c>
      <c r="H1575" s="5" t="str">
        <f t="shared" si="4"/>
        <v>40, 40, PIDGEOTTO</v>
      </c>
    </row>
    <row r="1576" ht="12.75" customHeight="1">
      <c r="A1576" s="4" t="s">
        <v>3231</v>
      </c>
      <c r="B1576" s="5" t="s">
        <v>3231</v>
      </c>
      <c r="C1576" s="1" t="str">
        <f t="shared" si="1"/>
        <v/>
      </c>
      <c r="E1576" s="5" t="s">
        <v>3231</v>
      </c>
      <c r="F1576" s="6" t="str">
        <f t="shared" si="2"/>
        <v>#N/A</v>
      </c>
      <c r="G1576" s="1" t="str">
        <f t="shared" si="3"/>
        <v/>
      </c>
      <c r="H1576" s="5" t="str">
        <f t="shared" si="4"/>
        <v>40, 40, PERSIAN</v>
      </c>
    </row>
    <row r="1577" ht="12.75" customHeight="1">
      <c r="A1577" s="4" t="s">
        <v>3173</v>
      </c>
      <c r="B1577" s="5" t="s">
        <v>3173</v>
      </c>
      <c r="C1577" s="1" t="str">
        <f t="shared" si="1"/>
        <v/>
      </c>
      <c r="E1577" s="5" t="s">
        <v>3173</v>
      </c>
      <c r="F1577" s="6" t="str">
        <f t="shared" si="2"/>
        <v>#N/A</v>
      </c>
      <c r="G1577" s="1" t="str">
        <f t="shared" si="3"/>
        <v/>
      </c>
      <c r="H1577" s="5" t="str">
        <f t="shared" si="4"/>
        <v>2, 5, 20, TENTACOOL</v>
      </c>
    </row>
    <row r="1578" ht="12.75" customHeight="1">
      <c r="A1578" s="4" t="s">
        <v>3174</v>
      </c>
      <c r="B1578" s="5" t="s">
        <v>3174</v>
      </c>
      <c r="C1578" s="1" t="str">
        <f t="shared" si="1"/>
        <v/>
      </c>
      <c r="E1578" s="5" t="s">
        <v>3174</v>
      </c>
      <c r="F1578" s="6" t="str">
        <f t="shared" si="2"/>
        <v>#N/A</v>
      </c>
      <c r="G1578" s="1" t="str">
        <f t="shared" si="3"/>
        <v/>
      </c>
      <c r="H1578" s="5" t="str">
        <f t="shared" si="4"/>
        <v>20, 35, TENTACOOL</v>
      </c>
    </row>
    <row r="1579" ht="12.75" customHeight="1">
      <c r="A1579" s="4" t="s">
        <v>2845</v>
      </c>
      <c r="B1579" s="5" t="s">
        <v>2845</v>
      </c>
      <c r="C1579" s="1" t="str">
        <f t="shared" si="1"/>
        <v/>
      </c>
      <c r="E1579" s="5" t="s">
        <v>2845</v>
      </c>
      <c r="F1579" s="6" t="str">
        <f t="shared" si="2"/>
        <v>#N/A</v>
      </c>
      <c r="G1579" s="1" t="str">
        <f t="shared" si="3"/>
        <v/>
      </c>
      <c r="H1579" s="5" t="str">
        <f t="shared" si="4"/>
        <v>35, 40, TENTACOOL</v>
      </c>
    </row>
    <row r="1580" ht="12.75" customHeight="1">
      <c r="A1580" s="4" t="s">
        <v>3232</v>
      </c>
      <c r="B1580" s="5" t="s">
        <v>3232</v>
      </c>
      <c r="C1580" s="1" t="str">
        <f t="shared" si="1"/>
        <v/>
      </c>
      <c r="E1580" s="5" t="s">
        <v>3232</v>
      </c>
      <c r="F1580" s="6" t="str">
        <f t="shared" si="2"/>
        <v>#N/A</v>
      </c>
      <c r="G1580" s="1" t="str">
        <f t="shared" si="3"/>
        <v/>
      </c>
      <c r="H1580" s="5" t="str">
        <f t="shared" si="4"/>
        <v>35, 40, TENTACRUEL</v>
      </c>
    </row>
    <row r="1581" ht="12.75" customHeight="1">
      <c r="A1581" s="4" t="s">
        <v>3232</v>
      </c>
      <c r="B1581" s="5" t="s">
        <v>3232</v>
      </c>
      <c r="C1581" s="1" t="str">
        <f t="shared" si="1"/>
        <v/>
      </c>
      <c r="E1581" s="5" t="s">
        <v>3232</v>
      </c>
      <c r="F1581" s="6" t="str">
        <f t="shared" si="2"/>
        <v>#N/A</v>
      </c>
      <c r="G1581" s="1" t="str">
        <f t="shared" si="3"/>
        <v/>
      </c>
      <c r="H1581" s="5" t="str">
        <f t="shared" si="4"/>
        <v>35, 40, TENTACRUEL</v>
      </c>
    </row>
    <row r="1582" ht="12.75" customHeight="1">
      <c r="A1582" s="4" t="s">
        <v>2926</v>
      </c>
      <c r="B1582" s="5" t="s">
        <v>2926</v>
      </c>
      <c r="C1582" s="1" t="str">
        <f t="shared" si="1"/>
        <v/>
      </c>
      <c r="E1582" s="5" t="s">
        <v>2926</v>
      </c>
      <c r="F1582" s="6" t="str">
        <f t="shared" si="2"/>
        <v>#N/A</v>
      </c>
      <c r="G1582" s="1" t="str">
        <f t="shared" si="3"/>
        <v/>
      </c>
      <c r="H1582" s="5" t="str">
        <f t="shared" si="4"/>
        <v>20, old rod:</v>
      </c>
    </row>
    <row r="1583" ht="12.75" customHeight="1">
      <c r="A1583" s="4" t="s">
        <v>417</v>
      </c>
      <c r="B1583" s="5" t="s">
        <v>417</v>
      </c>
      <c r="C1583" s="1" t="str">
        <f t="shared" si="1"/>
        <v/>
      </c>
      <c r="E1583" s="5" t="s">
        <v>417</v>
      </c>
      <c r="F1583" s="6" t="str">
        <f t="shared" si="2"/>
        <v>#N/A</v>
      </c>
      <c r="G1583" s="1" t="str">
        <f t="shared" si="3"/>
        <v/>
      </c>
      <c r="H1583" s="5" t="str">
        <f t="shared" si="4"/>
        <v>5, 5, MAGIKARP</v>
      </c>
    </row>
    <row r="1584" ht="12.75" customHeight="1">
      <c r="A1584" s="4" t="s">
        <v>417</v>
      </c>
      <c r="B1584" s="5" t="s">
        <v>417</v>
      </c>
      <c r="C1584" s="1" t="str">
        <f t="shared" si="1"/>
        <v/>
      </c>
      <c r="E1584" s="5" t="s">
        <v>417</v>
      </c>
      <c r="F1584" s="6" t="str">
        <f t="shared" si="2"/>
        <v>#N/A</v>
      </c>
      <c r="G1584" s="1" t="str">
        <f t="shared" si="3"/>
        <v/>
      </c>
      <c r="H1584" s="5" t="str">
        <f t="shared" si="4"/>
        <v>5, 5, MAGIKARP</v>
      </c>
    </row>
    <row r="1585" ht="12.75" customHeight="1">
      <c r="A1585" s="4" t="s">
        <v>2847</v>
      </c>
      <c r="B1585" s="5" t="s">
        <v>2847</v>
      </c>
      <c r="C1585" s="1" t="str">
        <f t="shared" si="1"/>
        <v/>
      </c>
      <c r="E1585" s="5" t="s">
        <v>2847</v>
      </c>
      <c r="F1585" s="6" t="str">
        <f t="shared" si="2"/>
        <v>#N/A</v>
      </c>
      <c r="G1585" s="1" t="str">
        <f t="shared" si="3"/>
        <v/>
      </c>
      <c r="H1585" s="5" t="str">
        <f t="shared" si="4"/>
        <v>good rod:</v>
      </c>
    </row>
    <row r="1586" ht="12.75" customHeight="1">
      <c r="A1586" s="4" t="s">
        <v>2848</v>
      </c>
      <c r="B1586" s="5" t="s">
        <v>2848</v>
      </c>
      <c r="C1586" s="1" t="str">
        <f t="shared" si="1"/>
        <v/>
      </c>
      <c r="E1586" s="5" t="s">
        <v>2848</v>
      </c>
      <c r="F1586" s="6" t="str">
        <f t="shared" si="2"/>
        <v>#N/A</v>
      </c>
      <c r="G1586" s="1" t="str">
        <f t="shared" si="3"/>
        <v/>
      </c>
      <c r="H1586" s="5" t="str">
        <f t="shared" si="4"/>
        <v>5, 15, KRABBY</v>
      </c>
    </row>
    <row r="1587" ht="12.75" customHeight="1">
      <c r="A1587" s="4" t="s">
        <v>2849</v>
      </c>
      <c r="B1587" s="5" t="s">
        <v>2849</v>
      </c>
      <c r="C1587" s="1" t="str">
        <f t="shared" si="1"/>
        <v/>
      </c>
      <c r="E1587" s="5" t="s">
        <v>2849</v>
      </c>
      <c r="F1587" s="6" t="str">
        <f t="shared" si="2"/>
        <v>#N/A</v>
      </c>
      <c r="G1587" s="1" t="str">
        <f t="shared" si="3"/>
        <v/>
      </c>
      <c r="H1587" s="5" t="str">
        <f t="shared" si="4"/>
        <v>5, 15, MAGIKARP</v>
      </c>
    </row>
    <row r="1588" ht="12.75" customHeight="1">
      <c r="A1588" s="4" t="s">
        <v>2848</v>
      </c>
      <c r="B1588" s="5" t="s">
        <v>2848</v>
      </c>
      <c r="C1588" s="1" t="str">
        <f t="shared" si="1"/>
        <v/>
      </c>
      <c r="E1588" s="5" t="s">
        <v>2848</v>
      </c>
      <c r="F1588" s="6" t="str">
        <f t="shared" si="2"/>
        <v>#N/A</v>
      </c>
      <c r="G1588" s="1" t="str">
        <f t="shared" si="3"/>
        <v/>
      </c>
      <c r="H1588" s="5" t="str">
        <f t="shared" si="4"/>
        <v>5, 15, KRABBY</v>
      </c>
    </row>
    <row r="1589" ht="12.75" customHeight="1">
      <c r="A1589" s="4" t="s">
        <v>2851</v>
      </c>
      <c r="B1589" s="5" t="s">
        <v>2851</v>
      </c>
      <c r="C1589" s="1" t="str">
        <f t="shared" si="1"/>
        <v/>
      </c>
      <c r="E1589" s="5" t="s">
        <v>2851</v>
      </c>
      <c r="F1589" s="6" t="str">
        <f t="shared" si="2"/>
        <v>#N/A</v>
      </c>
      <c r="G1589" s="1" t="str">
        <f t="shared" si="3"/>
        <v/>
      </c>
      <c r="H1589" s="5" t="str">
        <f t="shared" si="4"/>
        <v>super rod:</v>
      </c>
    </row>
    <row r="1590" ht="12.75" customHeight="1">
      <c r="A1590" s="4" t="s">
        <v>2852</v>
      </c>
      <c r="B1590" s="5" t="s">
        <v>2852</v>
      </c>
      <c r="C1590" s="1" t="str">
        <f t="shared" si="1"/>
        <v/>
      </c>
      <c r="E1590" s="5" t="s">
        <v>2852</v>
      </c>
      <c r="F1590" s="6" t="str">
        <f t="shared" si="2"/>
        <v>#N/A</v>
      </c>
      <c r="G1590" s="1" t="str">
        <f t="shared" si="3"/>
        <v/>
      </c>
      <c r="H1590" s="5" t="str">
        <f t="shared" si="4"/>
        <v>15, 25, KRABBY</v>
      </c>
    </row>
    <row r="1591" ht="12.75" customHeight="1">
      <c r="A1591" s="4" t="s">
        <v>2852</v>
      </c>
      <c r="B1591" s="5" t="s">
        <v>2852</v>
      </c>
      <c r="C1591" s="1" t="str">
        <f t="shared" si="1"/>
        <v/>
      </c>
      <c r="E1591" s="5" t="s">
        <v>2852</v>
      </c>
      <c r="F1591" s="6" t="str">
        <f t="shared" si="2"/>
        <v>#N/A</v>
      </c>
      <c r="G1591" s="1" t="str">
        <f t="shared" si="3"/>
        <v/>
      </c>
      <c r="H1591" s="5" t="str">
        <f t="shared" si="4"/>
        <v>15, 25, KRABBY</v>
      </c>
    </row>
    <row r="1592" ht="12.75" customHeight="1">
      <c r="A1592" s="4" t="s">
        <v>2854</v>
      </c>
      <c r="B1592" s="5" t="s">
        <v>2854</v>
      </c>
      <c r="C1592" s="1" t="str">
        <f t="shared" si="1"/>
        <v/>
      </c>
      <c r="E1592" s="5" t="s">
        <v>2854</v>
      </c>
      <c r="F1592" s="6" t="str">
        <f t="shared" si="2"/>
        <v>#N/A</v>
      </c>
      <c r="G1592" s="1" t="str">
        <f t="shared" si="3"/>
        <v/>
      </c>
      <c r="H1592" s="5" t="str">
        <f t="shared" si="4"/>
        <v>15, 25, GYARADOS</v>
      </c>
    </row>
    <row r="1593" ht="12.75" customHeight="1">
      <c r="A1593" s="4" t="s">
        <v>3178</v>
      </c>
      <c r="B1593" s="5" t="s">
        <v>3178</v>
      </c>
      <c r="C1593" s="1" t="str">
        <f t="shared" si="1"/>
        <v/>
      </c>
      <c r="E1593" s="5" t="s">
        <v>3178</v>
      </c>
      <c r="F1593" s="6" t="str">
        <f t="shared" si="2"/>
        <v>#N/A</v>
      </c>
      <c r="G1593" s="1" t="str">
        <f t="shared" si="3"/>
        <v/>
      </c>
      <c r="H1593" s="5" t="str">
        <f t="shared" si="4"/>
        <v>25, 35, KINGLER</v>
      </c>
    </row>
    <row r="1594" ht="12.75" customHeight="1">
      <c r="A1594" s="4" t="s">
        <v>2856</v>
      </c>
      <c r="B1594" s="5" t="s">
        <v>2856</v>
      </c>
      <c r="C1594" s="1" t="str">
        <f t="shared" si="1"/>
        <v/>
      </c>
      <c r="E1594" s="5" t="s">
        <v>2856</v>
      </c>
      <c r="F1594" s="6" t="str">
        <f t="shared" si="2"/>
        <v>#N/A</v>
      </c>
      <c r="G1594" s="1" t="str">
        <f t="shared" si="3"/>
        <v/>
      </c>
      <c r="H1594" s="5" t="str">
        <f t="shared" si="4"/>
        <v>25, 35, SLOWPOKE</v>
      </c>
    </row>
    <row r="1595" ht="12.75" customHeight="1">
      <c r="A1595" s="4" t="s">
        <v>2539</v>
      </c>
      <c r="B1595" s="5" t="s">
        <v>2539</v>
      </c>
      <c r="C1595" s="1">
        <f t="shared" si="1"/>
        <v>1</v>
      </c>
      <c r="E1595" s="5" t="s">
        <v>2539</v>
      </c>
      <c r="F1595" s="6" t="str">
        <f t="shared" si="2"/>
        <v>#N/A</v>
      </c>
      <c r="G1595" s="1" t="str">
        <f t="shared" si="3"/>
        <v/>
      </c>
      <c r="H1595" s="5" t="str">
        <f t="shared" si="4"/>
        <v>NEW ROUTE</v>
      </c>
    </row>
    <row r="1596" ht="12.75" customHeight="1">
      <c r="A1596" s="4" t="s">
        <v>2163</v>
      </c>
      <c r="B1596" s="5" t="s">
        <v>2163</v>
      </c>
      <c r="C1596" s="1" t="str">
        <f t="shared" si="1"/>
        <v/>
      </c>
      <c r="E1596" s="5" t="s">
        <v>2163</v>
      </c>
      <c r="F1596" s="6" t="str">
        <f t="shared" si="2"/>
        <v>Three Island Port</v>
      </c>
      <c r="G1596" s="1" t="str">
        <f t="shared" si="3"/>
        <v>Three Island Port</v>
      </c>
      <c r="H1596" s="5" t="str">
        <f t="shared" si="4"/>
        <v>Three Island Port</v>
      </c>
    </row>
    <row r="1597" ht="12.75" customHeight="1">
      <c r="A1597" s="4" t="s">
        <v>2799</v>
      </c>
      <c r="B1597" s="5">
        <v>0.2</v>
      </c>
      <c r="C1597" s="1" t="str">
        <f t="shared" si="1"/>
        <v/>
      </c>
      <c r="E1597" s="5">
        <v>0.2</v>
      </c>
      <c r="F1597" s="6" t="str">
        <f t="shared" si="2"/>
        <v>#N/A</v>
      </c>
      <c r="G1597" s="1" t="str">
        <f t="shared" si="3"/>
        <v/>
      </c>
      <c r="H1597" s="5">
        <f t="shared" si="4"/>
        <v>0.2</v>
      </c>
    </row>
    <row r="1598" ht="12.75" customHeight="1">
      <c r="A1598" s="4" t="s">
        <v>853</v>
      </c>
      <c r="B1598" s="5" t="s">
        <v>853</v>
      </c>
      <c r="C1598" s="1" t="str">
        <f t="shared" si="1"/>
        <v/>
      </c>
      <c r="E1598" s="5" t="s">
        <v>853</v>
      </c>
      <c r="F1598" s="6" t="str">
        <f t="shared" si="2"/>
        <v>#N/A</v>
      </c>
      <c r="G1598" s="1" t="str">
        <f t="shared" si="3"/>
        <v/>
      </c>
      <c r="H1598" s="5" t="str">
        <f t="shared" si="4"/>
        <v>15, 15, DUNSPARCE</v>
      </c>
    </row>
    <row r="1599" ht="12.75" customHeight="1">
      <c r="A1599" s="4" t="s">
        <v>853</v>
      </c>
      <c r="B1599" s="5" t="s">
        <v>853</v>
      </c>
      <c r="C1599" s="1" t="str">
        <f t="shared" si="1"/>
        <v/>
      </c>
      <c r="E1599" s="5" t="s">
        <v>853</v>
      </c>
      <c r="F1599" s="6" t="str">
        <f t="shared" si="2"/>
        <v>#N/A</v>
      </c>
      <c r="G1599" s="1" t="str">
        <f t="shared" si="3"/>
        <v/>
      </c>
      <c r="H1599" s="5" t="str">
        <f t="shared" si="4"/>
        <v>15, 15, DUNSPARCE</v>
      </c>
    </row>
    <row r="1600" ht="12.75" customHeight="1">
      <c r="A1600" s="4" t="s">
        <v>2802</v>
      </c>
      <c r="B1600" s="5">
        <v>0.1</v>
      </c>
      <c r="C1600" s="1" t="str">
        <f t="shared" si="1"/>
        <v/>
      </c>
      <c r="E1600" s="5">
        <v>0.1</v>
      </c>
      <c r="F1600" s="6" t="str">
        <f t="shared" si="2"/>
        <v>#N/A</v>
      </c>
      <c r="G1600" s="1" t="str">
        <f t="shared" si="3"/>
        <v/>
      </c>
      <c r="H1600" s="5">
        <f t="shared" si="4"/>
        <v>0.1</v>
      </c>
    </row>
    <row r="1601" ht="12.75" customHeight="1">
      <c r="A1601" s="4" t="s">
        <v>3250</v>
      </c>
      <c r="B1601" s="5" t="s">
        <v>3250</v>
      </c>
      <c r="C1601" s="1" t="str">
        <f t="shared" si="1"/>
        <v/>
      </c>
      <c r="E1601" s="5" t="s">
        <v>3250</v>
      </c>
      <c r="F1601" s="6" t="str">
        <f t="shared" si="2"/>
        <v>#N/A</v>
      </c>
      <c r="G1601" s="1" t="str">
        <f t="shared" si="3"/>
        <v/>
      </c>
      <c r="H1601" s="5" t="str">
        <f t="shared" si="4"/>
        <v>10, 10, DUNSPARCE</v>
      </c>
    </row>
    <row r="1602" ht="12.75" customHeight="1">
      <c r="A1602" s="4" t="s">
        <v>3250</v>
      </c>
      <c r="B1602" s="5" t="s">
        <v>3250</v>
      </c>
      <c r="C1602" s="1" t="str">
        <f t="shared" si="1"/>
        <v/>
      </c>
      <c r="E1602" s="5" t="s">
        <v>3250</v>
      </c>
      <c r="F1602" s="6" t="str">
        <f t="shared" si="2"/>
        <v>#N/A</v>
      </c>
      <c r="G1602" s="1" t="str">
        <f t="shared" si="3"/>
        <v/>
      </c>
      <c r="H1602" s="5" t="str">
        <f t="shared" si="4"/>
        <v>10, 10, DUNSPARCE</v>
      </c>
    </row>
    <row r="1603" ht="12.75" customHeight="1">
      <c r="A1603" s="4" t="s">
        <v>3251</v>
      </c>
      <c r="B1603" s="5" t="s">
        <v>3251</v>
      </c>
      <c r="C1603" s="1" t="str">
        <f t="shared" si="1"/>
        <v/>
      </c>
      <c r="E1603" s="5" t="s">
        <v>3251</v>
      </c>
      <c r="F1603" s="6" t="str">
        <f t="shared" si="2"/>
        <v>#N/A</v>
      </c>
      <c r="G1603" s="1" t="str">
        <f t="shared" si="3"/>
        <v/>
      </c>
      <c r="H1603" s="5" t="str">
        <f t="shared" si="4"/>
        <v>20, 20, DUNSPARCE</v>
      </c>
    </row>
    <row r="1604" ht="12.75" customHeight="1">
      <c r="A1604" s="4" t="s">
        <v>3251</v>
      </c>
      <c r="B1604" s="5" t="s">
        <v>3251</v>
      </c>
      <c r="C1604" s="1" t="str">
        <f t="shared" si="1"/>
        <v/>
      </c>
      <c r="E1604" s="5" t="s">
        <v>3251</v>
      </c>
      <c r="F1604" s="6" t="str">
        <f t="shared" si="2"/>
        <v>#N/A</v>
      </c>
      <c r="G1604" s="1" t="str">
        <f t="shared" si="3"/>
        <v/>
      </c>
      <c r="H1604" s="5" t="str">
        <f t="shared" si="4"/>
        <v>20, 20, DUNSPARCE</v>
      </c>
    </row>
    <row r="1605" ht="12.75" customHeight="1">
      <c r="A1605" s="4" t="s">
        <v>2807</v>
      </c>
      <c r="B1605" s="5">
        <v>0.05</v>
      </c>
      <c r="C1605" s="1" t="str">
        <f t="shared" si="1"/>
        <v/>
      </c>
      <c r="E1605" s="5">
        <v>0.05</v>
      </c>
      <c r="F1605" s="6" t="str">
        <f t="shared" si="2"/>
        <v>#N/A</v>
      </c>
      <c r="G1605" s="1" t="str">
        <f t="shared" si="3"/>
        <v/>
      </c>
      <c r="H1605" s="5">
        <f t="shared" si="4"/>
        <v>0.05</v>
      </c>
    </row>
    <row r="1606" ht="12.75" customHeight="1">
      <c r="A1606" s="4" t="s">
        <v>3252</v>
      </c>
      <c r="B1606" s="5" t="s">
        <v>3252</v>
      </c>
      <c r="C1606" s="1" t="str">
        <f t="shared" si="1"/>
        <v/>
      </c>
      <c r="E1606" s="5" t="s">
        <v>3252</v>
      </c>
      <c r="F1606" s="6" t="str">
        <f t="shared" si="2"/>
        <v>#N/A</v>
      </c>
      <c r="G1606" s="1" t="str">
        <f t="shared" si="3"/>
        <v/>
      </c>
      <c r="H1606" s="5" t="str">
        <f t="shared" si="4"/>
        <v>25, 25, DUNSPARCE</v>
      </c>
    </row>
    <row r="1607" ht="12.75" customHeight="1">
      <c r="A1607" s="4" t="s">
        <v>3253</v>
      </c>
      <c r="B1607" s="5" t="s">
        <v>3253</v>
      </c>
      <c r="C1607" s="1" t="str">
        <f t="shared" si="1"/>
        <v/>
      </c>
      <c r="E1607" s="5" t="s">
        <v>3253</v>
      </c>
      <c r="F1607" s="6" t="str">
        <f t="shared" si="2"/>
        <v>#N/A</v>
      </c>
      <c r="G1607" s="1" t="str">
        <f t="shared" si="3"/>
        <v/>
      </c>
      <c r="H1607" s="5" t="str">
        <f t="shared" si="4"/>
        <v>30, 30, DUNSPARCE</v>
      </c>
    </row>
    <row r="1608" ht="12.75" customHeight="1">
      <c r="A1608" s="4" t="s">
        <v>2810</v>
      </c>
      <c r="B1608" s="5">
        <v>0.04</v>
      </c>
      <c r="C1608" s="1" t="str">
        <f t="shared" si="1"/>
        <v/>
      </c>
      <c r="E1608" s="5">
        <v>0.04</v>
      </c>
      <c r="F1608" s="6" t="str">
        <f t="shared" si="2"/>
        <v>#N/A</v>
      </c>
      <c r="G1608" s="1" t="str">
        <f t="shared" si="3"/>
        <v/>
      </c>
      <c r="H1608" s="5">
        <f t="shared" si="4"/>
        <v>0.04</v>
      </c>
    </row>
    <row r="1609" ht="12.75" customHeight="1">
      <c r="A1609" s="4" t="s">
        <v>3252</v>
      </c>
      <c r="B1609" s="5" t="s">
        <v>3252</v>
      </c>
      <c r="C1609" s="1" t="str">
        <f t="shared" si="1"/>
        <v/>
      </c>
      <c r="E1609" s="5" t="s">
        <v>3252</v>
      </c>
      <c r="F1609" s="6" t="str">
        <f t="shared" si="2"/>
        <v>#N/A</v>
      </c>
      <c r="G1609" s="1" t="str">
        <f t="shared" si="3"/>
        <v/>
      </c>
      <c r="H1609" s="5" t="str">
        <f t="shared" si="4"/>
        <v>25, 25, DUNSPARCE</v>
      </c>
    </row>
    <row r="1610" ht="12.75" customHeight="1">
      <c r="A1610" s="4" t="s">
        <v>3253</v>
      </c>
      <c r="B1610" s="5" t="s">
        <v>3253</v>
      </c>
      <c r="C1610" s="1" t="str">
        <f t="shared" si="1"/>
        <v/>
      </c>
      <c r="E1610" s="5" t="s">
        <v>3253</v>
      </c>
      <c r="F1610" s="6" t="str">
        <f t="shared" si="2"/>
        <v>#N/A</v>
      </c>
      <c r="G1610" s="1" t="str">
        <f t="shared" si="3"/>
        <v/>
      </c>
      <c r="H1610" s="5" t="str">
        <f t="shared" si="4"/>
        <v>30, 30, DUNSPARCE</v>
      </c>
    </row>
    <row r="1611" ht="12.75" customHeight="1">
      <c r="A1611" s="4" t="s">
        <v>2813</v>
      </c>
      <c r="B1611" s="5">
        <v>0.01</v>
      </c>
      <c r="C1611" s="1" t="str">
        <f t="shared" si="1"/>
        <v/>
      </c>
      <c r="E1611" s="5">
        <v>0.01</v>
      </c>
      <c r="F1611" s="6" t="str">
        <f t="shared" si="2"/>
        <v>#N/A</v>
      </c>
      <c r="G1611" s="1" t="str">
        <f t="shared" si="3"/>
        <v/>
      </c>
      <c r="H1611" s="5">
        <f t="shared" si="4"/>
        <v>0.01</v>
      </c>
    </row>
    <row r="1612" ht="12.75" customHeight="1">
      <c r="A1612" s="4" t="s">
        <v>3254</v>
      </c>
      <c r="B1612" s="5" t="s">
        <v>3254</v>
      </c>
      <c r="C1612" s="1" t="str">
        <f t="shared" si="1"/>
        <v/>
      </c>
      <c r="E1612" s="5" t="s">
        <v>3254</v>
      </c>
      <c r="F1612" s="6" t="str">
        <f t="shared" si="2"/>
        <v>#N/A</v>
      </c>
      <c r="G1612" s="1" t="str">
        <f t="shared" si="3"/>
        <v/>
      </c>
      <c r="H1612" s="5" t="str">
        <f t="shared" si="4"/>
        <v>5, 5, DUNSPARCE</v>
      </c>
    </row>
    <row r="1613" ht="12.75" customHeight="1">
      <c r="A1613" s="4" t="s">
        <v>3722</v>
      </c>
      <c r="B1613" s="5" t="s">
        <v>3722</v>
      </c>
      <c r="C1613" s="1" t="str">
        <f t="shared" si="1"/>
        <v/>
      </c>
      <c r="E1613" s="5" t="s">
        <v>3722</v>
      </c>
      <c r="F1613" s="6" t="str">
        <f t="shared" si="2"/>
        <v>#N/A</v>
      </c>
      <c r="G1613" s="1" t="str">
        <f t="shared" si="3"/>
        <v/>
      </c>
      <c r="H1613" s="5" t="str">
        <f t="shared" si="4"/>
        <v>35, 35, DUNSPARCE</v>
      </c>
    </row>
    <row r="1614" ht="12.75" customHeight="1">
      <c r="A1614" s="4" t="s">
        <v>2539</v>
      </c>
      <c r="B1614" s="5" t="s">
        <v>2539</v>
      </c>
      <c r="C1614" s="1">
        <f t="shared" si="1"/>
        <v>1</v>
      </c>
      <c r="E1614" s="5" t="s">
        <v>2539</v>
      </c>
      <c r="F1614" s="6" t="str">
        <f t="shared" si="2"/>
        <v>#N/A</v>
      </c>
      <c r="G1614" s="1" t="str">
        <f t="shared" si="3"/>
        <v/>
      </c>
      <c r="H1614" s="5" t="str">
        <f t="shared" si="4"/>
        <v>NEW ROUTE</v>
      </c>
    </row>
    <row r="1615" ht="12.75" customHeight="1">
      <c r="A1615" s="4" t="s">
        <v>2173</v>
      </c>
      <c r="B1615" s="5" t="s">
        <v>2173</v>
      </c>
      <c r="C1615" s="1" t="str">
        <f t="shared" si="1"/>
        <v/>
      </c>
      <c r="E1615" s="5" t="s">
        <v>2173</v>
      </c>
      <c r="F1615" s="6" t="str">
        <f t="shared" si="2"/>
        <v>Five Island Resort Gorgeous</v>
      </c>
      <c r="G1615" s="1" t="str">
        <f t="shared" si="3"/>
        <v>Five Island Resort Gorgeous</v>
      </c>
      <c r="H1615" s="5" t="str">
        <f t="shared" si="4"/>
        <v>Five Island Resort Gorgeous</v>
      </c>
    </row>
    <row r="1616" ht="12.75" customHeight="1">
      <c r="A1616" s="4" t="s">
        <v>3257</v>
      </c>
      <c r="B1616" s="5" t="s">
        <v>3257</v>
      </c>
      <c r="C1616" s="1" t="str">
        <f t="shared" si="1"/>
        <v/>
      </c>
      <c r="E1616" s="5" t="s">
        <v>3257</v>
      </c>
      <c r="F1616" s="6" t="str">
        <f t="shared" si="2"/>
        <v>#N/A</v>
      </c>
      <c r="G1616" s="1" t="str">
        <f t="shared" si="3"/>
        <v/>
      </c>
      <c r="H1616" s="5" t="str">
        <f t="shared" si="4"/>
        <v>2, 5, 35, TENTACOOL</v>
      </c>
    </row>
    <row r="1617" ht="12.75" customHeight="1">
      <c r="A1617" s="4" t="s">
        <v>3258</v>
      </c>
      <c r="B1617" s="5" t="s">
        <v>3258</v>
      </c>
      <c r="C1617" s="1" t="str">
        <f t="shared" si="1"/>
        <v/>
      </c>
      <c r="E1617" s="5" t="s">
        <v>3258</v>
      </c>
      <c r="F1617" s="6" t="str">
        <f t="shared" si="2"/>
        <v>#N/A</v>
      </c>
      <c r="G1617" s="1" t="str">
        <f t="shared" si="3"/>
        <v/>
      </c>
      <c r="H1617" s="5" t="str">
        <f t="shared" si="4"/>
        <v>5, 15, HOPPIP</v>
      </c>
    </row>
    <row r="1618" ht="12.75" customHeight="1">
      <c r="A1618" s="4" t="s">
        <v>2845</v>
      </c>
      <c r="B1618" s="5" t="s">
        <v>2845</v>
      </c>
      <c r="C1618" s="1" t="str">
        <f t="shared" si="1"/>
        <v/>
      </c>
      <c r="E1618" s="5" t="s">
        <v>2845</v>
      </c>
      <c r="F1618" s="6" t="str">
        <f t="shared" si="2"/>
        <v>#N/A</v>
      </c>
      <c r="G1618" s="1" t="str">
        <f t="shared" si="3"/>
        <v/>
      </c>
      <c r="H1618" s="5" t="str">
        <f t="shared" si="4"/>
        <v>35, 40, TENTACOOL</v>
      </c>
    </row>
    <row r="1619" ht="12.75" customHeight="1">
      <c r="A1619" s="4" t="s">
        <v>3232</v>
      </c>
      <c r="B1619" s="5" t="s">
        <v>3232</v>
      </c>
      <c r="C1619" s="1" t="str">
        <f t="shared" si="1"/>
        <v/>
      </c>
      <c r="E1619" s="5" t="s">
        <v>3232</v>
      </c>
      <c r="F1619" s="6" t="str">
        <f t="shared" si="2"/>
        <v>#N/A</v>
      </c>
      <c r="G1619" s="1" t="str">
        <f t="shared" si="3"/>
        <v/>
      </c>
      <c r="H1619" s="5" t="str">
        <f t="shared" si="4"/>
        <v>35, 40, TENTACRUEL</v>
      </c>
    </row>
    <row r="1620" ht="12.75" customHeight="1">
      <c r="A1620" s="4" t="s">
        <v>3232</v>
      </c>
      <c r="B1620" s="5" t="s">
        <v>3232</v>
      </c>
      <c r="C1620" s="1" t="str">
        <f t="shared" si="1"/>
        <v/>
      </c>
      <c r="E1620" s="5" t="s">
        <v>3232</v>
      </c>
      <c r="F1620" s="6" t="str">
        <f t="shared" si="2"/>
        <v>#N/A</v>
      </c>
      <c r="G1620" s="1" t="str">
        <f t="shared" si="3"/>
        <v/>
      </c>
      <c r="H1620" s="5" t="str">
        <f t="shared" si="4"/>
        <v>35, 40, TENTACRUEL</v>
      </c>
    </row>
    <row r="1621" ht="12.75" customHeight="1">
      <c r="A1621" s="4" t="s">
        <v>2926</v>
      </c>
      <c r="B1621" s="5" t="s">
        <v>2926</v>
      </c>
      <c r="C1621" s="1" t="str">
        <f t="shared" si="1"/>
        <v/>
      </c>
      <c r="E1621" s="5" t="s">
        <v>2926</v>
      </c>
      <c r="F1621" s="6" t="str">
        <f t="shared" si="2"/>
        <v>#N/A</v>
      </c>
      <c r="G1621" s="1" t="str">
        <f t="shared" si="3"/>
        <v/>
      </c>
      <c r="H1621" s="5" t="str">
        <f t="shared" si="4"/>
        <v>20, old rod:</v>
      </c>
    </row>
    <row r="1622" ht="12.75" customHeight="1">
      <c r="A1622" s="4" t="s">
        <v>417</v>
      </c>
      <c r="B1622" s="5" t="s">
        <v>417</v>
      </c>
      <c r="C1622" s="1" t="str">
        <f t="shared" si="1"/>
        <v/>
      </c>
      <c r="E1622" s="5" t="s">
        <v>417</v>
      </c>
      <c r="F1622" s="6" t="str">
        <f t="shared" si="2"/>
        <v>#N/A</v>
      </c>
      <c r="G1622" s="1" t="str">
        <f t="shared" si="3"/>
        <v/>
      </c>
      <c r="H1622" s="5" t="str">
        <f t="shared" si="4"/>
        <v>5, 5, MAGIKARP</v>
      </c>
    </row>
    <row r="1623" ht="12.75" customHeight="1">
      <c r="A1623" s="4" t="s">
        <v>417</v>
      </c>
      <c r="B1623" s="5" t="s">
        <v>417</v>
      </c>
      <c r="C1623" s="1" t="str">
        <f t="shared" si="1"/>
        <v/>
      </c>
      <c r="E1623" s="5" t="s">
        <v>417</v>
      </c>
      <c r="F1623" s="6" t="str">
        <f t="shared" si="2"/>
        <v>#N/A</v>
      </c>
      <c r="G1623" s="1" t="str">
        <f t="shared" si="3"/>
        <v/>
      </c>
      <c r="H1623" s="5" t="str">
        <f t="shared" si="4"/>
        <v>5, 5, MAGIKARP</v>
      </c>
    </row>
    <row r="1624" ht="12.75" customHeight="1">
      <c r="A1624" s="4" t="s">
        <v>2847</v>
      </c>
      <c r="B1624" s="5" t="s">
        <v>2847</v>
      </c>
      <c r="C1624" s="1" t="str">
        <f t="shared" si="1"/>
        <v/>
      </c>
      <c r="E1624" s="5" t="s">
        <v>2847</v>
      </c>
      <c r="F1624" s="6" t="str">
        <f t="shared" si="2"/>
        <v>#N/A</v>
      </c>
      <c r="G1624" s="1" t="str">
        <f t="shared" si="3"/>
        <v/>
      </c>
      <c r="H1624" s="5" t="str">
        <f t="shared" si="4"/>
        <v>good rod:</v>
      </c>
    </row>
    <row r="1625" ht="12.75" customHeight="1">
      <c r="A1625" s="4" t="s">
        <v>2848</v>
      </c>
      <c r="B1625" s="5" t="s">
        <v>2848</v>
      </c>
      <c r="C1625" s="1" t="str">
        <f t="shared" si="1"/>
        <v/>
      </c>
      <c r="E1625" s="5" t="s">
        <v>2848</v>
      </c>
      <c r="F1625" s="6" t="str">
        <f t="shared" si="2"/>
        <v>#N/A</v>
      </c>
      <c r="G1625" s="1" t="str">
        <f t="shared" si="3"/>
        <v/>
      </c>
      <c r="H1625" s="5" t="str">
        <f t="shared" si="4"/>
        <v>5, 15, KRABBY</v>
      </c>
    </row>
    <row r="1626" ht="12.75" customHeight="1">
      <c r="A1626" s="4" t="s">
        <v>2849</v>
      </c>
      <c r="B1626" s="5" t="s">
        <v>2849</v>
      </c>
      <c r="C1626" s="1" t="str">
        <f t="shared" si="1"/>
        <v/>
      </c>
      <c r="E1626" s="5" t="s">
        <v>2849</v>
      </c>
      <c r="F1626" s="6" t="str">
        <f t="shared" si="2"/>
        <v>#N/A</v>
      </c>
      <c r="G1626" s="1" t="str">
        <f t="shared" si="3"/>
        <v/>
      </c>
      <c r="H1626" s="5" t="str">
        <f t="shared" si="4"/>
        <v>5, 15, MAGIKARP</v>
      </c>
    </row>
    <row r="1627" ht="12.75" customHeight="1">
      <c r="A1627" s="4" t="s">
        <v>2848</v>
      </c>
      <c r="B1627" s="5" t="s">
        <v>2848</v>
      </c>
      <c r="C1627" s="1" t="str">
        <f t="shared" si="1"/>
        <v/>
      </c>
      <c r="E1627" s="5" t="s">
        <v>2848</v>
      </c>
      <c r="F1627" s="6" t="str">
        <f t="shared" si="2"/>
        <v>#N/A</v>
      </c>
      <c r="G1627" s="1" t="str">
        <f t="shared" si="3"/>
        <v/>
      </c>
      <c r="H1627" s="5" t="str">
        <f t="shared" si="4"/>
        <v>5, 15, KRABBY</v>
      </c>
    </row>
    <row r="1628" ht="12.75" customHeight="1">
      <c r="A1628" s="4" t="s">
        <v>2851</v>
      </c>
      <c r="B1628" s="5" t="s">
        <v>2851</v>
      </c>
      <c r="C1628" s="1" t="str">
        <f t="shared" si="1"/>
        <v/>
      </c>
      <c r="E1628" s="5" t="s">
        <v>2851</v>
      </c>
      <c r="F1628" s="6" t="str">
        <f t="shared" si="2"/>
        <v>#N/A</v>
      </c>
      <c r="G1628" s="1" t="str">
        <f t="shared" si="3"/>
        <v/>
      </c>
      <c r="H1628" s="5" t="str">
        <f t="shared" si="4"/>
        <v>super rod:</v>
      </c>
    </row>
    <row r="1629" ht="12.75" customHeight="1">
      <c r="A1629" s="4" t="s">
        <v>2852</v>
      </c>
      <c r="B1629" s="5" t="s">
        <v>2852</v>
      </c>
      <c r="C1629" s="1" t="str">
        <f t="shared" si="1"/>
        <v/>
      </c>
      <c r="E1629" s="5" t="s">
        <v>2852</v>
      </c>
      <c r="F1629" s="6" t="str">
        <f t="shared" si="2"/>
        <v>#N/A</v>
      </c>
      <c r="G1629" s="1" t="str">
        <f t="shared" si="3"/>
        <v/>
      </c>
      <c r="H1629" s="5" t="str">
        <f t="shared" si="4"/>
        <v>15, 25, KRABBY</v>
      </c>
    </row>
    <row r="1630" ht="12.75" customHeight="1">
      <c r="A1630" s="4" t="s">
        <v>3259</v>
      </c>
      <c r="B1630" s="5" t="s">
        <v>3259</v>
      </c>
      <c r="C1630" s="1" t="str">
        <f t="shared" si="1"/>
        <v/>
      </c>
      <c r="E1630" s="5" t="s">
        <v>3259</v>
      </c>
      <c r="F1630" s="6" t="str">
        <f t="shared" si="2"/>
        <v>#N/A</v>
      </c>
      <c r="G1630" s="1" t="str">
        <f t="shared" si="3"/>
        <v/>
      </c>
      <c r="H1630" s="5" t="str">
        <f t="shared" si="4"/>
        <v>15, 25, REMORAID</v>
      </c>
    </row>
    <row r="1631" ht="12.75" customHeight="1">
      <c r="A1631" s="4" t="s">
        <v>2854</v>
      </c>
      <c r="B1631" s="5" t="s">
        <v>2854</v>
      </c>
      <c r="C1631" s="1" t="str">
        <f t="shared" si="1"/>
        <v/>
      </c>
      <c r="E1631" s="5" t="s">
        <v>2854</v>
      </c>
      <c r="F1631" s="6" t="str">
        <f t="shared" si="2"/>
        <v>#N/A</v>
      </c>
      <c r="G1631" s="1" t="str">
        <f t="shared" si="3"/>
        <v/>
      </c>
      <c r="H1631" s="5" t="str">
        <f t="shared" si="4"/>
        <v>15, 25, GYARADOS</v>
      </c>
    </row>
    <row r="1632" ht="12.75" customHeight="1">
      <c r="A1632" s="4" t="s">
        <v>3178</v>
      </c>
      <c r="B1632" s="5" t="s">
        <v>3178</v>
      </c>
      <c r="C1632" s="1" t="str">
        <f t="shared" si="1"/>
        <v/>
      </c>
      <c r="E1632" s="5" t="s">
        <v>3178</v>
      </c>
      <c r="F1632" s="6" t="str">
        <f t="shared" si="2"/>
        <v>#N/A</v>
      </c>
      <c r="G1632" s="1" t="str">
        <f t="shared" si="3"/>
        <v/>
      </c>
      <c r="H1632" s="5" t="str">
        <f t="shared" si="4"/>
        <v>25, 35, KINGLER</v>
      </c>
    </row>
    <row r="1633" ht="12.75" customHeight="1">
      <c r="A1633" s="4" t="s">
        <v>2856</v>
      </c>
      <c r="B1633" s="5" t="s">
        <v>2856</v>
      </c>
      <c r="C1633" s="1" t="str">
        <f t="shared" si="1"/>
        <v/>
      </c>
      <c r="E1633" s="5" t="s">
        <v>2856</v>
      </c>
      <c r="F1633" s="6" t="str">
        <f t="shared" si="2"/>
        <v>#N/A</v>
      </c>
      <c r="G1633" s="1" t="str">
        <f t="shared" si="3"/>
        <v/>
      </c>
      <c r="H1633" s="5" t="str">
        <f t="shared" si="4"/>
        <v>25, 35, SLOWPOKE</v>
      </c>
    </row>
    <row r="1634" ht="12.75" customHeight="1">
      <c r="A1634" s="4" t="s">
        <v>2539</v>
      </c>
      <c r="B1634" s="5" t="s">
        <v>2539</v>
      </c>
      <c r="C1634" s="1">
        <f t="shared" si="1"/>
        <v>1</v>
      </c>
      <c r="E1634" s="5" t="s">
        <v>2539</v>
      </c>
      <c r="F1634" s="6" t="str">
        <f t="shared" si="2"/>
        <v>#N/A</v>
      </c>
      <c r="G1634" s="1" t="str">
        <f t="shared" si="3"/>
        <v/>
      </c>
      <c r="H1634" s="5" t="str">
        <f t="shared" si="4"/>
        <v>NEW ROUTE</v>
      </c>
    </row>
    <row r="1635" ht="12.75" customHeight="1">
      <c r="A1635" s="4" t="s">
        <v>2175</v>
      </c>
      <c r="B1635" s="5" t="s">
        <v>2175</v>
      </c>
      <c r="C1635" s="1" t="str">
        <f t="shared" si="1"/>
        <v/>
      </c>
      <c r="E1635" s="5" t="s">
        <v>2175</v>
      </c>
      <c r="F1635" s="6" t="str">
        <f t="shared" si="2"/>
        <v>Five Island Water Labyrinth</v>
      </c>
      <c r="G1635" s="1" t="str">
        <f t="shared" si="3"/>
        <v>Five Island Water Labyrinth</v>
      </c>
      <c r="H1635" s="5" t="str">
        <f t="shared" si="4"/>
        <v>Five Island Water Labyrinth</v>
      </c>
    </row>
    <row r="1636" ht="12.75" customHeight="1">
      <c r="A1636" s="4" t="s">
        <v>3257</v>
      </c>
      <c r="B1636" s="5" t="s">
        <v>3257</v>
      </c>
      <c r="C1636" s="1" t="str">
        <f t="shared" si="1"/>
        <v/>
      </c>
      <c r="E1636" s="5" t="s">
        <v>3257</v>
      </c>
      <c r="F1636" s="6" t="str">
        <f t="shared" si="2"/>
        <v>#N/A</v>
      </c>
      <c r="G1636" s="1" t="str">
        <f t="shared" si="3"/>
        <v/>
      </c>
      <c r="H1636" s="5" t="str">
        <f t="shared" si="4"/>
        <v>2, 5, 35, TENTACOOL</v>
      </c>
    </row>
    <row r="1637" ht="12.75" customHeight="1">
      <c r="A1637" s="4" t="s">
        <v>3258</v>
      </c>
      <c r="B1637" s="5" t="s">
        <v>3258</v>
      </c>
      <c r="C1637" s="1" t="str">
        <f t="shared" si="1"/>
        <v/>
      </c>
      <c r="E1637" s="5" t="s">
        <v>3258</v>
      </c>
      <c r="F1637" s="6" t="str">
        <f t="shared" si="2"/>
        <v>#N/A</v>
      </c>
      <c r="G1637" s="1" t="str">
        <f t="shared" si="3"/>
        <v/>
      </c>
      <c r="H1637" s="5" t="str">
        <f t="shared" si="4"/>
        <v>5, 15, HOPPIP</v>
      </c>
    </row>
    <row r="1638" ht="12.75" customHeight="1">
      <c r="A1638" s="4" t="s">
        <v>2845</v>
      </c>
      <c r="B1638" s="5" t="s">
        <v>2845</v>
      </c>
      <c r="C1638" s="1" t="str">
        <f t="shared" si="1"/>
        <v/>
      </c>
      <c r="E1638" s="5" t="s">
        <v>2845</v>
      </c>
      <c r="F1638" s="6" t="str">
        <f t="shared" si="2"/>
        <v>#N/A</v>
      </c>
      <c r="G1638" s="1" t="str">
        <f t="shared" si="3"/>
        <v/>
      </c>
      <c r="H1638" s="5" t="str">
        <f t="shared" si="4"/>
        <v>35, 40, TENTACOOL</v>
      </c>
    </row>
    <row r="1639" ht="12.75" customHeight="1">
      <c r="A1639" s="4" t="s">
        <v>3232</v>
      </c>
      <c r="B1639" s="5" t="s">
        <v>3232</v>
      </c>
      <c r="C1639" s="1" t="str">
        <f t="shared" si="1"/>
        <v/>
      </c>
      <c r="E1639" s="5" t="s">
        <v>3232</v>
      </c>
      <c r="F1639" s="6" t="str">
        <f t="shared" si="2"/>
        <v>#N/A</v>
      </c>
      <c r="G1639" s="1" t="str">
        <f t="shared" si="3"/>
        <v/>
      </c>
      <c r="H1639" s="5" t="str">
        <f t="shared" si="4"/>
        <v>35, 40, TENTACRUEL</v>
      </c>
    </row>
    <row r="1640" ht="12.75" customHeight="1">
      <c r="A1640" s="4" t="s">
        <v>3232</v>
      </c>
      <c r="B1640" s="5" t="s">
        <v>3232</v>
      </c>
      <c r="C1640" s="1" t="str">
        <f t="shared" si="1"/>
        <v/>
      </c>
      <c r="E1640" s="5" t="s">
        <v>3232</v>
      </c>
      <c r="F1640" s="6" t="str">
        <f t="shared" si="2"/>
        <v>#N/A</v>
      </c>
      <c r="G1640" s="1" t="str">
        <f t="shared" si="3"/>
        <v/>
      </c>
      <c r="H1640" s="5" t="str">
        <f t="shared" si="4"/>
        <v>35, 40, TENTACRUEL</v>
      </c>
    </row>
    <row r="1641" ht="12.75" customHeight="1">
      <c r="A1641" s="4" t="s">
        <v>2926</v>
      </c>
      <c r="B1641" s="5" t="s">
        <v>2926</v>
      </c>
      <c r="C1641" s="1" t="str">
        <f t="shared" si="1"/>
        <v/>
      </c>
      <c r="E1641" s="5" t="s">
        <v>2926</v>
      </c>
      <c r="F1641" s="6" t="str">
        <f t="shared" si="2"/>
        <v>#N/A</v>
      </c>
      <c r="G1641" s="1" t="str">
        <f t="shared" si="3"/>
        <v/>
      </c>
      <c r="H1641" s="5" t="str">
        <f t="shared" si="4"/>
        <v>20, old rod:</v>
      </c>
    </row>
    <row r="1642" ht="12.75" customHeight="1">
      <c r="A1642" s="4" t="s">
        <v>417</v>
      </c>
      <c r="B1642" s="5" t="s">
        <v>417</v>
      </c>
      <c r="C1642" s="1" t="str">
        <f t="shared" si="1"/>
        <v/>
      </c>
      <c r="E1642" s="5" t="s">
        <v>417</v>
      </c>
      <c r="F1642" s="6" t="str">
        <f t="shared" si="2"/>
        <v>#N/A</v>
      </c>
      <c r="G1642" s="1" t="str">
        <f t="shared" si="3"/>
        <v/>
      </c>
      <c r="H1642" s="5" t="str">
        <f t="shared" si="4"/>
        <v>5, 5, MAGIKARP</v>
      </c>
    </row>
    <row r="1643" ht="12.75" customHeight="1">
      <c r="A1643" s="4" t="s">
        <v>417</v>
      </c>
      <c r="B1643" s="5" t="s">
        <v>417</v>
      </c>
      <c r="C1643" s="1" t="str">
        <f t="shared" si="1"/>
        <v/>
      </c>
      <c r="E1643" s="5" t="s">
        <v>417</v>
      </c>
      <c r="F1643" s="6" t="str">
        <f t="shared" si="2"/>
        <v>#N/A</v>
      </c>
      <c r="G1643" s="1" t="str">
        <f t="shared" si="3"/>
        <v/>
      </c>
      <c r="H1643" s="5" t="str">
        <f t="shared" si="4"/>
        <v>5, 5, MAGIKARP</v>
      </c>
    </row>
    <row r="1644" ht="12.75" customHeight="1">
      <c r="A1644" s="4" t="s">
        <v>2847</v>
      </c>
      <c r="B1644" s="5" t="s">
        <v>2847</v>
      </c>
      <c r="C1644" s="1" t="str">
        <f t="shared" si="1"/>
        <v/>
      </c>
      <c r="E1644" s="5" t="s">
        <v>2847</v>
      </c>
      <c r="F1644" s="6" t="str">
        <f t="shared" si="2"/>
        <v>#N/A</v>
      </c>
      <c r="G1644" s="1" t="str">
        <f t="shared" si="3"/>
        <v/>
      </c>
      <c r="H1644" s="5" t="str">
        <f t="shared" si="4"/>
        <v>good rod:</v>
      </c>
    </row>
    <row r="1645" ht="12.75" customHeight="1">
      <c r="A1645" s="4" t="s">
        <v>2848</v>
      </c>
      <c r="B1645" s="5" t="s">
        <v>2848</v>
      </c>
      <c r="C1645" s="1" t="str">
        <f t="shared" si="1"/>
        <v/>
      </c>
      <c r="E1645" s="5" t="s">
        <v>2848</v>
      </c>
      <c r="F1645" s="6" t="str">
        <f t="shared" si="2"/>
        <v>#N/A</v>
      </c>
      <c r="G1645" s="1" t="str">
        <f t="shared" si="3"/>
        <v/>
      </c>
      <c r="H1645" s="5" t="str">
        <f t="shared" si="4"/>
        <v>5, 15, KRABBY</v>
      </c>
    </row>
    <row r="1646" ht="12.75" customHeight="1">
      <c r="A1646" s="4" t="s">
        <v>2849</v>
      </c>
      <c r="B1646" s="5" t="s">
        <v>2849</v>
      </c>
      <c r="C1646" s="1" t="str">
        <f t="shared" si="1"/>
        <v/>
      </c>
      <c r="E1646" s="5" t="s">
        <v>2849</v>
      </c>
      <c r="F1646" s="6" t="str">
        <f t="shared" si="2"/>
        <v>#N/A</v>
      </c>
      <c r="G1646" s="1" t="str">
        <f t="shared" si="3"/>
        <v/>
      </c>
      <c r="H1646" s="5" t="str">
        <f t="shared" si="4"/>
        <v>5, 15, MAGIKARP</v>
      </c>
    </row>
    <row r="1647" ht="12.75" customHeight="1">
      <c r="A1647" s="4" t="s">
        <v>2848</v>
      </c>
      <c r="B1647" s="5" t="s">
        <v>2848</v>
      </c>
      <c r="C1647" s="1" t="str">
        <f t="shared" si="1"/>
        <v/>
      </c>
      <c r="E1647" s="5" t="s">
        <v>2848</v>
      </c>
      <c r="F1647" s="6" t="str">
        <f t="shared" si="2"/>
        <v>#N/A</v>
      </c>
      <c r="G1647" s="1" t="str">
        <f t="shared" si="3"/>
        <v/>
      </c>
      <c r="H1647" s="5" t="str">
        <f t="shared" si="4"/>
        <v>5, 15, KRABBY</v>
      </c>
    </row>
    <row r="1648" ht="12.75" customHeight="1">
      <c r="A1648" s="4" t="s">
        <v>2851</v>
      </c>
      <c r="B1648" s="5" t="s">
        <v>2851</v>
      </c>
      <c r="C1648" s="1" t="str">
        <f t="shared" si="1"/>
        <v/>
      </c>
      <c r="E1648" s="5" t="s">
        <v>2851</v>
      </c>
      <c r="F1648" s="6" t="str">
        <f t="shared" si="2"/>
        <v>#N/A</v>
      </c>
      <c r="G1648" s="1" t="str">
        <f t="shared" si="3"/>
        <v/>
      </c>
      <c r="H1648" s="5" t="str">
        <f t="shared" si="4"/>
        <v>super rod:</v>
      </c>
    </row>
    <row r="1649" ht="12.75" customHeight="1">
      <c r="A1649" s="4" t="s">
        <v>2852</v>
      </c>
      <c r="B1649" s="5" t="s">
        <v>2852</v>
      </c>
      <c r="C1649" s="1" t="str">
        <f t="shared" si="1"/>
        <v/>
      </c>
      <c r="E1649" s="5" t="s">
        <v>2852</v>
      </c>
      <c r="F1649" s="6" t="str">
        <f t="shared" si="2"/>
        <v>#N/A</v>
      </c>
      <c r="G1649" s="1" t="str">
        <f t="shared" si="3"/>
        <v/>
      </c>
      <c r="H1649" s="5" t="str">
        <f t="shared" si="4"/>
        <v>15, 25, KRABBY</v>
      </c>
    </row>
    <row r="1650" ht="12.75" customHeight="1">
      <c r="A1650" s="4" t="s">
        <v>3259</v>
      </c>
      <c r="B1650" s="5" t="s">
        <v>3259</v>
      </c>
      <c r="C1650" s="1" t="str">
        <f t="shared" si="1"/>
        <v/>
      </c>
      <c r="E1650" s="5" t="s">
        <v>3259</v>
      </c>
      <c r="F1650" s="6" t="str">
        <f t="shared" si="2"/>
        <v>#N/A</v>
      </c>
      <c r="G1650" s="1" t="str">
        <f t="shared" si="3"/>
        <v/>
      </c>
      <c r="H1650" s="5" t="str">
        <f t="shared" si="4"/>
        <v>15, 25, REMORAID</v>
      </c>
    </row>
    <row r="1651" ht="12.75" customHeight="1">
      <c r="A1651" s="4" t="s">
        <v>2854</v>
      </c>
      <c r="B1651" s="5" t="s">
        <v>2854</v>
      </c>
      <c r="C1651" s="1" t="str">
        <f t="shared" si="1"/>
        <v/>
      </c>
      <c r="E1651" s="5" t="s">
        <v>2854</v>
      </c>
      <c r="F1651" s="6" t="str">
        <f t="shared" si="2"/>
        <v>#N/A</v>
      </c>
      <c r="G1651" s="1" t="str">
        <f t="shared" si="3"/>
        <v/>
      </c>
      <c r="H1651" s="5" t="str">
        <f t="shared" si="4"/>
        <v>15, 25, GYARADOS</v>
      </c>
    </row>
    <row r="1652" ht="12.75" customHeight="1">
      <c r="A1652" s="4" t="s">
        <v>3178</v>
      </c>
      <c r="B1652" s="5" t="s">
        <v>3178</v>
      </c>
      <c r="C1652" s="1" t="str">
        <f t="shared" si="1"/>
        <v/>
      </c>
      <c r="E1652" s="5" t="s">
        <v>3178</v>
      </c>
      <c r="F1652" s="6" t="str">
        <f t="shared" si="2"/>
        <v>#N/A</v>
      </c>
      <c r="G1652" s="1" t="str">
        <f t="shared" si="3"/>
        <v/>
      </c>
      <c r="H1652" s="5" t="str">
        <f t="shared" si="4"/>
        <v>25, 35, KINGLER</v>
      </c>
    </row>
    <row r="1653" ht="12.75" customHeight="1">
      <c r="A1653" s="4" t="s">
        <v>2856</v>
      </c>
      <c r="B1653" s="5" t="s">
        <v>2856</v>
      </c>
      <c r="C1653" s="1" t="str">
        <f t="shared" si="1"/>
        <v/>
      </c>
      <c r="E1653" s="5" t="s">
        <v>2856</v>
      </c>
      <c r="F1653" s="6" t="str">
        <f t="shared" si="2"/>
        <v>#N/A</v>
      </c>
      <c r="G1653" s="1" t="str">
        <f t="shared" si="3"/>
        <v/>
      </c>
      <c r="H1653" s="5" t="str">
        <f t="shared" si="4"/>
        <v>25, 35, SLOWPOKE</v>
      </c>
    </row>
    <row r="1654" ht="12.75" customHeight="1">
      <c r="A1654" s="4" t="s">
        <v>2539</v>
      </c>
      <c r="B1654" s="5" t="s">
        <v>2539</v>
      </c>
      <c r="C1654" s="1">
        <f t="shared" si="1"/>
        <v>1</v>
      </c>
      <c r="E1654" s="5" t="s">
        <v>2539</v>
      </c>
      <c r="F1654" s="6" t="str">
        <f t="shared" si="2"/>
        <v>#N/A</v>
      </c>
      <c r="G1654" s="1" t="str">
        <f t="shared" si="3"/>
        <v/>
      </c>
      <c r="H1654" s="5" t="str">
        <f t="shared" si="4"/>
        <v>NEW ROUTE</v>
      </c>
    </row>
    <row r="1655" ht="12.75" customHeight="1">
      <c r="A1655" s="4" t="s">
        <v>2177</v>
      </c>
      <c r="B1655" s="5" t="s">
        <v>2177</v>
      </c>
      <c r="C1655" s="1" t="str">
        <f t="shared" si="1"/>
        <v/>
      </c>
      <c r="E1655" s="5" t="s">
        <v>2177</v>
      </c>
      <c r="F1655" s="6" t="str">
        <f t="shared" si="2"/>
        <v>Five Island Meadow</v>
      </c>
      <c r="G1655" s="1" t="str">
        <f t="shared" si="3"/>
        <v>Five Island Meadow</v>
      </c>
      <c r="H1655" s="5" t="str">
        <f t="shared" si="4"/>
        <v>Five Island Meadow</v>
      </c>
    </row>
    <row r="1656" ht="12.75" customHeight="1">
      <c r="A1656" s="4" t="s">
        <v>2799</v>
      </c>
      <c r="B1656" s="5">
        <v>0.2</v>
      </c>
      <c r="C1656" s="1" t="str">
        <f t="shared" si="1"/>
        <v/>
      </c>
      <c r="E1656" s="5">
        <v>0.2</v>
      </c>
      <c r="F1656" s="6" t="str">
        <f t="shared" si="2"/>
        <v>#N/A</v>
      </c>
      <c r="G1656" s="1" t="str">
        <f t="shared" si="3"/>
        <v/>
      </c>
      <c r="H1656" s="5">
        <f t="shared" si="4"/>
        <v>0.2</v>
      </c>
    </row>
    <row r="1657" ht="12.75" customHeight="1">
      <c r="A1657" s="4" t="s">
        <v>866</v>
      </c>
      <c r="B1657" s="5" t="s">
        <v>866</v>
      </c>
      <c r="C1657" s="1" t="str">
        <f t="shared" si="1"/>
        <v/>
      </c>
      <c r="E1657" s="5" t="s">
        <v>866</v>
      </c>
      <c r="F1657" s="6" t="str">
        <f t="shared" si="2"/>
        <v>#N/A</v>
      </c>
      <c r="G1657" s="1" t="str">
        <f t="shared" si="3"/>
        <v/>
      </c>
      <c r="H1657" s="5" t="str">
        <f t="shared" si="4"/>
        <v>44, 44, PIDGEY</v>
      </c>
    </row>
    <row r="1658" ht="12.75" customHeight="1">
      <c r="A1658" s="4" t="s">
        <v>3262</v>
      </c>
      <c r="B1658" s="5" t="s">
        <v>3262</v>
      </c>
      <c r="C1658" s="1" t="str">
        <f t="shared" si="1"/>
        <v/>
      </c>
      <c r="E1658" s="5" t="s">
        <v>3262</v>
      </c>
      <c r="F1658" s="6" t="str">
        <f t="shared" si="2"/>
        <v>#N/A</v>
      </c>
      <c r="G1658" s="1" t="str">
        <f t="shared" si="3"/>
        <v/>
      </c>
      <c r="H1658" s="5" t="str">
        <f t="shared" si="4"/>
        <v>10, 10, SENTRET</v>
      </c>
    </row>
    <row r="1659" ht="12.75" customHeight="1">
      <c r="A1659" s="4" t="s">
        <v>2802</v>
      </c>
      <c r="B1659" s="5">
        <v>0.1</v>
      </c>
      <c r="C1659" s="1" t="str">
        <f t="shared" si="1"/>
        <v/>
      </c>
      <c r="E1659" s="5">
        <v>0.1</v>
      </c>
      <c r="F1659" s="6" t="str">
        <f t="shared" si="2"/>
        <v>#N/A</v>
      </c>
      <c r="G1659" s="1" t="str">
        <f t="shared" si="3"/>
        <v/>
      </c>
      <c r="H1659" s="5">
        <f t="shared" si="4"/>
        <v>0.1</v>
      </c>
    </row>
    <row r="1660" ht="12.75" customHeight="1">
      <c r="A1660" s="4" t="s">
        <v>3263</v>
      </c>
      <c r="B1660" s="5" t="s">
        <v>3263</v>
      </c>
      <c r="C1660" s="1" t="str">
        <f t="shared" si="1"/>
        <v/>
      </c>
      <c r="E1660" s="5" t="s">
        <v>3263</v>
      </c>
      <c r="F1660" s="6" t="str">
        <f t="shared" si="2"/>
        <v>#N/A</v>
      </c>
      <c r="G1660" s="1" t="str">
        <f t="shared" si="3"/>
        <v/>
      </c>
      <c r="H1660" s="5" t="str">
        <f t="shared" si="4"/>
        <v>48, 48, PIDGEOTTO</v>
      </c>
    </row>
    <row r="1661" ht="12.75" customHeight="1">
      <c r="A1661" s="4" t="s">
        <v>877</v>
      </c>
      <c r="B1661" s="5" t="s">
        <v>877</v>
      </c>
      <c r="C1661" s="1" t="str">
        <f t="shared" si="1"/>
        <v/>
      </c>
      <c r="E1661" s="5" t="s">
        <v>877</v>
      </c>
      <c r="F1661" s="6" t="str">
        <f t="shared" si="2"/>
        <v>#N/A</v>
      </c>
      <c r="G1661" s="1" t="str">
        <f t="shared" si="3"/>
        <v/>
      </c>
      <c r="H1661" s="5" t="str">
        <f t="shared" si="4"/>
        <v>10, 10, HOPPIP</v>
      </c>
    </row>
    <row r="1662" ht="12.75" customHeight="1">
      <c r="A1662" s="4" t="s">
        <v>3264</v>
      </c>
      <c r="B1662" s="5" t="s">
        <v>3264</v>
      </c>
      <c r="C1662" s="1" t="str">
        <f t="shared" si="1"/>
        <v/>
      </c>
      <c r="E1662" s="5" t="s">
        <v>3264</v>
      </c>
      <c r="F1662" s="6" t="str">
        <f t="shared" si="2"/>
        <v>#N/A</v>
      </c>
      <c r="G1662" s="1" t="str">
        <f t="shared" si="3"/>
        <v/>
      </c>
      <c r="H1662" s="5" t="str">
        <f t="shared" si="4"/>
        <v>15, 15, SENTRET</v>
      </c>
    </row>
    <row r="1663" ht="12.75" customHeight="1">
      <c r="A1663" s="4" t="s">
        <v>3265</v>
      </c>
      <c r="B1663" s="5" t="s">
        <v>3265</v>
      </c>
      <c r="C1663" s="1" t="str">
        <f t="shared" si="1"/>
        <v/>
      </c>
      <c r="E1663" s="5" t="s">
        <v>3265</v>
      </c>
      <c r="F1663" s="6" t="str">
        <f t="shared" si="2"/>
        <v>#N/A</v>
      </c>
      <c r="G1663" s="1" t="str">
        <f t="shared" si="3"/>
        <v/>
      </c>
      <c r="H1663" s="5" t="str">
        <f t="shared" si="4"/>
        <v>41, 41, MEOWTH</v>
      </c>
    </row>
    <row r="1664" ht="12.75" customHeight="1">
      <c r="A1664" s="4" t="s">
        <v>2807</v>
      </c>
      <c r="B1664" s="5">
        <v>0.05</v>
      </c>
      <c r="C1664" s="1" t="str">
        <f t="shared" si="1"/>
        <v/>
      </c>
      <c r="E1664" s="5">
        <v>0.05</v>
      </c>
      <c r="F1664" s="6" t="str">
        <f t="shared" si="2"/>
        <v>#N/A</v>
      </c>
      <c r="G1664" s="1" t="str">
        <f t="shared" si="3"/>
        <v/>
      </c>
      <c r="H1664" s="5">
        <f t="shared" si="4"/>
        <v>0.05</v>
      </c>
    </row>
    <row r="1665" ht="12.75" customHeight="1">
      <c r="A1665" s="4" t="s">
        <v>3266</v>
      </c>
      <c r="B1665" s="5" t="s">
        <v>3266</v>
      </c>
      <c r="C1665" s="1" t="str">
        <f t="shared" si="1"/>
        <v/>
      </c>
      <c r="E1665" s="5" t="s">
        <v>3266</v>
      </c>
      <c r="F1665" s="6" t="str">
        <f t="shared" si="2"/>
        <v>#N/A</v>
      </c>
      <c r="G1665" s="1" t="str">
        <f t="shared" si="3"/>
        <v/>
      </c>
      <c r="H1665" s="5" t="str">
        <f t="shared" si="4"/>
        <v>15, 15, HOPPIP</v>
      </c>
    </row>
    <row r="1666" ht="12.75" customHeight="1">
      <c r="A1666" s="4" t="s">
        <v>3155</v>
      </c>
      <c r="B1666" s="5" t="s">
        <v>3155</v>
      </c>
      <c r="C1666" s="1" t="str">
        <f t="shared" si="1"/>
        <v/>
      </c>
      <c r="E1666" s="5" t="s">
        <v>3155</v>
      </c>
      <c r="F1666" s="6" t="str">
        <f t="shared" si="2"/>
        <v>#N/A</v>
      </c>
      <c r="G1666" s="1" t="str">
        <f t="shared" si="3"/>
        <v/>
      </c>
      <c r="H1666" s="5" t="str">
        <f t="shared" si="4"/>
        <v>41, 41, SLOWPOKE</v>
      </c>
    </row>
    <row r="1667" ht="12.75" customHeight="1">
      <c r="A1667" s="4" t="s">
        <v>2810</v>
      </c>
      <c r="B1667" s="5">
        <v>0.04</v>
      </c>
      <c r="C1667" s="1" t="str">
        <f t="shared" si="1"/>
        <v/>
      </c>
      <c r="E1667" s="5">
        <v>0.04</v>
      </c>
      <c r="F1667" s="6" t="str">
        <f t="shared" si="2"/>
        <v>#N/A</v>
      </c>
      <c r="G1667" s="1" t="str">
        <f t="shared" si="3"/>
        <v/>
      </c>
      <c r="H1667" s="5">
        <f t="shared" si="4"/>
        <v>0.04</v>
      </c>
    </row>
    <row r="1668" ht="12.75" customHeight="1">
      <c r="A1668" s="4" t="s">
        <v>3267</v>
      </c>
      <c r="B1668" s="5" t="s">
        <v>3267</v>
      </c>
      <c r="C1668" s="1" t="str">
        <f t="shared" si="1"/>
        <v/>
      </c>
      <c r="E1668" s="5" t="s">
        <v>3267</v>
      </c>
      <c r="F1668" s="6" t="str">
        <f t="shared" si="2"/>
        <v>#N/A</v>
      </c>
      <c r="G1668" s="1" t="str">
        <f t="shared" si="3"/>
        <v/>
      </c>
      <c r="H1668" s="5" t="str">
        <f t="shared" si="4"/>
        <v>50, 50, PIDGEOTTO</v>
      </c>
    </row>
    <row r="1669" ht="12.75" customHeight="1">
      <c r="A1669" s="4" t="s">
        <v>3268</v>
      </c>
      <c r="B1669" s="5" t="s">
        <v>3268</v>
      </c>
      <c r="C1669" s="1" t="str">
        <f t="shared" si="1"/>
        <v/>
      </c>
      <c r="E1669" s="5" t="s">
        <v>3268</v>
      </c>
      <c r="F1669" s="6" t="str">
        <f t="shared" si="2"/>
        <v>#N/A</v>
      </c>
      <c r="G1669" s="1" t="str">
        <f t="shared" si="3"/>
        <v/>
      </c>
      <c r="H1669" s="5" t="str">
        <f t="shared" si="4"/>
        <v>47, 47, PERSIAN</v>
      </c>
    </row>
    <row r="1670" ht="12.75" customHeight="1">
      <c r="A1670" s="4" t="s">
        <v>2813</v>
      </c>
      <c r="B1670" s="5">
        <v>0.01</v>
      </c>
      <c r="C1670" s="1" t="str">
        <f t="shared" si="1"/>
        <v/>
      </c>
      <c r="E1670" s="5">
        <v>0.01</v>
      </c>
      <c r="F1670" s="6" t="str">
        <f t="shared" si="2"/>
        <v>#N/A</v>
      </c>
      <c r="G1670" s="1" t="str">
        <f t="shared" si="3"/>
        <v/>
      </c>
      <c r="H1670" s="5">
        <f t="shared" si="4"/>
        <v>0.01</v>
      </c>
    </row>
    <row r="1671" ht="12.75" customHeight="1">
      <c r="A1671" s="4" t="s">
        <v>3267</v>
      </c>
      <c r="B1671" s="5" t="s">
        <v>3267</v>
      </c>
      <c r="C1671" s="1" t="str">
        <f t="shared" si="1"/>
        <v/>
      </c>
      <c r="E1671" s="5" t="s">
        <v>3267</v>
      </c>
      <c r="F1671" s="6" t="str">
        <f t="shared" si="2"/>
        <v>#N/A</v>
      </c>
      <c r="G1671" s="1" t="str">
        <f t="shared" si="3"/>
        <v/>
      </c>
      <c r="H1671" s="5" t="str">
        <f t="shared" si="4"/>
        <v>50, 50, PIDGEOTTO</v>
      </c>
    </row>
    <row r="1672" ht="12.75" customHeight="1">
      <c r="A1672" s="4" t="s">
        <v>3269</v>
      </c>
      <c r="B1672" s="5" t="s">
        <v>3269</v>
      </c>
      <c r="C1672" s="1" t="str">
        <f t="shared" si="1"/>
        <v/>
      </c>
      <c r="E1672" s="5" t="s">
        <v>3269</v>
      </c>
      <c r="F1672" s="6" t="str">
        <f t="shared" si="2"/>
        <v>#N/A</v>
      </c>
      <c r="G1672" s="1" t="str">
        <f t="shared" si="3"/>
        <v/>
      </c>
      <c r="H1672" s="5" t="str">
        <f t="shared" si="4"/>
        <v>50, 50, PERSIAN</v>
      </c>
    </row>
    <row r="1673" ht="12.75" customHeight="1">
      <c r="A1673" s="4" t="s">
        <v>3257</v>
      </c>
      <c r="B1673" s="5" t="s">
        <v>3257</v>
      </c>
      <c r="C1673" s="1" t="str">
        <f t="shared" si="1"/>
        <v/>
      </c>
      <c r="E1673" s="5" t="s">
        <v>3257</v>
      </c>
      <c r="F1673" s="6" t="str">
        <f t="shared" si="2"/>
        <v>#N/A</v>
      </c>
      <c r="G1673" s="1" t="str">
        <f t="shared" si="3"/>
        <v/>
      </c>
      <c r="H1673" s="5" t="str">
        <f t="shared" si="4"/>
        <v>2, 5, 35, TENTACOOL</v>
      </c>
    </row>
    <row r="1674" ht="12.75" customHeight="1">
      <c r="A1674" s="4" t="s">
        <v>3258</v>
      </c>
      <c r="B1674" s="5" t="s">
        <v>3258</v>
      </c>
      <c r="C1674" s="1" t="str">
        <f t="shared" si="1"/>
        <v/>
      </c>
      <c r="E1674" s="5" t="s">
        <v>3258</v>
      </c>
      <c r="F1674" s="6" t="str">
        <f t="shared" si="2"/>
        <v>#N/A</v>
      </c>
      <c r="G1674" s="1" t="str">
        <f t="shared" si="3"/>
        <v/>
      </c>
      <c r="H1674" s="5" t="str">
        <f t="shared" si="4"/>
        <v>5, 15, HOPPIP</v>
      </c>
    </row>
    <row r="1675" ht="12.75" customHeight="1">
      <c r="A1675" s="4" t="s">
        <v>2845</v>
      </c>
      <c r="B1675" s="5" t="s">
        <v>2845</v>
      </c>
      <c r="C1675" s="1" t="str">
        <f t="shared" si="1"/>
        <v/>
      </c>
      <c r="E1675" s="5" t="s">
        <v>2845</v>
      </c>
      <c r="F1675" s="6" t="str">
        <f t="shared" si="2"/>
        <v>#N/A</v>
      </c>
      <c r="G1675" s="1" t="str">
        <f t="shared" si="3"/>
        <v/>
      </c>
      <c r="H1675" s="5" t="str">
        <f t="shared" si="4"/>
        <v>35, 40, TENTACOOL</v>
      </c>
    </row>
    <row r="1676" ht="12.75" customHeight="1">
      <c r="A1676" s="4" t="s">
        <v>3232</v>
      </c>
      <c r="B1676" s="5" t="s">
        <v>3232</v>
      </c>
      <c r="C1676" s="1" t="str">
        <f t="shared" si="1"/>
        <v/>
      </c>
      <c r="E1676" s="5" t="s">
        <v>3232</v>
      </c>
      <c r="F1676" s="6" t="str">
        <f t="shared" si="2"/>
        <v>#N/A</v>
      </c>
      <c r="G1676" s="1" t="str">
        <f t="shared" si="3"/>
        <v/>
      </c>
      <c r="H1676" s="5" t="str">
        <f t="shared" si="4"/>
        <v>35, 40, TENTACRUEL</v>
      </c>
    </row>
    <row r="1677" ht="12.75" customHeight="1">
      <c r="A1677" s="4" t="s">
        <v>3232</v>
      </c>
      <c r="B1677" s="5" t="s">
        <v>3232</v>
      </c>
      <c r="C1677" s="1" t="str">
        <f t="shared" si="1"/>
        <v/>
      </c>
      <c r="E1677" s="5" t="s">
        <v>3232</v>
      </c>
      <c r="F1677" s="6" t="str">
        <f t="shared" si="2"/>
        <v>#N/A</v>
      </c>
      <c r="G1677" s="1" t="str">
        <f t="shared" si="3"/>
        <v/>
      </c>
      <c r="H1677" s="5" t="str">
        <f t="shared" si="4"/>
        <v>35, 40, TENTACRUEL</v>
      </c>
    </row>
    <row r="1678" ht="12.75" customHeight="1">
      <c r="A1678" s="4" t="s">
        <v>2926</v>
      </c>
      <c r="B1678" s="5" t="s">
        <v>2926</v>
      </c>
      <c r="C1678" s="1" t="str">
        <f t="shared" si="1"/>
        <v/>
      </c>
      <c r="E1678" s="5" t="s">
        <v>2926</v>
      </c>
      <c r="F1678" s="6" t="str">
        <f t="shared" si="2"/>
        <v>#N/A</v>
      </c>
      <c r="G1678" s="1" t="str">
        <f t="shared" si="3"/>
        <v/>
      </c>
      <c r="H1678" s="5" t="str">
        <f t="shared" si="4"/>
        <v>20, old rod:</v>
      </c>
    </row>
    <row r="1679" ht="12.75" customHeight="1">
      <c r="A1679" s="4" t="s">
        <v>417</v>
      </c>
      <c r="B1679" s="5" t="s">
        <v>417</v>
      </c>
      <c r="C1679" s="1" t="str">
        <f t="shared" si="1"/>
        <v/>
      </c>
      <c r="E1679" s="5" t="s">
        <v>417</v>
      </c>
      <c r="F1679" s="6" t="str">
        <f t="shared" si="2"/>
        <v>#N/A</v>
      </c>
      <c r="G1679" s="1" t="str">
        <f t="shared" si="3"/>
        <v/>
      </c>
      <c r="H1679" s="5" t="str">
        <f t="shared" si="4"/>
        <v>5, 5, MAGIKARP</v>
      </c>
    </row>
    <row r="1680" ht="12.75" customHeight="1">
      <c r="A1680" s="4" t="s">
        <v>417</v>
      </c>
      <c r="B1680" s="5" t="s">
        <v>417</v>
      </c>
      <c r="C1680" s="1" t="str">
        <f t="shared" si="1"/>
        <v/>
      </c>
      <c r="E1680" s="5" t="s">
        <v>417</v>
      </c>
      <c r="F1680" s="6" t="str">
        <f t="shared" si="2"/>
        <v>#N/A</v>
      </c>
      <c r="G1680" s="1" t="str">
        <f t="shared" si="3"/>
        <v/>
      </c>
      <c r="H1680" s="5" t="str">
        <f t="shared" si="4"/>
        <v>5, 5, MAGIKARP</v>
      </c>
    </row>
    <row r="1681" ht="12.75" customHeight="1">
      <c r="A1681" s="4" t="s">
        <v>2847</v>
      </c>
      <c r="B1681" s="5" t="s">
        <v>2847</v>
      </c>
      <c r="C1681" s="1" t="str">
        <f t="shared" si="1"/>
        <v/>
      </c>
      <c r="E1681" s="5" t="s">
        <v>2847</v>
      </c>
      <c r="F1681" s="6" t="str">
        <f t="shared" si="2"/>
        <v>#N/A</v>
      </c>
      <c r="G1681" s="1" t="str">
        <f t="shared" si="3"/>
        <v/>
      </c>
      <c r="H1681" s="5" t="str">
        <f t="shared" si="4"/>
        <v>good rod:</v>
      </c>
    </row>
    <row r="1682" ht="12.75" customHeight="1">
      <c r="A1682" s="4" t="s">
        <v>2848</v>
      </c>
      <c r="B1682" s="5" t="s">
        <v>2848</v>
      </c>
      <c r="C1682" s="1" t="str">
        <f t="shared" si="1"/>
        <v/>
      </c>
      <c r="E1682" s="5" t="s">
        <v>2848</v>
      </c>
      <c r="F1682" s="6" t="str">
        <f t="shared" si="2"/>
        <v>#N/A</v>
      </c>
      <c r="G1682" s="1" t="str">
        <f t="shared" si="3"/>
        <v/>
      </c>
      <c r="H1682" s="5" t="str">
        <f t="shared" si="4"/>
        <v>5, 15, KRABBY</v>
      </c>
    </row>
    <row r="1683" ht="12.75" customHeight="1">
      <c r="A1683" s="4" t="s">
        <v>2849</v>
      </c>
      <c r="B1683" s="5" t="s">
        <v>2849</v>
      </c>
      <c r="C1683" s="1" t="str">
        <f t="shared" si="1"/>
        <v/>
      </c>
      <c r="E1683" s="5" t="s">
        <v>2849</v>
      </c>
      <c r="F1683" s="6" t="str">
        <f t="shared" si="2"/>
        <v>#N/A</v>
      </c>
      <c r="G1683" s="1" t="str">
        <f t="shared" si="3"/>
        <v/>
      </c>
      <c r="H1683" s="5" t="str">
        <f t="shared" si="4"/>
        <v>5, 15, MAGIKARP</v>
      </c>
    </row>
    <row r="1684" ht="12.75" customHeight="1">
      <c r="A1684" s="4" t="s">
        <v>2848</v>
      </c>
      <c r="B1684" s="5" t="s">
        <v>2848</v>
      </c>
      <c r="C1684" s="1" t="str">
        <f t="shared" si="1"/>
        <v/>
      </c>
      <c r="E1684" s="5" t="s">
        <v>2848</v>
      </c>
      <c r="F1684" s="6" t="str">
        <f t="shared" si="2"/>
        <v>#N/A</v>
      </c>
      <c r="G1684" s="1" t="str">
        <f t="shared" si="3"/>
        <v/>
      </c>
      <c r="H1684" s="5" t="str">
        <f t="shared" si="4"/>
        <v>5, 15, KRABBY</v>
      </c>
    </row>
    <row r="1685" ht="12.75" customHeight="1">
      <c r="A1685" s="4" t="s">
        <v>2851</v>
      </c>
      <c r="B1685" s="5" t="s">
        <v>2851</v>
      </c>
      <c r="C1685" s="1" t="str">
        <f t="shared" si="1"/>
        <v/>
      </c>
      <c r="E1685" s="5" t="s">
        <v>2851</v>
      </c>
      <c r="F1685" s="6" t="str">
        <f t="shared" si="2"/>
        <v>#N/A</v>
      </c>
      <c r="G1685" s="1" t="str">
        <f t="shared" si="3"/>
        <v/>
      </c>
      <c r="H1685" s="5" t="str">
        <f t="shared" si="4"/>
        <v>super rod:</v>
      </c>
    </row>
    <row r="1686" ht="12.75" customHeight="1">
      <c r="A1686" s="4" t="s">
        <v>2852</v>
      </c>
      <c r="B1686" s="5" t="s">
        <v>2852</v>
      </c>
      <c r="C1686" s="1" t="str">
        <f t="shared" si="1"/>
        <v/>
      </c>
      <c r="E1686" s="5" t="s">
        <v>2852</v>
      </c>
      <c r="F1686" s="6" t="str">
        <f t="shared" si="2"/>
        <v>#N/A</v>
      </c>
      <c r="G1686" s="1" t="str">
        <f t="shared" si="3"/>
        <v/>
      </c>
      <c r="H1686" s="5" t="str">
        <f t="shared" si="4"/>
        <v>15, 25, KRABBY</v>
      </c>
    </row>
    <row r="1687" ht="12.75" customHeight="1">
      <c r="A1687" s="4" t="s">
        <v>3259</v>
      </c>
      <c r="B1687" s="5" t="s">
        <v>3259</v>
      </c>
      <c r="C1687" s="1" t="str">
        <f t="shared" si="1"/>
        <v/>
      </c>
      <c r="E1687" s="5" t="s">
        <v>3259</v>
      </c>
      <c r="F1687" s="6" t="str">
        <f t="shared" si="2"/>
        <v>#N/A</v>
      </c>
      <c r="G1687" s="1" t="str">
        <f t="shared" si="3"/>
        <v/>
      </c>
      <c r="H1687" s="5" t="str">
        <f t="shared" si="4"/>
        <v>15, 25, REMORAID</v>
      </c>
    </row>
    <row r="1688" ht="12.75" customHeight="1">
      <c r="A1688" s="4" t="s">
        <v>2854</v>
      </c>
      <c r="B1688" s="5" t="s">
        <v>2854</v>
      </c>
      <c r="C1688" s="1" t="str">
        <f t="shared" si="1"/>
        <v/>
      </c>
      <c r="E1688" s="5" t="s">
        <v>2854</v>
      </c>
      <c r="F1688" s="6" t="str">
        <f t="shared" si="2"/>
        <v>#N/A</v>
      </c>
      <c r="G1688" s="1" t="str">
        <f t="shared" si="3"/>
        <v/>
      </c>
      <c r="H1688" s="5" t="str">
        <f t="shared" si="4"/>
        <v>15, 25, GYARADOS</v>
      </c>
    </row>
    <row r="1689" ht="12.75" customHeight="1">
      <c r="A1689" s="4" t="s">
        <v>3178</v>
      </c>
      <c r="B1689" s="5" t="s">
        <v>3178</v>
      </c>
      <c r="C1689" s="1" t="str">
        <f t="shared" si="1"/>
        <v/>
      </c>
      <c r="E1689" s="5" t="s">
        <v>3178</v>
      </c>
      <c r="F1689" s="6" t="str">
        <f t="shared" si="2"/>
        <v>#N/A</v>
      </c>
      <c r="G1689" s="1" t="str">
        <f t="shared" si="3"/>
        <v/>
      </c>
      <c r="H1689" s="5" t="str">
        <f t="shared" si="4"/>
        <v>25, 35, KINGLER</v>
      </c>
    </row>
    <row r="1690" ht="12.75" customHeight="1">
      <c r="A1690" s="4" t="s">
        <v>2856</v>
      </c>
      <c r="B1690" s="5" t="s">
        <v>2856</v>
      </c>
      <c r="C1690" s="1" t="str">
        <f t="shared" si="1"/>
        <v/>
      </c>
      <c r="E1690" s="5" t="s">
        <v>2856</v>
      </c>
      <c r="F1690" s="6" t="str">
        <f t="shared" si="2"/>
        <v>#N/A</v>
      </c>
      <c r="G1690" s="1" t="str">
        <f t="shared" si="3"/>
        <v/>
      </c>
      <c r="H1690" s="5" t="str">
        <f t="shared" si="4"/>
        <v>25, 35, SLOWPOKE</v>
      </c>
    </row>
    <row r="1691" ht="12.75" customHeight="1">
      <c r="A1691" s="4" t="s">
        <v>2539</v>
      </c>
      <c r="B1691" s="5" t="s">
        <v>2539</v>
      </c>
      <c r="C1691" s="1">
        <f t="shared" si="1"/>
        <v>1</v>
      </c>
      <c r="E1691" s="5" t="s">
        <v>2539</v>
      </c>
      <c r="F1691" s="6" t="str">
        <f t="shared" si="2"/>
        <v>#N/A</v>
      </c>
      <c r="G1691" s="1" t="str">
        <f t="shared" si="3"/>
        <v/>
      </c>
      <c r="H1691" s="5" t="str">
        <f t="shared" si="4"/>
        <v>NEW ROUTE</v>
      </c>
    </row>
    <row r="1692" ht="12.75" customHeight="1">
      <c r="A1692" s="4" t="s">
        <v>2179</v>
      </c>
      <c r="B1692" s="5" t="s">
        <v>2179</v>
      </c>
      <c r="C1692" s="1" t="str">
        <f t="shared" si="1"/>
        <v/>
      </c>
      <c r="E1692" s="5" t="s">
        <v>2179</v>
      </c>
      <c r="F1692" s="6" t="str">
        <f t="shared" si="2"/>
        <v>Five Island Memorial Pillar</v>
      </c>
      <c r="G1692" s="1" t="str">
        <f t="shared" si="3"/>
        <v>Five Island Memorial Pillar</v>
      </c>
      <c r="H1692" s="5" t="str">
        <f t="shared" si="4"/>
        <v>Five Island Memorial Pillar</v>
      </c>
    </row>
    <row r="1693" ht="12.75" customHeight="1">
      <c r="A1693" s="4" t="s">
        <v>2799</v>
      </c>
      <c r="B1693" s="5">
        <v>0.2</v>
      </c>
      <c r="C1693" s="1" t="str">
        <f t="shared" si="1"/>
        <v/>
      </c>
      <c r="E1693" s="5">
        <v>0.2</v>
      </c>
      <c r="F1693" s="6" t="str">
        <f t="shared" si="2"/>
        <v>#N/A</v>
      </c>
      <c r="G1693" s="1" t="str">
        <f t="shared" si="3"/>
        <v/>
      </c>
      <c r="H1693" s="5">
        <f t="shared" si="4"/>
        <v>0.2</v>
      </c>
    </row>
    <row r="1694" ht="12.75" customHeight="1">
      <c r="A1694" s="4" t="s">
        <v>877</v>
      </c>
      <c r="B1694" s="5" t="s">
        <v>877</v>
      </c>
      <c r="C1694" s="1" t="str">
        <f t="shared" si="1"/>
        <v/>
      </c>
      <c r="E1694" s="5" t="s">
        <v>877</v>
      </c>
      <c r="F1694" s="6" t="str">
        <f t="shared" si="2"/>
        <v>#N/A</v>
      </c>
      <c r="G1694" s="1" t="str">
        <f t="shared" si="3"/>
        <v/>
      </c>
      <c r="H1694" s="5" t="str">
        <f t="shared" si="4"/>
        <v>10, 10, HOPPIP</v>
      </c>
    </row>
    <row r="1695" ht="12.75" customHeight="1">
      <c r="A1695" s="4" t="s">
        <v>3271</v>
      </c>
      <c r="B1695" s="5" t="s">
        <v>3271</v>
      </c>
      <c r="C1695" s="1" t="str">
        <f t="shared" si="1"/>
        <v/>
      </c>
      <c r="E1695" s="5" t="s">
        <v>3271</v>
      </c>
      <c r="F1695" s="6" t="str">
        <f t="shared" si="2"/>
        <v>#N/A</v>
      </c>
      <c r="G1695" s="1" t="str">
        <f t="shared" si="3"/>
        <v/>
      </c>
      <c r="H1695" s="5" t="str">
        <f t="shared" si="4"/>
        <v>12, 12, HOPPIP</v>
      </c>
    </row>
    <row r="1696" ht="12.75" customHeight="1">
      <c r="A1696" s="4" t="s">
        <v>2802</v>
      </c>
      <c r="B1696" s="5">
        <v>0.1</v>
      </c>
      <c r="C1696" s="1" t="str">
        <f t="shared" si="1"/>
        <v/>
      </c>
      <c r="E1696" s="5">
        <v>0.1</v>
      </c>
      <c r="F1696" s="6" t="str">
        <f t="shared" si="2"/>
        <v>#N/A</v>
      </c>
      <c r="G1696" s="1" t="str">
        <f t="shared" si="3"/>
        <v/>
      </c>
      <c r="H1696" s="5">
        <f t="shared" si="4"/>
        <v>0.1</v>
      </c>
    </row>
    <row r="1697" ht="12.75" customHeight="1">
      <c r="A1697" s="4" t="s">
        <v>3272</v>
      </c>
      <c r="B1697" s="5" t="s">
        <v>3272</v>
      </c>
      <c r="C1697" s="1" t="str">
        <f t="shared" si="1"/>
        <v/>
      </c>
      <c r="E1697" s="5" t="s">
        <v>3272</v>
      </c>
      <c r="F1697" s="6" t="str">
        <f t="shared" si="2"/>
        <v>#N/A</v>
      </c>
      <c r="G1697" s="1" t="str">
        <f t="shared" si="3"/>
        <v/>
      </c>
      <c r="H1697" s="5" t="str">
        <f t="shared" si="4"/>
        <v>8, 8, HOPPIP</v>
      </c>
    </row>
    <row r="1698" ht="12.75" customHeight="1">
      <c r="A1698" s="4" t="s">
        <v>3273</v>
      </c>
      <c r="B1698" s="5" t="s">
        <v>3273</v>
      </c>
      <c r="C1698" s="1" t="str">
        <f t="shared" si="1"/>
        <v/>
      </c>
      <c r="E1698" s="5" t="s">
        <v>3273</v>
      </c>
      <c r="F1698" s="6" t="str">
        <f t="shared" si="2"/>
        <v>#N/A</v>
      </c>
      <c r="G1698" s="1" t="str">
        <f t="shared" si="3"/>
        <v/>
      </c>
      <c r="H1698" s="5" t="str">
        <f t="shared" si="4"/>
        <v>14, 14, HOPPIP</v>
      </c>
    </row>
    <row r="1699" ht="12.75" customHeight="1">
      <c r="A1699" s="4" t="s">
        <v>877</v>
      </c>
      <c r="B1699" s="5" t="s">
        <v>877</v>
      </c>
      <c r="C1699" s="1" t="str">
        <f t="shared" si="1"/>
        <v/>
      </c>
      <c r="E1699" s="5" t="s">
        <v>877</v>
      </c>
      <c r="F1699" s="6" t="str">
        <f t="shared" si="2"/>
        <v>#N/A</v>
      </c>
      <c r="G1699" s="1" t="str">
        <f t="shared" si="3"/>
        <v/>
      </c>
      <c r="H1699" s="5" t="str">
        <f t="shared" si="4"/>
        <v>10, 10, HOPPIP</v>
      </c>
    </row>
    <row r="1700" ht="12.75" customHeight="1">
      <c r="A1700" s="4" t="s">
        <v>3271</v>
      </c>
      <c r="B1700" s="5" t="s">
        <v>3271</v>
      </c>
      <c r="C1700" s="1" t="str">
        <f t="shared" si="1"/>
        <v/>
      </c>
      <c r="E1700" s="5" t="s">
        <v>3271</v>
      </c>
      <c r="F1700" s="6" t="str">
        <f t="shared" si="2"/>
        <v>#N/A</v>
      </c>
      <c r="G1700" s="1" t="str">
        <f t="shared" si="3"/>
        <v/>
      </c>
      <c r="H1700" s="5" t="str">
        <f t="shared" si="4"/>
        <v>12, 12, HOPPIP</v>
      </c>
    </row>
    <row r="1701" ht="12.75" customHeight="1">
      <c r="A1701" s="4" t="s">
        <v>2807</v>
      </c>
      <c r="B1701" s="5">
        <v>0.05</v>
      </c>
      <c r="C1701" s="1" t="str">
        <f t="shared" si="1"/>
        <v/>
      </c>
      <c r="E1701" s="5">
        <v>0.05</v>
      </c>
      <c r="F1701" s="6" t="str">
        <f t="shared" si="2"/>
        <v>#N/A</v>
      </c>
      <c r="G1701" s="1" t="str">
        <f t="shared" si="3"/>
        <v/>
      </c>
      <c r="H1701" s="5">
        <f t="shared" si="4"/>
        <v>0.05</v>
      </c>
    </row>
    <row r="1702" ht="12.75" customHeight="1">
      <c r="A1702" s="4" t="s">
        <v>3274</v>
      </c>
      <c r="B1702" s="5" t="s">
        <v>3274</v>
      </c>
      <c r="C1702" s="1" t="str">
        <f t="shared" si="1"/>
        <v/>
      </c>
      <c r="E1702" s="5" t="s">
        <v>3274</v>
      </c>
      <c r="F1702" s="6" t="str">
        <f t="shared" si="2"/>
        <v>#N/A</v>
      </c>
      <c r="G1702" s="1" t="str">
        <f t="shared" si="3"/>
        <v/>
      </c>
      <c r="H1702" s="5" t="str">
        <f t="shared" si="4"/>
        <v>16, 16, HOPPIP</v>
      </c>
    </row>
    <row r="1703" ht="12.75" customHeight="1">
      <c r="A1703" s="4" t="s">
        <v>3275</v>
      </c>
      <c r="B1703" s="5" t="s">
        <v>3275</v>
      </c>
      <c r="C1703" s="1" t="str">
        <f t="shared" si="1"/>
        <v/>
      </c>
      <c r="E1703" s="5" t="s">
        <v>3275</v>
      </c>
      <c r="F1703" s="6" t="str">
        <f t="shared" si="2"/>
        <v>#N/A</v>
      </c>
      <c r="G1703" s="1" t="str">
        <f t="shared" si="3"/>
        <v/>
      </c>
      <c r="H1703" s="5" t="str">
        <f t="shared" si="4"/>
        <v>6, 6, HOPPIP</v>
      </c>
    </row>
    <row r="1704" ht="12.75" customHeight="1">
      <c r="A1704" s="4" t="s">
        <v>2810</v>
      </c>
      <c r="B1704" s="5">
        <v>0.04</v>
      </c>
      <c r="C1704" s="1" t="str">
        <f t="shared" si="1"/>
        <v/>
      </c>
      <c r="E1704" s="5">
        <v>0.04</v>
      </c>
      <c r="F1704" s="6" t="str">
        <f t="shared" si="2"/>
        <v>#N/A</v>
      </c>
      <c r="G1704" s="1" t="str">
        <f t="shared" si="3"/>
        <v/>
      </c>
      <c r="H1704" s="5">
        <f t="shared" si="4"/>
        <v>0.04</v>
      </c>
    </row>
    <row r="1705" ht="12.75" customHeight="1">
      <c r="A1705" s="4" t="s">
        <v>3272</v>
      </c>
      <c r="B1705" s="5" t="s">
        <v>3272</v>
      </c>
      <c r="C1705" s="1" t="str">
        <f t="shared" si="1"/>
        <v/>
      </c>
      <c r="E1705" s="5" t="s">
        <v>3272</v>
      </c>
      <c r="F1705" s="6" t="str">
        <f t="shared" si="2"/>
        <v>#N/A</v>
      </c>
      <c r="G1705" s="1" t="str">
        <f t="shared" si="3"/>
        <v/>
      </c>
      <c r="H1705" s="5" t="str">
        <f t="shared" si="4"/>
        <v>8, 8, HOPPIP</v>
      </c>
    </row>
    <row r="1706" ht="12.75" customHeight="1">
      <c r="A1706" s="4" t="s">
        <v>3273</v>
      </c>
      <c r="B1706" s="5" t="s">
        <v>3273</v>
      </c>
      <c r="C1706" s="1" t="str">
        <f t="shared" si="1"/>
        <v/>
      </c>
      <c r="E1706" s="5" t="s">
        <v>3273</v>
      </c>
      <c r="F1706" s="6" t="str">
        <f t="shared" si="2"/>
        <v>#N/A</v>
      </c>
      <c r="G1706" s="1" t="str">
        <f t="shared" si="3"/>
        <v/>
      </c>
      <c r="H1706" s="5" t="str">
        <f t="shared" si="4"/>
        <v>14, 14, HOPPIP</v>
      </c>
    </row>
    <row r="1707" ht="12.75" customHeight="1">
      <c r="A1707" s="4" t="s">
        <v>2813</v>
      </c>
      <c r="B1707" s="5">
        <v>0.01</v>
      </c>
      <c r="C1707" s="1" t="str">
        <f t="shared" si="1"/>
        <v/>
      </c>
      <c r="E1707" s="5">
        <v>0.01</v>
      </c>
      <c r="F1707" s="6" t="str">
        <f t="shared" si="2"/>
        <v>#N/A</v>
      </c>
      <c r="G1707" s="1" t="str">
        <f t="shared" si="3"/>
        <v/>
      </c>
      <c r="H1707" s="5">
        <f t="shared" si="4"/>
        <v>0.01</v>
      </c>
    </row>
    <row r="1708" ht="12.75" customHeight="1">
      <c r="A1708" s="4" t="s">
        <v>3272</v>
      </c>
      <c r="B1708" s="5" t="s">
        <v>3272</v>
      </c>
      <c r="C1708" s="1" t="str">
        <f t="shared" si="1"/>
        <v/>
      </c>
      <c r="E1708" s="5" t="s">
        <v>3272</v>
      </c>
      <c r="F1708" s="6" t="str">
        <f t="shared" si="2"/>
        <v>#N/A</v>
      </c>
      <c r="G1708" s="1" t="str">
        <f t="shared" si="3"/>
        <v/>
      </c>
      <c r="H1708" s="5" t="str">
        <f t="shared" si="4"/>
        <v>8, 8, HOPPIP</v>
      </c>
    </row>
    <row r="1709" ht="12.75" customHeight="1">
      <c r="A1709" s="4" t="s">
        <v>3273</v>
      </c>
      <c r="B1709" s="5" t="s">
        <v>3273</v>
      </c>
      <c r="C1709" s="1" t="str">
        <f t="shared" si="1"/>
        <v/>
      </c>
      <c r="E1709" s="5" t="s">
        <v>3273</v>
      </c>
      <c r="F1709" s="6" t="str">
        <f t="shared" si="2"/>
        <v>#N/A</v>
      </c>
      <c r="G1709" s="1" t="str">
        <f t="shared" si="3"/>
        <v/>
      </c>
      <c r="H1709" s="5" t="str">
        <f t="shared" si="4"/>
        <v>14, 14, HOPPIP</v>
      </c>
    </row>
    <row r="1710" ht="12.75" customHeight="1">
      <c r="A1710" s="4" t="s">
        <v>3257</v>
      </c>
      <c r="B1710" s="5" t="s">
        <v>3257</v>
      </c>
      <c r="C1710" s="1" t="str">
        <f t="shared" si="1"/>
        <v/>
      </c>
      <c r="E1710" s="5" t="s">
        <v>3257</v>
      </c>
      <c r="F1710" s="6" t="str">
        <f t="shared" si="2"/>
        <v>#N/A</v>
      </c>
      <c r="G1710" s="1" t="str">
        <f t="shared" si="3"/>
        <v/>
      </c>
      <c r="H1710" s="5" t="str">
        <f t="shared" si="4"/>
        <v>2, 5, 35, TENTACOOL</v>
      </c>
    </row>
    <row r="1711" ht="12.75" customHeight="1">
      <c r="A1711" s="4" t="s">
        <v>3258</v>
      </c>
      <c r="B1711" s="5" t="s">
        <v>3258</v>
      </c>
      <c r="C1711" s="1" t="str">
        <f t="shared" si="1"/>
        <v/>
      </c>
      <c r="E1711" s="5" t="s">
        <v>3258</v>
      </c>
      <c r="F1711" s="6" t="str">
        <f t="shared" si="2"/>
        <v>#N/A</v>
      </c>
      <c r="G1711" s="1" t="str">
        <f t="shared" si="3"/>
        <v/>
      </c>
      <c r="H1711" s="5" t="str">
        <f t="shared" si="4"/>
        <v>5, 15, HOPPIP</v>
      </c>
    </row>
    <row r="1712" ht="12.75" customHeight="1">
      <c r="A1712" s="4" t="s">
        <v>2845</v>
      </c>
      <c r="B1712" s="5" t="s">
        <v>2845</v>
      </c>
      <c r="C1712" s="1" t="str">
        <f t="shared" si="1"/>
        <v/>
      </c>
      <c r="E1712" s="5" t="s">
        <v>2845</v>
      </c>
      <c r="F1712" s="6" t="str">
        <f t="shared" si="2"/>
        <v>#N/A</v>
      </c>
      <c r="G1712" s="1" t="str">
        <f t="shared" si="3"/>
        <v/>
      </c>
      <c r="H1712" s="5" t="str">
        <f t="shared" si="4"/>
        <v>35, 40, TENTACOOL</v>
      </c>
    </row>
    <row r="1713" ht="12.75" customHeight="1">
      <c r="A1713" s="4" t="s">
        <v>3232</v>
      </c>
      <c r="B1713" s="5" t="s">
        <v>3232</v>
      </c>
      <c r="C1713" s="1" t="str">
        <f t="shared" si="1"/>
        <v/>
      </c>
      <c r="E1713" s="5" t="s">
        <v>3232</v>
      </c>
      <c r="F1713" s="6" t="str">
        <f t="shared" si="2"/>
        <v>#N/A</v>
      </c>
      <c r="G1713" s="1" t="str">
        <f t="shared" si="3"/>
        <v/>
      </c>
      <c r="H1713" s="5" t="str">
        <f t="shared" si="4"/>
        <v>35, 40, TENTACRUEL</v>
      </c>
    </row>
    <row r="1714" ht="12.75" customHeight="1">
      <c r="A1714" s="4" t="s">
        <v>3232</v>
      </c>
      <c r="B1714" s="5" t="s">
        <v>3232</v>
      </c>
      <c r="C1714" s="1" t="str">
        <f t="shared" si="1"/>
        <v/>
      </c>
      <c r="E1714" s="5" t="s">
        <v>3232</v>
      </c>
      <c r="F1714" s="6" t="str">
        <f t="shared" si="2"/>
        <v>#N/A</v>
      </c>
      <c r="G1714" s="1" t="str">
        <f t="shared" si="3"/>
        <v/>
      </c>
      <c r="H1714" s="5" t="str">
        <f t="shared" si="4"/>
        <v>35, 40, TENTACRUEL</v>
      </c>
    </row>
    <row r="1715" ht="12.75" customHeight="1">
      <c r="A1715" s="4" t="s">
        <v>2926</v>
      </c>
      <c r="B1715" s="5" t="s">
        <v>2926</v>
      </c>
      <c r="C1715" s="1" t="str">
        <f t="shared" si="1"/>
        <v/>
      </c>
      <c r="E1715" s="5" t="s">
        <v>2926</v>
      </c>
      <c r="F1715" s="6" t="str">
        <f t="shared" si="2"/>
        <v>#N/A</v>
      </c>
      <c r="G1715" s="1" t="str">
        <f t="shared" si="3"/>
        <v/>
      </c>
      <c r="H1715" s="5" t="str">
        <f t="shared" si="4"/>
        <v>20, old rod:</v>
      </c>
    </row>
    <row r="1716" ht="12.75" customHeight="1">
      <c r="A1716" s="4" t="s">
        <v>417</v>
      </c>
      <c r="B1716" s="5" t="s">
        <v>417</v>
      </c>
      <c r="C1716" s="1" t="str">
        <f t="shared" si="1"/>
        <v/>
      </c>
      <c r="E1716" s="5" t="s">
        <v>417</v>
      </c>
      <c r="F1716" s="6" t="str">
        <f t="shared" si="2"/>
        <v>#N/A</v>
      </c>
      <c r="G1716" s="1" t="str">
        <f t="shared" si="3"/>
        <v/>
      </c>
      <c r="H1716" s="5" t="str">
        <f t="shared" si="4"/>
        <v>5, 5, MAGIKARP</v>
      </c>
    </row>
    <row r="1717" ht="12.75" customHeight="1">
      <c r="A1717" s="4" t="s">
        <v>417</v>
      </c>
      <c r="B1717" s="5" t="s">
        <v>417</v>
      </c>
      <c r="C1717" s="1" t="str">
        <f t="shared" si="1"/>
        <v/>
      </c>
      <c r="E1717" s="5" t="s">
        <v>417</v>
      </c>
      <c r="F1717" s="6" t="str">
        <f t="shared" si="2"/>
        <v>#N/A</v>
      </c>
      <c r="G1717" s="1" t="str">
        <f t="shared" si="3"/>
        <v/>
      </c>
      <c r="H1717" s="5" t="str">
        <f t="shared" si="4"/>
        <v>5, 5, MAGIKARP</v>
      </c>
    </row>
    <row r="1718" ht="12.75" customHeight="1">
      <c r="A1718" s="4" t="s">
        <v>2847</v>
      </c>
      <c r="B1718" s="5" t="s">
        <v>2847</v>
      </c>
      <c r="C1718" s="1" t="str">
        <f t="shared" si="1"/>
        <v/>
      </c>
      <c r="E1718" s="5" t="s">
        <v>2847</v>
      </c>
      <c r="F1718" s="6" t="str">
        <f t="shared" si="2"/>
        <v>#N/A</v>
      </c>
      <c r="G1718" s="1" t="str">
        <f t="shared" si="3"/>
        <v/>
      </c>
      <c r="H1718" s="5" t="str">
        <f t="shared" si="4"/>
        <v>good rod:</v>
      </c>
    </row>
    <row r="1719" ht="12.75" customHeight="1">
      <c r="A1719" s="4" t="s">
        <v>2848</v>
      </c>
      <c r="B1719" s="5" t="s">
        <v>2848</v>
      </c>
      <c r="C1719" s="1" t="str">
        <f t="shared" si="1"/>
        <v/>
      </c>
      <c r="E1719" s="5" t="s">
        <v>2848</v>
      </c>
      <c r="F1719" s="6" t="str">
        <f t="shared" si="2"/>
        <v>#N/A</v>
      </c>
      <c r="G1719" s="1" t="str">
        <f t="shared" si="3"/>
        <v/>
      </c>
      <c r="H1719" s="5" t="str">
        <f t="shared" si="4"/>
        <v>5, 15, KRABBY</v>
      </c>
    </row>
    <row r="1720" ht="12.75" customHeight="1">
      <c r="A1720" s="4" t="s">
        <v>2849</v>
      </c>
      <c r="B1720" s="5" t="s">
        <v>2849</v>
      </c>
      <c r="C1720" s="1" t="str">
        <f t="shared" si="1"/>
        <v/>
      </c>
      <c r="E1720" s="5" t="s">
        <v>2849</v>
      </c>
      <c r="F1720" s="6" t="str">
        <f t="shared" si="2"/>
        <v>#N/A</v>
      </c>
      <c r="G1720" s="1" t="str">
        <f t="shared" si="3"/>
        <v/>
      </c>
      <c r="H1720" s="5" t="str">
        <f t="shared" si="4"/>
        <v>5, 15, MAGIKARP</v>
      </c>
    </row>
    <row r="1721" ht="12.75" customHeight="1">
      <c r="A1721" s="4" t="s">
        <v>2848</v>
      </c>
      <c r="B1721" s="5" t="s">
        <v>2848</v>
      </c>
      <c r="C1721" s="1" t="str">
        <f t="shared" si="1"/>
        <v/>
      </c>
      <c r="E1721" s="5" t="s">
        <v>2848</v>
      </c>
      <c r="F1721" s="6" t="str">
        <f t="shared" si="2"/>
        <v>#N/A</v>
      </c>
      <c r="G1721" s="1" t="str">
        <f t="shared" si="3"/>
        <v/>
      </c>
      <c r="H1721" s="5" t="str">
        <f t="shared" si="4"/>
        <v>5, 15, KRABBY</v>
      </c>
    </row>
    <row r="1722" ht="12.75" customHeight="1">
      <c r="A1722" s="4" t="s">
        <v>2851</v>
      </c>
      <c r="B1722" s="5" t="s">
        <v>2851</v>
      </c>
      <c r="C1722" s="1" t="str">
        <f t="shared" si="1"/>
        <v/>
      </c>
      <c r="E1722" s="5" t="s">
        <v>2851</v>
      </c>
      <c r="F1722" s="6" t="str">
        <f t="shared" si="2"/>
        <v>#N/A</v>
      </c>
      <c r="G1722" s="1" t="str">
        <f t="shared" si="3"/>
        <v/>
      </c>
      <c r="H1722" s="5" t="str">
        <f t="shared" si="4"/>
        <v>super rod:</v>
      </c>
    </row>
    <row r="1723" ht="12.75" customHeight="1">
      <c r="A1723" s="4" t="s">
        <v>2852</v>
      </c>
      <c r="B1723" s="5" t="s">
        <v>2852</v>
      </c>
      <c r="C1723" s="1" t="str">
        <f t="shared" si="1"/>
        <v/>
      </c>
      <c r="E1723" s="5" t="s">
        <v>2852</v>
      </c>
      <c r="F1723" s="6" t="str">
        <f t="shared" si="2"/>
        <v>#N/A</v>
      </c>
      <c r="G1723" s="1" t="str">
        <f t="shared" si="3"/>
        <v/>
      </c>
      <c r="H1723" s="5" t="str">
        <f t="shared" si="4"/>
        <v>15, 25, KRABBY</v>
      </c>
    </row>
    <row r="1724" ht="12.75" customHeight="1">
      <c r="A1724" s="4" t="s">
        <v>3259</v>
      </c>
      <c r="B1724" s="5" t="s">
        <v>3259</v>
      </c>
      <c r="C1724" s="1" t="str">
        <f t="shared" si="1"/>
        <v/>
      </c>
      <c r="E1724" s="5" t="s">
        <v>3259</v>
      </c>
      <c r="F1724" s="6" t="str">
        <f t="shared" si="2"/>
        <v>#N/A</v>
      </c>
      <c r="G1724" s="1" t="str">
        <f t="shared" si="3"/>
        <v/>
      </c>
      <c r="H1724" s="5" t="str">
        <f t="shared" si="4"/>
        <v>15, 25, REMORAID</v>
      </c>
    </row>
    <row r="1725" ht="12.75" customHeight="1">
      <c r="A1725" s="4" t="s">
        <v>2854</v>
      </c>
      <c r="B1725" s="5" t="s">
        <v>2854</v>
      </c>
      <c r="C1725" s="1" t="str">
        <f t="shared" si="1"/>
        <v/>
      </c>
      <c r="E1725" s="5" t="s">
        <v>2854</v>
      </c>
      <c r="F1725" s="6" t="str">
        <f t="shared" si="2"/>
        <v>#N/A</v>
      </c>
      <c r="G1725" s="1" t="str">
        <f t="shared" si="3"/>
        <v/>
      </c>
      <c r="H1725" s="5" t="str">
        <f t="shared" si="4"/>
        <v>15, 25, GYARADOS</v>
      </c>
    </row>
    <row r="1726" ht="12.75" customHeight="1">
      <c r="A1726" s="4" t="s">
        <v>3178</v>
      </c>
      <c r="B1726" s="5" t="s">
        <v>3178</v>
      </c>
      <c r="C1726" s="1" t="str">
        <f t="shared" si="1"/>
        <v/>
      </c>
      <c r="E1726" s="5" t="s">
        <v>3178</v>
      </c>
      <c r="F1726" s="6" t="str">
        <f t="shared" si="2"/>
        <v>#N/A</v>
      </c>
      <c r="G1726" s="1" t="str">
        <f t="shared" si="3"/>
        <v/>
      </c>
      <c r="H1726" s="5" t="str">
        <f t="shared" si="4"/>
        <v>25, 35, KINGLER</v>
      </c>
    </row>
    <row r="1727" ht="12.75" customHeight="1">
      <c r="A1727" s="4" t="s">
        <v>2856</v>
      </c>
      <c r="B1727" s="5" t="s">
        <v>2856</v>
      </c>
      <c r="C1727" s="1" t="str">
        <f t="shared" si="1"/>
        <v/>
      </c>
      <c r="E1727" s="5" t="s">
        <v>2856</v>
      </c>
      <c r="F1727" s="6" t="str">
        <f t="shared" si="2"/>
        <v>#N/A</v>
      </c>
      <c r="G1727" s="1" t="str">
        <f t="shared" si="3"/>
        <v/>
      </c>
      <c r="H1727" s="5" t="str">
        <f t="shared" si="4"/>
        <v>25, 35, SLOWPOKE</v>
      </c>
    </row>
    <row r="1728" ht="12.75" customHeight="1">
      <c r="A1728" s="4" t="s">
        <v>2539</v>
      </c>
      <c r="B1728" s="5" t="s">
        <v>2539</v>
      </c>
      <c r="C1728" s="1">
        <f t="shared" si="1"/>
        <v>1</v>
      </c>
      <c r="E1728" s="5" t="s">
        <v>2539</v>
      </c>
      <c r="F1728" s="6" t="str">
        <f t="shared" si="2"/>
        <v>#N/A</v>
      </c>
      <c r="G1728" s="1" t="str">
        <f t="shared" si="3"/>
        <v/>
      </c>
      <c r="H1728" s="5" t="str">
        <f t="shared" si="4"/>
        <v>NEW ROUTE</v>
      </c>
    </row>
    <row r="1729" ht="12.75" customHeight="1">
      <c r="A1729" s="4" t="s">
        <v>2181</v>
      </c>
      <c r="B1729" s="5" t="s">
        <v>2181</v>
      </c>
      <c r="C1729" s="1" t="str">
        <f t="shared" si="1"/>
        <v/>
      </c>
      <c r="E1729" s="5" t="s">
        <v>2181</v>
      </c>
      <c r="F1729" s="6" t="str">
        <f t="shared" si="2"/>
        <v>Six Island Outcast Island</v>
      </c>
      <c r="G1729" s="1" t="str">
        <f t="shared" si="3"/>
        <v>Six Island Outcast Island</v>
      </c>
      <c r="H1729" s="5" t="str">
        <f t="shared" si="4"/>
        <v>Six Island Outcast Island</v>
      </c>
    </row>
    <row r="1730" ht="12.75" customHeight="1">
      <c r="A1730" s="4" t="s">
        <v>3173</v>
      </c>
      <c r="B1730" s="5" t="s">
        <v>3173</v>
      </c>
      <c r="C1730" s="1" t="str">
        <f t="shared" si="1"/>
        <v/>
      </c>
      <c r="E1730" s="5" t="s">
        <v>3173</v>
      </c>
      <c r="F1730" s="6" t="str">
        <f t="shared" si="2"/>
        <v>#N/A</v>
      </c>
      <c r="G1730" s="1" t="str">
        <f t="shared" si="3"/>
        <v/>
      </c>
      <c r="H1730" s="5" t="str">
        <f t="shared" si="4"/>
        <v>2, 5, 20, TENTACOOL</v>
      </c>
    </row>
    <row r="1731" ht="12.75" customHeight="1">
      <c r="A1731" s="4" t="s">
        <v>3174</v>
      </c>
      <c r="B1731" s="5" t="s">
        <v>3174</v>
      </c>
      <c r="C1731" s="1" t="str">
        <f t="shared" si="1"/>
        <v/>
      </c>
      <c r="E1731" s="5" t="s">
        <v>3174</v>
      </c>
      <c r="F1731" s="6" t="str">
        <f t="shared" si="2"/>
        <v>#N/A</v>
      </c>
      <c r="G1731" s="1" t="str">
        <f t="shared" si="3"/>
        <v/>
      </c>
      <c r="H1731" s="5" t="str">
        <f t="shared" si="4"/>
        <v>20, 35, TENTACOOL</v>
      </c>
    </row>
    <row r="1732" ht="12.75" customHeight="1">
      <c r="A1732" s="4" t="s">
        <v>2845</v>
      </c>
      <c r="B1732" s="5" t="s">
        <v>2845</v>
      </c>
      <c r="C1732" s="1" t="str">
        <f t="shared" si="1"/>
        <v/>
      </c>
      <c r="E1732" s="5" t="s">
        <v>2845</v>
      </c>
      <c r="F1732" s="6" t="str">
        <f t="shared" si="2"/>
        <v>#N/A</v>
      </c>
      <c r="G1732" s="1" t="str">
        <f t="shared" si="3"/>
        <v/>
      </c>
      <c r="H1732" s="5" t="str">
        <f t="shared" si="4"/>
        <v>35, 40, TENTACOOL</v>
      </c>
    </row>
    <row r="1733" ht="12.75" customHeight="1">
      <c r="A1733" s="4" t="s">
        <v>3232</v>
      </c>
      <c r="B1733" s="5" t="s">
        <v>3232</v>
      </c>
      <c r="C1733" s="1" t="str">
        <f t="shared" si="1"/>
        <v/>
      </c>
      <c r="E1733" s="5" t="s">
        <v>3232</v>
      </c>
      <c r="F1733" s="6" t="str">
        <f t="shared" si="2"/>
        <v>#N/A</v>
      </c>
      <c r="G1733" s="1" t="str">
        <f t="shared" si="3"/>
        <v/>
      </c>
      <c r="H1733" s="5" t="str">
        <f t="shared" si="4"/>
        <v>35, 40, TENTACRUEL</v>
      </c>
    </row>
    <row r="1734" ht="12.75" customHeight="1">
      <c r="A1734" s="4" t="s">
        <v>3232</v>
      </c>
      <c r="B1734" s="5" t="s">
        <v>3232</v>
      </c>
      <c r="C1734" s="1" t="str">
        <f t="shared" si="1"/>
        <v/>
      </c>
      <c r="E1734" s="5" t="s">
        <v>3232</v>
      </c>
      <c r="F1734" s="6" t="str">
        <f t="shared" si="2"/>
        <v>#N/A</v>
      </c>
      <c r="G1734" s="1" t="str">
        <f t="shared" si="3"/>
        <v/>
      </c>
      <c r="H1734" s="5" t="str">
        <f t="shared" si="4"/>
        <v>35, 40, TENTACRUEL</v>
      </c>
    </row>
    <row r="1735" ht="12.75" customHeight="1">
      <c r="A1735" s="4" t="s">
        <v>2926</v>
      </c>
      <c r="B1735" s="5" t="s">
        <v>2926</v>
      </c>
      <c r="C1735" s="1" t="str">
        <f t="shared" si="1"/>
        <v/>
      </c>
      <c r="E1735" s="5" t="s">
        <v>2926</v>
      </c>
      <c r="F1735" s="6" t="str">
        <f t="shared" si="2"/>
        <v>#N/A</v>
      </c>
      <c r="G1735" s="1" t="str">
        <f t="shared" si="3"/>
        <v/>
      </c>
      <c r="H1735" s="5" t="str">
        <f t="shared" si="4"/>
        <v>20, old rod:</v>
      </c>
    </row>
    <row r="1736" ht="12.75" customHeight="1">
      <c r="A1736" s="4" t="s">
        <v>417</v>
      </c>
      <c r="B1736" s="5" t="s">
        <v>417</v>
      </c>
      <c r="C1736" s="1" t="str">
        <f t="shared" si="1"/>
        <v/>
      </c>
      <c r="E1736" s="5" t="s">
        <v>417</v>
      </c>
      <c r="F1736" s="6" t="str">
        <f t="shared" si="2"/>
        <v>#N/A</v>
      </c>
      <c r="G1736" s="1" t="str">
        <f t="shared" si="3"/>
        <v/>
      </c>
      <c r="H1736" s="5" t="str">
        <f t="shared" si="4"/>
        <v>5, 5, MAGIKARP</v>
      </c>
    </row>
    <row r="1737" ht="12.75" customHeight="1">
      <c r="A1737" s="4" t="s">
        <v>417</v>
      </c>
      <c r="B1737" s="5" t="s">
        <v>417</v>
      </c>
      <c r="C1737" s="1" t="str">
        <f t="shared" si="1"/>
        <v/>
      </c>
      <c r="E1737" s="5" t="s">
        <v>417</v>
      </c>
      <c r="F1737" s="6" t="str">
        <f t="shared" si="2"/>
        <v>#N/A</v>
      </c>
      <c r="G1737" s="1" t="str">
        <f t="shared" si="3"/>
        <v/>
      </c>
      <c r="H1737" s="5" t="str">
        <f t="shared" si="4"/>
        <v>5, 5, MAGIKARP</v>
      </c>
    </row>
    <row r="1738" ht="12.75" customHeight="1">
      <c r="A1738" s="4" t="s">
        <v>2847</v>
      </c>
      <c r="B1738" s="5" t="s">
        <v>2847</v>
      </c>
      <c r="C1738" s="1" t="str">
        <f t="shared" si="1"/>
        <v/>
      </c>
      <c r="E1738" s="5" t="s">
        <v>2847</v>
      </c>
      <c r="F1738" s="6" t="str">
        <f t="shared" si="2"/>
        <v>#N/A</v>
      </c>
      <c r="G1738" s="1" t="str">
        <f t="shared" si="3"/>
        <v/>
      </c>
      <c r="H1738" s="5" t="str">
        <f t="shared" si="4"/>
        <v>good rod:</v>
      </c>
    </row>
    <row r="1739" ht="12.75" customHeight="1">
      <c r="A1739" s="4" t="s">
        <v>2848</v>
      </c>
      <c r="B1739" s="5" t="s">
        <v>2848</v>
      </c>
      <c r="C1739" s="1" t="str">
        <f t="shared" si="1"/>
        <v/>
      </c>
      <c r="E1739" s="5" t="s">
        <v>2848</v>
      </c>
      <c r="F1739" s="6" t="str">
        <f t="shared" si="2"/>
        <v>#N/A</v>
      </c>
      <c r="G1739" s="1" t="str">
        <f t="shared" si="3"/>
        <v/>
      </c>
      <c r="H1739" s="5" t="str">
        <f t="shared" si="4"/>
        <v>5, 15, KRABBY</v>
      </c>
    </row>
    <row r="1740" ht="12.75" customHeight="1">
      <c r="A1740" s="4" t="s">
        <v>2849</v>
      </c>
      <c r="B1740" s="5" t="s">
        <v>2849</v>
      </c>
      <c r="C1740" s="1" t="str">
        <f t="shared" si="1"/>
        <v/>
      </c>
      <c r="E1740" s="5" t="s">
        <v>2849</v>
      </c>
      <c r="F1740" s="6" t="str">
        <f t="shared" si="2"/>
        <v>#N/A</v>
      </c>
      <c r="G1740" s="1" t="str">
        <f t="shared" si="3"/>
        <v/>
      </c>
      <c r="H1740" s="5" t="str">
        <f t="shared" si="4"/>
        <v>5, 15, MAGIKARP</v>
      </c>
    </row>
    <row r="1741" ht="12.75" customHeight="1">
      <c r="A1741" s="4" t="s">
        <v>2848</v>
      </c>
      <c r="B1741" s="5" t="s">
        <v>2848</v>
      </c>
      <c r="C1741" s="1" t="str">
        <f t="shared" si="1"/>
        <v/>
      </c>
      <c r="E1741" s="5" t="s">
        <v>2848</v>
      </c>
      <c r="F1741" s="6" t="str">
        <f t="shared" si="2"/>
        <v>#N/A</v>
      </c>
      <c r="G1741" s="1" t="str">
        <f t="shared" si="3"/>
        <v/>
      </c>
      <c r="H1741" s="5" t="str">
        <f t="shared" si="4"/>
        <v>5, 15, KRABBY</v>
      </c>
    </row>
    <row r="1742" ht="12.75" customHeight="1">
      <c r="A1742" s="4" t="s">
        <v>2851</v>
      </c>
      <c r="B1742" s="5" t="s">
        <v>2851</v>
      </c>
      <c r="C1742" s="1" t="str">
        <f t="shared" si="1"/>
        <v/>
      </c>
      <c r="E1742" s="5" t="s">
        <v>2851</v>
      </c>
      <c r="F1742" s="6" t="str">
        <f t="shared" si="2"/>
        <v>#N/A</v>
      </c>
      <c r="G1742" s="1" t="str">
        <f t="shared" si="3"/>
        <v/>
      </c>
      <c r="H1742" s="5" t="str">
        <f t="shared" si="4"/>
        <v>super rod:</v>
      </c>
    </row>
    <row r="1743" ht="12.75" customHeight="1">
      <c r="A1743" s="4" t="s">
        <v>2852</v>
      </c>
      <c r="B1743" s="5" t="s">
        <v>2852</v>
      </c>
      <c r="C1743" s="1" t="str">
        <f t="shared" si="1"/>
        <v/>
      </c>
      <c r="E1743" s="5" t="s">
        <v>2852</v>
      </c>
      <c r="F1743" s="6" t="str">
        <f t="shared" si="2"/>
        <v>#N/A</v>
      </c>
      <c r="G1743" s="1" t="str">
        <f t="shared" si="3"/>
        <v/>
      </c>
      <c r="H1743" s="5" t="str">
        <f t="shared" si="4"/>
        <v>15, 25, KRABBY</v>
      </c>
    </row>
    <row r="1744" ht="12.75" customHeight="1">
      <c r="A1744" s="4" t="s">
        <v>3259</v>
      </c>
      <c r="B1744" s="5" t="s">
        <v>3259</v>
      </c>
      <c r="C1744" s="1" t="str">
        <f t="shared" si="1"/>
        <v/>
      </c>
      <c r="E1744" s="5" t="s">
        <v>3259</v>
      </c>
      <c r="F1744" s="6" t="str">
        <f t="shared" si="2"/>
        <v>#N/A</v>
      </c>
      <c r="G1744" s="1" t="str">
        <f t="shared" si="3"/>
        <v/>
      </c>
      <c r="H1744" s="5" t="str">
        <f t="shared" si="4"/>
        <v>15, 25, REMORAID</v>
      </c>
    </row>
    <row r="1745" ht="12.75" customHeight="1">
      <c r="A1745" s="4" t="s">
        <v>2854</v>
      </c>
      <c r="B1745" s="5" t="s">
        <v>2854</v>
      </c>
      <c r="C1745" s="1" t="str">
        <f t="shared" si="1"/>
        <v/>
      </c>
      <c r="E1745" s="5" t="s">
        <v>2854</v>
      </c>
      <c r="F1745" s="6" t="str">
        <f t="shared" si="2"/>
        <v>#N/A</v>
      </c>
      <c r="G1745" s="1" t="str">
        <f t="shared" si="3"/>
        <v/>
      </c>
      <c r="H1745" s="5" t="str">
        <f t="shared" si="4"/>
        <v>15, 25, GYARADOS</v>
      </c>
    </row>
    <row r="1746" ht="12.75" customHeight="1">
      <c r="A1746" s="4" t="s">
        <v>3178</v>
      </c>
      <c r="B1746" s="5" t="s">
        <v>3178</v>
      </c>
      <c r="C1746" s="1" t="str">
        <f t="shared" si="1"/>
        <v/>
      </c>
      <c r="E1746" s="5" t="s">
        <v>3178</v>
      </c>
      <c r="F1746" s="6" t="str">
        <f t="shared" si="2"/>
        <v>#N/A</v>
      </c>
      <c r="G1746" s="1" t="str">
        <f t="shared" si="3"/>
        <v/>
      </c>
      <c r="H1746" s="5" t="str">
        <f t="shared" si="4"/>
        <v>25, 35, KINGLER</v>
      </c>
    </row>
    <row r="1747" ht="12.75" customHeight="1">
      <c r="A1747" s="4" t="s">
        <v>2856</v>
      </c>
      <c r="B1747" s="5" t="s">
        <v>2856</v>
      </c>
      <c r="C1747" s="1" t="str">
        <f t="shared" si="1"/>
        <v/>
      </c>
      <c r="E1747" s="5" t="s">
        <v>2856</v>
      </c>
      <c r="F1747" s="6" t="str">
        <f t="shared" si="2"/>
        <v>#N/A</v>
      </c>
      <c r="G1747" s="1" t="str">
        <f t="shared" si="3"/>
        <v/>
      </c>
      <c r="H1747" s="5" t="str">
        <f t="shared" si="4"/>
        <v>25, 35, SLOWPOKE</v>
      </c>
    </row>
    <row r="1748" ht="12.75" customHeight="1">
      <c r="A1748" s="4" t="s">
        <v>2539</v>
      </c>
      <c r="B1748" s="5" t="s">
        <v>2539</v>
      </c>
      <c r="C1748" s="1">
        <f t="shared" si="1"/>
        <v>1</v>
      </c>
      <c r="E1748" s="5" t="s">
        <v>2539</v>
      </c>
      <c r="F1748" s="6" t="str">
        <f t="shared" si="2"/>
        <v>#N/A</v>
      </c>
      <c r="G1748" s="1" t="str">
        <f t="shared" si="3"/>
        <v/>
      </c>
      <c r="H1748" s="5" t="str">
        <f t="shared" si="4"/>
        <v>NEW ROUTE</v>
      </c>
    </row>
    <row r="1749" ht="12.75" customHeight="1">
      <c r="A1749" s="4" t="s">
        <v>2183</v>
      </c>
      <c r="B1749" s="5" t="s">
        <v>2183</v>
      </c>
      <c r="C1749" s="1" t="str">
        <f t="shared" si="1"/>
        <v/>
      </c>
      <c r="E1749" s="5" t="s">
        <v>2183</v>
      </c>
      <c r="F1749" s="6" t="str">
        <f t="shared" si="2"/>
        <v>Six Island Green Path</v>
      </c>
      <c r="G1749" s="1" t="str">
        <f t="shared" si="3"/>
        <v>Six Island Green Path</v>
      </c>
      <c r="H1749" s="5" t="str">
        <f t="shared" si="4"/>
        <v>Six Island Green Path</v>
      </c>
    </row>
    <row r="1750" ht="12.75" customHeight="1">
      <c r="A1750" s="4" t="s">
        <v>3173</v>
      </c>
      <c r="B1750" s="5" t="s">
        <v>3173</v>
      </c>
      <c r="C1750" s="1" t="str">
        <f t="shared" si="1"/>
        <v/>
      </c>
      <c r="E1750" s="5" t="s">
        <v>3173</v>
      </c>
      <c r="F1750" s="6" t="str">
        <f t="shared" si="2"/>
        <v>#N/A</v>
      </c>
      <c r="G1750" s="1" t="str">
        <f t="shared" si="3"/>
        <v/>
      </c>
      <c r="H1750" s="5" t="str">
        <f t="shared" si="4"/>
        <v>2, 5, 20, TENTACOOL</v>
      </c>
    </row>
    <row r="1751" ht="12.75" customHeight="1">
      <c r="A1751" s="4" t="s">
        <v>3174</v>
      </c>
      <c r="B1751" s="5" t="s">
        <v>3174</v>
      </c>
      <c r="C1751" s="1" t="str">
        <f t="shared" si="1"/>
        <v/>
      </c>
      <c r="E1751" s="5" t="s">
        <v>3174</v>
      </c>
      <c r="F1751" s="6" t="str">
        <f t="shared" si="2"/>
        <v>#N/A</v>
      </c>
      <c r="G1751" s="1" t="str">
        <f t="shared" si="3"/>
        <v/>
      </c>
      <c r="H1751" s="5" t="str">
        <f t="shared" si="4"/>
        <v>20, 35, TENTACOOL</v>
      </c>
    </row>
    <row r="1752" ht="12.75" customHeight="1">
      <c r="A1752" s="4" t="s">
        <v>2845</v>
      </c>
      <c r="B1752" s="5" t="s">
        <v>2845</v>
      </c>
      <c r="C1752" s="1" t="str">
        <f t="shared" si="1"/>
        <v/>
      </c>
      <c r="E1752" s="5" t="s">
        <v>2845</v>
      </c>
      <c r="F1752" s="6" t="str">
        <f t="shared" si="2"/>
        <v>#N/A</v>
      </c>
      <c r="G1752" s="1" t="str">
        <f t="shared" si="3"/>
        <v/>
      </c>
      <c r="H1752" s="5" t="str">
        <f t="shared" si="4"/>
        <v>35, 40, TENTACOOL</v>
      </c>
    </row>
    <row r="1753" ht="12.75" customHeight="1">
      <c r="A1753" s="4" t="s">
        <v>3232</v>
      </c>
      <c r="B1753" s="5" t="s">
        <v>3232</v>
      </c>
      <c r="C1753" s="1" t="str">
        <f t="shared" si="1"/>
        <v/>
      </c>
      <c r="E1753" s="5" t="s">
        <v>3232</v>
      </c>
      <c r="F1753" s="6" t="str">
        <f t="shared" si="2"/>
        <v>#N/A</v>
      </c>
      <c r="G1753" s="1" t="str">
        <f t="shared" si="3"/>
        <v/>
      </c>
      <c r="H1753" s="5" t="str">
        <f t="shared" si="4"/>
        <v>35, 40, TENTACRUEL</v>
      </c>
    </row>
    <row r="1754" ht="12.75" customHeight="1">
      <c r="A1754" s="4" t="s">
        <v>3232</v>
      </c>
      <c r="B1754" s="5" t="s">
        <v>3232</v>
      </c>
      <c r="C1754" s="1" t="str">
        <f t="shared" si="1"/>
        <v/>
      </c>
      <c r="E1754" s="5" t="s">
        <v>3232</v>
      </c>
      <c r="F1754" s="6" t="str">
        <f t="shared" si="2"/>
        <v>#N/A</v>
      </c>
      <c r="G1754" s="1" t="str">
        <f t="shared" si="3"/>
        <v/>
      </c>
      <c r="H1754" s="5" t="str">
        <f t="shared" si="4"/>
        <v>35, 40, TENTACRUEL</v>
      </c>
    </row>
    <row r="1755" ht="12.75" customHeight="1">
      <c r="A1755" s="4" t="s">
        <v>2926</v>
      </c>
      <c r="B1755" s="5" t="s">
        <v>2926</v>
      </c>
      <c r="C1755" s="1" t="str">
        <f t="shared" si="1"/>
        <v/>
      </c>
      <c r="E1755" s="5" t="s">
        <v>2926</v>
      </c>
      <c r="F1755" s="6" t="str">
        <f t="shared" si="2"/>
        <v>#N/A</v>
      </c>
      <c r="G1755" s="1" t="str">
        <f t="shared" si="3"/>
        <v/>
      </c>
      <c r="H1755" s="5" t="str">
        <f t="shared" si="4"/>
        <v>20, old rod:</v>
      </c>
    </row>
    <row r="1756" ht="12.75" customHeight="1">
      <c r="A1756" s="4" t="s">
        <v>417</v>
      </c>
      <c r="B1756" s="5" t="s">
        <v>417</v>
      </c>
      <c r="C1756" s="1" t="str">
        <f t="shared" si="1"/>
        <v/>
      </c>
      <c r="E1756" s="5" t="s">
        <v>417</v>
      </c>
      <c r="F1756" s="6" t="str">
        <f t="shared" si="2"/>
        <v>#N/A</v>
      </c>
      <c r="G1756" s="1" t="str">
        <f t="shared" si="3"/>
        <v/>
      </c>
      <c r="H1756" s="5" t="str">
        <f t="shared" si="4"/>
        <v>5, 5, MAGIKARP</v>
      </c>
    </row>
    <row r="1757" ht="12.75" customHeight="1">
      <c r="A1757" s="4" t="s">
        <v>417</v>
      </c>
      <c r="B1757" s="5" t="s">
        <v>417</v>
      </c>
      <c r="C1757" s="1" t="str">
        <f t="shared" si="1"/>
        <v/>
      </c>
      <c r="E1757" s="5" t="s">
        <v>417</v>
      </c>
      <c r="F1757" s="6" t="str">
        <f t="shared" si="2"/>
        <v>#N/A</v>
      </c>
      <c r="G1757" s="1" t="str">
        <f t="shared" si="3"/>
        <v/>
      </c>
      <c r="H1757" s="5" t="str">
        <f t="shared" si="4"/>
        <v>5, 5, MAGIKARP</v>
      </c>
    </row>
    <row r="1758" ht="12.75" customHeight="1">
      <c r="A1758" s="4" t="s">
        <v>2847</v>
      </c>
      <c r="B1758" s="5" t="s">
        <v>2847</v>
      </c>
      <c r="C1758" s="1" t="str">
        <f t="shared" si="1"/>
        <v/>
      </c>
      <c r="E1758" s="5" t="s">
        <v>2847</v>
      </c>
      <c r="F1758" s="6" t="str">
        <f t="shared" si="2"/>
        <v>#N/A</v>
      </c>
      <c r="G1758" s="1" t="str">
        <f t="shared" si="3"/>
        <v/>
      </c>
      <c r="H1758" s="5" t="str">
        <f t="shared" si="4"/>
        <v>good rod:</v>
      </c>
    </row>
    <row r="1759" ht="12.75" customHeight="1">
      <c r="A1759" s="4" t="s">
        <v>2848</v>
      </c>
      <c r="B1759" s="5" t="s">
        <v>2848</v>
      </c>
      <c r="C1759" s="1" t="str">
        <f t="shared" si="1"/>
        <v/>
      </c>
      <c r="E1759" s="5" t="s">
        <v>2848</v>
      </c>
      <c r="F1759" s="6" t="str">
        <f t="shared" si="2"/>
        <v>#N/A</v>
      </c>
      <c r="G1759" s="1" t="str">
        <f t="shared" si="3"/>
        <v/>
      </c>
      <c r="H1759" s="5" t="str">
        <f t="shared" si="4"/>
        <v>5, 15, KRABBY</v>
      </c>
    </row>
    <row r="1760" ht="12.75" customHeight="1">
      <c r="A1760" s="4" t="s">
        <v>2849</v>
      </c>
      <c r="B1760" s="5" t="s">
        <v>2849</v>
      </c>
      <c r="C1760" s="1" t="str">
        <f t="shared" si="1"/>
        <v/>
      </c>
      <c r="E1760" s="5" t="s">
        <v>2849</v>
      </c>
      <c r="F1760" s="6" t="str">
        <f t="shared" si="2"/>
        <v>#N/A</v>
      </c>
      <c r="G1760" s="1" t="str">
        <f t="shared" si="3"/>
        <v/>
      </c>
      <c r="H1760" s="5" t="str">
        <f t="shared" si="4"/>
        <v>5, 15, MAGIKARP</v>
      </c>
    </row>
    <row r="1761" ht="12.75" customHeight="1">
      <c r="A1761" s="4" t="s">
        <v>2848</v>
      </c>
      <c r="B1761" s="5" t="s">
        <v>2848</v>
      </c>
      <c r="C1761" s="1" t="str">
        <f t="shared" si="1"/>
        <v/>
      </c>
      <c r="E1761" s="5" t="s">
        <v>2848</v>
      </c>
      <c r="F1761" s="6" t="str">
        <f t="shared" si="2"/>
        <v>#N/A</v>
      </c>
      <c r="G1761" s="1" t="str">
        <f t="shared" si="3"/>
        <v/>
      </c>
      <c r="H1761" s="5" t="str">
        <f t="shared" si="4"/>
        <v>5, 15, KRABBY</v>
      </c>
    </row>
    <row r="1762" ht="12.75" customHeight="1">
      <c r="A1762" s="4" t="s">
        <v>2851</v>
      </c>
      <c r="B1762" s="5" t="s">
        <v>2851</v>
      </c>
      <c r="C1762" s="1" t="str">
        <f t="shared" si="1"/>
        <v/>
      </c>
      <c r="E1762" s="5" t="s">
        <v>2851</v>
      </c>
      <c r="F1762" s="6" t="str">
        <f t="shared" si="2"/>
        <v>#N/A</v>
      </c>
      <c r="G1762" s="1" t="str">
        <f t="shared" si="3"/>
        <v/>
      </c>
      <c r="H1762" s="5" t="str">
        <f t="shared" si="4"/>
        <v>super rod:</v>
      </c>
    </row>
    <row r="1763" ht="12.75" customHeight="1">
      <c r="A1763" s="4" t="s">
        <v>2852</v>
      </c>
      <c r="B1763" s="5" t="s">
        <v>2852</v>
      </c>
      <c r="C1763" s="1" t="str">
        <f t="shared" si="1"/>
        <v/>
      </c>
      <c r="E1763" s="5" t="s">
        <v>2852</v>
      </c>
      <c r="F1763" s="6" t="str">
        <f t="shared" si="2"/>
        <v>#N/A</v>
      </c>
      <c r="G1763" s="1" t="str">
        <f t="shared" si="3"/>
        <v/>
      </c>
      <c r="H1763" s="5" t="str">
        <f t="shared" si="4"/>
        <v>15, 25, KRABBY</v>
      </c>
    </row>
    <row r="1764" ht="12.75" customHeight="1">
      <c r="A1764" s="4" t="s">
        <v>3259</v>
      </c>
      <c r="B1764" s="5" t="s">
        <v>3259</v>
      </c>
      <c r="C1764" s="1" t="str">
        <f t="shared" si="1"/>
        <v/>
      </c>
      <c r="E1764" s="5" t="s">
        <v>3259</v>
      </c>
      <c r="F1764" s="6" t="str">
        <f t="shared" si="2"/>
        <v>#N/A</v>
      </c>
      <c r="G1764" s="1" t="str">
        <f t="shared" si="3"/>
        <v/>
      </c>
      <c r="H1764" s="5" t="str">
        <f t="shared" si="4"/>
        <v>15, 25, REMORAID</v>
      </c>
    </row>
    <row r="1765" ht="12.75" customHeight="1">
      <c r="A1765" s="4" t="s">
        <v>2854</v>
      </c>
      <c r="B1765" s="5" t="s">
        <v>2854</v>
      </c>
      <c r="C1765" s="1" t="str">
        <f t="shared" si="1"/>
        <v/>
      </c>
      <c r="E1765" s="5" t="s">
        <v>2854</v>
      </c>
      <c r="F1765" s="6" t="str">
        <f t="shared" si="2"/>
        <v>#N/A</v>
      </c>
      <c r="G1765" s="1" t="str">
        <f t="shared" si="3"/>
        <v/>
      </c>
      <c r="H1765" s="5" t="str">
        <f t="shared" si="4"/>
        <v>15, 25, GYARADOS</v>
      </c>
    </row>
    <row r="1766" ht="12.75" customHeight="1">
      <c r="A1766" s="4" t="s">
        <v>3178</v>
      </c>
      <c r="B1766" s="5" t="s">
        <v>3178</v>
      </c>
      <c r="C1766" s="1" t="str">
        <f t="shared" si="1"/>
        <v/>
      </c>
      <c r="E1766" s="5" t="s">
        <v>3178</v>
      </c>
      <c r="F1766" s="6" t="str">
        <f t="shared" si="2"/>
        <v>#N/A</v>
      </c>
      <c r="G1766" s="1" t="str">
        <f t="shared" si="3"/>
        <v/>
      </c>
      <c r="H1766" s="5" t="str">
        <f t="shared" si="4"/>
        <v>25, 35, KINGLER</v>
      </c>
    </row>
    <row r="1767" ht="12.75" customHeight="1">
      <c r="A1767" s="4" t="s">
        <v>2856</v>
      </c>
      <c r="B1767" s="5" t="s">
        <v>2856</v>
      </c>
      <c r="C1767" s="1" t="str">
        <f t="shared" si="1"/>
        <v/>
      </c>
      <c r="E1767" s="5" t="s">
        <v>2856</v>
      </c>
      <c r="F1767" s="6" t="str">
        <f t="shared" si="2"/>
        <v>#N/A</v>
      </c>
      <c r="G1767" s="1" t="str">
        <f t="shared" si="3"/>
        <v/>
      </c>
      <c r="H1767" s="5" t="str">
        <f t="shared" si="4"/>
        <v>25, 35, SLOWPOKE</v>
      </c>
    </row>
    <row r="1768" ht="12.75" customHeight="1">
      <c r="A1768" s="4" t="s">
        <v>2539</v>
      </c>
      <c r="B1768" s="5" t="s">
        <v>2539</v>
      </c>
      <c r="C1768" s="1">
        <f t="shared" si="1"/>
        <v>1</v>
      </c>
      <c r="E1768" s="5" t="s">
        <v>2539</v>
      </c>
      <c r="F1768" s="6" t="str">
        <f t="shared" si="2"/>
        <v>#N/A</v>
      </c>
      <c r="G1768" s="1" t="str">
        <f t="shared" si="3"/>
        <v/>
      </c>
      <c r="H1768" s="5" t="str">
        <f t="shared" si="4"/>
        <v>NEW ROUTE</v>
      </c>
    </row>
    <row r="1769" ht="12.75" customHeight="1">
      <c r="A1769" s="4" t="s">
        <v>2185</v>
      </c>
      <c r="B1769" s="5" t="s">
        <v>2185</v>
      </c>
      <c r="C1769" s="1" t="str">
        <f t="shared" si="1"/>
        <v/>
      </c>
      <c r="E1769" s="5" t="s">
        <v>2185</v>
      </c>
      <c r="F1769" s="6" t="str">
        <f t="shared" si="2"/>
        <v>Six Island Water Path</v>
      </c>
      <c r="G1769" s="1" t="str">
        <f t="shared" si="3"/>
        <v>Six Island Water Path</v>
      </c>
      <c r="H1769" s="5" t="str">
        <f t="shared" si="4"/>
        <v>Six Island Water Path</v>
      </c>
    </row>
    <row r="1770" ht="12.75" customHeight="1">
      <c r="A1770" s="4" t="s">
        <v>2799</v>
      </c>
      <c r="B1770" s="5">
        <v>0.2</v>
      </c>
      <c r="C1770" s="1" t="str">
        <f t="shared" si="1"/>
        <v/>
      </c>
      <c r="E1770" s="5">
        <v>0.2</v>
      </c>
      <c r="F1770" s="6" t="str">
        <f t="shared" si="2"/>
        <v>#N/A</v>
      </c>
      <c r="G1770" s="1" t="str">
        <f t="shared" si="3"/>
        <v/>
      </c>
      <c r="H1770" s="5">
        <f t="shared" si="4"/>
        <v>0.2</v>
      </c>
    </row>
    <row r="1771" ht="12.75" customHeight="1">
      <c r="A1771" s="4" t="s">
        <v>887</v>
      </c>
      <c r="B1771" s="5" t="s">
        <v>887</v>
      </c>
      <c r="C1771" s="1" t="str">
        <f t="shared" si="1"/>
        <v/>
      </c>
      <c r="E1771" s="5" t="s">
        <v>887</v>
      </c>
      <c r="F1771" s="6" t="str">
        <f t="shared" si="2"/>
        <v>#N/A</v>
      </c>
      <c r="G1771" s="1" t="str">
        <f t="shared" si="3"/>
        <v/>
      </c>
      <c r="H1771" s="5" t="str">
        <f t="shared" si="4"/>
        <v>44, 44, SPEAROW</v>
      </c>
    </row>
    <row r="1772" ht="12.75" customHeight="1">
      <c r="A1772" s="4" t="s">
        <v>3262</v>
      </c>
      <c r="B1772" s="5" t="s">
        <v>3262</v>
      </c>
      <c r="C1772" s="1" t="str">
        <f t="shared" si="1"/>
        <v/>
      </c>
      <c r="E1772" s="5" t="s">
        <v>3262</v>
      </c>
      <c r="F1772" s="6" t="str">
        <f t="shared" si="2"/>
        <v>#N/A</v>
      </c>
      <c r="G1772" s="1" t="str">
        <f t="shared" si="3"/>
        <v/>
      </c>
      <c r="H1772" s="5" t="str">
        <f t="shared" si="4"/>
        <v>10, 10, SENTRET</v>
      </c>
    </row>
    <row r="1773" ht="12.75" customHeight="1">
      <c r="A1773" s="4" t="s">
        <v>2802</v>
      </c>
      <c r="B1773" s="5">
        <v>0.1</v>
      </c>
      <c r="C1773" s="1" t="str">
        <f t="shared" si="1"/>
        <v/>
      </c>
      <c r="E1773" s="5">
        <v>0.1</v>
      </c>
      <c r="F1773" s="6" t="str">
        <f t="shared" si="2"/>
        <v>#N/A</v>
      </c>
      <c r="G1773" s="1" t="str">
        <f t="shared" si="3"/>
        <v/>
      </c>
      <c r="H1773" s="5">
        <f t="shared" si="4"/>
        <v>0.1</v>
      </c>
    </row>
    <row r="1774" ht="12.75" customHeight="1">
      <c r="A1774" s="4" t="s">
        <v>3279</v>
      </c>
      <c r="B1774" s="5" t="s">
        <v>3279</v>
      </c>
      <c r="C1774" s="1" t="str">
        <f t="shared" si="1"/>
        <v/>
      </c>
      <c r="E1774" s="5" t="s">
        <v>3279</v>
      </c>
      <c r="F1774" s="6" t="str">
        <f t="shared" si="2"/>
        <v>#N/A</v>
      </c>
      <c r="G1774" s="1" t="str">
        <f t="shared" si="3"/>
        <v/>
      </c>
      <c r="H1774" s="5" t="str">
        <f t="shared" si="4"/>
        <v>44, 44, BELLSPROUT</v>
      </c>
    </row>
    <row r="1775" ht="12.75" customHeight="1">
      <c r="A1775" s="4" t="s">
        <v>3280</v>
      </c>
      <c r="B1775" s="5" t="s">
        <v>3280</v>
      </c>
      <c r="C1775" s="1" t="str">
        <f t="shared" si="1"/>
        <v/>
      </c>
      <c r="E1775" s="5" t="s">
        <v>3280</v>
      </c>
      <c r="F1775" s="6" t="str">
        <f t="shared" si="2"/>
        <v>#N/A</v>
      </c>
      <c r="G1775" s="1" t="str">
        <f t="shared" si="3"/>
        <v/>
      </c>
      <c r="H1775" s="5" t="str">
        <f t="shared" si="4"/>
        <v>48, 48, FEAROW</v>
      </c>
    </row>
    <row r="1776" ht="12.75" customHeight="1">
      <c r="A1776" s="4" t="s">
        <v>3264</v>
      </c>
      <c r="B1776" s="5" t="s">
        <v>3264</v>
      </c>
      <c r="C1776" s="1" t="str">
        <f t="shared" si="1"/>
        <v/>
      </c>
      <c r="E1776" s="5" t="s">
        <v>3264</v>
      </c>
      <c r="F1776" s="6" t="str">
        <f t="shared" si="2"/>
        <v>#N/A</v>
      </c>
      <c r="G1776" s="1" t="str">
        <f t="shared" si="3"/>
        <v/>
      </c>
      <c r="H1776" s="5" t="str">
        <f t="shared" si="4"/>
        <v>15, 15, SENTRET</v>
      </c>
    </row>
    <row r="1777" ht="12.75" customHeight="1">
      <c r="A1777" s="4" t="s">
        <v>3265</v>
      </c>
      <c r="B1777" s="5" t="s">
        <v>3265</v>
      </c>
      <c r="C1777" s="1" t="str">
        <f t="shared" si="1"/>
        <v/>
      </c>
      <c r="E1777" s="5" t="s">
        <v>3265</v>
      </c>
      <c r="F1777" s="6" t="str">
        <f t="shared" si="2"/>
        <v>#N/A</v>
      </c>
      <c r="G1777" s="1" t="str">
        <f t="shared" si="3"/>
        <v/>
      </c>
      <c r="H1777" s="5" t="str">
        <f t="shared" si="4"/>
        <v>41, 41, MEOWTH</v>
      </c>
    </row>
    <row r="1778" ht="12.75" customHeight="1">
      <c r="A1778" s="4" t="s">
        <v>2807</v>
      </c>
      <c r="B1778" s="5">
        <v>0.05</v>
      </c>
      <c r="C1778" s="1" t="str">
        <f t="shared" si="1"/>
        <v/>
      </c>
      <c r="E1778" s="5">
        <v>0.05</v>
      </c>
      <c r="F1778" s="6" t="str">
        <f t="shared" si="2"/>
        <v>#N/A</v>
      </c>
      <c r="G1778" s="1" t="str">
        <f t="shared" si="3"/>
        <v/>
      </c>
      <c r="H1778" s="5">
        <f t="shared" si="4"/>
        <v>0.05</v>
      </c>
    </row>
    <row r="1779" ht="12.75" customHeight="1">
      <c r="A1779" s="4" t="s">
        <v>3281</v>
      </c>
      <c r="B1779" s="5" t="s">
        <v>3281</v>
      </c>
      <c r="C1779" s="1" t="str">
        <f t="shared" si="1"/>
        <v/>
      </c>
      <c r="E1779" s="5" t="s">
        <v>3281</v>
      </c>
      <c r="F1779" s="6" t="str">
        <f t="shared" si="2"/>
        <v>#N/A</v>
      </c>
      <c r="G1779" s="1" t="str">
        <f t="shared" si="3"/>
        <v/>
      </c>
      <c r="H1779" s="5" t="str">
        <f t="shared" si="4"/>
        <v>48, 48, WEEPINBELL</v>
      </c>
    </row>
    <row r="1780" ht="12.75" customHeight="1">
      <c r="A1780" s="4" t="s">
        <v>3155</v>
      </c>
      <c r="B1780" s="5" t="s">
        <v>3155</v>
      </c>
      <c r="C1780" s="1" t="str">
        <f t="shared" si="1"/>
        <v/>
      </c>
      <c r="E1780" s="5" t="s">
        <v>3155</v>
      </c>
      <c r="F1780" s="6" t="str">
        <f t="shared" si="2"/>
        <v>#N/A</v>
      </c>
      <c r="G1780" s="1" t="str">
        <f t="shared" si="3"/>
        <v/>
      </c>
      <c r="H1780" s="5" t="str">
        <f t="shared" si="4"/>
        <v>41, 41, SLOWPOKE</v>
      </c>
    </row>
    <row r="1781" ht="12.75" customHeight="1">
      <c r="A1781" s="4" t="s">
        <v>2810</v>
      </c>
      <c r="B1781" s="5">
        <v>0.04</v>
      </c>
      <c r="C1781" s="1" t="str">
        <f t="shared" si="1"/>
        <v/>
      </c>
      <c r="E1781" s="5">
        <v>0.04</v>
      </c>
      <c r="F1781" s="6" t="str">
        <f t="shared" si="2"/>
        <v>#N/A</v>
      </c>
      <c r="G1781" s="1" t="str">
        <f t="shared" si="3"/>
        <v/>
      </c>
      <c r="H1781" s="5">
        <f t="shared" si="4"/>
        <v>0.04</v>
      </c>
    </row>
    <row r="1782" ht="12.75" customHeight="1">
      <c r="A1782" s="4" t="s">
        <v>3282</v>
      </c>
      <c r="B1782" s="5" t="s">
        <v>3282</v>
      </c>
      <c r="C1782" s="1" t="str">
        <f t="shared" si="1"/>
        <v/>
      </c>
      <c r="E1782" s="5" t="s">
        <v>3282</v>
      </c>
      <c r="F1782" s="6" t="str">
        <f t="shared" si="2"/>
        <v>#N/A</v>
      </c>
      <c r="G1782" s="1" t="str">
        <f t="shared" si="3"/>
        <v/>
      </c>
      <c r="H1782" s="5" t="str">
        <f t="shared" si="4"/>
        <v>50, 50, FEAROW</v>
      </c>
    </row>
    <row r="1783" ht="12.75" customHeight="1">
      <c r="A1783" s="4" t="s">
        <v>3268</v>
      </c>
      <c r="B1783" s="5" t="s">
        <v>3268</v>
      </c>
      <c r="C1783" s="1" t="str">
        <f t="shared" si="1"/>
        <v/>
      </c>
      <c r="E1783" s="5" t="s">
        <v>3268</v>
      </c>
      <c r="F1783" s="6" t="str">
        <f t="shared" si="2"/>
        <v>#N/A</v>
      </c>
      <c r="G1783" s="1" t="str">
        <f t="shared" si="3"/>
        <v/>
      </c>
      <c r="H1783" s="5" t="str">
        <f t="shared" si="4"/>
        <v>47, 47, PERSIAN</v>
      </c>
    </row>
    <row r="1784" ht="12.75" customHeight="1">
      <c r="A1784" s="4" t="s">
        <v>2813</v>
      </c>
      <c r="B1784" s="5">
        <v>0.01</v>
      </c>
      <c r="C1784" s="1" t="str">
        <f t="shared" si="1"/>
        <v/>
      </c>
      <c r="E1784" s="5">
        <v>0.01</v>
      </c>
      <c r="F1784" s="6" t="str">
        <f t="shared" si="2"/>
        <v>#N/A</v>
      </c>
      <c r="G1784" s="1" t="str">
        <f t="shared" si="3"/>
        <v/>
      </c>
      <c r="H1784" s="5">
        <f t="shared" si="4"/>
        <v>0.01</v>
      </c>
    </row>
    <row r="1785" ht="12.75" customHeight="1">
      <c r="A1785" s="4" t="s">
        <v>3282</v>
      </c>
      <c r="B1785" s="5" t="s">
        <v>3282</v>
      </c>
      <c r="C1785" s="1" t="str">
        <f t="shared" si="1"/>
        <v/>
      </c>
      <c r="E1785" s="5" t="s">
        <v>3282</v>
      </c>
      <c r="F1785" s="6" t="str">
        <f t="shared" si="2"/>
        <v>#N/A</v>
      </c>
      <c r="G1785" s="1" t="str">
        <f t="shared" si="3"/>
        <v/>
      </c>
      <c r="H1785" s="5" t="str">
        <f t="shared" si="4"/>
        <v>50, 50, FEAROW</v>
      </c>
    </row>
    <row r="1786" ht="12.75" customHeight="1">
      <c r="A1786" s="4" t="s">
        <v>3269</v>
      </c>
      <c r="B1786" s="5" t="s">
        <v>3269</v>
      </c>
      <c r="C1786" s="1" t="str">
        <f t="shared" si="1"/>
        <v/>
      </c>
      <c r="E1786" s="5" t="s">
        <v>3269</v>
      </c>
      <c r="F1786" s="6" t="str">
        <f t="shared" si="2"/>
        <v>#N/A</v>
      </c>
      <c r="G1786" s="1" t="str">
        <f t="shared" si="3"/>
        <v/>
      </c>
      <c r="H1786" s="5" t="str">
        <f t="shared" si="4"/>
        <v>50, 50, PERSIAN</v>
      </c>
    </row>
    <row r="1787" ht="12.75" customHeight="1">
      <c r="A1787" s="4" t="s">
        <v>3173</v>
      </c>
      <c r="B1787" s="5" t="s">
        <v>3173</v>
      </c>
      <c r="C1787" s="1" t="str">
        <f t="shared" si="1"/>
        <v/>
      </c>
      <c r="E1787" s="5" t="s">
        <v>3173</v>
      </c>
      <c r="F1787" s="6" t="str">
        <f t="shared" si="2"/>
        <v>#N/A</v>
      </c>
      <c r="G1787" s="1" t="str">
        <f t="shared" si="3"/>
        <v/>
      </c>
      <c r="H1787" s="5" t="str">
        <f t="shared" si="4"/>
        <v>2, 5, 20, TENTACOOL</v>
      </c>
    </row>
    <row r="1788" ht="12.75" customHeight="1">
      <c r="A1788" s="4" t="s">
        <v>3174</v>
      </c>
      <c r="B1788" s="5" t="s">
        <v>3174</v>
      </c>
      <c r="C1788" s="1" t="str">
        <f t="shared" si="1"/>
        <v/>
      </c>
      <c r="E1788" s="5" t="s">
        <v>3174</v>
      </c>
      <c r="F1788" s="6" t="str">
        <f t="shared" si="2"/>
        <v>#N/A</v>
      </c>
      <c r="G1788" s="1" t="str">
        <f t="shared" si="3"/>
        <v/>
      </c>
      <c r="H1788" s="5" t="str">
        <f t="shared" si="4"/>
        <v>20, 35, TENTACOOL</v>
      </c>
    </row>
    <row r="1789" ht="12.75" customHeight="1">
      <c r="A1789" s="4" t="s">
        <v>2845</v>
      </c>
      <c r="B1789" s="5" t="s">
        <v>2845</v>
      </c>
      <c r="C1789" s="1" t="str">
        <f t="shared" si="1"/>
        <v/>
      </c>
      <c r="E1789" s="5" t="s">
        <v>2845</v>
      </c>
      <c r="F1789" s="6" t="str">
        <f t="shared" si="2"/>
        <v>#N/A</v>
      </c>
      <c r="G1789" s="1" t="str">
        <f t="shared" si="3"/>
        <v/>
      </c>
      <c r="H1789" s="5" t="str">
        <f t="shared" si="4"/>
        <v>35, 40, TENTACOOL</v>
      </c>
    </row>
    <row r="1790" ht="12.75" customHeight="1">
      <c r="A1790" s="4" t="s">
        <v>3232</v>
      </c>
      <c r="B1790" s="5" t="s">
        <v>3232</v>
      </c>
      <c r="C1790" s="1" t="str">
        <f t="shared" si="1"/>
        <v/>
      </c>
      <c r="E1790" s="5" t="s">
        <v>3232</v>
      </c>
      <c r="F1790" s="6" t="str">
        <f t="shared" si="2"/>
        <v>#N/A</v>
      </c>
      <c r="G1790" s="1" t="str">
        <f t="shared" si="3"/>
        <v/>
      </c>
      <c r="H1790" s="5" t="str">
        <f t="shared" si="4"/>
        <v>35, 40, TENTACRUEL</v>
      </c>
    </row>
    <row r="1791" ht="12.75" customHeight="1">
      <c r="A1791" s="4" t="s">
        <v>3232</v>
      </c>
      <c r="B1791" s="5" t="s">
        <v>3232</v>
      </c>
      <c r="C1791" s="1" t="str">
        <f t="shared" si="1"/>
        <v/>
      </c>
      <c r="E1791" s="5" t="s">
        <v>3232</v>
      </c>
      <c r="F1791" s="6" t="str">
        <f t="shared" si="2"/>
        <v>#N/A</v>
      </c>
      <c r="G1791" s="1" t="str">
        <f t="shared" si="3"/>
        <v/>
      </c>
      <c r="H1791" s="5" t="str">
        <f t="shared" si="4"/>
        <v>35, 40, TENTACRUEL</v>
      </c>
    </row>
    <row r="1792" ht="12.75" customHeight="1">
      <c r="A1792" s="4" t="s">
        <v>2926</v>
      </c>
      <c r="B1792" s="5" t="s">
        <v>2926</v>
      </c>
      <c r="C1792" s="1" t="str">
        <f t="shared" si="1"/>
        <v/>
      </c>
      <c r="E1792" s="5" t="s">
        <v>2926</v>
      </c>
      <c r="F1792" s="6" t="str">
        <f t="shared" si="2"/>
        <v>#N/A</v>
      </c>
      <c r="G1792" s="1" t="str">
        <f t="shared" si="3"/>
        <v/>
      </c>
      <c r="H1792" s="5" t="str">
        <f t="shared" si="4"/>
        <v>20, old rod:</v>
      </c>
    </row>
    <row r="1793" ht="12.75" customHeight="1">
      <c r="A1793" s="4" t="s">
        <v>417</v>
      </c>
      <c r="B1793" s="5" t="s">
        <v>417</v>
      </c>
      <c r="C1793" s="1" t="str">
        <f t="shared" si="1"/>
        <v/>
      </c>
      <c r="E1793" s="5" t="s">
        <v>417</v>
      </c>
      <c r="F1793" s="6" t="str">
        <f t="shared" si="2"/>
        <v>#N/A</v>
      </c>
      <c r="G1793" s="1" t="str">
        <f t="shared" si="3"/>
        <v/>
      </c>
      <c r="H1793" s="5" t="str">
        <f t="shared" si="4"/>
        <v>5, 5, MAGIKARP</v>
      </c>
    </row>
    <row r="1794" ht="12.75" customHeight="1">
      <c r="A1794" s="4" t="s">
        <v>417</v>
      </c>
      <c r="B1794" s="5" t="s">
        <v>417</v>
      </c>
      <c r="C1794" s="1" t="str">
        <f t="shared" si="1"/>
        <v/>
      </c>
      <c r="E1794" s="5" t="s">
        <v>417</v>
      </c>
      <c r="F1794" s="6" t="str">
        <f t="shared" si="2"/>
        <v>#N/A</v>
      </c>
      <c r="G1794" s="1" t="str">
        <f t="shared" si="3"/>
        <v/>
      </c>
      <c r="H1794" s="5" t="str">
        <f t="shared" si="4"/>
        <v>5, 5, MAGIKARP</v>
      </c>
    </row>
    <row r="1795" ht="12.75" customHeight="1">
      <c r="A1795" s="4" t="s">
        <v>2847</v>
      </c>
      <c r="B1795" s="5" t="s">
        <v>2847</v>
      </c>
      <c r="C1795" s="1" t="str">
        <f t="shared" si="1"/>
        <v/>
      </c>
      <c r="E1795" s="5" t="s">
        <v>2847</v>
      </c>
      <c r="F1795" s="6" t="str">
        <f t="shared" si="2"/>
        <v>#N/A</v>
      </c>
      <c r="G1795" s="1" t="str">
        <f t="shared" si="3"/>
        <v/>
      </c>
      <c r="H1795" s="5" t="str">
        <f t="shared" si="4"/>
        <v>good rod:</v>
      </c>
    </row>
    <row r="1796" ht="12.75" customHeight="1">
      <c r="A1796" s="4" t="s">
        <v>2848</v>
      </c>
      <c r="B1796" s="5" t="s">
        <v>2848</v>
      </c>
      <c r="C1796" s="1" t="str">
        <f t="shared" si="1"/>
        <v/>
      </c>
      <c r="E1796" s="5" t="s">
        <v>2848</v>
      </c>
      <c r="F1796" s="6" t="str">
        <f t="shared" si="2"/>
        <v>#N/A</v>
      </c>
      <c r="G1796" s="1" t="str">
        <f t="shared" si="3"/>
        <v/>
      </c>
      <c r="H1796" s="5" t="str">
        <f t="shared" si="4"/>
        <v>5, 15, KRABBY</v>
      </c>
    </row>
    <row r="1797" ht="12.75" customHeight="1">
      <c r="A1797" s="4" t="s">
        <v>2849</v>
      </c>
      <c r="B1797" s="5" t="s">
        <v>2849</v>
      </c>
      <c r="C1797" s="1" t="str">
        <f t="shared" si="1"/>
        <v/>
      </c>
      <c r="E1797" s="5" t="s">
        <v>2849</v>
      </c>
      <c r="F1797" s="6" t="str">
        <f t="shared" si="2"/>
        <v>#N/A</v>
      </c>
      <c r="G1797" s="1" t="str">
        <f t="shared" si="3"/>
        <v/>
      </c>
      <c r="H1797" s="5" t="str">
        <f t="shared" si="4"/>
        <v>5, 15, MAGIKARP</v>
      </c>
    </row>
    <row r="1798" ht="12.75" customHeight="1">
      <c r="A1798" s="4" t="s">
        <v>2848</v>
      </c>
      <c r="B1798" s="5" t="s">
        <v>2848</v>
      </c>
      <c r="C1798" s="1" t="str">
        <f t="shared" si="1"/>
        <v/>
      </c>
      <c r="E1798" s="5" t="s">
        <v>2848</v>
      </c>
      <c r="F1798" s="6" t="str">
        <f t="shared" si="2"/>
        <v>#N/A</v>
      </c>
      <c r="G1798" s="1" t="str">
        <f t="shared" si="3"/>
        <v/>
      </c>
      <c r="H1798" s="5" t="str">
        <f t="shared" si="4"/>
        <v>5, 15, KRABBY</v>
      </c>
    </row>
    <row r="1799" ht="12.75" customHeight="1">
      <c r="A1799" s="4" t="s">
        <v>2851</v>
      </c>
      <c r="B1799" s="5" t="s">
        <v>2851</v>
      </c>
      <c r="C1799" s="1" t="str">
        <f t="shared" si="1"/>
        <v/>
      </c>
      <c r="E1799" s="5" t="s">
        <v>2851</v>
      </c>
      <c r="F1799" s="6" t="str">
        <f t="shared" si="2"/>
        <v>#N/A</v>
      </c>
      <c r="G1799" s="1" t="str">
        <f t="shared" si="3"/>
        <v/>
      </c>
      <c r="H1799" s="5" t="str">
        <f t="shared" si="4"/>
        <v>super rod:</v>
      </c>
    </row>
    <row r="1800" ht="12.75" customHeight="1">
      <c r="A1800" s="4" t="s">
        <v>2852</v>
      </c>
      <c r="B1800" s="5" t="s">
        <v>2852</v>
      </c>
      <c r="C1800" s="1" t="str">
        <f t="shared" si="1"/>
        <v/>
      </c>
      <c r="E1800" s="5" t="s">
        <v>2852</v>
      </c>
      <c r="F1800" s="6" t="str">
        <f t="shared" si="2"/>
        <v>#N/A</v>
      </c>
      <c r="G1800" s="1" t="str">
        <f t="shared" si="3"/>
        <v/>
      </c>
      <c r="H1800" s="5" t="str">
        <f t="shared" si="4"/>
        <v>15, 25, KRABBY</v>
      </c>
    </row>
    <row r="1801" ht="12.75" customHeight="1">
      <c r="A1801" s="4" t="s">
        <v>3259</v>
      </c>
      <c r="B1801" s="5" t="s">
        <v>3259</v>
      </c>
      <c r="C1801" s="1" t="str">
        <f t="shared" si="1"/>
        <v/>
      </c>
      <c r="E1801" s="5" t="s">
        <v>3259</v>
      </c>
      <c r="F1801" s="6" t="str">
        <f t="shared" si="2"/>
        <v>#N/A</v>
      </c>
      <c r="G1801" s="1" t="str">
        <f t="shared" si="3"/>
        <v/>
      </c>
      <c r="H1801" s="5" t="str">
        <f t="shared" si="4"/>
        <v>15, 25, REMORAID</v>
      </c>
    </row>
    <row r="1802" ht="12.75" customHeight="1">
      <c r="A1802" s="4" t="s">
        <v>2854</v>
      </c>
      <c r="B1802" s="5" t="s">
        <v>2854</v>
      </c>
      <c r="C1802" s="1" t="str">
        <f t="shared" si="1"/>
        <v/>
      </c>
      <c r="E1802" s="5" t="s">
        <v>2854</v>
      </c>
      <c r="F1802" s="6" t="str">
        <f t="shared" si="2"/>
        <v>#N/A</v>
      </c>
      <c r="G1802" s="1" t="str">
        <f t="shared" si="3"/>
        <v/>
      </c>
      <c r="H1802" s="5" t="str">
        <f t="shared" si="4"/>
        <v>15, 25, GYARADOS</v>
      </c>
    </row>
    <row r="1803" ht="12.75" customHeight="1">
      <c r="A1803" s="4" t="s">
        <v>3178</v>
      </c>
      <c r="B1803" s="5" t="s">
        <v>3178</v>
      </c>
      <c r="C1803" s="1" t="str">
        <f t="shared" si="1"/>
        <v/>
      </c>
      <c r="E1803" s="5" t="s">
        <v>3178</v>
      </c>
      <c r="F1803" s="6" t="str">
        <f t="shared" si="2"/>
        <v>#N/A</v>
      </c>
      <c r="G1803" s="1" t="str">
        <f t="shared" si="3"/>
        <v/>
      </c>
      <c r="H1803" s="5" t="str">
        <f t="shared" si="4"/>
        <v>25, 35, KINGLER</v>
      </c>
    </row>
    <row r="1804" ht="12.75" customHeight="1">
      <c r="A1804" s="4" t="s">
        <v>2856</v>
      </c>
      <c r="B1804" s="5" t="s">
        <v>2856</v>
      </c>
      <c r="C1804" s="1" t="str">
        <f t="shared" si="1"/>
        <v/>
      </c>
      <c r="E1804" s="5" t="s">
        <v>2856</v>
      </c>
      <c r="F1804" s="6" t="str">
        <f t="shared" si="2"/>
        <v>#N/A</v>
      </c>
      <c r="G1804" s="1" t="str">
        <f t="shared" si="3"/>
        <v/>
      </c>
      <c r="H1804" s="5" t="str">
        <f t="shared" si="4"/>
        <v>25, 35, SLOWPOKE</v>
      </c>
    </row>
    <row r="1805" ht="12.75" customHeight="1">
      <c r="A1805" s="4" t="s">
        <v>2539</v>
      </c>
      <c r="B1805" s="5" t="s">
        <v>2539</v>
      </c>
      <c r="C1805" s="1">
        <f t="shared" si="1"/>
        <v>1</v>
      </c>
      <c r="E1805" s="5" t="s">
        <v>2539</v>
      </c>
      <c r="F1805" s="6" t="str">
        <f t="shared" si="2"/>
        <v>#N/A</v>
      </c>
      <c r="G1805" s="1" t="str">
        <f t="shared" si="3"/>
        <v/>
      </c>
      <c r="H1805" s="5" t="str">
        <f t="shared" si="4"/>
        <v>NEW ROUTE</v>
      </c>
    </row>
    <row r="1806" ht="12.75" customHeight="1">
      <c r="A1806" s="4" t="s">
        <v>2187</v>
      </c>
      <c r="B1806" s="5" t="s">
        <v>2187</v>
      </c>
      <c r="C1806" s="1" t="str">
        <f t="shared" si="1"/>
        <v/>
      </c>
      <c r="E1806" s="5" t="s">
        <v>2187</v>
      </c>
      <c r="F1806" s="6" t="str">
        <f t="shared" si="2"/>
        <v>Six Island Ruin Valley</v>
      </c>
      <c r="G1806" s="1" t="str">
        <f t="shared" si="3"/>
        <v>Six Island Ruin Valley</v>
      </c>
      <c r="H1806" s="5" t="str">
        <f t="shared" si="4"/>
        <v>Six Island Ruin Valley</v>
      </c>
    </row>
    <row r="1807" ht="12.75" customHeight="1">
      <c r="A1807" s="4" t="s">
        <v>2799</v>
      </c>
      <c r="B1807" s="5">
        <v>0.2</v>
      </c>
      <c r="C1807" s="1" t="str">
        <f t="shared" si="1"/>
        <v/>
      </c>
      <c r="E1807" s="5">
        <v>0.2</v>
      </c>
      <c r="F1807" s="6" t="str">
        <f t="shared" si="2"/>
        <v>#N/A</v>
      </c>
      <c r="G1807" s="1" t="str">
        <f t="shared" si="3"/>
        <v/>
      </c>
      <c r="H1807" s="5">
        <f t="shared" si="4"/>
        <v>0.2</v>
      </c>
    </row>
    <row r="1808" ht="12.75" customHeight="1">
      <c r="A1808" s="4" t="s">
        <v>894</v>
      </c>
      <c r="B1808" s="5" t="s">
        <v>894</v>
      </c>
      <c r="C1808" s="1" t="str">
        <f t="shared" si="1"/>
        <v/>
      </c>
      <c r="E1808" s="5" t="s">
        <v>894</v>
      </c>
      <c r="F1808" s="6" t="str">
        <f t="shared" si="2"/>
        <v>#N/A</v>
      </c>
      <c r="G1808" s="1" t="str">
        <f t="shared" si="3"/>
        <v/>
      </c>
      <c r="H1808" s="5" t="str">
        <f t="shared" si="4"/>
        <v>15, 15, NATU</v>
      </c>
    </row>
    <row r="1809" ht="12.75" customHeight="1">
      <c r="A1809" s="4" t="s">
        <v>887</v>
      </c>
      <c r="B1809" s="5" t="s">
        <v>887</v>
      </c>
      <c r="C1809" s="1" t="str">
        <f t="shared" si="1"/>
        <v/>
      </c>
      <c r="E1809" s="5" t="s">
        <v>887</v>
      </c>
      <c r="F1809" s="6" t="str">
        <f t="shared" si="2"/>
        <v>#N/A</v>
      </c>
      <c r="G1809" s="1" t="str">
        <f t="shared" si="3"/>
        <v/>
      </c>
      <c r="H1809" s="5" t="str">
        <f t="shared" si="4"/>
        <v>44, 44, SPEAROW</v>
      </c>
    </row>
    <row r="1810" ht="12.75" customHeight="1">
      <c r="A1810" s="4" t="s">
        <v>2802</v>
      </c>
      <c r="B1810" s="5">
        <v>0.1</v>
      </c>
      <c r="C1810" s="1" t="str">
        <f t="shared" si="1"/>
        <v/>
      </c>
      <c r="E1810" s="5">
        <v>0.1</v>
      </c>
      <c r="F1810" s="6" t="str">
        <f t="shared" si="2"/>
        <v>#N/A</v>
      </c>
      <c r="G1810" s="1" t="str">
        <f t="shared" si="3"/>
        <v/>
      </c>
      <c r="H1810" s="5">
        <f t="shared" si="4"/>
        <v>0.1</v>
      </c>
    </row>
    <row r="1811" ht="12.75" customHeight="1">
      <c r="A1811" s="4" t="s">
        <v>3284</v>
      </c>
      <c r="B1811" s="5" t="s">
        <v>3284</v>
      </c>
      <c r="C1811" s="1" t="str">
        <f t="shared" si="1"/>
        <v/>
      </c>
      <c r="E1811" s="5" t="s">
        <v>3284</v>
      </c>
      <c r="F1811" s="6" t="str">
        <f t="shared" si="2"/>
        <v>#N/A</v>
      </c>
      <c r="G1811" s="1" t="str">
        <f t="shared" si="3"/>
        <v/>
      </c>
      <c r="H1811" s="5" t="str">
        <f t="shared" si="4"/>
        <v>18, 18, YANMA</v>
      </c>
    </row>
    <row r="1812" ht="12.75" customHeight="1">
      <c r="A1812" s="4" t="s">
        <v>3285</v>
      </c>
      <c r="B1812" s="5" t="s">
        <v>3285</v>
      </c>
      <c r="C1812" s="1" t="str">
        <f t="shared" si="1"/>
        <v/>
      </c>
      <c r="E1812" s="5" t="s">
        <v>3285</v>
      </c>
      <c r="F1812" s="6" t="str">
        <f t="shared" si="2"/>
        <v>#N/A</v>
      </c>
      <c r="G1812" s="1" t="str">
        <f t="shared" si="3"/>
        <v/>
      </c>
      <c r="H1812" s="5" t="str">
        <f t="shared" si="4"/>
        <v>15, 15, MARILL</v>
      </c>
    </row>
    <row r="1813" ht="12.75" customHeight="1">
      <c r="A1813" s="4" t="s">
        <v>3286</v>
      </c>
      <c r="B1813" s="5" t="s">
        <v>3286</v>
      </c>
      <c r="C1813" s="1" t="str">
        <f t="shared" si="1"/>
        <v/>
      </c>
      <c r="E1813" s="5" t="s">
        <v>3286</v>
      </c>
      <c r="F1813" s="6" t="str">
        <f t="shared" si="2"/>
        <v>#N/A</v>
      </c>
      <c r="G1813" s="1" t="str">
        <f t="shared" si="3"/>
        <v/>
      </c>
      <c r="H1813" s="5" t="str">
        <f t="shared" si="4"/>
        <v>49, 49, FEAROW</v>
      </c>
    </row>
    <row r="1814" ht="12.75" customHeight="1">
      <c r="A1814" s="4" t="s">
        <v>3287</v>
      </c>
      <c r="B1814" s="5" t="s">
        <v>3287</v>
      </c>
      <c r="C1814" s="1" t="str">
        <f t="shared" si="1"/>
        <v/>
      </c>
      <c r="E1814" s="5" t="s">
        <v>3287</v>
      </c>
      <c r="F1814" s="6" t="str">
        <f t="shared" si="2"/>
        <v>#N/A</v>
      </c>
      <c r="G1814" s="1" t="str">
        <f t="shared" si="3"/>
        <v/>
      </c>
      <c r="H1814" s="5" t="str">
        <f t="shared" si="4"/>
        <v>43, 43, MEOWTH</v>
      </c>
    </row>
    <row r="1815" ht="12.75" customHeight="1">
      <c r="A1815" s="4" t="s">
        <v>2807</v>
      </c>
      <c r="B1815" s="5">
        <v>0.05</v>
      </c>
      <c r="C1815" s="1" t="str">
        <f t="shared" si="1"/>
        <v/>
      </c>
      <c r="E1815" s="5">
        <v>0.05</v>
      </c>
      <c r="F1815" s="6" t="str">
        <f t="shared" si="2"/>
        <v>#N/A</v>
      </c>
      <c r="G1815" s="1" t="str">
        <f t="shared" si="3"/>
        <v/>
      </c>
      <c r="H1815" s="5">
        <f t="shared" si="4"/>
        <v>0.05</v>
      </c>
    </row>
    <row r="1816" ht="12.75" customHeight="1">
      <c r="A1816" s="4" t="s">
        <v>3288</v>
      </c>
      <c r="B1816" s="5" t="s">
        <v>3288</v>
      </c>
      <c r="C1816" s="1" t="str">
        <f t="shared" si="1"/>
        <v/>
      </c>
      <c r="E1816" s="5" t="s">
        <v>3288</v>
      </c>
      <c r="F1816" s="6" t="str">
        <f t="shared" si="2"/>
        <v>#N/A</v>
      </c>
      <c r="G1816" s="1" t="str">
        <f t="shared" si="3"/>
        <v/>
      </c>
      <c r="H1816" s="5" t="str">
        <f t="shared" si="4"/>
        <v>25, 25, WOBBUFFET</v>
      </c>
    </row>
    <row r="1817" ht="12.75" customHeight="1">
      <c r="A1817" s="4" t="s">
        <v>3155</v>
      </c>
      <c r="B1817" s="5" t="s">
        <v>3155</v>
      </c>
      <c r="C1817" s="1" t="str">
        <f t="shared" si="1"/>
        <v/>
      </c>
      <c r="E1817" s="5" t="s">
        <v>3155</v>
      </c>
      <c r="F1817" s="6" t="str">
        <f t="shared" si="2"/>
        <v>#N/A</v>
      </c>
      <c r="G1817" s="1" t="str">
        <f t="shared" si="3"/>
        <v/>
      </c>
      <c r="H1817" s="5" t="str">
        <f t="shared" si="4"/>
        <v>41, 41, SLOWPOKE</v>
      </c>
    </row>
    <row r="1818" ht="12.75" customHeight="1">
      <c r="A1818" s="4" t="s">
        <v>2810</v>
      </c>
      <c r="B1818" s="5">
        <v>0.04</v>
      </c>
      <c r="C1818" s="1" t="str">
        <f t="shared" si="1"/>
        <v/>
      </c>
      <c r="E1818" s="5">
        <v>0.04</v>
      </c>
      <c r="F1818" s="6" t="str">
        <f t="shared" si="2"/>
        <v>#N/A</v>
      </c>
      <c r="G1818" s="1" t="str">
        <f t="shared" si="3"/>
        <v/>
      </c>
      <c r="H1818" s="5">
        <f t="shared" si="4"/>
        <v>0.04</v>
      </c>
    </row>
    <row r="1819" ht="12.75" customHeight="1">
      <c r="A1819" s="4" t="s">
        <v>3289</v>
      </c>
      <c r="B1819" s="5" t="s">
        <v>3289</v>
      </c>
      <c r="C1819" s="1" t="str">
        <f t="shared" si="1"/>
        <v/>
      </c>
      <c r="E1819" s="5" t="s">
        <v>3289</v>
      </c>
      <c r="F1819" s="6" t="str">
        <f t="shared" si="2"/>
        <v>#N/A</v>
      </c>
      <c r="G1819" s="1" t="str">
        <f t="shared" si="3"/>
        <v/>
      </c>
      <c r="H1819" s="5" t="str">
        <f t="shared" si="4"/>
        <v>20, 20, NATU</v>
      </c>
    </row>
    <row r="1820" ht="12.75" customHeight="1">
      <c r="A1820" s="4" t="s">
        <v>3290</v>
      </c>
      <c r="B1820" s="5" t="s">
        <v>3290</v>
      </c>
      <c r="C1820" s="1" t="str">
        <f t="shared" si="1"/>
        <v/>
      </c>
      <c r="E1820" s="5" t="s">
        <v>3290</v>
      </c>
      <c r="F1820" s="6" t="str">
        <f t="shared" si="2"/>
        <v>#N/A</v>
      </c>
      <c r="G1820" s="1" t="str">
        <f t="shared" si="3"/>
        <v/>
      </c>
      <c r="H1820" s="5" t="str">
        <f t="shared" si="4"/>
        <v>49, 49, PERSIAN</v>
      </c>
    </row>
    <row r="1821" ht="12.75" customHeight="1">
      <c r="A1821" s="4" t="s">
        <v>2813</v>
      </c>
      <c r="B1821" s="5">
        <v>0.01</v>
      </c>
      <c r="C1821" s="1" t="str">
        <f t="shared" si="1"/>
        <v/>
      </c>
      <c r="E1821" s="5">
        <v>0.01</v>
      </c>
      <c r="F1821" s="6" t="str">
        <f t="shared" si="2"/>
        <v>#N/A</v>
      </c>
      <c r="G1821" s="1" t="str">
        <f t="shared" si="3"/>
        <v/>
      </c>
      <c r="H1821" s="5">
        <f t="shared" si="4"/>
        <v>0.01</v>
      </c>
    </row>
    <row r="1822" ht="12.75" customHeight="1">
      <c r="A1822" s="4" t="s">
        <v>3289</v>
      </c>
      <c r="B1822" s="5" t="s">
        <v>3289</v>
      </c>
      <c r="C1822" s="1" t="str">
        <f t="shared" si="1"/>
        <v/>
      </c>
      <c r="E1822" s="5" t="s">
        <v>3289</v>
      </c>
      <c r="F1822" s="6" t="str">
        <f t="shared" si="2"/>
        <v>#N/A</v>
      </c>
      <c r="G1822" s="1" t="str">
        <f t="shared" si="3"/>
        <v/>
      </c>
      <c r="H1822" s="5" t="str">
        <f t="shared" si="4"/>
        <v>20, 20, NATU</v>
      </c>
    </row>
    <row r="1823" ht="12.75" customHeight="1">
      <c r="A1823" s="4" t="s">
        <v>3291</v>
      </c>
      <c r="B1823" s="5" t="s">
        <v>3291</v>
      </c>
      <c r="C1823" s="1" t="str">
        <f t="shared" si="1"/>
        <v/>
      </c>
      <c r="E1823" s="5" t="s">
        <v>3291</v>
      </c>
      <c r="F1823" s="6" t="str">
        <f t="shared" si="2"/>
        <v>#N/A</v>
      </c>
      <c r="G1823" s="1" t="str">
        <f t="shared" si="3"/>
        <v/>
      </c>
      <c r="H1823" s="5" t="str">
        <f t="shared" si="4"/>
        <v>52, 52, PERSIAN</v>
      </c>
    </row>
    <row r="1824" ht="12.75" customHeight="1">
      <c r="A1824" s="4" t="s">
        <v>3292</v>
      </c>
      <c r="B1824" s="5" t="s">
        <v>3292</v>
      </c>
      <c r="C1824" s="1" t="str">
        <f t="shared" si="1"/>
        <v/>
      </c>
      <c r="E1824" s="5" t="s">
        <v>3292</v>
      </c>
      <c r="F1824" s="6" t="str">
        <f t="shared" si="2"/>
        <v>#N/A</v>
      </c>
      <c r="G1824" s="1" t="str">
        <f t="shared" si="3"/>
        <v/>
      </c>
      <c r="H1824" s="5" t="str">
        <f t="shared" si="4"/>
        <v>2, 5, 20, MARILL</v>
      </c>
    </row>
    <row r="1825" ht="12.75" customHeight="1">
      <c r="A1825" s="4" t="s">
        <v>3293</v>
      </c>
      <c r="B1825" s="5" t="s">
        <v>3293</v>
      </c>
      <c r="C1825" s="1" t="str">
        <f t="shared" si="1"/>
        <v/>
      </c>
      <c r="E1825" s="5" t="s">
        <v>3293</v>
      </c>
      <c r="F1825" s="6" t="str">
        <f t="shared" si="2"/>
        <v>#N/A</v>
      </c>
      <c r="G1825" s="1" t="str">
        <f t="shared" si="3"/>
        <v/>
      </c>
      <c r="H1825" s="5" t="str">
        <f t="shared" si="4"/>
        <v>10, 20, MARILL</v>
      </c>
    </row>
    <row r="1826" ht="12.75" customHeight="1">
      <c r="A1826" s="4" t="s">
        <v>3294</v>
      </c>
      <c r="B1826" s="5" t="s">
        <v>3294</v>
      </c>
      <c r="C1826" s="1" t="str">
        <f t="shared" si="1"/>
        <v/>
      </c>
      <c r="E1826" s="5" t="s">
        <v>3294</v>
      </c>
      <c r="F1826" s="6" t="str">
        <f t="shared" si="2"/>
        <v>#N/A</v>
      </c>
      <c r="G1826" s="1" t="str">
        <f t="shared" si="3"/>
        <v/>
      </c>
      <c r="H1826" s="5" t="str">
        <f t="shared" si="4"/>
        <v>15, 25, MARILL</v>
      </c>
    </row>
    <row r="1827" ht="12.75" customHeight="1">
      <c r="A1827" s="4" t="s">
        <v>3295</v>
      </c>
      <c r="B1827" s="5" t="s">
        <v>3295</v>
      </c>
      <c r="C1827" s="1" t="str">
        <f t="shared" si="1"/>
        <v/>
      </c>
      <c r="E1827" s="5" t="s">
        <v>3295</v>
      </c>
      <c r="F1827" s="6" t="str">
        <f t="shared" si="2"/>
        <v>#N/A</v>
      </c>
      <c r="G1827" s="1" t="str">
        <f t="shared" si="3"/>
        <v/>
      </c>
      <c r="H1827" s="5" t="str">
        <f t="shared" si="4"/>
        <v>20, 25, MARILL</v>
      </c>
    </row>
    <row r="1828" ht="12.75" customHeight="1">
      <c r="A1828" s="4" t="s">
        <v>3295</v>
      </c>
      <c r="B1828" s="5" t="s">
        <v>3295</v>
      </c>
      <c r="C1828" s="1" t="str">
        <f t="shared" si="1"/>
        <v/>
      </c>
      <c r="E1828" s="5" t="s">
        <v>3295</v>
      </c>
      <c r="F1828" s="6" t="str">
        <f t="shared" si="2"/>
        <v>#N/A</v>
      </c>
      <c r="G1828" s="1" t="str">
        <f t="shared" si="3"/>
        <v/>
      </c>
      <c r="H1828" s="5" t="str">
        <f t="shared" si="4"/>
        <v>20, 25, MARILL</v>
      </c>
    </row>
    <row r="1829" ht="12.75" customHeight="1">
      <c r="A1829" s="4" t="s">
        <v>2926</v>
      </c>
      <c r="B1829" s="5" t="s">
        <v>2926</v>
      </c>
      <c r="C1829" s="1" t="str">
        <f t="shared" si="1"/>
        <v/>
      </c>
      <c r="E1829" s="5" t="s">
        <v>2926</v>
      </c>
      <c r="F1829" s="6" t="str">
        <f t="shared" si="2"/>
        <v>#N/A</v>
      </c>
      <c r="G1829" s="1" t="str">
        <f t="shared" si="3"/>
        <v/>
      </c>
      <c r="H1829" s="5" t="str">
        <f t="shared" si="4"/>
        <v>20, old rod:</v>
      </c>
    </row>
    <row r="1830" ht="12.75" customHeight="1">
      <c r="A1830" s="4" t="s">
        <v>417</v>
      </c>
      <c r="B1830" s="5" t="s">
        <v>417</v>
      </c>
      <c r="C1830" s="1" t="str">
        <f t="shared" si="1"/>
        <v/>
      </c>
      <c r="E1830" s="5" t="s">
        <v>417</v>
      </c>
      <c r="F1830" s="6" t="str">
        <f t="shared" si="2"/>
        <v>#N/A</v>
      </c>
      <c r="G1830" s="1" t="str">
        <f t="shared" si="3"/>
        <v/>
      </c>
      <c r="H1830" s="5" t="str">
        <f t="shared" si="4"/>
        <v>5, 5, MAGIKARP</v>
      </c>
    </row>
    <row r="1831" ht="12.75" customHeight="1">
      <c r="A1831" s="4" t="s">
        <v>417</v>
      </c>
      <c r="B1831" s="5" t="s">
        <v>417</v>
      </c>
      <c r="C1831" s="1" t="str">
        <f t="shared" si="1"/>
        <v/>
      </c>
      <c r="E1831" s="5" t="s">
        <v>417</v>
      </c>
      <c r="F1831" s="6" t="str">
        <f t="shared" si="2"/>
        <v>#N/A</v>
      </c>
      <c r="G1831" s="1" t="str">
        <f t="shared" si="3"/>
        <v/>
      </c>
      <c r="H1831" s="5" t="str">
        <f t="shared" si="4"/>
        <v>5, 5, MAGIKARP</v>
      </c>
    </row>
    <row r="1832" ht="12.75" customHeight="1">
      <c r="A1832" s="4" t="s">
        <v>2847</v>
      </c>
      <c r="B1832" s="5" t="s">
        <v>2847</v>
      </c>
      <c r="C1832" s="1" t="str">
        <f t="shared" si="1"/>
        <v/>
      </c>
      <c r="E1832" s="5" t="s">
        <v>2847</v>
      </c>
      <c r="F1832" s="6" t="str">
        <f t="shared" si="2"/>
        <v>#N/A</v>
      </c>
      <c r="G1832" s="1" t="str">
        <f t="shared" si="3"/>
        <v/>
      </c>
      <c r="H1832" s="5" t="str">
        <f t="shared" si="4"/>
        <v>good rod:</v>
      </c>
    </row>
    <row r="1833" ht="12.75" customHeight="1">
      <c r="A1833" s="4" t="s">
        <v>3144</v>
      </c>
      <c r="B1833" s="5" t="s">
        <v>3144</v>
      </c>
      <c r="C1833" s="1" t="str">
        <f t="shared" si="1"/>
        <v/>
      </c>
      <c r="E1833" s="5" t="s">
        <v>3144</v>
      </c>
      <c r="F1833" s="6" t="str">
        <f t="shared" si="2"/>
        <v>#N/A</v>
      </c>
      <c r="G1833" s="1" t="str">
        <f t="shared" si="3"/>
        <v/>
      </c>
      <c r="H1833" s="5" t="str">
        <f t="shared" si="4"/>
        <v>5, 15, POLIWAG</v>
      </c>
    </row>
    <row r="1834" ht="12.75" customHeight="1">
      <c r="A1834" s="4" t="s">
        <v>2849</v>
      </c>
      <c r="B1834" s="5" t="s">
        <v>2849</v>
      </c>
      <c r="C1834" s="1" t="str">
        <f t="shared" si="1"/>
        <v/>
      </c>
      <c r="E1834" s="5" t="s">
        <v>2849</v>
      </c>
      <c r="F1834" s="6" t="str">
        <f t="shared" si="2"/>
        <v>#N/A</v>
      </c>
      <c r="G1834" s="1" t="str">
        <f t="shared" si="3"/>
        <v/>
      </c>
      <c r="H1834" s="5" t="str">
        <f t="shared" si="4"/>
        <v>5, 15, MAGIKARP</v>
      </c>
    </row>
    <row r="1835" ht="12.75" customHeight="1">
      <c r="A1835" s="4" t="s">
        <v>3143</v>
      </c>
      <c r="B1835" s="5" t="s">
        <v>3143</v>
      </c>
      <c r="C1835" s="1" t="str">
        <f t="shared" si="1"/>
        <v/>
      </c>
      <c r="E1835" s="5" t="s">
        <v>3143</v>
      </c>
      <c r="F1835" s="6" t="str">
        <f t="shared" si="2"/>
        <v>#N/A</v>
      </c>
      <c r="G1835" s="1" t="str">
        <f t="shared" si="3"/>
        <v/>
      </c>
      <c r="H1835" s="5" t="str">
        <f t="shared" si="4"/>
        <v>5, 15, GOLDEEN</v>
      </c>
    </row>
    <row r="1836" ht="12.75" customHeight="1">
      <c r="A1836" s="4" t="s">
        <v>2851</v>
      </c>
      <c r="B1836" s="5" t="s">
        <v>2851</v>
      </c>
      <c r="C1836" s="1" t="str">
        <f t="shared" si="1"/>
        <v/>
      </c>
      <c r="E1836" s="5" t="s">
        <v>2851</v>
      </c>
      <c r="F1836" s="6" t="str">
        <f t="shared" si="2"/>
        <v>#N/A</v>
      </c>
      <c r="G1836" s="1" t="str">
        <f t="shared" si="3"/>
        <v/>
      </c>
      <c r="H1836" s="5" t="str">
        <f t="shared" si="4"/>
        <v>super rod:</v>
      </c>
    </row>
    <row r="1837" ht="12.75" customHeight="1">
      <c r="A1837" s="4" t="s">
        <v>3162</v>
      </c>
      <c r="B1837" s="5" t="s">
        <v>3162</v>
      </c>
      <c r="C1837" s="1" t="str">
        <f t="shared" si="1"/>
        <v/>
      </c>
      <c r="E1837" s="5" t="s">
        <v>3162</v>
      </c>
      <c r="F1837" s="6" t="str">
        <f t="shared" si="2"/>
        <v>#N/A</v>
      </c>
      <c r="G1837" s="1" t="str">
        <f t="shared" si="3"/>
        <v/>
      </c>
      <c r="H1837" s="5" t="str">
        <f t="shared" si="4"/>
        <v>15, 25, POLIWAG</v>
      </c>
    </row>
    <row r="1838" ht="12.75" customHeight="1">
      <c r="A1838" s="4" t="s">
        <v>3163</v>
      </c>
      <c r="B1838" s="5" t="s">
        <v>3163</v>
      </c>
      <c r="C1838" s="1" t="str">
        <f t="shared" si="1"/>
        <v/>
      </c>
      <c r="E1838" s="5" t="s">
        <v>3163</v>
      </c>
      <c r="F1838" s="6" t="str">
        <f t="shared" si="2"/>
        <v>#N/A</v>
      </c>
      <c r="G1838" s="1" t="str">
        <f t="shared" si="3"/>
        <v/>
      </c>
      <c r="H1838" s="5" t="str">
        <f t="shared" si="4"/>
        <v>20, 30, POLIWHIRL</v>
      </c>
    </row>
    <row r="1839" ht="12.75" customHeight="1">
      <c r="A1839" s="4" t="s">
        <v>2854</v>
      </c>
      <c r="B1839" s="5" t="s">
        <v>2854</v>
      </c>
      <c r="C1839" s="1" t="str">
        <f t="shared" si="1"/>
        <v/>
      </c>
      <c r="E1839" s="5" t="s">
        <v>2854</v>
      </c>
      <c r="F1839" s="6" t="str">
        <f t="shared" si="2"/>
        <v>#N/A</v>
      </c>
      <c r="G1839" s="1" t="str">
        <f t="shared" si="3"/>
        <v/>
      </c>
      <c r="H1839" s="5" t="str">
        <f t="shared" si="4"/>
        <v>15, 25, GYARADOS</v>
      </c>
    </row>
    <row r="1840" ht="12.75" customHeight="1">
      <c r="A1840" s="4" t="s">
        <v>3147</v>
      </c>
      <c r="B1840" s="5" t="s">
        <v>3147</v>
      </c>
      <c r="C1840" s="1" t="str">
        <f t="shared" si="1"/>
        <v/>
      </c>
      <c r="E1840" s="5" t="s">
        <v>3147</v>
      </c>
      <c r="F1840" s="6" t="str">
        <f t="shared" si="2"/>
        <v>#N/A</v>
      </c>
      <c r="G1840" s="1" t="str">
        <f t="shared" si="3"/>
        <v/>
      </c>
      <c r="H1840" s="5" t="str">
        <f t="shared" si="4"/>
        <v>15, 25, SLOWPOKE</v>
      </c>
    </row>
    <row r="1841" ht="12.75" customHeight="1">
      <c r="A1841" s="4" t="s">
        <v>2856</v>
      </c>
      <c r="B1841" s="5" t="s">
        <v>2856</v>
      </c>
      <c r="C1841" s="1" t="str">
        <f t="shared" si="1"/>
        <v/>
      </c>
      <c r="E1841" s="5" t="s">
        <v>2856</v>
      </c>
      <c r="F1841" s="6" t="str">
        <f t="shared" si="2"/>
        <v>#N/A</v>
      </c>
      <c r="G1841" s="1" t="str">
        <f t="shared" si="3"/>
        <v/>
      </c>
      <c r="H1841" s="5" t="str">
        <f t="shared" si="4"/>
        <v>25, 35, SLOWPOKE</v>
      </c>
    </row>
    <row r="1842" ht="12.75" customHeight="1">
      <c r="A1842" s="4" t="s">
        <v>2539</v>
      </c>
      <c r="B1842" s="5" t="s">
        <v>2539</v>
      </c>
      <c r="C1842" s="1">
        <f t="shared" si="1"/>
        <v>1</v>
      </c>
      <c r="E1842" s="5" t="s">
        <v>2539</v>
      </c>
      <c r="F1842" s="6" t="str">
        <f t="shared" si="2"/>
        <v>#N/A</v>
      </c>
      <c r="G1842" s="1" t="str">
        <f t="shared" si="3"/>
        <v/>
      </c>
      <c r="H1842" s="5" t="str">
        <f t="shared" si="4"/>
        <v>NEW ROUTE</v>
      </c>
    </row>
    <row r="1843" ht="12.75" customHeight="1">
      <c r="A1843" s="4" t="s">
        <v>2189</v>
      </c>
      <c r="B1843" s="5" t="s">
        <v>2189</v>
      </c>
      <c r="C1843" s="1" t="str">
        <f t="shared" si="1"/>
        <v/>
      </c>
      <c r="E1843" s="5" t="s">
        <v>2189</v>
      </c>
      <c r="F1843" s="6" t="str">
        <f t="shared" si="2"/>
        <v>Seven Island Trainer Tower</v>
      </c>
      <c r="G1843" s="1" t="str">
        <f t="shared" si="3"/>
        <v>Seven Island Trainer Tower</v>
      </c>
      <c r="H1843" s="5" t="str">
        <f t="shared" si="4"/>
        <v>Seven Island Trainer Tower</v>
      </c>
    </row>
    <row r="1844" ht="12.75" customHeight="1">
      <c r="A1844" s="4" t="s">
        <v>3173</v>
      </c>
      <c r="B1844" s="5" t="s">
        <v>3173</v>
      </c>
      <c r="C1844" s="1" t="str">
        <f t="shared" si="1"/>
        <v/>
      </c>
      <c r="E1844" s="5" t="s">
        <v>3173</v>
      </c>
      <c r="F1844" s="6" t="str">
        <f t="shared" si="2"/>
        <v>#N/A</v>
      </c>
      <c r="G1844" s="1" t="str">
        <f t="shared" si="3"/>
        <v/>
      </c>
      <c r="H1844" s="5" t="str">
        <f t="shared" si="4"/>
        <v>2, 5, 20, TENTACOOL</v>
      </c>
    </row>
    <row r="1845" ht="12.75" customHeight="1">
      <c r="A1845" s="4" t="s">
        <v>3174</v>
      </c>
      <c r="B1845" s="5" t="s">
        <v>3174</v>
      </c>
      <c r="C1845" s="1" t="str">
        <f t="shared" si="1"/>
        <v/>
      </c>
      <c r="E1845" s="5" t="s">
        <v>3174</v>
      </c>
      <c r="F1845" s="6" t="str">
        <f t="shared" si="2"/>
        <v>#N/A</v>
      </c>
      <c r="G1845" s="1" t="str">
        <f t="shared" si="3"/>
        <v/>
      </c>
      <c r="H1845" s="5" t="str">
        <f t="shared" si="4"/>
        <v>20, 35, TENTACOOL</v>
      </c>
    </row>
    <row r="1846" ht="12.75" customHeight="1">
      <c r="A1846" s="4" t="s">
        <v>3297</v>
      </c>
      <c r="B1846" s="5" t="s">
        <v>3297</v>
      </c>
      <c r="C1846" s="1" t="str">
        <f t="shared" si="1"/>
        <v/>
      </c>
      <c r="E1846" s="5" t="s">
        <v>3297</v>
      </c>
      <c r="F1846" s="6" t="str">
        <f t="shared" si="2"/>
        <v>#N/A</v>
      </c>
      <c r="G1846" s="1" t="str">
        <f t="shared" si="3"/>
        <v/>
      </c>
      <c r="H1846" s="5" t="str">
        <f t="shared" si="4"/>
        <v>35, 40, MANTINE</v>
      </c>
    </row>
    <row r="1847" ht="12.75" customHeight="1">
      <c r="A1847" s="4" t="s">
        <v>3232</v>
      </c>
      <c r="B1847" s="5" t="s">
        <v>3232</v>
      </c>
      <c r="C1847" s="1" t="str">
        <f t="shared" si="1"/>
        <v/>
      </c>
      <c r="E1847" s="5" t="s">
        <v>3232</v>
      </c>
      <c r="F1847" s="6" t="str">
        <f t="shared" si="2"/>
        <v>#N/A</v>
      </c>
      <c r="G1847" s="1" t="str">
        <f t="shared" si="3"/>
        <v/>
      </c>
      <c r="H1847" s="5" t="str">
        <f t="shared" si="4"/>
        <v>35, 40, TENTACRUEL</v>
      </c>
    </row>
    <row r="1848" ht="12.75" customHeight="1">
      <c r="A1848" s="4" t="s">
        <v>3232</v>
      </c>
      <c r="B1848" s="5" t="s">
        <v>3232</v>
      </c>
      <c r="C1848" s="1" t="str">
        <f t="shared" si="1"/>
        <v/>
      </c>
      <c r="E1848" s="5" t="s">
        <v>3232</v>
      </c>
      <c r="F1848" s="6" t="str">
        <f t="shared" si="2"/>
        <v>#N/A</v>
      </c>
      <c r="G1848" s="1" t="str">
        <f t="shared" si="3"/>
        <v/>
      </c>
      <c r="H1848" s="5" t="str">
        <f t="shared" si="4"/>
        <v>35, 40, TENTACRUEL</v>
      </c>
    </row>
    <row r="1849" ht="12.75" customHeight="1">
      <c r="A1849" s="4" t="s">
        <v>2926</v>
      </c>
      <c r="B1849" s="5" t="s">
        <v>2926</v>
      </c>
      <c r="C1849" s="1" t="str">
        <f t="shared" si="1"/>
        <v/>
      </c>
      <c r="E1849" s="5" t="s">
        <v>2926</v>
      </c>
      <c r="F1849" s="6" t="str">
        <f t="shared" si="2"/>
        <v>#N/A</v>
      </c>
      <c r="G1849" s="1" t="str">
        <f t="shared" si="3"/>
        <v/>
      </c>
      <c r="H1849" s="5" t="str">
        <f t="shared" si="4"/>
        <v>20, old rod:</v>
      </c>
    </row>
    <row r="1850" ht="12.75" customHeight="1">
      <c r="A1850" s="4" t="s">
        <v>417</v>
      </c>
      <c r="B1850" s="5" t="s">
        <v>417</v>
      </c>
      <c r="C1850" s="1" t="str">
        <f t="shared" si="1"/>
        <v/>
      </c>
      <c r="E1850" s="5" t="s">
        <v>417</v>
      </c>
      <c r="F1850" s="6" t="str">
        <f t="shared" si="2"/>
        <v>#N/A</v>
      </c>
      <c r="G1850" s="1" t="str">
        <f t="shared" si="3"/>
        <v/>
      </c>
      <c r="H1850" s="5" t="str">
        <f t="shared" si="4"/>
        <v>5, 5, MAGIKARP</v>
      </c>
    </row>
    <row r="1851" ht="12.75" customHeight="1">
      <c r="A1851" s="4" t="s">
        <v>417</v>
      </c>
      <c r="B1851" s="5" t="s">
        <v>417</v>
      </c>
      <c r="C1851" s="1" t="str">
        <f t="shared" si="1"/>
        <v/>
      </c>
      <c r="E1851" s="5" t="s">
        <v>417</v>
      </c>
      <c r="F1851" s="6" t="str">
        <f t="shared" si="2"/>
        <v>#N/A</v>
      </c>
      <c r="G1851" s="1" t="str">
        <f t="shared" si="3"/>
        <v/>
      </c>
      <c r="H1851" s="5" t="str">
        <f t="shared" si="4"/>
        <v>5, 5, MAGIKARP</v>
      </c>
    </row>
    <row r="1852" ht="12.75" customHeight="1">
      <c r="A1852" s="4" t="s">
        <v>2847</v>
      </c>
      <c r="B1852" s="5" t="s">
        <v>2847</v>
      </c>
      <c r="C1852" s="1" t="str">
        <f t="shared" si="1"/>
        <v/>
      </c>
      <c r="E1852" s="5" t="s">
        <v>2847</v>
      </c>
      <c r="F1852" s="6" t="str">
        <f t="shared" si="2"/>
        <v>#N/A</v>
      </c>
      <c r="G1852" s="1" t="str">
        <f t="shared" si="3"/>
        <v/>
      </c>
      <c r="H1852" s="5" t="str">
        <f t="shared" si="4"/>
        <v>good rod:</v>
      </c>
    </row>
    <row r="1853" ht="12.75" customHeight="1">
      <c r="A1853" s="4" t="s">
        <v>2848</v>
      </c>
      <c r="B1853" s="5" t="s">
        <v>2848</v>
      </c>
      <c r="C1853" s="1" t="str">
        <f t="shared" si="1"/>
        <v/>
      </c>
      <c r="E1853" s="5" t="s">
        <v>2848</v>
      </c>
      <c r="F1853" s="6" t="str">
        <f t="shared" si="2"/>
        <v>#N/A</v>
      </c>
      <c r="G1853" s="1" t="str">
        <f t="shared" si="3"/>
        <v/>
      </c>
      <c r="H1853" s="5" t="str">
        <f t="shared" si="4"/>
        <v>5, 15, KRABBY</v>
      </c>
    </row>
    <row r="1854" ht="12.75" customHeight="1">
      <c r="A1854" s="4" t="s">
        <v>2849</v>
      </c>
      <c r="B1854" s="5" t="s">
        <v>2849</v>
      </c>
      <c r="C1854" s="1" t="str">
        <f t="shared" si="1"/>
        <v/>
      </c>
      <c r="E1854" s="5" t="s">
        <v>2849</v>
      </c>
      <c r="F1854" s="6" t="str">
        <f t="shared" si="2"/>
        <v>#N/A</v>
      </c>
      <c r="G1854" s="1" t="str">
        <f t="shared" si="3"/>
        <v/>
      </c>
      <c r="H1854" s="5" t="str">
        <f t="shared" si="4"/>
        <v>5, 15, MAGIKARP</v>
      </c>
    </row>
    <row r="1855" ht="12.75" customHeight="1">
      <c r="A1855" s="4" t="s">
        <v>2848</v>
      </c>
      <c r="B1855" s="5" t="s">
        <v>2848</v>
      </c>
      <c r="C1855" s="1" t="str">
        <f t="shared" si="1"/>
        <v/>
      </c>
      <c r="E1855" s="5" t="s">
        <v>2848</v>
      </c>
      <c r="F1855" s="6" t="str">
        <f t="shared" si="2"/>
        <v>#N/A</v>
      </c>
      <c r="G1855" s="1" t="str">
        <f t="shared" si="3"/>
        <v/>
      </c>
      <c r="H1855" s="5" t="str">
        <f t="shared" si="4"/>
        <v>5, 15, KRABBY</v>
      </c>
    </row>
    <row r="1856" ht="12.75" customHeight="1">
      <c r="A1856" s="4" t="s">
        <v>2851</v>
      </c>
      <c r="B1856" s="5" t="s">
        <v>2851</v>
      </c>
      <c r="C1856" s="1" t="str">
        <f t="shared" si="1"/>
        <v/>
      </c>
      <c r="E1856" s="5" t="s">
        <v>2851</v>
      </c>
      <c r="F1856" s="6" t="str">
        <f t="shared" si="2"/>
        <v>#N/A</v>
      </c>
      <c r="G1856" s="1" t="str">
        <f t="shared" si="3"/>
        <v/>
      </c>
      <c r="H1856" s="5" t="str">
        <f t="shared" si="4"/>
        <v>super rod:</v>
      </c>
    </row>
    <row r="1857" ht="12.75" customHeight="1">
      <c r="A1857" s="4" t="s">
        <v>2852</v>
      </c>
      <c r="B1857" s="5" t="s">
        <v>2852</v>
      </c>
      <c r="C1857" s="1" t="str">
        <f t="shared" si="1"/>
        <v/>
      </c>
      <c r="E1857" s="5" t="s">
        <v>2852</v>
      </c>
      <c r="F1857" s="6" t="str">
        <f t="shared" si="2"/>
        <v>#N/A</v>
      </c>
      <c r="G1857" s="1" t="str">
        <f t="shared" si="3"/>
        <v/>
      </c>
      <c r="H1857" s="5" t="str">
        <f t="shared" si="4"/>
        <v>15, 25, KRABBY</v>
      </c>
    </row>
    <row r="1858" ht="12.75" customHeight="1">
      <c r="A1858" s="4" t="s">
        <v>3259</v>
      </c>
      <c r="B1858" s="5" t="s">
        <v>3259</v>
      </c>
      <c r="C1858" s="1" t="str">
        <f t="shared" si="1"/>
        <v/>
      </c>
      <c r="E1858" s="5" t="s">
        <v>3259</v>
      </c>
      <c r="F1858" s="6" t="str">
        <f t="shared" si="2"/>
        <v>#N/A</v>
      </c>
      <c r="G1858" s="1" t="str">
        <f t="shared" si="3"/>
        <v/>
      </c>
      <c r="H1858" s="5" t="str">
        <f t="shared" si="4"/>
        <v>15, 25, REMORAID</v>
      </c>
    </row>
    <row r="1859" ht="12.75" customHeight="1">
      <c r="A1859" s="4" t="s">
        <v>2854</v>
      </c>
      <c r="B1859" s="5" t="s">
        <v>2854</v>
      </c>
      <c r="C1859" s="1" t="str">
        <f t="shared" si="1"/>
        <v/>
      </c>
      <c r="E1859" s="5" t="s">
        <v>2854</v>
      </c>
      <c r="F1859" s="6" t="str">
        <f t="shared" si="2"/>
        <v>#N/A</v>
      </c>
      <c r="G1859" s="1" t="str">
        <f t="shared" si="3"/>
        <v/>
      </c>
      <c r="H1859" s="5" t="str">
        <f t="shared" si="4"/>
        <v>15, 25, GYARADOS</v>
      </c>
    </row>
    <row r="1860" ht="12.75" customHeight="1">
      <c r="A1860" s="4" t="s">
        <v>3178</v>
      </c>
      <c r="B1860" s="5" t="s">
        <v>3178</v>
      </c>
      <c r="C1860" s="1" t="str">
        <f t="shared" si="1"/>
        <v/>
      </c>
      <c r="E1860" s="5" t="s">
        <v>3178</v>
      </c>
      <c r="F1860" s="6" t="str">
        <f t="shared" si="2"/>
        <v>#N/A</v>
      </c>
      <c r="G1860" s="1" t="str">
        <f t="shared" si="3"/>
        <v/>
      </c>
      <c r="H1860" s="5" t="str">
        <f t="shared" si="4"/>
        <v>25, 35, KINGLER</v>
      </c>
    </row>
    <row r="1861" ht="12.75" customHeight="1">
      <c r="A1861" s="4" t="s">
        <v>2856</v>
      </c>
      <c r="B1861" s="5" t="s">
        <v>2856</v>
      </c>
      <c r="C1861" s="1" t="str">
        <f t="shared" si="1"/>
        <v/>
      </c>
      <c r="E1861" s="5" t="s">
        <v>2856</v>
      </c>
      <c r="F1861" s="6" t="str">
        <f t="shared" si="2"/>
        <v>#N/A</v>
      </c>
      <c r="G1861" s="1" t="str">
        <f t="shared" si="3"/>
        <v/>
      </c>
      <c r="H1861" s="5" t="str">
        <f t="shared" si="4"/>
        <v>25, 35, SLOWPOKE</v>
      </c>
    </row>
    <row r="1862" ht="12.75" customHeight="1">
      <c r="A1862" s="4" t="s">
        <v>2539</v>
      </c>
      <c r="B1862" s="5" t="s">
        <v>2539</v>
      </c>
      <c r="C1862" s="1">
        <f t="shared" si="1"/>
        <v>1</v>
      </c>
      <c r="E1862" s="5" t="s">
        <v>2539</v>
      </c>
      <c r="F1862" s="6" t="str">
        <f t="shared" si="2"/>
        <v>#N/A</v>
      </c>
      <c r="G1862" s="1" t="str">
        <f t="shared" si="3"/>
        <v/>
      </c>
      <c r="H1862" s="5" t="str">
        <f t="shared" si="4"/>
        <v>NEW ROUTE</v>
      </c>
    </row>
    <row r="1863" ht="12.75" customHeight="1">
      <c r="A1863" s="4" t="s">
        <v>2191</v>
      </c>
      <c r="B1863" s="5" t="s">
        <v>2191</v>
      </c>
      <c r="C1863" s="1" t="str">
        <f t="shared" si="1"/>
        <v/>
      </c>
      <c r="E1863" s="5" t="s">
        <v>2191</v>
      </c>
      <c r="F1863" s="6" t="str">
        <f t="shared" si="2"/>
        <v>Seven Island Sevault Canyon Entrance</v>
      </c>
      <c r="G1863" s="1" t="str">
        <f t="shared" si="3"/>
        <v>Seven Island Sevault Canyon Entrance</v>
      </c>
      <c r="H1863" s="5" t="str">
        <f t="shared" si="4"/>
        <v>Seven Island Sevault Canyon Entrance</v>
      </c>
    </row>
    <row r="1864" ht="12.75" customHeight="1">
      <c r="A1864" s="4" t="s">
        <v>2799</v>
      </c>
      <c r="B1864" s="5">
        <v>0.2</v>
      </c>
      <c r="C1864" s="1" t="str">
        <f t="shared" si="1"/>
        <v/>
      </c>
      <c r="E1864" s="5">
        <v>0.2</v>
      </c>
      <c r="F1864" s="6" t="str">
        <f t="shared" si="2"/>
        <v>#N/A</v>
      </c>
      <c r="G1864" s="1" t="str">
        <f t="shared" si="3"/>
        <v/>
      </c>
      <c r="H1864" s="5">
        <f t="shared" si="4"/>
        <v>0.2</v>
      </c>
    </row>
    <row r="1865" ht="12.75" customHeight="1">
      <c r="A1865" s="4" t="s">
        <v>887</v>
      </c>
      <c r="B1865" s="5" t="s">
        <v>887</v>
      </c>
      <c r="C1865" s="1" t="str">
        <f t="shared" si="1"/>
        <v/>
      </c>
      <c r="E1865" s="5" t="s">
        <v>887</v>
      </c>
      <c r="F1865" s="6" t="str">
        <f t="shared" si="2"/>
        <v>#N/A</v>
      </c>
      <c r="G1865" s="1" t="str">
        <f t="shared" si="3"/>
        <v/>
      </c>
      <c r="H1865" s="5" t="str">
        <f t="shared" si="4"/>
        <v>44, 44, SPEAROW</v>
      </c>
    </row>
    <row r="1866" ht="12.75" customHeight="1">
      <c r="A1866" s="4" t="s">
        <v>3262</v>
      </c>
      <c r="B1866" s="5" t="s">
        <v>3262</v>
      </c>
      <c r="C1866" s="1" t="str">
        <f t="shared" si="1"/>
        <v/>
      </c>
      <c r="E1866" s="5" t="s">
        <v>3262</v>
      </c>
      <c r="F1866" s="6" t="str">
        <f t="shared" si="2"/>
        <v>#N/A</v>
      </c>
      <c r="G1866" s="1" t="str">
        <f t="shared" si="3"/>
        <v/>
      </c>
      <c r="H1866" s="5" t="str">
        <f t="shared" si="4"/>
        <v>10, 10, SENTRET</v>
      </c>
    </row>
    <row r="1867" ht="12.75" customHeight="1">
      <c r="A1867" s="4" t="s">
        <v>2802</v>
      </c>
      <c r="B1867" s="5">
        <v>0.1</v>
      </c>
      <c r="C1867" s="1" t="str">
        <f t="shared" si="1"/>
        <v/>
      </c>
      <c r="E1867" s="5">
        <v>0.1</v>
      </c>
      <c r="F1867" s="6" t="str">
        <f t="shared" si="2"/>
        <v>#N/A</v>
      </c>
      <c r="G1867" s="1" t="str">
        <f t="shared" si="3"/>
        <v/>
      </c>
      <c r="H1867" s="5">
        <f t="shared" si="4"/>
        <v>0.1</v>
      </c>
    </row>
    <row r="1868" ht="12.75" customHeight="1">
      <c r="A1868" s="4" t="s">
        <v>3299</v>
      </c>
      <c r="B1868" s="5" t="s">
        <v>3299</v>
      </c>
      <c r="C1868" s="1" t="str">
        <f t="shared" si="1"/>
        <v/>
      </c>
      <c r="E1868" s="5" t="s">
        <v>3299</v>
      </c>
      <c r="F1868" s="6" t="str">
        <f t="shared" si="2"/>
        <v>#N/A</v>
      </c>
      <c r="G1868" s="1" t="str">
        <f t="shared" si="3"/>
        <v/>
      </c>
      <c r="H1868" s="5" t="str">
        <f t="shared" si="4"/>
        <v>10, 10, PHANPY</v>
      </c>
    </row>
    <row r="1869" ht="12.75" customHeight="1">
      <c r="A1869" s="4" t="s">
        <v>3280</v>
      </c>
      <c r="B1869" s="5" t="s">
        <v>3280</v>
      </c>
      <c r="C1869" s="1" t="str">
        <f t="shared" si="1"/>
        <v/>
      </c>
      <c r="E1869" s="5" t="s">
        <v>3280</v>
      </c>
      <c r="F1869" s="6" t="str">
        <f t="shared" si="2"/>
        <v>#N/A</v>
      </c>
      <c r="G1869" s="1" t="str">
        <f t="shared" si="3"/>
        <v/>
      </c>
      <c r="H1869" s="5" t="str">
        <f t="shared" si="4"/>
        <v>48, 48, FEAROW</v>
      </c>
    </row>
    <row r="1870" ht="12.75" customHeight="1">
      <c r="A1870" s="4" t="s">
        <v>3264</v>
      </c>
      <c r="B1870" s="5" t="s">
        <v>3264</v>
      </c>
      <c r="C1870" s="1" t="str">
        <f t="shared" si="1"/>
        <v/>
      </c>
      <c r="E1870" s="5" t="s">
        <v>3264</v>
      </c>
      <c r="F1870" s="6" t="str">
        <f t="shared" si="2"/>
        <v>#N/A</v>
      </c>
      <c r="G1870" s="1" t="str">
        <f t="shared" si="3"/>
        <v/>
      </c>
      <c r="H1870" s="5" t="str">
        <f t="shared" si="4"/>
        <v>15, 15, SENTRET</v>
      </c>
    </row>
    <row r="1871" ht="12.75" customHeight="1">
      <c r="A1871" s="4" t="s">
        <v>3265</v>
      </c>
      <c r="B1871" s="5" t="s">
        <v>3265</v>
      </c>
      <c r="C1871" s="1" t="str">
        <f t="shared" si="1"/>
        <v/>
      </c>
      <c r="E1871" s="5" t="s">
        <v>3265</v>
      </c>
      <c r="F1871" s="6" t="str">
        <f t="shared" si="2"/>
        <v>#N/A</v>
      </c>
      <c r="G1871" s="1" t="str">
        <f t="shared" si="3"/>
        <v/>
      </c>
      <c r="H1871" s="5" t="str">
        <f t="shared" si="4"/>
        <v>41, 41, MEOWTH</v>
      </c>
    </row>
    <row r="1872" ht="12.75" customHeight="1">
      <c r="A1872" s="4" t="s">
        <v>2807</v>
      </c>
      <c r="B1872" s="5">
        <v>0.05</v>
      </c>
      <c r="C1872" s="1" t="str">
        <f t="shared" si="1"/>
        <v/>
      </c>
      <c r="E1872" s="5">
        <v>0.05</v>
      </c>
      <c r="F1872" s="6" t="str">
        <f t="shared" si="2"/>
        <v>#N/A</v>
      </c>
      <c r="G1872" s="1" t="str">
        <f t="shared" si="3"/>
        <v/>
      </c>
      <c r="H1872" s="5">
        <f t="shared" si="4"/>
        <v>0.05</v>
      </c>
    </row>
    <row r="1873" ht="12.75" customHeight="1">
      <c r="A1873" s="4" t="s">
        <v>3282</v>
      </c>
      <c r="B1873" s="5" t="s">
        <v>3282</v>
      </c>
      <c r="C1873" s="1" t="str">
        <f t="shared" si="1"/>
        <v/>
      </c>
      <c r="E1873" s="5" t="s">
        <v>3282</v>
      </c>
      <c r="F1873" s="6" t="str">
        <f t="shared" si="2"/>
        <v>#N/A</v>
      </c>
      <c r="G1873" s="1" t="str">
        <f t="shared" si="3"/>
        <v/>
      </c>
      <c r="H1873" s="5" t="str">
        <f t="shared" si="4"/>
        <v>50, 50, FEAROW</v>
      </c>
    </row>
    <row r="1874" ht="12.75" customHeight="1">
      <c r="A1874" s="4" t="s">
        <v>3155</v>
      </c>
      <c r="B1874" s="5" t="s">
        <v>3155</v>
      </c>
      <c r="C1874" s="1" t="str">
        <f t="shared" si="1"/>
        <v/>
      </c>
      <c r="E1874" s="5" t="s">
        <v>3155</v>
      </c>
      <c r="F1874" s="6" t="str">
        <f t="shared" si="2"/>
        <v>#N/A</v>
      </c>
      <c r="G1874" s="1" t="str">
        <f t="shared" si="3"/>
        <v/>
      </c>
      <c r="H1874" s="5" t="str">
        <f t="shared" si="4"/>
        <v>41, 41, SLOWPOKE</v>
      </c>
    </row>
    <row r="1875" ht="12.75" customHeight="1">
      <c r="A1875" s="4" t="s">
        <v>2810</v>
      </c>
      <c r="B1875" s="5">
        <v>0.04</v>
      </c>
      <c r="C1875" s="1" t="str">
        <f t="shared" si="1"/>
        <v/>
      </c>
      <c r="E1875" s="5">
        <v>0.04</v>
      </c>
      <c r="F1875" s="6" t="str">
        <f t="shared" si="2"/>
        <v>#N/A</v>
      </c>
      <c r="G1875" s="1" t="str">
        <f t="shared" si="3"/>
        <v/>
      </c>
      <c r="H1875" s="5">
        <f t="shared" si="4"/>
        <v>0.04</v>
      </c>
    </row>
    <row r="1876" ht="12.75" customHeight="1">
      <c r="A1876" s="4" t="s">
        <v>3300</v>
      </c>
      <c r="B1876" s="5" t="s">
        <v>3300</v>
      </c>
      <c r="C1876" s="1" t="str">
        <f t="shared" si="1"/>
        <v/>
      </c>
      <c r="E1876" s="5" t="s">
        <v>3300</v>
      </c>
      <c r="F1876" s="6" t="str">
        <f t="shared" si="2"/>
        <v>#N/A</v>
      </c>
      <c r="G1876" s="1" t="str">
        <f t="shared" si="3"/>
        <v/>
      </c>
      <c r="H1876" s="5" t="str">
        <f t="shared" si="4"/>
        <v>15, 15, PHANPY</v>
      </c>
    </row>
    <row r="1877" ht="12.75" customHeight="1">
      <c r="A1877" s="4" t="s">
        <v>3268</v>
      </c>
      <c r="B1877" s="5" t="s">
        <v>3268</v>
      </c>
      <c r="C1877" s="1" t="str">
        <f t="shared" si="1"/>
        <v/>
      </c>
      <c r="E1877" s="5" t="s">
        <v>3268</v>
      </c>
      <c r="F1877" s="6" t="str">
        <f t="shared" si="2"/>
        <v>#N/A</v>
      </c>
      <c r="G1877" s="1" t="str">
        <f t="shared" si="3"/>
        <v/>
      </c>
      <c r="H1877" s="5" t="str">
        <f t="shared" si="4"/>
        <v>47, 47, PERSIAN</v>
      </c>
    </row>
    <row r="1878" ht="12.75" customHeight="1">
      <c r="A1878" s="4" t="s">
        <v>2813</v>
      </c>
      <c r="B1878" s="5">
        <v>0.01</v>
      </c>
      <c r="C1878" s="1" t="str">
        <f t="shared" si="1"/>
        <v/>
      </c>
      <c r="E1878" s="5">
        <v>0.01</v>
      </c>
      <c r="F1878" s="6" t="str">
        <f t="shared" si="2"/>
        <v>#N/A</v>
      </c>
      <c r="G1878" s="1" t="str">
        <f t="shared" si="3"/>
        <v/>
      </c>
      <c r="H1878" s="5">
        <f t="shared" si="4"/>
        <v>0.01</v>
      </c>
    </row>
    <row r="1879" ht="12.75" customHeight="1">
      <c r="A1879" s="4" t="s">
        <v>3300</v>
      </c>
      <c r="B1879" s="5" t="s">
        <v>3300</v>
      </c>
      <c r="C1879" s="1" t="str">
        <f t="shared" si="1"/>
        <v/>
      </c>
      <c r="E1879" s="5" t="s">
        <v>3300</v>
      </c>
      <c r="F1879" s="6" t="str">
        <f t="shared" si="2"/>
        <v>#N/A</v>
      </c>
      <c r="G1879" s="1" t="str">
        <f t="shared" si="3"/>
        <v/>
      </c>
      <c r="H1879" s="5" t="str">
        <f t="shared" si="4"/>
        <v>15, 15, PHANPY</v>
      </c>
    </row>
    <row r="1880" ht="12.75" customHeight="1">
      <c r="A1880" s="4" t="s">
        <v>3269</v>
      </c>
      <c r="B1880" s="5" t="s">
        <v>3269</v>
      </c>
      <c r="C1880" s="1" t="str">
        <f t="shared" si="1"/>
        <v/>
      </c>
      <c r="E1880" s="5" t="s">
        <v>3269</v>
      </c>
      <c r="F1880" s="6" t="str">
        <f t="shared" si="2"/>
        <v>#N/A</v>
      </c>
      <c r="G1880" s="1" t="str">
        <f t="shared" si="3"/>
        <v/>
      </c>
      <c r="H1880" s="5" t="str">
        <f t="shared" si="4"/>
        <v>50, 50, PERSIAN</v>
      </c>
    </row>
    <row r="1881" ht="12.75" customHeight="1">
      <c r="A1881" s="4" t="s">
        <v>2539</v>
      </c>
      <c r="B1881" s="5" t="s">
        <v>2539</v>
      </c>
      <c r="C1881" s="1">
        <f t="shared" si="1"/>
        <v>1</v>
      </c>
      <c r="E1881" s="5" t="s">
        <v>2539</v>
      </c>
      <c r="F1881" s="6" t="str">
        <f t="shared" si="2"/>
        <v>#N/A</v>
      </c>
      <c r="G1881" s="1" t="str">
        <f t="shared" si="3"/>
        <v/>
      </c>
      <c r="H1881" s="5" t="str">
        <f t="shared" si="4"/>
        <v>NEW ROUTE</v>
      </c>
    </row>
    <row r="1882" ht="12.75" customHeight="1">
      <c r="A1882" s="4" t="s">
        <v>2193</v>
      </c>
      <c r="B1882" s="5" t="s">
        <v>2193</v>
      </c>
      <c r="C1882" s="1" t="str">
        <f t="shared" si="1"/>
        <v/>
      </c>
      <c r="E1882" s="5" t="s">
        <v>2193</v>
      </c>
      <c r="F1882" s="6" t="str">
        <f t="shared" si="2"/>
        <v>Seven Island Sevault Canyon</v>
      </c>
      <c r="G1882" s="1" t="str">
        <f t="shared" si="3"/>
        <v>Seven Island Sevault Canyon</v>
      </c>
      <c r="H1882" s="5" t="str">
        <f t="shared" si="4"/>
        <v>Seven Island Sevault Canyon</v>
      </c>
    </row>
    <row r="1883" ht="12.75" customHeight="1">
      <c r="A1883" s="4" t="s">
        <v>2799</v>
      </c>
      <c r="B1883" s="5">
        <v>0.2</v>
      </c>
      <c r="C1883" s="1" t="str">
        <f t="shared" si="1"/>
        <v/>
      </c>
      <c r="E1883" s="5">
        <v>0.2</v>
      </c>
      <c r="F1883" s="6" t="str">
        <f t="shared" si="2"/>
        <v>#N/A</v>
      </c>
      <c r="G1883" s="1" t="str">
        <f t="shared" si="3"/>
        <v/>
      </c>
      <c r="H1883" s="5">
        <f t="shared" si="4"/>
        <v>0.2</v>
      </c>
    </row>
    <row r="1884" ht="12.75" customHeight="1">
      <c r="A1884" s="4" t="s">
        <v>915</v>
      </c>
      <c r="B1884" s="5" t="s">
        <v>915</v>
      </c>
      <c r="C1884" s="1" t="str">
        <f t="shared" si="1"/>
        <v/>
      </c>
      <c r="E1884" s="5" t="s">
        <v>915</v>
      </c>
      <c r="F1884" s="6" t="str">
        <f t="shared" si="2"/>
        <v>#N/A</v>
      </c>
      <c r="G1884" s="1" t="str">
        <f t="shared" si="3"/>
        <v/>
      </c>
      <c r="H1884" s="5" t="str">
        <f t="shared" si="4"/>
        <v>46, 46, GEODUDE</v>
      </c>
    </row>
    <row r="1885" ht="12.75" customHeight="1">
      <c r="A1885" s="4" t="s">
        <v>3300</v>
      </c>
      <c r="B1885" s="5" t="s">
        <v>3300</v>
      </c>
      <c r="C1885" s="1" t="str">
        <f t="shared" si="1"/>
        <v/>
      </c>
      <c r="E1885" s="5" t="s">
        <v>3300</v>
      </c>
      <c r="F1885" s="6" t="str">
        <f t="shared" si="2"/>
        <v>#N/A</v>
      </c>
      <c r="G1885" s="1" t="str">
        <f t="shared" si="3"/>
        <v/>
      </c>
      <c r="H1885" s="5" t="str">
        <f t="shared" si="4"/>
        <v>15, 15, PHANPY</v>
      </c>
    </row>
    <row r="1886" ht="12.75" customHeight="1">
      <c r="A1886" s="4" t="s">
        <v>2802</v>
      </c>
      <c r="B1886" s="5">
        <v>0.1</v>
      </c>
      <c r="C1886" s="1" t="str">
        <f t="shared" si="1"/>
        <v/>
      </c>
      <c r="E1886" s="5">
        <v>0.1</v>
      </c>
      <c r="F1886" s="6" t="str">
        <f t="shared" si="2"/>
        <v>#N/A</v>
      </c>
      <c r="G1886" s="1" t="str">
        <f t="shared" si="3"/>
        <v/>
      </c>
      <c r="H1886" s="5">
        <f t="shared" si="4"/>
        <v>0.1</v>
      </c>
    </row>
    <row r="1887" ht="12.75" customHeight="1">
      <c r="A1887" s="4" t="s">
        <v>3303</v>
      </c>
      <c r="B1887" s="5" t="s">
        <v>3303</v>
      </c>
      <c r="C1887" s="1" t="str">
        <f t="shared" si="1"/>
        <v/>
      </c>
      <c r="E1887" s="5" t="s">
        <v>3303</v>
      </c>
      <c r="F1887" s="6" t="str">
        <f t="shared" si="2"/>
        <v>#N/A</v>
      </c>
      <c r="G1887" s="1" t="str">
        <f t="shared" si="3"/>
        <v/>
      </c>
      <c r="H1887" s="5" t="str">
        <f t="shared" si="4"/>
        <v>46, 46, CUBONE</v>
      </c>
    </row>
    <row r="1888" ht="12.75" customHeight="1">
      <c r="A1888" s="4" t="s">
        <v>3282</v>
      </c>
      <c r="B1888" s="5" t="s">
        <v>3282</v>
      </c>
      <c r="C1888" s="1" t="str">
        <f t="shared" si="1"/>
        <v/>
      </c>
      <c r="E1888" s="5" t="s">
        <v>3282</v>
      </c>
      <c r="F1888" s="6" t="str">
        <f t="shared" si="2"/>
        <v>#N/A</v>
      </c>
      <c r="G1888" s="1" t="str">
        <f t="shared" si="3"/>
        <v/>
      </c>
      <c r="H1888" s="5" t="str">
        <f t="shared" si="4"/>
        <v>50, 50, FEAROW</v>
      </c>
    </row>
    <row r="1889" ht="12.75" customHeight="1">
      <c r="A1889" s="4" t="s">
        <v>3304</v>
      </c>
      <c r="B1889" s="5" t="s">
        <v>3304</v>
      </c>
      <c r="C1889" s="1" t="str">
        <f t="shared" si="1"/>
        <v/>
      </c>
      <c r="E1889" s="5" t="s">
        <v>3304</v>
      </c>
      <c r="F1889" s="6" t="str">
        <f t="shared" si="2"/>
        <v>#N/A</v>
      </c>
      <c r="G1889" s="1" t="str">
        <f t="shared" si="3"/>
        <v/>
      </c>
      <c r="H1889" s="5" t="str">
        <f t="shared" si="4"/>
        <v>52, 52, MAROWAK</v>
      </c>
    </row>
    <row r="1890" ht="12.75" customHeight="1">
      <c r="A1890" s="4" t="s">
        <v>3287</v>
      </c>
      <c r="B1890" s="5" t="s">
        <v>3287</v>
      </c>
      <c r="C1890" s="1" t="str">
        <f t="shared" si="1"/>
        <v/>
      </c>
      <c r="E1890" s="5" t="s">
        <v>3287</v>
      </c>
      <c r="F1890" s="6" t="str">
        <f t="shared" si="2"/>
        <v>#N/A</v>
      </c>
      <c r="G1890" s="1" t="str">
        <f t="shared" si="3"/>
        <v/>
      </c>
      <c r="H1890" s="5" t="str">
        <f t="shared" si="4"/>
        <v>43, 43, MEOWTH</v>
      </c>
    </row>
    <row r="1891" ht="12.75" customHeight="1">
      <c r="A1891" s="4" t="s">
        <v>2807</v>
      </c>
      <c r="B1891" s="5">
        <v>0.05</v>
      </c>
      <c r="C1891" s="1" t="str">
        <f t="shared" si="1"/>
        <v/>
      </c>
      <c r="E1891" s="5">
        <v>0.05</v>
      </c>
      <c r="F1891" s="6" t="str">
        <f t="shared" si="2"/>
        <v>#N/A</v>
      </c>
      <c r="G1891" s="1" t="str">
        <f t="shared" si="3"/>
        <v/>
      </c>
      <c r="H1891" s="5">
        <f t="shared" si="4"/>
        <v>0.05</v>
      </c>
    </row>
    <row r="1892" ht="12.75" customHeight="1">
      <c r="A1892" s="4" t="s">
        <v>3305</v>
      </c>
      <c r="B1892" s="5" t="s">
        <v>3305</v>
      </c>
      <c r="C1892" s="1" t="str">
        <f t="shared" si="1"/>
        <v/>
      </c>
      <c r="E1892" s="5" t="s">
        <v>3305</v>
      </c>
      <c r="F1892" s="6" t="str">
        <f t="shared" si="2"/>
        <v>#N/A</v>
      </c>
      <c r="G1892" s="1" t="str">
        <f t="shared" si="3"/>
        <v/>
      </c>
      <c r="H1892" s="5" t="str">
        <f t="shared" si="4"/>
        <v>54, 54, ONIX</v>
      </c>
    </row>
    <row r="1893" ht="12.75" customHeight="1">
      <c r="A1893" s="4" t="s">
        <v>3282</v>
      </c>
      <c r="B1893" s="5" t="s">
        <v>3282</v>
      </c>
      <c r="C1893" s="1" t="str">
        <f t="shared" si="1"/>
        <v/>
      </c>
      <c r="E1893" s="5" t="s">
        <v>3282</v>
      </c>
      <c r="F1893" s="6" t="str">
        <f t="shared" si="2"/>
        <v>#N/A</v>
      </c>
      <c r="G1893" s="1" t="str">
        <f t="shared" si="3"/>
        <v/>
      </c>
      <c r="H1893" s="5" t="str">
        <f t="shared" si="4"/>
        <v>50, 50, FEAROW</v>
      </c>
    </row>
    <row r="1894" ht="12.75" customHeight="1">
      <c r="A1894" s="4" t="s">
        <v>2810</v>
      </c>
      <c r="B1894" s="5">
        <v>0.04</v>
      </c>
      <c r="C1894" s="1" t="str">
        <f t="shared" si="1"/>
        <v/>
      </c>
      <c r="E1894" s="5">
        <v>0.04</v>
      </c>
      <c r="F1894" s="6" t="str">
        <f t="shared" si="2"/>
        <v>#N/A</v>
      </c>
      <c r="G1894" s="1" t="str">
        <f t="shared" si="3"/>
        <v/>
      </c>
      <c r="H1894" s="5">
        <f t="shared" si="4"/>
        <v>0.04</v>
      </c>
    </row>
    <row r="1895" ht="12.75" customHeight="1">
      <c r="A1895" s="4" t="s">
        <v>3306</v>
      </c>
      <c r="B1895" s="5" t="s">
        <v>3306</v>
      </c>
      <c r="C1895" s="1" t="str">
        <f t="shared" si="1"/>
        <v/>
      </c>
      <c r="E1895" s="5" t="s">
        <v>3306</v>
      </c>
      <c r="F1895" s="6" t="str">
        <f t="shared" si="2"/>
        <v>#N/A</v>
      </c>
      <c r="G1895" s="1" t="str">
        <f t="shared" si="3"/>
        <v/>
      </c>
      <c r="H1895" s="5" t="str">
        <f t="shared" si="4"/>
        <v>15, 15, LARVITAR</v>
      </c>
    </row>
    <row r="1896" ht="12.75" customHeight="1">
      <c r="A1896" s="4" t="s">
        <v>3290</v>
      </c>
      <c r="B1896" s="5" t="s">
        <v>3290</v>
      </c>
      <c r="C1896" s="1" t="str">
        <f t="shared" si="1"/>
        <v/>
      </c>
      <c r="E1896" s="5" t="s">
        <v>3290</v>
      </c>
      <c r="F1896" s="6" t="str">
        <f t="shared" si="2"/>
        <v>#N/A</v>
      </c>
      <c r="G1896" s="1" t="str">
        <f t="shared" si="3"/>
        <v/>
      </c>
      <c r="H1896" s="5" t="str">
        <f t="shared" si="4"/>
        <v>49, 49, PERSIAN</v>
      </c>
    </row>
    <row r="1897" ht="12.75" customHeight="1">
      <c r="A1897" s="4" t="s">
        <v>2813</v>
      </c>
      <c r="B1897" s="5">
        <v>0.01</v>
      </c>
      <c r="C1897" s="1" t="str">
        <f t="shared" si="1"/>
        <v/>
      </c>
      <c r="E1897" s="5">
        <v>0.01</v>
      </c>
      <c r="F1897" s="6" t="str">
        <f t="shared" si="2"/>
        <v>#N/A</v>
      </c>
      <c r="G1897" s="1" t="str">
        <f t="shared" si="3"/>
        <v/>
      </c>
      <c r="H1897" s="5">
        <f t="shared" si="4"/>
        <v>0.01</v>
      </c>
    </row>
    <row r="1898" ht="12.75" customHeight="1">
      <c r="A1898" s="4" t="s">
        <v>3307</v>
      </c>
      <c r="B1898" s="5" t="s">
        <v>3307</v>
      </c>
      <c r="C1898" s="1" t="str">
        <f t="shared" si="1"/>
        <v/>
      </c>
      <c r="E1898" s="5" t="s">
        <v>3307</v>
      </c>
      <c r="F1898" s="6" t="str">
        <f t="shared" si="2"/>
        <v>#N/A</v>
      </c>
      <c r="G1898" s="1" t="str">
        <f t="shared" si="3"/>
        <v/>
      </c>
      <c r="H1898" s="5" t="str">
        <f t="shared" si="4"/>
        <v>20, 20, LARVITAR</v>
      </c>
    </row>
    <row r="1899" ht="12.75" customHeight="1">
      <c r="A1899" s="4" t="s">
        <v>3291</v>
      </c>
      <c r="B1899" s="5" t="s">
        <v>3291</v>
      </c>
      <c r="C1899" s="1" t="str">
        <f t="shared" si="1"/>
        <v/>
      </c>
      <c r="E1899" s="5" t="s">
        <v>3291</v>
      </c>
      <c r="F1899" s="6" t="str">
        <f t="shared" si="2"/>
        <v>#N/A</v>
      </c>
      <c r="G1899" s="1" t="str">
        <f t="shared" si="3"/>
        <v/>
      </c>
      <c r="H1899" s="5" t="str">
        <f t="shared" si="4"/>
        <v>52, 52, PERSIAN</v>
      </c>
    </row>
    <row r="1900" ht="12.75" customHeight="1">
      <c r="A1900" s="4" t="s">
        <v>3308</v>
      </c>
      <c r="B1900" s="5" t="s">
        <v>3308</v>
      </c>
      <c r="C1900" s="1" t="str">
        <f t="shared" si="1"/>
        <v/>
      </c>
      <c r="E1900" s="5" t="s">
        <v>3308</v>
      </c>
      <c r="F1900" s="6" t="str">
        <f t="shared" si="2"/>
        <v>#N/A</v>
      </c>
      <c r="G1900" s="1" t="str">
        <f t="shared" si="3"/>
        <v/>
      </c>
      <c r="H1900" s="5" t="str">
        <f t="shared" si="4"/>
        <v>25, 25, 35, GEODUDE</v>
      </c>
    </row>
    <row r="1901" ht="12.75" customHeight="1">
      <c r="A1901" s="4" t="s">
        <v>3103</v>
      </c>
      <c r="B1901" s="5" t="s">
        <v>3103</v>
      </c>
      <c r="C1901" s="1" t="str">
        <f t="shared" si="1"/>
        <v/>
      </c>
      <c r="E1901" s="5" t="s">
        <v>3103</v>
      </c>
      <c r="F1901" s="6" t="str">
        <f t="shared" si="2"/>
        <v>#N/A</v>
      </c>
      <c r="G1901" s="1" t="str">
        <f t="shared" si="3"/>
        <v/>
      </c>
      <c r="H1901" s="5" t="str">
        <f t="shared" si="4"/>
        <v>30, 45, GRAVELER</v>
      </c>
    </row>
    <row r="1902" ht="12.75" customHeight="1">
      <c r="A1902" s="4" t="s">
        <v>3104</v>
      </c>
      <c r="B1902" s="5" t="s">
        <v>3104</v>
      </c>
      <c r="C1902" s="1" t="str">
        <f t="shared" si="1"/>
        <v/>
      </c>
      <c r="E1902" s="5" t="s">
        <v>3104</v>
      </c>
      <c r="F1902" s="6" t="str">
        <f t="shared" si="2"/>
        <v>#N/A</v>
      </c>
      <c r="G1902" s="1" t="str">
        <f t="shared" si="3"/>
        <v/>
      </c>
      <c r="H1902" s="5" t="str">
        <f t="shared" si="4"/>
        <v>35, 50, GRAVELER</v>
      </c>
    </row>
    <row r="1903" ht="12.75" customHeight="1">
      <c r="A1903" s="4" t="s">
        <v>3105</v>
      </c>
      <c r="B1903" s="5" t="s">
        <v>3105</v>
      </c>
      <c r="C1903" s="1" t="str">
        <f t="shared" si="1"/>
        <v/>
      </c>
      <c r="E1903" s="5" t="s">
        <v>3105</v>
      </c>
      <c r="F1903" s="6" t="str">
        <f t="shared" si="2"/>
        <v>#N/A</v>
      </c>
      <c r="G1903" s="1" t="str">
        <f t="shared" si="3"/>
        <v/>
      </c>
      <c r="H1903" s="5" t="str">
        <f t="shared" si="4"/>
        <v>30, 40, GEODUDE</v>
      </c>
    </row>
    <row r="1904" ht="12.75" customHeight="1">
      <c r="A1904" s="4" t="s">
        <v>3105</v>
      </c>
      <c r="B1904" s="5" t="s">
        <v>3105</v>
      </c>
      <c r="C1904" s="1" t="str">
        <f t="shared" si="1"/>
        <v/>
      </c>
      <c r="E1904" s="5" t="s">
        <v>3105</v>
      </c>
      <c r="F1904" s="6" t="str">
        <f t="shared" si="2"/>
        <v>#N/A</v>
      </c>
      <c r="G1904" s="1" t="str">
        <f t="shared" si="3"/>
        <v/>
      </c>
      <c r="H1904" s="5" t="str">
        <f t="shared" si="4"/>
        <v>30, 40, GEODUDE</v>
      </c>
    </row>
    <row r="1905" ht="12.75" customHeight="1">
      <c r="A1905" s="4" t="s">
        <v>2539</v>
      </c>
      <c r="B1905" s="5" t="s">
        <v>2539</v>
      </c>
      <c r="C1905" s="1">
        <f t="shared" si="1"/>
        <v>1</v>
      </c>
      <c r="E1905" s="5" t="s">
        <v>2539</v>
      </c>
      <c r="F1905" s="6" t="str">
        <f t="shared" si="2"/>
        <v>#N/A</v>
      </c>
      <c r="G1905" s="1" t="str">
        <f t="shared" si="3"/>
        <v/>
      </c>
      <c r="H1905" s="5" t="str">
        <f t="shared" si="4"/>
        <v>NEW ROUTE</v>
      </c>
    </row>
    <row r="1906" ht="12.75" customHeight="1">
      <c r="A1906" s="4" t="s">
        <v>2195</v>
      </c>
      <c r="B1906" s="5" t="s">
        <v>2195</v>
      </c>
      <c r="C1906" s="1" t="str">
        <f t="shared" si="1"/>
        <v/>
      </c>
      <c r="E1906" s="5" t="s">
        <v>2195</v>
      </c>
      <c r="F1906" s="6" t="str">
        <f t="shared" si="2"/>
        <v>Seven Island Tanoby Ruins</v>
      </c>
      <c r="G1906" s="1" t="str">
        <f t="shared" si="3"/>
        <v>Seven Island Tanoby Ruins</v>
      </c>
      <c r="H1906" s="5" t="str">
        <f t="shared" si="4"/>
        <v>Seven Island Tanoby Ruins</v>
      </c>
    </row>
    <row r="1907" ht="12.75" customHeight="1">
      <c r="A1907" s="4" t="s">
        <v>3173</v>
      </c>
      <c r="B1907" s="5" t="s">
        <v>3173</v>
      </c>
      <c r="C1907" s="1" t="str">
        <f t="shared" si="1"/>
        <v/>
      </c>
      <c r="E1907" s="5" t="s">
        <v>3173</v>
      </c>
      <c r="F1907" s="6" t="str">
        <f t="shared" si="2"/>
        <v>#N/A</v>
      </c>
      <c r="G1907" s="1" t="str">
        <f t="shared" si="3"/>
        <v/>
      </c>
      <c r="H1907" s="5" t="str">
        <f t="shared" si="4"/>
        <v>2, 5, 20, TENTACOOL</v>
      </c>
    </row>
    <row r="1908" ht="12.75" customHeight="1">
      <c r="A1908" s="4" t="s">
        <v>3174</v>
      </c>
      <c r="B1908" s="5" t="s">
        <v>3174</v>
      </c>
      <c r="C1908" s="1" t="str">
        <f t="shared" si="1"/>
        <v/>
      </c>
      <c r="E1908" s="5" t="s">
        <v>3174</v>
      </c>
      <c r="F1908" s="6" t="str">
        <f t="shared" si="2"/>
        <v>#N/A</v>
      </c>
      <c r="G1908" s="1" t="str">
        <f t="shared" si="3"/>
        <v/>
      </c>
      <c r="H1908" s="5" t="str">
        <f t="shared" si="4"/>
        <v>20, 35, TENTACOOL</v>
      </c>
    </row>
    <row r="1909" ht="12.75" customHeight="1">
      <c r="A1909" s="4" t="s">
        <v>3297</v>
      </c>
      <c r="B1909" s="5" t="s">
        <v>3297</v>
      </c>
      <c r="C1909" s="1" t="str">
        <f t="shared" si="1"/>
        <v/>
      </c>
      <c r="E1909" s="5" t="s">
        <v>3297</v>
      </c>
      <c r="F1909" s="6" t="str">
        <f t="shared" si="2"/>
        <v>#N/A</v>
      </c>
      <c r="G1909" s="1" t="str">
        <f t="shared" si="3"/>
        <v/>
      </c>
      <c r="H1909" s="5" t="str">
        <f t="shared" si="4"/>
        <v>35, 40, MANTINE</v>
      </c>
    </row>
    <row r="1910" ht="12.75" customHeight="1">
      <c r="A1910" s="4" t="s">
        <v>3232</v>
      </c>
      <c r="B1910" s="5" t="s">
        <v>3232</v>
      </c>
      <c r="C1910" s="1" t="str">
        <f t="shared" si="1"/>
        <v/>
      </c>
      <c r="E1910" s="5" t="s">
        <v>3232</v>
      </c>
      <c r="F1910" s="6" t="str">
        <f t="shared" si="2"/>
        <v>#N/A</v>
      </c>
      <c r="G1910" s="1" t="str">
        <f t="shared" si="3"/>
        <v/>
      </c>
      <c r="H1910" s="5" t="str">
        <f t="shared" si="4"/>
        <v>35, 40, TENTACRUEL</v>
      </c>
    </row>
    <row r="1911" ht="12.75" customHeight="1">
      <c r="A1911" s="4" t="s">
        <v>3232</v>
      </c>
      <c r="B1911" s="5" t="s">
        <v>3232</v>
      </c>
      <c r="C1911" s="1" t="str">
        <f t="shared" si="1"/>
        <v/>
      </c>
      <c r="E1911" s="5" t="s">
        <v>3232</v>
      </c>
      <c r="F1911" s="6" t="str">
        <f t="shared" si="2"/>
        <v>#N/A</v>
      </c>
      <c r="G1911" s="1" t="str">
        <f t="shared" si="3"/>
        <v/>
      </c>
      <c r="H1911" s="5" t="str">
        <f t="shared" si="4"/>
        <v>35, 40, TENTACRUEL</v>
      </c>
    </row>
    <row r="1912" ht="12.75" customHeight="1">
      <c r="A1912" s="4" t="s">
        <v>2926</v>
      </c>
      <c r="B1912" s="5" t="s">
        <v>2926</v>
      </c>
      <c r="C1912" s="1" t="str">
        <f t="shared" si="1"/>
        <v/>
      </c>
      <c r="E1912" s="5" t="s">
        <v>2926</v>
      </c>
      <c r="F1912" s="6" t="str">
        <f t="shared" si="2"/>
        <v>#N/A</v>
      </c>
      <c r="G1912" s="1" t="str">
        <f t="shared" si="3"/>
        <v/>
      </c>
      <c r="H1912" s="5" t="str">
        <f t="shared" si="4"/>
        <v>20, old rod:</v>
      </c>
    </row>
    <row r="1913" ht="12.75" customHeight="1">
      <c r="A1913" s="4" t="s">
        <v>417</v>
      </c>
      <c r="B1913" s="5" t="s">
        <v>417</v>
      </c>
      <c r="C1913" s="1" t="str">
        <f t="shared" si="1"/>
        <v/>
      </c>
      <c r="E1913" s="5" t="s">
        <v>417</v>
      </c>
      <c r="F1913" s="6" t="str">
        <f t="shared" si="2"/>
        <v>#N/A</v>
      </c>
      <c r="G1913" s="1" t="str">
        <f t="shared" si="3"/>
        <v/>
      </c>
      <c r="H1913" s="5" t="str">
        <f t="shared" si="4"/>
        <v>5, 5, MAGIKARP</v>
      </c>
    </row>
    <row r="1914" ht="12.75" customHeight="1">
      <c r="A1914" s="4" t="s">
        <v>417</v>
      </c>
      <c r="B1914" s="5" t="s">
        <v>417</v>
      </c>
      <c r="C1914" s="1" t="str">
        <f t="shared" si="1"/>
        <v/>
      </c>
      <c r="E1914" s="5" t="s">
        <v>417</v>
      </c>
      <c r="F1914" s="6" t="str">
        <f t="shared" si="2"/>
        <v>#N/A</v>
      </c>
      <c r="G1914" s="1" t="str">
        <f t="shared" si="3"/>
        <v/>
      </c>
      <c r="H1914" s="5" t="str">
        <f t="shared" si="4"/>
        <v>5, 5, MAGIKARP</v>
      </c>
    </row>
    <row r="1915" ht="12.75" customHeight="1">
      <c r="A1915" s="4" t="s">
        <v>2847</v>
      </c>
      <c r="B1915" s="5" t="s">
        <v>2847</v>
      </c>
      <c r="C1915" s="1" t="str">
        <f t="shared" si="1"/>
        <v/>
      </c>
      <c r="E1915" s="5" t="s">
        <v>2847</v>
      </c>
      <c r="F1915" s="6" t="str">
        <f t="shared" si="2"/>
        <v>#N/A</v>
      </c>
      <c r="G1915" s="1" t="str">
        <f t="shared" si="3"/>
        <v/>
      </c>
      <c r="H1915" s="5" t="str">
        <f t="shared" si="4"/>
        <v>good rod:</v>
      </c>
    </row>
    <row r="1916" ht="12.75" customHeight="1">
      <c r="A1916" s="4" t="s">
        <v>2848</v>
      </c>
      <c r="B1916" s="5" t="s">
        <v>2848</v>
      </c>
      <c r="C1916" s="1" t="str">
        <f t="shared" si="1"/>
        <v/>
      </c>
      <c r="E1916" s="5" t="s">
        <v>2848</v>
      </c>
      <c r="F1916" s="6" t="str">
        <f t="shared" si="2"/>
        <v>#N/A</v>
      </c>
      <c r="G1916" s="1" t="str">
        <f t="shared" si="3"/>
        <v/>
      </c>
      <c r="H1916" s="5" t="str">
        <f t="shared" si="4"/>
        <v>5, 15, KRABBY</v>
      </c>
    </row>
    <row r="1917" ht="12.75" customHeight="1">
      <c r="A1917" s="4" t="s">
        <v>2849</v>
      </c>
      <c r="B1917" s="5" t="s">
        <v>2849</v>
      </c>
      <c r="C1917" s="1" t="str">
        <f t="shared" si="1"/>
        <v/>
      </c>
      <c r="E1917" s="5" t="s">
        <v>2849</v>
      </c>
      <c r="F1917" s="6" t="str">
        <f t="shared" si="2"/>
        <v>#N/A</v>
      </c>
      <c r="G1917" s="1" t="str">
        <f t="shared" si="3"/>
        <v/>
      </c>
      <c r="H1917" s="5" t="str">
        <f t="shared" si="4"/>
        <v>5, 15, MAGIKARP</v>
      </c>
    </row>
    <row r="1918" ht="12.75" customHeight="1">
      <c r="A1918" s="4" t="s">
        <v>2848</v>
      </c>
      <c r="B1918" s="5" t="s">
        <v>2848</v>
      </c>
      <c r="C1918" s="1" t="str">
        <f t="shared" si="1"/>
        <v/>
      </c>
      <c r="E1918" s="5" t="s">
        <v>2848</v>
      </c>
      <c r="F1918" s="6" t="str">
        <f t="shared" si="2"/>
        <v>#N/A</v>
      </c>
      <c r="G1918" s="1" t="str">
        <f t="shared" si="3"/>
        <v/>
      </c>
      <c r="H1918" s="5" t="str">
        <f t="shared" si="4"/>
        <v>5, 15, KRABBY</v>
      </c>
    </row>
    <row r="1919" ht="12.75" customHeight="1">
      <c r="A1919" s="4" t="s">
        <v>2851</v>
      </c>
      <c r="B1919" s="5" t="s">
        <v>2851</v>
      </c>
      <c r="C1919" s="1" t="str">
        <f t="shared" si="1"/>
        <v/>
      </c>
      <c r="E1919" s="5" t="s">
        <v>2851</v>
      </c>
      <c r="F1919" s="6" t="str">
        <f t="shared" si="2"/>
        <v>#N/A</v>
      </c>
      <c r="G1919" s="1" t="str">
        <f t="shared" si="3"/>
        <v/>
      </c>
      <c r="H1919" s="5" t="str">
        <f t="shared" si="4"/>
        <v>super rod:</v>
      </c>
    </row>
    <row r="1920" ht="12.75" customHeight="1">
      <c r="A1920" s="4" t="s">
        <v>2852</v>
      </c>
      <c r="B1920" s="5" t="s">
        <v>2852</v>
      </c>
      <c r="C1920" s="1" t="str">
        <f t="shared" si="1"/>
        <v/>
      </c>
      <c r="E1920" s="5" t="s">
        <v>2852</v>
      </c>
      <c r="F1920" s="6" t="str">
        <f t="shared" si="2"/>
        <v>#N/A</v>
      </c>
      <c r="G1920" s="1" t="str">
        <f t="shared" si="3"/>
        <v/>
      </c>
      <c r="H1920" s="5" t="str">
        <f t="shared" si="4"/>
        <v>15, 25, KRABBY</v>
      </c>
    </row>
    <row r="1921" ht="12.75" customHeight="1">
      <c r="A1921" s="4" t="s">
        <v>3259</v>
      </c>
      <c r="B1921" s="5" t="s">
        <v>3259</v>
      </c>
      <c r="C1921" s="1" t="str">
        <f t="shared" si="1"/>
        <v/>
      </c>
      <c r="E1921" s="5" t="s">
        <v>3259</v>
      </c>
      <c r="F1921" s="6" t="str">
        <f t="shared" si="2"/>
        <v>#N/A</v>
      </c>
      <c r="G1921" s="1" t="str">
        <f t="shared" si="3"/>
        <v/>
      </c>
      <c r="H1921" s="5" t="str">
        <f t="shared" si="4"/>
        <v>15, 25, REMORAID</v>
      </c>
    </row>
    <row r="1922" ht="12.75" customHeight="1">
      <c r="A1922" s="4" t="s">
        <v>2854</v>
      </c>
      <c r="B1922" s="5" t="s">
        <v>2854</v>
      </c>
      <c r="C1922" s="1" t="str">
        <f t="shared" si="1"/>
        <v/>
      </c>
      <c r="E1922" s="5" t="s">
        <v>2854</v>
      </c>
      <c r="F1922" s="6" t="str">
        <f t="shared" si="2"/>
        <v>#N/A</v>
      </c>
      <c r="G1922" s="1" t="str">
        <f t="shared" si="3"/>
        <v/>
      </c>
      <c r="H1922" s="5" t="str">
        <f t="shared" si="4"/>
        <v>15, 25, GYARADOS</v>
      </c>
    </row>
    <row r="1923" ht="12.75" customHeight="1">
      <c r="A1923" s="4" t="s">
        <v>3178</v>
      </c>
      <c r="B1923" s="5" t="s">
        <v>3178</v>
      </c>
      <c r="C1923" s="1" t="str">
        <f t="shared" si="1"/>
        <v/>
      </c>
      <c r="E1923" s="5" t="s">
        <v>3178</v>
      </c>
      <c r="F1923" s="6" t="str">
        <f t="shared" si="2"/>
        <v>#N/A</v>
      </c>
      <c r="G1923" s="1" t="str">
        <f t="shared" si="3"/>
        <v/>
      </c>
      <c r="H1923" s="5" t="str">
        <f t="shared" si="4"/>
        <v>25, 35, KINGLER</v>
      </c>
    </row>
    <row r="1924" ht="12.75" customHeight="1">
      <c r="A1924" s="4" t="s">
        <v>2856</v>
      </c>
      <c r="B1924" s="5" t="s">
        <v>2856</v>
      </c>
      <c r="C1924" s="1" t="str">
        <f t="shared" si="1"/>
        <v/>
      </c>
      <c r="E1924" s="5" t="s">
        <v>2856</v>
      </c>
      <c r="F1924" s="6" t="str">
        <f t="shared" si="2"/>
        <v>#N/A</v>
      </c>
      <c r="G1924" s="1" t="str">
        <f t="shared" si="3"/>
        <v/>
      </c>
      <c r="H1924" s="5" t="str">
        <f t="shared" si="4"/>
        <v>25, 35, SLOWPOKE</v>
      </c>
    </row>
    <row r="1925" ht="12.75" customHeight="1">
      <c r="A1925" s="4" t="s">
        <v>2539</v>
      </c>
      <c r="B1925" s="5" t="s">
        <v>2539</v>
      </c>
      <c r="C1925" s="1">
        <f t="shared" si="1"/>
        <v>1</v>
      </c>
      <c r="E1925" s="5" t="s">
        <v>2539</v>
      </c>
      <c r="F1925" s="6" t="str">
        <f t="shared" si="2"/>
        <v>#N/A</v>
      </c>
      <c r="G1925" s="1" t="str">
        <f t="shared" si="3"/>
        <v/>
      </c>
      <c r="H1925" s="5" t="str">
        <f t="shared" si="4"/>
        <v>NEW ROUTE</v>
      </c>
    </row>
    <row r="1926" ht="12.75" customHeight="1">
      <c r="A1926" s="4" t="s">
        <v>2103</v>
      </c>
      <c r="B1926" s="5" t="s">
        <v>2103</v>
      </c>
      <c r="C1926" s="1" t="str">
        <f t="shared" si="1"/>
        <v/>
      </c>
      <c r="E1926" s="5" t="s">
        <v>2103</v>
      </c>
      <c r="F1926" s="6" t="str">
        <f t="shared" si="2"/>
        <v>Route 1</v>
      </c>
      <c r="G1926" s="1" t="str">
        <f t="shared" si="3"/>
        <v>Route 1</v>
      </c>
      <c r="H1926" s="5" t="str">
        <f t="shared" si="4"/>
        <v>Route 1</v>
      </c>
    </row>
    <row r="1927" ht="12.75" customHeight="1">
      <c r="A1927" s="4" t="s">
        <v>2799</v>
      </c>
      <c r="B1927" s="5">
        <v>0.2</v>
      </c>
      <c r="C1927" s="1" t="str">
        <f t="shared" si="1"/>
        <v/>
      </c>
      <c r="E1927" s="5">
        <v>0.2</v>
      </c>
      <c r="F1927" s="6" t="str">
        <f t="shared" si="2"/>
        <v>#N/A</v>
      </c>
      <c r="G1927" s="1" t="str">
        <f t="shared" si="3"/>
        <v/>
      </c>
      <c r="H1927" s="5">
        <f t="shared" si="4"/>
        <v>0.2</v>
      </c>
    </row>
    <row r="1928" ht="12.75" customHeight="1">
      <c r="A1928" s="4" t="s">
        <v>924</v>
      </c>
      <c r="B1928" s="5" t="s">
        <v>924</v>
      </c>
      <c r="C1928" s="1" t="str">
        <f t="shared" si="1"/>
        <v/>
      </c>
      <c r="E1928" s="5" t="s">
        <v>924</v>
      </c>
      <c r="F1928" s="6" t="str">
        <f t="shared" si="2"/>
        <v>#N/A</v>
      </c>
      <c r="G1928" s="1" t="str">
        <f t="shared" si="3"/>
        <v/>
      </c>
      <c r="H1928" s="5" t="str">
        <f t="shared" si="4"/>
        <v>2, 5, PIDGEY</v>
      </c>
    </row>
    <row r="1929" ht="12.75" customHeight="1">
      <c r="A1929" s="4" t="s">
        <v>924</v>
      </c>
      <c r="B1929" s="5" t="s">
        <v>924</v>
      </c>
      <c r="C1929" s="1" t="str">
        <f t="shared" si="1"/>
        <v/>
      </c>
      <c r="E1929" s="5" t="s">
        <v>924</v>
      </c>
      <c r="F1929" s="6" t="str">
        <f t="shared" si="2"/>
        <v>#N/A</v>
      </c>
      <c r="G1929" s="1" t="str">
        <f t="shared" si="3"/>
        <v/>
      </c>
      <c r="H1929" s="5" t="str">
        <f t="shared" si="4"/>
        <v>2, 5, PIDGEY</v>
      </c>
    </row>
    <row r="1930" ht="12.75" customHeight="1">
      <c r="A1930" s="4" t="s">
        <v>2802</v>
      </c>
      <c r="B1930" s="5">
        <v>0.1</v>
      </c>
      <c r="C1930" s="1" t="str">
        <f t="shared" si="1"/>
        <v/>
      </c>
      <c r="E1930" s="5">
        <v>0.1</v>
      </c>
      <c r="F1930" s="6" t="str">
        <f t="shared" si="2"/>
        <v>#N/A</v>
      </c>
      <c r="G1930" s="1" t="str">
        <f t="shared" si="3"/>
        <v/>
      </c>
      <c r="H1930" s="5">
        <f t="shared" si="4"/>
        <v>0.1</v>
      </c>
    </row>
    <row r="1931" ht="12.75" customHeight="1">
      <c r="A1931" s="4" t="s">
        <v>3311</v>
      </c>
      <c r="B1931" s="5" t="s">
        <v>3311</v>
      </c>
      <c r="C1931" s="1" t="str">
        <f t="shared" si="1"/>
        <v/>
      </c>
      <c r="E1931" s="5" t="s">
        <v>3311</v>
      </c>
      <c r="F1931" s="6" t="str">
        <f t="shared" si="2"/>
        <v>#N/A</v>
      </c>
      <c r="G1931" s="1" t="str">
        <f t="shared" si="3"/>
        <v/>
      </c>
      <c r="H1931" s="5" t="str">
        <f t="shared" si="4"/>
        <v>2, 4, RATTATA</v>
      </c>
    </row>
    <row r="1932" ht="12.75" customHeight="1">
      <c r="A1932" s="4" t="s">
        <v>3311</v>
      </c>
      <c r="B1932" s="5" t="s">
        <v>3311</v>
      </c>
      <c r="C1932" s="1" t="str">
        <f t="shared" si="1"/>
        <v/>
      </c>
      <c r="E1932" s="5" t="s">
        <v>3311</v>
      </c>
      <c r="F1932" s="6" t="str">
        <f t="shared" si="2"/>
        <v>#N/A</v>
      </c>
      <c r="G1932" s="1" t="str">
        <f t="shared" si="3"/>
        <v/>
      </c>
      <c r="H1932" s="5" t="str">
        <f t="shared" si="4"/>
        <v>2, 4, RATTATA</v>
      </c>
    </row>
    <row r="1933" ht="12.75" customHeight="1">
      <c r="A1933" s="4" t="s">
        <v>3312</v>
      </c>
      <c r="B1933" s="5" t="s">
        <v>3312</v>
      </c>
      <c r="C1933" s="1" t="str">
        <f t="shared" si="1"/>
        <v/>
      </c>
      <c r="E1933" s="5" t="s">
        <v>3312</v>
      </c>
      <c r="F1933" s="6" t="str">
        <f t="shared" si="2"/>
        <v>#N/A</v>
      </c>
      <c r="G1933" s="1" t="str">
        <f t="shared" si="3"/>
        <v/>
      </c>
      <c r="H1933" s="5" t="str">
        <f t="shared" si="4"/>
        <v>2, 4, BELLSPROUT</v>
      </c>
    </row>
    <row r="1934" ht="12.75" customHeight="1">
      <c r="A1934" s="4" t="s">
        <v>3312</v>
      </c>
      <c r="B1934" s="5" t="s">
        <v>3312</v>
      </c>
      <c r="C1934" s="1" t="str">
        <f t="shared" si="1"/>
        <v/>
      </c>
      <c r="E1934" s="5" t="s">
        <v>3312</v>
      </c>
      <c r="F1934" s="6" t="str">
        <f t="shared" si="2"/>
        <v>#N/A</v>
      </c>
      <c r="G1934" s="1" t="str">
        <f t="shared" si="3"/>
        <v/>
      </c>
      <c r="H1934" s="5" t="str">
        <f t="shared" si="4"/>
        <v>2, 4, BELLSPROUT</v>
      </c>
    </row>
    <row r="1935" ht="12.75" customHeight="1">
      <c r="A1935" s="4" t="s">
        <v>2807</v>
      </c>
      <c r="B1935" s="5">
        <v>0.05</v>
      </c>
      <c r="C1935" s="1" t="str">
        <f t="shared" si="1"/>
        <v/>
      </c>
      <c r="E1935" s="5">
        <v>0.05</v>
      </c>
      <c r="F1935" s="6" t="str">
        <f t="shared" si="2"/>
        <v>#N/A</v>
      </c>
      <c r="G1935" s="1" t="str">
        <f t="shared" si="3"/>
        <v/>
      </c>
      <c r="H1935" s="5">
        <f t="shared" si="4"/>
        <v>0.05</v>
      </c>
    </row>
    <row r="1936" ht="12.75" customHeight="1">
      <c r="A1936" s="4" t="s">
        <v>3313</v>
      </c>
      <c r="B1936" s="5" t="s">
        <v>3313</v>
      </c>
      <c r="C1936" s="1" t="str">
        <f t="shared" si="1"/>
        <v/>
      </c>
      <c r="E1936" s="5" t="s">
        <v>3313</v>
      </c>
      <c r="F1936" s="6" t="str">
        <f t="shared" si="2"/>
        <v>#N/A</v>
      </c>
      <c r="G1936" s="1" t="str">
        <f t="shared" si="3"/>
        <v/>
      </c>
      <c r="H1936" s="5" t="str">
        <f t="shared" si="4"/>
        <v>2, 4, ODDISH</v>
      </c>
    </row>
    <row r="1937" ht="12.75" customHeight="1">
      <c r="A1937" s="4" t="s">
        <v>3313</v>
      </c>
      <c r="B1937" s="5" t="s">
        <v>3313</v>
      </c>
      <c r="C1937" s="1" t="str">
        <f t="shared" si="1"/>
        <v/>
      </c>
      <c r="E1937" s="5" t="s">
        <v>3313</v>
      </c>
      <c r="F1937" s="6" t="str">
        <f t="shared" si="2"/>
        <v>#N/A</v>
      </c>
      <c r="G1937" s="1" t="str">
        <f t="shared" si="3"/>
        <v/>
      </c>
      <c r="H1937" s="5" t="str">
        <f t="shared" si="4"/>
        <v>2, 4, ODDISH</v>
      </c>
    </row>
    <row r="1938" ht="12.75" customHeight="1">
      <c r="A1938" s="4" t="s">
        <v>2810</v>
      </c>
      <c r="B1938" s="5">
        <v>0.04</v>
      </c>
      <c r="C1938" s="1" t="str">
        <f t="shared" si="1"/>
        <v/>
      </c>
      <c r="E1938" s="5">
        <v>0.04</v>
      </c>
      <c r="F1938" s="6" t="str">
        <f t="shared" si="2"/>
        <v>#N/A</v>
      </c>
      <c r="G1938" s="1" t="str">
        <f t="shared" si="3"/>
        <v/>
      </c>
      <c r="H1938" s="5">
        <f t="shared" si="4"/>
        <v>0.04</v>
      </c>
    </row>
    <row r="1939" ht="12.75" customHeight="1">
      <c r="A1939" s="4" t="s">
        <v>3314</v>
      </c>
      <c r="B1939" s="5" t="s">
        <v>3314</v>
      </c>
      <c r="C1939" s="1" t="str">
        <f t="shared" si="1"/>
        <v/>
      </c>
      <c r="E1939" s="5" t="s">
        <v>3314</v>
      </c>
      <c r="F1939" s="6" t="str">
        <f t="shared" si="2"/>
        <v>#N/A</v>
      </c>
      <c r="G1939" s="1" t="str">
        <f t="shared" si="3"/>
        <v/>
      </c>
      <c r="H1939" s="5" t="str">
        <f t="shared" si="4"/>
        <v>2, 4, VENONAT</v>
      </c>
    </row>
    <row r="1940" ht="12.75" customHeight="1">
      <c r="A1940" s="4" t="s">
        <v>3314</v>
      </c>
      <c r="B1940" s="5" t="s">
        <v>3314</v>
      </c>
      <c r="C1940" s="1" t="str">
        <f t="shared" si="1"/>
        <v/>
      </c>
      <c r="E1940" s="5" t="s">
        <v>3314</v>
      </c>
      <c r="F1940" s="6" t="str">
        <f t="shared" si="2"/>
        <v>#N/A</v>
      </c>
      <c r="G1940" s="1" t="str">
        <f t="shared" si="3"/>
        <v/>
      </c>
      <c r="H1940" s="5" t="str">
        <f t="shared" si="4"/>
        <v>2, 4, VENONAT</v>
      </c>
    </row>
    <row r="1941" ht="12.75" customHeight="1">
      <c r="A1941" s="4" t="s">
        <v>2813</v>
      </c>
      <c r="B1941" s="5">
        <v>0.01</v>
      </c>
      <c r="C1941" s="1" t="str">
        <f t="shared" si="1"/>
        <v/>
      </c>
      <c r="E1941" s="5">
        <v>0.01</v>
      </c>
      <c r="F1941" s="6" t="str">
        <f t="shared" si="2"/>
        <v>#N/A</v>
      </c>
      <c r="G1941" s="1" t="str">
        <f t="shared" si="3"/>
        <v/>
      </c>
      <c r="H1941" s="5">
        <f t="shared" si="4"/>
        <v>0.01</v>
      </c>
    </row>
    <row r="1942" ht="12.75" customHeight="1">
      <c r="A1942" s="4" t="s">
        <v>3315</v>
      </c>
      <c r="B1942" s="5" t="s">
        <v>3315</v>
      </c>
      <c r="C1942" s="1" t="str">
        <f t="shared" si="1"/>
        <v/>
      </c>
      <c r="E1942" s="5" t="s">
        <v>3315</v>
      </c>
      <c r="F1942" s="6" t="str">
        <f t="shared" si="2"/>
        <v>#N/A</v>
      </c>
      <c r="G1942" s="1" t="str">
        <f t="shared" si="3"/>
        <v/>
      </c>
      <c r="H1942" s="5" t="str">
        <f t="shared" si="4"/>
        <v>3, 3, EEVEE</v>
      </c>
    </row>
    <row r="1943" ht="12.75" customHeight="1">
      <c r="A1943" s="4" t="s">
        <v>3315</v>
      </c>
      <c r="B1943" s="5" t="s">
        <v>3315</v>
      </c>
      <c r="C1943" s="1" t="str">
        <f t="shared" si="1"/>
        <v/>
      </c>
      <c r="E1943" s="5" t="s">
        <v>3315</v>
      </c>
      <c r="F1943" s="6" t="str">
        <f t="shared" si="2"/>
        <v>#N/A</v>
      </c>
      <c r="G1943" s="1" t="str">
        <f t="shared" si="3"/>
        <v/>
      </c>
      <c r="H1943" s="5" t="str">
        <f t="shared" si="4"/>
        <v>3, 3, EEVEE</v>
      </c>
    </row>
    <row r="1944" ht="12.75" customHeight="1">
      <c r="A1944" s="4" t="s">
        <v>2539</v>
      </c>
      <c r="B1944" s="5" t="s">
        <v>2539</v>
      </c>
      <c r="C1944" s="1">
        <f t="shared" si="1"/>
        <v>1</v>
      </c>
      <c r="E1944" s="5" t="s">
        <v>2539</v>
      </c>
      <c r="F1944" s="6" t="str">
        <f t="shared" si="2"/>
        <v>#N/A</v>
      </c>
      <c r="G1944" s="1" t="str">
        <f t="shared" si="3"/>
        <v/>
      </c>
      <c r="H1944" s="5" t="str">
        <f t="shared" si="4"/>
        <v>NEW ROUTE</v>
      </c>
    </row>
    <row r="1945" ht="12.75" customHeight="1">
      <c r="A1945" s="4" t="s">
        <v>2105</v>
      </c>
      <c r="B1945" s="5" t="s">
        <v>2105</v>
      </c>
      <c r="C1945" s="1" t="str">
        <f t="shared" si="1"/>
        <v/>
      </c>
      <c r="E1945" s="5" t="s">
        <v>2105</v>
      </c>
      <c r="F1945" s="6" t="str">
        <f t="shared" si="2"/>
        <v>Route 2</v>
      </c>
      <c r="G1945" s="1" t="str">
        <f t="shared" si="3"/>
        <v>Route 2</v>
      </c>
      <c r="H1945" s="5" t="str">
        <f t="shared" si="4"/>
        <v>Route 2</v>
      </c>
    </row>
    <row r="1946" ht="12.75" customHeight="1">
      <c r="A1946" s="4" t="s">
        <v>2799</v>
      </c>
      <c r="B1946" s="5">
        <v>0.2</v>
      </c>
      <c r="C1946" s="1" t="str">
        <f t="shared" si="1"/>
        <v/>
      </c>
      <c r="E1946" s="5">
        <v>0.2</v>
      </c>
      <c r="F1946" s="6" t="str">
        <f t="shared" si="2"/>
        <v>#N/A</v>
      </c>
      <c r="G1946" s="1" t="str">
        <f t="shared" si="3"/>
        <v/>
      </c>
      <c r="H1946" s="5">
        <f t="shared" si="4"/>
        <v>0.2</v>
      </c>
    </row>
    <row r="1947" ht="12.75" customHeight="1">
      <c r="A1947" s="4" t="s">
        <v>933</v>
      </c>
      <c r="B1947" s="5" t="s">
        <v>933</v>
      </c>
      <c r="C1947" s="1" t="str">
        <f t="shared" si="1"/>
        <v/>
      </c>
      <c r="E1947" s="5" t="s">
        <v>933</v>
      </c>
      <c r="F1947" s="6" t="str">
        <f t="shared" si="2"/>
        <v>#N/A</v>
      </c>
      <c r="G1947" s="1" t="str">
        <f t="shared" si="3"/>
        <v/>
      </c>
      <c r="H1947" s="5" t="str">
        <f t="shared" si="4"/>
        <v>3, 5, CATERPIE</v>
      </c>
    </row>
    <row r="1948" ht="12.75" customHeight="1">
      <c r="A1948" s="4" t="s">
        <v>3318</v>
      </c>
      <c r="B1948" s="5" t="s">
        <v>3318</v>
      </c>
      <c r="C1948" s="1" t="str">
        <f t="shared" si="1"/>
        <v/>
      </c>
      <c r="E1948" s="5" t="s">
        <v>3318</v>
      </c>
      <c r="F1948" s="6" t="str">
        <f t="shared" si="2"/>
        <v>#N/A</v>
      </c>
      <c r="G1948" s="1" t="str">
        <f t="shared" si="3"/>
        <v/>
      </c>
      <c r="H1948" s="5" t="str">
        <f t="shared" si="4"/>
        <v>3, 5, WEEDLE</v>
      </c>
    </row>
    <row r="1949" ht="12.75" customHeight="1">
      <c r="A1949" s="4" t="s">
        <v>2802</v>
      </c>
      <c r="B1949" s="5">
        <v>0.1</v>
      </c>
      <c r="C1949" s="1" t="str">
        <f t="shared" si="1"/>
        <v/>
      </c>
      <c r="E1949" s="5">
        <v>0.1</v>
      </c>
      <c r="F1949" s="6" t="str">
        <f t="shared" si="2"/>
        <v>#N/A</v>
      </c>
      <c r="G1949" s="1" t="str">
        <f t="shared" si="3"/>
        <v/>
      </c>
      <c r="H1949" s="5">
        <f t="shared" si="4"/>
        <v>0.1</v>
      </c>
    </row>
    <row r="1950" ht="12.75" customHeight="1">
      <c r="A1950" s="4" t="s">
        <v>3319</v>
      </c>
      <c r="B1950" s="5" t="s">
        <v>3319</v>
      </c>
      <c r="C1950" s="1" t="str">
        <f t="shared" si="1"/>
        <v/>
      </c>
      <c r="E1950" s="5" t="s">
        <v>3319</v>
      </c>
      <c r="F1950" s="6" t="str">
        <f t="shared" si="2"/>
        <v>#N/A</v>
      </c>
      <c r="G1950" s="1" t="str">
        <f t="shared" si="3"/>
        <v/>
      </c>
      <c r="H1950" s="5" t="str">
        <f t="shared" si="4"/>
        <v>4, 6, PIDGEY</v>
      </c>
    </row>
    <row r="1951" ht="12.75" customHeight="1">
      <c r="A1951" s="4" t="s">
        <v>3320</v>
      </c>
      <c r="B1951" s="5" t="s">
        <v>3320</v>
      </c>
      <c r="C1951" s="1" t="str">
        <f t="shared" si="1"/>
        <v/>
      </c>
      <c r="E1951" s="5" t="s">
        <v>3320</v>
      </c>
      <c r="F1951" s="6" t="str">
        <f t="shared" si="2"/>
        <v>#N/A</v>
      </c>
      <c r="G1951" s="1" t="str">
        <f t="shared" si="3"/>
        <v/>
      </c>
      <c r="H1951" s="5" t="str">
        <f t="shared" si="4"/>
        <v>4, 6, RATTATA</v>
      </c>
    </row>
    <row r="1952" ht="12.75" customHeight="1">
      <c r="A1952" s="4" t="s">
        <v>3320</v>
      </c>
      <c r="B1952" s="5" t="s">
        <v>3320</v>
      </c>
      <c r="C1952" s="1" t="str">
        <f t="shared" si="1"/>
        <v/>
      </c>
      <c r="E1952" s="5" t="s">
        <v>3320</v>
      </c>
      <c r="F1952" s="6" t="str">
        <f t="shared" si="2"/>
        <v>#N/A</v>
      </c>
      <c r="G1952" s="1" t="str">
        <f t="shared" si="3"/>
        <v/>
      </c>
      <c r="H1952" s="5" t="str">
        <f t="shared" si="4"/>
        <v>4, 6, RATTATA</v>
      </c>
    </row>
    <row r="1953" ht="12.75" customHeight="1">
      <c r="A1953" s="4" t="s">
        <v>3319</v>
      </c>
      <c r="B1953" s="5" t="s">
        <v>3319</v>
      </c>
      <c r="C1953" s="1" t="str">
        <f t="shared" si="1"/>
        <v/>
      </c>
      <c r="E1953" s="5" t="s">
        <v>3319</v>
      </c>
      <c r="F1953" s="6" t="str">
        <f t="shared" si="2"/>
        <v>#N/A</v>
      </c>
      <c r="G1953" s="1" t="str">
        <f t="shared" si="3"/>
        <v/>
      </c>
      <c r="H1953" s="5" t="str">
        <f t="shared" si="4"/>
        <v>4, 6, PIDGEY</v>
      </c>
    </row>
    <row r="1954" ht="12.75" customHeight="1">
      <c r="A1954" s="4" t="s">
        <v>2807</v>
      </c>
      <c r="B1954" s="5">
        <v>0.05</v>
      </c>
      <c r="C1954" s="1" t="str">
        <f t="shared" si="1"/>
        <v/>
      </c>
      <c r="E1954" s="5">
        <v>0.05</v>
      </c>
      <c r="F1954" s="6" t="str">
        <f t="shared" si="2"/>
        <v>#N/A</v>
      </c>
      <c r="G1954" s="1" t="str">
        <f t="shared" si="3"/>
        <v/>
      </c>
      <c r="H1954" s="5">
        <f t="shared" si="4"/>
        <v>0.05</v>
      </c>
    </row>
    <row r="1955" ht="12.75" customHeight="1">
      <c r="A1955" s="4" t="s">
        <v>3321</v>
      </c>
      <c r="B1955" s="5" t="s">
        <v>3321</v>
      </c>
      <c r="C1955" s="1" t="str">
        <f t="shared" si="1"/>
        <v/>
      </c>
      <c r="E1955" s="5" t="s">
        <v>3321</v>
      </c>
      <c r="F1955" s="6" t="str">
        <f t="shared" si="2"/>
        <v>#N/A</v>
      </c>
      <c r="G1955" s="1" t="str">
        <f t="shared" si="3"/>
        <v/>
      </c>
      <c r="H1955" s="5" t="str">
        <f t="shared" si="4"/>
        <v>5, 8, MEOWTH</v>
      </c>
    </row>
    <row r="1956" ht="12.75" customHeight="1">
      <c r="A1956" s="4" t="s">
        <v>3322</v>
      </c>
      <c r="B1956" s="5" t="s">
        <v>3322</v>
      </c>
      <c r="C1956" s="1" t="str">
        <f t="shared" si="1"/>
        <v/>
      </c>
      <c r="E1956" s="5" t="s">
        <v>3322</v>
      </c>
      <c r="F1956" s="6" t="str">
        <f t="shared" si="2"/>
        <v>#N/A</v>
      </c>
      <c r="G1956" s="1" t="str">
        <f t="shared" si="3"/>
        <v/>
      </c>
      <c r="H1956" s="5" t="str">
        <f t="shared" si="4"/>
        <v>5, 8, FARFETCH'D</v>
      </c>
    </row>
    <row r="1957" ht="12.75" customHeight="1">
      <c r="A1957" s="4" t="s">
        <v>2810</v>
      </c>
      <c r="B1957" s="5">
        <v>0.04</v>
      </c>
      <c r="C1957" s="1" t="str">
        <f t="shared" si="1"/>
        <v/>
      </c>
      <c r="E1957" s="5">
        <v>0.04</v>
      </c>
      <c r="F1957" s="6" t="str">
        <f t="shared" si="2"/>
        <v>#N/A</v>
      </c>
      <c r="G1957" s="1" t="str">
        <f t="shared" si="3"/>
        <v/>
      </c>
      <c r="H1957" s="5">
        <f t="shared" si="4"/>
        <v>0.04</v>
      </c>
    </row>
    <row r="1958" ht="12.75" customHeight="1">
      <c r="A1958" s="4" t="s">
        <v>3323</v>
      </c>
      <c r="B1958" s="5" t="s">
        <v>3323</v>
      </c>
      <c r="C1958" s="1" t="str">
        <f t="shared" si="1"/>
        <v/>
      </c>
      <c r="E1958" s="5" t="s">
        <v>3323</v>
      </c>
      <c r="F1958" s="6" t="str">
        <f t="shared" si="2"/>
        <v>#N/A</v>
      </c>
      <c r="G1958" s="1" t="str">
        <f t="shared" si="3"/>
        <v/>
      </c>
      <c r="H1958" s="5" t="str">
        <f t="shared" si="4"/>
        <v>5, 8, MAGNEMITE</v>
      </c>
    </row>
    <row r="1959" ht="12.75" customHeight="1">
      <c r="A1959" s="4" t="s">
        <v>3324</v>
      </c>
      <c r="B1959" s="5" t="s">
        <v>3324</v>
      </c>
      <c r="C1959" s="1" t="str">
        <f t="shared" si="1"/>
        <v/>
      </c>
      <c r="E1959" s="5" t="s">
        <v>3324</v>
      </c>
      <c r="F1959" s="6" t="str">
        <f t="shared" si="2"/>
        <v>#N/A</v>
      </c>
      <c r="G1959" s="1" t="str">
        <f t="shared" si="3"/>
        <v/>
      </c>
      <c r="H1959" s="5" t="str">
        <f t="shared" si="4"/>
        <v>5, 8, GROWLITHE</v>
      </c>
    </row>
    <row r="1960" ht="12.75" customHeight="1">
      <c r="A1960" s="4" t="s">
        <v>2813</v>
      </c>
      <c r="B1960" s="5">
        <v>0.01</v>
      </c>
      <c r="C1960" s="1" t="str">
        <f t="shared" si="1"/>
        <v/>
      </c>
      <c r="E1960" s="5">
        <v>0.01</v>
      </c>
      <c r="F1960" s="6" t="str">
        <f t="shared" si="2"/>
        <v>#N/A</v>
      </c>
      <c r="G1960" s="1" t="str">
        <f t="shared" si="3"/>
        <v/>
      </c>
      <c r="H1960" s="5">
        <f t="shared" si="4"/>
        <v>0.01</v>
      </c>
    </row>
    <row r="1961" ht="12.75" customHeight="1">
      <c r="A1961" s="4" t="s">
        <v>3325</v>
      </c>
      <c r="B1961" s="5" t="s">
        <v>3325</v>
      </c>
      <c r="C1961" s="1" t="str">
        <f t="shared" si="1"/>
        <v/>
      </c>
      <c r="E1961" s="5" t="s">
        <v>3325</v>
      </c>
      <c r="F1961" s="6" t="str">
        <f t="shared" si="2"/>
        <v>#N/A</v>
      </c>
      <c r="G1961" s="1" t="str">
        <f t="shared" si="3"/>
        <v/>
      </c>
      <c r="H1961" s="5" t="str">
        <f t="shared" si="4"/>
        <v>7, 7, MAGNEMITE</v>
      </c>
    </row>
    <row r="1962" ht="12.75" customHeight="1">
      <c r="A1962" s="4" t="s">
        <v>3723</v>
      </c>
      <c r="B1962" s="5" t="s">
        <v>3723</v>
      </c>
      <c r="C1962" s="1" t="str">
        <f t="shared" si="1"/>
        <v/>
      </c>
      <c r="E1962" s="5" t="s">
        <v>3723</v>
      </c>
      <c r="F1962" s="6" t="str">
        <f t="shared" si="2"/>
        <v>#N/A</v>
      </c>
      <c r="G1962" s="1" t="str">
        <f t="shared" si="3"/>
        <v/>
      </c>
      <c r="H1962" s="5" t="str">
        <f t="shared" si="4"/>
        <v>7, 7, GROWLITHE</v>
      </c>
    </row>
    <row r="1963" ht="12.75" customHeight="1">
      <c r="A1963" s="4" t="s">
        <v>2539</v>
      </c>
      <c r="B1963" s="5" t="s">
        <v>2539</v>
      </c>
      <c r="C1963" s="1">
        <f t="shared" si="1"/>
        <v>1</v>
      </c>
      <c r="E1963" s="5" t="s">
        <v>2539</v>
      </c>
      <c r="F1963" s="6" t="str">
        <f t="shared" si="2"/>
        <v>#N/A</v>
      </c>
      <c r="G1963" s="1" t="str">
        <f t="shared" si="3"/>
        <v/>
      </c>
      <c r="H1963" s="5" t="str">
        <f t="shared" si="4"/>
        <v>NEW ROUTE</v>
      </c>
    </row>
    <row r="1964" ht="12.75" customHeight="1">
      <c r="A1964" s="4" t="s">
        <v>2107</v>
      </c>
      <c r="B1964" s="5" t="s">
        <v>2107</v>
      </c>
      <c r="C1964" s="1" t="str">
        <f t="shared" si="1"/>
        <v/>
      </c>
      <c r="E1964" s="5" t="s">
        <v>2107</v>
      </c>
      <c r="F1964" s="6" t="str">
        <f t="shared" si="2"/>
        <v>Route 3</v>
      </c>
      <c r="G1964" s="1" t="str">
        <f t="shared" si="3"/>
        <v>Route 3</v>
      </c>
      <c r="H1964" s="5" t="str">
        <f t="shared" si="4"/>
        <v>Route 3</v>
      </c>
    </row>
    <row r="1965" ht="12.75" customHeight="1">
      <c r="A1965" s="4" t="s">
        <v>2799</v>
      </c>
      <c r="B1965" s="5">
        <v>0.2</v>
      </c>
      <c r="C1965" s="1" t="str">
        <f t="shared" si="1"/>
        <v/>
      </c>
      <c r="E1965" s="5">
        <v>0.2</v>
      </c>
      <c r="F1965" s="6" t="str">
        <f t="shared" si="2"/>
        <v>#N/A</v>
      </c>
      <c r="G1965" s="1" t="str">
        <f t="shared" si="3"/>
        <v/>
      </c>
      <c r="H1965" s="5">
        <f t="shared" si="4"/>
        <v>0.2</v>
      </c>
    </row>
    <row r="1966" ht="12.75" customHeight="1">
      <c r="A1966" s="4" t="s">
        <v>944</v>
      </c>
      <c r="B1966" s="5" t="s">
        <v>944</v>
      </c>
      <c r="C1966" s="1" t="str">
        <f t="shared" si="1"/>
        <v/>
      </c>
      <c r="E1966" s="5" t="s">
        <v>944</v>
      </c>
      <c r="F1966" s="6" t="str">
        <f t="shared" si="2"/>
        <v>#N/A</v>
      </c>
      <c r="G1966" s="1" t="str">
        <f t="shared" si="3"/>
        <v/>
      </c>
      <c r="H1966" s="5" t="str">
        <f t="shared" si="4"/>
        <v>7, 9, SPEAROW</v>
      </c>
    </row>
    <row r="1967" ht="12.75" customHeight="1">
      <c r="A1967" s="4" t="s">
        <v>3328</v>
      </c>
      <c r="B1967" s="5" t="s">
        <v>3328</v>
      </c>
      <c r="C1967" s="1" t="str">
        <f t="shared" si="1"/>
        <v/>
      </c>
      <c r="E1967" s="5" t="s">
        <v>3328</v>
      </c>
      <c r="F1967" s="6" t="str">
        <f t="shared" si="2"/>
        <v>#N/A</v>
      </c>
      <c r="G1967" s="1" t="str">
        <f t="shared" si="3"/>
        <v/>
      </c>
      <c r="H1967" s="5" t="str">
        <f t="shared" si="4"/>
        <v>7, 9, PIDGEY</v>
      </c>
    </row>
    <row r="1968" ht="12.75" customHeight="1">
      <c r="A1968" s="4" t="s">
        <v>2802</v>
      </c>
      <c r="B1968" s="5">
        <v>0.1</v>
      </c>
      <c r="C1968" s="1" t="str">
        <f t="shared" si="1"/>
        <v/>
      </c>
      <c r="E1968" s="5">
        <v>0.1</v>
      </c>
      <c r="F1968" s="6" t="str">
        <f t="shared" si="2"/>
        <v>#N/A</v>
      </c>
      <c r="G1968" s="1" t="str">
        <f t="shared" si="3"/>
        <v/>
      </c>
      <c r="H1968" s="5">
        <f t="shared" si="4"/>
        <v>0.1</v>
      </c>
    </row>
    <row r="1969" ht="12.75" customHeight="1">
      <c r="A1969" s="4" t="s">
        <v>3329</v>
      </c>
      <c r="B1969" s="5" t="s">
        <v>3329</v>
      </c>
      <c r="C1969" s="1" t="str">
        <f t="shared" si="1"/>
        <v/>
      </c>
      <c r="E1969" s="5" t="s">
        <v>3329</v>
      </c>
      <c r="F1969" s="6" t="str">
        <f t="shared" si="2"/>
        <v>#N/A</v>
      </c>
      <c r="G1969" s="1" t="str">
        <f t="shared" si="3"/>
        <v/>
      </c>
      <c r="H1969" s="5" t="str">
        <f t="shared" si="4"/>
        <v>8, 10, NIDORAN\sf</v>
      </c>
    </row>
    <row r="1970" ht="12.75" customHeight="1">
      <c r="A1970" s="4" t="s">
        <v>3330</v>
      </c>
      <c r="B1970" s="5" t="s">
        <v>3330</v>
      </c>
      <c r="C1970" s="1" t="str">
        <f t="shared" si="1"/>
        <v/>
      </c>
      <c r="E1970" s="5" t="s">
        <v>3330</v>
      </c>
      <c r="F1970" s="6" t="str">
        <f t="shared" si="2"/>
        <v>#N/A</v>
      </c>
      <c r="G1970" s="1" t="str">
        <f t="shared" si="3"/>
        <v/>
      </c>
      <c r="H1970" s="5" t="str">
        <f t="shared" si="4"/>
        <v>8, 10, NIDORAN\sm</v>
      </c>
    </row>
    <row r="1971" ht="12.75" customHeight="1">
      <c r="A1971" s="4" t="s">
        <v>3331</v>
      </c>
      <c r="B1971" s="5" t="s">
        <v>3331</v>
      </c>
      <c r="C1971" s="1" t="str">
        <f t="shared" si="1"/>
        <v/>
      </c>
      <c r="E1971" s="5" t="s">
        <v>3331</v>
      </c>
      <c r="F1971" s="6" t="str">
        <f t="shared" si="2"/>
        <v>#N/A</v>
      </c>
      <c r="G1971" s="1" t="str">
        <f t="shared" si="3"/>
        <v/>
      </c>
      <c r="H1971" s="5" t="str">
        <f t="shared" si="4"/>
        <v>8, 10, EKANS</v>
      </c>
    </row>
    <row r="1972" ht="12.75" customHeight="1">
      <c r="A1972" s="4" t="s">
        <v>3332</v>
      </c>
      <c r="B1972" s="5" t="s">
        <v>3332</v>
      </c>
      <c r="C1972" s="1" t="str">
        <f t="shared" si="1"/>
        <v/>
      </c>
      <c r="E1972" s="5" t="s">
        <v>3332</v>
      </c>
      <c r="F1972" s="6" t="str">
        <f t="shared" si="2"/>
        <v>#N/A</v>
      </c>
      <c r="G1972" s="1" t="str">
        <f t="shared" si="3"/>
        <v/>
      </c>
      <c r="H1972" s="5" t="str">
        <f t="shared" si="4"/>
        <v>8, 10, SANDSHREW</v>
      </c>
    </row>
    <row r="1973" ht="12.75" customHeight="1">
      <c r="A1973" s="4" t="s">
        <v>2807</v>
      </c>
      <c r="B1973" s="5">
        <v>0.05</v>
      </c>
      <c r="C1973" s="1" t="str">
        <f t="shared" si="1"/>
        <v/>
      </c>
      <c r="E1973" s="5">
        <v>0.05</v>
      </c>
      <c r="F1973" s="6" t="str">
        <f t="shared" si="2"/>
        <v>#N/A</v>
      </c>
      <c r="G1973" s="1" t="str">
        <f t="shared" si="3"/>
        <v/>
      </c>
      <c r="H1973" s="5">
        <f t="shared" si="4"/>
        <v>0.05</v>
      </c>
    </row>
    <row r="1974" ht="12.75" customHeight="1">
      <c r="A1974" s="4" t="s">
        <v>3333</v>
      </c>
      <c r="B1974" s="5" t="s">
        <v>3333</v>
      </c>
      <c r="C1974" s="1" t="str">
        <f t="shared" si="1"/>
        <v/>
      </c>
      <c r="E1974" s="5" t="s">
        <v>3333</v>
      </c>
      <c r="F1974" s="6" t="str">
        <f t="shared" si="2"/>
        <v>#N/A</v>
      </c>
      <c r="G1974" s="1" t="str">
        <f t="shared" si="3"/>
        <v/>
      </c>
      <c r="H1974" s="5" t="str">
        <f t="shared" si="4"/>
        <v>9, 10, JIGGLYPUFF</v>
      </c>
    </row>
    <row r="1975" ht="12.75" customHeight="1">
      <c r="A1975" s="4" t="s">
        <v>3334</v>
      </c>
      <c r="B1975" s="5" t="s">
        <v>3334</v>
      </c>
      <c r="C1975" s="1" t="str">
        <f t="shared" si="1"/>
        <v/>
      </c>
      <c r="E1975" s="5" t="s">
        <v>3334</v>
      </c>
      <c r="F1975" s="6" t="str">
        <f t="shared" si="2"/>
        <v>#N/A</v>
      </c>
      <c r="G1975" s="1" t="str">
        <f t="shared" si="3"/>
        <v/>
      </c>
      <c r="H1975" s="5" t="str">
        <f t="shared" si="4"/>
        <v>9, 10, CLEFAIRY</v>
      </c>
    </row>
    <row r="1976" ht="12.75" customHeight="1">
      <c r="A1976" s="4" t="s">
        <v>2810</v>
      </c>
      <c r="B1976" s="5">
        <v>0.04</v>
      </c>
      <c r="C1976" s="1" t="str">
        <f t="shared" si="1"/>
        <v/>
      </c>
      <c r="E1976" s="5">
        <v>0.04</v>
      </c>
      <c r="F1976" s="6" t="str">
        <f t="shared" si="2"/>
        <v>#N/A</v>
      </c>
      <c r="G1976" s="1" t="str">
        <f t="shared" si="3"/>
        <v/>
      </c>
      <c r="H1976" s="5">
        <f t="shared" si="4"/>
        <v>0.04</v>
      </c>
    </row>
    <row r="1977" ht="12.75" customHeight="1">
      <c r="A1977" s="4" t="s">
        <v>3335</v>
      </c>
      <c r="B1977" s="5" t="s">
        <v>3335</v>
      </c>
      <c r="C1977" s="1" t="str">
        <f t="shared" si="1"/>
        <v/>
      </c>
      <c r="E1977" s="5" t="s">
        <v>3335</v>
      </c>
      <c r="F1977" s="6" t="str">
        <f t="shared" si="2"/>
        <v>#N/A</v>
      </c>
      <c r="G1977" s="1" t="str">
        <f t="shared" si="3"/>
        <v/>
      </c>
      <c r="H1977" s="5" t="str">
        <f t="shared" si="4"/>
        <v>9, 11, MACHOP</v>
      </c>
    </row>
    <row r="1978" ht="12.75" customHeight="1">
      <c r="A1978" s="4" t="s">
        <v>3335</v>
      </c>
      <c r="B1978" s="5" t="s">
        <v>3335</v>
      </c>
      <c r="C1978" s="1" t="str">
        <f t="shared" si="1"/>
        <v/>
      </c>
      <c r="E1978" s="5" t="s">
        <v>3335</v>
      </c>
      <c r="F1978" s="6" t="str">
        <f t="shared" si="2"/>
        <v>#N/A</v>
      </c>
      <c r="G1978" s="1" t="str">
        <f t="shared" si="3"/>
        <v/>
      </c>
      <c r="H1978" s="5" t="str">
        <f t="shared" si="4"/>
        <v>9, 11, MACHOP</v>
      </c>
    </row>
    <row r="1979" ht="12.75" customHeight="1">
      <c r="A1979" s="4" t="s">
        <v>2813</v>
      </c>
      <c r="B1979" s="5">
        <v>0.01</v>
      </c>
      <c r="C1979" s="1" t="str">
        <f t="shared" si="1"/>
        <v/>
      </c>
      <c r="E1979" s="5">
        <v>0.01</v>
      </c>
      <c r="F1979" s="6" t="str">
        <f t="shared" si="2"/>
        <v>#N/A</v>
      </c>
      <c r="G1979" s="1" t="str">
        <f t="shared" si="3"/>
        <v/>
      </c>
      <c r="H1979" s="5">
        <f t="shared" si="4"/>
        <v>0.01</v>
      </c>
    </row>
    <row r="1980" ht="12.75" customHeight="1">
      <c r="A1980" s="4" t="s">
        <v>3336</v>
      </c>
      <c r="B1980" s="5" t="s">
        <v>3336</v>
      </c>
      <c r="C1980" s="1" t="str">
        <f t="shared" si="1"/>
        <v/>
      </c>
      <c r="E1980" s="5" t="s">
        <v>3336</v>
      </c>
      <c r="F1980" s="6" t="str">
        <f t="shared" si="2"/>
        <v>#N/A</v>
      </c>
      <c r="G1980" s="1" t="str">
        <f t="shared" si="3"/>
        <v/>
      </c>
      <c r="H1980" s="5" t="str">
        <f t="shared" si="4"/>
        <v>10, 13, NIDORAN\sf</v>
      </c>
    </row>
    <row r="1981" ht="12.75" customHeight="1">
      <c r="A1981" s="4" t="s">
        <v>3724</v>
      </c>
      <c r="B1981" s="5" t="s">
        <v>3724</v>
      </c>
      <c r="C1981" s="1" t="str">
        <f t="shared" si="1"/>
        <v/>
      </c>
      <c r="E1981" s="5" t="s">
        <v>3724</v>
      </c>
      <c r="F1981" s="6" t="str">
        <f t="shared" si="2"/>
        <v>#N/A</v>
      </c>
      <c r="G1981" s="1" t="str">
        <f t="shared" si="3"/>
        <v/>
      </c>
      <c r="H1981" s="5" t="str">
        <f t="shared" si="4"/>
        <v>10, 13, NIDORAN\sm</v>
      </c>
    </row>
    <row r="1982" ht="12.75" customHeight="1">
      <c r="A1982" s="4" t="s">
        <v>2539</v>
      </c>
      <c r="B1982" s="5" t="s">
        <v>2539</v>
      </c>
      <c r="C1982" s="1">
        <f t="shared" si="1"/>
        <v>1</v>
      </c>
      <c r="E1982" s="5" t="s">
        <v>2539</v>
      </c>
      <c r="F1982" s="6" t="str">
        <f t="shared" si="2"/>
        <v>#N/A</v>
      </c>
      <c r="G1982" s="1" t="str">
        <f t="shared" si="3"/>
        <v/>
      </c>
      <c r="H1982" s="5" t="str">
        <f t="shared" si="4"/>
        <v>NEW ROUTE</v>
      </c>
    </row>
    <row r="1983" ht="12.75" customHeight="1">
      <c r="A1983" s="4" t="s">
        <v>2109</v>
      </c>
      <c r="B1983" s="5" t="s">
        <v>2109</v>
      </c>
      <c r="C1983" s="1" t="str">
        <f t="shared" si="1"/>
        <v/>
      </c>
      <c r="E1983" s="5" t="s">
        <v>2109</v>
      </c>
      <c r="F1983" s="6" t="str">
        <f t="shared" si="2"/>
        <v>Route 4</v>
      </c>
      <c r="G1983" s="1" t="str">
        <f t="shared" si="3"/>
        <v>Route 4</v>
      </c>
      <c r="H1983" s="5" t="str">
        <f t="shared" si="4"/>
        <v>Route 4</v>
      </c>
    </row>
    <row r="1984" ht="12.75" customHeight="1">
      <c r="A1984" s="4" t="s">
        <v>2799</v>
      </c>
      <c r="B1984" s="5">
        <v>0.2</v>
      </c>
      <c r="C1984" s="1" t="str">
        <f t="shared" si="1"/>
        <v/>
      </c>
      <c r="E1984" s="5">
        <v>0.2</v>
      </c>
      <c r="F1984" s="6" t="str">
        <f t="shared" si="2"/>
        <v>#N/A</v>
      </c>
      <c r="G1984" s="1" t="str">
        <f t="shared" si="3"/>
        <v/>
      </c>
      <c r="H1984" s="5">
        <f t="shared" si="4"/>
        <v>0.2</v>
      </c>
    </row>
    <row r="1985" ht="12.75" customHeight="1">
      <c r="A1985" s="4" t="s">
        <v>956</v>
      </c>
      <c r="B1985" s="5" t="s">
        <v>956</v>
      </c>
      <c r="C1985" s="1" t="str">
        <f t="shared" si="1"/>
        <v/>
      </c>
      <c r="E1985" s="5" t="s">
        <v>956</v>
      </c>
      <c r="F1985" s="6" t="str">
        <f t="shared" si="2"/>
        <v>#N/A</v>
      </c>
      <c r="G1985" s="1" t="str">
        <f t="shared" si="3"/>
        <v/>
      </c>
      <c r="H1985" s="5" t="str">
        <f t="shared" si="4"/>
        <v>13, 16, RATTATA</v>
      </c>
    </row>
    <row r="1986" ht="12.75" customHeight="1">
      <c r="A1986" s="4" t="s">
        <v>3339</v>
      </c>
      <c r="B1986" s="5" t="s">
        <v>3339</v>
      </c>
      <c r="C1986" s="1" t="str">
        <f t="shared" si="1"/>
        <v/>
      </c>
      <c r="E1986" s="5" t="s">
        <v>3339</v>
      </c>
      <c r="F1986" s="6" t="str">
        <f t="shared" si="2"/>
        <v>#N/A</v>
      </c>
      <c r="G1986" s="1" t="str">
        <f t="shared" si="3"/>
        <v/>
      </c>
      <c r="H1986" s="5" t="str">
        <f t="shared" si="4"/>
        <v>13, 16, SPEAROW</v>
      </c>
    </row>
    <row r="1987" ht="12.75" customHeight="1">
      <c r="A1987" s="4" t="s">
        <v>2802</v>
      </c>
      <c r="B1987" s="5">
        <v>0.1</v>
      </c>
      <c r="C1987" s="1" t="str">
        <f t="shared" si="1"/>
        <v/>
      </c>
      <c r="E1987" s="5">
        <v>0.1</v>
      </c>
      <c r="F1987" s="6" t="str">
        <f t="shared" si="2"/>
        <v>#N/A</v>
      </c>
      <c r="G1987" s="1" t="str">
        <f t="shared" si="3"/>
        <v/>
      </c>
      <c r="H1987" s="5">
        <f t="shared" si="4"/>
        <v>0.1</v>
      </c>
    </row>
    <row r="1988" ht="12.75" customHeight="1">
      <c r="A1988" s="4" t="s">
        <v>3340</v>
      </c>
      <c r="B1988" s="5" t="s">
        <v>3340</v>
      </c>
      <c r="C1988" s="1" t="str">
        <f t="shared" si="1"/>
        <v/>
      </c>
      <c r="E1988" s="5" t="s">
        <v>3340</v>
      </c>
      <c r="F1988" s="6" t="str">
        <f t="shared" si="2"/>
        <v>#N/A</v>
      </c>
      <c r="G1988" s="1" t="str">
        <f t="shared" si="3"/>
        <v/>
      </c>
      <c r="H1988" s="5" t="str">
        <f t="shared" si="4"/>
        <v>14, 16, PSYDUCK</v>
      </c>
    </row>
    <row r="1989" ht="12.75" customHeight="1">
      <c r="A1989" s="4" t="s">
        <v>3341</v>
      </c>
      <c r="B1989" s="5" t="s">
        <v>3341</v>
      </c>
      <c r="C1989" s="1" t="str">
        <f t="shared" si="1"/>
        <v/>
      </c>
      <c r="E1989" s="5" t="s">
        <v>3341</v>
      </c>
      <c r="F1989" s="6" t="str">
        <f t="shared" si="2"/>
        <v>#N/A</v>
      </c>
      <c r="G1989" s="1" t="str">
        <f t="shared" si="3"/>
        <v/>
      </c>
      <c r="H1989" s="5" t="str">
        <f t="shared" si="4"/>
        <v>14, 16, NIDORAN\sm</v>
      </c>
    </row>
    <row r="1990" ht="12.75" customHeight="1">
      <c r="A1990" s="4" t="s">
        <v>3342</v>
      </c>
      <c r="B1990" s="5" t="s">
        <v>3342</v>
      </c>
      <c r="C1990" s="1" t="str">
        <f t="shared" si="1"/>
        <v/>
      </c>
      <c r="E1990" s="5" t="s">
        <v>3342</v>
      </c>
      <c r="F1990" s="6" t="str">
        <f t="shared" si="2"/>
        <v>#N/A</v>
      </c>
      <c r="G1990" s="1" t="str">
        <f t="shared" si="3"/>
        <v/>
      </c>
      <c r="H1990" s="5" t="str">
        <f t="shared" si="4"/>
        <v>14, 16, NIDORAN\sf</v>
      </c>
    </row>
    <row r="1991" ht="12.75" customHeight="1">
      <c r="A1991" s="4" t="s">
        <v>3343</v>
      </c>
      <c r="B1991" s="5" t="s">
        <v>3343</v>
      </c>
      <c r="C1991" s="1" t="str">
        <f t="shared" si="1"/>
        <v/>
      </c>
      <c r="E1991" s="5" t="s">
        <v>3343</v>
      </c>
      <c r="F1991" s="6" t="str">
        <f t="shared" si="2"/>
        <v>#N/A</v>
      </c>
      <c r="G1991" s="1" t="str">
        <f t="shared" si="3"/>
        <v/>
      </c>
      <c r="H1991" s="5" t="str">
        <f t="shared" si="4"/>
        <v>14, 16, EKANS</v>
      </c>
    </row>
    <row r="1992" ht="12.75" customHeight="1">
      <c r="A1992" s="4" t="s">
        <v>2807</v>
      </c>
      <c r="B1992" s="5">
        <v>0.05</v>
      </c>
      <c r="C1992" s="1" t="str">
        <f t="shared" si="1"/>
        <v/>
      </c>
      <c r="E1992" s="5">
        <v>0.05</v>
      </c>
      <c r="F1992" s="6" t="str">
        <f t="shared" si="2"/>
        <v>#N/A</v>
      </c>
      <c r="G1992" s="1" t="str">
        <f t="shared" si="3"/>
        <v/>
      </c>
      <c r="H1992" s="5">
        <f t="shared" si="4"/>
        <v>0.05</v>
      </c>
    </row>
    <row r="1993" ht="12.75" customHeight="1">
      <c r="A1993" s="4" t="s">
        <v>3344</v>
      </c>
      <c r="B1993" s="5" t="s">
        <v>3344</v>
      </c>
      <c r="C1993" s="1" t="str">
        <f t="shared" si="1"/>
        <v/>
      </c>
      <c r="E1993" s="5" t="s">
        <v>3344</v>
      </c>
      <c r="F1993" s="6" t="str">
        <f t="shared" si="2"/>
        <v>#N/A</v>
      </c>
      <c r="G1993" s="1" t="str">
        <f t="shared" si="3"/>
        <v/>
      </c>
      <c r="H1993" s="5" t="str">
        <f t="shared" si="4"/>
        <v>15, 15, JIGGLYPUFF</v>
      </c>
    </row>
    <row r="1994" ht="12.75" customHeight="1">
      <c r="A1994" s="4" t="s">
        <v>3345</v>
      </c>
      <c r="B1994" s="5" t="s">
        <v>3345</v>
      </c>
      <c r="C1994" s="1" t="str">
        <f t="shared" si="1"/>
        <v/>
      </c>
      <c r="E1994" s="5" t="s">
        <v>3345</v>
      </c>
      <c r="F1994" s="6" t="str">
        <f t="shared" si="2"/>
        <v>#N/A</v>
      </c>
      <c r="G1994" s="1" t="str">
        <f t="shared" si="3"/>
        <v/>
      </c>
      <c r="H1994" s="5" t="str">
        <f t="shared" si="4"/>
        <v>15, 15, CLEFAIRY</v>
      </c>
    </row>
    <row r="1995" ht="12.75" customHeight="1">
      <c r="A1995" s="4" t="s">
        <v>2810</v>
      </c>
      <c r="B1995" s="5">
        <v>0.04</v>
      </c>
      <c r="C1995" s="1" t="str">
        <f t="shared" si="1"/>
        <v/>
      </c>
      <c r="E1995" s="5">
        <v>0.04</v>
      </c>
      <c r="F1995" s="6" t="str">
        <f t="shared" si="2"/>
        <v>#N/A</v>
      </c>
      <c r="G1995" s="1" t="str">
        <f t="shared" si="3"/>
        <v/>
      </c>
      <c r="H1995" s="5">
        <f t="shared" si="4"/>
        <v>0.04</v>
      </c>
    </row>
    <row r="1996" ht="12.75" customHeight="1">
      <c r="A1996" s="4" t="s">
        <v>3346</v>
      </c>
      <c r="B1996" s="5" t="s">
        <v>3346</v>
      </c>
      <c r="C1996" s="1" t="str">
        <f t="shared" si="1"/>
        <v/>
      </c>
      <c r="E1996" s="5" t="s">
        <v>3346</v>
      </c>
      <c r="F1996" s="6" t="str">
        <f t="shared" si="2"/>
        <v>#N/A</v>
      </c>
      <c r="G1996" s="1" t="str">
        <f t="shared" si="3"/>
        <v/>
      </c>
      <c r="H1996" s="5" t="str">
        <f t="shared" si="4"/>
        <v>13, 18, MANKEY</v>
      </c>
    </row>
    <row r="1997" ht="12.75" customHeight="1">
      <c r="A1997" s="4" t="s">
        <v>3347</v>
      </c>
      <c r="B1997" s="5" t="s">
        <v>3347</v>
      </c>
      <c r="C1997" s="1" t="str">
        <f t="shared" si="1"/>
        <v/>
      </c>
      <c r="E1997" s="5" t="s">
        <v>3347</v>
      </c>
      <c r="F1997" s="6" t="str">
        <f t="shared" si="2"/>
        <v>#N/A</v>
      </c>
      <c r="G1997" s="1" t="str">
        <f t="shared" si="3"/>
        <v/>
      </c>
      <c r="H1997" s="5" t="str">
        <f t="shared" si="4"/>
        <v>13, 18, MACHOP</v>
      </c>
    </row>
    <row r="1998" ht="12.75" customHeight="1">
      <c r="A1998" s="4" t="s">
        <v>2813</v>
      </c>
      <c r="B1998" s="5">
        <v>0.01</v>
      </c>
      <c r="C1998" s="1" t="str">
        <f t="shared" si="1"/>
        <v/>
      </c>
      <c r="E1998" s="5">
        <v>0.01</v>
      </c>
      <c r="F1998" s="6" t="str">
        <f t="shared" si="2"/>
        <v>#N/A</v>
      </c>
      <c r="G1998" s="1" t="str">
        <f t="shared" si="3"/>
        <v/>
      </c>
      <c r="H1998" s="5">
        <f t="shared" si="4"/>
        <v>0.01</v>
      </c>
    </row>
    <row r="1999" ht="12.75" customHeight="1">
      <c r="A1999" s="4" t="s">
        <v>3348</v>
      </c>
      <c r="B1999" s="5" t="s">
        <v>3348</v>
      </c>
      <c r="C1999" s="1" t="str">
        <f t="shared" si="1"/>
        <v/>
      </c>
      <c r="E1999" s="5" t="s">
        <v>3348</v>
      </c>
      <c r="F1999" s="6" t="str">
        <f t="shared" si="2"/>
        <v>#N/A</v>
      </c>
      <c r="G1999" s="1" t="str">
        <f t="shared" si="3"/>
        <v/>
      </c>
      <c r="H1999" s="5" t="str">
        <f t="shared" si="4"/>
        <v>16, 16, NIDORINO</v>
      </c>
    </row>
    <row r="2000" ht="12.75" customHeight="1">
      <c r="A2000" s="4" t="s">
        <v>3349</v>
      </c>
      <c r="B2000" s="5" t="s">
        <v>3349</v>
      </c>
      <c r="C2000" s="1" t="str">
        <f t="shared" si="1"/>
        <v/>
      </c>
      <c r="E2000" s="5" t="s">
        <v>3349</v>
      </c>
      <c r="F2000" s="6" t="str">
        <f t="shared" si="2"/>
        <v>#N/A</v>
      </c>
      <c r="G2000" s="1" t="str">
        <f t="shared" si="3"/>
        <v/>
      </c>
      <c r="H2000" s="5" t="str">
        <f t="shared" si="4"/>
        <v>16, 16, NIDORINA</v>
      </c>
    </row>
    <row r="2001" ht="12.75" customHeight="1">
      <c r="A2001" s="4" t="s">
        <v>3350</v>
      </c>
      <c r="B2001" s="5" t="s">
        <v>3350</v>
      </c>
      <c r="C2001" s="1" t="str">
        <f t="shared" si="1"/>
        <v/>
      </c>
      <c r="E2001" s="5" t="s">
        <v>3350</v>
      </c>
      <c r="F2001" s="6" t="str">
        <f t="shared" si="2"/>
        <v>#N/A</v>
      </c>
      <c r="G2001" s="1" t="str">
        <f t="shared" si="3"/>
        <v/>
      </c>
      <c r="H2001" s="5" t="str">
        <f t="shared" si="4"/>
        <v>2, 38, 42, TENTACOOL</v>
      </c>
    </row>
    <row r="2002" ht="12.75" customHeight="1">
      <c r="A2002" s="4" t="s">
        <v>3351</v>
      </c>
      <c r="B2002" s="5" t="s">
        <v>3351</v>
      </c>
      <c r="C2002" s="1" t="str">
        <f t="shared" si="1"/>
        <v/>
      </c>
      <c r="E2002" s="5" t="s">
        <v>3351</v>
      </c>
      <c r="F2002" s="6" t="str">
        <f t="shared" si="2"/>
        <v>#N/A</v>
      </c>
      <c r="G2002" s="1" t="str">
        <f t="shared" si="3"/>
        <v/>
      </c>
      <c r="H2002" s="5" t="str">
        <f t="shared" si="4"/>
        <v>40, 44, PSYDUCK</v>
      </c>
    </row>
    <row r="2003" ht="12.75" customHeight="1">
      <c r="A2003" s="4" t="s">
        <v>3352</v>
      </c>
      <c r="B2003" s="5" t="s">
        <v>3352</v>
      </c>
      <c r="C2003" s="1" t="str">
        <f t="shared" si="1"/>
        <v/>
      </c>
      <c r="E2003" s="5" t="s">
        <v>3352</v>
      </c>
      <c r="F2003" s="6" t="str">
        <f t="shared" si="2"/>
        <v>#N/A</v>
      </c>
      <c r="G2003" s="1" t="str">
        <f t="shared" si="3"/>
        <v/>
      </c>
      <c r="H2003" s="5" t="str">
        <f t="shared" si="4"/>
        <v>42, 46, TENTACRUEL</v>
      </c>
    </row>
    <row r="2004" ht="12.75" customHeight="1">
      <c r="A2004" s="4" t="s">
        <v>2924</v>
      </c>
      <c r="B2004" s="5" t="s">
        <v>2924</v>
      </c>
      <c r="C2004" s="1" t="str">
        <f t="shared" si="1"/>
        <v/>
      </c>
      <c r="E2004" s="5" t="s">
        <v>2924</v>
      </c>
      <c r="F2004" s="6" t="str">
        <f t="shared" si="2"/>
        <v>#N/A</v>
      </c>
      <c r="G2004" s="1" t="str">
        <f t="shared" si="3"/>
        <v/>
      </c>
      <c r="H2004" s="5" t="str">
        <f t="shared" si="4"/>
        <v>42, 46, GOLDUCK</v>
      </c>
    </row>
    <row r="2005" ht="12.75" customHeight="1">
      <c r="A2005" s="4" t="s">
        <v>2925</v>
      </c>
      <c r="B2005" s="5" t="s">
        <v>2925</v>
      </c>
      <c r="C2005" s="1" t="str">
        <f t="shared" si="1"/>
        <v/>
      </c>
      <c r="E2005" s="5" t="s">
        <v>2925</v>
      </c>
      <c r="F2005" s="6" t="str">
        <f t="shared" si="2"/>
        <v>#N/A</v>
      </c>
      <c r="G2005" s="1" t="str">
        <f t="shared" si="3"/>
        <v/>
      </c>
      <c r="H2005" s="5" t="str">
        <f t="shared" si="4"/>
        <v>44, 48, VAPOREON</v>
      </c>
    </row>
    <row r="2006" ht="12.75" customHeight="1">
      <c r="A2006" s="4" t="s">
        <v>2926</v>
      </c>
      <c r="B2006" s="5" t="s">
        <v>2926</v>
      </c>
      <c r="C2006" s="1" t="str">
        <f t="shared" si="1"/>
        <v/>
      </c>
      <c r="E2006" s="5" t="s">
        <v>2926</v>
      </c>
      <c r="F2006" s="6" t="str">
        <f t="shared" si="2"/>
        <v>#N/A</v>
      </c>
      <c r="G2006" s="1" t="str">
        <f t="shared" si="3"/>
        <v/>
      </c>
      <c r="H2006" s="5" t="str">
        <f t="shared" si="4"/>
        <v>20, old rod:</v>
      </c>
    </row>
    <row r="2007" ht="12.75" customHeight="1">
      <c r="A2007" s="4" t="s">
        <v>500</v>
      </c>
      <c r="B2007" s="5" t="s">
        <v>500</v>
      </c>
      <c r="C2007" s="1" t="str">
        <f t="shared" si="1"/>
        <v/>
      </c>
      <c r="E2007" s="5" t="s">
        <v>500</v>
      </c>
      <c r="F2007" s="6" t="str">
        <f t="shared" si="2"/>
        <v>#N/A</v>
      </c>
      <c r="G2007" s="1" t="str">
        <f t="shared" si="3"/>
        <v/>
      </c>
      <c r="H2007" s="5" t="str">
        <f t="shared" si="4"/>
        <v>19, 26, MAGIKARP</v>
      </c>
    </row>
    <row r="2008" ht="12.75" customHeight="1">
      <c r="A2008" s="4" t="s">
        <v>3353</v>
      </c>
      <c r="B2008" s="5" t="s">
        <v>3353</v>
      </c>
      <c r="C2008" s="1" t="str">
        <f t="shared" si="1"/>
        <v/>
      </c>
      <c r="E2008" s="5" t="s">
        <v>3353</v>
      </c>
      <c r="F2008" s="6" t="str">
        <f t="shared" si="2"/>
        <v>#N/A</v>
      </c>
      <c r="G2008" s="1" t="str">
        <f t="shared" si="3"/>
        <v/>
      </c>
      <c r="H2008" s="5" t="str">
        <f t="shared" si="4"/>
        <v>19, 26, GYARADOS</v>
      </c>
    </row>
    <row r="2009" ht="12.75" customHeight="1">
      <c r="A2009" s="4" t="s">
        <v>2847</v>
      </c>
      <c r="B2009" s="5" t="s">
        <v>2847</v>
      </c>
      <c r="C2009" s="1" t="str">
        <f t="shared" si="1"/>
        <v/>
      </c>
      <c r="E2009" s="5" t="s">
        <v>2847</v>
      </c>
      <c r="F2009" s="6" t="str">
        <f t="shared" si="2"/>
        <v>#N/A</v>
      </c>
      <c r="G2009" s="1" t="str">
        <f t="shared" si="3"/>
        <v/>
      </c>
      <c r="H2009" s="5" t="str">
        <f t="shared" si="4"/>
        <v>good rod:</v>
      </c>
    </row>
    <row r="2010" ht="12.75" customHeight="1">
      <c r="A2010" s="4" t="s">
        <v>3354</v>
      </c>
      <c r="B2010" s="5" t="s">
        <v>3354</v>
      </c>
      <c r="C2010" s="1" t="str">
        <f t="shared" si="1"/>
        <v/>
      </c>
      <c r="E2010" s="5" t="s">
        <v>3354</v>
      </c>
      <c r="F2010" s="6" t="str">
        <f t="shared" si="2"/>
        <v>#N/A</v>
      </c>
      <c r="G2010" s="1" t="str">
        <f t="shared" si="3"/>
        <v/>
      </c>
      <c r="H2010" s="5" t="str">
        <f t="shared" si="4"/>
        <v>29, 33, SLOWPOKE</v>
      </c>
    </row>
    <row r="2011" ht="12.75" customHeight="1">
      <c r="A2011" s="4" t="s">
        <v>3028</v>
      </c>
      <c r="B2011" s="5" t="s">
        <v>3028</v>
      </c>
      <c r="C2011" s="1" t="str">
        <f t="shared" si="1"/>
        <v/>
      </c>
      <c r="E2011" s="5" t="s">
        <v>3028</v>
      </c>
      <c r="F2011" s="6" t="str">
        <f t="shared" si="2"/>
        <v>#N/A</v>
      </c>
      <c r="G2011" s="1" t="str">
        <f t="shared" si="3"/>
        <v/>
      </c>
      <c r="H2011" s="5" t="str">
        <f t="shared" si="4"/>
        <v>30, 35, KRABBY</v>
      </c>
    </row>
    <row r="2012" ht="12.75" customHeight="1">
      <c r="A2012" s="4" t="s">
        <v>3355</v>
      </c>
      <c r="B2012" s="5" t="s">
        <v>3355</v>
      </c>
      <c r="C2012" s="1" t="str">
        <f t="shared" si="1"/>
        <v/>
      </c>
      <c r="E2012" s="5" t="s">
        <v>3355</v>
      </c>
      <c r="F2012" s="6" t="str">
        <f t="shared" si="2"/>
        <v>#N/A</v>
      </c>
      <c r="G2012" s="1" t="str">
        <f t="shared" si="3"/>
        <v/>
      </c>
      <c r="H2012" s="5" t="str">
        <f t="shared" si="4"/>
        <v>30, 35, PSYDUCK</v>
      </c>
    </row>
    <row r="2013" ht="12.75" customHeight="1">
      <c r="A2013" s="4" t="s">
        <v>2851</v>
      </c>
      <c r="B2013" s="5" t="s">
        <v>2851</v>
      </c>
      <c r="C2013" s="1" t="str">
        <f t="shared" si="1"/>
        <v/>
      </c>
      <c r="E2013" s="5" t="s">
        <v>2851</v>
      </c>
      <c r="F2013" s="6" t="str">
        <f t="shared" si="2"/>
        <v>#N/A</v>
      </c>
      <c r="G2013" s="1" t="str">
        <f t="shared" si="3"/>
        <v/>
      </c>
      <c r="H2013" s="5" t="str">
        <f t="shared" si="4"/>
        <v>super rod:</v>
      </c>
    </row>
    <row r="2014" ht="12.75" customHeight="1">
      <c r="A2014" s="4" t="s">
        <v>3356</v>
      </c>
      <c r="B2014" s="5" t="s">
        <v>3356</v>
      </c>
      <c r="C2014" s="1" t="str">
        <f t="shared" si="1"/>
        <v/>
      </c>
      <c r="E2014" s="5" t="s">
        <v>3356</v>
      </c>
      <c r="F2014" s="6" t="str">
        <f t="shared" si="2"/>
        <v>#N/A</v>
      </c>
      <c r="G2014" s="1" t="str">
        <f t="shared" si="3"/>
        <v/>
      </c>
      <c r="H2014" s="5" t="str">
        <f t="shared" si="4"/>
        <v>36, 40, SLOWBRO</v>
      </c>
    </row>
    <row r="2015" ht="12.75" customHeight="1">
      <c r="A2015" s="4" t="s">
        <v>3357</v>
      </c>
      <c r="B2015" s="5" t="s">
        <v>3357</v>
      </c>
      <c r="C2015" s="1" t="str">
        <f t="shared" si="1"/>
        <v/>
      </c>
      <c r="E2015" s="5" t="s">
        <v>3357</v>
      </c>
      <c r="F2015" s="6" t="str">
        <f t="shared" si="2"/>
        <v>#N/A</v>
      </c>
      <c r="G2015" s="1" t="str">
        <f t="shared" si="3"/>
        <v/>
      </c>
      <c r="H2015" s="5" t="str">
        <f t="shared" si="4"/>
        <v>36, 40, GYARADOS</v>
      </c>
    </row>
    <row r="2016" ht="12.75" customHeight="1">
      <c r="A2016" s="4" t="s">
        <v>3358</v>
      </c>
      <c r="B2016" s="5" t="s">
        <v>3358</v>
      </c>
      <c r="C2016" s="1" t="str">
        <f t="shared" si="1"/>
        <v/>
      </c>
      <c r="E2016" s="5" t="s">
        <v>3358</v>
      </c>
      <c r="F2016" s="6" t="str">
        <f t="shared" si="2"/>
        <v>#N/A</v>
      </c>
      <c r="G2016" s="1" t="str">
        <f t="shared" si="3"/>
        <v/>
      </c>
      <c r="H2016" s="5" t="str">
        <f t="shared" si="4"/>
        <v>38, 42, GOLDUCK</v>
      </c>
    </row>
    <row r="2017" ht="12.75" customHeight="1">
      <c r="A2017" s="4" t="s">
        <v>3359</v>
      </c>
      <c r="B2017" s="5" t="s">
        <v>3359</v>
      </c>
      <c r="C2017" s="1" t="str">
        <f t="shared" si="1"/>
        <v/>
      </c>
      <c r="E2017" s="5" t="s">
        <v>3359</v>
      </c>
      <c r="F2017" s="6" t="str">
        <f t="shared" si="2"/>
        <v>#N/A</v>
      </c>
      <c r="G2017" s="1" t="str">
        <f t="shared" si="3"/>
        <v/>
      </c>
      <c r="H2017" s="5" t="str">
        <f t="shared" si="4"/>
        <v>38, 42, KINGLER</v>
      </c>
    </row>
    <row r="2018" ht="12.75" customHeight="1">
      <c r="A2018" s="4" t="s">
        <v>3360</v>
      </c>
      <c r="B2018" s="5" t="s">
        <v>3360</v>
      </c>
      <c r="C2018" s="1" t="str">
        <f t="shared" si="1"/>
        <v/>
      </c>
      <c r="E2018" s="5" t="s">
        <v>3360</v>
      </c>
      <c r="F2018" s="6" t="str">
        <f t="shared" si="2"/>
        <v>#N/A</v>
      </c>
      <c r="G2018" s="1" t="str">
        <f t="shared" si="3"/>
        <v/>
      </c>
      <c r="H2018" s="5" t="str">
        <f t="shared" si="4"/>
        <v>40, 44, SLOWMATE</v>
      </c>
    </row>
    <row r="2019" ht="12.75" customHeight="1">
      <c r="A2019" s="4" t="s">
        <v>2539</v>
      </c>
      <c r="B2019" s="5" t="s">
        <v>2539</v>
      </c>
      <c r="C2019" s="1">
        <f t="shared" si="1"/>
        <v>1</v>
      </c>
      <c r="E2019" s="5" t="s">
        <v>2539</v>
      </c>
      <c r="F2019" s="6" t="str">
        <f t="shared" si="2"/>
        <v>#N/A</v>
      </c>
      <c r="G2019" s="1" t="str">
        <f t="shared" si="3"/>
        <v/>
      </c>
      <c r="H2019" s="5" t="str">
        <f t="shared" si="4"/>
        <v>NEW ROUTE</v>
      </c>
    </row>
    <row r="2020" ht="12.75" customHeight="1">
      <c r="A2020" s="4" t="s">
        <v>2111</v>
      </c>
      <c r="B2020" s="5" t="s">
        <v>2111</v>
      </c>
      <c r="C2020" s="1" t="str">
        <f t="shared" si="1"/>
        <v/>
      </c>
      <c r="E2020" s="5" t="s">
        <v>2111</v>
      </c>
      <c r="F2020" s="6" t="str">
        <f t="shared" si="2"/>
        <v>Route 5</v>
      </c>
      <c r="G2020" s="1" t="str">
        <f t="shared" si="3"/>
        <v>Route 5</v>
      </c>
      <c r="H2020" s="5" t="str">
        <f t="shared" si="4"/>
        <v>Route 5</v>
      </c>
    </row>
    <row r="2021" ht="12.75" customHeight="1">
      <c r="A2021" s="4" t="s">
        <v>2799</v>
      </c>
      <c r="B2021" s="5">
        <v>0.2</v>
      </c>
      <c r="C2021" s="1" t="str">
        <f t="shared" si="1"/>
        <v/>
      </c>
      <c r="E2021" s="5">
        <v>0.2</v>
      </c>
      <c r="F2021" s="6" t="str">
        <f t="shared" si="2"/>
        <v>#N/A</v>
      </c>
      <c r="G2021" s="1" t="str">
        <f t="shared" si="3"/>
        <v/>
      </c>
      <c r="H2021" s="5">
        <f t="shared" si="4"/>
        <v>0.2</v>
      </c>
    </row>
    <row r="2022" ht="12.75" customHeight="1">
      <c r="A2022" s="4" t="s">
        <v>979</v>
      </c>
      <c r="B2022" s="5" t="s">
        <v>979</v>
      </c>
      <c r="C2022" s="1" t="str">
        <f t="shared" si="1"/>
        <v/>
      </c>
      <c r="E2022" s="5" t="s">
        <v>979</v>
      </c>
      <c r="F2022" s="6" t="str">
        <f t="shared" si="2"/>
        <v>#N/A</v>
      </c>
      <c r="G2022" s="1" t="str">
        <f t="shared" si="3"/>
        <v/>
      </c>
      <c r="H2022" s="5" t="str">
        <f t="shared" si="4"/>
        <v>15, 17, PIDGEY</v>
      </c>
    </row>
    <row r="2023" ht="12.75" customHeight="1">
      <c r="A2023" s="4" t="s">
        <v>3362</v>
      </c>
      <c r="B2023" s="5" t="s">
        <v>3362</v>
      </c>
      <c r="C2023" s="1" t="str">
        <f t="shared" si="1"/>
        <v/>
      </c>
      <c r="E2023" s="5" t="s">
        <v>3362</v>
      </c>
      <c r="F2023" s="6" t="str">
        <f t="shared" si="2"/>
        <v>#N/A</v>
      </c>
      <c r="G2023" s="1" t="str">
        <f t="shared" si="3"/>
        <v/>
      </c>
      <c r="H2023" s="5" t="str">
        <f t="shared" si="4"/>
        <v>15, 17, MEOWTH</v>
      </c>
    </row>
    <row r="2024" ht="12.75" customHeight="1">
      <c r="A2024" s="4" t="s">
        <v>2802</v>
      </c>
      <c r="B2024" s="5">
        <v>0.1</v>
      </c>
      <c r="C2024" s="1" t="str">
        <f t="shared" si="1"/>
        <v/>
      </c>
      <c r="E2024" s="5">
        <v>0.1</v>
      </c>
      <c r="F2024" s="6" t="str">
        <f t="shared" si="2"/>
        <v>#N/A</v>
      </c>
      <c r="G2024" s="1" t="str">
        <f t="shared" si="3"/>
        <v/>
      </c>
      <c r="H2024" s="5">
        <f t="shared" si="4"/>
        <v>0.1</v>
      </c>
    </row>
    <row r="2025" ht="12.75" customHeight="1">
      <c r="A2025" s="4" t="s">
        <v>3363</v>
      </c>
      <c r="B2025" s="5" t="s">
        <v>3363</v>
      </c>
      <c r="C2025" s="1" t="str">
        <f t="shared" si="1"/>
        <v/>
      </c>
      <c r="E2025" s="5" t="s">
        <v>3363</v>
      </c>
      <c r="F2025" s="6" t="str">
        <f t="shared" si="2"/>
        <v>#N/A</v>
      </c>
      <c r="G2025" s="1" t="str">
        <f t="shared" si="3"/>
        <v/>
      </c>
      <c r="H2025" s="5" t="str">
        <f t="shared" si="4"/>
        <v>16, 19, ODDISH</v>
      </c>
    </row>
    <row r="2026" ht="12.75" customHeight="1">
      <c r="A2026" s="4" t="s">
        <v>3364</v>
      </c>
      <c r="B2026" s="5" t="s">
        <v>3364</v>
      </c>
      <c r="C2026" s="1" t="str">
        <f t="shared" si="1"/>
        <v/>
      </c>
      <c r="E2026" s="5" t="s">
        <v>3364</v>
      </c>
      <c r="F2026" s="6" t="str">
        <f t="shared" si="2"/>
        <v>#N/A</v>
      </c>
      <c r="G2026" s="1" t="str">
        <f t="shared" si="3"/>
        <v/>
      </c>
      <c r="H2026" s="5" t="str">
        <f t="shared" si="4"/>
        <v>16, 19, BELLSPROUT</v>
      </c>
    </row>
    <row r="2027" ht="12.75" customHeight="1">
      <c r="A2027" s="4" t="s">
        <v>3365</v>
      </c>
      <c r="B2027" s="5" t="s">
        <v>3365</v>
      </c>
      <c r="C2027" s="1" t="str">
        <f t="shared" si="1"/>
        <v/>
      </c>
      <c r="E2027" s="5" t="s">
        <v>3365</v>
      </c>
      <c r="F2027" s="6" t="str">
        <f t="shared" si="2"/>
        <v>#N/A</v>
      </c>
      <c r="G2027" s="1" t="str">
        <f t="shared" si="3"/>
        <v/>
      </c>
      <c r="H2027" s="5" t="str">
        <f t="shared" si="4"/>
        <v>16, 19, EKANS</v>
      </c>
    </row>
    <row r="2028" ht="12.75" customHeight="1">
      <c r="A2028" s="4" t="s">
        <v>3366</v>
      </c>
      <c r="B2028" s="5" t="s">
        <v>3366</v>
      </c>
      <c r="C2028" s="1" t="str">
        <f t="shared" si="1"/>
        <v/>
      </c>
      <c r="E2028" s="5" t="s">
        <v>3366</v>
      </c>
      <c r="F2028" s="6" t="str">
        <f t="shared" si="2"/>
        <v>#N/A</v>
      </c>
      <c r="G2028" s="1" t="str">
        <f t="shared" si="3"/>
        <v/>
      </c>
      <c r="H2028" s="5" t="str">
        <f t="shared" si="4"/>
        <v>16, 19, PARAS</v>
      </c>
    </row>
    <row r="2029" ht="12.75" customHeight="1">
      <c r="A2029" s="4" t="s">
        <v>2807</v>
      </c>
      <c r="B2029" s="5">
        <v>0.05</v>
      </c>
      <c r="C2029" s="1" t="str">
        <f t="shared" si="1"/>
        <v/>
      </c>
      <c r="E2029" s="5">
        <v>0.05</v>
      </c>
      <c r="F2029" s="6" t="str">
        <f t="shared" si="2"/>
        <v>#N/A</v>
      </c>
      <c r="G2029" s="1" t="str">
        <f t="shared" si="3"/>
        <v/>
      </c>
      <c r="H2029" s="5">
        <f t="shared" si="4"/>
        <v>0.05</v>
      </c>
    </row>
    <row r="2030" ht="12.75" customHeight="1">
      <c r="A2030" s="4" t="s">
        <v>3367</v>
      </c>
      <c r="B2030" s="5" t="s">
        <v>3367</v>
      </c>
      <c r="C2030" s="1" t="str">
        <f t="shared" si="1"/>
        <v/>
      </c>
      <c r="E2030" s="5" t="s">
        <v>3367</v>
      </c>
      <c r="F2030" s="6" t="str">
        <f t="shared" si="2"/>
        <v>#N/A</v>
      </c>
      <c r="G2030" s="1" t="str">
        <f t="shared" si="3"/>
        <v/>
      </c>
      <c r="H2030" s="5" t="str">
        <f t="shared" si="4"/>
        <v>17, 17, VULPIX</v>
      </c>
    </row>
    <row r="2031" ht="12.75" customHeight="1">
      <c r="A2031" s="4" t="s">
        <v>3368</v>
      </c>
      <c r="B2031" s="5" t="s">
        <v>3368</v>
      </c>
      <c r="C2031" s="1" t="str">
        <f t="shared" si="1"/>
        <v/>
      </c>
      <c r="E2031" s="5" t="s">
        <v>3368</v>
      </c>
      <c r="F2031" s="6" t="str">
        <f t="shared" si="2"/>
        <v>#N/A</v>
      </c>
      <c r="G2031" s="1" t="str">
        <f t="shared" si="3"/>
        <v/>
      </c>
      <c r="H2031" s="5" t="str">
        <f t="shared" si="4"/>
        <v>17, 17, GROWLITHE</v>
      </c>
    </row>
    <row r="2032" ht="12.75" customHeight="1">
      <c r="A2032" s="4" t="s">
        <v>2810</v>
      </c>
      <c r="B2032" s="5">
        <v>0.04</v>
      </c>
      <c r="C2032" s="1" t="str">
        <f t="shared" si="1"/>
        <v/>
      </c>
      <c r="E2032" s="5">
        <v>0.04</v>
      </c>
      <c r="F2032" s="6" t="str">
        <f t="shared" si="2"/>
        <v>#N/A</v>
      </c>
      <c r="G2032" s="1" t="str">
        <f t="shared" si="3"/>
        <v/>
      </c>
      <c r="H2032" s="5">
        <f t="shared" si="4"/>
        <v>0.04</v>
      </c>
    </row>
    <row r="2033" ht="12.75" customHeight="1">
      <c r="A2033" s="4" t="s">
        <v>3369</v>
      </c>
      <c r="B2033" s="5" t="s">
        <v>3369</v>
      </c>
      <c r="C2033" s="1" t="str">
        <f t="shared" si="1"/>
        <v/>
      </c>
      <c r="E2033" s="5" t="s">
        <v>3369</v>
      </c>
      <c r="F2033" s="6" t="str">
        <f t="shared" si="2"/>
        <v>#N/A</v>
      </c>
      <c r="G2033" s="1" t="str">
        <f t="shared" si="3"/>
        <v/>
      </c>
      <c r="H2033" s="5" t="str">
        <f t="shared" si="4"/>
        <v>16, 18, PIKACHU</v>
      </c>
    </row>
    <row r="2034" ht="12.75" customHeight="1">
      <c r="A2034" s="4" t="s">
        <v>3370</v>
      </c>
      <c r="B2034" s="5" t="s">
        <v>3370</v>
      </c>
      <c r="C2034" s="1" t="str">
        <f t="shared" si="1"/>
        <v/>
      </c>
      <c r="E2034" s="5" t="s">
        <v>3370</v>
      </c>
      <c r="F2034" s="6" t="str">
        <f t="shared" si="2"/>
        <v>#N/A</v>
      </c>
      <c r="G2034" s="1" t="str">
        <f t="shared" si="3"/>
        <v/>
      </c>
      <c r="H2034" s="5" t="str">
        <f t="shared" si="4"/>
        <v>16, 18, EEVEE</v>
      </c>
    </row>
    <row r="2035" ht="12.75" customHeight="1">
      <c r="A2035" s="4" t="s">
        <v>2813</v>
      </c>
      <c r="B2035" s="5">
        <v>0.01</v>
      </c>
      <c r="C2035" s="1" t="str">
        <f t="shared" si="1"/>
        <v/>
      </c>
      <c r="E2035" s="5">
        <v>0.01</v>
      </c>
      <c r="F2035" s="6" t="str">
        <f t="shared" si="2"/>
        <v>#N/A</v>
      </c>
      <c r="G2035" s="1" t="str">
        <f t="shared" si="3"/>
        <v/>
      </c>
      <c r="H2035" s="5">
        <f t="shared" si="4"/>
        <v>0.01</v>
      </c>
    </row>
    <row r="2036" ht="12.75" customHeight="1">
      <c r="A2036" s="4" t="s">
        <v>3371</v>
      </c>
      <c r="B2036" s="5" t="s">
        <v>3371</v>
      </c>
      <c r="C2036" s="1" t="str">
        <f t="shared" si="1"/>
        <v/>
      </c>
      <c r="E2036" s="5" t="s">
        <v>3371</v>
      </c>
      <c r="F2036" s="6" t="str">
        <f t="shared" si="2"/>
        <v>#N/A</v>
      </c>
      <c r="G2036" s="1" t="str">
        <f t="shared" si="3"/>
        <v/>
      </c>
      <c r="H2036" s="5" t="str">
        <f t="shared" si="4"/>
        <v>20, 20, FEAROW</v>
      </c>
    </row>
    <row r="2037" ht="12.75" customHeight="1">
      <c r="A2037" s="4" t="s">
        <v>3374</v>
      </c>
      <c r="B2037" s="5" t="s">
        <v>3374</v>
      </c>
      <c r="C2037" s="1" t="str">
        <f t="shared" si="1"/>
        <v/>
      </c>
      <c r="E2037" s="5" t="s">
        <v>3374</v>
      </c>
      <c r="F2037" s="6" t="str">
        <f t="shared" si="2"/>
        <v>#N/A</v>
      </c>
      <c r="G2037" s="1" t="str">
        <f t="shared" si="3"/>
        <v/>
      </c>
      <c r="H2037" s="5" t="str">
        <f t="shared" si="4"/>
        <v>20, 20, WEEPINBELL</v>
      </c>
    </row>
    <row r="2038" ht="12.75" customHeight="1">
      <c r="A2038" s="4" t="s">
        <v>2539</v>
      </c>
      <c r="B2038" s="5" t="s">
        <v>2539</v>
      </c>
      <c r="C2038" s="1">
        <f t="shared" si="1"/>
        <v>1</v>
      </c>
      <c r="E2038" s="5" t="s">
        <v>2539</v>
      </c>
      <c r="F2038" s="6" t="str">
        <f t="shared" si="2"/>
        <v>#N/A</v>
      </c>
      <c r="G2038" s="1" t="str">
        <f t="shared" si="3"/>
        <v/>
      </c>
      <c r="H2038" s="5" t="str">
        <f t="shared" si="4"/>
        <v>NEW ROUTE</v>
      </c>
    </row>
    <row r="2039" ht="12.75" customHeight="1">
      <c r="A2039" s="4" t="s">
        <v>2113</v>
      </c>
      <c r="B2039" s="5" t="s">
        <v>2113</v>
      </c>
      <c r="C2039" s="1" t="str">
        <f t="shared" si="1"/>
        <v/>
      </c>
      <c r="E2039" s="5" t="s">
        <v>2113</v>
      </c>
      <c r="F2039" s="6" t="str">
        <f t="shared" si="2"/>
        <v>Route 6</v>
      </c>
      <c r="G2039" s="1" t="str">
        <f t="shared" si="3"/>
        <v>Route 6</v>
      </c>
      <c r="H2039" s="5" t="str">
        <f t="shared" si="4"/>
        <v>Route 6</v>
      </c>
    </row>
    <row r="2040" ht="12.75" customHeight="1">
      <c r="A2040" s="4" t="s">
        <v>2799</v>
      </c>
      <c r="B2040" s="5">
        <v>0.2</v>
      </c>
      <c r="C2040" s="1" t="str">
        <f t="shared" si="1"/>
        <v/>
      </c>
      <c r="E2040" s="5">
        <v>0.2</v>
      </c>
      <c r="F2040" s="6" t="str">
        <f t="shared" si="2"/>
        <v>#N/A</v>
      </c>
      <c r="G2040" s="1" t="str">
        <f t="shared" si="3"/>
        <v/>
      </c>
      <c r="H2040" s="5">
        <f t="shared" si="4"/>
        <v>0.2</v>
      </c>
    </row>
    <row r="2041" ht="12.75" customHeight="1">
      <c r="A2041" s="4" t="s">
        <v>979</v>
      </c>
      <c r="B2041" s="5" t="s">
        <v>979</v>
      </c>
      <c r="C2041" s="1" t="str">
        <f t="shared" si="1"/>
        <v/>
      </c>
      <c r="E2041" s="5" t="s">
        <v>979</v>
      </c>
      <c r="F2041" s="6" t="str">
        <f t="shared" si="2"/>
        <v>#N/A</v>
      </c>
      <c r="G2041" s="1" t="str">
        <f t="shared" si="3"/>
        <v/>
      </c>
      <c r="H2041" s="5" t="str">
        <f t="shared" si="4"/>
        <v>15, 17, PIDGEY</v>
      </c>
    </row>
    <row r="2042" ht="12.75" customHeight="1">
      <c r="A2042" s="4" t="s">
        <v>3362</v>
      </c>
      <c r="B2042" s="5" t="s">
        <v>3362</v>
      </c>
      <c r="C2042" s="1" t="str">
        <f t="shared" si="1"/>
        <v/>
      </c>
      <c r="E2042" s="5" t="s">
        <v>3362</v>
      </c>
      <c r="F2042" s="6" t="str">
        <f t="shared" si="2"/>
        <v>#N/A</v>
      </c>
      <c r="G2042" s="1" t="str">
        <f t="shared" si="3"/>
        <v/>
      </c>
      <c r="H2042" s="5" t="str">
        <f t="shared" si="4"/>
        <v>15, 17, MEOWTH</v>
      </c>
    </row>
    <row r="2043" ht="12.75" customHeight="1">
      <c r="A2043" s="4" t="s">
        <v>2802</v>
      </c>
      <c r="B2043" s="5">
        <v>0.1</v>
      </c>
      <c r="C2043" s="1" t="str">
        <f t="shared" si="1"/>
        <v/>
      </c>
      <c r="E2043" s="5">
        <v>0.1</v>
      </c>
      <c r="F2043" s="6" t="str">
        <f t="shared" si="2"/>
        <v>#N/A</v>
      </c>
      <c r="G2043" s="1" t="str">
        <f t="shared" si="3"/>
        <v/>
      </c>
      <c r="H2043" s="5">
        <f t="shared" si="4"/>
        <v>0.1</v>
      </c>
    </row>
    <row r="2044" ht="12.75" customHeight="1">
      <c r="A2044" s="4" t="s">
        <v>3363</v>
      </c>
      <c r="B2044" s="5" t="s">
        <v>3363</v>
      </c>
      <c r="C2044" s="1" t="str">
        <f t="shared" si="1"/>
        <v/>
      </c>
      <c r="E2044" s="5" t="s">
        <v>3363</v>
      </c>
      <c r="F2044" s="6" t="str">
        <f t="shared" si="2"/>
        <v>#N/A</v>
      </c>
      <c r="G2044" s="1" t="str">
        <f t="shared" si="3"/>
        <v/>
      </c>
      <c r="H2044" s="5" t="str">
        <f t="shared" si="4"/>
        <v>16, 19, ODDISH</v>
      </c>
    </row>
    <row r="2045" ht="12.75" customHeight="1">
      <c r="A2045" s="4" t="s">
        <v>3364</v>
      </c>
      <c r="B2045" s="5" t="s">
        <v>3364</v>
      </c>
      <c r="C2045" s="1" t="str">
        <f t="shared" si="1"/>
        <v/>
      </c>
      <c r="E2045" s="5" t="s">
        <v>3364</v>
      </c>
      <c r="F2045" s="6" t="str">
        <f t="shared" si="2"/>
        <v>#N/A</v>
      </c>
      <c r="G2045" s="1" t="str">
        <f t="shared" si="3"/>
        <v/>
      </c>
      <c r="H2045" s="5" t="str">
        <f t="shared" si="4"/>
        <v>16, 19, BELLSPROUT</v>
      </c>
    </row>
    <row r="2046" ht="12.75" customHeight="1">
      <c r="A2046" s="4" t="s">
        <v>3365</v>
      </c>
      <c r="B2046" s="5" t="s">
        <v>3365</v>
      </c>
      <c r="C2046" s="1" t="str">
        <f t="shared" si="1"/>
        <v/>
      </c>
      <c r="E2046" s="5" t="s">
        <v>3365</v>
      </c>
      <c r="F2046" s="6" t="str">
        <f t="shared" si="2"/>
        <v>#N/A</v>
      </c>
      <c r="G2046" s="1" t="str">
        <f t="shared" si="3"/>
        <v/>
      </c>
      <c r="H2046" s="5" t="str">
        <f t="shared" si="4"/>
        <v>16, 19, EKANS</v>
      </c>
    </row>
    <row r="2047" ht="12.75" customHeight="1">
      <c r="A2047" s="4" t="s">
        <v>3366</v>
      </c>
      <c r="B2047" s="5" t="s">
        <v>3366</v>
      </c>
      <c r="C2047" s="1" t="str">
        <f t="shared" si="1"/>
        <v/>
      </c>
      <c r="E2047" s="5" t="s">
        <v>3366</v>
      </c>
      <c r="F2047" s="6" t="str">
        <f t="shared" si="2"/>
        <v>#N/A</v>
      </c>
      <c r="G2047" s="1" t="str">
        <f t="shared" si="3"/>
        <v/>
      </c>
      <c r="H2047" s="5" t="str">
        <f t="shared" si="4"/>
        <v>16, 19, PARAS</v>
      </c>
    </row>
    <row r="2048" ht="12.75" customHeight="1">
      <c r="A2048" s="4" t="s">
        <v>2807</v>
      </c>
      <c r="B2048" s="5">
        <v>0.05</v>
      </c>
      <c r="C2048" s="1" t="str">
        <f t="shared" si="1"/>
        <v/>
      </c>
      <c r="E2048" s="5">
        <v>0.05</v>
      </c>
      <c r="F2048" s="6" t="str">
        <f t="shared" si="2"/>
        <v>#N/A</v>
      </c>
      <c r="G2048" s="1" t="str">
        <f t="shared" si="3"/>
        <v/>
      </c>
      <c r="H2048" s="5">
        <f t="shared" si="4"/>
        <v>0.05</v>
      </c>
    </row>
    <row r="2049" ht="12.75" customHeight="1">
      <c r="A2049" s="4" t="s">
        <v>3367</v>
      </c>
      <c r="B2049" s="5" t="s">
        <v>3367</v>
      </c>
      <c r="C2049" s="1" t="str">
        <f t="shared" si="1"/>
        <v/>
      </c>
      <c r="E2049" s="5" t="s">
        <v>3367</v>
      </c>
      <c r="F2049" s="6" t="str">
        <f t="shared" si="2"/>
        <v>#N/A</v>
      </c>
      <c r="G2049" s="1" t="str">
        <f t="shared" si="3"/>
        <v/>
      </c>
      <c r="H2049" s="5" t="str">
        <f t="shared" si="4"/>
        <v>17, 17, VULPIX</v>
      </c>
    </row>
    <row r="2050" ht="12.75" customHeight="1">
      <c r="A2050" s="4" t="s">
        <v>3368</v>
      </c>
      <c r="B2050" s="5" t="s">
        <v>3368</v>
      </c>
      <c r="C2050" s="1" t="str">
        <f t="shared" si="1"/>
        <v/>
      </c>
      <c r="E2050" s="5" t="s">
        <v>3368</v>
      </c>
      <c r="F2050" s="6" t="str">
        <f t="shared" si="2"/>
        <v>#N/A</v>
      </c>
      <c r="G2050" s="1" t="str">
        <f t="shared" si="3"/>
        <v/>
      </c>
      <c r="H2050" s="5" t="str">
        <f t="shared" si="4"/>
        <v>17, 17, GROWLITHE</v>
      </c>
    </row>
    <row r="2051" ht="12.75" customHeight="1">
      <c r="A2051" s="4" t="s">
        <v>2810</v>
      </c>
      <c r="B2051" s="5">
        <v>0.04</v>
      </c>
      <c r="C2051" s="1" t="str">
        <f t="shared" si="1"/>
        <v/>
      </c>
      <c r="E2051" s="5">
        <v>0.04</v>
      </c>
      <c r="F2051" s="6" t="str">
        <f t="shared" si="2"/>
        <v>#N/A</v>
      </c>
      <c r="G2051" s="1" t="str">
        <f t="shared" si="3"/>
        <v/>
      </c>
      <c r="H2051" s="5">
        <f t="shared" si="4"/>
        <v>0.04</v>
      </c>
    </row>
    <row r="2052" ht="12.75" customHeight="1">
      <c r="A2052" s="4" t="s">
        <v>3369</v>
      </c>
      <c r="B2052" s="5" t="s">
        <v>3369</v>
      </c>
      <c r="C2052" s="1" t="str">
        <f t="shared" si="1"/>
        <v/>
      </c>
      <c r="E2052" s="5" t="s">
        <v>3369</v>
      </c>
      <c r="F2052" s="6" t="str">
        <f t="shared" si="2"/>
        <v>#N/A</v>
      </c>
      <c r="G2052" s="1" t="str">
        <f t="shared" si="3"/>
        <v/>
      </c>
      <c r="H2052" s="5" t="str">
        <f t="shared" si="4"/>
        <v>16, 18, PIKACHU</v>
      </c>
    </row>
    <row r="2053" ht="12.75" customHeight="1">
      <c r="A2053" s="4" t="s">
        <v>3370</v>
      </c>
      <c r="B2053" s="5" t="s">
        <v>3370</v>
      </c>
      <c r="C2053" s="1" t="str">
        <f t="shared" si="1"/>
        <v/>
      </c>
      <c r="E2053" s="5" t="s">
        <v>3370</v>
      </c>
      <c r="F2053" s="6" t="str">
        <f t="shared" si="2"/>
        <v>#N/A</v>
      </c>
      <c r="G2053" s="1" t="str">
        <f t="shared" si="3"/>
        <v/>
      </c>
      <c r="H2053" s="5" t="str">
        <f t="shared" si="4"/>
        <v>16, 18, EEVEE</v>
      </c>
    </row>
    <row r="2054" ht="12.75" customHeight="1">
      <c r="A2054" s="4" t="s">
        <v>2813</v>
      </c>
      <c r="B2054" s="5">
        <v>0.01</v>
      </c>
      <c r="C2054" s="1" t="str">
        <f t="shared" si="1"/>
        <v/>
      </c>
      <c r="E2054" s="5">
        <v>0.01</v>
      </c>
      <c r="F2054" s="6" t="str">
        <f t="shared" si="2"/>
        <v>#N/A</v>
      </c>
      <c r="G2054" s="1" t="str">
        <f t="shared" si="3"/>
        <v/>
      </c>
      <c r="H2054" s="5">
        <f t="shared" si="4"/>
        <v>0.01</v>
      </c>
    </row>
    <row r="2055" ht="12.75" customHeight="1">
      <c r="A2055" s="4" t="s">
        <v>3371</v>
      </c>
      <c r="B2055" s="5" t="s">
        <v>3371</v>
      </c>
      <c r="C2055" s="1" t="str">
        <f t="shared" si="1"/>
        <v/>
      </c>
      <c r="E2055" s="5" t="s">
        <v>3371</v>
      </c>
      <c r="F2055" s="6" t="str">
        <f t="shared" si="2"/>
        <v>#N/A</v>
      </c>
      <c r="G2055" s="1" t="str">
        <f t="shared" si="3"/>
        <v/>
      </c>
      <c r="H2055" s="5" t="str">
        <f t="shared" si="4"/>
        <v>20, 20, FEAROW</v>
      </c>
    </row>
    <row r="2056" ht="12.75" customHeight="1">
      <c r="A2056" s="4" t="s">
        <v>3374</v>
      </c>
      <c r="B2056" s="5" t="s">
        <v>3374</v>
      </c>
      <c r="C2056" s="1" t="str">
        <f t="shared" si="1"/>
        <v/>
      </c>
      <c r="E2056" s="5" t="s">
        <v>3374</v>
      </c>
      <c r="F2056" s="6" t="str">
        <f t="shared" si="2"/>
        <v>#N/A</v>
      </c>
      <c r="G2056" s="1" t="str">
        <f t="shared" si="3"/>
        <v/>
      </c>
      <c r="H2056" s="5" t="str">
        <f t="shared" si="4"/>
        <v>20, 20, WEEPINBELL</v>
      </c>
    </row>
    <row r="2057" ht="12.75" customHeight="1">
      <c r="A2057" s="4" t="s">
        <v>3350</v>
      </c>
      <c r="B2057" s="5" t="s">
        <v>3350</v>
      </c>
      <c r="C2057" s="1" t="str">
        <f t="shared" si="1"/>
        <v/>
      </c>
      <c r="E2057" s="5" t="s">
        <v>3350</v>
      </c>
      <c r="F2057" s="6" t="str">
        <f t="shared" si="2"/>
        <v>#N/A</v>
      </c>
      <c r="G2057" s="1" t="str">
        <f t="shared" si="3"/>
        <v/>
      </c>
      <c r="H2057" s="5" t="str">
        <f t="shared" si="4"/>
        <v>2, 38, 42, TENTACOOL</v>
      </c>
    </row>
    <row r="2058" ht="12.75" customHeight="1">
      <c r="A2058" s="4" t="s">
        <v>3375</v>
      </c>
      <c r="B2058" s="5" t="s">
        <v>3375</v>
      </c>
      <c r="C2058" s="1" t="str">
        <f t="shared" si="1"/>
        <v/>
      </c>
      <c r="E2058" s="5" t="s">
        <v>3375</v>
      </c>
      <c r="F2058" s="6" t="str">
        <f t="shared" si="2"/>
        <v>#N/A</v>
      </c>
      <c r="G2058" s="1" t="str">
        <f t="shared" si="3"/>
        <v/>
      </c>
      <c r="H2058" s="5" t="str">
        <f t="shared" si="4"/>
        <v>40, 44, SLOWPOKE</v>
      </c>
    </row>
    <row r="2059" ht="12.75" customHeight="1">
      <c r="A2059" s="4" t="s">
        <v>3352</v>
      </c>
      <c r="B2059" s="5" t="s">
        <v>3352</v>
      </c>
      <c r="C2059" s="1" t="str">
        <f t="shared" si="1"/>
        <v/>
      </c>
      <c r="E2059" s="5" t="s">
        <v>3352</v>
      </c>
      <c r="F2059" s="6" t="str">
        <f t="shared" si="2"/>
        <v>#N/A</v>
      </c>
      <c r="G2059" s="1" t="str">
        <f t="shared" si="3"/>
        <v/>
      </c>
      <c r="H2059" s="5" t="str">
        <f t="shared" si="4"/>
        <v>42, 46, TENTACRUEL</v>
      </c>
    </row>
    <row r="2060" ht="12.75" customHeight="1">
      <c r="A2060" s="4" t="s">
        <v>2924</v>
      </c>
      <c r="B2060" s="5" t="s">
        <v>2924</v>
      </c>
      <c r="C2060" s="1" t="str">
        <f t="shared" si="1"/>
        <v/>
      </c>
      <c r="E2060" s="5" t="s">
        <v>2924</v>
      </c>
      <c r="F2060" s="6" t="str">
        <f t="shared" si="2"/>
        <v>#N/A</v>
      </c>
      <c r="G2060" s="1" t="str">
        <f t="shared" si="3"/>
        <v/>
      </c>
      <c r="H2060" s="5" t="str">
        <f t="shared" si="4"/>
        <v>42, 46, GOLDUCK</v>
      </c>
    </row>
    <row r="2061" ht="12.75" customHeight="1">
      <c r="A2061" s="4" t="s">
        <v>3376</v>
      </c>
      <c r="B2061" s="5" t="s">
        <v>3376</v>
      </c>
      <c r="C2061" s="1" t="str">
        <f t="shared" si="1"/>
        <v/>
      </c>
      <c r="E2061" s="5" t="s">
        <v>3376</v>
      </c>
      <c r="F2061" s="6" t="str">
        <f t="shared" si="2"/>
        <v>#N/A</v>
      </c>
      <c r="G2061" s="1" t="str">
        <f t="shared" si="3"/>
        <v/>
      </c>
      <c r="H2061" s="5" t="str">
        <f t="shared" si="4"/>
        <v>44, 48, SLOWBRO</v>
      </c>
    </row>
    <row r="2062" ht="12.75" customHeight="1">
      <c r="A2062" s="4" t="s">
        <v>2926</v>
      </c>
      <c r="B2062" s="5" t="s">
        <v>2926</v>
      </c>
      <c r="C2062" s="1" t="str">
        <f t="shared" si="1"/>
        <v/>
      </c>
      <c r="E2062" s="5" t="s">
        <v>2926</v>
      </c>
      <c r="F2062" s="6" t="str">
        <f t="shared" si="2"/>
        <v>#N/A</v>
      </c>
      <c r="G2062" s="1" t="str">
        <f t="shared" si="3"/>
        <v/>
      </c>
      <c r="H2062" s="5" t="str">
        <f t="shared" si="4"/>
        <v>20, old rod:</v>
      </c>
    </row>
    <row r="2063" ht="12.75" customHeight="1">
      <c r="A2063" s="4" t="s">
        <v>500</v>
      </c>
      <c r="B2063" s="5" t="s">
        <v>500</v>
      </c>
      <c r="C2063" s="1" t="str">
        <f t="shared" si="1"/>
        <v/>
      </c>
      <c r="E2063" s="5" t="s">
        <v>500</v>
      </c>
      <c r="F2063" s="6" t="str">
        <f t="shared" si="2"/>
        <v>#N/A</v>
      </c>
      <c r="G2063" s="1" t="str">
        <f t="shared" si="3"/>
        <v/>
      </c>
      <c r="H2063" s="5" t="str">
        <f t="shared" si="4"/>
        <v>19, 26, MAGIKARP</v>
      </c>
    </row>
    <row r="2064" ht="12.75" customHeight="1">
      <c r="A2064" s="4" t="s">
        <v>3353</v>
      </c>
      <c r="B2064" s="5" t="s">
        <v>3353</v>
      </c>
      <c r="C2064" s="1" t="str">
        <f t="shared" si="1"/>
        <v/>
      </c>
      <c r="E2064" s="5" t="s">
        <v>3353</v>
      </c>
      <c r="F2064" s="6" t="str">
        <f t="shared" si="2"/>
        <v>#N/A</v>
      </c>
      <c r="G2064" s="1" t="str">
        <f t="shared" si="3"/>
        <v/>
      </c>
      <c r="H2064" s="5" t="str">
        <f t="shared" si="4"/>
        <v>19, 26, GYARADOS</v>
      </c>
    </row>
    <row r="2065" ht="12.75" customHeight="1">
      <c r="A2065" s="4" t="s">
        <v>2847</v>
      </c>
      <c r="B2065" s="5" t="s">
        <v>2847</v>
      </c>
      <c r="C2065" s="1" t="str">
        <f t="shared" si="1"/>
        <v/>
      </c>
      <c r="E2065" s="5" t="s">
        <v>2847</v>
      </c>
      <c r="F2065" s="6" t="str">
        <f t="shared" si="2"/>
        <v>#N/A</v>
      </c>
      <c r="G2065" s="1" t="str">
        <f t="shared" si="3"/>
        <v/>
      </c>
      <c r="H2065" s="5" t="str">
        <f t="shared" si="4"/>
        <v>good rod:</v>
      </c>
    </row>
    <row r="2066" ht="12.75" customHeight="1">
      <c r="A2066" s="4" t="s">
        <v>3377</v>
      </c>
      <c r="B2066" s="5" t="s">
        <v>3377</v>
      </c>
      <c r="C2066" s="1" t="str">
        <f t="shared" si="1"/>
        <v/>
      </c>
      <c r="E2066" s="5" t="s">
        <v>3377</v>
      </c>
      <c r="F2066" s="6" t="str">
        <f t="shared" si="2"/>
        <v>#N/A</v>
      </c>
      <c r="G2066" s="1" t="str">
        <f t="shared" si="3"/>
        <v/>
      </c>
      <c r="H2066" s="5" t="str">
        <f t="shared" si="4"/>
        <v>29, 33, POLIWAG</v>
      </c>
    </row>
    <row r="2067" ht="12.75" customHeight="1">
      <c r="A2067" s="4" t="s">
        <v>2930</v>
      </c>
      <c r="B2067" s="5" t="s">
        <v>2930</v>
      </c>
      <c r="C2067" s="1" t="str">
        <f t="shared" si="1"/>
        <v/>
      </c>
      <c r="E2067" s="5" t="s">
        <v>2930</v>
      </c>
      <c r="F2067" s="6" t="str">
        <f t="shared" si="2"/>
        <v>#N/A</v>
      </c>
      <c r="G2067" s="1" t="str">
        <f t="shared" si="3"/>
        <v/>
      </c>
      <c r="H2067" s="5" t="str">
        <f t="shared" si="4"/>
        <v>30, 35, GOLDEEN</v>
      </c>
    </row>
    <row r="2068" ht="12.75" customHeight="1">
      <c r="A2068" s="4" t="s">
        <v>3355</v>
      </c>
      <c r="B2068" s="5" t="s">
        <v>3355</v>
      </c>
      <c r="C2068" s="1" t="str">
        <f t="shared" si="1"/>
        <v/>
      </c>
      <c r="E2068" s="5" t="s">
        <v>3355</v>
      </c>
      <c r="F2068" s="6" t="str">
        <f t="shared" si="2"/>
        <v>#N/A</v>
      </c>
      <c r="G2068" s="1" t="str">
        <f t="shared" si="3"/>
        <v/>
      </c>
      <c r="H2068" s="5" t="str">
        <f t="shared" si="4"/>
        <v>30, 35, PSYDUCK</v>
      </c>
    </row>
    <row r="2069" ht="12.75" customHeight="1">
      <c r="A2069" s="4" t="s">
        <v>2851</v>
      </c>
      <c r="B2069" s="5" t="s">
        <v>2851</v>
      </c>
      <c r="C2069" s="1" t="str">
        <f t="shared" si="1"/>
        <v/>
      </c>
      <c r="E2069" s="5" t="s">
        <v>2851</v>
      </c>
      <c r="F2069" s="6" t="str">
        <f t="shared" si="2"/>
        <v>#N/A</v>
      </c>
      <c r="G2069" s="1" t="str">
        <f t="shared" si="3"/>
        <v/>
      </c>
      <c r="H2069" s="5" t="str">
        <f t="shared" si="4"/>
        <v>super rod:</v>
      </c>
    </row>
    <row r="2070" ht="12.75" customHeight="1">
      <c r="A2070" s="4" t="s">
        <v>2931</v>
      </c>
      <c r="B2070" s="5" t="s">
        <v>2931</v>
      </c>
      <c r="C2070" s="1" t="str">
        <f t="shared" si="1"/>
        <v/>
      </c>
      <c r="E2070" s="5" t="s">
        <v>2931</v>
      </c>
      <c r="F2070" s="6" t="str">
        <f t="shared" si="2"/>
        <v>#N/A</v>
      </c>
      <c r="G2070" s="1" t="str">
        <f t="shared" si="3"/>
        <v/>
      </c>
      <c r="H2070" s="5" t="str">
        <f t="shared" si="4"/>
        <v>36, 40, POLIWHIRL</v>
      </c>
    </row>
    <row r="2071" ht="12.75" customHeight="1">
      <c r="A2071" s="4" t="s">
        <v>2932</v>
      </c>
      <c r="B2071" s="5" t="s">
        <v>2932</v>
      </c>
      <c r="C2071" s="1" t="str">
        <f t="shared" si="1"/>
        <v/>
      </c>
      <c r="E2071" s="5" t="s">
        <v>2932</v>
      </c>
      <c r="F2071" s="6" t="str">
        <f t="shared" si="2"/>
        <v>#N/A</v>
      </c>
      <c r="G2071" s="1" t="str">
        <f t="shared" si="3"/>
        <v/>
      </c>
      <c r="H2071" s="5" t="str">
        <f t="shared" si="4"/>
        <v>36, 40, SEAKING</v>
      </c>
    </row>
    <row r="2072" ht="12.75" customHeight="1">
      <c r="A2072" s="4" t="s">
        <v>3378</v>
      </c>
      <c r="B2072" s="5" t="s">
        <v>3378</v>
      </c>
      <c r="C2072" s="1" t="str">
        <f t="shared" si="1"/>
        <v/>
      </c>
      <c r="E2072" s="5" t="s">
        <v>3378</v>
      </c>
      <c r="F2072" s="6" t="str">
        <f t="shared" si="2"/>
        <v>#N/A</v>
      </c>
      <c r="G2072" s="1" t="str">
        <f t="shared" si="3"/>
        <v/>
      </c>
      <c r="H2072" s="5" t="str">
        <f t="shared" si="4"/>
        <v>38, 42, GYARADOS</v>
      </c>
    </row>
    <row r="2073" ht="12.75" customHeight="1">
      <c r="A2073" s="4" t="s">
        <v>3379</v>
      </c>
      <c r="B2073" s="5" t="s">
        <v>3379</v>
      </c>
      <c r="C2073" s="1" t="str">
        <f t="shared" si="1"/>
        <v/>
      </c>
      <c r="E2073" s="5" t="s">
        <v>3379</v>
      </c>
      <c r="F2073" s="6" t="str">
        <f t="shared" si="2"/>
        <v>#N/A</v>
      </c>
      <c r="G2073" s="1" t="str">
        <f t="shared" si="3"/>
        <v/>
      </c>
      <c r="H2073" s="5" t="str">
        <f t="shared" si="4"/>
        <v>38, 42, POLIWRATH</v>
      </c>
    </row>
    <row r="2074" ht="12.75" customHeight="1">
      <c r="A2074" s="4" t="s">
        <v>3380</v>
      </c>
      <c r="B2074" s="5" t="s">
        <v>3380</v>
      </c>
      <c r="C2074" s="1" t="str">
        <f t="shared" si="1"/>
        <v/>
      </c>
      <c r="E2074" s="5" t="s">
        <v>3380</v>
      </c>
      <c r="F2074" s="6" t="str">
        <f t="shared" si="2"/>
        <v>#N/A</v>
      </c>
      <c r="G2074" s="1" t="str">
        <f t="shared" si="3"/>
        <v/>
      </c>
      <c r="H2074" s="5" t="str">
        <f t="shared" si="4"/>
        <v>40, 44, POLITOES</v>
      </c>
    </row>
    <row r="2075" ht="12.75" customHeight="1">
      <c r="A2075" s="4" t="s">
        <v>2539</v>
      </c>
      <c r="B2075" s="5" t="s">
        <v>2539</v>
      </c>
      <c r="C2075" s="1">
        <f t="shared" si="1"/>
        <v>1</v>
      </c>
      <c r="E2075" s="5" t="s">
        <v>2539</v>
      </c>
      <c r="F2075" s="6" t="str">
        <f t="shared" si="2"/>
        <v>#N/A</v>
      </c>
      <c r="G2075" s="1" t="str">
        <f t="shared" si="3"/>
        <v/>
      </c>
      <c r="H2075" s="5" t="str">
        <f t="shared" si="4"/>
        <v>NEW ROUTE</v>
      </c>
    </row>
    <row r="2076" ht="12.75" customHeight="1">
      <c r="A2076" s="4" t="s">
        <v>2115</v>
      </c>
      <c r="B2076" s="5" t="s">
        <v>2115</v>
      </c>
      <c r="C2076" s="1" t="str">
        <f t="shared" si="1"/>
        <v/>
      </c>
      <c r="E2076" s="5" t="s">
        <v>2115</v>
      </c>
      <c r="F2076" s="6" t="str">
        <f t="shared" si="2"/>
        <v>Route 7</v>
      </c>
      <c r="G2076" s="1" t="str">
        <f t="shared" si="3"/>
        <v>Route 7</v>
      </c>
      <c r="H2076" s="5" t="str">
        <f t="shared" si="4"/>
        <v>Route 7</v>
      </c>
    </row>
    <row r="2077" ht="12.75" customHeight="1">
      <c r="A2077" s="4" t="s">
        <v>2799</v>
      </c>
      <c r="B2077" s="5">
        <v>0.2</v>
      </c>
      <c r="C2077" s="1" t="str">
        <f t="shared" si="1"/>
        <v/>
      </c>
      <c r="E2077" s="5">
        <v>0.2</v>
      </c>
      <c r="F2077" s="6" t="str">
        <f t="shared" si="2"/>
        <v>#N/A</v>
      </c>
      <c r="G2077" s="1" t="str">
        <f t="shared" si="3"/>
        <v/>
      </c>
      <c r="H2077" s="5">
        <f t="shared" si="4"/>
        <v>0.2</v>
      </c>
    </row>
    <row r="2078" ht="12.75" customHeight="1">
      <c r="A2078" s="4" t="s">
        <v>1000</v>
      </c>
      <c r="B2078" s="5" t="s">
        <v>1000</v>
      </c>
      <c r="C2078" s="1" t="str">
        <f t="shared" si="1"/>
        <v/>
      </c>
      <c r="E2078" s="5" t="s">
        <v>1000</v>
      </c>
      <c r="F2078" s="6" t="str">
        <f t="shared" si="2"/>
        <v>#N/A</v>
      </c>
      <c r="G2078" s="1" t="str">
        <f t="shared" si="3"/>
        <v/>
      </c>
      <c r="H2078" s="5" t="str">
        <f t="shared" si="4"/>
        <v>24, 26, PONYTA</v>
      </c>
    </row>
    <row r="2079" ht="12.75" customHeight="1">
      <c r="A2079" s="4" t="s">
        <v>3382</v>
      </c>
      <c r="B2079" s="5" t="s">
        <v>3382</v>
      </c>
      <c r="C2079" s="1" t="str">
        <f t="shared" si="1"/>
        <v/>
      </c>
      <c r="E2079" s="5" t="s">
        <v>3382</v>
      </c>
      <c r="F2079" s="6" t="str">
        <f t="shared" si="2"/>
        <v>#N/A</v>
      </c>
      <c r="G2079" s="1" t="str">
        <f t="shared" si="3"/>
        <v/>
      </c>
      <c r="H2079" s="5" t="str">
        <f t="shared" si="4"/>
        <v>24, 26, KOFFING</v>
      </c>
    </row>
    <row r="2080" ht="12.75" customHeight="1">
      <c r="A2080" s="4" t="s">
        <v>2802</v>
      </c>
      <c r="B2080" s="5">
        <v>0.1</v>
      </c>
      <c r="C2080" s="1" t="str">
        <f t="shared" si="1"/>
        <v/>
      </c>
      <c r="E2080" s="5">
        <v>0.1</v>
      </c>
      <c r="F2080" s="6" t="str">
        <f t="shared" si="2"/>
        <v>#N/A</v>
      </c>
      <c r="G2080" s="1" t="str">
        <f t="shared" si="3"/>
        <v/>
      </c>
      <c r="H2080" s="5">
        <f t="shared" si="4"/>
        <v>0.1</v>
      </c>
    </row>
    <row r="2081" ht="12.75" customHeight="1">
      <c r="A2081" s="4" t="s">
        <v>3383</v>
      </c>
      <c r="B2081" s="5" t="s">
        <v>3383</v>
      </c>
      <c r="C2081" s="1" t="str">
        <f t="shared" si="1"/>
        <v/>
      </c>
      <c r="E2081" s="5" t="s">
        <v>3383</v>
      </c>
      <c r="F2081" s="6" t="str">
        <f t="shared" si="2"/>
        <v>#N/A</v>
      </c>
      <c r="G2081" s="1" t="str">
        <f t="shared" si="3"/>
        <v/>
      </c>
      <c r="H2081" s="5" t="str">
        <f t="shared" si="4"/>
        <v>25, 27, SANDSHREW</v>
      </c>
    </row>
    <row r="2082" ht="12.75" customHeight="1">
      <c r="A2082" s="4" t="s">
        <v>3384</v>
      </c>
      <c r="B2082" s="5" t="s">
        <v>3384</v>
      </c>
      <c r="C2082" s="1" t="str">
        <f t="shared" si="1"/>
        <v/>
      </c>
      <c r="E2082" s="5" t="s">
        <v>3384</v>
      </c>
      <c r="F2082" s="6" t="str">
        <f t="shared" si="2"/>
        <v>#N/A</v>
      </c>
      <c r="G2082" s="1" t="str">
        <f t="shared" si="3"/>
        <v/>
      </c>
      <c r="H2082" s="5" t="str">
        <f t="shared" si="4"/>
        <v>25, 27, MEOWTH</v>
      </c>
    </row>
    <row r="2083" ht="12.75" customHeight="1">
      <c r="A2083" s="4" t="s">
        <v>3385</v>
      </c>
      <c r="B2083" s="5" t="s">
        <v>3385</v>
      </c>
      <c r="C2083" s="1" t="str">
        <f t="shared" si="1"/>
        <v/>
      </c>
      <c r="E2083" s="5" t="s">
        <v>3385</v>
      </c>
      <c r="F2083" s="6" t="str">
        <f t="shared" si="2"/>
        <v>#N/A</v>
      </c>
      <c r="G2083" s="1" t="str">
        <f t="shared" si="3"/>
        <v/>
      </c>
      <c r="H2083" s="5" t="str">
        <f t="shared" si="4"/>
        <v>25, 27, PARAS</v>
      </c>
    </row>
    <row r="2084" ht="12.75" customHeight="1">
      <c r="A2084" s="4" t="s">
        <v>3386</v>
      </c>
      <c r="B2084" s="5" t="s">
        <v>3386</v>
      </c>
      <c r="C2084" s="1" t="str">
        <f t="shared" si="1"/>
        <v/>
      </c>
      <c r="E2084" s="5" t="s">
        <v>3386</v>
      </c>
      <c r="F2084" s="6" t="str">
        <f t="shared" si="2"/>
        <v>#N/A</v>
      </c>
      <c r="G2084" s="1" t="str">
        <f t="shared" si="3"/>
        <v/>
      </c>
      <c r="H2084" s="5" t="str">
        <f t="shared" si="4"/>
        <v>25, 27, VULPIX</v>
      </c>
    </row>
    <row r="2085" ht="12.75" customHeight="1">
      <c r="A2085" s="4" t="s">
        <v>2807</v>
      </c>
      <c r="B2085" s="5">
        <v>0.05</v>
      </c>
      <c r="C2085" s="1" t="str">
        <f t="shared" si="1"/>
        <v/>
      </c>
      <c r="E2085" s="5">
        <v>0.05</v>
      </c>
      <c r="F2085" s="6" t="str">
        <f t="shared" si="2"/>
        <v>#N/A</v>
      </c>
      <c r="G2085" s="1" t="str">
        <f t="shared" si="3"/>
        <v/>
      </c>
      <c r="H2085" s="5">
        <f t="shared" si="4"/>
        <v>0.05</v>
      </c>
    </row>
    <row r="2086" ht="12.75" customHeight="1">
      <c r="A2086" s="4" t="s">
        <v>3387</v>
      </c>
      <c r="B2086" s="5" t="s">
        <v>3387</v>
      </c>
      <c r="C2086" s="1" t="str">
        <f t="shared" si="1"/>
        <v/>
      </c>
      <c r="E2086" s="5" t="s">
        <v>3387</v>
      </c>
      <c r="F2086" s="6" t="str">
        <f t="shared" si="2"/>
        <v>#N/A</v>
      </c>
      <c r="G2086" s="1" t="str">
        <f t="shared" si="3"/>
        <v/>
      </c>
      <c r="H2086" s="5" t="str">
        <f t="shared" si="4"/>
        <v>24, 28, WEEZING</v>
      </c>
    </row>
    <row r="2087" ht="12.75" customHeight="1">
      <c r="A2087" s="4" t="s">
        <v>3388</v>
      </c>
      <c r="B2087" s="5" t="s">
        <v>3388</v>
      </c>
      <c r="C2087" s="1" t="str">
        <f t="shared" si="1"/>
        <v/>
      </c>
      <c r="E2087" s="5" t="s">
        <v>3388</v>
      </c>
      <c r="F2087" s="6" t="str">
        <f t="shared" si="2"/>
        <v>#N/A</v>
      </c>
      <c r="G2087" s="1" t="str">
        <f t="shared" si="3"/>
        <v/>
      </c>
      <c r="H2087" s="5" t="str">
        <f t="shared" si="4"/>
        <v>24, 28, LICKITUNG</v>
      </c>
    </row>
    <row r="2088" ht="12.75" customHeight="1">
      <c r="A2088" s="4" t="s">
        <v>2810</v>
      </c>
      <c r="B2088" s="5">
        <v>0.04</v>
      </c>
      <c r="C2088" s="1" t="str">
        <f t="shared" si="1"/>
        <v/>
      </c>
      <c r="E2088" s="5">
        <v>0.04</v>
      </c>
      <c r="F2088" s="6" t="str">
        <f t="shared" si="2"/>
        <v>#N/A</v>
      </c>
      <c r="G2088" s="1" t="str">
        <f t="shared" si="3"/>
        <v/>
      </c>
      <c r="H2088" s="5">
        <f t="shared" si="4"/>
        <v>0.04</v>
      </c>
    </row>
    <row r="2089" ht="12.75" customHeight="1">
      <c r="A2089" s="4" t="s">
        <v>3389</v>
      </c>
      <c r="B2089" s="5" t="s">
        <v>3389</v>
      </c>
      <c r="C2089" s="1" t="str">
        <f t="shared" si="1"/>
        <v/>
      </c>
      <c r="E2089" s="5" t="s">
        <v>3389</v>
      </c>
      <c r="F2089" s="6" t="str">
        <f t="shared" si="2"/>
        <v>#N/A</v>
      </c>
      <c r="G2089" s="1" t="str">
        <f t="shared" si="3"/>
        <v/>
      </c>
      <c r="H2089" s="5" t="str">
        <f t="shared" si="4"/>
        <v>26, 26, PERSIAN</v>
      </c>
    </row>
    <row r="2090" ht="12.75" customHeight="1">
      <c r="A2090" s="4" t="s">
        <v>3390</v>
      </c>
      <c r="B2090" s="5" t="s">
        <v>3390</v>
      </c>
      <c r="C2090" s="1" t="str">
        <f t="shared" si="1"/>
        <v/>
      </c>
      <c r="E2090" s="5" t="s">
        <v>3390</v>
      </c>
      <c r="F2090" s="6" t="str">
        <f t="shared" si="2"/>
        <v>#N/A</v>
      </c>
      <c r="G2090" s="1" t="str">
        <f t="shared" si="3"/>
        <v/>
      </c>
      <c r="H2090" s="5" t="str">
        <f t="shared" si="4"/>
        <v>21, 26, EEVEE</v>
      </c>
    </row>
    <row r="2091" ht="12.75" customHeight="1">
      <c r="A2091" s="4" t="s">
        <v>2813</v>
      </c>
      <c r="B2091" s="5">
        <v>0.01</v>
      </c>
      <c r="C2091" s="1" t="str">
        <f t="shared" si="1"/>
        <v/>
      </c>
      <c r="E2091" s="5">
        <v>0.01</v>
      </c>
      <c r="F2091" s="6" t="str">
        <f t="shared" si="2"/>
        <v>#N/A</v>
      </c>
      <c r="G2091" s="1" t="str">
        <f t="shared" si="3"/>
        <v/>
      </c>
      <c r="H2091" s="5">
        <f t="shared" si="4"/>
        <v>0.01</v>
      </c>
    </row>
    <row r="2092" ht="12.75" customHeight="1">
      <c r="A2092" s="4" t="s">
        <v>3391</v>
      </c>
      <c r="B2092" s="5" t="s">
        <v>3391</v>
      </c>
      <c r="C2092" s="1" t="str">
        <f t="shared" si="1"/>
        <v/>
      </c>
      <c r="E2092" s="5" t="s">
        <v>3391</v>
      </c>
      <c r="F2092" s="6" t="str">
        <f t="shared" si="2"/>
        <v>#N/A</v>
      </c>
      <c r="G2092" s="1" t="str">
        <f t="shared" si="3"/>
        <v/>
      </c>
      <c r="H2092" s="5" t="str">
        <f t="shared" si="4"/>
        <v>24, 28, SANDSLASH</v>
      </c>
    </row>
    <row r="2093" ht="12.75" customHeight="1">
      <c r="A2093" s="4" t="s">
        <v>3725</v>
      </c>
      <c r="B2093" s="5" t="s">
        <v>3725</v>
      </c>
      <c r="C2093" s="1" t="str">
        <f t="shared" si="1"/>
        <v/>
      </c>
      <c r="E2093" s="5" t="s">
        <v>3725</v>
      </c>
      <c r="F2093" s="6" t="str">
        <f t="shared" si="2"/>
        <v>#N/A</v>
      </c>
      <c r="G2093" s="1" t="str">
        <f t="shared" si="3"/>
        <v/>
      </c>
      <c r="H2093" s="5" t="str">
        <f t="shared" si="4"/>
        <v>24, 28, PARASECT</v>
      </c>
    </row>
    <row r="2094" ht="12.75" customHeight="1">
      <c r="A2094" s="4" t="s">
        <v>2539</v>
      </c>
      <c r="B2094" s="5" t="s">
        <v>2539</v>
      </c>
      <c r="C2094" s="1">
        <f t="shared" si="1"/>
        <v>1</v>
      </c>
      <c r="E2094" s="5" t="s">
        <v>2539</v>
      </c>
      <c r="F2094" s="6" t="str">
        <f t="shared" si="2"/>
        <v>#N/A</v>
      </c>
      <c r="G2094" s="1" t="str">
        <f t="shared" si="3"/>
        <v/>
      </c>
      <c r="H2094" s="5" t="str">
        <f t="shared" si="4"/>
        <v>NEW ROUTE</v>
      </c>
    </row>
    <row r="2095" ht="12.75" customHeight="1">
      <c r="A2095" s="4" t="s">
        <v>2117</v>
      </c>
      <c r="B2095" s="5" t="s">
        <v>2117</v>
      </c>
      <c r="C2095" s="1" t="str">
        <f t="shared" si="1"/>
        <v/>
      </c>
      <c r="E2095" s="5" t="s">
        <v>2117</v>
      </c>
      <c r="F2095" s="6" t="str">
        <f t="shared" si="2"/>
        <v>Route 8</v>
      </c>
      <c r="G2095" s="1" t="str">
        <f t="shared" si="3"/>
        <v>Route 8</v>
      </c>
      <c r="H2095" s="5" t="str">
        <f t="shared" si="4"/>
        <v>Route 8</v>
      </c>
    </row>
    <row r="2096" ht="12.75" customHeight="1">
      <c r="A2096" s="4" t="s">
        <v>2799</v>
      </c>
      <c r="B2096" s="5">
        <v>0.2</v>
      </c>
      <c r="C2096" s="1" t="str">
        <f t="shared" si="1"/>
        <v/>
      </c>
      <c r="E2096" s="5">
        <v>0.2</v>
      </c>
      <c r="F2096" s="6" t="str">
        <f t="shared" si="2"/>
        <v>#N/A</v>
      </c>
      <c r="G2096" s="1" t="str">
        <f t="shared" si="3"/>
        <v/>
      </c>
      <c r="H2096" s="5">
        <f t="shared" si="4"/>
        <v>0.2</v>
      </c>
    </row>
    <row r="2097" ht="12.75" customHeight="1">
      <c r="A2097" s="4" t="s">
        <v>1013</v>
      </c>
      <c r="B2097" s="5" t="s">
        <v>1013</v>
      </c>
      <c r="C2097" s="1" t="str">
        <f t="shared" si="1"/>
        <v/>
      </c>
      <c r="E2097" s="5" t="s">
        <v>1013</v>
      </c>
      <c r="F2097" s="6" t="str">
        <f t="shared" si="2"/>
        <v>#N/A</v>
      </c>
      <c r="G2097" s="1" t="str">
        <f t="shared" si="3"/>
        <v/>
      </c>
      <c r="H2097" s="5" t="str">
        <f t="shared" si="4"/>
        <v>23, 25, PONYTA</v>
      </c>
    </row>
    <row r="2098" ht="12.75" customHeight="1">
      <c r="A2098" s="4" t="s">
        <v>3394</v>
      </c>
      <c r="B2098" s="5" t="s">
        <v>3394</v>
      </c>
      <c r="C2098" s="1" t="str">
        <f t="shared" si="1"/>
        <v/>
      </c>
      <c r="E2098" s="5" t="s">
        <v>3394</v>
      </c>
      <c r="F2098" s="6" t="str">
        <f t="shared" si="2"/>
        <v>#N/A</v>
      </c>
      <c r="G2098" s="1" t="str">
        <f t="shared" si="3"/>
        <v/>
      </c>
      <c r="H2098" s="5" t="str">
        <f t="shared" si="4"/>
        <v>23, 25, EKANS</v>
      </c>
    </row>
    <row r="2099" ht="12.75" customHeight="1">
      <c r="A2099" s="4" t="s">
        <v>2802</v>
      </c>
      <c r="B2099" s="5">
        <v>0.1</v>
      </c>
      <c r="C2099" s="1" t="str">
        <f t="shared" si="1"/>
        <v/>
      </c>
      <c r="E2099" s="5">
        <v>0.1</v>
      </c>
      <c r="F2099" s="6" t="str">
        <f t="shared" si="2"/>
        <v>#N/A</v>
      </c>
      <c r="G2099" s="1" t="str">
        <f t="shared" si="3"/>
        <v/>
      </c>
      <c r="H2099" s="5">
        <f t="shared" si="4"/>
        <v>0.1</v>
      </c>
    </row>
    <row r="2100" ht="12.75" customHeight="1">
      <c r="A2100" s="4" t="s">
        <v>3395</v>
      </c>
      <c r="B2100" s="5" t="s">
        <v>3395</v>
      </c>
      <c r="C2100" s="1" t="str">
        <f t="shared" si="1"/>
        <v/>
      </c>
      <c r="E2100" s="5" t="s">
        <v>3395</v>
      </c>
      <c r="F2100" s="6" t="str">
        <f t="shared" si="2"/>
        <v>#N/A</v>
      </c>
      <c r="G2100" s="1" t="str">
        <f t="shared" si="3"/>
        <v/>
      </c>
      <c r="H2100" s="5" t="str">
        <f t="shared" si="4"/>
        <v>24, 26, SANDSHREW</v>
      </c>
    </row>
    <row r="2101" ht="12.75" customHeight="1">
      <c r="A2101" s="4" t="s">
        <v>3396</v>
      </c>
      <c r="B2101" s="5" t="s">
        <v>3396</v>
      </c>
      <c r="C2101" s="1" t="str">
        <f t="shared" si="1"/>
        <v/>
      </c>
      <c r="E2101" s="5" t="s">
        <v>3396</v>
      </c>
      <c r="F2101" s="6" t="str">
        <f t="shared" si="2"/>
        <v>#N/A</v>
      </c>
      <c r="G2101" s="1" t="str">
        <f t="shared" si="3"/>
        <v/>
      </c>
      <c r="H2101" s="5" t="str">
        <f t="shared" si="4"/>
        <v>24, 26, MEOWTH</v>
      </c>
    </row>
    <row r="2102" ht="12.75" customHeight="1">
      <c r="A2102" s="4" t="s">
        <v>3397</v>
      </c>
      <c r="B2102" s="5" t="s">
        <v>3397</v>
      </c>
      <c r="C2102" s="1" t="str">
        <f t="shared" si="1"/>
        <v/>
      </c>
      <c r="E2102" s="5" t="s">
        <v>3397</v>
      </c>
      <c r="F2102" s="6" t="str">
        <f t="shared" si="2"/>
        <v>#N/A</v>
      </c>
      <c r="G2102" s="1" t="str">
        <f t="shared" si="3"/>
        <v/>
      </c>
      <c r="H2102" s="5" t="str">
        <f t="shared" si="4"/>
        <v>24, 26, VENONAT</v>
      </c>
    </row>
    <row r="2103" ht="12.75" customHeight="1">
      <c r="A2103" s="4" t="s">
        <v>3398</v>
      </c>
      <c r="B2103" s="5" t="s">
        <v>3398</v>
      </c>
      <c r="C2103" s="1" t="str">
        <f t="shared" si="1"/>
        <v/>
      </c>
      <c r="E2103" s="5" t="s">
        <v>3398</v>
      </c>
      <c r="F2103" s="6" t="str">
        <f t="shared" si="2"/>
        <v>#N/A</v>
      </c>
      <c r="G2103" s="1" t="str">
        <f t="shared" si="3"/>
        <v/>
      </c>
      <c r="H2103" s="5" t="str">
        <f t="shared" si="4"/>
        <v>24, 26, GROWLITHE</v>
      </c>
    </row>
    <row r="2104" ht="12.75" customHeight="1">
      <c r="A2104" s="4" t="s">
        <v>2807</v>
      </c>
      <c r="B2104" s="5">
        <v>0.05</v>
      </c>
      <c r="C2104" s="1" t="str">
        <f t="shared" si="1"/>
        <v/>
      </c>
      <c r="E2104" s="5">
        <v>0.05</v>
      </c>
      <c r="F2104" s="6" t="str">
        <f t="shared" si="2"/>
        <v>#N/A</v>
      </c>
      <c r="G2104" s="1" t="str">
        <f t="shared" si="3"/>
        <v/>
      </c>
      <c r="H2104" s="5">
        <f t="shared" si="4"/>
        <v>0.05</v>
      </c>
    </row>
    <row r="2105" ht="12.75" customHeight="1">
      <c r="A2105" s="4" t="s">
        <v>3399</v>
      </c>
      <c r="B2105" s="5" t="s">
        <v>3399</v>
      </c>
      <c r="C2105" s="1" t="str">
        <f t="shared" si="1"/>
        <v/>
      </c>
      <c r="E2105" s="5" t="s">
        <v>3399</v>
      </c>
      <c r="F2105" s="6" t="str">
        <f t="shared" si="2"/>
        <v>#N/A</v>
      </c>
      <c r="G2105" s="1" t="str">
        <f t="shared" si="3"/>
        <v/>
      </c>
      <c r="H2105" s="5" t="str">
        <f t="shared" si="4"/>
        <v>23, 27, ARBOK</v>
      </c>
    </row>
    <row r="2106" ht="12.75" customHeight="1">
      <c r="A2106" s="4" t="s">
        <v>3400</v>
      </c>
      <c r="B2106" s="5" t="s">
        <v>3400</v>
      </c>
      <c r="C2106" s="1" t="str">
        <f t="shared" si="1"/>
        <v/>
      </c>
      <c r="E2106" s="5" t="s">
        <v>3400</v>
      </c>
      <c r="F2106" s="6" t="str">
        <f t="shared" si="2"/>
        <v>#N/A</v>
      </c>
      <c r="G2106" s="1" t="str">
        <f t="shared" si="3"/>
        <v/>
      </c>
      <c r="H2106" s="5" t="str">
        <f t="shared" si="4"/>
        <v>23, 27, LICKITUNG</v>
      </c>
    </row>
    <row r="2107" ht="12.75" customHeight="1">
      <c r="A2107" s="4" t="s">
        <v>2810</v>
      </c>
      <c r="B2107" s="5">
        <v>0.04</v>
      </c>
      <c r="C2107" s="1" t="str">
        <f t="shared" si="1"/>
        <v/>
      </c>
      <c r="E2107" s="5">
        <v>0.04</v>
      </c>
      <c r="F2107" s="6" t="str">
        <f t="shared" si="2"/>
        <v>#N/A</v>
      </c>
      <c r="G2107" s="1" t="str">
        <f t="shared" si="3"/>
        <v/>
      </c>
      <c r="H2107" s="5">
        <f t="shared" si="4"/>
        <v>0.04</v>
      </c>
    </row>
    <row r="2108" ht="12.75" customHeight="1">
      <c r="A2108" s="4" t="s">
        <v>3401</v>
      </c>
      <c r="B2108" s="5" t="s">
        <v>3401</v>
      </c>
      <c r="C2108" s="1" t="str">
        <f t="shared" si="1"/>
        <v/>
      </c>
      <c r="E2108" s="5" t="s">
        <v>3401</v>
      </c>
      <c r="F2108" s="6" t="str">
        <f t="shared" si="2"/>
        <v>#N/A</v>
      </c>
      <c r="G2108" s="1" t="str">
        <f t="shared" si="3"/>
        <v/>
      </c>
      <c r="H2108" s="5" t="str">
        <f t="shared" si="4"/>
        <v>25, 25, PERSIAN</v>
      </c>
    </row>
    <row r="2109" ht="12.75" customHeight="1">
      <c r="A2109" s="4" t="s">
        <v>3402</v>
      </c>
      <c r="B2109" s="5" t="s">
        <v>3402</v>
      </c>
      <c r="C2109" s="1" t="str">
        <f t="shared" si="1"/>
        <v/>
      </c>
      <c r="E2109" s="5" t="s">
        <v>3402</v>
      </c>
      <c r="F2109" s="6" t="str">
        <f t="shared" si="2"/>
        <v>#N/A</v>
      </c>
      <c r="G2109" s="1" t="str">
        <f t="shared" si="3"/>
        <v/>
      </c>
      <c r="H2109" s="5" t="str">
        <f t="shared" si="4"/>
        <v>20, 25, EEVEE</v>
      </c>
    </row>
    <row r="2110" ht="12.75" customHeight="1">
      <c r="A2110" s="4" t="s">
        <v>2813</v>
      </c>
      <c r="B2110" s="5">
        <v>0.01</v>
      </c>
      <c r="C2110" s="1" t="str">
        <f t="shared" si="1"/>
        <v/>
      </c>
      <c r="E2110" s="5">
        <v>0.01</v>
      </c>
      <c r="F2110" s="6" t="str">
        <f t="shared" si="2"/>
        <v>#N/A</v>
      </c>
      <c r="G2110" s="1" t="str">
        <f t="shared" si="3"/>
        <v/>
      </c>
      <c r="H2110" s="5">
        <f t="shared" si="4"/>
        <v>0.01</v>
      </c>
    </row>
    <row r="2111" ht="12.75" customHeight="1">
      <c r="A2111" s="4" t="s">
        <v>3403</v>
      </c>
      <c r="B2111" s="5" t="s">
        <v>3403</v>
      </c>
      <c r="C2111" s="1" t="str">
        <f t="shared" si="1"/>
        <v/>
      </c>
      <c r="E2111" s="5" t="s">
        <v>3403</v>
      </c>
      <c r="F2111" s="6" t="str">
        <f t="shared" si="2"/>
        <v>#N/A</v>
      </c>
      <c r="G2111" s="1" t="str">
        <f t="shared" si="3"/>
        <v/>
      </c>
      <c r="H2111" s="5" t="str">
        <f t="shared" si="4"/>
        <v>23, 27, SANDSLASH</v>
      </c>
    </row>
    <row r="2112" ht="12.75" customHeight="1">
      <c r="A2112" s="4" t="s">
        <v>3726</v>
      </c>
      <c r="B2112" s="5" t="s">
        <v>3726</v>
      </c>
      <c r="C2112" s="1" t="str">
        <f t="shared" si="1"/>
        <v/>
      </c>
      <c r="E2112" s="5" t="s">
        <v>3726</v>
      </c>
      <c r="F2112" s="6" t="str">
        <f t="shared" si="2"/>
        <v>#N/A</v>
      </c>
      <c r="G2112" s="1" t="str">
        <f t="shared" si="3"/>
        <v/>
      </c>
      <c r="H2112" s="5" t="str">
        <f t="shared" si="4"/>
        <v>23, 27, VENOMOTH</v>
      </c>
    </row>
    <row r="2113" ht="12.75" customHeight="1">
      <c r="A2113" s="4" t="s">
        <v>2539</v>
      </c>
      <c r="B2113" s="5" t="s">
        <v>2539</v>
      </c>
      <c r="C2113" s="1">
        <f t="shared" si="1"/>
        <v>1</v>
      </c>
      <c r="E2113" s="5" t="s">
        <v>2539</v>
      </c>
      <c r="F2113" s="6" t="str">
        <f t="shared" si="2"/>
        <v>#N/A</v>
      </c>
      <c r="G2113" s="1" t="str">
        <f t="shared" si="3"/>
        <v/>
      </c>
      <c r="H2113" s="5" t="str">
        <f t="shared" si="4"/>
        <v>NEW ROUTE</v>
      </c>
    </row>
    <row r="2114" ht="12.75" customHeight="1">
      <c r="A2114" s="4" t="s">
        <v>2119</v>
      </c>
      <c r="B2114" s="5" t="s">
        <v>2119</v>
      </c>
      <c r="C2114" s="1" t="str">
        <f t="shared" si="1"/>
        <v/>
      </c>
      <c r="E2114" s="5" t="s">
        <v>2119</v>
      </c>
      <c r="F2114" s="6" t="str">
        <f t="shared" si="2"/>
        <v>Route 9</v>
      </c>
      <c r="G2114" s="1" t="str">
        <f t="shared" si="3"/>
        <v>Route 9</v>
      </c>
      <c r="H2114" s="5" t="str">
        <f t="shared" si="4"/>
        <v>Route 9</v>
      </c>
    </row>
    <row r="2115" ht="12.75" customHeight="1">
      <c r="A2115" s="4" t="s">
        <v>2799</v>
      </c>
      <c r="B2115" s="5">
        <v>0.2</v>
      </c>
      <c r="C2115" s="1" t="str">
        <f t="shared" si="1"/>
        <v/>
      </c>
      <c r="E2115" s="5">
        <v>0.2</v>
      </c>
      <c r="F2115" s="6" t="str">
        <f t="shared" si="2"/>
        <v>#N/A</v>
      </c>
      <c r="G2115" s="1" t="str">
        <f t="shared" si="3"/>
        <v/>
      </c>
      <c r="H2115" s="5">
        <f t="shared" si="4"/>
        <v>0.2</v>
      </c>
    </row>
    <row r="2116" ht="12.75" customHeight="1">
      <c r="A2116" s="4" t="s">
        <v>1026</v>
      </c>
      <c r="B2116" s="5" t="s">
        <v>1026</v>
      </c>
      <c r="C2116" s="1" t="str">
        <f t="shared" si="1"/>
        <v/>
      </c>
      <c r="E2116" s="5" t="s">
        <v>1026</v>
      </c>
      <c r="F2116" s="6" t="str">
        <f t="shared" si="2"/>
        <v>#N/A</v>
      </c>
      <c r="G2116" s="1" t="str">
        <f t="shared" si="3"/>
        <v/>
      </c>
      <c r="H2116" s="5" t="str">
        <f t="shared" si="4"/>
        <v>17, 22, NIDORINA</v>
      </c>
    </row>
    <row r="2117" ht="12.75" customHeight="1">
      <c r="A2117" s="4" t="s">
        <v>3406</v>
      </c>
      <c r="B2117" s="5" t="s">
        <v>3406</v>
      </c>
      <c r="C2117" s="1" t="str">
        <f t="shared" si="1"/>
        <v/>
      </c>
      <c r="E2117" s="5" t="s">
        <v>3406</v>
      </c>
      <c r="F2117" s="6" t="str">
        <f t="shared" si="2"/>
        <v>#N/A</v>
      </c>
      <c r="G2117" s="1" t="str">
        <f t="shared" si="3"/>
        <v/>
      </c>
      <c r="H2117" s="5" t="str">
        <f t="shared" si="4"/>
        <v>17, 22, NIDORINO</v>
      </c>
    </row>
    <row r="2118" ht="12.75" customHeight="1">
      <c r="A2118" s="4" t="s">
        <v>2802</v>
      </c>
      <c r="B2118" s="5">
        <v>0.1</v>
      </c>
      <c r="C2118" s="1" t="str">
        <f t="shared" si="1"/>
        <v/>
      </c>
      <c r="E2118" s="5">
        <v>0.1</v>
      </c>
      <c r="F2118" s="6" t="str">
        <f t="shared" si="2"/>
        <v>#N/A</v>
      </c>
      <c r="G2118" s="1" t="str">
        <f t="shared" si="3"/>
        <v/>
      </c>
      <c r="H2118" s="5">
        <f t="shared" si="4"/>
        <v>0.1</v>
      </c>
    </row>
    <row r="2119" ht="12.75" customHeight="1">
      <c r="A2119" s="4" t="s">
        <v>3407</v>
      </c>
      <c r="B2119" s="5" t="s">
        <v>3407</v>
      </c>
      <c r="C2119" s="1" t="str">
        <f t="shared" si="1"/>
        <v/>
      </c>
      <c r="E2119" s="5" t="s">
        <v>3407</v>
      </c>
      <c r="F2119" s="6" t="str">
        <f t="shared" si="2"/>
        <v>#N/A</v>
      </c>
      <c r="G2119" s="1" t="str">
        <f t="shared" si="3"/>
        <v/>
      </c>
      <c r="H2119" s="5" t="str">
        <f t="shared" si="4"/>
        <v>16, 19, SPEAROW</v>
      </c>
    </row>
    <row r="2120" ht="12.75" customHeight="1">
      <c r="A2120" s="4" t="s">
        <v>3408</v>
      </c>
      <c r="B2120" s="5" t="s">
        <v>3408</v>
      </c>
      <c r="C2120" s="1" t="str">
        <f t="shared" si="1"/>
        <v/>
      </c>
      <c r="E2120" s="5" t="s">
        <v>3408</v>
      </c>
      <c r="F2120" s="6" t="str">
        <f t="shared" si="2"/>
        <v>#N/A</v>
      </c>
      <c r="G2120" s="1" t="str">
        <f t="shared" si="3"/>
        <v/>
      </c>
      <c r="H2120" s="5" t="str">
        <f t="shared" si="4"/>
        <v>16, 19, CUBONE</v>
      </c>
    </row>
    <row r="2121" ht="12.75" customHeight="1">
      <c r="A2121" s="4" t="s">
        <v>3409</v>
      </c>
      <c r="B2121" s="5" t="s">
        <v>3409</v>
      </c>
      <c r="C2121" s="1" t="str">
        <f t="shared" si="1"/>
        <v/>
      </c>
      <c r="E2121" s="5" t="s">
        <v>3409</v>
      </c>
      <c r="F2121" s="6" t="str">
        <f t="shared" si="2"/>
        <v>#N/A</v>
      </c>
      <c r="G2121" s="1" t="str">
        <f t="shared" si="3"/>
        <v/>
      </c>
      <c r="H2121" s="5" t="str">
        <f t="shared" si="4"/>
        <v>16, 19, MACHOP</v>
      </c>
    </row>
    <row r="2122" ht="12.75" customHeight="1">
      <c r="A2122" s="4" t="s">
        <v>3410</v>
      </c>
      <c r="B2122" s="5" t="s">
        <v>3410</v>
      </c>
      <c r="C2122" s="1" t="str">
        <f t="shared" si="1"/>
        <v/>
      </c>
      <c r="E2122" s="5" t="s">
        <v>3410</v>
      </c>
      <c r="F2122" s="6" t="str">
        <f t="shared" si="2"/>
        <v>#N/A</v>
      </c>
      <c r="G2122" s="1" t="str">
        <f t="shared" si="3"/>
        <v/>
      </c>
      <c r="H2122" s="5" t="str">
        <f t="shared" si="4"/>
        <v>16, 19, SANDSHREW</v>
      </c>
    </row>
    <row r="2123" ht="12.75" customHeight="1">
      <c r="A2123" s="4" t="s">
        <v>2807</v>
      </c>
      <c r="B2123" s="5">
        <v>0.05</v>
      </c>
      <c r="C2123" s="1" t="str">
        <f t="shared" si="1"/>
        <v/>
      </c>
      <c r="E2123" s="5">
        <v>0.05</v>
      </c>
      <c r="F2123" s="6" t="str">
        <f t="shared" si="2"/>
        <v>#N/A</v>
      </c>
      <c r="G2123" s="1" t="str">
        <f t="shared" si="3"/>
        <v/>
      </c>
      <c r="H2123" s="5">
        <f t="shared" si="4"/>
        <v>0.05</v>
      </c>
    </row>
    <row r="2124" ht="12.75" customHeight="1">
      <c r="A2124" s="4" t="s">
        <v>3411</v>
      </c>
      <c r="B2124" s="5" t="s">
        <v>3411</v>
      </c>
      <c r="C2124" s="1" t="str">
        <f t="shared" si="1"/>
        <v/>
      </c>
      <c r="E2124" s="5" t="s">
        <v>3411</v>
      </c>
      <c r="F2124" s="6" t="str">
        <f t="shared" si="2"/>
        <v>#N/A</v>
      </c>
      <c r="G2124" s="1" t="str">
        <f t="shared" si="3"/>
        <v/>
      </c>
      <c r="H2124" s="5" t="str">
        <f t="shared" si="4"/>
        <v>17, 18, DODUO</v>
      </c>
    </row>
    <row r="2125" ht="12.75" customHeight="1">
      <c r="A2125" s="4" t="s">
        <v>3412</v>
      </c>
      <c r="B2125" s="5" t="s">
        <v>3412</v>
      </c>
      <c r="C2125" s="1" t="str">
        <f t="shared" si="1"/>
        <v/>
      </c>
      <c r="E2125" s="5" t="s">
        <v>3412</v>
      </c>
      <c r="F2125" s="6" t="str">
        <f t="shared" si="2"/>
        <v>#N/A</v>
      </c>
      <c r="G2125" s="1" t="str">
        <f t="shared" si="3"/>
        <v/>
      </c>
      <c r="H2125" s="5" t="str">
        <f t="shared" si="4"/>
        <v>17, 18, DROWZEE</v>
      </c>
    </row>
    <row r="2126" ht="12.75" customHeight="1">
      <c r="A2126" s="4" t="s">
        <v>2810</v>
      </c>
      <c r="B2126" s="5">
        <v>0.04</v>
      </c>
      <c r="C2126" s="1" t="str">
        <f t="shared" si="1"/>
        <v/>
      </c>
      <c r="E2126" s="5">
        <v>0.04</v>
      </c>
      <c r="F2126" s="6" t="str">
        <f t="shared" si="2"/>
        <v>#N/A</v>
      </c>
      <c r="G2126" s="1" t="str">
        <f t="shared" si="3"/>
        <v/>
      </c>
      <c r="H2126" s="5">
        <f t="shared" si="4"/>
        <v>0.04</v>
      </c>
    </row>
    <row r="2127" ht="12.75" customHeight="1">
      <c r="A2127" s="4" t="s">
        <v>3413</v>
      </c>
      <c r="B2127" s="5" t="s">
        <v>3413</v>
      </c>
      <c r="C2127" s="1" t="str">
        <f t="shared" si="1"/>
        <v/>
      </c>
      <c r="E2127" s="5" t="s">
        <v>3413</v>
      </c>
      <c r="F2127" s="6" t="str">
        <f t="shared" si="2"/>
        <v>#N/A</v>
      </c>
      <c r="G2127" s="1" t="str">
        <f t="shared" si="3"/>
        <v/>
      </c>
      <c r="H2127" s="5" t="str">
        <f t="shared" si="4"/>
        <v>16, 25, FEAROW</v>
      </c>
    </row>
    <row r="2128" ht="12.75" customHeight="1">
      <c r="A2128" s="4" t="s">
        <v>3414</v>
      </c>
      <c r="B2128" s="5" t="s">
        <v>3414</v>
      </c>
      <c r="C2128" s="1" t="str">
        <f t="shared" si="1"/>
        <v/>
      </c>
      <c r="E2128" s="5" t="s">
        <v>3414</v>
      </c>
      <c r="F2128" s="6" t="str">
        <f t="shared" si="2"/>
        <v>#N/A</v>
      </c>
      <c r="G2128" s="1" t="str">
        <f t="shared" si="3"/>
        <v/>
      </c>
      <c r="H2128" s="5" t="str">
        <f t="shared" si="4"/>
        <v>22, 22, SANDSLASH</v>
      </c>
    </row>
    <row r="2129" ht="12.75" customHeight="1">
      <c r="A2129" s="4" t="s">
        <v>2813</v>
      </c>
      <c r="B2129" s="5">
        <v>0.01</v>
      </c>
      <c r="C2129" s="1" t="str">
        <f t="shared" si="1"/>
        <v/>
      </c>
      <c r="E2129" s="5">
        <v>0.01</v>
      </c>
      <c r="F2129" s="6" t="str">
        <f t="shared" si="2"/>
        <v>#N/A</v>
      </c>
      <c r="G2129" s="1" t="str">
        <f t="shared" si="3"/>
        <v/>
      </c>
      <c r="H2129" s="5">
        <f t="shared" si="4"/>
        <v>0.01</v>
      </c>
    </row>
    <row r="2130" ht="12.75" customHeight="1">
      <c r="A2130" s="4" t="s">
        <v>3415</v>
      </c>
      <c r="B2130" s="5" t="s">
        <v>3415</v>
      </c>
      <c r="C2130" s="1" t="str">
        <f t="shared" si="1"/>
        <v/>
      </c>
      <c r="E2130" s="5" t="s">
        <v>3415</v>
      </c>
      <c r="F2130" s="6" t="str">
        <f t="shared" si="2"/>
        <v>#N/A</v>
      </c>
      <c r="G2130" s="1" t="str">
        <f t="shared" si="3"/>
        <v/>
      </c>
      <c r="H2130" s="5" t="str">
        <f t="shared" si="4"/>
        <v>14, 17, KANGAKID</v>
      </c>
    </row>
    <row r="2131" ht="12.75" customHeight="1">
      <c r="A2131" s="4" t="s">
        <v>3727</v>
      </c>
      <c r="B2131" s="5" t="s">
        <v>3727</v>
      </c>
      <c r="C2131" s="1" t="str">
        <f t="shared" si="1"/>
        <v/>
      </c>
      <c r="E2131" s="5" t="s">
        <v>3727</v>
      </c>
      <c r="F2131" s="6" t="str">
        <f t="shared" si="2"/>
        <v>#N/A</v>
      </c>
      <c r="G2131" s="1" t="str">
        <f t="shared" si="3"/>
        <v/>
      </c>
      <c r="H2131" s="5" t="str">
        <f t="shared" si="4"/>
        <v>18, 18, KANGAKID</v>
      </c>
    </row>
    <row r="2132" ht="12.75" customHeight="1">
      <c r="A2132" s="4" t="s">
        <v>2539</v>
      </c>
      <c r="B2132" s="5" t="s">
        <v>2539</v>
      </c>
      <c r="C2132" s="1">
        <f t="shared" si="1"/>
        <v>1</v>
      </c>
      <c r="E2132" s="5" t="s">
        <v>2539</v>
      </c>
      <c r="F2132" s="6" t="str">
        <f t="shared" si="2"/>
        <v>#N/A</v>
      </c>
      <c r="G2132" s="1" t="str">
        <f t="shared" si="3"/>
        <v/>
      </c>
      <c r="H2132" s="5" t="str">
        <f t="shared" si="4"/>
        <v>NEW ROUTE</v>
      </c>
    </row>
    <row r="2133" ht="12.75" customHeight="1">
      <c r="A2133" s="4" t="s">
        <v>2121</v>
      </c>
      <c r="B2133" s="5" t="s">
        <v>2121</v>
      </c>
      <c r="C2133" s="1" t="str">
        <f t="shared" si="1"/>
        <v/>
      </c>
      <c r="E2133" s="5" t="s">
        <v>2121</v>
      </c>
      <c r="F2133" s="6" t="str">
        <f t="shared" si="2"/>
        <v>Route 10</v>
      </c>
      <c r="G2133" s="1" t="str">
        <f t="shared" si="3"/>
        <v>Route 10</v>
      </c>
      <c r="H2133" s="5" t="str">
        <f t="shared" si="4"/>
        <v>Route 10</v>
      </c>
    </row>
    <row r="2134" ht="12.75" customHeight="1">
      <c r="A2134" s="4" t="s">
        <v>2799</v>
      </c>
      <c r="B2134" s="5">
        <v>0.2</v>
      </c>
      <c r="C2134" s="1" t="str">
        <f t="shared" si="1"/>
        <v/>
      </c>
      <c r="E2134" s="5">
        <v>0.2</v>
      </c>
      <c r="F2134" s="6" t="str">
        <f t="shared" si="2"/>
        <v>#N/A</v>
      </c>
      <c r="G2134" s="1" t="str">
        <f t="shared" si="3"/>
        <v/>
      </c>
      <c r="H2134" s="5">
        <f t="shared" si="4"/>
        <v>0.2</v>
      </c>
    </row>
    <row r="2135" ht="12.75" customHeight="1">
      <c r="A2135" s="4" t="s">
        <v>1039</v>
      </c>
      <c r="B2135" s="5" t="s">
        <v>1039</v>
      </c>
      <c r="C2135" s="1" t="str">
        <f t="shared" si="1"/>
        <v/>
      </c>
      <c r="E2135" s="5" t="s">
        <v>1039</v>
      </c>
      <c r="F2135" s="6" t="str">
        <f t="shared" si="2"/>
        <v>#N/A</v>
      </c>
      <c r="G2135" s="1" t="str">
        <f t="shared" si="3"/>
        <v/>
      </c>
      <c r="H2135" s="5" t="str">
        <f t="shared" si="4"/>
        <v>19, 23, NIDORINA</v>
      </c>
    </row>
    <row r="2136" ht="12.75" customHeight="1">
      <c r="A2136" s="4" t="s">
        <v>3418</v>
      </c>
      <c r="B2136" s="5" t="s">
        <v>3418</v>
      </c>
      <c r="C2136" s="1" t="str">
        <f t="shared" si="1"/>
        <v/>
      </c>
      <c r="E2136" s="5" t="s">
        <v>3418</v>
      </c>
      <c r="F2136" s="6" t="str">
        <f t="shared" si="2"/>
        <v>#N/A</v>
      </c>
      <c r="G2136" s="1" t="str">
        <f t="shared" si="3"/>
        <v/>
      </c>
      <c r="H2136" s="5" t="str">
        <f t="shared" si="4"/>
        <v>19, 23, NIDORINO</v>
      </c>
    </row>
    <row r="2137" ht="12.75" customHeight="1">
      <c r="A2137" s="4" t="s">
        <v>2802</v>
      </c>
      <c r="B2137" s="5">
        <v>0.1</v>
      </c>
      <c r="C2137" s="1" t="str">
        <f t="shared" si="1"/>
        <v/>
      </c>
      <c r="E2137" s="5">
        <v>0.1</v>
      </c>
      <c r="F2137" s="6" t="str">
        <f t="shared" si="2"/>
        <v>#N/A</v>
      </c>
      <c r="G2137" s="1" t="str">
        <f t="shared" si="3"/>
        <v/>
      </c>
      <c r="H2137" s="5">
        <f t="shared" si="4"/>
        <v>0.1</v>
      </c>
    </row>
    <row r="2138" ht="12.75" customHeight="1">
      <c r="A2138" s="4" t="s">
        <v>3419</v>
      </c>
      <c r="B2138" s="5" t="s">
        <v>3419</v>
      </c>
      <c r="C2138" s="1" t="str">
        <f t="shared" si="1"/>
        <v/>
      </c>
      <c r="E2138" s="5" t="s">
        <v>3419</v>
      </c>
      <c r="F2138" s="6" t="str">
        <f t="shared" si="2"/>
        <v>#N/A</v>
      </c>
      <c r="G2138" s="1" t="str">
        <f t="shared" si="3"/>
        <v/>
      </c>
      <c r="H2138" s="5" t="str">
        <f t="shared" si="4"/>
        <v>18, 20, SPEAROW</v>
      </c>
    </row>
    <row r="2139" ht="12.75" customHeight="1">
      <c r="A2139" s="4" t="s">
        <v>3420</v>
      </c>
      <c r="B2139" s="5" t="s">
        <v>3420</v>
      </c>
      <c r="C2139" s="1" t="str">
        <f t="shared" si="1"/>
        <v/>
      </c>
      <c r="E2139" s="5" t="s">
        <v>3420</v>
      </c>
      <c r="F2139" s="6" t="str">
        <f t="shared" si="2"/>
        <v>#N/A</v>
      </c>
      <c r="G2139" s="1" t="str">
        <f t="shared" si="3"/>
        <v/>
      </c>
      <c r="H2139" s="5" t="str">
        <f t="shared" si="4"/>
        <v>18, 20, CUBONE</v>
      </c>
    </row>
    <row r="2140" ht="12.75" customHeight="1">
      <c r="A2140" s="4" t="s">
        <v>3421</v>
      </c>
      <c r="B2140" s="5" t="s">
        <v>3421</v>
      </c>
      <c r="C2140" s="1" t="str">
        <f t="shared" si="1"/>
        <v/>
      </c>
      <c r="E2140" s="5" t="s">
        <v>3421</v>
      </c>
      <c r="F2140" s="6" t="str">
        <f t="shared" si="2"/>
        <v>#N/A</v>
      </c>
      <c r="G2140" s="1" t="str">
        <f t="shared" si="3"/>
        <v/>
      </c>
      <c r="H2140" s="5" t="str">
        <f t="shared" si="4"/>
        <v>18, 20, MAGNEMITE</v>
      </c>
    </row>
    <row r="2141" ht="12.75" customHeight="1">
      <c r="A2141" s="4" t="s">
        <v>3422</v>
      </c>
      <c r="B2141" s="5" t="s">
        <v>3422</v>
      </c>
      <c r="C2141" s="1" t="str">
        <f t="shared" si="1"/>
        <v/>
      </c>
      <c r="E2141" s="5" t="s">
        <v>3422</v>
      </c>
      <c r="F2141" s="6" t="str">
        <f t="shared" si="2"/>
        <v>#N/A</v>
      </c>
      <c r="G2141" s="1" t="str">
        <f t="shared" si="3"/>
        <v/>
      </c>
      <c r="H2141" s="5" t="str">
        <f t="shared" si="4"/>
        <v>18, 20, POLIWAG</v>
      </c>
    </row>
    <row r="2142" ht="12.75" customHeight="1">
      <c r="A2142" s="4" t="s">
        <v>2807</v>
      </c>
      <c r="B2142" s="5">
        <v>0.05</v>
      </c>
      <c r="C2142" s="1" t="str">
        <f t="shared" si="1"/>
        <v/>
      </c>
      <c r="E2142" s="5">
        <v>0.05</v>
      </c>
      <c r="F2142" s="6" t="str">
        <f t="shared" si="2"/>
        <v>#N/A</v>
      </c>
      <c r="G2142" s="1" t="str">
        <f t="shared" si="3"/>
        <v/>
      </c>
      <c r="H2142" s="5">
        <f t="shared" si="4"/>
        <v>0.05</v>
      </c>
    </row>
    <row r="2143" ht="12.75" customHeight="1">
      <c r="A2143" s="4" t="s">
        <v>3423</v>
      </c>
      <c r="B2143" s="5" t="s">
        <v>3423</v>
      </c>
      <c r="C2143" s="1" t="str">
        <f t="shared" si="1"/>
        <v/>
      </c>
      <c r="E2143" s="5" t="s">
        <v>3423</v>
      </c>
      <c r="F2143" s="6" t="str">
        <f t="shared" si="2"/>
        <v>#N/A</v>
      </c>
      <c r="G2143" s="1" t="str">
        <f t="shared" si="3"/>
        <v/>
      </c>
      <c r="H2143" s="5" t="str">
        <f t="shared" si="4"/>
        <v>19, 19, DODUO</v>
      </c>
    </row>
    <row r="2144" ht="12.75" customHeight="1">
      <c r="A2144" s="4" t="s">
        <v>3424</v>
      </c>
      <c r="B2144" s="5" t="s">
        <v>3424</v>
      </c>
      <c r="C2144" s="1" t="str">
        <f t="shared" si="1"/>
        <v/>
      </c>
      <c r="E2144" s="5" t="s">
        <v>3424</v>
      </c>
      <c r="F2144" s="6" t="str">
        <f t="shared" si="2"/>
        <v>#N/A</v>
      </c>
      <c r="G2144" s="1" t="str">
        <f t="shared" si="3"/>
        <v/>
      </c>
      <c r="H2144" s="5" t="str">
        <f t="shared" si="4"/>
        <v>19, 19, VOLTORB</v>
      </c>
    </row>
    <row r="2145" ht="12.75" customHeight="1">
      <c r="A2145" s="4" t="s">
        <v>2810</v>
      </c>
      <c r="B2145" s="5">
        <v>0.04</v>
      </c>
      <c r="C2145" s="1" t="str">
        <f t="shared" si="1"/>
        <v/>
      </c>
      <c r="E2145" s="5">
        <v>0.04</v>
      </c>
      <c r="F2145" s="6" t="str">
        <f t="shared" si="2"/>
        <v>#N/A</v>
      </c>
      <c r="G2145" s="1" t="str">
        <f t="shared" si="3"/>
        <v/>
      </c>
      <c r="H2145" s="5">
        <f t="shared" si="4"/>
        <v>0.04</v>
      </c>
    </row>
    <row r="2146" ht="12.75" customHeight="1">
      <c r="A2146" s="4" t="s">
        <v>3425</v>
      </c>
      <c r="B2146" s="5" t="s">
        <v>3425</v>
      </c>
      <c r="C2146" s="1" t="str">
        <f t="shared" si="1"/>
        <v/>
      </c>
      <c r="E2146" s="5" t="s">
        <v>3425</v>
      </c>
      <c r="F2146" s="6" t="str">
        <f t="shared" si="2"/>
        <v>#N/A</v>
      </c>
      <c r="G2146" s="1" t="str">
        <f t="shared" si="3"/>
        <v/>
      </c>
      <c r="H2146" s="5" t="str">
        <f t="shared" si="4"/>
        <v>20, 25, FEAROW</v>
      </c>
    </row>
    <row r="2147" ht="12.75" customHeight="1">
      <c r="A2147" s="4" t="s">
        <v>3426</v>
      </c>
      <c r="B2147" s="5" t="s">
        <v>3426</v>
      </c>
      <c r="C2147" s="1" t="str">
        <f t="shared" si="1"/>
        <v/>
      </c>
      <c r="E2147" s="5" t="s">
        <v>3426</v>
      </c>
      <c r="F2147" s="6" t="str">
        <f t="shared" si="2"/>
        <v>#N/A</v>
      </c>
      <c r="G2147" s="1" t="str">
        <f t="shared" si="3"/>
        <v/>
      </c>
      <c r="H2147" s="5" t="str">
        <f t="shared" si="4"/>
        <v>22, 22, POLIWHIRL</v>
      </c>
    </row>
    <row r="2148" ht="12.75" customHeight="1">
      <c r="A2148" s="4" t="s">
        <v>2813</v>
      </c>
      <c r="B2148" s="5">
        <v>0.01</v>
      </c>
      <c r="C2148" s="1" t="str">
        <f t="shared" si="1"/>
        <v/>
      </c>
      <c r="E2148" s="5">
        <v>0.01</v>
      </c>
      <c r="F2148" s="6" t="str">
        <f t="shared" si="2"/>
        <v>#N/A</v>
      </c>
      <c r="G2148" s="1" t="str">
        <f t="shared" si="3"/>
        <v/>
      </c>
      <c r="H2148" s="5">
        <f t="shared" si="4"/>
        <v>0.01</v>
      </c>
    </row>
    <row r="2149" ht="12.75" customHeight="1">
      <c r="A2149" s="4" t="s">
        <v>3427</v>
      </c>
      <c r="B2149" s="5" t="s">
        <v>3427</v>
      </c>
      <c r="C2149" s="1" t="str">
        <f t="shared" si="1"/>
        <v/>
      </c>
      <c r="E2149" s="5" t="s">
        <v>3427</v>
      </c>
      <c r="F2149" s="6" t="str">
        <f t="shared" si="2"/>
        <v>#N/A</v>
      </c>
      <c r="G2149" s="1" t="str">
        <f t="shared" si="3"/>
        <v/>
      </c>
      <c r="H2149" s="5" t="str">
        <f t="shared" si="4"/>
        <v>19, 21, TANGELA</v>
      </c>
    </row>
    <row r="2150" ht="12.75" customHeight="1">
      <c r="A2150" s="4" t="s">
        <v>3428</v>
      </c>
      <c r="B2150" s="5" t="s">
        <v>3428</v>
      </c>
      <c r="C2150" s="1" t="str">
        <f t="shared" si="1"/>
        <v/>
      </c>
      <c r="E2150" s="5" t="s">
        <v>3428</v>
      </c>
      <c r="F2150" s="6" t="str">
        <f t="shared" si="2"/>
        <v>#N/A</v>
      </c>
      <c r="G2150" s="1" t="str">
        <f t="shared" si="3"/>
        <v/>
      </c>
      <c r="H2150" s="5" t="str">
        <f t="shared" si="4"/>
        <v>19, 21, PONYTA</v>
      </c>
    </row>
    <row r="2151" ht="12.75" customHeight="1">
      <c r="A2151" s="4" t="s">
        <v>3350</v>
      </c>
      <c r="B2151" s="5" t="s">
        <v>3350</v>
      </c>
      <c r="C2151" s="1" t="str">
        <f t="shared" si="1"/>
        <v/>
      </c>
      <c r="E2151" s="5" t="s">
        <v>3350</v>
      </c>
      <c r="F2151" s="6" t="str">
        <f t="shared" si="2"/>
        <v>#N/A</v>
      </c>
      <c r="G2151" s="1" t="str">
        <f t="shared" si="3"/>
        <v/>
      </c>
      <c r="H2151" s="5" t="str">
        <f t="shared" si="4"/>
        <v>2, 38, 42, TENTACOOL</v>
      </c>
    </row>
    <row r="2152" ht="12.75" customHeight="1">
      <c r="A2152" s="4" t="s">
        <v>3429</v>
      </c>
      <c r="B2152" s="5" t="s">
        <v>3429</v>
      </c>
      <c r="C2152" s="1" t="str">
        <f t="shared" si="1"/>
        <v/>
      </c>
      <c r="E2152" s="5" t="s">
        <v>3429</v>
      </c>
      <c r="F2152" s="6" t="str">
        <f t="shared" si="2"/>
        <v>#N/A</v>
      </c>
      <c r="G2152" s="1" t="str">
        <f t="shared" si="3"/>
        <v/>
      </c>
      <c r="H2152" s="5" t="str">
        <f t="shared" si="4"/>
        <v>40, 44, TENTACRUEL</v>
      </c>
    </row>
    <row r="2153" ht="12.75" customHeight="1">
      <c r="A2153" s="4" t="s">
        <v>3025</v>
      </c>
      <c r="B2153" s="5" t="s">
        <v>3025</v>
      </c>
      <c r="C2153" s="1" t="str">
        <f t="shared" si="1"/>
        <v/>
      </c>
      <c r="E2153" s="5" t="s">
        <v>3025</v>
      </c>
      <c r="F2153" s="6" t="str">
        <f t="shared" si="2"/>
        <v>#N/A</v>
      </c>
      <c r="G2153" s="1" t="str">
        <f t="shared" si="3"/>
        <v/>
      </c>
      <c r="H2153" s="5" t="str">
        <f t="shared" si="4"/>
        <v>42, 46, LAPRAS</v>
      </c>
    </row>
    <row r="2154" ht="12.75" customHeight="1">
      <c r="A2154" s="4" t="s">
        <v>3430</v>
      </c>
      <c r="B2154" s="5" t="s">
        <v>3430</v>
      </c>
      <c r="C2154" s="1" t="str">
        <f t="shared" si="1"/>
        <v/>
      </c>
      <c r="E2154" s="5" t="s">
        <v>3430</v>
      </c>
      <c r="F2154" s="6" t="str">
        <f t="shared" si="2"/>
        <v>#N/A</v>
      </c>
      <c r="G2154" s="1" t="str">
        <f t="shared" si="3"/>
        <v/>
      </c>
      <c r="H2154" s="5" t="str">
        <f t="shared" si="4"/>
        <v>42, 46, TENTACATE</v>
      </c>
    </row>
    <row r="2155" ht="12.75" customHeight="1">
      <c r="A2155" s="4" t="s">
        <v>2925</v>
      </c>
      <c r="B2155" s="5" t="s">
        <v>2925</v>
      </c>
      <c r="C2155" s="1" t="str">
        <f t="shared" si="1"/>
        <v/>
      </c>
      <c r="E2155" s="5" t="s">
        <v>2925</v>
      </c>
      <c r="F2155" s="6" t="str">
        <f t="shared" si="2"/>
        <v>#N/A</v>
      </c>
      <c r="G2155" s="1" t="str">
        <f t="shared" si="3"/>
        <v/>
      </c>
      <c r="H2155" s="5" t="str">
        <f t="shared" si="4"/>
        <v>44, 48, VAPOREON</v>
      </c>
    </row>
    <row r="2156" ht="12.75" customHeight="1">
      <c r="A2156" s="4" t="s">
        <v>2926</v>
      </c>
      <c r="B2156" s="5" t="s">
        <v>2926</v>
      </c>
      <c r="C2156" s="1" t="str">
        <f t="shared" si="1"/>
        <v/>
      </c>
      <c r="E2156" s="5" t="s">
        <v>2926</v>
      </c>
      <c r="F2156" s="6" t="str">
        <f t="shared" si="2"/>
        <v>#N/A</v>
      </c>
      <c r="G2156" s="1" t="str">
        <f t="shared" si="3"/>
        <v/>
      </c>
      <c r="H2156" s="5" t="str">
        <f t="shared" si="4"/>
        <v>20, old rod:</v>
      </c>
    </row>
    <row r="2157" ht="12.75" customHeight="1">
      <c r="A2157" s="4" t="s">
        <v>602</v>
      </c>
      <c r="B2157" s="5" t="s">
        <v>602</v>
      </c>
      <c r="C2157" s="1" t="str">
        <f t="shared" si="1"/>
        <v/>
      </c>
      <c r="E2157" s="5" t="s">
        <v>602</v>
      </c>
      <c r="F2157" s="6" t="str">
        <f t="shared" si="2"/>
        <v>#N/A</v>
      </c>
      <c r="G2157" s="1" t="str">
        <f t="shared" si="3"/>
        <v/>
      </c>
      <c r="H2157" s="5" t="str">
        <f t="shared" si="4"/>
        <v>19, 26, HORSEA</v>
      </c>
    </row>
    <row r="2158" ht="12.75" customHeight="1">
      <c r="A2158" s="4" t="s">
        <v>1159</v>
      </c>
      <c r="B2158" s="5" t="s">
        <v>1159</v>
      </c>
      <c r="C2158" s="1" t="str">
        <f t="shared" si="1"/>
        <v/>
      </c>
      <c r="E2158" s="5" t="s">
        <v>1159</v>
      </c>
      <c r="F2158" s="6" t="str">
        <f t="shared" si="2"/>
        <v>#N/A</v>
      </c>
      <c r="G2158" s="1" t="str">
        <f t="shared" si="3"/>
        <v/>
      </c>
      <c r="H2158" s="5" t="str">
        <f t="shared" si="4"/>
        <v>19, 26, PSYDUCK</v>
      </c>
    </row>
    <row r="2159" ht="12.75" customHeight="1">
      <c r="A2159" s="4" t="s">
        <v>2847</v>
      </c>
      <c r="B2159" s="5" t="s">
        <v>2847</v>
      </c>
      <c r="C2159" s="1" t="str">
        <f t="shared" si="1"/>
        <v/>
      </c>
      <c r="E2159" s="5" t="s">
        <v>2847</v>
      </c>
      <c r="F2159" s="6" t="str">
        <f t="shared" si="2"/>
        <v>#N/A</v>
      </c>
      <c r="G2159" s="1" t="str">
        <f t="shared" si="3"/>
        <v/>
      </c>
      <c r="H2159" s="5" t="str">
        <f t="shared" si="4"/>
        <v>good rod:</v>
      </c>
    </row>
    <row r="2160" ht="12.75" customHeight="1">
      <c r="A2160" s="4" t="s">
        <v>3431</v>
      </c>
      <c r="B2160" s="5" t="s">
        <v>3431</v>
      </c>
      <c r="C2160" s="1" t="str">
        <f t="shared" si="1"/>
        <v/>
      </c>
      <c r="E2160" s="5" t="s">
        <v>3431</v>
      </c>
      <c r="F2160" s="6" t="str">
        <f t="shared" si="2"/>
        <v>#N/A</v>
      </c>
      <c r="G2160" s="1" t="str">
        <f t="shared" si="3"/>
        <v/>
      </c>
      <c r="H2160" s="5" t="str">
        <f t="shared" si="4"/>
        <v>29, 33, HORSEA</v>
      </c>
    </row>
    <row r="2161" ht="12.75" customHeight="1">
      <c r="A2161" s="4" t="s">
        <v>3432</v>
      </c>
      <c r="B2161" s="5" t="s">
        <v>3432</v>
      </c>
      <c r="C2161" s="1" t="str">
        <f t="shared" si="1"/>
        <v/>
      </c>
      <c r="E2161" s="5" t="s">
        <v>3432</v>
      </c>
      <c r="F2161" s="6" t="str">
        <f t="shared" si="2"/>
        <v>#N/A</v>
      </c>
      <c r="G2161" s="1" t="str">
        <f t="shared" si="3"/>
        <v/>
      </c>
      <c r="H2161" s="5" t="str">
        <f t="shared" si="4"/>
        <v>30, 35, SLOWPOKE</v>
      </c>
    </row>
    <row r="2162" ht="12.75" customHeight="1">
      <c r="A2162" s="4" t="s">
        <v>3355</v>
      </c>
      <c r="B2162" s="5" t="s">
        <v>3355</v>
      </c>
      <c r="C2162" s="1" t="str">
        <f t="shared" si="1"/>
        <v/>
      </c>
      <c r="E2162" s="5" t="s">
        <v>3355</v>
      </c>
      <c r="F2162" s="6" t="str">
        <f t="shared" si="2"/>
        <v>#N/A</v>
      </c>
      <c r="G2162" s="1" t="str">
        <f t="shared" si="3"/>
        <v/>
      </c>
      <c r="H2162" s="5" t="str">
        <f t="shared" si="4"/>
        <v>30, 35, PSYDUCK</v>
      </c>
    </row>
    <row r="2163" ht="12.75" customHeight="1">
      <c r="A2163" s="4" t="s">
        <v>2851</v>
      </c>
      <c r="B2163" s="5" t="s">
        <v>2851</v>
      </c>
      <c r="C2163" s="1" t="str">
        <f t="shared" si="1"/>
        <v/>
      </c>
      <c r="E2163" s="5" t="s">
        <v>2851</v>
      </c>
      <c r="F2163" s="6" t="str">
        <f t="shared" si="2"/>
        <v>#N/A</v>
      </c>
      <c r="G2163" s="1" t="str">
        <f t="shared" si="3"/>
        <v/>
      </c>
      <c r="H2163" s="5" t="str">
        <f t="shared" si="4"/>
        <v>super rod:</v>
      </c>
    </row>
    <row r="2164" ht="12.75" customHeight="1">
      <c r="A2164" s="4" t="s">
        <v>3433</v>
      </c>
      <c r="B2164" s="5" t="s">
        <v>3433</v>
      </c>
      <c r="C2164" s="1" t="str">
        <f t="shared" si="1"/>
        <v/>
      </c>
      <c r="E2164" s="5" t="s">
        <v>3433</v>
      </c>
      <c r="F2164" s="6" t="str">
        <f t="shared" si="2"/>
        <v>#N/A</v>
      </c>
      <c r="G2164" s="1" t="str">
        <f t="shared" si="3"/>
        <v/>
      </c>
      <c r="H2164" s="5" t="str">
        <f t="shared" si="4"/>
        <v>36, 40, SEADRA</v>
      </c>
    </row>
    <row r="2165" ht="12.75" customHeight="1">
      <c r="A2165" s="4" t="s">
        <v>3434</v>
      </c>
      <c r="B2165" s="5" t="s">
        <v>3434</v>
      </c>
      <c r="C2165" s="1" t="str">
        <f t="shared" si="1"/>
        <v/>
      </c>
      <c r="E2165" s="5" t="s">
        <v>3434</v>
      </c>
      <c r="F2165" s="6" t="str">
        <f t="shared" si="2"/>
        <v>#N/A</v>
      </c>
      <c r="G2165" s="1" t="str">
        <f t="shared" si="3"/>
        <v/>
      </c>
      <c r="H2165" s="5" t="str">
        <f t="shared" si="4"/>
        <v>36, 40, GOLDUCK</v>
      </c>
    </row>
    <row r="2166" ht="12.75" customHeight="1">
      <c r="A2166" s="4" t="s">
        <v>3435</v>
      </c>
      <c r="B2166" s="5" t="s">
        <v>3435</v>
      </c>
      <c r="C2166" s="1" t="str">
        <f t="shared" si="1"/>
        <v/>
      </c>
      <c r="E2166" s="5" t="s">
        <v>3435</v>
      </c>
      <c r="F2166" s="6" t="str">
        <f t="shared" si="2"/>
        <v>#N/A</v>
      </c>
      <c r="G2166" s="1" t="str">
        <f t="shared" si="3"/>
        <v/>
      </c>
      <c r="H2166" s="5" t="str">
        <f t="shared" si="4"/>
        <v>38, 42, SLOWBRO</v>
      </c>
    </row>
    <row r="2167" ht="12.75" customHeight="1">
      <c r="A2167" s="4" t="s">
        <v>3436</v>
      </c>
      <c r="B2167" s="5" t="s">
        <v>3436</v>
      </c>
      <c r="C2167" s="1" t="str">
        <f t="shared" si="1"/>
        <v/>
      </c>
      <c r="E2167" s="5" t="s">
        <v>3436</v>
      </c>
      <c r="F2167" s="6" t="str">
        <f t="shared" si="2"/>
        <v>#N/A</v>
      </c>
      <c r="G2167" s="1" t="str">
        <f t="shared" si="3"/>
        <v/>
      </c>
      <c r="H2167" s="5" t="str">
        <f t="shared" si="4"/>
        <v>38, 42, KINGDRA</v>
      </c>
    </row>
    <row r="2168" ht="12.75" customHeight="1">
      <c r="A2168" s="4" t="s">
        <v>3437</v>
      </c>
      <c r="B2168" s="5" t="s">
        <v>3437</v>
      </c>
      <c r="C2168" s="1" t="str">
        <f t="shared" si="1"/>
        <v/>
      </c>
      <c r="E2168" s="5" t="s">
        <v>3437</v>
      </c>
      <c r="F2168" s="6" t="str">
        <f t="shared" si="2"/>
        <v>#N/A</v>
      </c>
      <c r="G2168" s="1" t="str">
        <f t="shared" si="3"/>
        <v/>
      </c>
      <c r="H2168" s="5" t="str">
        <f t="shared" si="4"/>
        <v>40, 44, GILDUCK</v>
      </c>
    </row>
    <row r="2169" ht="12.75" customHeight="1">
      <c r="A2169" s="4" t="s">
        <v>2539</v>
      </c>
      <c r="B2169" s="5" t="s">
        <v>2539</v>
      </c>
      <c r="C2169" s="1">
        <f t="shared" si="1"/>
        <v>1</v>
      </c>
      <c r="E2169" s="5" t="s">
        <v>2539</v>
      </c>
      <c r="F2169" s="6" t="str">
        <f t="shared" si="2"/>
        <v>#N/A</v>
      </c>
      <c r="G2169" s="1" t="str">
        <f t="shared" si="3"/>
        <v/>
      </c>
      <c r="H2169" s="5" t="str">
        <f t="shared" si="4"/>
        <v>NEW ROUTE</v>
      </c>
    </row>
    <row r="2170" ht="12.75" customHeight="1">
      <c r="A2170" s="4" t="s">
        <v>2123</v>
      </c>
      <c r="B2170" s="5" t="s">
        <v>2123</v>
      </c>
      <c r="C2170" s="1" t="str">
        <f t="shared" si="1"/>
        <v/>
      </c>
      <c r="E2170" s="5" t="s">
        <v>2123</v>
      </c>
      <c r="F2170" s="6" t="str">
        <f t="shared" si="2"/>
        <v>Route 11</v>
      </c>
      <c r="G2170" s="1" t="str">
        <f t="shared" si="3"/>
        <v>Route 11</v>
      </c>
      <c r="H2170" s="5" t="str">
        <f t="shared" si="4"/>
        <v>Route 11</v>
      </c>
    </row>
    <row r="2171" ht="12.75" customHeight="1">
      <c r="A2171" s="4" t="s">
        <v>2799</v>
      </c>
      <c r="B2171" s="5">
        <v>0.2</v>
      </c>
      <c r="C2171" s="1" t="str">
        <f t="shared" si="1"/>
        <v/>
      </c>
      <c r="E2171" s="5">
        <v>0.2</v>
      </c>
      <c r="F2171" s="6" t="str">
        <f t="shared" si="2"/>
        <v>#N/A</v>
      </c>
      <c r="G2171" s="1" t="str">
        <f t="shared" si="3"/>
        <v/>
      </c>
      <c r="H2171" s="5">
        <f t="shared" si="4"/>
        <v>0.2</v>
      </c>
    </row>
    <row r="2172" ht="12.75" customHeight="1">
      <c r="A2172" s="4" t="s">
        <v>1062</v>
      </c>
      <c r="B2172" s="5" t="s">
        <v>1062</v>
      </c>
      <c r="C2172" s="1" t="str">
        <f t="shared" si="1"/>
        <v/>
      </c>
      <c r="E2172" s="5" t="s">
        <v>1062</v>
      </c>
      <c r="F2172" s="6" t="str">
        <f t="shared" si="2"/>
        <v>#N/A</v>
      </c>
      <c r="G2172" s="1" t="str">
        <f t="shared" si="3"/>
        <v/>
      </c>
      <c r="H2172" s="5" t="str">
        <f t="shared" si="4"/>
        <v>16, 18, EKANS</v>
      </c>
    </row>
    <row r="2173" ht="12.75" customHeight="1">
      <c r="A2173" s="4" t="s">
        <v>3439</v>
      </c>
      <c r="B2173" s="5" t="s">
        <v>3439</v>
      </c>
      <c r="C2173" s="1" t="str">
        <f t="shared" si="1"/>
        <v/>
      </c>
      <c r="E2173" s="5" t="s">
        <v>3439</v>
      </c>
      <c r="F2173" s="6" t="str">
        <f t="shared" si="2"/>
        <v>#N/A</v>
      </c>
      <c r="G2173" s="1" t="str">
        <f t="shared" si="3"/>
        <v/>
      </c>
      <c r="H2173" s="5" t="str">
        <f t="shared" si="4"/>
        <v>16, 18, SPEAROW</v>
      </c>
    </row>
    <row r="2174" ht="12.75" customHeight="1">
      <c r="A2174" s="4" t="s">
        <v>2802</v>
      </c>
      <c r="B2174" s="5">
        <v>0.1</v>
      </c>
      <c r="C2174" s="1" t="str">
        <f t="shared" si="1"/>
        <v/>
      </c>
      <c r="E2174" s="5">
        <v>0.1</v>
      </c>
      <c r="F2174" s="6" t="str">
        <f t="shared" si="2"/>
        <v>#N/A</v>
      </c>
      <c r="G2174" s="1" t="str">
        <f t="shared" si="3"/>
        <v/>
      </c>
      <c r="H2174" s="5">
        <f t="shared" si="4"/>
        <v>0.1</v>
      </c>
    </row>
    <row r="2175" ht="12.75" customHeight="1">
      <c r="A2175" s="4" t="s">
        <v>3440</v>
      </c>
      <c r="B2175" s="5" t="s">
        <v>3440</v>
      </c>
      <c r="C2175" s="1" t="str">
        <f t="shared" si="1"/>
        <v/>
      </c>
      <c r="E2175" s="5" t="s">
        <v>3440</v>
      </c>
      <c r="F2175" s="6" t="str">
        <f t="shared" si="2"/>
        <v>#N/A</v>
      </c>
      <c r="G2175" s="1" t="str">
        <f t="shared" si="3"/>
        <v/>
      </c>
      <c r="H2175" s="5" t="str">
        <f t="shared" si="4"/>
        <v>17, 20, SANDSHREW</v>
      </c>
    </row>
    <row r="2176" ht="12.75" customHeight="1">
      <c r="A2176" s="4" t="s">
        <v>3441</v>
      </c>
      <c r="B2176" s="5" t="s">
        <v>3441</v>
      </c>
      <c r="C2176" s="1" t="str">
        <f t="shared" si="1"/>
        <v/>
      </c>
      <c r="E2176" s="5" t="s">
        <v>3441</v>
      </c>
      <c r="F2176" s="6" t="str">
        <f t="shared" si="2"/>
        <v>#N/A</v>
      </c>
      <c r="G2176" s="1" t="str">
        <f t="shared" si="3"/>
        <v/>
      </c>
      <c r="H2176" s="5" t="str">
        <f t="shared" si="4"/>
        <v>17, 20, DROWZEE</v>
      </c>
    </row>
    <row r="2177" ht="12.75" customHeight="1">
      <c r="A2177" s="4" t="s">
        <v>3442</v>
      </c>
      <c r="B2177" s="5" t="s">
        <v>3442</v>
      </c>
      <c r="C2177" s="1" t="str">
        <f t="shared" si="1"/>
        <v/>
      </c>
      <c r="E2177" s="5" t="s">
        <v>3442</v>
      </c>
      <c r="F2177" s="6" t="str">
        <f t="shared" si="2"/>
        <v>#N/A</v>
      </c>
      <c r="G2177" s="1" t="str">
        <f t="shared" si="3"/>
        <v/>
      </c>
      <c r="H2177" s="5" t="str">
        <f t="shared" si="4"/>
        <v>17, 20, MAGNEMITE</v>
      </c>
    </row>
    <row r="2178" ht="12.75" customHeight="1">
      <c r="A2178" s="4" t="s">
        <v>3443</v>
      </c>
      <c r="B2178" s="5" t="s">
        <v>3443</v>
      </c>
      <c r="C2178" s="1" t="str">
        <f t="shared" si="1"/>
        <v/>
      </c>
      <c r="E2178" s="5" t="s">
        <v>3443</v>
      </c>
      <c r="F2178" s="6" t="str">
        <f t="shared" si="2"/>
        <v>#N/A</v>
      </c>
      <c r="G2178" s="1" t="str">
        <f t="shared" si="3"/>
        <v/>
      </c>
      <c r="H2178" s="5" t="str">
        <f t="shared" si="4"/>
        <v>17, 20, VOLTORB</v>
      </c>
    </row>
    <row r="2179" ht="12.75" customHeight="1">
      <c r="A2179" s="4" t="s">
        <v>2807</v>
      </c>
      <c r="B2179" s="5">
        <v>0.05</v>
      </c>
      <c r="C2179" s="1" t="str">
        <f t="shared" si="1"/>
        <v/>
      </c>
      <c r="E2179" s="5">
        <v>0.05</v>
      </c>
      <c r="F2179" s="6" t="str">
        <f t="shared" si="2"/>
        <v>#N/A</v>
      </c>
      <c r="G2179" s="1" t="str">
        <f t="shared" si="3"/>
        <v/>
      </c>
      <c r="H2179" s="5">
        <f t="shared" si="4"/>
        <v>0.05</v>
      </c>
    </row>
    <row r="2180" ht="12.75" customHeight="1">
      <c r="A2180" s="4" t="s">
        <v>3444</v>
      </c>
      <c r="B2180" s="5" t="s">
        <v>3444</v>
      </c>
      <c r="C2180" s="1" t="str">
        <f t="shared" si="1"/>
        <v/>
      </c>
      <c r="E2180" s="5" t="s">
        <v>3444</v>
      </c>
      <c r="F2180" s="6" t="str">
        <f t="shared" si="2"/>
        <v>#N/A</v>
      </c>
      <c r="G2180" s="1" t="str">
        <f t="shared" si="3"/>
        <v/>
      </c>
      <c r="H2180" s="5" t="str">
        <f t="shared" si="4"/>
        <v>18, 18, FARFETCH'D</v>
      </c>
    </row>
    <row r="2181" ht="12.75" customHeight="1">
      <c r="A2181" s="4" t="s">
        <v>3445</v>
      </c>
      <c r="B2181" s="5" t="s">
        <v>3445</v>
      </c>
      <c r="C2181" s="1" t="str">
        <f t="shared" si="1"/>
        <v/>
      </c>
      <c r="E2181" s="5" t="s">
        <v>3445</v>
      </c>
      <c r="F2181" s="6" t="str">
        <f t="shared" si="2"/>
        <v>#N/A</v>
      </c>
      <c r="G2181" s="1" t="str">
        <f t="shared" si="3"/>
        <v/>
      </c>
      <c r="H2181" s="5" t="str">
        <f t="shared" si="4"/>
        <v>18, 18, ABRA</v>
      </c>
    </row>
    <row r="2182" ht="12.75" customHeight="1">
      <c r="A2182" s="4" t="s">
        <v>2810</v>
      </c>
      <c r="B2182" s="5">
        <v>0.04</v>
      </c>
      <c r="C2182" s="1" t="str">
        <f t="shared" si="1"/>
        <v/>
      </c>
      <c r="E2182" s="5">
        <v>0.04</v>
      </c>
      <c r="F2182" s="6" t="str">
        <f t="shared" si="2"/>
        <v>#N/A</v>
      </c>
      <c r="G2182" s="1" t="str">
        <f t="shared" si="3"/>
        <v/>
      </c>
      <c r="H2182" s="5">
        <f t="shared" si="4"/>
        <v>0.04</v>
      </c>
    </row>
    <row r="2183" ht="12.75" customHeight="1">
      <c r="A2183" s="4" t="s">
        <v>3446</v>
      </c>
      <c r="B2183" s="5" t="s">
        <v>3446</v>
      </c>
      <c r="C2183" s="1" t="str">
        <f t="shared" si="1"/>
        <v/>
      </c>
      <c r="E2183" s="5" t="s">
        <v>3446</v>
      </c>
      <c r="F2183" s="6" t="str">
        <f t="shared" si="2"/>
        <v>#N/A</v>
      </c>
      <c r="G2183" s="1" t="str">
        <f t="shared" si="3"/>
        <v/>
      </c>
      <c r="H2183" s="5" t="str">
        <f t="shared" si="4"/>
        <v>15, 19, PIKACHU</v>
      </c>
    </row>
    <row r="2184" ht="12.75" customHeight="1">
      <c r="A2184" s="4" t="s">
        <v>3447</v>
      </c>
      <c r="B2184" s="5" t="s">
        <v>3447</v>
      </c>
      <c r="C2184" s="1" t="str">
        <f t="shared" si="1"/>
        <v/>
      </c>
      <c r="E2184" s="5" t="s">
        <v>3447</v>
      </c>
      <c r="F2184" s="6" t="str">
        <f t="shared" si="2"/>
        <v>#N/A</v>
      </c>
      <c r="G2184" s="1" t="str">
        <f t="shared" si="3"/>
        <v/>
      </c>
      <c r="H2184" s="5" t="str">
        <f t="shared" si="4"/>
        <v>15, 19, KADABRA</v>
      </c>
    </row>
    <row r="2185" ht="12.75" customHeight="1">
      <c r="A2185" s="4" t="s">
        <v>2813</v>
      </c>
      <c r="B2185" s="5">
        <v>0.01</v>
      </c>
      <c r="C2185" s="1" t="str">
        <f t="shared" si="1"/>
        <v/>
      </c>
      <c r="E2185" s="5">
        <v>0.01</v>
      </c>
      <c r="F2185" s="6" t="str">
        <f t="shared" si="2"/>
        <v>#N/A</v>
      </c>
      <c r="G2185" s="1" t="str">
        <f t="shared" si="3"/>
        <v/>
      </c>
      <c r="H2185" s="5">
        <f t="shared" si="4"/>
        <v>0.01</v>
      </c>
    </row>
    <row r="2186" ht="12.75" customHeight="1">
      <c r="A2186" s="4" t="s">
        <v>3448</v>
      </c>
      <c r="B2186" s="5" t="s">
        <v>3448</v>
      </c>
      <c r="C2186" s="1" t="str">
        <f t="shared" si="1"/>
        <v/>
      </c>
      <c r="E2186" s="5" t="s">
        <v>3448</v>
      </c>
      <c r="F2186" s="6" t="str">
        <f t="shared" si="2"/>
        <v>#N/A</v>
      </c>
      <c r="G2186" s="1" t="str">
        <f t="shared" si="3"/>
        <v/>
      </c>
      <c r="H2186" s="5" t="str">
        <f t="shared" si="4"/>
        <v>22, 22, ARBOK</v>
      </c>
    </row>
    <row r="2187" ht="12.75" customHeight="1">
      <c r="A2187" s="4" t="s">
        <v>3449</v>
      </c>
      <c r="B2187" s="5" t="s">
        <v>3449</v>
      </c>
      <c r="C2187" s="1" t="str">
        <f t="shared" si="1"/>
        <v/>
      </c>
      <c r="E2187" s="5" t="s">
        <v>3449</v>
      </c>
      <c r="F2187" s="6" t="str">
        <f t="shared" si="2"/>
        <v>#N/A</v>
      </c>
      <c r="G2187" s="1" t="str">
        <f t="shared" si="3"/>
        <v/>
      </c>
      <c r="H2187" s="5" t="str">
        <f t="shared" si="4"/>
        <v>22, 22, LICKITUNG</v>
      </c>
    </row>
    <row r="2188" ht="12.75" customHeight="1">
      <c r="A2188" s="4" t="s">
        <v>3350</v>
      </c>
      <c r="B2188" s="5" t="s">
        <v>3350</v>
      </c>
      <c r="C2188" s="1" t="str">
        <f t="shared" si="1"/>
        <v/>
      </c>
      <c r="E2188" s="5" t="s">
        <v>3350</v>
      </c>
      <c r="F2188" s="6" t="str">
        <f t="shared" si="2"/>
        <v>#N/A</v>
      </c>
      <c r="G2188" s="1" t="str">
        <f t="shared" si="3"/>
        <v/>
      </c>
      <c r="H2188" s="5" t="str">
        <f t="shared" si="4"/>
        <v>2, 38, 42, TENTACOOL</v>
      </c>
    </row>
    <row r="2189" ht="12.75" customHeight="1">
      <c r="A2189" s="4" t="s">
        <v>3429</v>
      </c>
      <c r="B2189" s="5" t="s">
        <v>3429</v>
      </c>
      <c r="C2189" s="1" t="str">
        <f t="shared" si="1"/>
        <v/>
      </c>
      <c r="E2189" s="5" t="s">
        <v>3429</v>
      </c>
      <c r="F2189" s="6" t="str">
        <f t="shared" si="2"/>
        <v>#N/A</v>
      </c>
      <c r="G2189" s="1" t="str">
        <f t="shared" si="3"/>
        <v/>
      </c>
      <c r="H2189" s="5" t="str">
        <f t="shared" si="4"/>
        <v>40, 44, TENTACRUEL</v>
      </c>
    </row>
    <row r="2190" ht="12.75" customHeight="1">
      <c r="A2190" s="4" t="s">
        <v>3025</v>
      </c>
      <c r="B2190" s="5" t="s">
        <v>3025</v>
      </c>
      <c r="C2190" s="1" t="str">
        <f t="shared" si="1"/>
        <v/>
      </c>
      <c r="E2190" s="5" t="s">
        <v>3025</v>
      </c>
      <c r="F2190" s="6" t="str">
        <f t="shared" si="2"/>
        <v>#N/A</v>
      </c>
      <c r="G2190" s="1" t="str">
        <f t="shared" si="3"/>
        <v/>
      </c>
      <c r="H2190" s="5" t="str">
        <f t="shared" si="4"/>
        <v>42, 46, LAPRAS</v>
      </c>
    </row>
    <row r="2191" ht="12.75" customHeight="1">
      <c r="A2191" s="4" t="s">
        <v>3430</v>
      </c>
      <c r="B2191" s="5" t="s">
        <v>3430</v>
      </c>
      <c r="C2191" s="1" t="str">
        <f t="shared" si="1"/>
        <v/>
      </c>
      <c r="E2191" s="5" t="s">
        <v>3430</v>
      </c>
      <c r="F2191" s="6" t="str">
        <f t="shared" si="2"/>
        <v>#N/A</v>
      </c>
      <c r="G2191" s="1" t="str">
        <f t="shared" si="3"/>
        <v/>
      </c>
      <c r="H2191" s="5" t="str">
        <f t="shared" si="4"/>
        <v>42, 46, TENTACATE</v>
      </c>
    </row>
    <row r="2192" ht="12.75" customHeight="1">
      <c r="A2192" s="4" t="s">
        <v>3450</v>
      </c>
      <c r="B2192" s="5" t="s">
        <v>3450</v>
      </c>
      <c r="C2192" s="1" t="str">
        <f t="shared" si="1"/>
        <v/>
      </c>
      <c r="E2192" s="5" t="s">
        <v>3450</v>
      </c>
      <c r="F2192" s="6" t="str">
        <f t="shared" si="2"/>
        <v>#N/A</v>
      </c>
      <c r="G2192" s="1" t="str">
        <f t="shared" si="3"/>
        <v/>
      </c>
      <c r="H2192" s="5" t="str">
        <f t="shared" si="4"/>
        <v>44, 48, LOCHLASS</v>
      </c>
    </row>
    <row r="2193" ht="12.75" customHeight="1">
      <c r="A2193" s="4" t="s">
        <v>2926</v>
      </c>
      <c r="B2193" s="5" t="s">
        <v>2926</v>
      </c>
      <c r="C2193" s="1" t="str">
        <f t="shared" si="1"/>
        <v/>
      </c>
      <c r="E2193" s="5" t="s">
        <v>2926</v>
      </c>
      <c r="F2193" s="6" t="str">
        <f t="shared" si="2"/>
        <v>#N/A</v>
      </c>
      <c r="G2193" s="1" t="str">
        <f t="shared" si="3"/>
        <v/>
      </c>
      <c r="H2193" s="5" t="str">
        <f t="shared" si="4"/>
        <v>20, old rod:</v>
      </c>
    </row>
    <row r="2194" ht="12.75" customHeight="1">
      <c r="A2194" s="4" t="s">
        <v>500</v>
      </c>
      <c r="B2194" s="5" t="s">
        <v>500</v>
      </c>
      <c r="C2194" s="1" t="str">
        <f t="shared" si="1"/>
        <v/>
      </c>
      <c r="E2194" s="5" t="s">
        <v>500</v>
      </c>
      <c r="F2194" s="6" t="str">
        <f t="shared" si="2"/>
        <v>#N/A</v>
      </c>
      <c r="G2194" s="1" t="str">
        <f t="shared" si="3"/>
        <v/>
      </c>
      <c r="H2194" s="5" t="str">
        <f t="shared" si="4"/>
        <v>19, 26, MAGIKARP</v>
      </c>
    </row>
    <row r="2195" ht="12.75" customHeight="1">
      <c r="A2195" s="4" t="s">
        <v>3353</v>
      </c>
      <c r="B2195" s="5" t="s">
        <v>3353</v>
      </c>
      <c r="C2195" s="1" t="str">
        <f t="shared" si="1"/>
        <v/>
      </c>
      <c r="E2195" s="5" t="s">
        <v>3353</v>
      </c>
      <c r="F2195" s="6" t="str">
        <f t="shared" si="2"/>
        <v>#N/A</v>
      </c>
      <c r="G2195" s="1" t="str">
        <f t="shared" si="3"/>
        <v/>
      </c>
      <c r="H2195" s="5" t="str">
        <f t="shared" si="4"/>
        <v>19, 26, GYARADOS</v>
      </c>
    </row>
    <row r="2196" ht="12.75" customHeight="1">
      <c r="A2196" s="4" t="s">
        <v>2847</v>
      </c>
      <c r="B2196" s="5" t="s">
        <v>2847</v>
      </c>
      <c r="C2196" s="1" t="str">
        <f t="shared" si="1"/>
        <v/>
      </c>
      <c r="E2196" s="5" t="s">
        <v>2847</v>
      </c>
      <c r="F2196" s="6" t="str">
        <f t="shared" si="2"/>
        <v>#N/A</v>
      </c>
      <c r="G2196" s="1" t="str">
        <f t="shared" si="3"/>
        <v/>
      </c>
      <c r="H2196" s="5" t="str">
        <f t="shared" si="4"/>
        <v>good rod:</v>
      </c>
    </row>
    <row r="2197" ht="12.75" customHeight="1">
      <c r="A2197" s="4" t="s">
        <v>3431</v>
      </c>
      <c r="B2197" s="5" t="s">
        <v>3431</v>
      </c>
      <c r="C2197" s="1" t="str">
        <f t="shared" si="1"/>
        <v/>
      </c>
      <c r="E2197" s="5" t="s">
        <v>3431</v>
      </c>
      <c r="F2197" s="6" t="str">
        <f t="shared" si="2"/>
        <v>#N/A</v>
      </c>
      <c r="G2197" s="1" t="str">
        <f t="shared" si="3"/>
        <v/>
      </c>
      <c r="H2197" s="5" t="str">
        <f t="shared" si="4"/>
        <v>29, 33, HORSEA</v>
      </c>
    </row>
    <row r="2198" ht="12.75" customHeight="1">
      <c r="A2198" s="4" t="s">
        <v>3451</v>
      </c>
      <c r="B2198" s="5" t="s">
        <v>3451</v>
      </c>
      <c r="C2198" s="1" t="str">
        <f t="shared" si="1"/>
        <v/>
      </c>
      <c r="E2198" s="5" t="s">
        <v>3451</v>
      </c>
      <c r="F2198" s="6" t="str">
        <f t="shared" si="2"/>
        <v>#N/A</v>
      </c>
      <c r="G2198" s="1" t="str">
        <f t="shared" si="3"/>
        <v/>
      </c>
      <c r="H2198" s="5" t="str">
        <f t="shared" si="4"/>
        <v>30, 35, SHELLDER</v>
      </c>
    </row>
    <row r="2199" ht="12.75" customHeight="1">
      <c r="A2199" s="4" t="s">
        <v>3452</v>
      </c>
      <c r="B2199" s="5" t="s">
        <v>3452</v>
      </c>
      <c r="C2199" s="1" t="str">
        <f t="shared" si="1"/>
        <v/>
      </c>
      <c r="E2199" s="5" t="s">
        <v>3452</v>
      </c>
      <c r="F2199" s="6" t="str">
        <f t="shared" si="2"/>
        <v>#N/A</v>
      </c>
      <c r="G2199" s="1" t="str">
        <f t="shared" si="3"/>
        <v/>
      </c>
      <c r="H2199" s="5" t="str">
        <f t="shared" si="4"/>
        <v>30, 35, STARYU</v>
      </c>
    </row>
    <row r="2200" ht="12.75" customHeight="1">
      <c r="A2200" s="4" t="s">
        <v>2851</v>
      </c>
      <c r="B2200" s="5" t="s">
        <v>2851</v>
      </c>
      <c r="C2200" s="1" t="str">
        <f t="shared" si="1"/>
        <v/>
      </c>
      <c r="E2200" s="5" t="s">
        <v>2851</v>
      </c>
      <c r="F2200" s="6" t="str">
        <f t="shared" si="2"/>
        <v>#N/A</v>
      </c>
      <c r="G2200" s="1" t="str">
        <f t="shared" si="3"/>
        <v/>
      </c>
      <c r="H2200" s="5" t="str">
        <f t="shared" si="4"/>
        <v>super rod:</v>
      </c>
    </row>
    <row r="2201" ht="12.75" customHeight="1">
      <c r="A2201" s="4" t="s">
        <v>3027</v>
      </c>
      <c r="B2201" s="5" t="s">
        <v>3027</v>
      </c>
      <c r="C2201" s="1" t="str">
        <f t="shared" si="1"/>
        <v/>
      </c>
      <c r="E2201" s="5" t="s">
        <v>3027</v>
      </c>
      <c r="F2201" s="6" t="str">
        <f t="shared" si="2"/>
        <v>#N/A</v>
      </c>
      <c r="G2201" s="1" t="str">
        <f t="shared" si="3"/>
        <v/>
      </c>
      <c r="H2201" s="5" t="str">
        <f t="shared" si="4"/>
        <v>29, 33, SEADRA</v>
      </c>
    </row>
    <row r="2202" ht="12.75" customHeight="1">
      <c r="A2202" s="4" t="s">
        <v>3357</v>
      </c>
      <c r="B2202" s="5" t="s">
        <v>3357</v>
      </c>
      <c r="C2202" s="1" t="str">
        <f t="shared" si="1"/>
        <v/>
      </c>
      <c r="E2202" s="5" t="s">
        <v>3357</v>
      </c>
      <c r="F2202" s="6" t="str">
        <f t="shared" si="2"/>
        <v>#N/A</v>
      </c>
      <c r="G2202" s="1" t="str">
        <f t="shared" si="3"/>
        <v/>
      </c>
      <c r="H2202" s="5" t="str">
        <f t="shared" si="4"/>
        <v>36, 40, GYARADOS</v>
      </c>
    </row>
    <row r="2203" ht="12.75" customHeight="1">
      <c r="A2203" s="4" t="s">
        <v>3453</v>
      </c>
      <c r="B2203" s="5" t="s">
        <v>3453</v>
      </c>
      <c r="C2203" s="1" t="str">
        <f t="shared" si="1"/>
        <v/>
      </c>
      <c r="E2203" s="5" t="s">
        <v>3453</v>
      </c>
      <c r="F2203" s="6" t="str">
        <f t="shared" si="2"/>
        <v>#N/A</v>
      </c>
      <c r="G2203" s="1" t="str">
        <f t="shared" si="3"/>
        <v/>
      </c>
      <c r="H2203" s="5" t="str">
        <f t="shared" si="4"/>
        <v>38, 42, STARMIE</v>
      </c>
    </row>
    <row r="2204" ht="12.75" customHeight="1">
      <c r="A2204" s="4" t="s">
        <v>3454</v>
      </c>
      <c r="B2204" s="5" t="s">
        <v>3454</v>
      </c>
      <c r="C2204" s="1" t="str">
        <f t="shared" si="1"/>
        <v/>
      </c>
      <c r="E2204" s="5" t="s">
        <v>3454</v>
      </c>
      <c r="F2204" s="6" t="str">
        <f t="shared" si="2"/>
        <v>#N/A</v>
      </c>
      <c r="G2204" s="1" t="str">
        <f t="shared" si="3"/>
        <v/>
      </c>
      <c r="H2204" s="5" t="str">
        <f t="shared" si="4"/>
        <v>38, 42, CLOYSTER</v>
      </c>
    </row>
    <row r="2205" ht="12.75" customHeight="1">
      <c r="A2205" s="4" t="s">
        <v>3455</v>
      </c>
      <c r="B2205" s="5" t="s">
        <v>3455</v>
      </c>
      <c r="C2205" s="1" t="str">
        <f t="shared" si="1"/>
        <v/>
      </c>
      <c r="E2205" s="5" t="s">
        <v>3455</v>
      </c>
      <c r="F2205" s="6" t="str">
        <f t="shared" si="2"/>
        <v>#N/A</v>
      </c>
      <c r="G2205" s="1" t="str">
        <f t="shared" si="3"/>
        <v/>
      </c>
      <c r="H2205" s="5" t="str">
        <f t="shared" si="4"/>
        <v>38, 42, STARUS</v>
      </c>
    </row>
    <row r="2206" ht="12.75" customHeight="1">
      <c r="A2206" s="4" t="s">
        <v>2539</v>
      </c>
      <c r="B2206" s="5" t="s">
        <v>2539</v>
      </c>
      <c r="C2206" s="1">
        <f t="shared" si="1"/>
        <v>1</v>
      </c>
      <c r="E2206" s="5" t="s">
        <v>2539</v>
      </c>
      <c r="F2206" s="6" t="str">
        <f t="shared" si="2"/>
        <v>#N/A</v>
      </c>
      <c r="G2206" s="1" t="str">
        <f t="shared" si="3"/>
        <v/>
      </c>
      <c r="H2206" s="5" t="str">
        <f t="shared" si="4"/>
        <v>NEW ROUTE</v>
      </c>
    </row>
    <row r="2207" ht="12.75" customHeight="1">
      <c r="A2207" s="4" t="s">
        <v>2125</v>
      </c>
      <c r="B2207" s="5" t="s">
        <v>2125</v>
      </c>
      <c r="C2207" s="1" t="str">
        <f t="shared" si="1"/>
        <v/>
      </c>
      <c r="E2207" s="5" t="s">
        <v>2125</v>
      </c>
      <c r="F2207" s="6" t="str">
        <f t="shared" si="2"/>
        <v>Route 12</v>
      </c>
      <c r="G2207" s="1" t="str">
        <f t="shared" si="3"/>
        <v>Route 12</v>
      </c>
      <c r="H2207" s="5" t="str">
        <f t="shared" si="4"/>
        <v>Route 12</v>
      </c>
    </row>
    <row r="2208" ht="12.75" customHeight="1">
      <c r="A2208" s="4" t="s">
        <v>2799</v>
      </c>
      <c r="B2208" s="5">
        <v>0.2</v>
      </c>
      <c r="C2208" s="1" t="str">
        <f t="shared" si="1"/>
        <v/>
      </c>
      <c r="E2208" s="5">
        <v>0.2</v>
      </c>
      <c r="F2208" s="6" t="str">
        <f t="shared" si="2"/>
        <v>#N/A</v>
      </c>
      <c r="G2208" s="1" t="str">
        <f t="shared" si="3"/>
        <v/>
      </c>
      <c r="H2208" s="5">
        <f t="shared" si="4"/>
        <v>0.2</v>
      </c>
    </row>
    <row r="2209" ht="12.75" customHeight="1">
      <c r="A2209" s="4" t="s">
        <v>1081</v>
      </c>
      <c r="B2209" s="5" t="s">
        <v>1081</v>
      </c>
      <c r="C2209" s="1" t="str">
        <f t="shared" si="1"/>
        <v/>
      </c>
      <c r="E2209" s="5" t="s">
        <v>1081</v>
      </c>
      <c r="F2209" s="6" t="str">
        <f t="shared" si="2"/>
        <v>#N/A</v>
      </c>
      <c r="G2209" s="1" t="str">
        <f t="shared" si="3"/>
        <v/>
      </c>
      <c r="H2209" s="5" t="str">
        <f t="shared" si="4"/>
        <v>29, 34, BELLSPROUT</v>
      </c>
    </row>
    <row r="2210" ht="12.75" customHeight="1">
      <c r="A2210" s="4" t="s">
        <v>3457</v>
      </c>
      <c r="B2210" s="5" t="s">
        <v>3457</v>
      </c>
      <c r="C2210" s="1" t="str">
        <f t="shared" si="1"/>
        <v/>
      </c>
      <c r="E2210" s="5" t="s">
        <v>3457</v>
      </c>
      <c r="F2210" s="6" t="str">
        <f t="shared" si="2"/>
        <v>#N/A</v>
      </c>
      <c r="G2210" s="1" t="str">
        <f t="shared" si="3"/>
        <v/>
      </c>
      <c r="H2210" s="5" t="str">
        <f t="shared" si="4"/>
        <v>29, 34, PIDGEOTTO</v>
      </c>
    </row>
    <row r="2211" ht="12.75" customHeight="1">
      <c r="A2211" s="4" t="s">
        <v>2802</v>
      </c>
      <c r="B2211" s="5">
        <v>0.1</v>
      </c>
      <c r="C2211" s="1" t="str">
        <f t="shared" si="1"/>
        <v/>
      </c>
      <c r="E2211" s="5">
        <v>0.1</v>
      </c>
      <c r="F2211" s="6" t="str">
        <f t="shared" si="2"/>
        <v>#N/A</v>
      </c>
      <c r="G2211" s="1" t="str">
        <f t="shared" si="3"/>
        <v/>
      </c>
      <c r="H2211" s="5">
        <f t="shared" si="4"/>
        <v>0.1</v>
      </c>
    </row>
    <row r="2212" ht="12.75" customHeight="1">
      <c r="A2212" s="4" t="s">
        <v>3458</v>
      </c>
      <c r="B2212" s="5" t="s">
        <v>3458</v>
      </c>
      <c r="C2212" s="1" t="str">
        <f t="shared" si="1"/>
        <v/>
      </c>
      <c r="E2212" s="5" t="s">
        <v>3458</v>
      </c>
      <c r="F2212" s="6" t="str">
        <f t="shared" si="2"/>
        <v>#N/A</v>
      </c>
      <c r="G2212" s="1" t="str">
        <f t="shared" si="3"/>
        <v/>
      </c>
      <c r="H2212" s="5" t="str">
        <f t="shared" si="4"/>
        <v>29, 31, WEEPINBELL</v>
      </c>
    </row>
    <row r="2213" ht="12.75" customHeight="1">
      <c r="A2213" s="4" t="s">
        <v>3459</v>
      </c>
      <c r="B2213" s="5" t="s">
        <v>3459</v>
      </c>
      <c r="C2213" s="1" t="str">
        <f t="shared" si="1"/>
        <v/>
      </c>
      <c r="E2213" s="5" t="s">
        <v>3459</v>
      </c>
      <c r="F2213" s="6" t="str">
        <f t="shared" si="2"/>
        <v>#N/A</v>
      </c>
      <c r="G2213" s="1" t="str">
        <f t="shared" si="3"/>
        <v/>
      </c>
      <c r="H2213" s="5" t="str">
        <f t="shared" si="4"/>
        <v>29, 31, DODUO</v>
      </c>
    </row>
    <row r="2214" ht="12.75" customHeight="1">
      <c r="A2214" s="4" t="s">
        <v>3460</v>
      </c>
      <c r="B2214" s="5" t="s">
        <v>3460</v>
      </c>
      <c r="C2214" s="1" t="str">
        <f t="shared" si="1"/>
        <v/>
      </c>
      <c r="E2214" s="5" t="s">
        <v>3460</v>
      </c>
      <c r="F2214" s="6" t="str">
        <f t="shared" si="2"/>
        <v>#N/A</v>
      </c>
      <c r="G2214" s="1" t="str">
        <f t="shared" si="3"/>
        <v/>
      </c>
      <c r="H2214" s="5" t="str">
        <f t="shared" si="4"/>
        <v>31, 31, PIDGEOT</v>
      </c>
    </row>
    <row r="2215" ht="12.75" customHeight="1">
      <c r="A2215" s="4" t="s">
        <v>3461</v>
      </c>
      <c r="B2215" s="5" t="s">
        <v>3461</v>
      </c>
      <c r="C2215" s="1" t="str">
        <f t="shared" si="1"/>
        <v/>
      </c>
      <c r="E2215" s="5" t="s">
        <v>3461</v>
      </c>
      <c r="F2215" s="6" t="str">
        <f t="shared" si="2"/>
        <v>#N/A</v>
      </c>
      <c r="G2215" s="1" t="str">
        <f t="shared" si="3"/>
        <v/>
      </c>
      <c r="H2215" s="5" t="str">
        <f t="shared" si="4"/>
        <v>29, 31, EXEGGCUTE</v>
      </c>
    </row>
    <row r="2216" ht="12.75" customHeight="1">
      <c r="A2216" s="4" t="s">
        <v>2807</v>
      </c>
      <c r="B2216" s="5">
        <v>0.05</v>
      </c>
      <c r="C2216" s="1" t="str">
        <f t="shared" si="1"/>
        <v/>
      </c>
      <c r="E2216" s="5">
        <v>0.05</v>
      </c>
      <c r="F2216" s="6" t="str">
        <f t="shared" si="2"/>
        <v>#N/A</v>
      </c>
      <c r="G2216" s="1" t="str">
        <f t="shared" si="3"/>
        <v/>
      </c>
      <c r="H2216" s="5">
        <f t="shared" si="4"/>
        <v>0.05</v>
      </c>
    </row>
    <row r="2217" ht="12.75" customHeight="1">
      <c r="A2217" s="4" t="s">
        <v>3462</v>
      </c>
      <c r="B2217" s="5" t="s">
        <v>3462</v>
      </c>
      <c r="C2217" s="1" t="str">
        <f t="shared" si="1"/>
        <v/>
      </c>
      <c r="E2217" s="5" t="s">
        <v>3462</v>
      </c>
      <c r="F2217" s="6" t="str">
        <f t="shared" si="2"/>
        <v>#N/A</v>
      </c>
      <c r="G2217" s="1" t="str">
        <f t="shared" si="3"/>
        <v/>
      </c>
      <c r="H2217" s="5" t="str">
        <f t="shared" si="4"/>
        <v>30, 34, SCYTHER</v>
      </c>
    </row>
    <row r="2218" ht="12.75" customHeight="1">
      <c r="A2218" s="4" t="s">
        <v>3463</v>
      </c>
      <c r="B2218" s="5" t="s">
        <v>3463</v>
      </c>
      <c r="C2218" s="1" t="str">
        <f t="shared" si="1"/>
        <v/>
      </c>
      <c r="E2218" s="5" t="s">
        <v>3463</v>
      </c>
      <c r="F2218" s="6" t="str">
        <f t="shared" si="2"/>
        <v>#N/A</v>
      </c>
      <c r="G2218" s="1" t="str">
        <f t="shared" si="3"/>
        <v/>
      </c>
      <c r="H2218" s="5" t="str">
        <f t="shared" si="4"/>
        <v>30, 34, JYNX</v>
      </c>
    </row>
    <row r="2219" ht="12.75" customHeight="1">
      <c r="A2219" s="4" t="s">
        <v>2810</v>
      </c>
      <c r="B2219" s="5">
        <v>0.04</v>
      </c>
      <c r="C2219" s="1" t="str">
        <f t="shared" si="1"/>
        <v/>
      </c>
      <c r="E2219" s="5">
        <v>0.04</v>
      </c>
      <c r="F2219" s="6" t="str">
        <f t="shared" si="2"/>
        <v>#N/A</v>
      </c>
      <c r="G2219" s="1" t="str">
        <f t="shared" si="3"/>
        <v/>
      </c>
      <c r="H2219" s="5">
        <f t="shared" si="4"/>
        <v>0.04</v>
      </c>
    </row>
    <row r="2220" ht="12.75" customHeight="1">
      <c r="A2220" s="4" t="s">
        <v>3464</v>
      </c>
      <c r="B2220" s="5" t="s">
        <v>3464</v>
      </c>
      <c r="C2220" s="1" t="str">
        <f t="shared" si="1"/>
        <v/>
      </c>
      <c r="E2220" s="5" t="s">
        <v>3464</v>
      </c>
      <c r="F2220" s="6" t="str">
        <f t="shared" si="2"/>
        <v>#N/A</v>
      </c>
      <c r="G2220" s="1" t="str">
        <f t="shared" si="3"/>
        <v/>
      </c>
      <c r="H2220" s="5" t="str">
        <f t="shared" si="4"/>
        <v>31, 31, DODRIO</v>
      </c>
    </row>
    <row r="2221" ht="12.75" customHeight="1">
      <c r="A2221" s="4" t="s">
        <v>3465</v>
      </c>
      <c r="B2221" s="5" t="s">
        <v>3465</v>
      </c>
      <c r="C2221" s="1" t="str">
        <f t="shared" si="1"/>
        <v/>
      </c>
      <c r="E2221" s="5" t="s">
        <v>3465</v>
      </c>
      <c r="F2221" s="6" t="str">
        <f t="shared" si="2"/>
        <v>#N/A</v>
      </c>
      <c r="G2221" s="1" t="str">
        <f t="shared" si="3"/>
        <v/>
      </c>
      <c r="H2221" s="5" t="str">
        <f t="shared" si="4"/>
        <v>31, 31, EXEGGUTOR</v>
      </c>
    </row>
    <row r="2222" ht="12.75" customHeight="1">
      <c r="A2222" s="4" t="s">
        <v>2813</v>
      </c>
      <c r="B2222" s="5">
        <v>0.01</v>
      </c>
      <c r="C2222" s="1" t="str">
        <f t="shared" si="1"/>
        <v/>
      </c>
      <c r="E2222" s="5">
        <v>0.01</v>
      </c>
      <c r="F2222" s="6" t="str">
        <f t="shared" si="2"/>
        <v>#N/A</v>
      </c>
      <c r="G2222" s="1" t="str">
        <f t="shared" si="3"/>
        <v/>
      </c>
      <c r="H2222" s="5">
        <f t="shared" si="4"/>
        <v>0.01</v>
      </c>
    </row>
    <row r="2223" ht="12.75" customHeight="1">
      <c r="A2223" s="4" t="s">
        <v>3466</v>
      </c>
      <c r="B2223" s="5" t="s">
        <v>3466</v>
      </c>
      <c r="C2223" s="1" t="str">
        <f t="shared" si="1"/>
        <v/>
      </c>
      <c r="E2223" s="5" t="s">
        <v>3466</v>
      </c>
      <c r="F2223" s="6" t="str">
        <f t="shared" si="2"/>
        <v>#N/A</v>
      </c>
      <c r="G2223" s="1" t="str">
        <f t="shared" si="3"/>
        <v/>
      </c>
      <c r="H2223" s="5" t="str">
        <f t="shared" si="4"/>
        <v>29, 34, VICTREEBEL</v>
      </c>
    </row>
    <row r="2224" ht="12.75" customHeight="1">
      <c r="A2224" s="4" t="s">
        <v>3467</v>
      </c>
      <c r="B2224" s="5" t="s">
        <v>3467</v>
      </c>
      <c r="C2224" s="1" t="str">
        <f t="shared" si="1"/>
        <v/>
      </c>
      <c r="E2224" s="5" t="s">
        <v>3467</v>
      </c>
      <c r="F2224" s="6" t="str">
        <f t="shared" si="2"/>
        <v>#N/A</v>
      </c>
      <c r="G2224" s="1" t="str">
        <f t="shared" si="3"/>
        <v/>
      </c>
      <c r="H2224" s="5" t="str">
        <f t="shared" si="4"/>
        <v>20, 25, SQUIRTLE</v>
      </c>
    </row>
    <row r="2225" ht="12.75" customHeight="1">
      <c r="A2225" s="4" t="s">
        <v>3350</v>
      </c>
      <c r="B2225" s="5" t="s">
        <v>3350</v>
      </c>
      <c r="C2225" s="1" t="str">
        <f t="shared" si="1"/>
        <v/>
      </c>
      <c r="E2225" s="5" t="s">
        <v>3350</v>
      </c>
      <c r="F2225" s="6" t="str">
        <f t="shared" si="2"/>
        <v>#N/A</v>
      </c>
      <c r="G2225" s="1" t="str">
        <f t="shared" si="3"/>
        <v/>
      </c>
      <c r="H2225" s="5" t="str">
        <f t="shared" si="4"/>
        <v>2, 38, 42, TENTACOOL</v>
      </c>
    </row>
    <row r="2226" ht="12.75" customHeight="1">
      <c r="A2226" s="4" t="s">
        <v>3429</v>
      </c>
      <c r="B2226" s="5" t="s">
        <v>3429</v>
      </c>
      <c r="C2226" s="1" t="str">
        <f t="shared" si="1"/>
        <v/>
      </c>
      <c r="E2226" s="5" t="s">
        <v>3429</v>
      </c>
      <c r="F2226" s="6" t="str">
        <f t="shared" si="2"/>
        <v>#N/A</v>
      </c>
      <c r="G2226" s="1" t="str">
        <f t="shared" si="3"/>
        <v/>
      </c>
      <c r="H2226" s="5" t="str">
        <f t="shared" si="4"/>
        <v>40, 44, TENTACRUEL</v>
      </c>
    </row>
    <row r="2227" ht="12.75" customHeight="1">
      <c r="A2227" s="4" t="s">
        <v>3025</v>
      </c>
      <c r="B2227" s="5" t="s">
        <v>3025</v>
      </c>
      <c r="C2227" s="1" t="str">
        <f t="shared" si="1"/>
        <v/>
      </c>
      <c r="E2227" s="5" t="s">
        <v>3025</v>
      </c>
      <c r="F2227" s="6" t="str">
        <f t="shared" si="2"/>
        <v>#N/A</v>
      </c>
      <c r="G2227" s="1" t="str">
        <f t="shared" si="3"/>
        <v/>
      </c>
      <c r="H2227" s="5" t="str">
        <f t="shared" si="4"/>
        <v>42, 46, LAPRAS</v>
      </c>
    </row>
    <row r="2228" ht="12.75" customHeight="1">
      <c r="A2228" s="4" t="s">
        <v>3430</v>
      </c>
      <c r="B2228" s="5" t="s">
        <v>3430</v>
      </c>
      <c r="C2228" s="1" t="str">
        <f t="shared" si="1"/>
        <v/>
      </c>
      <c r="E2228" s="5" t="s">
        <v>3430</v>
      </c>
      <c r="F2228" s="6" t="str">
        <f t="shared" si="2"/>
        <v>#N/A</v>
      </c>
      <c r="G2228" s="1" t="str">
        <f t="shared" si="3"/>
        <v/>
      </c>
      <c r="H2228" s="5" t="str">
        <f t="shared" si="4"/>
        <v>42, 46, TENTACATE</v>
      </c>
    </row>
    <row r="2229" ht="12.75" customHeight="1">
      <c r="A2229" s="4" t="s">
        <v>3450</v>
      </c>
      <c r="B2229" s="5" t="s">
        <v>3450</v>
      </c>
      <c r="C2229" s="1" t="str">
        <f t="shared" si="1"/>
        <v/>
      </c>
      <c r="E2229" s="5" t="s">
        <v>3450</v>
      </c>
      <c r="F2229" s="6" t="str">
        <f t="shared" si="2"/>
        <v>#N/A</v>
      </c>
      <c r="G2229" s="1" t="str">
        <f t="shared" si="3"/>
        <v/>
      </c>
      <c r="H2229" s="5" t="str">
        <f t="shared" si="4"/>
        <v>44, 48, LOCHLASS</v>
      </c>
    </row>
    <row r="2230" ht="12.75" customHeight="1">
      <c r="A2230" s="4" t="s">
        <v>3468</v>
      </c>
      <c r="B2230" s="5" t="s">
        <v>3468</v>
      </c>
      <c r="C2230" s="1" t="str">
        <f t="shared" si="1"/>
        <v/>
      </c>
      <c r="E2230" s="5" t="s">
        <v>3468</v>
      </c>
      <c r="F2230" s="6" t="str">
        <f t="shared" si="2"/>
        <v>#N/A</v>
      </c>
      <c r="G2230" s="1" t="str">
        <f t="shared" si="3"/>
        <v/>
      </c>
      <c r="H2230" s="5" t="str">
        <f t="shared" si="4"/>
        <v>60, old rod:</v>
      </c>
    </row>
    <row r="2231" ht="12.75" customHeight="1">
      <c r="A2231" s="4" t="s">
        <v>500</v>
      </c>
      <c r="B2231" s="5" t="s">
        <v>500</v>
      </c>
      <c r="C2231" s="1" t="str">
        <f t="shared" si="1"/>
        <v/>
      </c>
      <c r="E2231" s="5" t="s">
        <v>500</v>
      </c>
      <c r="F2231" s="6" t="str">
        <f t="shared" si="2"/>
        <v>#N/A</v>
      </c>
      <c r="G2231" s="1" t="str">
        <f t="shared" si="3"/>
        <v/>
      </c>
      <c r="H2231" s="5" t="str">
        <f t="shared" si="4"/>
        <v>19, 26, MAGIKARP</v>
      </c>
    </row>
    <row r="2232" ht="12.75" customHeight="1">
      <c r="A2232" s="4" t="s">
        <v>3353</v>
      </c>
      <c r="B2232" s="5" t="s">
        <v>3353</v>
      </c>
      <c r="C2232" s="1" t="str">
        <f t="shared" si="1"/>
        <v/>
      </c>
      <c r="E2232" s="5" t="s">
        <v>3353</v>
      </c>
      <c r="F2232" s="6" t="str">
        <f t="shared" si="2"/>
        <v>#N/A</v>
      </c>
      <c r="G2232" s="1" t="str">
        <f t="shared" si="3"/>
        <v/>
      </c>
      <c r="H2232" s="5" t="str">
        <f t="shared" si="4"/>
        <v>19, 26, GYARADOS</v>
      </c>
    </row>
    <row r="2233" ht="12.75" customHeight="1">
      <c r="A2233" s="4" t="s">
        <v>2847</v>
      </c>
      <c r="B2233" s="5" t="s">
        <v>2847</v>
      </c>
      <c r="C2233" s="1" t="str">
        <f t="shared" si="1"/>
        <v/>
      </c>
      <c r="E2233" s="5" t="s">
        <v>2847</v>
      </c>
      <c r="F2233" s="6" t="str">
        <f t="shared" si="2"/>
        <v>#N/A</v>
      </c>
      <c r="G2233" s="1" t="str">
        <f t="shared" si="3"/>
        <v/>
      </c>
      <c r="H2233" s="5" t="str">
        <f t="shared" si="4"/>
        <v>good rod:</v>
      </c>
    </row>
    <row r="2234" ht="12.75" customHeight="1">
      <c r="A2234" s="4" t="s">
        <v>3431</v>
      </c>
      <c r="B2234" s="5" t="s">
        <v>3431</v>
      </c>
      <c r="C2234" s="1" t="str">
        <f t="shared" si="1"/>
        <v/>
      </c>
      <c r="E2234" s="5" t="s">
        <v>3431</v>
      </c>
      <c r="F2234" s="6" t="str">
        <f t="shared" si="2"/>
        <v>#N/A</v>
      </c>
      <c r="G2234" s="1" t="str">
        <f t="shared" si="3"/>
        <v/>
      </c>
      <c r="H2234" s="5" t="str">
        <f t="shared" si="4"/>
        <v>29, 33, HORSEA</v>
      </c>
    </row>
    <row r="2235" ht="12.75" customHeight="1">
      <c r="A2235" s="4" t="s">
        <v>3028</v>
      </c>
      <c r="B2235" s="5" t="s">
        <v>3028</v>
      </c>
      <c r="C2235" s="1" t="str">
        <f t="shared" si="1"/>
        <v/>
      </c>
      <c r="E2235" s="5" t="s">
        <v>3028</v>
      </c>
      <c r="F2235" s="6" t="str">
        <f t="shared" si="2"/>
        <v>#N/A</v>
      </c>
      <c r="G2235" s="1" t="str">
        <f t="shared" si="3"/>
        <v/>
      </c>
      <c r="H2235" s="5" t="str">
        <f t="shared" si="4"/>
        <v>30, 35, KRABBY</v>
      </c>
    </row>
    <row r="2236" ht="12.75" customHeight="1">
      <c r="A2236" s="4" t="s">
        <v>3355</v>
      </c>
      <c r="B2236" s="5" t="s">
        <v>3355</v>
      </c>
      <c r="C2236" s="1" t="str">
        <f t="shared" si="1"/>
        <v/>
      </c>
      <c r="E2236" s="5" t="s">
        <v>3355</v>
      </c>
      <c r="F2236" s="6" t="str">
        <f t="shared" si="2"/>
        <v>#N/A</v>
      </c>
      <c r="G2236" s="1" t="str">
        <f t="shared" si="3"/>
        <v/>
      </c>
      <c r="H2236" s="5" t="str">
        <f t="shared" si="4"/>
        <v>30, 35, PSYDUCK</v>
      </c>
    </row>
    <row r="2237" ht="12.75" customHeight="1">
      <c r="A2237" s="4" t="s">
        <v>2851</v>
      </c>
      <c r="B2237" s="5" t="s">
        <v>2851</v>
      </c>
      <c r="C2237" s="1" t="str">
        <f t="shared" si="1"/>
        <v/>
      </c>
      <c r="E2237" s="5" t="s">
        <v>2851</v>
      </c>
      <c r="F2237" s="6" t="str">
        <f t="shared" si="2"/>
        <v>#N/A</v>
      </c>
      <c r="G2237" s="1" t="str">
        <f t="shared" si="3"/>
        <v/>
      </c>
      <c r="H2237" s="5" t="str">
        <f t="shared" si="4"/>
        <v>super rod:</v>
      </c>
    </row>
    <row r="2238" ht="12.75" customHeight="1">
      <c r="A2238" s="4" t="s">
        <v>3433</v>
      </c>
      <c r="B2238" s="5" t="s">
        <v>3433</v>
      </c>
      <c r="C2238" s="1" t="str">
        <f t="shared" si="1"/>
        <v/>
      </c>
      <c r="E2238" s="5" t="s">
        <v>3433</v>
      </c>
      <c r="F2238" s="6" t="str">
        <f t="shared" si="2"/>
        <v>#N/A</v>
      </c>
      <c r="G2238" s="1" t="str">
        <f t="shared" si="3"/>
        <v/>
      </c>
      <c r="H2238" s="5" t="str">
        <f t="shared" si="4"/>
        <v>36, 40, SEADRA</v>
      </c>
    </row>
    <row r="2239" ht="12.75" customHeight="1">
      <c r="A2239" s="4" t="s">
        <v>3357</v>
      </c>
      <c r="B2239" s="5" t="s">
        <v>3357</v>
      </c>
      <c r="C2239" s="1" t="str">
        <f t="shared" si="1"/>
        <v/>
      </c>
      <c r="E2239" s="5" t="s">
        <v>3357</v>
      </c>
      <c r="F2239" s="6" t="str">
        <f t="shared" si="2"/>
        <v>#N/A</v>
      </c>
      <c r="G2239" s="1" t="str">
        <f t="shared" si="3"/>
        <v/>
      </c>
      <c r="H2239" s="5" t="str">
        <f t="shared" si="4"/>
        <v>36, 40, GYARADOS</v>
      </c>
    </row>
    <row r="2240" ht="12.75" customHeight="1">
      <c r="A2240" s="4" t="s">
        <v>3358</v>
      </c>
      <c r="B2240" s="5" t="s">
        <v>3358</v>
      </c>
      <c r="C2240" s="1" t="str">
        <f t="shared" si="1"/>
        <v/>
      </c>
      <c r="E2240" s="5" t="s">
        <v>3358</v>
      </c>
      <c r="F2240" s="6" t="str">
        <f t="shared" si="2"/>
        <v>#N/A</v>
      </c>
      <c r="G2240" s="1" t="str">
        <f t="shared" si="3"/>
        <v/>
      </c>
      <c r="H2240" s="5" t="str">
        <f t="shared" si="4"/>
        <v>38, 42, GOLDUCK</v>
      </c>
    </row>
    <row r="2241" ht="12.75" customHeight="1">
      <c r="A2241" s="4" t="s">
        <v>3359</v>
      </c>
      <c r="B2241" s="5" t="s">
        <v>3359</v>
      </c>
      <c r="C2241" s="1" t="str">
        <f t="shared" si="1"/>
        <v/>
      </c>
      <c r="E2241" s="5" t="s">
        <v>3359</v>
      </c>
      <c r="F2241" s="6" t="str">
        <f t="shared" si="2"/>
        <v>#N/A</v>
      </c>
      <c r="G2241" s="1" t="str">
        <f t="shared" si="3"/>
        <v/>
      </c>
      <c r="H2241" s="5" t="str">
        <f t="shared" si="4"/>
        <v>38, 42, KINGLER</v>
      </c>
    </row>
    <row r="2242" ht="12.75" customHeight="1">
      <c r="A2242" s="4" t="s">
        <v>3437</v>
      </c>
      <c r="B2242" s="5" t="s">
        <v>3437</v>
      </c>
      <c r="C2242" s="1" t="str">
        <f t="shared" si="1"/>
        <v/>
      </c>
      <c r="E2242" s="5" t="s">
        <v>3437</v>
      </c>
      <c r="F2242" s="6" t="str">
        <f t="shared" si="2"/>
        <v>#N/A</v>
      </c>
      <c r="G2242" s="1" t="str">
        <f t="shared" si="3"/>
        <v/>
      </c>
      <c r="H2242" s="5" t="str">
        <f t="shared" si="4"/>
        <v>40, 44, GILDUCK</v>
      </c>
    </row>
    <row r="2243" ht="12.75" customHeight="1">
      <c r="A2243" s="4" t="s">
        <v>2539</v>
      </c>
      <c r="B2243" s="5" t="s">
        <v>2539</v>
      </c>
      <c r="C2243" s="1">
        <f t="shared" si="1"/>
        <v>1</v>
      </c>
      <c r="E2243" s="5" t="s">
        <v>2539</v>
      </c>
      <c r="F2243" s="6" t="str">
        <f t="shared" si="2"/>
        <v>#N/A</v>
      </c>
      <c r="G2243" s="1" t="str">
        <f t="shared" si="3"/>
        <v/>
      </c>
      <c r="H2243" s="5" t="str">
        <f t="shared" si="4"/>
        <v>NEW ROUTE</v>
      </c>
    </row>
    <row r="2244" ht="12.75" customHeight="1">
      <c r="A2244" s="4" t="s">
        <v>2127</v>
      </c>
      <c r="B2244" s="5" t="s">
        <v>2127</v>
      </c>
      <c r="C2244" s="1" t="str">
        <f t="shared" si="1"/>
        <v/>
      </c>
      <c r="E2244" s="5" t="s">
        <v>2127</v>
      </c>
      <c r="F2244" s="6" t="str">
        <f t="shared" si="2"/>
        <v>Route 13</v>
      </c>
      <c r="G2244" s="1" t="str">
        <f t="shared" si="3"/>
        <v>Route 13</v>
      </c>
      <c r="H2244" s="5" t="str">
        <f t="shared" si="4"/>
        <v>Route 13</v>
      </c>
    </row>
    <row r="2245" ht="12.75" customHeight="1">
      <c r="A2245" s="4" t="s">
        <v>2799</v>
      </c>
      <c r="B2245" s="5">
        <v>0.2</v>
      </c>
      <c r="C2245" s="1" t="str">
        <f t="shared" si="1"/>
        <v/>
      </c>
      <c r="E2245" s="5">
        <v>0.2</v>
      </c>
      <c r="F2245" s="6" t="str">
        <f t="shared" si="2"/>
        <v>#N/A</v>
      </c>
      <c r="G2245" s="1" t="str">
        <f t="shared" si="3"/>
        <v/>
      </c>
      <c r="H2245" s="5">
        <f t="shared" si="4"/>
        <v>0.2</v>
      </c>
    </row>
    <row r="2246" ht="12.75" customHeight="1">
      <c r="A2246" s="4" t="s">
        <v>1095</v>
      </c>
      <c r="B2246" s="5" t="s">
        <v>1095</v>
      </c>
      <c r="C2246" s="1" t="str">
        <f t="shared" si="1"/>
        <v/>
      </c>
      <c r="E2246" s="5" t="s">
        <v>1095</v>
      </c>
      <c r="F2246" s="6" t="str">
        <f t="shared" si="2"/>
        <v>#N/A</v>
      </c>
      <c r="G2246" s="1" t="str">
        <f t="shared" si="3"/>
        <v/>
      </c>
      <c r="H2246" s="5" t="str">
        <f t="shared" si="4"/>
        <v>30, 35, BELLSPROUT</v>
      </c>
    </row>
    <row r="2247" ht="12.75" customHeight="1">
      <c r="A2247" s="4" t="s">
        <v>3470</v>
      </c>
      <c r="B2247" s="5" t="s">
        <v>3470</v>
      </c>
      <c r="C2247" s="1" t="str">
        <f t="shared" si="1"/>
        <v/>
      </c>
      <c r="E2247" s="5" t="s">
        <v>3470</v>
      </c>
      <c r="F2247" s="6" t="str">
        <f t="shared" si="2"/>
        <v>#N/A</v>
      </c>
      <c r="G2247" s="1" t="str">
        <f t="shared" si="3"/>
        <v/>
      </c>
      <c r="H2247" s="5" t="str">
        <f t="shared" si="4"/>
        <v>30, 35, PIDGEOTTO</v>
      </c>
    </row>
    <row r="2248" ht="12.75" customHeight="1">
      <c r="A2248" s="4" t="s">
        <v>2802</v>
      </c>
      <c r="B2248" s="5">
        <v>0.1</v>
      </c>
      <c r="C2248" s="1" t="str">
        <f t="shared" si="1"/>
        <v/>
      </c>
      <c r="E2248" s="5">
        <v>0.1</v>
      </c>
      <c r="F2248" s="6" t="str">
        <f t="shared" si="2"/>
        <v>#N/A</v>
      </c>
      <c r="G2248" s="1" t="str">
        <f t="shared" si="3"/>
        <v/>
      </c>
      <c r="H2248" s="5">
        <f t="shared" si="4"/>
        <v>0.1</v>
      </c>
    </row>
    <row r="2249" ht="12.75" customHeight="1">
      <c r="A2249" s="4" t="s">
        <v>3471</v>
      </c>
      <c r="B2249" s="5" t="s">
        <v>3471</v>
      </c>
      <c r="C2249" s="1" t="str">
        <f t="shared" si="1"/>
        <v/>
      </c>
      <c r="E2249" s="5" t="s">
        <v>3471</v>
      </c>
      <c r="F2249" s="6" t="str">
        <f t="shared" si="2"/>
        <v>#N/A</v>
      </c>
      <c r="G2249" s="1" t="str">
        <f t="shared" si="3"/>
        <v/>
      </c>
      <c r="H2249" s="5" t="str">
        <f t="shared" si="4"/>
        <v>30, 32, WEEPINBELL</v>
      </c>
    </row>
    <row r="2250" ht="12.75" customHeight="1">
      <c r="A2250" s="4" t="s">
        <v>3472</v>
      </c>
      <c r="B2250" s="5" t="s">
        <v>3472</v>
      </c>
      <c r="C2250" s="1" t="str">
        <f t="shared" si="1"/>
        <v/>
      </c>
      <c r="E2250" s="5" t="s">
        <v>3472</v>
      </c>
      <c r="F2250" s="6" t="str">
        <f t="shared" si="2"/>
        <v>#N/A</v>
      </c>
      <c r="G2250" s="1" t="str">
        <f t="shared" si="3"/>
        <v/>
      </c>
      <c r="H2250" s="5" t="str">
        <f t="shared" si="4"/>
        <v>30, 32, DODUO</v>
      </c>
    </row>
    <row r="2251" ht="12.75" customHeight="1">
      <c r="A2251" s="4" t="s">
        <v>3473</v>
      </c>
      <c r="B2251" s="5" t="s">
        <v>3473</v>
      </c>
      <c r="C2251" s="1" t="str">
        <f t="shared" si="1"/>
        <v/>
      </c>
      <c r="E2251" s="5" t="s">
        <v>3473</v>
      </c>
      <c r="F2251" s="6" t="str">
        <f t="shared" si="2"/>
        <v>#N/A</v>
      </c>
      <c r="G2251" s="1" t="str">
        <f t="shared" si="3"/>
        <v/>
      </c>
      <c r="H2251" s="5" t="str">
        <f t="shared" si="4"/>
        <v>32, 32, PIDGEOT</v>
      </c>
    </row>
    <row r="2252" ht="12.75" customHeight="1">
      <c r="A2252" s="4" t="s">
        <v>3474</v>
      </c>
      <c r="B2252" s="5" t="s">
        <v>3474</v>
      </c>
      <c r="C2252" s="1" t="str">
        <f t="shared" si="1"/>
        <v/>
      </c>
      <c r="E2252" s="5" t="s">
        <v>3474</v>
      </c>
      <c r="F2252" s="6" t="str">
        <f t="shared" si="2"/>
        <v>#N/A</v>
      </c>
      <c r="G2252" s="1" t="str">
        <f t="shared" si="3"/>
        <v/>
      </c>
      <c r="H2252" s="5" t="str">
        <f t="shared" si="4"/>
        <v>30, 32, EXEGGCUTE</v>
      </c>
    </row>
    <row r="2253" ht="12.75" customHeight="1">
      <c r="A2253" s="4" t="s">
        <v>2807</v>
      </c>
      <c r="B2253" s="5">
        <v>0.05</v>
      </c>
      <c r="C2253" s="1" t="str">
        <f t="shared" si="1"/>
        <v/>
      </c>
      <c r="E2253" s="5">
        <v>0.05</v>
      </c>
      <c r="F2253" s="6" t="str">
        <f t="shared" si="2"/>
        <v>#N/A</v>
      </c>
      <c r="G2253" s="1" t="str">
        <f t="shared" si="3"/>
        <v/>
      </c>
      <c r="H2253" s="5">
        <f t="shared" si="4"/>
        <v>0.05</v>
      </c>
    </row>
    <row r="2254" ht="12.75" customHeight="1">
      <c r="A2254" s="4" t="s">
        <v>3475</v>
      </c>
      <c r="B2254" s="5" t="s">
        <v>3475</v>
      </c>
      <c r="C2254" s="1" t="str">
        <f t="shared" si="1"/>
        <v/>
      </c>
      <c r="E2254" s="5" t="s">
        <v>3475</v>
      </c>
      <c r="F2254" s="6" t="str">
        <f t="shared" si="2"/>
        <v>#N/A</v>
      </c>
      <c r="G2254" s="1" t="str">
        <f t="shared" si="3"/>
        <v/>
      </c>
      <c r="H2254" s="5" t="str">
        <f t="shared" si="4"/>
        <v>31, 35, SCYTHER</v>
      </c>
    </row>
    <row r="2255" ht="12.75" customHeight="1">
      <c r="A2255" s="4" t="s">
        <v>3476</v>
      </c>
      <c r="B2255" s="5" t="s">
        <v>3476</v>
      </c>
      <c r="C2255" s="1" t="str">
        <f t="shared" si="1"/>
        <v/>
      </c>
      <c r="E2255" s="5" t="s">
        <v>3476</v>
      </c>
      <c r="F2255" s="6" t="str">
        <f t="shared" si="2"/>
        <v>#N/A</v>
      </c>
      <c r="G2255" s="1" t="str">
        <f t="shared" si="3"/>
        <v/>
      </c>
      <c r="H2255" s="5" t="str">
        <f t="shared" si="4"/>
        <v>31, 35, JYNX</v>
      </c>
    </row>
    <row r="2256" ht="12.75" customHeight="1">
      <c r="A2256" s="4" t="s">
        <v>2810</v>
      </c>
      <c r="B2256" s="5">
        <v>0.04</v>
      </c>
      <c r="C2256" s="1" t="str">
        <f t="shared" si="1"/>
        <v/>
      </c>
      <c r="E2256" s="5">
        <v>0.04</v>
      </c>
      <c r="F2256" s="6" t="str">
        <f t="shared" si="2"/>
        <v>#N/A</v>
      </c>
      <c r="G2256" s="1" t="str">
        <f t="shared" si="3"/>
        <v/>
      </c>
      <c r="H2256" s="5">
        <f t="shared" si="4"/>
        <v>0.04</v>
      </c>
    </row>
    <row r="2257" ht="12.75" customHeight="1">
      <c r="A2257" s="4" t="s">
        <v>3477</v>
      </c>
      <c r="B2257" s="5" t="s">
        <v>3477</v>
      </c>
      <c r="C2257" s="1" t="str">
        <f t="shared" si="1"/>
        <v/>
      </c>
      <c r="E2257" s="5" t="s">
        <v>3477</v>
      </c>
      <c r="F2257" s="6" t="str">
        <f t="shared" si="2"/>
        <v>#N/A</v>
      </c>
      <c r="G2257" s="1" t="str">
        <f t="shared" si="3"/>
        <v/>
      </c>
      <c r="H2257" s="5" t="str">
        <f t="shared" si="4"/>
        <v>32, 32, DODRIO</v>
      </c>
    </row>
    <row r="2258" ht="12.75" customHeight="1">
      <c r="A2258" s="4" t="s">
        <v>3478</v>
      </c>
      <c r="B2258" s="5" t="s">
        <v>3478</v>
      </c>
      <c r="C2258" s="1" t="str">
        <f t="shared" si="1"/>
        <v/>
      </c>
      <c r="E2258" s="5" t="s">
        <v>3478</v>
      </c>
      <c r="F2258" s="6" t="str">
        <f t="shared" si="2"/>
        <v>#N/A</v>
      </c>
      <c r="G2258" s="1" t="str">
        <f t="shared" si="3"/>
        <v/>
      </c>
      <c r="H2258" s="5" t="str">
        <f t="shared" si="4"/>
        <v>32, 32, EXEGGUTOR</v>
      </c>
    </row>
    <row r="2259" ht="12.75" customHeight="1">
      <c r="A2259" s="4" t="s">
        <v>2813</v>
      </c>
      <c r="B2259" s="5">
        <v>0.01</v>
      </c>
      <c r="C2259" s="1" t="str">
        <f t="shared" si="1"/>
        <v/>
      </c>
      <c r="E2259" s="5">
        <v>0.01</v>
      </c>
      <c r="F2259" s="6" t="str">
        <f t="shared" si="2"/>
        <v>#N/A</v>
      </c>
      <c r="G2259" s="1" t="str">
        <f t="shared" si="3"/>
        <v/>
      </c>
      <c r="H2259" s="5">
        <f t="shared" si="4"/>
        <v>0.01</v>
      </c>
    </row>
    <row r="2260" ht="12.75" customHeight="1">
      <c r="A2260" s="4" t="s">
        <v>3479</v>
      </c>
      <c r="B2260" s="5" t="s">
        <v>3479</v>
      </c>
      <c r="C2260" s="1" t="str">
        <f t="shared" si="1"/>
        <v/>
      </c>
      <c r="E2260" s="5" t="s">
        <v>3479</v>
      </c>
      <c r="F2260" s="6" t="str">
        <f t="shared" si="2"/>
        <v>#N/A</v>
      </c>
      <c r="G2260" s="1" t="str">
        <f t="shared" si="3"/>
        <v/>
      </c>
      <c r="H2260" s="5" t="str">
        <f t="shared" si="4"/>
        <v>30, 35, VICTREEBEL</v>
      </c>
    </row>
    <row r="2261" ht="12.75" customHeight="1">
      <c r="A2261" s="4" t="s">
        <v>3467</v>
      </c>
      <c r="B2261" s="5" t="s">
        <v>3467</v>
      </c>
      <c r="C2261" s="1" t="str">
        <f t="shared" si="1"/>
        <v/>
      </c>
      <c r="E2261" s="5" t="s">
        <v>3467</v>
      </c>
      <c r="F2261" s="6" t="str">
        <f t="shared" si="2"/>
        <v>#N/A</v>
      </c>
      <c r="G2261" s="1" t="str">
        <f t="shared" si="3"/>
        <v/>
      </c>
      <c r="H2261" s="5" t="str">
        <f t="shared" si="4"/>
        <v>20, 25, SQUIRTLE</v>
      </c>
    </row>
    <row r="2262" ht="12.75" customHeight="1">
      <c r="A2262" s="4" t="s">
        <v>3350</v>
      </c>
      <c r="B2262" s="5" t="s">
        <v>3350</v>
      </c>
      <c r="C2262" s="1" t="str">
        <f t="shared" si="1"/>
        <v/>
      </c>
      <c r="E2262" s="5" t="s">
        <v>3350</v>
      </c>
      <c r="F2262" s="6" t="str">
        <f t="shared" si="2"/>
        <v>#N/A</v>
      </c>
      <c r="G2262" s="1" t="str">
        <f t="shared" si="3"/>
        <v/>
      </c>
      <c r="H2262" s="5" t="str">
        <f t="shared" si="4"/>
        <v>2, 38, 42, TENTACOOL</v>
      </c>
    </row>
    <row r="2263" ht="12.75" customHeight="1">
      <c r="A2263" s="4" t="s">
        <v>3429</v>
      </c>
      <c r="B2263" s="5" t="s">
        <v>3429</v>
      </c>
      <c r="C2263" s="1" t="str">
        <f t="shared" si="1"/>
        <v/>
      </c>
      <c r="E2263" s="5" t="s">
        <v>3429</v>
      </c>
      <c r="F2263" s="6" t="str">
        <f t="shared" si="2"/>
        <v>#N/A</v>
      </c>
      <c r="G2263" s="1" t="str">
        <f t="shared" si="3"/>
        <v/>
      </c>
      <c r="H2263" s="5" t="str">
        <f t="shared" si="4"/>
        <v>40, 44, TENTACRUEL</v>
      </c>
    </row>
    <row r="2264" ht="12.75" customHeight="1">
      <c r="A2264" s="4" t="s">
        <v>3025</v>
      </c>
      <c r="B2264" s="5" t="s">
        <v>3025</v>
      </c>
      <c r="C2264" s="1" t="str">
        <f t="shared" si="1"/>
        <v/>
      </c>
      <c r="E2264" s="5" t="s">
        <v>3025</v>
      </c>
      <c r="F2264" s="6" t="str">
        <f t="shared" si="2"/>
        <v>#N/A</v>
      </c>
      <c r="G2264" s="1" t="str">
        <f t="shared" si="3"/>
        <v/>
      </c>
      <c r="H2264" s="5" t="str">
        <f t="shared" si="4"/>
        <v>42, 46, LAPRAS</v>
      </c>
    </row>
    <row r="2265" ht="12.75" customHeight="1">
      <c r="A2265" s="4" t="s">
        <v>3430</v>
      </c>
      <c r="B2265" s="5" t="s">
        <v>3430</v>
      </c>
      <c r="C2265" s="1" t="str">
        <f t="shared" si="1"/>
        <v/>
      </c>
      <c r="E2265" s="5" t="s">
        <v>3430</v>
      </c>
      <c r="F2265" s="6" t="str">
        <f t="shared" si="2"/>
        <v>#N/A</v>
      </c>
      <c r="G2265" s="1" t="str">
        <f t="shared" si="3"/>
        <v/>
      </c>
      <c r="H2265" s="5" t="str">
        <f t="shared" si="4"/>
        <v>42, 46, TENTACATE</v>
      </c>
    </row>
    <row r="2266" ht="12.75" customHeight="1">
      <c r="A2266" s="4" t="s">
        <v>3450</v>
      </c>
      <c r="B2266" s="5" t="s">
        <v>3450</v>
      </c>
      <c r="C2266" s="1" t="str">
        <f t="shared" si="1"/>
        <v/>
      </c>
      <c r="E2266" s="5" t="s">
        <v>3450</v>
      </c>
      <c r="F2266" s="6" t="str">
        <f t="shared" si="2"/>
        <v>#N/A</v>
      </c>
      <c r="G2266" s="1" t="str">
        <f t="shared" si="3"/>
        <v/>
      </c>
      <c r="H2266" s="5" t="str">
        <f t="shared" si="4"/>
        <v>44, 48, LOCHLASS</v>
      </c>
    </row>
    <row r="2267" ht="12.75" customHeight="1">
      <c r="A2267" s="4" t="s">
        <v>2926</v>
      </c>
      <c r="B2267" s="5" t="s">
        <v>2926</v>
      </c>
      <c r="C2267" s="1" t="str">
        <f t="shared" si="1"/>
        <v/>
      </c>
      <c r="E2267" s="5" t="s">
        <v>2926</v>
      </c>
      <c r="F2267" s="6" t="str">
        <f t="shared" si="2"/>
        <v>#N/A</v>
      </c>
      <c r="G2267" s="1" t="str">
        <f t="shared" si="3"/>
        <v/>
      </c>
      <c r="H2267" s="5" t="str">
        <f t="shared" si="4"/>
        <v>20, old rod:</v>
      </c>
    </row>
    <row r="2268" ht="12.75" customHeight="1">
      <c r="A2268" s="4" t="s">
        <v>500</v>
      </c>
      <c r="B2268" s="5" t="s">
        <v>500</v>
      </c>
      <c r="C2268" s="1" t="str">
        <f t="shared" si="1"/>
        <v/>
      </c>
      <c r="E2268" s="5" t="s">
        <v>500</v>
      </c>
      <c r="F2268" s="6" t="str">
        <f t="shared" si="2"/>
        <v>#N/A</v>
      </c>
      <c r="G2268" s="1" t="str">
        <f t="shared" si="3"/>
        <v/>
      </c>
      <c r="H2268" s="5" t="str">
        <f t="shared" si="4"/>
        <v>19, 26, MAGIKARP</v>
      </c>
    </row>
    <row r="2269" ht="12.75" customHeight="1">
      <c r="A2269" s="4" t="s">
        <v>3353</v>
      </c>
      <c r="B2269" s="5" t="s">
        <v>3353</v>
      </c>
      <c r="C2269" s="1" t="str">
        <f t="shared" si="1"/>
        <v/>
      </c>
      <c r="E2269" s="5" t="s">
        <v>3353</v>
      </c>
      <c r="F2269" s="6" t="str">
        <f t="shared" si="2"/>
        <v>#N/A</v>
      </c>
      <c r="G2269" s="1" t="str">
        <f t="shared" si="3"/>
        <v/>
      </c>
      <c r="H2269" s="5" t="str">
        <f t="shared" si="4"/>
        <v>19, 26, GYARADOS</v>
      </c>
    </row>
    <row r="2270" ht="12.75" customHeight="1">
      <c r="A2270" s="4" t="s">
        <v>2847</v>
      </c>
      <c r="B2270" s="5" t="s">
        <v>2847</v>
      </c>
      <c r="C2270" s="1" t="str">
        <f t="shared" si="1"/>
        <v/>
      </c>
      <c r="E2270" s="5" t="s">
        <v>2847</v>
      </c>
      <c r="F2270" s="6" t="str">
        <f t="shared" si="2"/>
        <v>#N/A</v>
      </c>
      <c r="G2270" s="1" t="str">
        <f t="shared" si="3"/>
        <v/>
      </c>
      <c r="H2270" s="5" t="str">
        <f t="shared" si="4"/>
        <v>good rod:</v>
      </c>
    </row>
    <row r="2271" ht="12.75" customHeight="1">
      <c r="A2271" s="4" t="s">
        <v>3431</v>
      </c>
      <c r="B2271" s="5" t="s">
        <v>3431</v>
      </c>
      <c r="C2271" s="1" t="str">
        <f t="shared" si="1"/>
        <v/>
      </c>
      <c r="E2271" s="5" t="s">
        <v>3431</v>
      </c>
      <c r="F2271" s="6" t="str">
        <f t="shared" si="2"/>
        <v>#N/A</v>
      </c>
      <c r="G2271" s="1" t="str">
        <f t="shared" si="3"/>
        <v/>
      </c>
      <c r="H2271" s="5" t="str">
        <f t="shared" si="4"/>
        <v>29, 33, HORSEA</v>
      </c>
    </row>
    <row r="2272" ht="12.75" customHeight="1">
      <c r="A2272" s="4" t="s">
        <v>3028</v>
      </c>
      <c r="B2272" s="5" t="s">
        <v>3028</v>
      </c>
      <c r="C2272" s="1" t="str">
        <f t="shared" si="1"/>
        <v/>
      </c>
      <c r="E2272" s="5" t="s">
        <v>3028</v>
      </c>
      <c r="F2272" s="6" t="str">
        <f t="shared" si="2"/>
        <v>#N/A</v>
      </c>
      <c r="G2272" s="1" t="str">
        <f t="shared" si="3"/>
        <v/>
      </c>
      <c r="H2272" s="5" t="str">
        <f t="shared" si="4"/>
        <v>30, 35, KRABBY</v>
      </c>
    </row>
    <row r="2273" ht="12.75" customHeight="1">
      <c r="A2273" s="4" t="s">
        <v>3355</v>
      </c>
      <c r="B2273" s="5" t="s">
        <v>3355</v>
      </c>
      <c r="C2273" s="1" t="str">
        <f t="shared" si="1"/>
        <v/>
      </c>
      <c r="E2273" s="5" t="s">
        <v>3355</v>
      </c>
      <c r="F2273" s="6" t="str">
        <f t="shared" si="2"/>
        <v>#N/A</v>
      </c>
      <c r="G2273" s="1" t="str">
        <f t="shared" si="3"/>
        <v/>
      </c>
      <c r="H2273" s="5" t="str">
        <f t="shared" si="4"/>
        <v>30, 35, PSYDUCK</v>
      </c>
    </row>
    <row r="2274" ht="12.75" customHeight="1">
      <c r="A2274" s="4" t="s">
        <v>2851</v>
      </c>
      <c r="B2274" s="5" t="s">
        <v>2851</v>
      </c>
      <c r="C2274" s="1" t="str">
        <f t="shared" si="1"/>
        <v/>
      </c>
      <c r="E2274" s="5" t="s">
        <v>2851</v>
      </c>
      <c r="F2274" s="6" t="str">
        <f t="shared" si="2"/>
        <v>#N/A</v>
      </c>
      <c r="G2274" s="1" t="str">
        <f t="shared" si="3"/>
        <v/>
      </c>
      <c r="H2274" s="5" t="str">
        <f t="shared" si="4"/>
        <v>super rod:</v>
      </c>
    </row>
    <row r="2275" ht="12.75" customHeight="1">
      <c r="A2275" s="4" t="s">
        <v>3433</v>
      </c>
      <c r="B2275" s="5" t="s">
        <v>3433</v>
      </c>
      <c r="C2275" s="1" t="str">
        <f t="shared" si="1"/>
        <v/>
      </c>
      <c r="E2275" s="5" t="s">
        <v>3433</v>
      </c>
      <c r="F2275" s="6" t="str">
        <f t="shared" si="2"/>
        <v>#N/A</v>
      </c>
      <c r="G2275" s="1" t="str">
        <f t="shared" si="3"/>
        <v/>
      </c>
      <c r="H2275" s="5" t="str">
        <f t="shared" si="4"/>
        <v>36, 40, SEADRA</v>
      </c>
    </row>
    <row r="2276" ht="12.75" customHeight="1">
      <c r="A2276" s="4" t="s">
        <v>3357</v>
      </c>
      <c r="B2276" s="5" t="s">
        <v>3357</v>
      </c>
      <c r="C2276" s="1" t="str">
        <f t="shared" si="1"/>
        <v/>
      </c>
      <c r="E2276" s="5" t="s">
        <v>3357</v>
      </c>
      <c r="F2276" s="6" t="str">
        <f t="shared" si="2"/>
        <v>#N/A</v>
      </c>
      <c r="G2276" s="1" t="str">
        <f t="shared" si="3"/>
        <v/>
      </c>
      <c r="H2276" s="5" t="str">
        <f t="shared" si="4"/>
        <v>36, 40, GYARADOS</v>
      </c>
    </row>
    <row r="2277" ht="12.75" customHeight="1">
      <c r="A2277" s="4" t="s">
        <v>3358</v>
      </c>
      <c r="B2277" s="5" t="s">
        <v>3358</v>
      </c>
      <c r="C2277" s="1" t="str">
        <f t="shared" si="1"/>
        <v/>
      </c>
      <c r="E2277" s="5" t="s">
        <v>3358</v>
      </c>
      <c r="F2277" s="6" t="str">
        <f t="shared" si="2"/>
        <v>#N/A</v>
      </c>
      <c r="G2277" s="1" t="str">
        <f t="shared" si="3"/>
        <v/>
      </c>
      <c r="H2277" s="5" t="str">
        <f t="shared" si="4"/>
        <v>38, 42, GOLDUCK</v>
      </c>
    </row>
    <row r="2278" ht="12.75" customHeight="1">
      <c r="A2278" s="4" t="s">
        <v>3359</v>
      </c>
      <c r="B2278" s="5" t="s">
        <v>3359</v>
      </c>
      <c r="C2278" s="1" t="str">
        <f t="shared" si="1"/>
        <v/>
      </c>
      <c r="E2278" s="5" t="s">
        <v>3359</v>
      </c>
      <c r="F2278" s="6" t="str">
        <f t="shared" si="2"/>
        <v>#N/A</v>
      </c>
      <c r="G2278" s="1" t="str">
        <f t="shared" si="3"/>
        <v/>
      </c>
      <c r="H2278" s="5" t="str">
        <f t="shared" si="4"/>
        <v>38, 42, KINGLER</v>
      </c>
    </row>
    <row r="2279" ht="12.75" customHeight="1">
      <c r="A2279" s="4" t="s">
        <v>3437</v>
      </c>
      <c r="B2279" s="5" t="s">
        <v>3437</v>
      </c>
      <c r="C2279" s="1" t="str">
        <f t="shared" si="1"/>
        <v/>
      </c>
      <c r="E2279" s="5" t="s">
        <v>3437</v>
      </c>
      <c r="F2279" s="6" t="str">
        <f t="shared" si="2"/>
        <v>#N/A</v>
      </c>
      <c r="G2279" s="1" t="str">
        <f t="shared" si="3"/>
        <v/>
      </c>
      <c r="H2279" s="5" t="str">
        <f t="shared" si="4"/>
        <v>40, 44, GILDUCK</v>
      </c>
    </row>
    <row r="2280" ht="12.75" customHeight="1">
      <c r="A2280" s="4" t="s">
        <v>2539</v>
      </c>
      <c r="B2280" s="5" t="s">
        <v>2539</v>
      </c>
      <c r="C2280" s="1">
        <f t="shared" si="1"/>
        <v>1</v>
      </c>
      <c r="E2280" s="5" t="s">
        <v>2539</v>
      </c>
      <c r="F2280" s="6" t="str">
        <f t="shared" si="2"/>
        <v>#N/A</v>
      </c>
      <c r="G2280" s="1" t="str">
        <f t="shared" si="3"/>
        <v/>
      </c>
      <c r="H2280" s="5" t="str">
        <f t="shared" si="4"/>
        <v>NEW ROUTE</v>
      </c>
    </row>
    <row r="2281" ht="12.75" customHeight="1">
      <c r="A2281" s="4" t="s">
        <v>2129</v>
      </c>
      <c r="B2281" s="5" t="s">
        <v>2129</v>
      </c>
      <c r="C2281" s="1" t="str">
        <f t="shared" si="1"/>
        <v/>
      </c>
      <c r="E2281" s="5" t="s">
        <v>2129</v>
      </c>
      <c r="F2281" s="6" t="str">
        <f t="shared" si="2"/>
        <v>Route 14</v>
      </c>
      <c r="G2281" s="1" t="str">
        <f t="shared" si="3"/>
        <v>Route 14</v>
      </c>
      <c r="H2281" s="5" t="str">
        <f t="shared" si="4"/>
        <v>Route 14</v>
      </c>
    </row>
    <row r="2282" ht="12.75" customHeight="1">
      <c r="A2282" s="4" t="s">
        <v>2799</v>
      </c>
      <c r="B2282" s="5">
        <v>0.2</v>
      </c>
      <c r="C2282" s="1" t="str">
        <f t="shared" si="1"/>
        <v/>
      </c>
      <c r="E2282" s="5">
        <v>0.2</v>
      </c>
      <c r="F2282" s="6" t="str">
        <f t="shared" si="2"/>
        <v>#N/A</v>
      </c>
      <c r="G2282" s="1" t="str">
        <f t="shared" si="3"/>
        <v/>
      </c>
      <c r="H2282" s="5">
        <f t="shared" si="4"/>
        <v>0.2</v>
      </c>
    </row>
    <row r="2283" ht="12.75" customHeight="1">
      <c r="A2283" s="4" t="s">
        <v>1107</v>
      </c>
      <c r="B2283" s="5" t="s">
        <v>1107</v>
      </c>
      <c r="C2283" s="1" t="str">
        <f t="shared" si="1"/>
        <v/>
      </c>
      <c r="E2283" s="5" t="s">
        <v>1107</v>
      </c>
      <c r="F2283" s="6" t="str">
        <f t="shared" si="2"/>
        <v>#N/A</v>
      </c>
      <c r="G2283" s="1" t="str">
        <f t="shared" si="3"/>
        <v/>
      </c>
      <c r="H2283" s="5" t="str">
        <f t="shared" si="4"/>
        <v>32, 36, BELLSPROUT</v>
      </c>
    </row>
    <row r="2284" ht="12.75" customHeight="1">
      <c r="A2284" s="4" t="s">
        <v>3481</v>
      </c>
      <c r="B2284" s="5" t="s">
        <v>3481</v>
      </c>
      <c r="C2284" s="1" t="str">
        <f t="shared" si="1"/>
        <v/>
      </c>
      <c r="E2284" s="5" t="s">
        <v>3481</v>
      </c>
      <c r="F2284" s="6" t="str">
        <f t="shared" si="2"/>
        <v>#N/A</v>
      </c>
      <c r="G2284" s="1" t="str">
        <f t="shared" si="3"/>
        <v/>
      </c>
      <c r="H2284" s="5" t="str">
        <f t="shared" si="4"/>
        <v>32, 36, PIDGEOTTO</v>
      </c>
    </row>
    <row r="2285" ht="12.75" customHeight="1">
      <c r="A2285" s="4" t="s">
        <v>2802</v>
      </c>
      <c r="B2285" s="5">
        <v>0.1</v>
      </c>
      <c r="C2285" s="1" t="str">
        <f t="shared" si="1"/>
        <v/>
      </c>
      <c r="E2285" s="5">
        <v>0.1</v>
      </c>
      <c r="F2285" s="6" t="str">
        <f t="shared" si="2"/>
        <v>#N/A</v>
      </c>
      <c r="G2285" s="1" t="str">
        <f t="shared" si="3"/>
        <v/>
      </c>
      <c r="H2285" s="5">
        <f t="shared" si="4"/>
        <v>0.1</v>
      </c>
    </row>
    <row r="2286" ht="12.75" customHeight="1">
      <c r="A2286" s="4" t="s">
        <v>3482</v>
      </c>
      <c r="B2286" s="5" t="s">
        <v>3482</v>
      </c>
      <c r="C2286" s="1" t="str">
        <f t="shared" si="1"/>
        <v/>
      </c>
      <c r="E2286" s="5" t="s">
        <v>3482</v>
      </c>
      <c r="F2286" s="6" t="str">
        <f t="shared" si="2"/>
        <v>#N/A</v>
      </c>
      <c r="G2286" s="1" t="str">
        <f t="shared" si="3"/>
        <v/>
      </c>
      <c r="H2286" s="5" t="str">
        <f t="shared" si="4"/>
        <v>31, 33, WEEPINBELL</v>
      </c>
    </row>
    <row r="2287" ht="12.75" customHeight="1">
      <c r="A2287" s="4" t="s">
        <v>3483</v>
      </c>
      <c r="B2287" s="5" t="s">
        <v>3483</v>
      </c>
      <c r="C2287" s="1" t="str">
        <f t="shared" si="1"/>
        <v/>
      </c>
      <c r="E2287" s="5" t="s">
        <v>3483</v>
      </c>
      <c r="F2287" s="6" t="str">
        <f t="shared" si="2"/>
        <v>#N/A</v>
      </c>
      <c r="G2287" s="1" t="str">
        <f t="shared" si="3"/>
        <v/>
      </c>
      <c r="H2287" s="5" t="str">
        <f t="shared" si="4"/>
        <v>31, 33, DODUO</v>
      </c>
    </row>
    <row r="2288" ht="12.75" customHeight="1">
      <c r="A2288" s="4" t="s">
        <v>3484</v>
      </c>
      <c r="B2288" s="5" t="s">
        <v>3484</v>
      </c>
      <c r="C2288" s="1" t="str">
        <f t="shared" si="1"/>
        <v/>
      </c>
      <c r="E2288" s="5" t="s">
        <v>3484</v>
      </c>
      <c r="F2288" s="6" t="str">
        <f t="shared" si="2"/>
        <v>#N/A</v>
      </c>
      <c r="G2288" s="1" t="str">
        <f t="shared" si="3"/>
        <v/>
      </c>
      <c r="H2288" s="5" t="str">
        <f t="shared" si="4"/>
        <v>33, 33, PIDGEOT</v>
      </c>
    </row>
    <row r="2289" ht="12.75" customHeight="1">
      <c r="A2289" s="4" t="s">
        <v>3485</v>
      </c>
      <c r="B2289" s="5" t="s">
        <v>3485</v>
      </c>
      <c r="C2289" s="1" t="str">
        <f t="shared" si="1"/>
        <v/>
      </c>
      <c r="E2289" s="5" t="s">
        <v>3485</v>
      </c>
      <c r="F2289" s="6" t="str">
        <f t="shared" si="2"/>
        <v>#N/A</v>
      </c>
      <c r="G2289" s="1" t="str">
        <f t="shared" si="3"/>
        <v/>
      </c>
      <c r="H2289" s="5" t="str">
        <f t="shared" si="4"/>
        <v>31, 33, EXEGGCUTE</v>
      </c>
    </row>
    <row r="2290" ht="12.75" customHeight="1">
      <c r="A2290" s="4" t="s">
        <v>2807</v>
      </c>
      <c r="B2290" s="5">
        <v>0.05</v>
      </c>
      <c r="C2290" s="1" t="str">
        <f t="shared" si="1"/>
        <v/>
      </c>
      <c r="E2290" s="5">
        <v>0.05</v>
      </c>
      <c r="F2290" s="6" t="str">
        <f t="shared" si="2"/>
        <v>#N/A</v>
      </c>
      <c r="G2290" s="1" t="str">
        <f t="shared" si="3"/>
        <v/>
      </c>
      <c r="H2290" s="5">
        <f t="shared" si="4"/>
        <v>0.05</v>
      </c>
    </row>
    <row r="2291" ht="12.75" customHeight="1">
      <c r="A2291" s="4" t="s">
        <v>3486</v>
      </c>
      <c r="B2291" s="5" t="s">
        <v>3486</v>
      </c>
      <c r="C2291" s="1" t="str">
        <f t="shared" si="1"/>
        <v/>
      </c>
      <c r="E2291" s="5" t="s">
        <v>3486</v>
      </c>
      <c r="F2291" s="6" t="str">
        <f t="shared" si="2"/>
        <v>#N/A</v>
      </c>
      <c r="G2291" s="1" t="str">
        <f t="shared" si="3"/>
        <v/>
      </c>
      <c r="H2291" s="5" t="str">
        <f t="shared" si="4"/>
        <v>32, 36, SCYTHER</v>
      </c>
    </row>
    <row r="2292" ht="12.75" customHeight="1">
      <c r="A2292" s="4" t="s">
        <v>3487</v>
      </c>
      <c r="B2292" s="5" t="s">
        <v>3487</v>
      </c>
      <c r="C2292" s="1" t="str">
        <f t="shared" si="1"/>
        <v/>
      </c>
      <c r="E2292" s="5" t="s">
        <v>3487</v>
      </c>
      <c r="F2292" s="6" t="str">
        <f t="shared" si="2"/>
        <v>#N/A</v>
      </c>
      <c r="G2292" s="1" t="str">
        <f t="shared" si="3"/>
        <v/>
      </c>
      <c r="H2292" s="5" t="str">
        <f t="shared" si="4"/>
        <v>32, 36, JYNX</v>
      </c>
    </row>
    <row r="2293" ht="12.75" customHeight="1">
      <c r="A2293" s="4" t="s">
        <v>2810</v>
      </c>
      <c r="B2293" s="5">
        <v>0.04</v>
      </c>
      <c r="C2293" s="1" t="str">
        <f t="shared" si="1"/>
        <v/>
      </c>
      <c r="E2293" s="5">
        <v>0.04</v>
      </c>
      <c r="F2293" s="6" t="str">
        <f t="shared" si="2"/>
        <v>#N/A</v>
      </c>
      <c r="G2293" s="1" t="str">
        <f t="shared" si="3"/>
        <v/>
      </c>
      <c r="H2293" s="5">
        <f t="shared" si="4"/>
        <v>0.04</v>
      </c>
    </row>
    <row r="2294" ht="12.75" customHeight="1">
      <c r="A2294" s="4" t="s">
        <v>3488</v>
      </c>
      <c r="B2294" s="5" t="s">
        <v>3488</v>
      </c>
      <c r="C2294" s="1" t="str">
        <f t="shared" si="1"/>
        <v/>
      </c>
      <c r="E2294" s="5" t="s">
        <v>3488</v>
      </c>
      <c r="F2294" s="6" t="str">
        <f t="shared" si="2"/>
        <v>#N/A</v>
      </c>
      <c r="G2294" s="1" t="str">
        <f t="shared" si="3"/>
        <v/>
      </c>
      <c r="H2294" s="5" t="str">
        <f t="shared" si="4"/>
        <v>33, 33, DODRIO</v>
      </c>
    </row>
    <row r="2295" ht="12.75" customHeight="1">
      <c r="A2295" s="4" t="s">
        <v>3489</v>
      </c>
      <c r="B2295" s="5" t="s">
        <v>3489</v>
      </c>
      <c r="C2295" s="1" t="str">
        <f t="shared" si="1"/>
        <v/>
      </c>
      <c r="E2295" s="5" t="s">
        <v>3489</v>
      </c>
      <c r="F2295" s="6" t="str">
        <f t="shared" si="2"/>
        <v>#N/A</v>
      </c>
      <c r="G2295" s="1" t="str">
        <f t="shared" si="3"/>
        <v/>
      </c>
      <c r="H2295" s="5" t="str">
        <f t="shared" si="4"/>
        <v>33, 33, EXEGGUTOR</v>
      </c>
    </row>
    <row r="2296" ht="12.75" customHeight="1">
      <c r="A2296" s="4" t="s">
        <v>2813</v>
      </c>
      <c r="B2296" s="5">
        <v>0.01</v>
      </c>
      <c r="C2296" s="1" t="str">
        <f t="shared" si="1"/>
        <v/>
      </c>
      <c r="E2296" s="5">
        <v>0.01</v>
      </c>
      <c r="F2296" s="6" t="str">
        <f t="shared" si="2"/>
        <v>#N/A</v>
      </c>
      <c r="G2296" s="1" t="str">
        <f t="shared" si="3"/>
        <v/>
      </c>
      <c r="H2296" s="5">
        <f t="shared" si="4"/>
        <v>0.01</v>
      </c>
    </row>
    <row r="2297" ht="12.75" customHeight="1">
      <c r="A2297" s="4" t="s">
        <v>3490</v>
      </c>
      <c r="B2297" s="5" t="s">
        <v>3490</v>
      </c>
      <c r="C2297" s="1" t="str">
        <f t="shared" si="1"/>
        <v/>
      </c>
      <c r="E2297" s="5" t="s">
        <v>3490</v>
      </c>
      <c r="F2297" s="6" t="str">
        <f t="shared" si="2"/>
        <v>#N/A</v>
      </c>
      <c r="G2297" s="1" t="str">
        <f t="shared" si="3"/>
        <v/>
      </c>
      <c r="H2297" s="5" t="str">
        <f t="shared" si="4"/>
        <v>31, 36, VICTREEBEL</v>
      </c>
    </row>
    <row r="2298" ht="12.75" customHeight="1">
      <c r="A2298" s="4" t="s">
        <v>3467</v>
      </c>
      <c r="B2298" s="5" t="s">
        <v>3467</v>
      </c>
      <c r="C2298" s="1" t="str">
        <f t="shared" si="1"/>
        <v/>
      </c>
      <c r="E2298" s="5" t="s">
        <v>3467</v>
      </c>
      <c r="F2298" s="6" t="str">
        <f t="shared" si="2"/>
        <v>#N/A</v>
      </c>
      <c r="G2298" s="1" t="str">
        <f t="shared" si="3"/>
        <v/>
      </c>
      <c r="H2298" s="5" t="str">
        <f t="shared" si="4"/>
        <v>20, 25, SQUIRTLE</v>
      </c>
    </row>
    <row r="2299" ht="12.75" customHeight="1">
      <c r="A2299" s="4" t="s">
        <v>2539</v>
      </c>
      <c r="B2299" s="5" t="s">
        <v>2539</v>
      </c>
      <c r="C2299" s="1">
        <f t="shared" si="1"/>
        <v>1</v>
      </c>
      <c r="E2299" s="5" t="s">
        <v>2539</v>
      </c>
      <c r="F2299" s="6" t="str">
        <f t="shared" si="2"/>
        <v>#N/A</v>
      </c>
      <c r="G2299" s="1" t="str">
        <f t="shared" si="3"/>
        <v/>
      </c>
      <c r="H2299" s="5" t="str">
        <f t="shared" si="4"/>
        <v>NEW ROUTE</v>
      </c>
    </row>
    <row r="2300" ht="12.75" customHeight="1">
      <c r="A2300" s="4" t="s">
        <v>2131</v>
      </c>
      <c r="B2300" s="5" t="s">
        <v>2131</v>
      </c>
      <c r="C2300" s="1" t="str">
        <f t="shared" si="1"/>
        <v/>
      </c>
      <c r="E2300" s="5" t="s">
        <v>2131</v>
      </c>
      <c r="F2300" s="6" t="str">
        <f t="shared" si="2"/>
        <v>Route 15</v>
      </c>
      <c r="G2300" s="1" t="str">
        <f t="shared" si="3"/>
        <v>Route 15</v>
      </c>
      <c r="H2300" s="5" t="str">
        <f t="shared" si="4"/>
        <v>Route 15</v>
      </c>
    </row>
    <row r="2301" ht="12.75" customHeight="1">
      <c r="A2301" s="4" t="s">
        <v>2799</v>
      </c>
      <c r="B2301" s="5">
        <v>0.2</v>
      </c>
      <c r="C2301" s="1" t="str">
        <f t="shared" si="1"/>
        <v/>
      </c>
      <c r="E2301" s="5">
        <v>0.2</v>
      </c>
      <c r="F2301" s="6" t="str">
        <f t="shared" si="2"/>
        <v>#N/A</v>
      </c>
      <c r="G2301" s="1" t="str">
        <f t="shared" si="3"/>
        <v/>
      </c>
      <c r="H2301" s="5">
        <f t="shared" si="4"/>
        <v>0.2</v>
      </c>
    </row>
    <row r="2302" ht="12.75" customHeight="1">
      <c r="A2302" s="4" t="s">
        <v>1120</v>
      </c>
      <c r="B2302" s="5" t="s">
        <v>1120</v>
      </c>
      <c r="C2302" s="1" t="str">
        <f t="shared" si="1"/>
        <v/>
      </c>
      <c r="E2302" s="5" t="s">
        <v>1120</v>
      </c>
      <c r="F2302" s="6" t="str">
        <f t="shared" si="2"/>
        <v>#N/A</v>
      </c>
      <c r="G2302" s="1" t="str">
        <f t="shared" si="3"/>
        <v/>
      </c>
      <c r="H2302" s="5" t="str">
        <f t="shared" si="4"/>
        <v>33, 37, BELLSPROUT</v>
      </c>
    </row>
    <row r="2303" ht="12.75" customHeight="1">
      <c r="A2303" s="4" t="s">
        <v>3493</v>
      </c>
      <c r="B2303" s="5" t="s">
        <v>3493</v>
      </c>
      <c r="C2303" s="1" t="str">
        <f t="shared" si="1"/>
        <v/>
      </c>
      <c r="E2303" s="5" t="s">
        <v>3493</v>
      </c>
      <c r="F2303" s="6" t="str">
        <f t="shared" si="2"/>
        <v>#N/A</v>
      </c>
      <c r="G2303" s="1" t="str">
        <f t="shared" si="3"/>
        <v/>
      </c>
      <c r="H2303" s="5" t="str">
        <f t="shared" si="4"/>
        <v>33, 37, PIDGEOTTO</v>
      </c>
    </row>
    <row r="2304" ht="12.75" customHeight="1">
      <c r="A2304" s="4" t="s">
        <v>2802</v>
      </c>
      <c r="B2304" s="5">
        <v>0.1</v>
      </c>
      <c r="C2304" s="1" t="str">
        <f t="shared" si="1"/>
        <v/>
      </c>
      <c r="E2304" s="5">
        <v>0.1</v>
      </c>
      <c r="F2304" s="6" t="str">
        <f t="shared" si="2"/>
        <v>#N/A</v>
      </c>
      <c r="G2304" s="1" t="str">
        <f t="shared" si="3"/>
        <v/>
      </c>
      <c r="H2304" s="5">
        <f t="shared" si="4"/>
        <v>0.1</v>
      </c>
    </row>
    <row r="2305" ht="12.75" customHeight="1">
      <c r="A2305" s="4" t="s">
        <v>3494</v>
      </c>
      <c r="B2305" s="5" t="s">
        <v>3494</v>
      </c>
      <c r="C2305" s="1" t="str">
        <f t="shared" si="1"/>
        <v/>
      </c>
      <c r="E2305" s="5" t="s">
        <v>3494</v>
      </c>
      <c r="F2305" s="6" t="str">
        <f t="shared" si="2"/>
        <v>#N/A</v>
      </c>
      <c r="G2305" s="1" t="str">
        <f t="shared" si="3"/>
        <v/>
      </c>
      <c r="H2305" s="5" t="str">
        <f t="shared" si="4"/>
        <v>32, 34, WEEPINBELL</v>
      </c>
    </row>
    <row r="2306" ht="12.75" customHeight="1">
      <c r="A2306" s="4" t="s">
        <v>3495</v>
      </c>
      <c r="B2306" s="5" t="s">
        <v>3495</v>
      </c>
      <c r="C2306" s="1" t="str">
        <f t="shared" si="1"/>
        <v/>
      </c>
      <c r="E2306" s="5" t="s">
        <v>3495</v>
      </c>
      <c r="F2306" s="6" t="str">
        <f t="shared" si="2"/>
        <v>#N/A</v>
      </c>
      <c r="G2306" s="1" t="str">
        <f t="shared" si="3"/>
        <v/>
      </c>
      <c r="H2306" s="5" t="str">
        <f t="shared" si="4"/>
        <v>32, 34, DODUO</v>
      </c>
    </row>
    <row r="2307" ht="12.75" customHeight="1">
      <c r="A2307" s="4" t="s">
        <v>3496</v>
      </c>
      <c r="B2307" s="5" t="s">
        <v>3496</v>
      </c>
      <c r="C2307" s="1" t="str">
        <f t="shared" si="1"/>
        <v/>
      </c>
      <c r="E2307" s="5" t="s">
        <v>3496</v>
      </c>
      <c r="F2307" s="6" t="str">
        <f t="shared" si="2"/>
        <v>#N/A</v>
      </c>
      <c r="G2307" s="1" t="str">
        <f t="shared" si="3"/>
        <v/>
      </c>
      <c r="H2307" s="5" t="str">
        <f t="shared" si="4"/>
        <v>34, 34, PIDGEOT</v>
      </c>
    </row>
    <row r="2308" ht="12.75" customHeight="1">
      <c r="A2308" s="4" t="s">
        <v>3497</v>
      </c>
      <c r="B2308" s="5" t="s">
        <v>3497</v>
      </c>
      <c r="C2308" s="1" t="str">
        <f t="shared" si="1"/>
        <v/>
      </c>
      <c r="E2308" s="5" t="s">
        <v>3497</v>
      </c>
      <c r="F2308" s="6" t="str">
        <f t="shared" si="2"/>
        <v>#N/A</v>
      </c>
      <c r="G2308" s="1" t="str">
        <f t="shared" si="3"/>
        <v/>
      </c>
      <c r="H2308" s="5" t="str">
        <f t="shared" si="4"/>
        <v>32, 34, EXEGGCUTE</v>
      </c>
    </row>
    <row r="2309" ht="12.75" customHeight="1">
      <c r="A2309" s="4" t="s">
        <v>2807</v>
      </c>
      <c r="B2309" s="5">
        <v>0.05</v>
      </c>
      <c r="C2309" s="1" t="str">
        <f t="shared" si="1"/>
        <v/>
      </c>
      <c r="E2309" s="5">
        <v>0.05</v>
      </c>
      <c r="F2309" s="6" t="str">
        <f t="shared" si="2"/>
        <v>#N/A</v>
      </c>
      <c r="G2309" s="1" t="str">
        <f t="shared" si="3"/>
        <v/>
      </c>
      <c r="H2309" s="5">
        <f t="shared" si="4"/>
        <v>0.05</v>
      </c>
    </row>
    <row r="2310" ht="12.75" customHeight="1">
      <c r="A2310" s="4" t="s">
        <v>3498</v>
      </c>
      <c r="B2310" s="5" t="s">
        <v>3498</v>
      </c>
      <c r="C2310" s="1" t="str">
        <f t="shared" si="1"/>
        <v/>
      </c>
      <c r="E2310" s="5" t="s">
        <v>3498</v>
      </c>
      <c r="F2310" s="6" t="str">
        <f t="shared" si="2"/>
        <v>#N/A</v>
      </c>
      <c r="G2310" s="1" t="str">
        <f t="shared" si="3"/>
        <v/>
      </c>
      <c r="H2310" s="5" t="str">
        <f t="shared" si="4"/>
        <v>33, 37, SCYTHER</v>
      </c>
    </row>
    <row r="2311" ht="12.75" customHeight="1">
      <c r="A2311" s="4" t="s">
        <v>3499</v>
      </c>
      <c r="B2311" s="5" t="s">
        <v>3499</v>
      </c>
      <c r="C2311" s="1" t="str">
        <f t="shared" si="1"/>
        <v/>
      </c>
      <c r="E2311" s="5" t="s">
        <v>3499</v>
      </c>
      <c r="F2311" s="6" t="str">
        <f t="shared" si="2"/>
        <v>#N/A</v>
      </c>
      <c r="G2311" s="1" t="str">
        <f t="shared" si="3"/>
        <v/>
      </c>
      <c r="H2311" s="5" t="str">
        <f t="shared" si="4"/>
        <v>33, 37, JYNX</v>
      </c>
    </row>
    <row r="2312" ht="12.75" customHeight="1">
      <c r="A2312" s="4" t="s">
        <v>2810</v>
      </c>
      <c r="B2312" s="5">
        <v>0.04</v>
      </c>
      <c r="C2312" s="1" t="str">
        <f t="shared" si="1"/>
        <v/>
      </c>
      <c r="E2312" s="5">
        <v>0.04</v>
      </c>
      <c r="F2312" s="6" t="str">
        <f t="shared" si="2"/>
        <v>#N/A</v>
      </c>
      <c r="G2312" s="1" t="str">
        <f t="shared" si="3"/>
        <v/>
      </c>
      <c r="H2312" s="5">
        <f t="shared" si="4"/>
        <v>0.04</v>
      </c>
    </row>
    <row r="2313" ht="12.75" customHeight="1">
      <c r="A2313" s="4" t="s">
        <v>3500</v>
      </c>
      <c r="B2313" s="5" t="s">
        <v>3500</v>
      </c>
      <c r="C2313" s="1" t="str">
        <f t="shared" si="1"/>
        <v/>
      </c>
      <c r="E2313" s="5" t="s">
        <v>3500</v>
      </c>
      <c r="F2313" s="6" t="str">
        <f t="shared" si="2"/>
        <v>#N/A</v>
      </c>
      <c r="G2313" s="1" t="str">
        <f t="shared" si="3"/>
        <v/>
      </c>
      <c r="H2313" s="5" t="str">
        <f t="shared" si="4"/>
        <v>34, 34, DODRIO</v>
      </c>
    </row>
    <row r="2314" ht="12.75" customHeight="1">
      <c r="A2314" s="4" t="s">
        <v>3501</v>
      </c>
      <c r="B2314" s="5" t="s">
        <v>3501</v>
      </c>
      <c r="C2314" s="1" t="str">
        <f t="shared" si="1"/>
        <v/>
      </c>
      <c r="E2314" s="5" t="s">
        <v>3501</v>
      </c>
      <c r="F2314" s="6" t="str">
        <f t="shared" si="2"/>
        <v>#N/A</v>
      </c>
      <c r="G2314" s="1" t="str">
        <f t="shared" si="3"/>
        <v/>
      </c>
      <c r="H2314" s="5" t="str">
        <f t="shared" si="4"/>
        <v>34, 34, EXEGGUTOR</v>
      </c>
    </row>
    <row r="2315" ht="12.75" customHeight="1">
      <c r="A2315" s="4" t="s">
        <v>2813</v>
      </c>
      <c r="B2315" s="5">
        <v>0.01</v>
      </c>
      <c r="C2315" s="1" t="str">
        <f t="shared" si="1"/>
        <v/>
      </c>
      <c r="E2315" s="5">
        <v>0.01</v>
      </c>
      <c r="F2315" s="6" t="str">
        <f t="shared" si="2"/>
        <v>#N/A</v>
      </c>
      <c r="G2315" s="1" t="str">
        <f t="shared" si="3"/>
        <v/>
      </c>
      <c r="H2315" s="5">
        <f t="shared" si="4"/>
        <v>0.01</v>
      </c>
    </row>
    <row r="2316" ht="12.75" customHeight="1">
      <c r="A2316" s="4" t="s">
        <v>3502</v>
      </c>
      <c r="B2316" s="5" t="s">
        <v>3502</v>
      </c>
      <c r="C2316" s="1" t="str">
        <f t="shared" si="1"/>
        <v/>
      </c>
      <c r="E2316" s="5" t="s">
        <v>3502</v>
      </c>
      <c r="F2316" s="6" t="str">
        <f t="shared" si="2"/>
        <v>#N/A</v>
      </c>
      <c r="G2316" s="1" t="str">
        <f t="shared" si="3"/>
        <v/>
      </c>
      <c r="H2316" s="5" t="str">
        <f t="shared" si="4"/>
        <v>32, 37, VICTREEBEL</v>
      </c>
    </row>
    <row r="2317" ht="12.75" customHeight="1">
      <c r="A2317" s="4" t="s">
        <v>3467</v>
      </c>
      <c r="B2317" s="5" t="s">
        <v>3467</v>
      </c>
      <c r="C2317" s="1" t="str">
        <f t="shared" si="1"/>
        <v/>
      </c>
      <c r="E2317" s="5" t="s">
        <v>3467</v>
      </c>
      <c r="F2317" s="6" t="str">
        <f t="shared" si="2"/>
        <v>#N/A</v>
      </c>
      <c r="G2317" s="1" t="str">
        <f t="shared" si="3"/>
        <v/>
      </c>
      <c r="H2317" s="5" t="str">
        <f t="shared" si="4"/>
        <v>20, 25, SQUIRTLE</v>
      </c>
    </row>
    <row r="2318" ht="12.75" customHeight="1">
      <c r="A2318" s="4" t="s">
        <v>2539</v>
      </c>
      <c r="B2318" s="5" t="s">
        <v>2539</v>
      </c>
      <c r="C2318" s="1">
        <f t="shared" si="1"/>
        <v>1</v>
      </c>
      <c r="E2318" s="5" t="s">
        <v>2539</v>
      </c>
      <c r="F2318" s="6" t="str">
        <f t="shared" si="2"/>
        <v>#N/A</v>
      </c>
      <c r="G2318" s="1" t="str">
        <f t="shared" si="3"/>
        <v/>
      </c>
      <c r="H2318" s="5" t="str">
        <f t="shared" si="4"/>
        <v>NEW ROUTE</v>
      </c>
    </row>
    <row r="2319" ht="12.75" customHeight="1">
      <c r="A2319" s="4" t="s">
        <v>2133</v>
      </c>
      <c r="B2319" s="5" t="s">
        <v>2133</v>
      </c>
      <c r="C2319" s="1" t="str">
        <f t="shared" si="1"/>
        <v/>
      </c>
      <c r="E2319" s="5" t="s">
        <v>2133</v>
      </c>
      <c r="F2319" s="6" t="str">
        <f t="shared" si="2"/>
        <v>Route 16</v>
      </c>
      <c r="G2319" s="1" t="str">
        <f t="shared" si="3"/>
        <v>Route 16</v>
      </c>
      <c r="H2319" s="5" t="str">
        <f t="shared" si="4"/>
        <v>Route 16</v>
      </c>
    </row>
    <row r="2320" ht="12.75" customHeight="1">
      <c r="A2320" s="4" t="s">
        <v>2799</v>
      </c>
      <c r="B2320" s="5">
        <v>0.2</v>
      </c>
      <c r="C2320" s="1" t="str">
        <f t="shared" si="1"/>
        <v/>
      </c>
      <c r="E2320" s="5">
        <v>0.2</v>
      </c>
      <c r="F2320" s="6" t="str">
        <f t="shared" si="2"/>
        <v>#N/A</v>
      </c>
      <c r="G2320" s="1" t="str">
        <f t="shared" si="3"/>
        <v/>
      </c>
      <c r="H2320" s="5">
        <f t="shared" si="4"/>
        <v>0.2</v>
      </c>
    </row>
    <row r="2321" ht="12.75" customHeight="1">
      <c r="A2321" s="4" t="s">
        <v>1132</v>
      </c>
      <c r="B2321" s="5" t="s">
        <v>1132</v>
      </c>
      <c r="C2321" s="1" t="str">
        <f t="shared" si="1"/>
        <v/>
      </c>
      <c r="E2321" s="5" t="s">
        <v>1132</v>
      </c>
      <c r="F2321" s="6" t="str">
        <f t="shared" si="2"/>
        <v>#N/A</v>
      </c>
      <c r="G2321" s="1" t="str">
        <f t="shared" si="3"/>
        <v/>
      </c>
      <c r="H2321" s="5" t="str">
        <f t="shared" si="4"/>
        <v>29, 34, ODDISH</v>
      </c>
    </row>
    <row r="2322" ht="12.75" customHeight="1">
      <c r="A2322" s="4" t="s">
        <v>3457</v>
      </c>
      <c r="B2322" s="5" t="s">
        <v>3457</v>
      </c>
      <c r="C2322" s="1" t="str">
        <f t="shared" si="1"/>
        <v/>
      </c>
      <c r="E2322" s="5" t="s">
        <v>3457</v>
      </c>
      <c r="F2322" s="6" t="str">
        <f t="shared" si="2"/>
        <v>#N/A</v>
      </c>
      <c r="G2322" s="1" t="str">
        <f t="shared" si="3"/>
        <v/>
      </c>
      <c r="H2322" s="5" t="str">
        <f t="shared" si="4"/>
        <v>29, 34, PIDGEOTTO</v>
      </c>
    </row>
    <row r="2323" ht="12.75" customHeight="1">
      <c r="A2323" s="4" t="s">
        <v>2802</v>
      </c>
      <c r="B2323" s="5">
        <v>0.1</v>
      </c>
      <c r="C2323" s="1" t="str">
        <f t="shared" si="1"/>
        <v/>
      </c>
      <c r="E2323" s="5">
        <v>0.1</v>
      </c>
      <c r="F2323" s="6" t="str">
        <f t="shared" si="2"/>
        <v>#N/A</v>
      </c>
      <c r="G2323" s="1" t="str">
        <f t="shared" si="3"/>
        <v/>
      </c>
      <c r="H2323" s="5">
        <f t="shared" si="4"/>
        <v>0.1</v>
      </c>
    </row>
    <row r="2324" ht="12.75" customHeight="1">
      <c r="A2324" s="4" t="s">
        <v>3504</v>
      </c>
      <c r="B2324" s="5" t="s">
        <v>3504</v>
      </c>
      <c r="C2324" s="1" t="str">
        <f t="shared" si="1"/>
        <v/>
      </c>
      <c r="E2324" s="5" t="s">
        <v>3504</v>
      </c>
      <c r="F2324" s="6" t="str">
        <f t="shared" si="2"/>
        <v>#N/A</v>
      </c>
      <c r="G2324" s="1" t="str">
        <f t="shared" si="3"/>
        <v/>
      </c>
      <c r="H2324" s="5" t="str">
        <f t="shared" si="4"/>
        <v>29, 31, GLOOM</v>
      </c>
    </row>
    <row r="2325" ht="12.75" customHeight="1">
      <c r="A2325" s="4" t="s">
        <v>3459</v>
      </c>
      <c r="B2325" s="5" t="s">
        <v>3459</v>
      </c>
      <c r="C2325" s="1" t="str">
        <f t="shared" si="1"/>
        <v/>
      </c>
      <c r="E2325" s="5" t="s">
        <v>3459</v>
      </c>
      <c r="F2325" s="6" t="str">
        <f t="shared" si="2"/>
        <v>#N/A</v>
      </c>
      <c r="G2325" s="1" t="str">
        <f t="shared" si="3"/>
        <v/>
      </c>
      <c r="H2325" s="5" t="str">
        <f t="shared" si="4"/>
        <v>29, 31, DODUO</v>
      </c>
    </row>
    <row r="2326" ht="12.75" customHeight="1">
      <c r="A2326" s="4" t="s">
        <v>3460</v>
      </c>
      <c r="B2326" s="5" t="s">
        <v>3460</v>
      </c>
      <c r="C2326" s="1" t="str">
        <f t="shared" si="1"/>
        <v/>
      </c>
      <c r="E2326" s="5" t="s">
        <v>3460</v>
      </c>
      <c r="F2326" s="6" t="str">
        <f t="shared" si="2"/>
        <v>#N/A</v>
      </c>
      <c r="G2326" s="1" t="str">
        <f t="shared" si="3"/>
        <v/>
      </c>
      <c r="H2326" s="5" t="str">
        <f t="shared" si="4"/>
        <v>31, 31, PIDGEOT</v>
      </c>
    </row>
    <row r="2327" ht="12.75" customHeight="1">
      <c r="A2327" s="4" t="s">
        <v>3505</v>
      </c>
      <c r="B2327" s="5" t="s">
        <v>3505</v>
      </c>
      <c r="C2327" s="1" t="str">
        <f t="shared" si="1"/>
        <v/>
      </c>
      <c r="E2327" s="5" t="s">
        <v>3505</v>
      </c>
      <c r="F2327" s="6" t="str">
        <f t="shared" si="2"/>
        <v>#N/A</v>
      </c>
      <c r="G2327" s="1" t="str">
        <f t="shared" si="3"/>
        <v/>
      </c>
      <c r="H2327" s="5" t="str">
        <f t="shared" si="4"/>
        <v>29, 31, LICKITUNG</v>
      </c>
    </row>
    <row r="2328" ht="12.75" customHeight="1">
      <c r="A2328" s="4" t="s">
        <v>2807</v>
      </c>
      <c r="B2328" s="5">
        <v>0.05</v>
      </c>
      <c r="C2328" s="1" t="str">
        <f t="shared" si="1"/>
        <v/>
      </c>
      <c r="E2328" s="5">
        <v>0.05</v>
      </c>
      <c r="F2328" s="6" t="str">
        <f t="shared" si="2"/>
        <v>#N/A</v>
      </c>
      <c r="G2328" s="1" t="str">
        <f t="shared" si="3"/>
        <v/>
      </c>
      <c r="H2328" s="5">
        <f t="shared" si="4"/>
        <v>0.05</v>
      </c>
    </row>
    <row r="2329" ht="12.75" customHeight="1">
      <c r="A2329" s="4" t="s">
        <v>3506</v>
      </c>
      <c r="B2329" s="5" t="s">
        <v>3506</v>
      </c>
      <c r="C2329" s="1" t="str">
        <f t="shared" si="1"/>
        <v/>
      </c>
      <c r="E2329" s="5" t="s">
        <v>3506</v>
      </c>
      <c r="F2329" s="6" t="str">
        <f t="shared" si="2"/>
        <v>#N/A</v>
      </c>
      <c r="G2329" s="1" t="str">
        <f t="shared" si="3"/>
        <v/>
      </c>
      <c r="H2329" s="5" t="str">
        <f t="shared" si="4"/>
        <v>30, 34, TAUROS</v>
      </c>
    </row>
    <row r="2330" ht="12.75" customHeight="1">
      <c r="A2330" s="4" t="s">
        <v>3507</v>
      </c>
      <c r="B2330" s="5" t="s">
        <v>3507</v>
      </c>
      <c r="C2330" s="1" t="str">
        <f t="shared" si="1"/>
        <v/>
      </c>
      <c r="E2330" s="5" t="s">
        <v>3507</v>
      </c>
      <c r="F2330" s="6" t="str">
        <f t="shared" si="2"/>
        <v>#N/A</v>
      </c>
      <c r="G2330" s="1" t="str">
        <f t="shared" si="3"/>
        <v/>
      </c>
      <c r="H2330" s="5" t="str">
        <f t="shared" si="4"/>
        <v>30, 34, "MR. MIME"</v>
      </c>
    </row>
    <row r="2331" ht="12.75" customHeight="1">
      <c r="A2331" s="4" t="s">
        <v>2810</v>
      </c>
      <c r="B2331" s="5">
        <v>0.04</v>
      </c>
      <c r="C2331" s="1" t="str">
        <f t="shared" si="1"/>
        <v/>
      </c>
      <c r="E2331" s="5">
        <v>0.04</v>
      </c>
      <c r="F2331" s="6" t="str">
        <f t="shared" si="2"/>
        <v>#N/A</v>
      </c>
      <c r="G2331" s="1" t="str">
        <f t="shared" si="3"/>
        <v/>
      </c>
      <c r="H2331" s="5">
        <f t="shared" si="4"/>
        <v>0.04</v>
      </c>
    </row>
    <row r="2332" ht="12.75" customHeight="1">
      <c r="A2332" s="4" t="s">
        <v>3464</v>
      </c>
      <c r="B2332" s="5" t="s">
        <v>3464</v>
      </c>
      <c r="C2332" s="1" t="str">
        <f t="shared" si="1"/>
        <v/>
      </c>
      <c r="E2332" s="5" t="s">
        <v>3464</v>
      </c>
      <c r="F2332" s="6" t="str">
        <f t="shared" si="2"/>
        <v>#N/A</v>
      </c>
      <c r="G2332" s="1" t="str">
        <f t="shared" si="3"/>
        <v/>
      </c>
      <c r="H2332" s="5" t="str">
        <f t="shared" si="4"/>
        <v>31, 31, DODRIO</v>
      </c>
    </row>
    <row r="2333" ht="12.75" customHeight="1">
      <c r="A2333" s="4" t="s">
        <v>3508</v>
      </c>
      <c r="B2333" s="5" t="s">
        <v>3508</v>
      </c>
      <c r="C2333" s="1" t="str">
        <f t="shared" si="1"/>
        <v/>
      </c>
      <c r="E2333" s="5" t="s">
        <v>3508</v>
      </c>
      <c r="F2333" s="6" t="str">
        <f t="shared" si="2"/>
        <v>#N/A</v>
      </c>
      <c r="G2333" s="1" t="str">
        <f t="shared" si="3"/>
        <v/>
      </c>
      <c r="H2333" s="5" t="str">
        <f t="shared" si="4"/>
        <v>31, 31, LICKILICKY</v>
      </c>
    </row>
    <row r="2334" ht="12.75" customHeight="1">
      <c r="A2334" s="4" t="s">
        <v>2813</v>
      </c>
      <c r="B2334" s="5">
        <v>0.01</v>
      </c>
      <c r="C2334" s="1" t="str">
        <f t="shared" si="1"/>
        <v/>
      </c>
      <c r="E2334" s="5">
        <v>0.01</v>
      </c>
      <c r="F2334" s="6" t="str">
        <f t="shared" si="2"/>
        <v>#N/A</v>
      </c>
      <c r="G2334" s="1" t="str">
        <f t="shared" si="3"/>
        <v/>
      </c>
      <c r="H2334" s="5">
        <f t="shared" si="4"/>
        <v>0.01</v>
      </c>
    </row>
    <row r="2335" ht="12.75" customHeight="1">
      <c r="A2335" s="4" t="s">
        <v>3509</v>
      </c>
      <c r="B2335" s="5" t="s">
        <v>3509</v>
      </c>
      <c r="C2335" s="1" t="str">
        <f t="shared" si="1"/>
        <v/>
      </c>
      <c r="E2335" s="5" t="s">
        <v>3509</v>
      </c>
      <c r="F2335" s="6" t="str">
        <f t="shared" si="2"/>
        <v>#N/A</v>
      </c>
      <c r="G2335" s="1" t="str">
        <f t="shared" si="3"/>
        <v/>
      </c>
      <c r="H2335" s="5" t="str">
        <f t="shared" si="4"/>
        <v>29, 34, VILEPLUME</v>
      </c>
    </row>
    <row r="2336" ht="12.75" customHeight="1">
      <c r="A2336" s="4" t="s">
        <v>3728</v>
      </c>
      <c r="B2336" s="5" t="s">
        <v>3728</v>
      </c>
      <c r="C2336" s="1" t="str">
        <f t="shared" si="1"/>
        <v/>
      </c>
      <c r="E2336" s="5" t="s">
        <v>3728</v>
      </c>
      <c r="F2336" s="6" t="str">
        <f t="shared" si="2"/>
        <v>#N/A</v>
      </c>
      <c r="G2336" s="1" t="str">
        <f t="shared" si="3"/>
        <v/>
      </c>
      <c r="H2336" s="5" t="str">
        <f t="shared" si="4"/>
        <v>20, 25, BULBASAUR</v>
      </c>
    </row>
    <row r="2337" ht="12.75" customHeight="1">
      <c r="A2337" s="4" t="s">
        <v>2539</v>
      </c>
      <c r="B2337" s="5" t="s">
        <v>2539</v>
      </c>
      <c r="C2337" s="1">
        <f t="shared" si="1"/>
        <v>1</v>
      </c>
      <c r="E2337" s="5" t="s">
        <v>2539</v>
      </c>
      <c r="F2337" s="6" t="str">
        <f t="shared" si="2"/>
        <v>#N/A</v>
      </c>
      <c r="G2337" s="1" t="str">
        <f t="shared" si="3"/>
        <v/>
      </c>
      <c r="H2337" s="5" t="str">
        <f t="shared" si="4"/>
        <v>NEW ROUTE</v>
      </c>
    </row>
    <row r="2338" ht="12.75" customHeight="1">
      <c r="A2338" s="4" t="s">
        <v>2135</v>
      </c>
      <c r="B2338" s="5" t="s">
        <v>2135</v>
      </c>
      <c r="C2338" s="1" t="str">
        <f t="shared" si="1"/>
        <v/>
      </c>
      <c r="E2338" s="5" t="s">
        <v>2135</v>
      </c>
      <c r="F2338" s="6" t="str">
        <f t="shared" si="2"/>
        <v>Route 17</v>
      </c>
      <c r="G2338" s="1" t="str">
        <f t="shared" si="3"/>
        <v>Route 17</v>
      </c>
      <c r="H2338" s="5" t="str">
        <f t="shared" si="4"/>
        <v>Route 17</v>
      </c>
    </row>
    <row r="2339" ht="12.75" customHeight="1">
      <c r="A2339" s="4" t="s">
        <v>2799</v>
      </c>
      <c r="B2339" s="5">
        <v>0.2</v>
      </c>
      <c r="C2339" s="1" t="str">
        <f t="shared" si="1"/>
        <v/>
      </c>
      <c r="E2339" s="5">
        <v>0.2</v>
      </c>
      <c r="F2339" s="6" t="str">
        <f t="shared" si="2"/>
        <v>#N/A</v>
      </c>
      <c r="G2339" s="1" t="str">
        <f t="shared" si="3"/>
        <v/>
      </c>
      <c r="H2339" s="5">
        <f t="shared" si="4"/>
        <v>0.2</v>
      </c>
    </row>
    <row r="2340" ht="12.75" customHeight="1">
      <c r="A2340" s="4" t="s">
        <v>1141</v>
      </c>
      <c r="B2340" s="5" t="s">
        <v>1141</v>
      </c>
      <c r="C2340" s="1" t="str">
        <f t="shared" si="1"/>
        <v/>
      </c>
      <c r="E2340" s="5" t="s">
        <v>1141</v>
      </c>
      <c r="F2340" s="6" t="str">
        <f t="shared" si="2"/>
        <v>#N/A</v>
      </c>
      <c r="G2340" s="1" t="str">
        <f t="shared" si="3"/>
        <v/>
      </c>
      <c r="H2340" s="5" t="str">
        <f t="shared" si="4"/>
        <v>30, 35, ODDISH</v>
      </c>
    </row>
    <row r="2341" ht="12.75" customHeight="1">
      <c r="A2341" s="4" t="s">
        <v>3470</v>
      </c>
      <c r="B2341" s="5" t="s">
        <v>3470</v>
      </c>
      <c r="C2341" s="1" t="str">
        <f t="shared" si="1"/>
        <v/>
      </c>
      <c r="E2341" s="5" t="s">
        <v>3470</v>
      </c>
      <c r="F2341" s="6" t="str">
        <f t="shared" si="2"/>
        <v>#N/A</v>
      </c>
      <c r="G2341" s="1" t="str">
        <f t="shared" si="3"/>
        <v/>
      </c>
      <c r="H2341" s="5" t="str">
        <f t="shared" si="4"/>
        <v>30, 35, PIDGEOTTO</v>
      </c>
    </row>
    <row r="2342" ht="12.75" customHeight="1">
      <c r="A2342" s="4" t="s">
        <v>2802</v>
      </c>
      <c r="B2342" s="5">
        <v>0.1</v>
      </c>
      <c r="C2342" s="1" t="str">
        <f t="shared" si="1"/>
        <v/>
      </c>
      <c r="E2342" s="5">
        <v>0.1</v>
      </c>
      <c r="F2342" s="6" t="str">
        <f t="shared" si="2"/>
        <v>#N/A</v>
      </c>
      <c r="G2342" s="1" t="str">
        <f t="shared" si="3"/>
        <v/>
      </c>
      <c r="H2342" s="5">
        <f t="shared" si="4"/>
        <v>0.1</v>
      </c>
    </row>
    <row r="2343" ht="12.75" customHeight="1">
      <c r="A2343" s="4" t="s">
        <v>3512</v>
      </c>
      <c r="B2343" s="5" t="s">
        <v>3512</v>
      </c>
      <c r="C2343" s="1" t="str">
        <f t="shared" si="1"/>
        <v/>
      </c>
      <c r="E2343" s="5" t="s">
        <v>3512</v>
      </c>
      <c r="F2343" s="6" t="str">
        <f t="shared" si="2"/>
        <v>#N/A</v>
      </c>
      <c r="G2343" s="1" t="str">
        <f t="shared" si="3"/>
        <v/>
      </c>
      <c r="H2343" s="5" t="str">
        <f t="shared" si="4"/>
        <v>30, 35, GLOOM</v>
      </c>
    </row>
    <row r="2344" ht="12.75" customHeight="1">
      <c r="A2344" s="4" t="s">
        <v>3513</v>
      </c>
      <c r="B2344" s="5" t="s">
        <v>3513</v>
      </c>
      <c r="C2344" s="1" t="str">
        <f t="shared" si="1"/>
        <v/>
      </c>
      <c r="E2344" s="5" t="s">
        <v>3513</v>
      </c>
      <c r="F2344" s="6" t="str">
        <f t="shared" si="2"/>
        <v>#N/A</v>
      </c>
      <c r="G2344" s="1" t="str">
        <f t="shared" si="3"/>
        <v/>
      </c>
      <c r="H2344" s="5" t="str">
        <f t="shared" si="4"/>
        <v>30, 35, DODUO</v>
      </c>
    </row>
    <row r="2345" ht="12.75" customHeight="1">
      <c r="A2345" s="4" t="s">
        <v>3473</v>
      </c>
      <c r="B2345" s="5" t="s">
        <v>3473</v>
      </c>
      <c r="C2345" s="1" t="str">
        <f t="shared" si="1"/>
        <v/>
      </c>
      <c r="E2345" s="5" t="s">
        <v>3473</v>
      </c>
      <c r="F2345" s="6" t="str">
        <f t="shared" si="2"/>
        <v>#N/A</v>
      </c>
      <c r="G2345" s="1" t="str">
        <f t="shared" si="3"/>
        <v/>
      </c>
      <c r="H2345" s="5" t="str">
        <f t="shared" si="4"/>
        <v>32, 32, PIDGEOT</v>
      </c>
    </row>
    <row r="2346" ht="12.75" customHeight="1">
      <c r="A2346" s="4" t="s">
        <v>3514</v>
      </c>
      <c r="B2346" s="5" t="s">
        <v>3514</v>
      </c>
      <c r="C2346" s="1" t="str">
        <f t="shared" si="1"/>
        <v/>
      </c>
      <c r="E2346" s="5" t="s">
        <v>3514</v>
      </c>
      <c r="F2346" s="6" t="str">
        <f t="shared" si="2"/>
        <v>#N/A</v>
      </c>
      <c r="G2346" s="1" t="str">
        <f t="shared" si="3"/>
        <v/>
      </c>
      <c r="H2346" s="5" t="str">
        <f t="shared" si="4"/>
        <v>30, 32, LICKITUNG</v>
      </c>
    </row>
    <row r="2347" ht="12.75" customHeight="1">
      <c r="A2347" s="4" t="s">
        <v>2807</v>
      </c>
      <c r="B2347" s="5">
        <v>0.05</v>
      </c>
      <c r="C2347" s="1" t="str">
        <f t="shared" si="1"/>
        <v/>
      </c>
      <c r="E2347" s="5">
        <v>0.05</v>
      </c>
      <c r="F2347" s="6" t="str">
        <f t="shared" si="2"/>
        <v>#N/A</v>
      </c>
      <c r="G2347" s="1" t="str">
        <f t="shared" si="3"/>
        <v/>
      </c>
      <c r="H2347" s="5">
        <f t="shared" si="4"/>
        <v>0.05</v>
      </c>
    </row>
    <row r="2348" ht="12.75" customHeight="1">
      <c r="A2348" s="4" t="s">
        <v>3515</v>
      </c>
      <c r="B2348" s="5" t="s">
        <v>3515</v>
      </c>
      <c r="C2348" s="1" t="str">
        <f t="shared" si="1"/>
        <v/>
      </c>
      <c r="E2348" s="5" t="s">
        <v>3515</v>
      </c>
      <c r="F2348" s="6" t="str">
        <f t="shared" si="2"/>
        <v>#N/A</v>
      </c>
      <c r="G2348" s="1" t="str">
        <f t="shared" si="3"/>
        <v/>
      </c>
      <c r="H2348" s="5" t="str">
        <f t="shared" si="4"/>
        <v>31, 35, TAUROS</v>
      </c>
    </row>
    <row r="2349" ht="12.75" customHeight="1">
      <c r="A2349" s="4" t="s">
        <v>3516</v>
      </c>
      <c r="B2349" s="5" t="s">
        <v>3516</v>
      </c>
      <c r="C2349" s="1" t="str">
        <f t="shared" si="1"/>
        <v/>
      </c>
      <c r="E2349" s="5" t="s">
        <v>3516</v>
      </c>
      <c r="F2349" s="6" t="str">
        <f t="shared" si="2"/>
        <v>#N/A</v>
      </c>
      <c r="G2349" s="1" t="str">
        <f t="shared" si="3"/>
        <v/>
      </c>
      <c r="H2349" s="5" t="str">
        <f t="shared" si="4"/>
        <v>31, 35, "MR. MIME"</v>
      </c>
    </row>
    <row r="2350" ht="12.75" customHeight="1">
      <c r="A2350" s="4" t="s">
        <v>2810</v>
      </c>
      <c r="B2350" s="5">
        <v>0.04</v>
      </c>
      <c r="C2350" s="1" t="str">
        <f t="shared" si="1"/>
        <v/>
      </c>
      <c r="E2350" s="5">
        <v>0.04</v>
      </c>
      <c r="F2350" s="6" t="str">
        <f t="shared" si="2"/>
        <v>#N/A</v>
      </c>
      <c r="G2350" s="1" t="str">
        <f t="shared" si="3"/>
        <v/>
      </c>
      <c r="H2350" s="5">
        <f t="shared" si="4"/>
        <v>0.04</v>
      </c>
    </row>
    <row r="2351" ht="12.75" customHeight="1">
      <c r="A2351" s="4" t="s">
        <v>3477</v>
      </c>
      <c r="B2351" s="5" t="s">
        <v>3477</v>
      </c>
      <c r="C2351" s="1" t="str">
        <f t="shared" si="1"/>
        <v/>
      </c>
      <c r="E2351" s="5" t="s">
        <v>3477</v>
      </c>
      <c r="F2351" s="6" t="str">
        <f t="shared" si="2"/>
        <v>#N/A</v>
      </c>
      <c r="G2351" s="1" t="str">
        <f t="shared" si="3"/>
        <v/>
      </c>
      <c r="H2351" s="5" t="str">
        <f t="shared" si="4"/>
        <v>32, 32, DODRIO</v>
      </c>
    </row>
    <row r="2352" ht="12.75" customHeight="1">
      <c r="A2352" s="4" t="s">
        <v>3517</v>
      </c>
      <c r="B2352" s="5" t="s">
        <v>3517</v>
      </c>
      <c r="C2352" s="1" t="str">
        <f t="shared" si="1"/>
        <v/>
      </c>
      <c r="E2352" s="5" t="s">
        <v>3517</v>
      </c>
      <c r="F2352" s="6" t="str">
        <f t="shared" si="2"/>
        <v>#N/A</v>
      </c>
      <c r="G2352" s="1" t="str">
        <f t="shared" si="3"/>
        <v/>
      </c>
      <c r="H2352" s="5" t="str">
        <f t="shared" si="4"/>
        <v>32, 32, LICKILICKY</v>
      </c>
    </row>
    <row r="2353" ht="12.75" customHeight="1">
      <c r="A2353" s="4" t="s">
        <v>2813</v>
      </c>
      <c r="B2353" s="5">
        <v>0.01</v>
      </c>
      <c r="C2353" s="1" t="str">
        <f t="shared" si="1"/>
        <v/>
      </c>
      <c r="E2353" s="5">
        <v>0.01</v>
      </c>
      <c r="F2353" s="6" t="str">
        <f t="shared" si="2"/>
        <v>#N/A</v>
      </c>
      <c r="G2353" s="1" t="str">
        <f t="shared" si="3"/>
        <v/>
      </c>
      <c r="H2353" s="5">
        <f t="shared" si="4"/>
        <v>0.01</v>
      </c>
    </row>
    <row r="2354" ht="12.75" customHeight="1">
      <c r="A2354" s="4" t="s">
        <v>3518</v>
      </c>
      <c r="B2354" s="5" t="s">
        <v>3518</v>
      </c>
      <c r="C2354" s="1" t="str">
        <f t="shared" si="1"/>
        <v/>
      </c>
      <c r="E2354" s="5" t="s">
        <v>3518</v>
      </c>
      <c r="F2354" s="6" t="str">
        <f t="shared" si="2"/>
        <v>#N/A</v>
      </c>
      <c r="G2354" s="1" t="str">
        <f t="shared" si="3"/>
        <v/>
      </c>
      <c r="H2354" s="5" t="str">
        <f t="shared" si="4"/>
        <v>30, 35, VILEPLUME</v>
      </c>
    </row>
    <row r="2355" ht="12.75" customHeight="1">
      <c r="A2355" s="4" t="s">
        <v>3728</v>
      </c>
      <c r="B2355" s="5" t="s">
        <v>3728</v>
      </c>
      <c r="C2355" s="1" t="str">
        <f t="shared" si="1"/>
        <v/>
      </c>
      <c r="E2355" s="5" t="s">
        <v>3728</v>
      </c>
      <c r="F2355" s="6" t="str">
        <f t="shared" si="2"/>
        <v>#N/A</v>
      </c>
      <c r="G2355" s="1" t="str">
        <f t="shared" si="3"/>
        <v/>
      </c>
      <c r="H2355" s="5" t="str">
        <f t="shared" si="4"/>
        <v>20, 25, BULBASAUR</v>
      </c>
    </row>
    <row r="2356" ht="12.75" customHeight="1">
      <c r="A2356" s="4" t="s">
        <v>2539</v>
      </c>
      <c r="B2356" s="5" t="s">
        <v>2539</v>
      </c>
      <c r="C2356" s="1">
        <f t="shared" si="1"/>
        <v>1</v>
      </c>
      <c r="E2356" s="5" t="s">
        <v>2539</v>
      </c>
      <c r="F2356" s="6" t="str">
        <f t="shared" si="2"/>
        <v>#N/A</v>
      </c>
      <c r="G2356" s="1" t="str">
        <f t="shared" si="3"/>
        <v/>
      </c>
      <c r="H2356" s="5" t="str">
        <f t="shared" si="4"/>
        <v>NEW ROUTE</v>
      </c>
    </row>
    <row r="2357" ht="12.75" customHeight="1">
      <c r="A2357" s="4" t="s">
        <v>2137</v>
      </c>
      <c r="B2357" s="5" t="s">
        <v>2137</v>
      </c>
      <c r="C2357" s="1" t="str">
        <f t="shared" si="1"/>
        <v/>
      </c>
      <c r="E2357" s="5" t="s">
        <v>2137</v>
      </c>
      <c r="F2357" s="6" t="str">
        <f t="shared" si="2"/>
        <v>Route 18</v>
      </c>
      <c r="G2357" s="1" t="str">
        <f t="shared" si="3"/>
        <v>Route 18</v>
      </c>
      <c r="H2357" s="5" t="str">
        <f t="shared" si="4"/>
        <v>Route 18</v>
      </c>
    </row>
    <row r="2358" ht="12.75" customHeight="1">
      <c r="A2358" s="4" t="s">
        <v>2799</v>
      </c>
      <c r="B2358" s="5">
        <v>0.2</v>
      </c>
      <c r="C2358" s="1" t="str">
        <f t="shared" si="1"/>
        <v/>
      </c>
      <c r="E2358" s="5">
        <v>0.2</v>
      </c>
      <c r="F2358" s="6" t="str">
        <f t="shared" si="2"/>
        <v>#N/A</v>
      </c>
      <c r="G2358" s="1" t="str">
        <f t="shared" si="3"/>
        <v/>
      </c>
      <c r="H2358" s="5">
        <f t="shared" si="4"/>
        <v>0.2</v>
      </c>
    </row>
    <row r="2359" ht="12.75" customHeight="1">
      <c r="A2359" s="4" t="s">
        <v>1150</v>
      </c>
      <c r="B2359" s="5" t="s">
        <v>1150</v>
      </c>
      <c r="C2359" s="1" t="str">
        <f t="shared" si="1"/>
        <v/>
      </c>
      <c r="E2359" s="5" t="s">
        <v>1150</v>
      </c>
      <c r="F2359" s="6" t="str">
        <f t="shared" si="2"/>
        <v>#N/A</v>
      </c>
      <c r="G2359" s="1" t="str">
        <f t="shared" si="3"/>
        <v/>
      </c>
      <c r="H2359" s="5" t="str">
        <f t="shared" si="4"/>
        <v>32, 36, ODDISH</v>
      </c>
    </row>
    <row r="2360" ht="12.75" customHeight="1">
      <c r="A2360" s="4" t="s">
        <v>3481</v>
      </c>
      <c r="B2360" s="5" t="s">
        <v>3481</v>
      </c>
      <c r="C2360" s="1" t="str">
        <f t="shared" si="1"/>
        <v/>
      </c>
      <c r="E2360" s="5" t="s">
        <v>3481</v>
      </c>
      <c r="F2360" s="6" t="str">
        <f t="shared" si="2"/>
        <v>#N/A</v>
      </c>
      <c r="G2360" s="1" t="str">
        <f t="shared" si="3"/>
        <v/>
      </c>
      <c r="H2360" s="5" t="str">
        <f t="shared" si="4"/>
        <v>32, 36, PIDGEOTTO</v>
      </c>
    </row>
    <row r="2361" ht="12.75" customHeight="1">
      <c r="A2361" s="4" t="s">
        <v>2802</v>
      </c>
      <c r="B2361" s="5">
        <v>0.1</v>
      </c>
      <c r="C2361" s="1" t="str">
        <f t="shared" si="1"/>
        <v/>
      </c>
      <c r="E2361" s="5">
        <v>0.1</v>
      </c>
      <c r="F2361" s="6" t="str">
        <f t="shared" si="2"/>
        <v>#N/A</v>
      </c>
      <c r="G2361" s="1" t="str">
        <f t="shared" si="3"/>
        <v/>
      </c>
      <c r="H2361" s="5">
        <f t="shared" si="4"/>
        <v>0.1</v>
      </c>
    </row>
    <row r="2362" ht="12.75" customHeight="1">
      <c r="A2362" s="4" t="s">
        <v>3520</v>
      </c>
      <c r="B2362" s="5" t="s">
        <v>3520</v>
      </c>
      <c r="C2362" s="1" t="str">
        <f t="shared" si="1"/>
        <v/>
      </c>
      <c r="E2362" s="5" t="s">
        <v>3520</v>
      </c>
      <c r="F2362" s="6" t="str">
        <f t="shared" si="2"/>
        <v>#N/A</v>
      </c>
      <c r="G2362" s="1" t="str">
        <f t="shared" si="3"/>
        <v/>
      </c>
      <c r="H2362" s="5" t="str">
        <f t="shared" si="4"/>
        <v>31, 33, GLOOM</v>
      </c>
    </row>
    <row r="2363" ht="12.75" customHeight="1">
      <c r="A2363" s="4" t="s">
        <v>3483</v>
      </c>
      <c r="B2363" s="5" t="s">
        <v>3483</v>
      </c>
      <c r="C2363" s="1" t="str">
        <f t="shared" si="1"/>
        <v/>
      </c>
      <c r="E2363" s="5" t="s">
        <v>3483</v>
      </c>
      <c r="F2363" s="6" t="str">
        <f t="shared" si="2"/>
        <v>#N/A</v>
      </c>
      <c r="G2363" s="1" t="str">
        <f t="shared" si="3"/>
        <v/>
      </c>
      <c r="H2363" s="5" t="str">
        <f t="shared" si="4"/>
        <v>31, 33, DODUO</v>
      </c>
    </row>
    <row r="2364" ht="12.75" customHeight="1">
      <c r="A2364" s="4" t="s">
        <v>3484</v>
      </c>
      <c r="B2364" s="5" t="s">
        <v>3484</v>
      </c>
      <c r="C2364" s="1" t="str">
        <f t="shared" si="1"/>
        <v/>
      </c>
      <c r="E2364" s="5" t="s">
        <v>3484</v>
      </c>
      <c r="F2364" s="6" t="str">
        <f t="shared" si="2"/>
        <v>#N/A</v>
      </c>
      <c r="G2364" s="1" t="str">
        <f t="shared" si="3"/>
        <v/>
      </c>
      <c r="H2364" s="5" t="str">
        <f t="shared" si="4"/>
        <v>33, 33, PIDGEOT</v>
      </c>
    </row>
    <row r="2365" ht="12.75" customHeight="1">
      <c r="A2365" s="4" t="s">
        <v>3521</v>
      </c>
      <c r="B2365" s="5" t="s">
        <v>3521</v>
      </c>
      <c r="C2365" s="1" t="str">
        <f t="shared" si="1"/>
        <v/>
      </c>
      <c r="E2365" s="5" t="s">
        <v>3521</v>
      </c>
      <c r="F2365" s="6" t="str">
        <f t="shared" si="2"/>
        <v>#N/A</v>
      </c>
      <c r="G2365" s="1" t="str">
        <f t="shared" si="3"/>
        <v/>
      </c>
      <c r="H2365" s="5" t="str">
        <f t="shared" si="4"/>
        <v>31, 33, LICKITUNG</v>
      </c>
    </row>
    <row r="2366" ht="12.75" customHeight="1">
      <c r="A2366" s="4" t="s">
        <v>2807</v>
      </c>
      <c r="B2366" s="5">
        <v>0.05</v>
      </c>
      <c r="C2366" s="1" t="str">
        <f t="shared" si="1"/>
        <v/>
      </c>
      <c r="E2366" s="5">
        <v>0.05</v>
      </c>
      <c r="F2366" s="6" t="str">
        <f t="shared" si="2"/>
        <v>#N/A</v>
      </c>
      <c r="G2366" s="1" t="str">
        <f t="shared" si="3"/>
        <v/>
      </c>
      <c r="H2366" s="5">
        <f t="shared" si="4"/>
        <v>0.05</v>
      </c>
    </row>
    <row r="2367" ht="12.75" customHeight="1">
      <c r="A2367" s="4" t="s">
        <v>3522</v>
      </c>
      <c r="B2367" s="5" t="s">
        <v>3522</v>
      </c>
      <c r="C2367" s="1" t="str">
        <f t="shared" si="1"/>
        <v/>
      </c>
      <c r="E2367" s="5" t="s">
        <v>3522</v>
      </c>
      <c r="F2367" s="6" t="str">
        <f t="shared" si="2"/>
        <v>#N/A</v>
      </c>
      <c r="G2367" s="1" t="str">
        <f t="shared" si="3"/>
        <v/>
      </c>
      <c r="H2367" s="5" t="str">
        <f t="shared" si="4"/>
        <v>32, 36, TAUROS</v>
      </c>
    </row>
    <row r="2368" ht="12.75" customHeight="1">
      <c r="A2368" s="4" t="s">
        <v>3523</v>
      </c>
      <c r="B2368" s="5" t="s">
        <v>3523</v>
      </c>
      <c r="C2368" s="1" t="str">
        <f t="shared" si="1"/>
        <v/>
      </c>
      <c r="E2368" s="5" t="s">
        <v>3523</v>
      </c>
      <c r="F2368" s="6" t="str">
        <f t="shared" si="2"/>
        <v>#N/A</v>
      </c>
      <c r="G2368" s="1" t="str">
        <f t="shared" si="3"/>
        <v/>
      </c>
      <c r="H2368" s="5" t="str">
        <f t="shared" si="4"/>
        <v>32, 36, "MR. MIME"</v>
      </c>
    </row>
    <row r="2369" ht="12.75" customHeight="1">
      <c r="A2369" s="4" t="s">
        <v>2810</v>
      </c>
      <c r="B2369" s="5">
        <v>0.04</v>
      </c>
      <c r="C2369" s="1" t="str">
        <f t="shared" si="1"/>
        <v/>
      </c>
      <c r="E2369" s="5">
        <v>0.04</v>
      </c>
      <c r="F2369" s="6" t="str">
        <f t="shared" si="2"/>
        <v>#N/A</v>
      </c>
      <c r="G2369" s="1" t="str">
        <f t="shared" si="3"/>
        <v/>
      </c>
      <c r="H2369" s="5">
        <f t="shared" si="4"/>
        <v>0.04</v>
      </c>
    </row>
    <row r="2370" ht="12.75" customHeight="1">
      <c r="A2370" s="4" t="s">
        <v>3524</v>
      </c>
      <c r="B2370" s="5" t="s">
        <v>3524</v>
      </c>
      <c r="C2370" s="1" t="str">
        <f t="shared" si="1"/>
        <v/>
      </c>
      <c r="E2370" s="5" t="s">
        <v>3524</v>
      </c>
      <c r="F2370" s="6" t="str">
        <f t="shared" si="2"/>
        <v>#N/A</v>
      </c>
      <c r="G2370" s="1" t="str">
        <f t="shared" si="3"/>
        <v/>
      </c>
      <c r="H2370" s="5" t="str">
        <f t="shared" si="4"/>
        <v>34, 36, DODRIO</v>
      </c>
    </row>
    <row r="2371" ht="12.75" customHeight="1">
      <c r="A2371" s="4" t="s">
        <v>3525</v>
      </c>
      <c r="B2371" s="5" t="s">
        <v>3525</v>
      </c>
      <c r="C2371" s="1" t="str">
        <f t="shared" si="1"/>
        <v/>
      </c>
      <c r="E2371" s="5" t="s">
        <v>3525</v>
      </c>
      <c r="F2371" s="6" t="str">
        <f t="shared" si="2"/>
        <v>#N/A</v>
      </c>
      <c r="G2371" s="1" t="str">
        <f t="shared" si="3"/>
        <v/>
      </c>
      <c r="H2371" s="5" t="str">
        <f t="shared" si="4"/>
        <v>33, 33, LICKILICKY</v>
      </c>
    </row>
    <row r="2372" ht="12.75" customHeight="1">
      <c r="A2372" s="4" t="s">
        <v>2813</v>
      </c>
      <c r="B2372" s="5">
        <v>0.01</v>
      </c>
      <c r="C2372" s="1" t="str">
        <f t="shared" si="1"/>
        <v/>
      </c>
      <c r="E2372" s="5">
        <v>0.01</v>
      </c>
      <c r="F2372" s="6" t="str">
        <f t="shared" si="2"/>
        <v>#N/A</v>
      </c>
      <c r="G2372" s="1" t="str">
        <f t="shared" si="3"/>
        <v/>
      </c>
      <c r="H2372" s="5">
        <f t="shared" si="4"/>
        <v>0.01</v>
      </c>
    </row>
    <row r="2373" ht="12.75" customHeight="1">
      <c r="A2373" s="4" t="s">
        <v>3526</v>
      </c>
      <c r="B2373" s="5" t="s">
        <v>3526</v>
      </c>
      <c r="C2373" s="1" t="str">
        <f t="shared" si="1"/>
        <v/>
      </c>
      <c r="E2373" s="5" t="s">
        <v>3526</v>
      </c>
      <c r="F2373" s="6" t="str">
        <f t="shared" si="2"/>
        <v>#N/A</v>
      </c>
      <c r="G2373" s="1" t="str">
        <f t="shared" si="3"/>
        <v/>
      </c>
      <c r="H2373" s="5" t="str">
        <f t="shared" si="4"/>
        <v>31, 36, VILEPLUME</v>
      </c>
    </row>
    <row r="2374" ht="12.75" customHeight="1">
      <c r="A2374" s="4" t="s">
        <v>3728</v>
      </c>
      <c r="B2374" s="5" t="s">
        <v>3728</v>
      </c>
      <c r="C2374" s="1" t="str">
        <f t="shared" si="1"/>
        <v/>
      </c>
      <c r="E2374" s="5" t="s">
        <v>3728</v>
      </c>
      <c r="F2374" s="6" t="str">
        <f t="shared" si="2"/>
        <v>#N/A</v>
      </c>
      <c r="G2374" s="1" t="str">
        <f t="shared" si="3"/>
        <v/>
      </c>
      <c r="H2374" s="5" t="str">
        <f t="shared" si="4"/>
        <v>20, 25, BULBASAUR</v>
      </c>
    </row>
    <row r="2375" ht="12.75" customHeight="1">
      <c r="A2375" s="4" t="s">
        <v>2539</v>
      </c>
      <c r="B2375" s="5" t="s">
        <v>2539</v>
      </c>
      <c r="C2375" s="1">
        <f t="shared" si="1"/>
        <v>1</v>
      </c>
      <c r="E2375" s="5" t="s">
        <v>2539</v>
      </c>
      <c r="F2375" s="6" t="str">
        <f t="shared" si="2"/>
        <v>#N/A</v>
      </c>
      <c r="G2375" s="1" t="str">
        <f t="shared" si="3"/>
        <v/>
      </c>
      <c r="H2375" s="5" t="str">
        <f t="shared" si="4"/>
        <v>NEW ROUTE</v>
      </c>
    </row>
    <row r="2376" ht="12.75" customHeight="1">
      <c r="A2376" s="4" t="s">
        <v>2139</v>
      </c>
      <c r="B2376" s="5" t="s">
        <v>2139</v>
      </c>
      <c r="C2376" s="1" t="str">
        <f t="shared" si="1"/>
        <v/>
      </c>
      <c r="E2376" s="5" t="s">
        <v>2139</v>
      </c>
      <c r="F2376" s="6" t="str">
        <f t="shared" si="2"/>
        <v>Route 19</v>
      </c>
      <c r="G2376" s="1" t="str">
        <f t="shared" si="3"/>
        <v>Route 19</v>
      </c>
      <c r="H2376" s="5" t="str">
        <f t="shared" si="4"/>
        <v>Route 19</v>
      </c>
    </row>
    <row r="2377" ht="12.75" customHeight="1">
      <c r="A2377" s="4" t="s">
        <v>3350</v>
      </c>
      <c r="B2377" s="5" t="s">
        <v>3350</v>
      </c>
      <c r="C2377" s="1" t="str">
        <f t="shared" si="1"/>
        <v/>
      </c>
      <c r="E2377" s="5" t="s">
        <v>3350</v>
      </c>
      <c r="F2377" s="6" t="str">
        <f t="shared" si="2"/>
        <v>#N/A</v>
      </c>
      <c r="G2377" s="1" t="str">
        <f t="shared" si="3"/>
        <v/>
      </c>
      <c r="H2377" s="5" t="str">
        <f t="shared" si="4"/>
        <v>2, 38, 42, TENTACOOL</v>
      </c>
    </row>
    <row r="2378" ht="12.75" customHeight="1">
      <c r="A2378" s="4" t="s">
        <v>3429</v>
      </c>
      <c r="B2378" s="5" t="s">
        <v>3429</v>
      </c>
      <c r="C2378" s="1" t="str">
        <f t="shared" si="1"/>
        <v/>
      </c>
      <c r="E2378" s="5" t="s">
        <v>3429</v>
      </c>
      <c r="F2378" s="6" t="str">
        <f t="shared" si="2"/>
        <v>#N/A</v>
      </c>
      <c r="G2378" s="1" t="str">
        <f t="shared" si="3"/>
        <v/>
      </c>
      <c r="H2378" s="5" t="str">
        <f t="shared" si="4"/>
        <v>40, 44, TENTACRUEL</v>
      </c>
    </row>
    <row r="2379" ht="12.75" customHeight="1">
      <c r="A2379" s="4" t="s">
        <v>3430</v>
      </c>
      <c r="B2379" s="5" t="s">
        <v>3430</v>
      </c>
      <c r="C2379" s="1" t="str">
        <f t="shared" si="1"/>
        <v/>
      </c>
      <c r="E2379" s="5" t="s">
        <v>3430</v>
      </c>
      <c r="F2379" s="6" t="str">
        <f t="shared" si="2"/>
        <v>#N/A</v>
      </c>
      <c r="G2379" s="1" t="str">
        <f t="shared" si="3"/>
        <v/>
      </c>
      <c r="H2379" s="5" t="str">
        <f t="shared" si="4"/>
        <v>42, 46, TENTACATE</v>
      </c>
    </row>
    <row r="2380" ht="12.75" customHeight="1">
      <c r="A2380" s="4" t="s">
        <v>3025</v>
      </c>
      <c r="B2380" s="5" t="s">
        <v>3025</v>
      </c>
      <c r="C2380" s="1" t="str">
        <f t="shared" si="1"/>
        <v/>
      </c>
      <c r="E2380" s="5" t="s">
        <v>3025</v>
      </c>
      <c r="F2380" s="6" t="str">
        <f t="shared" si="2"/>
        <v>#N/A</v>
      </c>
      <c r="G2380" s="1" t="str">
        <f t="shared" si="3"/>
        <v/>
      </c>
      <c r="H2380" s="5" t="str">
        <f t="shared" si="4"/>
        <v>42, 46, LAPRAS</v>
      </c>
    </row>
    <row r="2381" ht="12.75" customHeight="1">
      <c r="A2381" s="4" t="s">
        <v>3450</v>
      </c>
      <c r="B2381" s="5" t="s">
        <v>3450</v>
      </c>
      <c r="C2381" s="1" t="str">
        <f t="shared" si="1"/>
        <v/>
      </c>
      <c r="E2381" s="5" t="s">
        <v>3450</v>
      </c>
      <c r="F2381" s="6" t="str">
        <f t="shared" si="2"/>
        <v>#N/A</v>
      </c>
      <c r="G2381" s="1" t="str">
        <f t="shared" si="3"/>
        <v/>
      </c>
      <c r="H2381" s="5" t="str">
        <f t="shared" si="4"/>
        <v>44, 48, LOCHLASS</v>
      </c>
    </row>
    <row r="2382" ht="12.75" customHeight="1">
      <c r="A2382" s="4" t="s">
        <v>2926</v>
      </c>
      <c r="B2382" s="5" t="s">
        <v>2926</v>
      </c>
      <c r="C2382" s="1" t="str">
        <f t="shared" si="1"/>
        <v/>
      </c>
      <c r="E2382" s="5" t="s">
        <v>2926</v>
      </c>
      <c r="F2382" s="6" t="str">
        <f t="shared" si="2"/>
        <v>#N/A</v>
      </c>
      <c r="G2382" s="1" t="str">
        <f t="shared" si="3"/>
        <v/>
      </c>
      <c r="H2382" s="5" t="str">
        <f t="shared" si="4"/>
        <v>20, old rod:</v>
      </c>
    </row>
    <row r="2383" ht="12.75" customHeight="1">
      <c r="A2383" s="4" t="s">
        <v>1159</v>
      </c>
      <c r="B2383" s="5" t="s">
        <v>1159</v>
      </c>
      <c r="C2383" s="1" t="str">
        <f t="shared" si="1"/>
        <v/>
      </c>
      <c r="E2383" s="5" t="s">
        <v>1159</v>
      </c>
      <c r="F2383" s="6" t="str">
        <f t="shared" si="2"/>
        <v>#N/A</v>
      </c>
      <c r="G2383" s="1" t="str">
        <f t="shared" si="3"/>
        <v/>
      </c>
      <c r="H2383" s="5" t="str">
        <f t="shared" si="4"/>
        <v>19, 26, PSYDUCK</v>
      </c>
    </row>
    <row r="2384" ht="12.75" customHeight="1">
      <c r="A2384" s="4" t="s">
        <v>602</v>
      </c>
      <c r="B2384" s="5" t="s">
        <v>602</v>
      </c>
      <c r="C2384" s="1" t="str">
        <f t="shared" si="1"/>
        <v/>
      </c>
      <c r="E2384" s="5" t="s">
        <v>602</v>
      </c>
      <c r="F2384" s="6" t="str">
        <f t="shared" si="2"/>
        <v>#N/A</v>
      </c>
      <c r="G2384" s="1" t="str">
        <f t="shared" si="3"/>
        <v/>
      </c>
      <c r="H2384" s="5" t="str">
        <f t="shared" si="4"/>
        <v>19, 26, HORSEA</v>
      </c>
    </row>
    <row r="2385" ht="12.75" customHeight="1">
      <c r="A2385" s="4" t="s">
        <v>2847</v>
      </c>
      <c r="B2385" s="5" t="s">
        <v>2847</v>
      </c>
      <c r="C2385" s="1" t="str">
        <f t="shared" si="1"/>
        <v/>
      </c>
      <c r="E2385" s="5" t="s">
        <v>2847</v>
      </c>
      <c r="F2385" s="6" t="str">
        <f t="shared" si="2"/>
        <v>#N/A</v>
      </c>
      <c r="G2385" s="1" t="str">
        <f t="shared" si="3"/>
        <v/>
      </c>
      <c r="H2385" s="5" t="str">
        <f t="shared" si="4"/>
        <v>good rod:</v>
      </c>
    </row>
    <row r="2386" ht="12.75" customHeight="1">
      <c r="A2386" s="4" t="s">
        <v>3027</v>
      </c>
      <c r="B2386" s="5" t="s">
        <v>3027</v>
      </c>
      <c r="C2386" s="1" t="str">
        <f t="shared" si="1"/>
        <v/>
      </c>
      <c r="E2386" s="5" t="s">
        <v>3027</v>
      </c>
      <c r="F2386" s="6" t="str">
        <f t="shared" si="2"/>
        <v>#N/A</v>
      </c>
      <c r="G2386" s="1" t="str">
        <f t="shared" si="3"/>
        <v/>
      </c>
      <c r="H2386" s="5" t="str">
        <f t="shared" si="4"/>
        <v>29, 33, SEADRA</v>
      </c>
    </row>
    <row r="2387" ht="12.75" customHeight="1">
      <c r="A2387" s="4" t="s">
        <v>3028</v>
      </c>
      <c r="B2387" s="5" t="s">
        <v>3028</v>
      </c>
      <c r="C2387" s="1" t="str">
        <f t="shared" si="1"/>
        <v/>
      </c>
      <c r="E2387" s="5" t="s">
        <v>3028</v>
      </c>
      <c r="F2387" s="6" t="str">
        <f t="shared" si="2"/>
        <v>#N/A</v>
      </c>
      <c r="G2387" s="1" t="str">
        <f t="shared" si="3"/>
        <v/>
      </c>
      <c r="H2387" s="5" t="str">
        <f t="shared" si="4"/>
        <v>30, 35, KRABBY</v>
      </c>
    </row>
    <row r="2388" ht="12.75" customHeight="1">
      <c r="A2388" s="4" t="s">
        <v>3029</v>
      </c>
      <c r="B2388" s="5" t="s">
        <v>3029</v>
      </c>
      <c r="C2388" s="1" t="str">
        <f t="shared" si="1"/>
        <v/>
      </c>
      <c r="E2388" s="5" t="s">
        <v>3029</v>
      </c>
      <c r="F2388" s="6" t="str">
        <f t="shared" si="2"/>
        <v>#N/A</v>
      </c>
      <c r="G2388" s="1" t="str">
        <f t="shared" si="3"/>
        <v/>
      </c>
      <c r="H2388" s="5" t="str">
        <f t="shared" si="4"/>
        <v>30, 35, GOLDUCK</v>
      </c>
    </row>
    <row r="2389" ht="12.75" customHeight="1">
      <c r="A2389" s="4" t="s">
        <v>2851</v>
      </c>
      <c r="B2389" s="5" t="s">
        <v>2851</v>
      </c>
      <c r="C2389" s="1" t="str">
        <f t="shared" si="1"/>
        <v/>
      </c>
      <c r="E2389" s="5" t="s">
        <v>2851</v>
      </c>
      <c r="F2389" s="6" t="str">
        <f t="shared" si="2"/>
        <v>#N/A</v>
      </c>
      <c r="G2389" s="1" t="str">
        <f t="shared" si="3"/>
        <v/>
      </c>
      <c r="H2389" s="5" t="str">
        <f t="shared" si="4"/>
        <v>super rod:</v>
      </c>
    </row>
    <row r="2390" ht="12.75" customHeight="1">
      <c r="A2390" s="4" t="s">
        <v>3030</v>
      </c>
      <c r="B2390" s="5" t="s">
        <v>3030</v>
      </c>
      <c r="C2390" s="1" t="str">
        <f t="shared" si="1"/>
        <v/>
      </c>
      <c r="E2390" s="5" t="s">
        <v>3030</v>
      </c>
      <c r="F2390" s="6" t="str">
        <f t="shared" si="2"/>
        <v>#N/A</v>
      </c>
      <c r="G2390" s="1" t="str">
        <f t="shared" si="3"/>
        <v/>
      </c>
      <c r="H2390" s="5" t="str">
        <f t="shared" si="4"/>
        <v>36, 40, KINGDRA</v>
      </c>
    </row>
    <row r="2391" ht="12.75" customHeight="1">
      <c r="A2391" s="4" t="s">
        <v>3528</v>
      </c>
      <c r="B2391" s="5" t="s">
        <v>3528</v>
      </c>
      <c r="C2391" s="1" t="str">
        <f t="shared" si="1"/>
        <v/>
      </c>
      <c r="E2391" s="5" t="s">
        <v>3528</v>
      </c>
      <c r="F2391" s="6" t="str">
        <f t="shared" si="2"/>
        <v>#N/A</v>
      </c>
      <c r="G2391" s="1" t="str">
        <f t="shared" si="3"/>
        <v/>
      </c>
      <c r="H2391" s="5" t="str">
        <f t="shared" si="4"/>
        <v>36, 40, KINGLER</v>
      </c>
    </row>
    <row r="2392" ht="12.75" customHeight="1">
      <c r="A2392" s="4" t="s">
        <v>3032</v>
      </c>
      <c r="B2392" s="5" t="s">
        <v>3032</v>
      </c>
      <c r="C2392" s="1" t="str">
        <f t="shared" si="1"/>
        <v/>
      </c>
      <c r="E2392" s="5" t="s">
        <v>3032</v>
      </c>
      <c r="F2392" s="6" t="str">
        <f t="shared" si="2"/>
        <v>#N/A</v>
      </c>
      <c r="G2392" s="1" t="str">
        <f t="shared" si="3"/>
        <v/>
      </c>
      <c r="H2392" s="5" t="str">
        <f t="shared" si="4"/>
        <v>38, 42, GILDUCK</v>
      </c>
    </row>
    <row r="2393" ht="12.75" customHeight="1">
      <c r="A2393" s="4" t="s">
        <v>3033</v>
      </c>
      <c r="B2393" s="5" t="s">
        <v>3033</v>
      </c>
      <c r="C2393" s="1" t="str">
        <f t="shared" si="1"/>
        <v/>
      </c>
      <c r="E2393" s="5" t="s">
        <v>3033</v>
      </c>
      <c r="F2393" s="6" t="str">
        <f t="shared" si="2"/>
        <v>#N/A</v>
      </c>
      <c r="G2393" s="1" t="str">
        <f t="shared" si="3"/>
        <v/>
      </c>
      <c r="H2393" s="5" t="str">
        <f t="shared" si="4"/>
        <v>38, 42, KRAKLAW</v>
      </c>
    </row>
    <row r="2394" ht="12.75" customHeight="1">
      <c r="A2394" s="4" t="s">
        <v>3034</v>
      </c>
      <c r="B2394" s="5" t="s">
        <v>3034</v>
      </c>
      <c r="C2394" s="1" t="str">
        <f t="shared" si="1"/>
        <v/>
      </c>
      <c r="E2394" s="5" t="s">
        <v>3034</v>
      </c>
      <c r="F2394" s="6" t="str">
        <f t="shared" si="2"/>
        <v>#N/A</v>
      </c>
      <c r="G2394" s="1" t="str">
        <f t="shared" si="3"/>
        <v/>
      </c>
      <c r="H2394" s="5" t="str">
        <f t="shared" si="4"/>
        <v>40, 44, LORDRA</v>
      </c>
    </row>
    <row r="2395" ht="12.75" customHeight="1">
      <c r="A2395" s="4" t="s">
        <v>2539</v>
      </c>
      <c r="B2395" s="5" t="s">
        <v>2539</v>
      </c>
      <c r="C2395" s="1">
        <f t="shared" si="1"/>
        <v>1</v>
      </c>
      <c r="E2395" s="5" t="s">
        <v>2539</v>
      </c>
      <c r="F2395" s="6" t="str">
        <f t="shared" si="2"/>
        <v>#N/A</v>
      </c>
      <c r="G2395" s="1" t="str">
        <f t="shared" si="3"/>
        <v/>
      </c>
      <c r="H2395" s="5" t="str">
        <f t="shared" si="4"/>
        <v>NEW ROUTE</v>
      </c>
    </row>
    <row r="2396" ht="12.75" customHeight="1">
      <c r="A2396" s="4" t="s">
        <v>2141</v>
      </c>
      <c r="B2396" s="5" t="s">
        <v>2141</v>
      </c>
      <c r="C2396" s="1" t="str">
        <f t="shared" si="1"/>
        <v/>
      </c>
      <c r="E2396" s="5" t="s">
        <v>2141</v>
      </c>
      <c r="F2396" s="6" t="str">
        <f t="shared" si="2"/>
        <v>Route 20</v>
      </c>
      <c r="G2396" s="1" t="str">
        <f t="shared" si="3"/>
        <v>Route 20</v>
      </c>
      <c r="H2396" s="5" t="str">
        <f t="shared" si="4"/>
        <v>Route 20</v>
      </c>
    </row>
    <row r="2397" ht="12.75" customHeight="1">
      <c r="A2397" s="4" t="s">
        <v>3350</v>
      </c>
      <c r="B2397" s="5" t="s">
        <v>3350</v>
      </c>
      <c r="C2397" s="1" t="str">
        <f t="shared" si="1"/>
        <v/>
      </c>
      <c r="E2397" s="5" t="s">
        <v>3350</v>
      </c>
      <c r="F2397" s="6" t="str">
        <f t="shared" si="2"/>
        <v>#N/A</v>
      </c>
      <c r="G2397" s="1" t="str">
        <f t="shared" si="3"/>
        <v/>
      </c>
      <c r="H2397" s="5" t="str">
        <f t="shared" si="4"/>
        <v>2, 38, 42, TENTACOOL</v>
      </c>
    </row>
    <row r="2398" ht="12.75" customHeight="1">
      <c r="A2398" s="4" t="s">
        <v>3429</v>
      </c>
      <c r="B2398" s="5" t="s">
        <v>3429</v>
      </c>
      <c r="C2398" s="1" t="str">
        <f t="shared" si="1"/>
        <v/>
      </c>
      <c r="E2398" s="5" t="s">
        <v>3429</v>
      </c>
      <c r="F2398" s="6" t="str">
        <f t="shared" si="2"/>
        <v>#N/A</v>
      </c>
      <c r="G2398" s="1" t="str">
        <f t="shared" si="3"/>
        <v/>
      </c>
      <c r="H2398" s="5" t="str">
        <f t="shared" si="4"/>
        <v>40, 44, TENTACRUEL</v>
      </c>
    </row>
    <row r="2399" ht="12.75" customHeight="1">
      <c r="A2399" s="4" t="s">
        <v>3430</v>
      </c>
      <c r="B2399" s="5" t="s">
        <v>3430</v>
      </c>
      <c r="C2399" s="1" t="str">
        <f t="shared" si="1"/>
        <v/>
      </c>
      <c r="E2399" s="5" t="s">
        <v>3430</v>
      </c>
      <c r="F2399" s="6" t="str">
        <f t="shared" si="2"/>
        <v>#N/A</v>
      </c>
      <c r="G2399" s="1" t="str">
        <f t="shared" si="3"/>
        <v/>
      </c>
      <c r="H2399" s="5" t="str">
        <f t="shared" si="4"/>
        <v>42, 46, TENTACATE</v>
      </c>
    </row>
    <row r="2400" ht="12.75" customHeight="1">
      <c r="A2400" s="4" t="s">
        <v>3025</v>
      </c>
      <c r="B2400" s="5" t="s">
        <v>3025</v>
      </c>
      <c r="C2400" s="1" t="str">
        <f t="shared" si="1"/>
        <v/>
      </c>
      <c r="E2400" s="5" t="s">
        <v>3025</v>
      </c>
      <c r="F2400" s="6" t="str">
        <f t="shared" si="2"/>
        <v>#N/A</v>
      </c>
      <c r="G2400" s="1" t="str">
        <f t="shared" si="3"/>
        <v/>
      </c>
      <c r="H2400" s="5" t="str">
        <f t="shared" si="4"/>
        <v>42, 46, LAPRAS</v>
      </c>
    </row>
    <row r="2401" ht="12.75" customHeight="1">
      <c r="A2401" s="4" t="s">
        <v>3450</v>
      </c>
      <c r="B2401" s="5" t="s">
        <v>3450</v>
      </c>
      <c r="C2401" s="1" t="str">
        <f t="shared" si="1"/>
        <v/>
      </c>
      <c r="E2401" s="5" t="s">
        <v>3450</v>
      </c>
      <c r="F2401" s="6" t="str">
        <f t="shared" si="2"/>
        <v>#N/A</v>
      </c>
      <c r="G2401" s="1" t="str">
        <f t="shared" si="3"/>
        <v/>
      </c>
      <c r="H2401" s="5" t="str">
        <f t="shared" si="4"/>
        <v>44, 48, LOCHLASS</v>
      </c>
    </row>
    <row r="2402" ht="12.75" customHeight="1">
      <c r="A2402" s="4" t="s">
        <v>2926</v>
      </c>
      <c r="B2402" s="5" t="s">
        <v>2926</v>
      </c>
      <c r="C2402" s="1" t="str">
        <f t="shared" si="1"/>
        <v/>
      </c>
      <c r="E2402" s="5" t="s">
        <v>2926</v>
      </c>
      <c r="F2402" s="6" t="str">
        <f t="shared" si="2"/>
        <v>#N/A</v>
      </c>
      <c r="G2402" s="1" t="str">
        <f t="shared" si="3"/>
        <v/>
      </c>
      <c r="H2402" s="5" t="str">
        <f t="shared" si="4"/>
        <v>20, old rod:</v>
      </c>
    </row>
    <row r="2403" ht="12.75" customHeight="1">
      <c r="A2403" s="4" t="s">
        <v>1159</v>
      </c>
      <c r="B2403" s="5" t="s">
        <v>1159</v>
      </c>
      <c r="C2403" s="1" t="str">
        <f t="shared" si="1"/>
        <v/>
      </c>
      <c r="E2403" s="5" t="s">
        <v>1159</v>
      </c>
      <c r="F2403" s="6" t="str">
        <f t="shared" si="2"/>
        <v>#N/A</v>
      </c>
      <c r="G2403" s="1" t="str">
        <f t="shared" si="3"/>
        <v/>
      </c>
      <c r="H2403" s="5" t="str">
        <f t="shared" si="4"/>
        <v>19, 26, PSYDUCK</v>
      </c>
    </row>
    <row r="2404" ht="12.75" customHeight="1">
      <c r="A2404" s="4" t="s">
        <v>602</v>
      </c>
      <c r="B2404" s="5" t="s">
        <v>602</v>
      </c>
      <c r="C2404" s="1" t="str">
        <f t="shared" si="1"/>
        <v/>
      </c>
      <c r="E2404" s="5" t="s">
        <v>602</v>
      </c>
      <c r="F2404" s="6" t="str">
        <f t="shared" si="2"/>
        <v>#N/A</v>
      </c>
      <c r="G2404" s="1" t="str">
        <f t="shared" si="3"/>
        <v/>
      </c>
      <c r="H2404" s="5" t="str">
        <f t="shared" si="4"/>
        <v>19, 26, HORSEA</v>
      </c>
    </row>
    <row r="2405" ht="12.75" customHeight="1">
      <c r="A2405" s="4" t="s">
        <v>2847</v>
      </c>
      <c r="B2405" s="5" t="s">
        <v>2847</v>
      </c>
      <c r="C2405" s="1" t="str">
        <f t="shared" si="1"/>
        <v/>
      </c>
      <c r="E2405" s="5" t="s">
        <v>2847</v>
      </c>
      <c r="F2405" s="6" t="str">
        <f t="shared" si="2"/>
        <v>#N/A</v>
      </c>
      <c r="G2405" s="1" t="str">
        <f t="shared" si="3"/>
        <v/>
      </c>
      <c r="H2405" s="5" t="str">
        <f t="shared" si="4"/>
        <v>good rod:</v>
      </c>
    </row>
    <row r="2406" ht="12.75" customHeight="1">
      <c r="A2406" s="4" t="s">
        <v>3027</v>
      </c>
      <c r="B2406" s="5" t="s">
        <v>3027</v>
      </c>
      <c r="C2406" s="1" t="str">
        <f t="shared" si="1"/>
        <v/>
      </c>
      <c r="E2406" s="5" t="s">
        <v>3027</v>
      </c>
      <c r="F2406" s="6" t="str">
        <f t="shared" si="2"/>
        <v>#N/A</v>
      </c>
      <c r="G2406" s="1" t="str">
        <f t="shared" si="3"/>
        <v/>
      </c>
      <c r="H2406" s="5" t="str">
        <f t="shared" si="4"/>
        <v>29, 33, SEADRA</v>
      </c>
    </row>
    <row r="2407" ht="12.75" customHeight="1">
      <c r="A2407" s="4" t="s">
        <v>3028</v>
      </c>
      <c r="B2407" s="5" t="s">
        <v>3028</v>
      </c>
      <c r="C2407" s="1" t="str">
        <f t="shared" si="1"/>
        <v/>
      </c>
      <c r="E2407" s="5" t="s">
        <v>3028</v>
      </c>
      <c r="F2407" s="6" t="str">
        <f t="shared" si="2"/>
        <v>#N/A</v>
      </c>
      <c r="G2407" s="1" t="str">
        <f t="shared" si="3"/>
        <v/>
      </c>
      <c r="H2407" s="5" t="str">
        <f t="shared" si="4"/>
        <v>30, 35, KRABBY</v>
      </c>
    </row>
    <row r="2408" ht="12.75" customHeight="1">
      <c r="A2408" s="4" t="s">
        <v>3029</v>
      </c>
      <c r="B2408" s="5" t="s">
        <v>3029</v>
      </c>
      <c r="C2408" s="1" t="str">
        <f t="shared" si="1"/>
        <v/>
      </c>
      <c r="E2408" s="5" t="s">
        <v>3029</v>
      </c>
      <c r="F2408" s="6" t="str">
        <f t="shared" si="2"/>
        <v>#N/A</v>
      </c>
      <c r="G2408" s="1" t="str">
        <f t="shared" si="3"/>
        <v/>
      </c>
      <c r="H2408" s="5" t="str">
        <f t="shared" si="4"/>
        <v>30, 35, GOLDUCK</v>
      </c>
    </row>
    <row r="2409" ht="12.75" customHeight="1">
      <c r="A2409" s="4" t="s">
        <v>2851</v>
      </c>
      <c r="B2409" s="5" t="s">
        <v>2851</v>
      </c>
      <c r="C2409" s="1" t="str">
        <f t="shared" si="1"/>
        <v/>
      </c>
      <c r="E2409" s="5" t="s">
        <v>2851</v>
      </c>
      <c r="F2409" s="6" t="str">
        <f t="shared" si="2"/>
        <v>#N/A</v>
      </c>
      <c r="G2409" s="1" t="str">
        <f t="shared" si="3"/>
        <v/>
      </c>
      <c r="H2409" s="5" t="str">
        <f t="shared" si="4"/>
        <v>super rod:</v>
      </c>
    </row>
    <row r="2410" ht="12.75" customHeight="1">
      <c r="A2410" s="4" t="s">
        <v>3030</v>
      </c>
      <c r="B2410" s="5" t="s">
        <v>3030</v>
      </c>
      <c r="C2410" s="1" t="str">
        <f t="shared" si="1"/>
        <v/>
      </c>
      <c r="E2410" s="5" t="s">
        <v>3030</v>
      </c>
      <c r="F2410" s="6" t="str">
        <f t="shared" si="2"/>
        <v>#N/A</v>
      </c>
      <c r="G2410" s="1" t="str">
        <f t="shared" si="3"/>
        <v/>
      </c>
      <c r="H2410" s="5" t="str">
        <f t="shared" si="4"/>
        <v>36, 40, KINGDRA</v>
      </c>
    </row>
    <row r="2411" ht="12.75" customHeight="1">
      <c r="A2411" s="4" t="s">
        <v>3528</v>
      </c>
      <c r="B2411" s="5" t="s">
        <v>3528</v>
      </c>
      <c r="C2411" s="1" t="str">
        <f t="shared" si="1"/>
        <v/>
      </c>
      <c r="E2411" s="5" t="s">
        <v>3528</v>
      </c>
      <c r="F2411" s="6" t="str">
        <f t="shared" si="2"/>
        <v>#N/A</v>
      </c>
      <c r="G2411" s="1" t="str">
        <f t="shared" si="3"/>
        <v/>
      </c>
      <c r="H2411" s="5" t="str">
        <f t="shared" si="4"/>
        <v>36, 40, KINGLER</v>
      </c>
    </row>
    <row r="2412" ht="12.75" customHeight="1">
      <c r="A2412" s="4" t="s">
        <v>3032</v>
      </c>
      <c r="B2412" s="5" t="s">
        <v>3032</v>
      </c>
      <c r="C2412" s="1" t="str">
        <f t="shared" si="1"/>
        <v/>
      </c>
      <c r="E2412" s="5" t="s">
        <v>3032</v>
      </c>
      <c r="F2412" s="6" t="str">
        <f t="shared" si="2"/>
        <v>#N/A</v>
      </c>
      <c r="G2412" s="1" t="str">
        <f t="shared" si="3"/>
        <v/>
      </c>
      <c r="H2412" s="5" t="str">
        <f t="shared" si="4"/>
        <v>38, 42, GILDUCK</v>
      </c>
    </row>
    <row r="2413" ht="12.75" customHeight="1">
      <c r="A2413" s="4" t="s">
        <v>3033</v>
      </c>
      <c r="B2413" s="5" t="s">
        <v>3033</v>
      </c>
      <c r="C2413" s="1" t="str">
        <f t="shared" si="1"/>
        <v/>
      </c>
      <c r="E2413" s="5" t="s">
        <v>3033</v>
      </c>
      <c r="F2413" s="6" t="str">
        <f t="shared" si="2"/>
        <v>#N/A</v>
      </c>
      <c r="G2413" s="1" t="str">
        <f t="shared" si="3"/>
        <v/>
      </c>
      <c r="H2413" s="5" t="str">
        <f t="shared" si="4"/>
        <v>38, 42, KRAKLAW</v>
      </c>
    </row>
    <row r="2414" ht="12.75" customHeight="1">
      <c r="A2414" s="4" t="s">
        <v>3034</v>
      </c>
      <c r="B2414" s="5" t="s">
        <v>3034</v>
      </c>
      <c r="C2414" s="1" t="str">
        <f t="shared" si="1"/>
        <v/>
      </c>
      <c r="E2414" s="5" t="s">
        <v>3034</v>
      </c>
      <c r="F2414" s="6" t="str">
        <f t="shared" si="2"/>
        <v>#N/A</v>
      </c>
      <c r="G2414" s="1" t="str">
        <f t="shared" si="3"/>
        <v/>
      </c>
      <c r="H2414" s="5" t="str">
        <f t="shared" si="4"/>
        <v>40, 44, LORDRA</v>
      </c>
    </row>
    <row r="2415" ht="12.75" customHeight="1">
      <c r="A2415" s="4" t="s">
        <v>2539</v>
      </c>
      <c r="B2415" s="5" t="s">
        <v>2539</v>
      </c>
      <c r="C2415" s="1">
        <f t="shared" si="1"/>
        <v>1</v>
      </c>
      <c r="E2415" s="5" t="s">
        <v>2539</v>
      </c>
      <c r="F2415" s="6" t="str">
        <f t="shared" si="2"/>
        <v>#N/A</v>
      </c>
      <c r="G2415" s="1" t="str">
        <f t="shared" si="3"/>
        <v/>
      </c>
      <c r="H2415" s="5" t="str">
        <f t="shared" si="4"/>
        <v>NEW ROUTE</v>
      </c>
    </row>
    <row r="2416" ht="12.75" customHeight="1">
      <c r="A2416" s="4" t="s">
        <v>2143</v>
      </c>
      <c r="B2416" s="5" t="s">
        <v>2143</v>
      </c>
      <c r="C2416" s="1" t="str">
        <f t="shared" si="1"/>
        <v/>
      </c>
      <c r="E2416" s="5" t="s">
        <v>2143</v>
      </c>
      <c r="F2416" s="6" t="str">
        <f t="shared" si="2"/>
        <v>Route 21 North</v>
      </c>
      <c r="G2416" s="1" t="str">
        <f t="shared" si="3"/>
        <v>Route 21 North</v>
      </c>
      <c r="H2416" s="5" t="str">
        <f t="shared" si="4"/>
        <v>Route 21 North</v>
      </c>
    </row>
    <row r="2417" ht="12.75" customHeight="1">
      <c r="A2417" s="4" t="s">
        <v>2799</v>
      </c>
      <c r="B2417" s="5">
        <v>0.2</v>
      </c>
      <c r="C2417" s="1" t="str">
        <f t="shared" si="1"/>
        <v/>
      </c>
      <c r="E2417" s="5">
        <v>0.2</v>
      </c>
      <c r="F2417" s="6" t="str">
        <f t="shared" si="2"/>
        <v>#N/A</v>
      </c>
      <c r="G2417" s="1" t="str">
        <f t="shared" si="3"/>
        <v/>
      </c>
      <c r="H2417" s="5">
        <f t="shared" si="4"/>
        <v>0.2</v>
      </c>
    </row>
    <row r="2418" ht="12.75" customHeight="1">
      <c r="A2418" s="4" t="s">
        <v>1164</v>
      </c>
      <c r="B2418" s="5" t="s">
        <v>1164</v>
      </c>
      <c r="C2418" s="1" t="str">
        <f t="shared" si="1"/>
        <v/>
      </c>
      <c r="E2418" s="5" t="s">
        <v>1164</v>
      </c>
      <c r="F2418" s="6" t="str">
        <f t="shared" si="2"/>
        <v>#N/A</v>
      </c>
      <c r="G2418" s="1" t="str">
        <f t="shared" si="3"/>
        <v/>
      </c>
      <c r="H2418" s="5" t="str">
        <f t="shared" si="4"/>
        <v>39, 46, TANGROWTH</v>
      </c>
    </row>
    <row r="2419" ht="12.75" customHeight="1">
      <c r="A2419" s="4" t="s">
        <v>3531</v>
      </c>
      <c r="B2419" s="5" t="s">
        <v>3531</v>
      </c>
      <c r="C2419" s="1" t="str">
        <f t="shared" si="1"/>
        <v/>
      </c>
      <c r="E2419" s="5" t="s">
        <v>3531</v>
      </c>
      <c r="F2419" s="6" t="str">
        <f t="shared" si="2"/>
        <v>#N/A</v>
      </c>
      <c r="G2419" s="1" t="str">
        <f t="shared" si="3"/>
        <v/>
      </c>
      <c r="H2419" s="5" t="str">
        <f t="shared" si="4"/>
        <v>39, 46, EXEGGUTOR</v>
      </c>
    </row>
    <row r="2420" ht="12.75" customHeight="1">
      <c r="A2420" s="4" t="s">
        <v>2802</v>
      </c>
      <c r="B2420" s="5">
        <v>0.1</v>
      </c>
      <c r="C2420" s="1" t="str">
        <f t="shared" si="1"/>
        <v/>
      </c>
      <c r="E2420" s="5">
        <v>0.1</v>
      </c>
      <c r="F2420" s="6" t="str">
        <f t="shared" si="2"/>
        <v>#N/A</v>
      </c>
      <c r="G2420" s="1" t="str">
        <f t="shared" si="3"/>
        <v/>
      </c>
      <c r="H2420" s="5">
        <f t="shared" si="4"/>
        <v>0.1</v>
      </c>
    </row>
    <row r="2421" ht="12.75" customHeight="1">
      <c r="A2421" s="4" t="s">
        <v>3532</v>
      </c>
      <c r="B2421" s="5" t="s">
        <v>3532</v>
      </c>
      <c r="C2421" s="1" t="str">
        <f t="shared" si="1"/>
        <v/>
      </c>
      <c r="E2421" s="5" t="s">
        <v>3532</v>
      </c>
      <c r="F2421" s="6" t="str">
        <f t="shared" si="2"/>
        <v>#N/A</v>
      </c>
      <c r="G2421" s="1" t="str">
        <f t="shared" si="3"/>
        <v/>
      </c>
      <c r="H2421" s="5" t="str">
        <f t="shared" si="4"/>
        <v>39, 42, DODRIO</v>
      </c>
    </row>
    <row r="2422" ht="12.75" customHeight="1">
      <c r="A2422" s="4" t="s">
        <v>3533</v>
      </c>
      <c r="B2422" s="5" t="s">
        <v>3533</v>
      </c>
      <c r="C2422" s="1" t="str">
        <f t="shared" si="1"/>
        <v/>
      </c>
      <c r="E2422" s="5" t="s">
        <v>3533</v>
      </c>
      <c r="F2422" s="6" t="str">
        <f t="shared" si="2"/>
        <v>#N/A</v>
      </c>
      <c r="G2422" s="1" t="str">
        <f t="shared" si="3"/>
        <v/>
      </c>
      <c r="H2422" s="5" t="str">
        <f t="shared" si="4"/>
        <v>39, 42, GOLDUCK</v>
      </c>
    </row>
    <row r="2423" ht="12.75" customHeight="1">
      <c r="A2423" s="4" t="s">
        <v>3534</v>
      </c>
      <c r="B2423" s="5" t="s">
        <v>3534</v>
      </c>
      <c r="C2423" s="1" t="str">
        <f t="shared" si="1"/>
        <v/>
      </c>
      <c r="E2423" s="5" t="s">
        <v>3534</v>
      </c>
      <c r="F2423" s="6" t="str">
        <f t="shared" si="2"/>
        <v>#N/A</v>
      </c>
      <c r="G2423" s="1" t="str">
        <f t="shared" si="3"/>
        <v/>
      </c>
      <c r="H2423" s="5" t="str">
        <f t="shared" si="4"/>
        <v>43, 46, DODRIO</v>
      </c>
    </row>
    <row r="2424" ht="12.75" customHeight="1">
      <c r="A2424" s="4" t="s">
        <v>3535</v>
      </c>
      <c r="B2424" s="5" t="s">
        <v>3535</v>
      </c>
      <c r="C2424" s="1" t="str">
        <f t="shared" si="1"/>
        <v/>
      </c>
      <c r="E2424" s="5" t="s">
        <v>3535</v>
      </c>
      <c r="F2424" s="6" t="str">
        <f t="shared" si="2"/>
        <v>#N/A</v>
      </c>
      <c r="G2424" s="1" t="str">
        <f t="shared" si="3"/>
        <v/>
      </c>
      <c r="H2424" s="5" t="str">
        <f t="shared" si="4"/>
        <v>43, 46, GOLDUCK</v>
      </c>
    </row>
    <row r="2425" ht="12.75" customHeight="1">
      <c r="A2425" s="4" t="s">
        <v>2807</v>
      </c>
      <c r="B2425" s="5">
        <v>0.05</v>
      </c>
      <c r="C2425" s="1" t="str">
        <f t="shared" si="1"/>
        <v/>
      </c>
      <c r="E2425" s="5">
        <v>0.05</v>
      </c>
      <c r="F2425" s="6" t="str">
        <f t="shared" si="2"/>
        <v>#N/A</v>
      </c>
      <c r="G2425" s="1" t="str">
        <f t="shared" si="3"/>
        <v/>
      </c>
      <c r="H2425" s="5">
        <f t="shared" si="4"/>
        <v>0.05</v>
      </c>
    </row>
    <row r="2426" ht="12.75" customHeight="1">
      <c r="A2426" s="4" t="s">
        <v>3536</v>
      </c>
      <c r="B2426" s="5" t="s">
        <v>3536</v>
      </c>
      <c r="C2426" s="1" t="str">
        <f t="shared" si="1"/>
        <v/>
      </c>
      <c r="E2426" s="5" t="s">
        <v>3536</v>
      </c>
      <c r="F2426" s="6" t="str">
        <f t="shared" si="2"/>
        <v>#N/A</v>
      </c>
      <c r="G2426" s="1" t="str">
        <f t="shared" si="3"/>
        <v/>
      </c>
      <c r="H2426" s="5" t="str">
        <f t="shared" si="4"/>
        <v>43, 50, TANGATHER</v>
      </c>
    </row>
    <row r="2427" ht="12.75" customHeight="1">
      <c r="A2427" s="4" t="s">
        <v>3537</v>
      </c>
      <c r="B2427" s="5" t="s">
        <v>3537</v>
      </c>
      <c r="C2427" s="1" t="str">
        <f t="shared" si="1"/>
        <v/>
      </c>
      <c r="E2427" s="5" t="s">
        <v>3537</v>
      </c>
      <c r="F2427" s="6" t="str">
        <f t="shared" si="2"/>
        <v>#N/A</v>
      </c>
      <c r="G2427" s="1" t="str">
        <f t="shared" si="3"/>
        <v/>
      </c>
      <c r="H2427" s="5" t="str">
        <f t="shared" si="4"/>
        <v>43, 50, EXEGGITY</v>
      </c>
    </row>
    <row r="2428" ht="12.75" customHeight="1">
      <c r="A2428" s="4" t="s">
        <v>2810</v>
      </c>
      <c r="B2428" s="5">
        <v>0.04</v>
      </c>
      <c r="C2428" s="1" t="str">
        <f t="shared" si="1"/>
        <v/>
      </c>
      <c r="E2428" s="5">
        <v>0.04</v>
      </c>
      <c r="F2428" s="6" t="str">
        <f t="shared" si="2"/>
        <v>#N/A</v>
      </c>
      <c r="G2428" s="1" t="str">
        <f t="shared" si="3"/>
        <v/>
      </c>
      <c r="H2428" s="5">
        <f t="shared" si="4"/>
        <v>0.04</v>
      </c>
    </row>
    <row r="2429" ht="12.75" customHeight="1">
      <c r="A2429" s="4" t="s">
        <v>3538</v>
      </c>
      <c r="B2429" s="5" t="s">
        <v>3538</v>
      </c>
      <c r="C2429" s="1" t="str">
        <f t="shared" si="1"/>
        <v/>
      </c>
      <c r="E2429" s="5" t="s">
        <v>3538</v>
      </c>
      <c r="F2429" s="6" t="str">
        <f t="shared" si="2"/>
        <v>#N/A</v>
      </c>
      <c r="G2429" s="1" t="str">
        <f t="shared" si="3"/>
        <v/>
      </c>
      <c r="H2429" s="5" t="str">
        <f t="shared" si="4"/>
        <v>43, 50, GILDUCK</v>
      </c>
    </row>
    <row r="2430" ht="12.75" customHeight="1">
      <c r="A2430" s="4" t="s">
        <v>3539</v>
      </c>
      <c r="B2430" s="5" t="s">
        <v>3539</v>
      </c>
      <c r="C2430" s="1" t="str">
        <f t="shared" si="1"/>
        <v/>
      </c>
      <c r="E2430" s="5" t="s">
        <v>3539</v>
      </c>
      <c r="F2430" s="6" t="str">
        <f t="shared" si="2"/>
        <v>#N/A</v>
      </c>
      <c r="G2430" s="1" t="str">
        <f t="shared" si="3"/>
        <v/>
      </c>
      <c r="H2430" s="5" t="str">
        <f t="shared" si="4"/>
        <v>43, 50, QUADODO</v>
      </c>
    </row>
    <row r="2431" ht="12.75" customHeight="1">
      <c r="A2431" s="4" t="s">
        <v>2813</v>
      </c>
      <c r="B2431" s="5">
        <v>0.01</v>
      </c>
      <c r="C2431" s="1" t="str">
        <f t="shared" si="1"/>
        <v/>
      </c>
      <c r="E2431" s="5">
        <v>0.01</v>
      </c>
      <c r="F2431" s="6" t="str">
        <f t="shared" si="2"/>
        <v>#N/A</v>
      </c>
      <c r="G2431" s="1" t="str">
        <f t="shared" si="3"/>
        <v/>
      </c>
      <c r="H2431" s="5">
        <f t="shared" si="4"/>
        <v>0.01</v>
      </c>
    </row>
    <row r="2432" ht="12.75" customHeight="1">
      <c r="A2432" s="4" t="s">
        <v>3540</v>
      </c>
      <c r="B2432" s="5" t="s">
        <v>3540</v>
      </c>
      <c r="C2432" s="1" t="str">
        <f t="shared" si="1"/>
        <v/>
      </c>
      <c r="E2432" s="5" t="s">
        <v>3540</v>
      </c>
      <c r="F2432" s="6" t="str">
        <f t="shared" si="2"/>
        <v>#N/A</v>
      </c>
      <c r="G2432" s="1" t="str">
        <f t="shared" si="3"/>
        <v/>
      </c>
      <c r="H2432" s="5" t="str">
        <f t="shared" si="4"/>
        <v>45, 52, TANGOLIATH</v>
      </c>
    </row>
    <row r="2433" ht="12.75" customHeight="1">
      <c r="A2433" s="4" t="s">
        <v>3541</v>
      </c>
      <c r="B2433" s="5" t="s">
        <v>3541</v>
      </c>
      <c r="C2433" s="1" t="str">
        <f t="shared" si="1"/>
        <v/>
      </c>
      <c r="E2433" s="5" t="s">
        <v>3541</v>
      </c>
      <c r="F2433" s="6" t="str">
        <f t="shared" si="2"/>
        <v>#N/A</v>
      </c>
      <c r="G2433" s="1" t="str">
        <f t="shared" si="3"/>
        <v/>
      </c>
      <c r="H2433" s="5" t="str">
        <f t="shared" si="4"/>
        <v>44, 44, TANGOLIATH</v>
      </c>
    </row>
    <row r="2434" ht="12.75" customHeight="1">
      <c r="A2434" s="4" t="s">
        <v>3350</v>
      </c>
      <c r="B2434" s="5" t="s">
        <v>3350</v>
      </c>
      <c r="C2434" s="1" t="str">
        <f t="shared" si="1"/>
        <v/>
      </c>
      <c r="E2434" s="5" t="s">
        <v>3350</v>
      </c>
      <c r="F2434" s="6" t="str">
        <f t="shared" si="2"/>
        <v>#N/A</v>
      </c>
      <c r="G2434" s="1" t="str">
        <f t="shared" si="3"/>
        <v/>
      </c>
      <c r="H2434" s="5" t="str">
        <f t="shared" si="4"/>
        <v>2, 38, 42, TENTACOOL</v>
      </c>
    </row>
    <row r="2435" ht="12.75" customHeight="1">
      <c r="A2435" s="4" t="s">
        <v>3429</v>
      </c>
      <c r="B2435" s="5" t="s">
        <v>3429</v>
      </c>
      <c r="C2435" s="1" t="str">
        <f t="shared" si="1"/>
        <v/>
      </c>
      <c r="E2435" s="5" t="s">
        <v>3429</v>
      </c>
      <c r="F2435" s="6" t="str">
        <f t="shared" si="2"/>
        <v>#N/A</v>
      </c>
      <c r="G2435" s="1" t="str">
        <f t="shared" si="3"/>
        <v/>
      </c>
      <c r="H2435" s="5" t="str">
        <f t="shared" si="4"/>
        <v>40, 44, TENTACRUEL</v>
      </c>
    </row>
    <row r="2436" ht="12.75" customHeight="1">
      <c r="A2436" s="4" t="s">
        <v>3430</v>
      </c>
      <c r="B2436" s="5" t="s">
        <v>3430</v>
      </c>
      <c r="C2436" s="1" t="str">
        <f t="shared" si="1"/>
        <v/>
      </c>
      <c r="E2436" s="5" t="s">
        <v>3430</v>
      </c>
      <c r="F2436" s="6" t="str">
        <f t="shared" si="2"/>
        <v>#N/A</v>
      </c>
      <c r="G2436" s="1" t="str">
        <f t="shared" si="3"/>
        <v/>
      </c>
      <c r="H2436" s="5" t="str">
        <f t="shared" si="4"/>
        <v>42, 46, TENTACATE</v>
      </c>
    </row>
    <row r="2437" ht="12.75" customHeight="1">
      <c r="A2437" s="4" t="s">
        <v>3025</v>
      </c>
      <c r="B2437" s="5" t="s">
        <v>3025</v>
      </c>
      <c r="C2437" s="1" t="str">
        <f t="shared" si="1"/>
        <v/>
      </c>
      <c r="E2437" s="5" t="s">
        <v>3025</v>
      </c>
      <c r="F2437" s="6" t="str">
        <f t="shared" si="2"/>
        <v>#N/A</v>
      </c>
      <c r="G2437" s="1" t="str">
        <f t="shared" si="3"/>
        <v/>
      </c>
      <c r="H2437" s="5" t="str">
        <f t="shared" si="4"/>
        <v>42, 46, LAPRAS</v>
      </c>
    </row>
    <row r="2438" ht="12.75" customHeight="1">
      <c r="A2438" s="4" t="s">
        <v>3450</v>
      </c>
      <c r="B2438" s="5" t="s">
        <v>3450</v>
      </c>
      <c r="C2438" s="1" t="str">
        <f t="shared" si="1"/>
        <v/>
      </c>
      <c r="E2438" s="5" t="s">
        <v>3450</v>
      </c>
      <c r="F2438" s="6" t="str">
        <f t="shared" si="2"/>
        <v>#N/A</v>
      </c>
      <c r="G2438" s="1" t="str">
        <f t="shared" si="3"/>
        <v/>
      </c>
      <c r="H2438" s="5" t="str">
        <f t="shared" si="4"/>
        <v>44, 48, LOCHLASS</v>
      </c>
    </row>
    <row r="2439" ht="12.75" customHeight="1">
      <c r="A2439" s="4" t="s">
        <v>2926</v>
      </c>
      <c r="B2439" s="5" t="s">
        <v>2926</v>
      </c>
      <c r="C2439" s="1" t="str">
        <f t="shared" si="1"/>
        <v/>
      </c>
      <c r="E2439" s="5" t="s">
        <v>2926</v>
      </c>
      <c r="F2439" s="6" t="str">
        <f t="shared" si="2"/>
        <v>#N/A</v>
      </c>
      <c r="G2439" s="1" t="str">
        <f t="shared" si="3"/>
        <v/>
      </c>
      <c r="H2439" s="5" t="str">
        <f t="shared" si="4"/>
        <v>20, old rod:</v>
      </c>
    </row>
    <row r="2440" ht="12.75" customHeight="1">
      <c r="A2440" s="4" t="s">
        <v>1159</v>
      </c>
      <c r="B2440" s="5" t="s">
        <v>1159</v>
      </c>
      <c r="C2440" s="1" t="str">
        <f t="shared" si="1"/>
        <v/>
      </c>
      <c r="E2440" s="5" t="s">
        <v>1159</v>
      </c>
      <c r="F2440" s="6" t="str">
        <f t="shared" si="2"/>
        <v>#N/A</v>
      </c>
      <c r="G2440" s="1" t="str">
        <f t="shared" si="3"/>
        <v/>
      </c>
      <c r="H2440" s="5" t="str">
        <f t="shared" si="4"/>
        <v>19, 26, PSYDUCK</v>
      </c>
    </row>
    <row r="2441" ht="12.75" customHeight="1">
      <c r="A2441" s="4" t="s">
        <v>602</v>
      </c>
      <c r="B2441" s="5" t="s">
        <v>602</v>
      </c>
      <c r="C2441" s="1" t="str">
        <f t="shared" si="1"/>
        <v/>
      </c>
      <c r="E2441" s="5" t="s">
        <v>602</v>
      </c>
      <c r="F2441" s="6" t="str">
        <f t="shared" si="2"/>
        <v>#N/A</v>
      </c>
      <c r="G2441" s="1" t="str">
        <f t="shared" si="3"/>
        <v/>
      </c>
      <c r="H2441" s="5" t="str">
        <f t="shared" si="4"/>
        <v>19, 26, HORSEA</v>
      </c>
    </row>
    <row r="2442" ht="12.75" customHeight="1">
      <c r="A2442" s="4" t="s">
        <v>2847</v>
      </c>
      <c r="B2442" s="5" t="s">
        <v>2847</v>
      </c>
      <c r="C2442" s="1" t="str">
        <f t="shared" si="1"/>
        <v/>
      </c>
      <c r="E2442" s="5" t="s">
        <v>2847</v>
      </c>
      <c r="F2442" s="6" t="str">
        <f t="shared" si="2"/>
        <v>#N/A</v>
      </c>
      <c r="G2442" s="1" t="str">
        <f t="shared" si="3"/>
        <v/>
      </c>
      <c r="H2442" s="5" t="str">
        <f t="shared" si="4"/>
        <v>good rod:</v>
      </c>
    </row>
    <row r="2443" ht="12.75" customHeight="1">
      <c r="A2443" s="4" t="s">
        <v>3027</v>
      </c>
      <c r="B2443" s="5" t="s">
        <v>3027</v>
      </c>
      <c r="C2443" s="1" t="str">
        <f t="shared" si="1"/>
        <v/>
      </c>
      <c r="E2443" s="5" t="s">
        <v>3027</v>
      </c>
      <c r="F2443" s="6" t="str">
        <f t="shared" si="2"/>
        <v>#N/A</v>
      </c>
      <c r="G2443" s="1" t="str">
        <f t="shared" si="3"/>
        <v/>
      </c>
      <c r="H2443" s="5" t="str">
        <f t="shared" si="4"/>
        <v>29, 33, SEADRA</v>
      </c>
    </row>
    <row r="2444" ht="12.75" customHeight="1">
      <c r="A2444" s="4" t="s">
        <v>3028</v>
      </c>
      <c r="B2444" s="5" t="s">
        <v>3028</v>
      </c>
      <c r="C2444" s="1" t="str">
        <f t="shared" si="1"/>
        <v/>
      </c>
      <c r="E2444" s="5" t="s">
        <v>3028</v>
      </c>
      <c r="F2444" s="6" t="str">
        <f t="shared" si="2"/>
        <v>#N/A</v>
      </c>
      <c r="G2444" s="1" t="str">
        <f t="shared" si="3"/>
        <v/>
      </c>
      <c r="H2444" s="5" t="str">
        <f t="shared" si="4"/>
        <v>30, 35, KRABBY</v>
      </c>
    </row>
    <row r="2445" ht="12.75" customHeight="1">
      <c r="A2445" s="4" t="s">
        <v>3029</v>
      </c>
      <c r="B2445" s="5" t="s">
        <v>3029</v>
      </c>
      <c r="C2445" s="1" t="str">
        <f t="shared" si="1"/>
        <v/>
      </c>
      <c r="E2445" s="5" t="s">
        <v>3029</v>
      </c>
      <c r="F2445" s="6" t="str">
        <f t="shared" si="2"/>
        <v>#N/A</v>
      </c>
      <c r="G2445" s="1" t="str">
        <f t="shared" si="3"/>
        <v/>
      </c>
      <c r="H2445" s="5" t="str">
        <f t="shared" si="4"/>
        <v>30, 35, GOLDUCK</v>
      </c>
    </row>
    <row r="2446" ht="12.75" customHeight="1">
      <c r="A2446" s="4" t="s">
        <v>2851</v>
      </c>
      <c r="B2446" s="5" t="s">
        <v>2851</v>
      </c>
      <c r="C2446" s="1" t="str">
        <f t="shared" si="1"/>
        <v/>
      </c>
      <c r="E2446" s="5" t="s">
        <v>2851</v>
      </c>
      <c r="F2446" s="6" t="str">
        <f t="shared" si="2"/>
        <v>#N/A</v>
      </c>
      <c r="G2446" s="1" t="str">
        <f t="shared" si="3"/>
        <v/>
      </c>
      <c r="H2446" s="5" t="str">
        <f t="shared" si="4"/>
        <v>super rod:</v>
      </c>
    </row>
    <row r="2447" ht="12.75" customHeight="1">
      <c r="A2447" s="4" t="s">
        <v>3030</v>
      </c>
      <c r="B2447" s="5" t="s">
        <v>3030</v>
      </c>
      <c r="C2447" s="1" t="str">
        <f t="shared" si="1"/>
        <v/>
      </c>
      <c r="E2447" s="5" t="s">
        <v>3030</v>
      </c>
      <c r="F2447" s="6" t="str">
        <f t="shared" si="2"/>
        <v>#N/A</v>
      </c>
      <c r="G2447" s="1" t="str">
        <f t="shared" si="3"/>
        <v/>
      </c>
      <c r="H2447" s="5" t="str">
        <f t="shared" si="4"/>
        <v>36, 40, KINGDRA</v>
      </c>
    </row>
    <row r="2448" ht="12.75" customHeight="1">
      <c r="A2448" s="4" t="s">
        <v>3528</v>
      </c>
      <c r="B2448" s="5" t="s">
        <v>3528</v>
      </c>
      <c r="C2448" s="1" t="str">
        <f t="shared" si="1"/>
        <v/>
      </c>
      <c r="E2448" s="5" t="s">
        <v>3528</v>
      </c>
      <c r="F2448" s="6" t="str">
        <f t="shared" si="2"/>
        <v>#N/A</v>
      </c>
      <c r="G2448" s="1" t="str">
        <f t="shared" si="3"/>
        <v/>
      </c>
      <c r="H2448" s="5" t="str">
        <f t="shared" si="4"/>
        <v>36, 40, KINGLER</v>
      </c>
    </row>
    <row r="2449" ht="12.75" customHeight="1">
      <c r="A2449" s="4" t="s">
        <v>3032</v>
      </c>
      <c r="B2449" s="5" t="s">
        <v>3032</v>
      </c>
      <c r="C2449" s="1" t="str">
        <f t="shared" si="1"/>
        <v/>
      </c>
      <c r="E2449" s="5" t="s">
        <v>3032</v>
      </c>
      <c r="F2449" s="6" t="str">
        <f t="shared" si="2"/>
        <v>#N/A</v>
      </c>
      <c r="G2449" s="1" t="str">
        <f t="shared" si="3"/>
        <v/>
      </c>
      <c r="H2449" s="5" t="str">
        <f t="shared" si="4"/>
        <v>38, 42, GILDUCK</v>
      </c>
    </row>
    <row r="2450" ht="12.75" customHeight="1">
      <c r="A2450" s="4" t="s">
        <v>3033</v>
      </c>
      <c r="B2450" s="5" t="s">
        <v>3033</v>
      </c>
      <c r="C2450" s="1" t="str">
        <f t="shared" si="1"/>
        <v/>
      </c>
      <c r="E2450" s="5" t="s">
        <v>3033</v>
      </c>
      <c r="F2450" s="6" t="str">
        <f t="shared" si="2"/>
        <v>#N/A</v>
      </c>
      <c r="G2450" s="1" t="str">
        <f t="shared" si="3"/>
        <v/>
      </c>
      <c r="H2450" s="5" t="str">
        <f t="shared" si="4"/>
        <v>38, 42, KRAKLAW</v>
      </c>
    </row>
    <row r="2451" ht="12.75" customHeight="1">
      <c r="A2451" s="4" t="s">
        <v>3034</v>
      </c>
      <c r="B2451" s="5" t="s">
        <v>3034</v>
      </c>
      <c r="C2451" s="1" t="str">
        <f t="shared" si="1"/>
        <v/>
      </c>
      <c r="E2451" s="5" t="s">
        <v>3034</v>
      </c>
      <c r="F2451" s="6" t="str">
        <f t="shared" si="2"/>
        <v>#N/A</v>
      </c>
      <c r="G2451" s="1" t="str">
        <f t="shared" si="3"/>
        <v/>
      </c>
      <c r="H2451" s="5" t="str">
        <f t="shared" si="4"/>
        <v>40, 44, LORDRA</v>
      </c>
    </row>
    <row r="2452" ht="12.75" customHeight="1">
      <c r="A2452" s="4" t="s">
        <v>2539</v>
      </c>
      <c r="B2452" s="5" t="s">
        <v>2539</v>
      </c>
      <c r="C2452" s="1">
        <f t="shared" si="1"/>
        <v>1</v>
      </c>
      <c r="E2452" s="5" t="s">
        <v>2539</v>
      </c>
      <c r="F2452" s="6" t="str">
        <f t="shared" si="2"/>
        <v>#N/A</v>
      </c>
      <c r="G2452" s="1" t="str">
        <f t="shared" si="3"/>
        <v/>
      </c>
      <c r="H2452" s="5" t="str">
        <f t="shared" si="4"/>
        <v>NEW ROUTE</v>
      </c>
    </row>
    <row r="2453" ht="12.75" customHeight="1">
      <c r="A2453" s="4" t="s">
        <v>2145</v>
      </c>
      <c r="B2453" s="5" t="s">
        <v>2145</v>
      </c>
      <c r="C2453" s="1" t="str">
        <f t="shared" si="1"/>
        <v/>
      </c>
      <c r="E2453" s="5" t="s">
        <v>2145</v>
      </c>
      <c r="F2453" s="6" t="str">
        <f t="shared" si="2"/>
        <v>Route 21 South</v>
      </c>
      <c r="G2453" s="1" t="str">
        <f t="shared" si="3"/>
        <v>Route 21 South</v>
      </c>
      <c r="H2453" s="5" t="str">
        <f t="shared" si="4"/>
        <v>Route 21 South</v>
      </c>
    </row>
    <row r="2454" ht="12.75" customHeight="1">
      <c r="A2454" s="4" t="s">
        <v>2799</v>
      </c>
      <c r="B2454" s="5">
        <v>0.2</v>
      </c>
      <c r="C2454" s="1" t="str">
        <f t="shared" si="1"/>
        <v/>
      </c>
      <c r="E2454" s="5">
        <v>0.2</v>
      </c>
      <c r="F2454" s="6" t="str">
        <f t="shared" si="2"/>
        <v>#N/A</v>
      </c>
      <c r="G2454" s="1" t="str">
        <f t="shared" si="3"/>
        <v/>
      </c>
      <c r="H2454" s="5">
        <f t="shared" si="4"/>
        <v>0.2</v>
      </c>
    </row>
    <row r="2455" ht="12.75" customHeight="1">
      <c r="A2455" s="4" t="s">
        <v>1164</v>
      </c>
      <c r="B2455" s="5" t="s">
        <v>1164</v>
      </c>
      <c r="C2455" s="1" t="str">
        <f t="shared" si="1"/>
        <v/>
      </c>
      <c r="E2455" s="5" t="s">
        <v>1164</v>
      </c>
      <c r="F2455" s="6" t="str">
        <f t="shared" si="2"/>
        <v>#N/A</v>
      </c>
      <c r="G2455" s="1" t="str">
        <f t="shared" si="3"/>
        <v/>
      </c>
      <c r="H2455" s="5" t="str">
        <f t="shared" si="4"/>
        <v>39, 46, TANGROWTH</v>
      </c>
    </row>
    <row r="2456" ht="12.75" customHeight="1">
      <c r="A2456" s="4" t="s">
        <v>3531</v>
      </c>
      <c r="B2456" s="5" t="s">
        <v>3531</v>
      </c>
      <c r="C2456" s="1" t="str">
        <f t="shared" si="1"/>
        <v/>
      </c>
      <c r="E2456" s="5" t="s">
        <v>3531</v>
      </c>
      <c r="F2456" s="6" t="str">
        <f t="shared" si="2"/>
        <v>#N/A</v>
      </c>
      <c r="G2456" s="1" t="str">
        <f t="shared" si="3"/>
        <v/>
      </c>
      <c r="H2456" s="5" t="str">
        <f t="shared" si="4"/>
        <v>39, 46, EXEGGUTOR</v>
      </c>
    </row>
    <row r="2457" ht="12.75" customHeight="1">
      <c r="A2457" s="4" t="s">
        <v>2802</v>
      </c>
      <c r="B2457" s="5">
        <v>0.1</v>
      </c>
      <c r="C2457" s="1" t="str">
        <f t="shared" si="1"/>
        <v/>
      </c>
      <c r="E2457" s="5">
        <v>0.1</v>
      </c>
      <c r="F2457" s="6" t="str">
        <f t="shared" si="2"/>
        <v>#N/A</v>
      </c>
      <c r="G2457" s="1" t="str">
        <f t="shared" si="3"/>
        <v/>
      </c>
      <c r="H2457" s="5">
        <f t="shared" si="4"/>
        <v>0.1</v>
      </c>
    </row>
    <row r="2458" ht="12.75" customHeight="1">
      <c r="A2458" s="4" t="s">
        <v>3532</v>
      </c>
      <c r="B2458" s="5" t="s">
        <v>3532</v>
      </c>
      <c r="C2458" s="1" t="str">
        <f t="shared" si="1"/>
        <v/>
      </c>
      <c r="E2458" s="5" t="s">
        <v>3532</v>
      </c>
      <c r="F2458" s="6" t="str">
        <f t="shared" si="2"/>
        <v>#N/A</v>
      </c>
      <c r="G2458" s="1" t="str">
        <f t="shared" si="3"/>
        <v/>
      </c>
      <c r="H2458" s="5" t="str">
        <f t="shared" si="4"/>
        <v>39, 42, DODRIO</v>
      </c>
    </row>
    <row r="2459" ht="12.75" customHeight="1">
      <c r="A2459" s="4" t="s">
        <v>3533</v>
      </c>
      <c r="B2459" s="5" t="s">
        <v>3533</v>
      </c>
      <c r="C2459" s="1" t="str">
        <f t="shared" si="1"/>
        <v/>
      </c>
      <c r="E2459" s="5" t="s">
        <v>3533</v>
      </c>
      <c r="F2459" s="6" t="str">
        <f t="shared" si="2"/>
        <v>#N/A</v>
      </c>
      <c r="G2459" s="1" t="str">
        <f t="shared" si="3"/>
        <v/>
      </c>
      <c r="H2459" s="5" t="str">
        <f t="shared" si="4"/>
        <v>39, 42, GOLDUCK</v>
      </c>
    </row>
    <row r="2460" ht="12.75" customHeight="1">
      <c r="A2460" s="4" t="s">
        <v>3534</v>
      </c>
      <c r="B2460" s="5" t="s">
        <v>3534</v>
      </c>
      <c r="C2460" s="1" t="str">
        <f t="shared" si="1"/>
        <v/>
      </c>
      <c r="E2460" s="5" t="s">
        <v>3534</v>
      </c>
      <c r="F2460" s="6" t="str">
        <f t="shared" si="2"/>
        <v>#N/A</v>
      </c>
      <c r="G2460" s="1" t="str">
        <f t="shared" si="3"/>
        <v/>
      </c>
      <c r="H2460" s="5" t="str">
        <f t="shared" si="4"/>
        <v>43, 46, DODRIO</v>
      </c>
    </row>
    <row r="2461" ht="12.75" customHeight="1">
      <c r="A2461" s="4" t="s">
        <v>3535</v>
      </c>
      <c r="B2461" s="5" t="s">
        <v>3535</v>
      </c>
      <c r="C2461" s="1" t="str">
        <f t="shared" si="1"/>
        <v/>
      </c>
      <c r="E2461" s="5" t="s">
        <v>3535</v>
      </c>
      <c r="F2461" s="6" t="str">
        <f t="shared" si="2"/>
        <v>#N/A</v>
      </c>
      <c r="G2461" s="1" t="str">
        <f t="shared" si="3"/>
        <v/>
      </c>
      <c r="H2461" s="5" t="str">
        <f t="shared" si="4"/>
        <v>43, 46, GOLDUCK</v>
      </c>
    </row>
    <row r="2462" ht="12.75" customHeight="1">
      <c r="A2462" s="4" t="s">
        <v>2807</v>
      </c>
      <c r="B2462" s="5">
        <v>0.05</v>
      </c>
      <c r="C2462" s="1" t="str">
        <f t="shared" si="1"/>
        <v/>
      </c>
      <c r="E2462" s="5">
        <v>0.05</v>
      </c>
      <c r="F2462" s="6" t="str">
        <f t="shared" si="2"/>
        <v>#N/A</v>
      </c>
      <c r="G2462" s="1" t="str">
        <f t="shared" si="3"/>
        <v/>
      </c>
      <c r="H2462" s="5">
        <f t="shared" si="4"/>
        <v>0.05</v>
      </c>
    </row>
    <row r="2463" ht="12.75" customHeight="1">
      <c r="A2463" s="4" t="s">
        <v>3536</v>
      </c>
      <c r="B2463" s="5" t="s">
        <v>3536</v>
      </c>
      <c r="C2463" s="1" t="str">
        <f t="shared" si="1"/>
        <v/>
      </c>
      <c r="E2463" s="5" t="s">
        <v>3536</v>
      </c>
      <c r="F2463" s="6" t="str">
        <f t="shared" si="2"/>
        <v>#N/A</v>
      </c>
      <c r="G2463" s="1" t="str">
        <f t="shared" si="3"/>
        <v/>
      </c>
      <c r="H2463" s="5" t="str">
        <f t="shared" si="4"/>
        <v>43, 50, TANGATHER</v>
      </c>
    </row>
    <row r="2464" ht="12.75" customHeight="1">
      <c r="A2464" s="4" t="s">
        <v>3537</v>
      </c>
      <c r="B2464" s="5" t="s">
        <v>3537</v>
      </c>
      <c r="C2464" s="1" t="str">
        <f t="shared" si="1"/>
        <v/>
      </c>
      <c r="E2464" s="5" t="s">
        <v>3537</v>
      </c>
      <c r="F2464" s="6" t="str">
        <f t="shared" si="2"/>
        <v>#N/A</v>
      </c>
      <c r="G2464" s="1" t="str">
        <f t="shared" si="3"/>
        <v/>
      </c>
      <c r="H2464" s="5" t="str">
        <f t="shared" si="4"/>
        <v>43, 50, EXEGGITY</v>
      </c>
    </row>
    <row r="2465" ht="12.75" customHeight="1">
      <c r="A2465" s="4" t="s">
        <v>2810</v>
      </c>
      <c r="B2465" s="5">
        <v>0.04</v>
      </c>
      <c r="C2465" s="1" t="str">
        <f t="shared" si="1"/>
        <v/>
      </c>
      <c r="E2465" s="5">
        <v>0.04</v>
      </c>
      <c r="F2465" s="6" t="str">
        <f t="shared" si="2"/>
        <v>#N/A</v>
      </c>
      <c r="G2465" s="1" t="str">
        <f t="shared" si="3"/>
        <v/>
      </c>
      <c r="H2465" s="5">
        <f t="shared" si="4"/>
        <v>0.04</v>
      </c>
    </row>
    <row r="2466" ht="12.75" customHeight="1">
      <c r="A2466" s="4" t="s">
        <v>3538</v>
      </c>
      <c r="B2466" s="5" t="s">
        <v>3538</v>
      </c>
      <c r="C2466" s="1" t="str">
        <f t="shared" si="1"/>
        <v/>
      </c>
      <c r="E2466" s="5" t="s">
        <v>3538</v>
      </c>
      <c r="F2466" s="6" t="str">
        <f t="shared" si="2"/>
        <v>#N/A</v>
      </c>
      <c r="G2466" s="1" t="str">
        <f t="shared" si="3"/>
        <v/>
      </c>
      <c r="H2466" s="5" t="str">
        <f t="shared" si="4"/>
        <v>43, 50, GILDUCK</v>
      </c>
    </row>
    <row r="2467" ht="12.75" customHeight="1">
      <c r="A2467" s="4" t="s">
        <v>3539</v>
      </c>
      <c r="B2467" s="5" t="s">
        <v>3539</v>
      </c>
      <c r="C2467" s="1" t="str">
        <f t="shared" si="1"/>
        <v/>
      </c>
      <c r="E2467" s="5" t="s">
        <v>3539</v>
      </c>
      <c r="F2467" s="6" t="str">
        <f t="shared" si="2"/>
        <v>#N/A</v>
      </c>
      <c r="G2467" s="1" t="str">
        <f t="shared" si="3"/>
        <v/>
      </c>
      <c r="H2467" s="5" t="str">
        <f t="shared" si="4"/>
        <v>43, 50, QUADODO</v>
      </c>
    </row>
    <row r="2468" ht="12.75" customHeight="1">
      <c r="A2468" s="4" t="s">
        <v>2813</v>
      </c>
      <c r="B2468" s="5">
        <v>0.01</v>
      </c>
      <c r="C2468" s="1" t="str">
        <f t="shared" si="1"/>
        <v/>
      </c>
      <c r="E2468" s="5">
        <v>0.01</v>
      </c>
      <c r="F2468" s="6" t="str">
        <f t="shared" si="2"/>
        <v>#N/A</v>
      </c>
      <c r="G2468" s="1" t="str">
        <f t="shared" si="3"/>
        <v/>
      </c>
      <c r="H2468" s="5">
        <f t="shared" si="4"/>
        <v>0.01</v>
      </c>
    </row>
    <row r="2469" ht="12.75" customHeight="1">
      <c r="A2469" s="4" t="s">
        <v>3540</v>
      </c>
      <c r="B2469" s="5" t="s">
        <v>3540</v>
      </c>
      <c r="C2469" s="1" t="str">
        <f t="shared" si="1"/>
        <v/>
      </c>
      <c r="E2469" s="5" t="s">
        <v>3540</v>
      </c>
      <c r="F2469" s="6" t="str">
        <f t="shared" si="2"/>
        <v>#N/A</v>
      </c>
      <c r="G2469" s="1" t="str">
        <f t="shared" si="3"/>
        <v/>
      </c>
      <c r="H2469" s="5" t="str">
        <f t="shared" si="4"/>
        <v>45, 52, TANGOLIATH</v>
      </c>
    </row>
    <row r="2470" ht="12.75" customHeight="1">
      <c r="A2470" s="4" t="s">
        <v>3541</v>
      </c>
      <c r="B2470" s="5" t="s">
        <v>3541</v>
      </c>
      <c r="C2470" s="1" t="str">
        <f t="shared" si="1"/>
        <v/>
      </c>
      <c r="E2470" s="5" t="s">
        <v>3541</v>
      </c>
      <c r="F2470" s="6" t="str">
        <f t="shared" si="2"/>
        <v>#N/A</v>
      </c>
      <c r="G2470" s="1" t="str">
        <f t="shared" si="3"/>
        <v/>
      </c>
      <c r="H2470" s="5" t="str">
        <f t="shared" si="4"/>
        <v>44, 44, TANGOLIATH</v>
      </c>
    </row>
    <row r="2471" ht="12.75" customHeight="1">
      <c r="A2471" s="4" t="s">
        <v>3350</v>
      </c>
      <c r="B2471" s="5" t="s">
        <v>3350</v>
      </c>
      <c r="C2471" s="1" t="str">
        <f t="shared" si="1"/>
        <v/>
      </c>
      <c r="E2471" s="5" t="s">
        <v>3350</v>
      </c>
      <c r="F2471" s="6" t="str">
        <f t="shared" si="2"/>
        <v>#N/A</v>
      </c>
      <c r="G2471" s="1" t="str">
        <f t="shared" si="3"/>
        <v/>
      </c>
      <c r="H2471" s="5" t="str">
        <f t="shared" si="4"/>
        <v>2, 38, 42, TENTACOOL</v>
      </c>
    </row>
    <row r="2472" ht="12.75" customHeight="1">
      <c r="A2472" s="4" t="s">
        <v>3429</v>
      </c>
      <c r="B2472" s="5" t="s">
        <v>3429</v>
      </c>
      <c r="C2472" s="1" t="str">
        <f t="shared" si="1"/>
        <v/>
      </c>
      <c r="E2472" s="5" t="s">
        <v>3429</v>
      </c>
      <c r="F2472" s="6" t="str">
        <f t="shared" si="2"/>
        <v>#N/A</v>
      </c>
      <c r="G2472" s="1" t="str">
        <f t="shared" si="3"/>
        <v/>
      </c>
      <c r="H2472" s="5" t="str">
        <f t="shared" si="4"/>
        <v>40, 44, TENTACRUEL</v>
      </c>
    </row>
    <row r="2473" ht="12.75" customHeight="1">
      <c r="A2473" s="4" t="s">
        <v>3430</v>
      </c>
      <c r="B2473" s="5" t="s">
        <v>3430</v>
      </c>
      <c r="C2473" s="1" t="str">
        <f t="shared" si="1"/>
        <v/>
      </c>
      <c r="E2473" s="5" t="s">
        <v>3430</v>
      </c>
      <c r="F2473" s="6" t="str">
        <f t="shared" si="2"/>
        <v>#N/A</v>
      </c>
      <c r="G2473" s="1" t="str">
        <f t="shared" si="3"/>
        <v/>
      </c>
      <c r="H2473" s="5" t="str">
        <f t="shared" si="4"/>
        <v>42, 46, TENTACATE</v>
      </c>
    </row>
    <row r="2474" ht="12.75" customHeight="1">
      <c r="A2474" s="4" t="s">
        <v>3025</v>
      </c>
      <c r="B2474" s="5" t="s">
        <v>3025</v>
      </c>
      <c r="C2474" s="1" t="str">
        <f t="shared" si="1"/>
        <v/>
      </c>
      <c r="E2474" s="5" t="s">
        <v>3025</v>
      </c>
      <c r="F2474" s="6" t="str">
        <f t="shared" si="2"/>
        <v>#N/A</v>
      </c>
      <c r="G2474" s="1" t="str">
        <f t="shared" si="3"/>
        <v/>
      </c>
      <c r="H2474" s="5" t="str">
        <f t="shared" si="4"/>
        <v>42, 46, LAPRAS</v>
      </c>
    </row>
    <row r="2475" ht="12.75" customHeight="1">
      <c r="A2475" s="4" t="s">
        <v>3450</v>
      </c>
      <c r="B2475" s="5" t="s">
        <v>3450</v>
      </c>
      <c r="C2475" s="1" t="str">
        <f t="shared" si="1"/>
        <v/>
      </c>
      <c r="E2475" s="5" t="s">
        <v>3450</v>
      </c>
      <c r="F2475" s="6" t="str">
        <f t="shared" si="2"/>
        <v>#N/A</v>
      </c>
      <c r="G2475" s="1" t="str">
        <f t="shared" si="3"/>
        <v/>
      </c>
      <c r="H2475" s="5" t="str">
        <f t="shared" si="4"/>
        <v>44, 48, LOCHLASS</v>
      </c>
    </row>
    <row r="2476" ht="12.75" customHeight="1">
      <c r="A2476" s="4" t="s">
        <v>2926</v>
      </c>
      <c r="B2476" s="5" t="s">
        <v>2926</v>
      </c>
      <c r="C2476" s="1" t="str">
        <f t="shared" si="1"/>
        <v/>
      </c>
      <c r="E2476" s="5" t="s">
        <v>2926</v>
      </c>
      <c r="F2476" s="6" t="str">
        <f t="shared" si="2"/>
        <v>#N/A</v>
      </c>
      <c r="G2476" s="1" t="str">
        <f t="shared" si="3"/>
        <v/>
      </c>
      <c r="H2476" s="5" t="str">
        <f t="shared" si="4"/>
        <v>20, old rod:</v>
      </c>
    </row>
    <row r="2477" ht="12.75" customHeight="1">
      <c r="A2477" s="4" t="s">
        <v>1159</v>
      </c>
      <c r="B2477" s="5" t="s">
        <v>1159</v>
      </c>
      <c r="C2477" s="1" t="str">
        <f t="shared" si="1"/>
        <v/>
      </c>
      <c r="E2477" s="5" t="s">
        <v>1159</v>
      </c>
      <c r="F2477" s="6" t="str">
        <f t="shared" si="2"/>
        <v>#N/A</v>
      </c>
      <c r="G2477" s="1" t="str">
        <f t="shared" si="3"/>
        <v/>
      </c>
      <c r="H2477" s="5" t="str">
        <f t="shared" si="4"/>
        <v>19, 26, PSYDUCK</v>
      </c>
    </row>
    <row r="2478" ht="12.75" customHeight="1">
      <c r="A2478" s="4" t="s">
        <v>602</v>
      </c>
      <c r="B2478" s="5" t="s">
        <v>602</v>
      </c>
      <c r="C2478" s="1" t="str">
        <f t="shared" si="1"/>
        <v/>
      </c>
      <c r="E2478" s="5" t="s">
        <v>602</v>
      </c>
      <c r="F2478" s="6" t="str">
        <f t="shared" si="2"/>
        <v>#N/A</v>
      </c>
      <c r="G2478" s="1" t="str">
        <f t="shared" si="3"/>
        <v/>
      </c>
      <c r="H2478" s="5" t="str">
        <f t="shared" si="4"/>
        <v>19, 26, HORSEA</v>
      </c>
    </row>
    <row r="2479" ht="12.75" customHeight="1">
      <c r="A2479" s="4" t="s">
        <v>2847</v>
      </c>
      <c r="B2479" s="5" t="s">
        <v>2847</v>
      </c>
      <c r="C2479" s="1" t="str">
        <f t="shared" si="1"/>
        <v/>
      </c>
      <c r="E2479" s="5" t="s">
        <v>2847</v>
      </c>
      <c r="F2479" s="6" t="str">
        <f t="shared" si="2"/>
        <v>#N/A</v>
      </c>
      <c r="G2479" s="1" t="str">
        <f t="shared" si="3"/>
        <v/>
      </c>
      <c r="H2479" s="5" t="str">
        <f t="shared" si="4"/>
        <v>good rod:</v>
      </c>
    </row>
    <row r="2480" ht="12.75" customHeight="1">
      <c r="A2480" s="4" t="s">
        <v>3027</v>
      </c>
      <c r="B2480" s="5" t="s">
        <v>3027</v>
      </c>
      <c r="C2480" s="1" t="str">
        <f t="shared" si="1"/>
        <v/>
      </c>
      <c r="E2480" s="5" t="s">
        <v>3027</v>
      </c>
      <c r="F2480" s="6" t="str">
        <f t="shared" si="2"/>
        <v>#N/A</v>
      </c>
      <c r="G2480" s="1" t="str">
        <f t="shared" si="3"/>
        <v/>
      </c>
      <c r="H2480" s="5" t="str">
        <f t="shared" si="4"/>
        <v>29, 33, SEADRA</v>
      </c>
    </row>
    <row r="2481" ht="12.75" customHeight="1">
      <c r="A2481" s="4" t="s">
        <v>3028</v>
      </c>
      <c r="B2481" s="5" t="s">
        <v>3028</v>
      </c>
      <c r="C2481" s="1" t="str">
        <f t="shared" si="1"/>
        <v/>
      </c>
      <c r="E2481" s="5" t="s">
        <v>3028</v>
      </c>
      <c r="F2481" s="6" t="str">
        <f t="shared" si="2"/>
        <v>#N/A</v>
      </c>
      <c r="G2481" s="1" t="str">
        <f t="shared" si="3"/>
        <v/>
      </c>
      <c r="H2481" s="5" t="str">
        <f t="shared" si="4"/>
        <v>30, 35, KRABBY</v>
      </c>
    </row>
    <row r="2482" ht="12.75" customHeight="1">
      <c r="A2482" s="4" t="s">
        <v>3029</v>
      </c>
      <c r="B2482" s="5" t="s">
        <v>3029</v>
      </c>
      <c r="C2482" s="1" t="str">
        <f t="shared" si="1"/>
        <v/>
      </c>
      <c r="E2482" s="5" t="s">
        <v>3029</v>
      </c>
      <c r="F2482" s="6" t="str">
        <f t="shared" si="2"/>
        <v>#N/A</v>
      </c>
      <c r="G2482" s="1" t="str">
        <f t="shared" si="3"/>
        <v/>
      </c>
      <c r="H2482" s="5" t="str">
        <f t="shared" si="4"/>
        <v>30, 35, GOLDUCK</v>
      </c>
    </row>
    <row r="2483" ht="12.75" customHeight="1">
      <c r="A2483" s="4" t="s">
        <v>2851</v>
      </c>
      <c r="B2483" s="5" t="s">
        <v>2851</v>
      </c>
      <c r="C2483" s="1" t="str">
        <f t="shared" si="1"/>
        <v/>
      </c>
      <c r="E2483" s="5" t="s">
        <v>2851</v>
      </c>
      <c r="F2483" s="6" t="str">
        <f t="shared" si="2"/>
        <v>#N/A</v>
      </c>
      <c r="G2483" s="1" t="str">
        <f t="shared" si="3"/>
        <v/>
      </c>
      <c r="H2483" s="5" t="str">
        <f t="shared" si="4"/>
        <v>super rod:</v>
      </c>
    </row>
    <row r="2484" ht="12.75" customHeight="1">
      <c r="A2484" s="4" t="s">
        <v>3030</v>
      </c>
      <c r="B2484" s="5" t="s">
        <v>3030</v>
      </c>
      <c r="C2484" s="1" t="str">
        <f t="shared" si="1"/>
        <v/>
      </c>
      <c r="E2484" s="5" t="s">
        <v>3030</v>
      </c>
      <c r="F2484" s="6" t="str">
        <f t="shared" si="2"/>
        <v>#N/A</v>
      </c>
      <c r="G2484" s="1" t="str">
        <f t="shared" si="3"/>
        <v/>
      </c>
      <c r="H2484" s="5" t="str">
        <f t="shared" si="4"/>
        <v>36, 40, KINGDRA</v>
      </c>
    </row>
    <row r="2485" ht="12.75" customHeight="1">
      <c r="A2485" s="4" t="s">
        <v>3528</v>
      </c>
      <c r="B2485" s="5" t="s">
        <v>3528</v>
      </c>
      <c r="C2485" s="1" t="str">
        <f t="shared" si="1"/>
        <v/>
      </c>
      <c r="E2485" s="5" t="s">
        <v>3528</v>
      </c>
      <c r="F2485" s="6" t="str">
        <f t="shared" si="2"/>
        <v>#N/A</v>
      </c>
      <c r="G2485" s="1" t="str">
        <f t="shared" si="3"/>
        <v/>
      </c>
      <c r="H2485" s="5" t="str">
        <f t="shared" si="4"/>
        <v>36, 40, KINGLER</v>
      </c>
    </row>
    <row r="2486" ht="12.75" customHeight="1">
      <c r="A2486" s="4" t="s">
        <v>3032</v>
      </c>
      <c r="B2486" s="5" t="s">
        <v>3032</v>
      </c>
      <c r="C2486" s="1" t="str">
        <f t="shared" si="1"/>
        <v/>
      </c>
      <c r="E2486" s="5" t="s">
        <v>3032</v>
      </c>
      <c r="F2486" s="6" t="str">
        <f t="shared" si="2"/>
        <v>#N/A</v>
      </c>
      <c r="G2486" s="1" t="str">
        <f t="shared" si="3"/>
        <v/>
      </c>
      <c r="H2486" s="5" t="str">
        <f t="shared" si="4"/>
        <v>38, 42, GILDUCK</v>
      </c>
    </row>
    <row r="2487" ht="12.75" customHeight="1">
      <c r="A2487" s="4" t="s">
        <v>3033</v>
      </c>
      <c r="B2487" s="5" t="s">
        <v>3033</v>
      </c>
      <c r="C2487" s="1" t="str">
        <f t="shared" si="1"/>
        <v/>
      </c>
      <c r="E2487" s="5" t="s">
        <v>3033</v>
      </c>
      <c r="F2487" s="6" t="str">
        <f t="shared" si="2"/>
        <v>#N/A</v>
      </c>
      <c r="G2487" s="1" t="str">
        <f t="shared" si="3"/>
        <v/>
      </c>
      <c r="H2487" s="5" t="str">
        <f t="shared" si="4"/>
        <v>38, 42, KRAKLAW</v>
      </c>
    </row>
    <row r="2488" ht="12.75" customHeight="1">
      <c r="A2488" s="4" t="s">
        <v>3034</v>
      </c>
      <c r="B2488" s="5" t="s">
        <v>3034</v>
      </c>
      <c r="C2488" s="1" t="str">
        <f t="shared" si="1"/>
        <v/>
      </c>
      <c r="E2488" s="5" t="s">
        <v>3034</v>
      </c>
      <c r="F2488" s="6" t="str">
        <f t="shared" si="2"/>
        <v>#N/A</v>
      </c>
      <c r="G2488" s="1" t="str">
        <f t="shared" si="3"/>
        <v/>
      </c>
      <c r="H2488" s="5" t="str">
        <f t="shared" si="4"/>
        <v>40, 44, LORDRA</v>
      </c>
    </row>
    <row r="2489" ht="12.75" customHeight="1">
      <c r="A2489" s="4" t="s">
        <v>2539</v>
      </c>
      <c r="B2489" s="5" t="s">
        <v>2539</v>
      </c>
      <c r="C2489" s="1">
        <f t="shared" si="1"/>
        <v>1</v>
      </c>
      <c r="E2489" s="5" t="s">
        <v>2539</v>
      </c>
      <c r="F2489" s="6" t="str">
        <f t="shared" si="2"/>
        <v>#N/A</v>
      </c>
      <c r="G2489" s="1" t="str">
        <f t="shared" si="3"/>
        <v/>
      </c>
      <c r="H2489" s="5" t="str">
        <f t="shared" si="4"/>
        <v>NEW ROUTE</v>
      </c>
    </row>
    <row r="2490" ht="12.75" customHeight="1">
      <c r="A2490" s="4" t="s">
        <v>2147</v>
      </c>
      <c r="B2490" s="5" t="s">
        <v>2147</v>
      </c>
      <c r="C2490" s="1" t="str">
        <f t="shared" si="1"/>
        <v/>
      </c>
      <c r="E2490" s="5" t="s">
        <v>2147</v>
      </c>
      <c r="F2490" s="6" t="str">
        <f t="shared" si="2"/>
        <v>Route 22</v>
      </c>
      <c r="G2490" s="1" t="str">
        <f t="shared" si="3"/>
        <v>Route 22</v>
      </c>
      <c r="H2490" s="5" t="str">
        <f t="shared" si="4"/>
        <v>Route 22</v>
      </c>
    </row>
    <row r="2491" ht="12.75" customHeight="1">
      <c r="A2491" s="4" t="s">
        <v>2799</v>
      </c>
      <c r="B2491" s="5">
        <v>0.2</v>
      </c>
      <c r="C2491" s="1" t="str">
        <f t="shared" si="1"/>
        <v/>
      </c>
      <c r="E2491" s="5">
        <v>0.2</v>
      </c>
      <c r="F2491" s="6" t="str">
        <f t="shared" si="2"/>
        <v>#N/A</v>
      </c>
      <c r="G2491" s="1" t="str">
        <f t="shared" si="3"/>
        <v/>
      </c>
      <c r="H2491" s="5">
        <f t="shared" si="4"/>
        <v>0.2</v>
      </c>
    </row>
    <row r="2492" ht="12.75" customHeight="1">
      <c r="A2492" s="4" t="s">
        <v>1178</v>
      </c>
      <c r="B2492" s="5" t="s">
        <v>1178</v>
      </c>
      <c r="C2492" s="1" t="str">
        <f t="shared" si="1"/>
        <v/>
      </c>
      <c r="E2492" s="5" t="s">
        <v>1178</v>
      </c>
      <c r="F2492" s="6" t="str">
        <f t="shared" si="2"/>
        <v>#N/A</v>
      </c>
      <c r="G2492" s="1" t="str">
        <f t="shared" si="3"/>
        <v/>
      </c>
      <c r="H2492" s="5" t="str">
        <f t="shared" si="4"/>
        <v>2, 3, RATTATA</v>
      </c>
    </row>
    <row r="2493" ht="12.75" customHeight="1">
      <c r="A2493" s="4" t="s">
        <v>3544</v>
      </c>
      <c r="B2493" s="5" t="s">
        <v>3544</v>
      </c>
      <c r="C2493" s="1" t="str">
        <f t="shared" si="1"/>
        <v/>
      </c>
      <c r="E2493" s="5" t="s">
        <v>3544</v>
      </c>
      <c r="F2493" s="6" t="str">
        <f t="shared" si="2"/>
        <v>#N/A</v>
      </c>
      <c r="G2493" s="1" t="str">
        <f t="shared" si="3"/>
        <v/>
      </c>
      <c r="H2493" s="5" t="str">
        <f t="shared" si="4"/>
        <v>4, 5, RATTATA</v>
      </c>
    </row>
    <row r="2494" ht="12.75" customHeight="1">
      <c r="A2494" s="4" t="s">
        <v>2802</v>
      </c>
      <c r="B2494" s="5">
        <v>0.1</v>
      </c>
      <c r="C2494" s="1" t="str">
        <f t="shared" si="1"/>
        <v/>
      </c>
      <c r="E2494" s="5">
        <v>0.1</v>
      </c>
      <c r="F2494" s="6" t="str">
        <f t="shared" si="2"/>
        <v>#N/A</v>
      </c>
      <c r="G2494" s="1" t="str">
        <f t="shared" si="3"/>
        <v/>
      </c>
      <c r="H2494" s="5">
        <f t="shared" si="4"/>
        <v>0.1</v>
      </c>
    </row>
    <row r="2495" ht="12.75" customHeight="1">
      <c r="A2495" s="4" t="s">
        <v>3545</v>
      </c>
      <c r="B2495" s="5" t="s">
        <v>3545</v>
      </c>
      <c r="C2495" s="1" t="str">
        <f t="shared" si="1"/>
        <v/>
      </c>
      <c r="E2495" s="5" t="s">
        <v>3545</v>
      </c>
      <c r="F2495" s="6" t="str">
        <f t="shared" si="2"/>
        <v>#N/A</v>
      </c>
      <c r="G2495" s="1" t="str">
        <f t="shared" si="3"/>
        <v/>
      </c>
      <c r="H2495" s="5" t="str">
        <f t="shared" si="4"/>
        <v>2, 3, MEOWTH</v>
      </c>
    </row>
    <row r="2496" ht="12.75" customHeight="1">
      <c r="A2496" s="4" t="s">
        <v>3546</v>
      </c>
      <c r="B2496" s="5" t="s">
        <v>3546</v>
      </c>
      <c r="C2496" s="1" t="str">
        <f t="shared" si="1"/>
        <v/>
      </c>
      <c r="E2496" s="5" t="s">
        <v>3546</v>
      </c>
      <c r="F2496" s="6" t="str">
        <f t="shared" si="2"/>
        <v>#N/A</v>
      </c>
      <c r="G2496" s="1" t="str">
        <f t="shared" si="3"/>
        <v/>
      </c>
      <c r="H2496" s="5" t="str">
        <f t="shared" si="4"/>
        <v>4, 5, MEOWTH</v>
      </c>
    </row>
    <row r="2497" ht="12.75" customHeight="1">
      <c r="A2497" s="4" t="s">
        <v>3547</v>
      </c>
      <c r="B2497" s="5" t="s">
        <v>3547</v>
      </c>
      <c r="C2497" s="1" t="str">
        <f t="shared" si="1"/>
        <v/>
      </c>
      <c r="E2497" s="5" t="s">
        <v>3547</v>
      </c>
      <c r="F2497" s="6" t="str">
        <f t="shared" si="2"/>
        <v>#N/A</v>
      </c>
      <c r="G2497" s="1" t="str">
        <f t="shared" si="3"/>
        <v/>
      </c>
      <c r="H2497" s="5" t="str">
        <f t="shared" si="4"/>
        <v>2, 3, SPEAROW</v>
      </c>
    </row>
    <row r="2498" ht="12.75" customHeight="1">
      <c r="A2498" s="4" t="s">
        <v>3548</v>
      </c>
      <c r="B2498" s="5" t="s">
        <v>3548</v>
      </c>
      <c r="C2498" s="1" t="str">
        <f t="shared" si="1"/>
        <v/>
      </c>
      <c r="E2498" s="5" t="s">
        <v>3548</v>
      </c>
      <c r="F2498" s="6" t="str">
        <f t="shared" si="2"/>
        <v>#N/A</v>
      </c>
      <c r="G2498" s="1" t="str">
        <f t="shared" si="3"/>
        <v/>
      </c>
      <c r="H2498" s="5" t="str">
        <f t="shared" si="4"/>
        <v>4, 5, SPEAROW</v>
      </c>
    </row>
    <row r="2499" ht="12.75" customHeight="1">
      <c r="A2499" s="4" t="s">
        <v>2807</v>
      </c>
      <c r="B2499" s="5">
        <v>0.05</v>
      </c>
      <c r="C2499" s="1" t="str">
        <f t="shared" si="1"/>
        <v/>
      </c>
      <c r="E2499" s="5">
        <v>0.05</v>
      </c>
      <c r="F2499" s="6" t="str">
        <f t="shared" si="2"/>
        <v>#N/A</v>
      </c>
      <c r="G2499" s="1" t="str">
        <f t="shared" si="3"/>
        <v/>
      </c>
      <c r="H2499" s="5">
        <f t="shared" si="4"/>
        <v>0.05</v>
      </c>
    </row>
    <row r="2500" ht="12.75" customHeight="1">
      <c r="A2500" s="4" t="s">
        <v>3549</v>
      </c>
      <c r="B2500" s="5" t="s">
        <v>3549</v>
      </c>
      <c r="C2500" s="1" t="str">
        <f t="shared" si="1"/>
        <v/>
      </c>
      <c r="E2500" s="5" t="s">
        <v>3549</v>
      </c>
      <c r="F2500" s="6" t="str">
        <f t="shared" si="2"/>
        <v>#N/A</v>
      </c>
      <c r="G2500" s="1" t="str">
        <f t="shared" si="3"/>
        <v/>
      </c>
      <c r="H2500" s="5" t="str">
        <f t="shared" si="4"/>
        <v>2, 3, GROWLITHE</v>
      </c>
    </row>
    <row r="2501" ht="12.75" customHeight="1">
      <c r="A2501" s="4" t="s">
        <v>3550</v>
      </c>
      <c r="B2501" s="5" t="s">
        <v>3550</v>
      </c>
      <c r="C2501" s="1" t="str">
        <f t="shared" si="1"/>
        <v/>
      </c>
      <c r="E2501" s="5" t="s">
        <v>3550</v>
      </c>
      <c r="F2501" s="6" t="str">
        <f t="shared" si="2"/>
        <v>#N/A</v>
      </c>
      <c r="G2501" s="1" t="str">
        <f t="shared" si="3"/>
        <v/>
      </c>
      <c r="H2501" s="5" t="str">
        <f t="shared" si="4"/>
        <v>4, 5, GROWLITHE</v>
      </c>
    </row>
    <row r="2502" ht="12.75" customHeight="1">
      <c r="A2502" s="4" t="s">
        <v>2810</v>
      </c>
      <c r="B2502" s="5">
        <v>0.04</v>
      </c>
      <c r="C2502" s="1" t="str">
        <f t="shared" si="1"/>
        <v/>
      </c>
      <c r="E2502" s="5">
        <v>0.04</v>
      </c>
      <c r="F2502" s="6" t="str">
        <f t="shared" si="2"/>
        <v>#N/A</v>
      </c>
      <c r="G2502" s="1" t="str">
        <f t="shared" si="3"/>
        <v/>
      </c>
      <c r="H2502" s="5">
        <f t="shared" si="4"/>
        <v>0.04</v>
      </c>
    </row>
    <row r="2503" ht="12.75" customHeight="1">
      <c r="A2503" s="4" t="s">
        <v>3551</v>
      </c>
      <c r="B2503" s="5" t="s">
        <v>3551</v>
      </c>
      <c r="C2503" s="1" t="str">
        <f t="shared" si="1"/>
        <v/>
      </c>
      <c r="E2503" s="5" t="s">
        <v>3551</v>
      </c>
      <c r="F2503" s="6" t="str">
        <f t="shared" si="2"/>
        <v>#N/A</v>
      </c>
      <c r="G2503" s="1" t="str">
        <f t="shared" si="3"/>
        <v/>
      </c>
      <c r="H2503" s="5" t="str">
        <f t="shared" si="4"/>
        <v>2, 5, ABRA</v>
      </c>
    </row>
    <row r="2504" ht="12.75" customHeight="1">
      <c r="A2504" s="4" t="s">
        <v>3552</v>
      </c>
      <c r="B2504" s="5" t="s">
        <v>3552</v>
      </c>
      <c r="C2504" s="1" t="str">
        <f t="shared" si="1"/>
        <v/>
      </c>
      <c r="E2504" s="5" t="s">
        <v>3552</v>
      </c>
      <c r="F2504" s="6" t="str">
        <f t="shared" si="2"/>
        <v>#N/A</v>
      </c>
      <c r="G2504" s="1" t="str">
        <f t="shared" si="3"/>
        <v/>
      </c>
      <c r="H2504" s="5" t="str">
        <f t="shared" si="4"/>
        <v>2, 5, KANGAKID</v>
      </c>
    </row>
    <row r="2505" ht="12.75" customHeight="1">
      <c r="A2505" s="4" t="s">
        <v>2813</v>
      </c>
      <c r="B2505" s="5">
        <v>0.01</v>
      </c>
      <c r="C2505" s="1" t="str">
        <f t="shared" si="1"/>
        <v/>
      </c>
      <c r="E2505" s="5">
        <v>0.01</v>
      </c>
      <c r="F2505" s="6" t="str">
        <f t="shared" si="2"/>
        <v>#N/A</v>
      </c>
      <c r="G2505" s="1" t="str">
        <f t="shared" si="3"/>
        <v/>
      </c>
      <c r="H2505" s="5">
        <f t="shared" si="4"/>
        <v>0.01</v>
      </c>
    </row>
    <row r="2506" ht="12.75" customHeight="1">
      <c r="A2506" s="4" t="s">
        <v>3553</v>
      </c>
      <c r="B2506" s="5" t="s">
        <v>3553</v>
      </c>
      <c r="C2506" s="1" t="str">
        <f t="shared" si="1"/>
        <v/>
      </c>
      <c r="E2506" s="5" t="s">
        <v>3553</v>
      </c>
      <c r="F2506" s="6" t="str">
        <f t="shared" si="2"/>
        <v>#N/A</v>
      </c>
      <c r="G2506" s="1" t="str">
        <f t="shared" si="3"/>
        <v/>
      </c>
      <c r="H2506" s="5" t="str">
        <f t="shared" si="4"/>
        <v>2, 5, EEVEE</v>
      </c>
    </row>
    <row r="2507" ht="12.75" customHeight="1">
      <c r="A2507" s="4" t="s">
        <v>3554</v>
      </c>
      <c r="B2507" s="5" t="s">
        <v>3554</v>
      </c>
      <c r="C2507" s="1" t="str">
        <f t="shared" si="1"/>
        <v/>
      </c>
      <c r="E2507" s="5" t="s">
        <v>3554</v>
      </c>
      <c r="F2507" s="6" t="str">
        <f t="shared" si="2"/>
        <v>#N/A</v>
      </c>
      <c r="G2507" s="1" t="str">
        <f t="shared" si="3"/>
        <v/>
      </c>
      <c r="H2507" s="5" t="str">
        <f t="shared" si="4"/>
        <v>2, 5, SCYTHER</v>
      </c>
    </row>
    <row r="2508" ht="12.75" customHeight="1">
      <c r="A2508" s="4" t="s">
        <v>3555</v>
      </c>
      <c r="B2508" s="5" t="s">
        <v>3555</v>
      </c>
      <c r="C2508" s="1" t="str">
        <f t="shared" si="1"/>
        <v/>
      </c>
      <c r="E2508" s="5" t="s">
        <v>3555</v>
      </c>
      <c r="F2508" s="6" t="str">
        <f t="shared" si="2"/>
        <v>#N/A</v>
      </c>
      <c r="G2508" s="1" t="str">
        <f t="shared" si="3"/>
        <v/>
      </c>
      <c r="H2508" s="5" t="str">
        <f t="shared" si="4"/>
        <v>2, 40, 44, PSYDUCK</v>
      </c>
    </row>
    <row r="2509" ht="12.75" customHeight="1">
      <c r="A2509" s="4" t="s">
        <v>3556</v>
      </c>
      <c r="B2509" s="5" t="s">
        <v>3556</v>
      </c>
      <c r="C2509" s="1" t="str">
        <f t="shared" si="1"/>
        <v/>
      </c>
      <c r="E2509" s="5" t="s">
        <v>3556</v>
      </c>
      <c r="F2509" s="6" t="str">
        <f t="shared" si="2"/>
        <v>#N/A</v>
      </c>
      <c r="G2509" s="1" t="str">
        <f t="shared" si="3"/>
        <v/>
      </c>
      <c r="H2509" s="5" t="str">
        <f t="shared" si="4"/>
        <v>42, 46, SLOWPOKE</v>
      </c>
    </row>
    <row r="2510" ht="12.75" customHeight="1">
      <c r="A2510" s="4" t="s">
        <v>3557</v>
      </c>
      <c r="B2510" s="5" t="s">
        <v>3557</v>
      </c>
      <c r="C2510" s="1" t="str">
        <f t="shared" si="1"/>
        <v/>
      </c>
      <c r="E2510" s="5" t="s">
        <v>3557</v>
      </c>
      <c r="F2510" s="6" t="str">
        <f t="shared" si="2"/>
        <v>#N/A</v>
      </c>
      <c r="G2510" s="1" t="str">
        <f t="shared" si="3"/>
        <v/>
      </c>
      <c r="H2510" s="5" t="str">
        <f t="shared" si="4"/>
        <v>44, 47, GOLDUCK</v>
      </c>
    </row>
    <row r="2511" ht="12.75" customHeight="1">
      <c r="A2511" s="4" t="s">
        <v>3558</v>
      </c>
      <c r="B2511" s="5" t="s">
        <v>3558</v>
      </c>
      <c r="C2511" s="1" t="str">
        <f t="shared" si="1"/>
        <v/>
      </c>
      <c r="E2511" s="5" t="s">
        <v>3558</v>
      </c>
      <c r="F2511" s="6" t="str">
        <f t="shared" si="2"/>
        <v>#N/A</v>
      </c>
      <c r="G2511" s="1" t="str">
        <f t="shared" si="3"/>
        <v/>
      </c>
      <c r="H2511" s="5" t="str">
        <f t="shared" si="4"/>
        <v>44, 47, SLOWBRO</v>
      </c>
    </row>
    <row r="2512" ht="12.75" customHeight="1">
      <c r="A2512" s="4" t="s">
        <v>3559</v>
      </c>
      <c r="B2512" s="5" t="s">
        <v>3559</v>
      </c>
      <c r="C2512" s="1" t="str">
        <f t="shared" si="1"/>
        <v/>
      </c>
      <c r="E2512" s="5" t="s">
        <v>3559</v>
      </c>
      <c r="F2512" s="6" t="str">
        <f t="shared" si="2"/>
        <v>#N/A</v>
      </c>
      <c r="G2512" s="1" t="str">
        <f t="shared" si="3"/>
        <v/>
      </c>
      <c r="H2512" s="5" t="str">
        <f t="shared" si="4"/>
        <v>45, 50, GILDUCK</v>
      </c>
    </row>
    <row r="2513" ht="12.75" customHeight="1">
      <c r="A2513" s="4" t="s">
        <v>2926</v>
      </c>
      <c r="B2513" s="5" t="s">
        <v>2926</v>
      </c>
      <c r="C2513" s="1" t="str">
        <f t="shared" si="1"/>
        <v/>
      </c>
      <c r="E2513" s="5" t="s">
        <v>2926</v>
      </c>
      <c r="F2513" s="6" t="str">
        <f t="shared" si="2"/>
        <v>#N/A</v>
      </c>
      <c r="G2513" s="1" t="str">
        <f t="shared" si="3"/>
        <v/>
      </c>
      <c r="H2513" s="5" t="str">
        <f t="shared" si="4"/>
        <v>20, old rod:</v>
      </c>
    </row>
    <row r="2514" ht="12.75" customHeight="1">
      <c r="A2514" s="4" t="s">
        <v>500</v>
      </c>
      <c r="B2514" s="5" t="s">
        <v>500</v>
      </c>
      <c r="C2514" s="1" t="str">
        <f t="shared" si="1"/>
        <v/>
      </c>
      <c r="E2514" s="5" t="s">
        <v>500</v>
      </c>
      <c r="F2514" s="6" t="str">
        <f t="shared" si="2"/>
        <v>#N/A</v>
      </c>
      <c r="G2514" s="1" t="str">
        <f t="shared" si="3"/>
        <v/>
      </c>
      <c r="H2514" s="5" t="str">
        <f t="shared" si="4"/>
        <v>19, 26, MAGIKARP</v>
      </c>
    </row>
    <row r="2515" ht="12.75" customHeight="1">
      <c r="A2515" s="4" t="s">
        <v>2927</v>
      </c>
      <c r="B2515" s="5" t="s">
        <v>2927</v>
      </c>
      <c r="C2515" s="1" t="str">
        <f t="shared" si="1"/>
        <v/>
      </c>
      <c r="E2515" s="5" t="s">
        <v>2927</v>
      </c>
      <c r="F2515" s="6" t="str">
        <f t="shared" si="2"/>
        <v>#N/A</v>
      </c>
      <c r="G2515" s="1" t="str">
        <f t="shared" si="3"/>
        <v/>
      </c>
      <c r="H2515" s="5" t="str">
        <f t="shared" si="4"/>
        <v>19, 26, POLIWAG</v>
      </c>
    </row>
    <row r="2516" ht="12.75" customHeight="1">
      <c r="A2516" s="4" t="s">
        <v>2847</v>
      </c>
      <c r="B2516" s="5" t="s">
        <v>2847</v>
      </c>
      <c r="C2516" s="1" t="str">
        <f t="shared" si="1"/>
        <v/>
      </c>
      <c r="E2516" s="5" t="s">
        <v>2847</v>
      </c>
      <c r="F2516" s="6" t="str">
        <f t="shared" si="2"/>
        <v>#N/A</v>
      </c>
      <c r="G2516" s="1" t="str">
        <f t="shared" si="3"/>
        <v/>
      </c>
      <c r="H2516" s="5" t="str">
        <f t="shared" si="4"/>
        <v>good rod:</v>
      </c>
    </row>
    <row r="2517" ht="12.75" customHeight="1">
      <c r="A2517" s="4" t="s">
        <v>3560</v>
      </c>
      <c r="B2517" s="5" t="s">
        <v>3560</v>
      </c>
      <c r="C2517" s="1" t="str">
        <f t="shared" si="1"/>
        <v/>
      </c>
      <c r="E2517" s="5" t="s">
        <v>3560</v>
      </c>
      <c r="F2517" s="6" t="str">
        <f t="shared" si="2"/>
        <v>#N/A</v>
      </c>
      <c r="G2517" s="1" t="str">
        <f t="shared" si="3"/>
        <v/>
      </c>
      <c r="H2517" s="5" t="str">
        <f t="shared" si="4"/>
        <v>29, 33, MAGIKARP</v>
      </c>
    </row>
    <row r="2518" ht="12.75" customHeight="1">
      <c r="A2518" s="4" t="s">
        <v>3561</v>
      </c>
      <c r="B2518" s="5" t="s">
        <v>3561</v>
      </c>
      <c r="C2518" s="1" t="str">
        <f t="shared" si="1"/>
        <v/>
      </c>
      <c r="E2518" s="5" t="s">
        <v>3561</v>
      </c>
      <c r="F2518" s="6" t="str">
        <f t="shared" si="2"/>
        <v>#N/A</v>
      </c>
      <c r="G2518" s="1" t="str">
        <f t="shared" si="3"/>
        <v/>
      </c>
      <c r="H2518" s="5" t="str">
        <f t="shared" si="4"/>
        <v>30, 35, GYARADOS</v>
      </c>
    </row>
    <row r="2519" ht="12.75" customHeight="1">
      <c r="A2519" s="4" t="s">
        <v>3562</v>
      </c>
      <c r="B2519" s="5" t="s">
        <v>3562</v>
      </c>
      <c r="C2519" s="1" t="str">
        <f t="shared" si="1"/>
        <v/>
      </c>
      <c r="E2519" s="5" t="s">
        <v>3562</v>
      </c>
      <c r="F2519" s="6" t="str">
        <f t="shared" si="2"/>
        <v>#N/A</v>
      </c>
      <c r="G2519" s="1" t="str">
        <f t="shared" si="3"/>
        <v/>
      </c>
      <c r="H2519" s="5" t="str">
        <f t="shared" si="4"/>
        <v>30, 35, POLIWHIRL</v>
      </c>
    </row>
    <row r="2520" ht="12.75" customHeight="1">
      <c r="A2520" s="4" t="s">
        <v>2851</v>
      </c>
      <c r="B2520" s="5" t="s">
        <v>2851</v>
      </c>
      <c r="C2520" s="1" t="str">
        <f t="shared" si="1"/>
        <v/>
      </c>
      <c r="E2520" s="5" t="s">
        <v>2851</v>
      </c>
      <c r="F2520" s="6" t="str">
        <f t="shared" si="2"/>
        <v>#N/A</v>
      </c>
      <c r="G2520" s="1" t="str">
        <f t="shared" si="3"/>
        <v/>
      </c>
      <c r="H2520" s="5" t="str">
        <f t="shared" si="4"/>
        <v>super rod:</v>
      </c>
    </row>
    <row r="2521" ht="12.75" customHeight="1">
      <c r="A2521" s="4" t="s">
        <v>3563</v>
      </c>
      <c r="B2521" s="5" t="s">
        <v>3563</v>
      </c>
      <c r="C2521" s="1" t="str">
        <f t="shared" si="1"/>
        <v/>
      </c>
      <c r="E2521" s="5" t="s">
        <v>3563</v>
      </c>
      <c r="F2521" s="6" t="str">
        <f t="shared" si="2"/>
        <v>#N/A</v>
      </c>
      <c r="G2521" s="1" t="str">
        <f t="shared" si="3"/>
        <v/>
      </c>
      <c r="H2521" s="5" t="str">
        <f t="shared" si="4"/>
        <v>36, 40, MAGIKARP</v>
      </c>
    </row>
    <row r="2522" ht="12.75" customHeight="1">
      <c r="A2522" s="4" t="s">
        <v>3357</v>
      </c>
      <c r="B2522" s="5" t="s">
        <v>3357</v>
      </c>
      <c r="C2522" s="1" t="str">
        <f t="shared" si="1"/>
        <v/>
      </c>
      <c r="E2522" s="5" t="s">
        <v>3357</v>
      </c>
      <c r="F2522" s="6" t="str">
        <f t="shared" si="2"/>
        <v>#N/A</v>
      </c>
      <c r="G2522" s="1" t="str">
        <f t="shared" si="3"/>
        <v/>
      </c>
      <c r="H2522" s="5" t="str">
        <f t="shared" si="4"/>
        <v>36, 40, GYARADOS</v>
      </c>
    </row>
    <row r="2523" ht="12.75" customHeight="1">
      <c r="A2523" s="4" t="s">
        <v>3564</v>
      </c>
      <c r="B2523" s="5" t="s">
        <v>3564</v>
      </c>
      <c r="C2523" s="1" t="str">
        <f t="shared" si="1"/>
        <v/>
      </c>
      <c r="E2523" s="5" t="s">
        <v>3564</v>
      </c>
      <c r="F2523" s="6" t="str">
        <f t="shared" si="2"/>
        <v>#N/A</v>
      </c>
      <c r="G2523" s="1" t="str">
        <f t="shared" si="3"/>
        <v/>
      </c>
      <c r="H2523" s="5" t="str">
        <f t="shared" si="4"/>
        <v>38, 42, POLIWHIRL</v>
      </c>
    </row>
    <row r="2524" ht="12.75" customHeight="1">
      <c r="A2524" s="4" t="s">
        <v>3379</v>
      </c>
      <c r="B2524" s="5" t="s">
        <v>3379</v>
      </c>
      <c r="C2524" s="1" t="str">
        <f t="shared" si="1"/>
        <v/>
      </c>
      <c r="E2524" s="5" t="s">
        <v>3379</v>
      </c>
      <c r="F2524" s="6" t="str">
        <f t="shared" si="2"/>
        <v>#N/A</v>
      </c>
      <c r="G2524" s="1" t="str">
        <f t="shared" si="3"/>
        <v/>
      </c>
      <c r="H2524" s="5" t="str">
        <f t="shared" si="4"/>
        <v>38, 42, POLIWRATH</v>
      </c>
    </row>
    <row r="2525" ht="12.75" customHeight="1">
      <c r="A2525" s="4" t="s">
        <v>3380</v>
      </c>
      <c r="B2525" s="5" t="s">
        <v>3380</v>
      </c>
      <c r="C2525" s="1" t="str">
        <f t="shared" si="1"/>
        <v/>
      </c>
      <c r="E2525" s="5" t="s">
        <v>3380</v>
      </c>
      <c r="F2525" s="6" t="str">
        <f t="shared" si="2"/>
        <v>#N/A</v>
      </c>
      <c r="G2525" s="1" t="str">
        <f t="shared" si="3"/>
        <v/>
      </c>
      <c r="H2525" s="5" t="str">
        <f t="shared" si="4"/>
        <v>40, 44, POLITOES</v>
      </c>
    </row>
    <row r="2526" ht="12.75" customHeight="1">
      <c r="A2526" s="4" t="s">
        <v>2539</v>
      </c>
      <c r="B2526" s="5" t="s">
        <v>2539</v>
      </c>
      <c r="C2526" s="1">
        <f t="shared" si="1"/>
        <v>1</v>
      </c>
      <c r="E2526" s="5" t="s">
        <v>2539</v>
      </c>
      <c r="F2526" s="6" t="str">
        <f t="shared" si="2"/>
        <v>#N/A</v>
      </c>
      <c r="G2526" s="1" t="str">
        <f t="shared" si="3"/>
        <v/>
      </c>
      <c r="H2526" s="5" t="str">
        <f t="shared" si="4"/>
        <v>NEW ROUTE</v>
      </c>
    </row>
    <row r="2527" ht="12.75" customHeight="1">
      <c r="A2527" s="4" t="s">
        <v>2149</v>
      </c>
      <c r="B2527" s="5" t="s">
        <v>2149</v>
      </c>
      <c r="C2527" s="1" t="str">
        <f t="shared" si="1"/>
        <v/>
      </c>
      <c r="E2527" s="5" t="s">
        <v>2149</v>
      </c>
      <c r="F2527" s="6" t="str">
        <f t="shared" si="2"/>
        <v>Route 23</v>
      </c>
      <c r="G2527" s="1" t="str">
        <f t="shared" si="3"/>
        <v>Route 23</v>
      </c>
      <c r="H2527" s="5" t="str">
        <f t="shared" si="4"/>
        <v>Route 23</v>
      </c>
    </row>
    <row r="2528" ht="12.75" customHeight="1">
      <c r="A2528" s="4" t="s">
        <v>2799</v>
      </c>
      <c r="B2528" s="5">
        <v>0.2</v>
      </c>
      <c r="C2528" s="1" t="str">
        <f t="shared" si="1"/>
        <v/>
      </c>
      <c r="E2528" s="5">
        <v>0.2</v>
      </c>
      <c r="F2528" s="6" t="str">
        <f t="shared" si="2"/>
        <v>#N/A</v>
      </c>
      <c r="G2528" s="1" t="str">
        <f t="shared" si="3"/>
        <v/>
      </c>
      <c r="H2528" s="5">
        <f t="shared" si="4"/>
        <v>0.2</v>
      </c>
    </row>
    <row r="2529" ht="12.75" customHeight="1">
      <c r="A2529" s="4" t="s">
        <v>1200</v>
      </c>
      <c r="B2529" s="5" t="s">
        <v>1200</v>
      </c>
      <c r="C2529" s="1" t="str">
        <f t="shared" si="1"/>
        <v/>
      </c>
      <c r="E2529" s="5" t="s">
        <v>1200</v>
      </c>
      <c r="F2529" s="6" t="str">
        <f t="shared" si="2"/>
        <v>#N/A</v>
      </c>
      <c r="G2529" s="1" t="str">
        <f t="shared" si="3"/>
        <v/>
      </c>
      <c r="H2529" s="5" t="str">
        <f t="shared" si="4"/>
        <v>51, 56, PRIMEAPE</v>
      </c>
    </row>
    <row r="2530" ht="12.75" customHeight="1">
      <c r="A2530" s="4" t="s">
        <v>3566</v>
      </c>
      <c r="B2530" s="5" t="s">
        <v>3566</v>
      </c>
      <c r="C2530" s="1" t="str">
        <f t="shared" si="1"/>
        <v/>
      </c>
      <c r="E2530" s="5" t="s">
        <v>3566</v>
      </c>
      <c r="F2530" s="6" t="str">
        <f t="shared" si="2"/>
        <v>#N/A</v>
      </c>
      <c r="G2530" s="1" t="str">
        <f t="shared" si="3"/>
        <v/>
      </c>
      <c r="H2530" s="5" t="str">
        <f t="shared" si="4"/>
        <v>51, 56, SNEEROW</v>
      </c>
    </row>
    <row r="2531" ht="12.75" customHeight="1">
      <c r="A2531" s="4" t="s">
        <v>2802</v>
      </c>
      <c r="B2531" s="5">
        <v>0.1</v>
      </c>
      <c r="C2531" s="1" t="str">
        <f t="shared" si="1"/>
        <v/>
      </c>
      <c r="E2531" s="5">
        <v>0.1</v>
      </c>
      <c r="F2531" s="6" t="str">
        <f t="shared" si="2"/>
        <v>#N/A</v>
      </c>
      <c r="G2531" s="1" t="str">
        <f t="shared" si="3"/>
        <v/>
      </c>
      <c r="H2531" s="5">
        <f t="shared" si="4"/>
        <v>0.1</v>
      </c>
    </row>
    <row r="2532" ht="12.75" customHeight="1">
      <c r="A2532" s="4" t="s">
        <v>3567</v>
      </c>
      <c r="B2532" s="5" t="s">
        <v>3567</v>
      </c>
      <c r="C2532" s="1" t="str">
        <f t="shared" si="1"/>
        <v/>
      </c>
      <c r="E2532" s="5" t="s">
        <v>3567</v>
      </c>
      <c r="F2532" s="6" t="str">
        <f t="shared" si="2"/>
        <v>#N/A</v>
      </c>
      <c r="G2532" s="1" t="str">
        <f t="shared" si="3"/>
        <v/>
      </c>
      <c r="H2532" s="5" t="str">
        <f t="shared" si="4"/>
        <v>53, 57, GORILLASH</v>
      </c>
    </row>
    <row r="2533" ht="12.75" customHeight="1">
      <c r="A2533" s="4" t="s">
        <v>3568</v>
      </c>
      <c r="B2533" s="5" t="s">
        <v>3568</v>
      </c>
      <c r="C2533" s="1" t="str">
        <f t="shared" si="1"/>
        <v/>
      </c>
      <c r="E2533" s="5" t="s">
        <v>3568</v>
      </c>
      <c r="F2533" s="6" t="str">
        <f t="shared" si="2"/>
        <v>#N/A</v>
      </c>
      <c r="G2533" s="1" t="str">
        <f t="shared" si="3"/>
        <v/>
      </c>
      <c r="H2533" s="5" t="str">
        <f t="shared" si="4"/>
        <v>53, 57, ORNITHOW</v>
      </c>
    </row>
    <row r="2534" ht="12.75" customHeight="1">
      <c r="A2534" s="4" t="s">
        <v>2873</v>
      </c>
      <c r="B2534" s="5" t="s">
        <v>2873</v>
      </c>
      <c r="C2534" s="1" t="str">
        <f t="shared" si="1"/>
        <v/>
      </c>
      <c r="E2534" s="5" t="s">
        <v>2873</v>
      </c>
      <c r="F2534" s="6" t="str">
        <f t="shared" si="2"/>
        <v>#N/A</v>
      </c>
      <c r="G2534" s="1" t="str">
        <f t="shared" si="3"/>
        <v/>
      </c>
      <c r="H2534" s="5" t="str">
        <f t="shared" si="4"/>
        <v>53, 57, ADNOKANA</v>
      </c>
    </row>
    <row r="2535" ht="12.75" customHeight="1">
      <c r="A2535" s="4" t="s">
        <v>3569</v>
      </c>
      <c r="B2535" s="5" t="s">
        <v>3569</v>
      </c>
      <c r="C2535" s="1" t="str">
        <f t="shared" si="1"/>
        <v/>
      </c>
      <c r="E2535" s="5" t="s">
        <v>3569</v>
      </c>
      <c r="F2535" s="6" t="str">
        <f t="shared" si="2"/>
        <v>#N/A</v>
      </c>
      <c r="G2535" s="1" t="str">
        <f t="shared" si="3"/>
        <v/>
      </c>
      <c r="H2535" s="5" t="str">
        <f t="shared" si="4"/>
        <v>53, 57, SANDSLAM</v>
      </c>
    </row>
    <row r="2536" ht="12.75" customHeight="1">
      <c r="A2536" s="4" t="s">
        <v>2807</v>
      </c>
      <c r="B2536" s="5">
        <v>0.05</v>
      </c>
      <c r="C2536" s="1" t="str">
        <f t="shared" si="1"/>
        <v/>
      </c>
      <c r="E2536" s="5">
        <v>0.05</v>
      </c>
      <c r="F2536" s="6" t="str">
        <f t="shared" si="2"/>
        <v>#N/A</v>
      </c>
      <c r="G2536" s="1" t="str">
        <f t="shared" si="3"/>
        <v/>
      </c>
      <c r="H2536" s="5">
        <f t="shared" si="4"/>
        <v>0.05</v>
      </c>
    </row>
    <row r="2537" ht="12.75" customHeight="1">
      <c r="A2537" s="4" t="s">
        <v>3570</v>
      </c>
      <c r="B2537" s="5" t="s">
        <v>3570</v>
      </c>
      <c r="C2537" s="1" t="str">
        <f t="shared" si="1"/>
        <v/>
      </c>
      <c r="E2537" s="5" t="s">
        <v>3570</v>
      </c>
      <c r="F2537" s="6" t="str">
        <f t="shared" si="2"/>
        <v>#N/A</v>
      </c>
      <c r="G2537" s="1" t="str">
        <f t="shared" si="3"/>
        <v/>
      </c>
      <c r="H2537" s="5" t="str">
        <f t="shared" si="4"/>
        <v>54, 56, "MR. JEST"</v>
      </c>
    </row>
    <row r="2538" ht="12.75" customHeight="1">
      <c r="A2538" s="4" t="s">
        <v>3571</v>
      </c>
      <c r="B2538" s="5" t="s">
        <v>3571</v>
      </c>
      <c r="C2538" s="1" t="str">
        <f t="shared" si="1"/>
        <v/>
      </c>
      <c r="E2538" s="5" t="s">
        <v>3571</v>
      </c>
      <c r="F2538" s="6" t="str">
        <f t="shared" si="2"/>
        <v>#N/A</v>
      </c>
      <c r="G2538" s="1" t="str">
        <f t="shared" si="3"/>
        <v/>
      </c>
      <c r="H2538" s="5" t="str">
        <f t="shared" si="4"/>
        <v>54, 56, ELECTIVINE</v>
      </c>
    </row>
    <row r="2539" ht="12.75" customHeight="1">
      <c r="A2539" s="4" t="s">
        <v>2810</v>
      </c>
      <c r="B2539" s="5">
        <v>0.04</v>
      </c>
      <c r="C2539" s="1" t="str">
        <f t="shared" si="1"/>
        <v/>
      </c>
      <c r="E2539" s="5">
        <v>0.04</v>
      </c>
      <c r="F2539" s="6" t="str">
        <f t="shared" si="2"/>
        <v>#N/A</v>
      </c>
      <c r="G2539" s="1" t="str">
        <f t="shared" si="3"/>
        <v/>
      </c>
      <c r="H2539" s="5">
        <f t="shared" si="4"/>
        <v>0.04</v>
      </c>
    </row>
    <row r="2540" ht="12.75" customHeight="1">
      <c r="A2540" s="4" t="s">
        <v>3572</v>
      </c>
      <c r="B2540" s="5" t="s">
        <v>3572</v>
      </c>
      <c r="C2540" s="1" t="str">
        <f t="shared" si="1"/>
        <v/>
      </c>
      <c r="E2540" s="5" t="s">
        <v>3572</v>
      </c>
      <c r="F2540" s="6" t="str">
        <f t="shared" si="2"/>
        <v>#N/A</v>
      </c>
      <c r="G2540" s="1" t="str">
        <f t="shared" si="3"/>
        <v/>
      </c>
      <c r="H2540" s="5" t="str">
        <f t="shared" si="4"/>
        <v>54, 55, FELANKH</v>
      </c>
    </row>
    <row r="2541" ht="12.75" customHeight="1">
      <c r="A2541" s="4" t="s">
        <v>3573</v>
      </c>
      <c r="B2541" s="5" t="s">
        <v>3573</v>
      </c>
      <c r="C2541" s="1" t="str">
        <f t="shared" si="1"/>
        <v/>
      </c>
      <c r="E2541" s="5" t="s">
        <v>3573</v>
      </c>
      <c r="F2541" s="6" t="str">
        <f t="shared" si="2"/>
        <v>#N/A</v>
      </c>
      <c r="G2541" s="1" t="str">
        <f t="shared" si="3"/>
        <v/>
      </c>
      <c r="H2541" s="5" t="str">
        <f t="shared" si="4"/>
        <v>56, 57, FELANKH</v>
      </c>
    </row>
    <row r="2542" ht="12.75" customHeight="1">
      <c r="A2542" s="4" t="s">
        <v>2813</v>
      </c>
      <c r="B2542" s="5">
        <v>0.01</v>
      </c>
      <c r="C2542" s="1" t="str">
        <f t="shared" si="1"/>
        <v/>
      </c>
      <c r="E2542" s="5">
        <v>0.01</v>
      </c>
      <c r="F2542" s="6" t="str">
        <f t="shared" si="2"/>
        <v>#N/A</v>
      </c>
      <c r="G2542" s="1" t="str">
        <f t="shared" si="3"/>
        <v/>
      </c>
      <c r="H2542" s="5">
        <f t="shared" si="4"/>
        <v>0.01</v>
      </c>
    </row>
    <row r="2543" ht="12.75" customHeight="1">
      <c r="A2543" s="4" t="s">
        <v>3574</v>
      </c>
      <c r="B2543" s="5" t="s">
        <v>3574</v>
      </c>
      <c r="C2543" s="1" t="str">
        <f t="shared" si="1"/>
        <v/>
      </c>
      <c r="E2543" s="5" t="s">
        <v>3574</v>
      </c>
      <c r="F2543" s="6" t="str">
        <f t="shared" si="2"/>
        <v>#N/A</v>
      </c>
      <c r="G2543" s="1" t="str">
        <f t="shared" si="3"/>
        <v/>
      </c>
      <c r="H2543" s="5" t="str">
        <f t="shared" si="4"/>
        <v>40, 50, AERODACTYL</v>
      </c>
    </row>
    <row r="2544" ht="12.75" customHeight="1">
      <c r="A2544" s="4" t="s">
        <v>3575</v>
      </c>
      <c r="B2544" s="5" t="s">
        <v>3575</v>
      </c>
      <c r="C2544" s="1" t="str">
        <f t="shared" si="1"/>
        <v/>
      </c>
      <c r="E2544" s="5" t="s">
        <v>3575</v>
      </c>
      <c r="F2544" s="6" t="str">
        <f t="shared" si="2"/>
        <v>#N/A</v>
      </c>
      <c r="G2544" s="1" t="str">
        <f t="shared" si="3"/>
        <v/>
      </c>
      <c r="H2544" s="5" t="str">
        <f t="shared" si="4"/>
        <v>57, 59, LUKKEY</v>
      </c>
    </row>
    <row r="2545" ht="12.75" customHeight="1">
      <c r="A2545" s="4" t="s">
        <v>3576</v>
      </c>
      <c r="B2545" s="5" t="s">
        <v>3576</v>
      </c>
      <c r="C2545" s="1" t="str">
        <f t="shared" si="1"/>
        <v/>
      </c>
      <c r="E2545" s="5" t="s">
        <v>3576</v>
      </c>
      <c r="F2545" s="6" t="str">
        <f t="shared" si="2"/>
        <v>#N/A</v>
      </c>
      <c r="G2545" s="1" t="str">
        <f t="shared" si="3"/>
        <v/>
      </c>
      <c r="H2545" s="5" t="str">
        <f t="shared" si="4"/>
        <v>2, 50, 55, GILDUCK</v>
      </c>
    </row>
    <row r="2546" ht="12.75" customHeight="1">
      <c r="A2546" s="4" t="s">
        <v>3577</v>
      </c>
      <c r="B2546" s="5" t="s">
        <v>3577</v>
      </c>
      <c r="C2546" s="1" t="str">
        <f t="shared" si="1"/>
        <v/>
      </c>
      <c r="E2546" s="5" t="s">
        <v>3577</v>
      </c>
      <c r="F2546" s="6" t="str">
        <f t="shared" si="2"/>
        <v>#N/A</v>
      </c>
      <c r="G2546" s="1" t="str">
        <f t="shared" si="3"/>
        <v/>
      </c>
      <c r="H2546" s="5" t="str">
        <f t="shared" si="4"/>
        <v>50, 55, POLITOES</v>
      </c>
    </row>
    <row r="2547" ht="12.75" customHeight="1">
      <c r="A2547" s="4" t="s">
        <v>3578</v>
      </c>
      <c r="B2547" s="5" t="s">
        <v>3578</v>
      </c>
      <c r="C2547" s="1" t="str">
        <f t="shared" si="1"/>
        <v/>
      </c>
      <c r="E2547" s="5" t="s">
        <v>3578</v>
      </c>
      <c r="F2547" s="6" t="str">
        <f t="shared" si="2"/>
        <v>#N/A</v>
      </c>
      <c r="G2547" s="1" t="str">
        <f t="shared" si="3"/>
        <v/>
      </c>
      <c r="H2547" s="5" t="str">
        <f t="shared" si="4"/>
        <v>52, 57, SLOWMATE</v>
      </c>
    </row>
    <row r="2548" ht="12.75" customHeight="1">
      <c r="A2548" s="4" t="s">
        <v>2971</v>
      </c>
      <c r="B2548" s="5" t="s">
        <v>2971</v>
      </c>
      <c r="C2548" s="1" t="str">
        <f t="shared" si="1"/>
        <v/>
      </c>
      <c r="E2548" s="5" t="s">
        <v>2971</v>
      </c>
      <c r="F2548" s="6" t="str">
        <f t="shared" si="2"/>
        <v>#N/A</v>
      </c>
      <c r="G2548" s="1" t="str">
        <f t="shared" si="3"/>
        <v/>
      </c>
      <c r="H2548" s="5" t="str">
        <f t="shared" si="4"/>
        <v>52, 57, POLIWISE</v>
      </c>
    </row>
    <row r="2549" ht="12.75" customHeight="1">
      <c r="A2549" s="4" t="s">
        <v>3579</v>
      </c>
      <c r="B2549" s="5" t="s">
        <v>3579</v>
      </c>
      <c r="C2549" s="1" t="str">
        <f t="shared" si="1"/>
        <v/>
      </c>
      <c r="E2549" s="5" t="s">
        <v>3579</v>
      </c>
      <c r="F2549" s="6" t="str">
        <f t="shared" si="2"/>
        <v>#N/A</v>
      </c>
      <c r="G2549" s="1" t="str">
        <f t="shared" si="3"/>
        <v/>
      </c>
      <c r="H2549" s="5" t="str">
        <f t="shared" si="4"/>
        <v>53, 58, PLATINUPUS</v>
      </c>
    </row>
    <row r="2550" ht="12.75" customHeight="1">
      <c r="A2550" s="4" t="s">
        <v>2926</v>
      </c>
      <c r="B2550" s="5" t="s">
        <v>2926</v>
      </c>
      <c r="C2550" s="1" t="str">
        <f t="shared" si="1"/>
        <v/>
      </c>
      <c r="E2550" s="5" t="s">
        <v>2926</v>
      </c>
      <c r="F2550" s="6" t="str">
        <f t="shared" si="2"/>
        <v>#N/A</v>
      </c>
      <c r="G2550" s="1" t="str">
        <f t="shared" si="3"/>
        <v/>
      </c>
      <c r="H2550" s="5" t="str">
        <f t="shared" si="4"/>
        <v>20, old rod:</v>
      </c>
    </row>
    <row r="2551" ht="12.75" customHeight="1">
      <c r="A2551" s="4" t="s">
        <v>1214</v>
      </c>
      <c r="B2551" s="5" t="s">
        <v>1214</v>
      </c>
      <c r="C2551" s="1" t="str">
        <f t="shared" si="1"/>
        <v/>
      </c>
      <c r="E2551" s="5" t="s">
        <v>1214</v>
      </c>
      <c r="F2551" s="6" t="str">
        <f t="shared" si="2"/>
        <v>#N/A</v>
      </c>
      <c r="G2551" s="1" t="str">
        <f t="shared" si="3"/>
        <v/>
      </c>
      <c r="H2551" s="5" t="str">
        <f t="shared" si="4"/>
        <v>24, 36, GOLDEEN</v>
      </c>
    </row>
    <row r="2552" ht="12.75" customHeight="1">
      <c r="A2552" s="4" t="s">
        <v>3580</v>
      </c>
      <c r="B2552" s="5" t="s">
        <v>3580</v>
      </c>
      <c r="C2552" s="1" t="str">
        <f t="shared" si="1"/>
        <v/>
      </c>
      <c r="E2552" s="5" t="s">
        <v>3580</v>
      </c>
      <c r="F2552" s="6" t="str">
        <f t="shared" si="2"/>
        <v>#N/A</v>
      </c>
      <c r="G2552" s="1" t="str">
        <f t="shared" si="3"/>
        <v/>
      </c>
      <c r="H2552" s="5" t="str">
        <f t="shared" si="4"/>
        <v>23, 36, KRABBY</v>
      </c>
    </row>
    <row r="2553" ht="12.75" customHeight="1">
      <c r="A2553" s="4" t="s">
        <v>2847</v>
      </c>
      <c r="B2553" s="5" t="s">
        <v>2847</v>
      </c>
      <c r="C2553" s="1" t="str">
        <f t="shared" si="1"/>
        <v/>
      </c>
      <c r="E2553" s="5" t="s">
        <v>2847</v>
      </c>
      <c r="F2553" s="6" t="str">
        <f t="shared" si="2"/>
        <v>#N/A</v>
      </c>
      <c r="G2553" s="1" t="str">
        <f t="shared" si="3"/>
        <v/>
      </c>
      <c r="H2553" s="5" t="str">
        <f t="shared" si="4"/>
        <v>good rod:</v>
      </c>
    </row>
    <row r="2554" ht="12.75" customHeight="1">
      <c r="A2554" s="4" t="s">
        <v>3581</v>
      </c>
      <c r="B2554" s="5" t="s">
        <v>3581</v>
      </c>
      <c r="C2554" s="1" t="str">
        <f t="shared" si="1"/>
        <v/>
      </c>
      <c r="E2554" s="5" t="s">
        <v>3581</v>
      </c>
      <c r="F2554" s="6" t="str">
        <f t="shared" si="2"/>
        <v>#N/A</v>
      </c>
      <c r="G2554" s="1" t="str">
        <f t="shared" si="3"/>
        <v/>
      </c>
      <c r="H2554" s="5" t="str">
        <f t="shared" si="4"/>
        <v>30, 38, SEAKING</v>
      </c>
    </row>
    <row r="2555" ht="12.75" customHeight="1">
      <c r="A2555" s="4" t="s">
        <v>3582</v>
      </c>
      <c r="B2555" s="5" t="s">
        <v>3582</v>
      </c>
      <c r="C2555" s="1" t="str">
        <f t="shared" si="1"/>
        <v/>
      </c>
      <c r="E2555" s="5" t="s">
        <v>3582</v>
      </c>
      <c r="F2555" s="6" t="str">
        <f t="shared" si="2"/>
        <v>#N/A</v>
      </c>
      <c r="G2555" s="1" t="str">
        <f t="shared" si="3"/>
        <v/>
      </c>
      <c r="H2555" s="5" t="str">
        <f t="shared" si="4"/>
        <v>32, 40, KINGLER</v>
      </c>
    </row>
    <row r="2556" ht="12.75" customHeight="1">
      <c r="A2556" s="4" t="s">
        <v>3583</v>
      </c>
      <c r="B2556" s="5" t="s">
        <v>3583</v>
      </c>
      <c r="C2556" s="1" t="str">
        <f t="shared" si="1"/>
        <v/>
      </c>
      <c r="E2556" s="5" t="s">
        <v>3583</v>
      </c>
      <c r="F2556" s="6" t="str">
        <f t="shared" si="2"/>
        <v>#N/A</v>
      </c>
      <c r="G2556" s="1" t="str">
        <f t="shared" si="3"/>
        <v/>
      </c>
      <c r="H2556" s="5" t="str">
        <f t="shared" si="4"/>
        <v>32, 40, DRAGONAIR</v>
      </c>
    </row>
    <row r="2557" ht="12.75" customHeight="1">
      <c r="A2557" s="4" t="s">
        <v>2851</v>
      </c>
      <c r="B2557" s="5" t="s">
        <v>2851</v>
      </c>
      <c r="C2557" s="1" t="str">
        <f t="shared" si="1"/>
        <v/>
      </c>
      <c r="E2557" s="5" t="s">
        <v>2851</v>
      </c>
      <c r="F2557" s="6" t="str">
        <f t="shared" si="2"/>
        <v>#N/A</v>
      </c>
      <c r="G2557" s="1" t="str">
        <f t="shared" si="3"/>
        <v/>
      </c>
      <c r="H2557" s="5" t="str">
        <f t="shared" si="4"/>
        <v>super rod:</v>
      </c>
    </row>
    <row r="2558" ht="12.75" customHeight="1">
      <c r="A2558" s="4" t="s">
        <v>3584</v>
      </c>
      <c r="B2558" s="5" t="s">
        <v>3584</v>
      </c>
      <c r="C2558" s="1" t="str">
        <f t="shared" si="1"/>
        <v/>
      </c>
      <c r="E2558" s="5" t="s">
        <v>3584</v>
      </c>
      <c r="F2558" s="6" t="str">
        <f t="shared" si="2"/>
        <v>#N/A</v>
      </c>
      <c r="G2558" s="1" t="str">
        <f t="shared" si="3"/>
        <v/>
      </c>
      <c r="H2558" s="5" t="str">
        <f t="shared" si="4"/>
        <v>50, 55, SEAREX</v>
      </c>
    </row>
    <row r="2559" ht="12.75" customHeight="1">
      <c r="A2559" s="4" t="s">
        <v>2970</v>
      </c>
      <c r="B2559" s="5" t="s">
        <v>2970</v>
      </c>
      <c r="C2559" s="1" t="str">
        <f t="shared" si="1"/>
        <v/>
      </c>
      <c r="E2559" s="5" t="s">
        <v>2970</v>
      </c>
      <c r="F2559" s="6" t="str">
        <f t="shared" si="2"/>
        <v>#N/A</v>
      </c>
      <c r="G2559" s="1" t="str">
        <f t="shared" si="3"/>
        <v/>
      </c>
      <c r="H2559" s="5" t="str">
        <f t="shared" si="4"/>
        <v>50, 55, DRAGONITE</v>
      </c>
    </row>
    <row r="2560" ht="12.75" customHeight="1">
      <c r="A2560" s="4" t="s">
        <v>3585</v>
      </c>
      <c r="B2560" s="5" t="s">
        <v>3585</v>
      </c>
      <c r="C2560" s="1" t="str">
        <f t="shared" si="1"/>
        <v/>
      </c>
      <c r="E2560" s="5" t="s">
        <v>3585</v>
      </c>
      <c r="F2560" s="6" t="str">
        <f t="shared" si="2"/>
        <v>#N/A</v>
      </c>
      <c r="G2560" s="1" t="str">
        <f t="shared" si="3"/>
        <v/>
      </c>
      <c r="H2560" s="5" t="str">
        <f t="shared" si="4"/>
        <v>52, 57, KRAKLAW</v>
      </c>
    </row>
    <row r="2561" ht="12.75" customHeight="1">
      <c r="A2561" s="4" t="s">
        <v>3586</v>
      </c>
      <c r="B2561" s="5" t="s">
        <v>3586</v>
      </c>
      <c r="C2561" s="1" t="str">
        <f t="shared" si="1"/>
        <v/>
      </c>
      <c r="E2561" s="5" t="s">
        <v>3586</v>
      </c>
      <c r="F2561" s="6" t="str">
        <f t="shared" si="2"/>
        <v>#N/A</v>
      </c>
      <c r="G2561" s="1" t="str">
        <f t="shared" si="3"/>
        <v/>
      </c>
      <c r="H2561" s="5" t="str">
        <f t="shared" si="4"/>
        <v>52, 57, CAPRISEA</v>
      </c>
    </row>
    <row r="2562" ht="12.75" customHeight="1">
      <c r="A2562" s="4" t="s">
        <v>3587</v>
      </c>
      <c r="B2562" s="5" t="s">
        <v>3587</v>
      </c>
      <c r="C2562" s="1" t="str">
        <f t="shared" si="1"/>
        <v/>
      </c>
      <c r="E2562" s="5" t="s">
        <v>3587</v>
      </c>
      <c r="F2562" s="6" t="str">
        <f t="shared" si="2"/>
        <v>#N/A</v>
      </c>
      <c r="G2562" s="1" t="str">
        <f t="shared" si="3"/>
        <v/>
      </c>
      <c r="H2562" s="5" t="str">
        <f t="shared" si="4"/>
        <v>53, 58, DRAGONIER</v>
      </c>
    </row>
    <row r="2563" ht="12.75" customHeight="1">
      <c r="A2563" s="4" t="s">
        <v>2539</v>
      </c>
      <c r="B2563" s="5" t="s">
        <v>2539</v>
      </c>
      <c r="C2563" s="1">
        <f t="shared" si="1"/>
        <v>1</v>
      </c>
      <c r="E2563" s="5" t="s">
        <v>2539</v>
      </c>
      <c r="F2563" s="6" t="str">
        <f t="shared" si="2"/>
        <v>#N/A</v>
      </c>
      <c r="G2563" s="1" t="str">
        <f t="shared" si="3"/>
        <v/>
      </c>
      <c r="H2563" s="5" t="str">
        <f t="shared" si="4"/>
        <v>NEW ROUTE</v>
      </c>
    </row>
    <row r="2564" ht="12.75" customHeight="1">
      <c r="A2564" s="4" t="s">
        <v>2151</v>
      </c>
      <c r="B2564" s="5" t="s">
        <v>2151</v>
      </c>
      <c r="C2564" s="1" t="str">
        <f t="shared" si="1"/>
        <v/>
      </c>
      <c r="E2564" s="5" t="s">
        <v>2151</v>
      </c>
      <c r="F2564" s="6" t="str">
        <f t="shared" si="2"/>
        <v>Route 24</v>
      </c>
      <c r="G2564" s="1" t="str">
        <f t="shared" si="3"/>
        <v>Route 24</v>
      </c>
      <c r="H2564" s="5" t="str">
        <f t="shared" si="4"/>
        <v>Route 24</v>
      </c>
    </row>
    <row r="2565" ht="12.75" customHeight="1">
      <c r="A2565" s="4" t="s">
        <v>2799</v>
      </c>
      <c r="B2565" s="5">
        <v>0.2</v>
      </c>
      <c r="C2565" s="1" t="str">
        <f t="shared" si="1"/>
        <v/>
      </c>
      <c r="E2565" s="5">
        <v>0.2</v>
      </c>
      <c r="F2565" s="6" t="str">
        <f t="shared" si="2"/>
        <v>#N/A</v>
      </c>
      <c r="G2565" s="1" t="str">
        <f t="shared" si="3"/>
        <v/>
      </c>
      <c r="H2565" s="5">
        <f t="shared" si="4"/>
        <v>0.2</v>
      </c>
    </row>
    <row r="2566" ht="12.75" customHeight="1">
      <c r="A2566" s="4" t="s">
        <v>1224</v>
      </c>
      <c r="B2566" s="5" t="s">
        <v>1224</v>
      </c>
      <c r="C2566" s="1" t="str">
        <f t="shared" si="1"/>
        <v/>
      </c>
      <c r="E2566" s="5" t="s">
        <v>1224</v>
      </c>
      <c r="F2566" s="6" t="str">
        <f t="shared" si="2"/>
        <v>#N/A</v>
      </c>
      <c r="G2566" s="1" t="str">
        <f t="shared" si="3"/>
        <v/>
      </c>
      <c r="H2566" s="5" t="str">
        <f t="shared" si="4"/>
        <v>13, 17, PIDGEY</v>
      </c>
    </row>
    <row r="2567" ht="12.75" customHeight="1">
      <c r="A2567" s="4" t="s">
        <v>3589</v>
      </c>
      <c r="B2567" s="5" t="s">
        <v>3589</v>
      </c>
      <c r="C2567" s="1" t="str">
        <f t="shared" si="1"/>
        <v/>
      </c>
      <c r="E2567" s="5" t="s">
        <v>3589</v>
      </c>
      <c r="F2567" s="6" t="str">
        <f t="shared" si="2"/>
        <v>#N/A</v>
      </c>
      <c r="G2567" s="1" t="str">
        <f t="shared" si="3"/>
        <v/>
      </c>
      <c r="H2567" s="5" t="str">
        <f t="shared" si="4"/>
        <v>13, 17, ODDISH</v>
      </c>
    </row>
    <row r="2568" ht="12.75" customHeight="1">
      <c r="A2568" s="4" t="s">
        <v>2802</v>
      </c>
      <c r="B2568" s="5">
        <v>0.1</v>
      </c>
      <c r="C2568" s="1" t="str">
        <f t="shared" si="1"/>
        <v/>
      </c>
      <c r="E2568" s="5">
        <v>0.1</v>
      </c>
      <c r="F2568" s="6" t="str">
        <f t="shared" si="2"/>
        <v>#N/A</v>
      </c>
      <c r="G2568" s="1" t="str">
        <f t="shared" si="3"/>
        <v/>
      </c>
      <c r="H2568" s="5">
        <f t="shared" si="4"/>
        <v>0.1</v>
      </c>
    </row>
    <row r="2569" ht="12.75" customHeight="1">
      <c r="A2569" s="4" t="s">
        <v>3590</v>
      </c>
      <c r="B2569" s="5" t="s">
        <v>3590</v>
      </c>
      <c r="C2569" s="1" t="str">
        <f t="shared" si="1"/>
        <v/>
      </c>
      <c r="E2569" s="5" t="s">
        <v>3590</v>
      </c>
      <c r="F2569" s="6" t="str">
        <f t="shared" si="2"/>
        <v>#N/A</v>
      </c>
      <c r="G2569" s="1" t="str">
        <f t="shared" si="3"/>
        <v/>
      </c>
      <c r="H2569" s="5" t="str">
        <f t="shared" si="4"/>
        <v>14, 17, BELLSPROUT</v>
      </c>
    </row>
    <row r="2570" ht="12.75" customHeight="1">
      <c r="A2570" s="4" t="s">
        <v>3591</v>
      </c>
      <c r="B2570" s="5" t="s">
        <v>3591</v>
      </c>
      <c r="C2570" s="1" t="str">
        <f t="shared" si="1"/>
        <v/>
      </c>
      <c r="E2570" s="5" t="s">
        <v>3591</v>
      </c>
      <c r="F2570" s="6" t="str">
        <f t="shared" si="2"/>
        <v>#N/A</v>
      </c>
      <c r="G2570" s="1" t="str">
        <f t="shared" si="3"/>
        <v/>
      </c>
      <c r="H2570" s="5" t="str">
        <f t="shared" si="4"/>
        <v>14, 17, MEOWTH</v>
      </c>
    </row>
    <row r="2571" ht="12.75" customHeight="1">
      <c r="A2571" s="4" t="s">
        <v>3592</v>
      </c>
      <c r="B2571" s="5" t="s">
        <v>3592</v>
      </c>
      <c r="C2571" s="1" t="str">
        <f t="shared" si="1"/>
        <v/>
      </c>
      <c r="E2571" s="5" t="s">
        <v>3592</v>
      </c>
      <c r="F2571" s="6" t="str">
        <f t="shared" si="2"/>
        <v>#N/A</v>
      </c>
      <c r="G2571" s="1" t="str">
        <f t="shared" si="3"/>
        <v/>
      </c>
      <c r="H2571" s="5" t="str">
        <f t="shared" si="4"/>
        <v>14, 17, PSYDUCK</v>
      </c>
    </row>
    <row r="2572" ht="12.75" customHeight="1">
      <c r="A2572" s="4" t="s">
        <v>3593</v>
      </c>
      <c r="B2572" s="5" t="s">
        <v>3593</v>
      </c>
      <c r="C2572" s="1" t="str">
        <f t="shared" si="1"/>
        <v/>
      </c>
      <c r="E2572" s="5" t="s">
        <v>3593</v>
      </c>
      <c r="F2572" s="6" t="str">
        <f t="shared" si="2"/>
        <v>#N/A</v>
      </c>
      <c r="G2572" s="1" t="str">
        <f t="shared" si="3"/>
        <v/>
      </c>
      <c r="H2572" s="5" t="str">
        <f t="shared" si="4"/>
        <v>14, 17, PIDGEOTTO</v>
      </c>
    </row>
    <row r="2573" ht="12.75" customHeight="1">
      <c r="A2573" s="4" t="s">
        <v>2807</v>
      </c>
      <c r="B2573" s="5">
        <v>0.05</v>
      </c>
      <c r="C2573" s="1" t="str">
        <f t="shared" si="1"/>
        <v/>
      </c>
      <c r="E2573" s="5">
        <v>0.05</v>
      </c>
      <c r="F2573" s="6" t="str">
        <f t="shared" si="2"/>
        <v>#N/A</v>
      </c>
      <c r="G2573" s="1" t="str">
        <f t="shared" si="3"/>
        <v/>
      </c>
      <c r="H2573" s="5">
        <f t="shared" si="4"/>
        <v>0.05</v>
      </c>
    </row>
    <row r="2574" ht="12.75" customHeight="1">
      <c r="A2574" s="4" t="s">
        <v>3594</v>
      </c>
      <c r="B2574" s="5" t="s">
        <v>3594</v>
      </c>
      <c r="C2574" s="1" t="str">
        <f t="shared" si="1"/>
        <v/>
      </c>
      <c r="E2574" s="5" t="s">
        <v>3594</v>
      </c>
      <c r="F2574" s="6" t="str">
        <f t="shared" si="2"/>
        <v>#N/A</v>
      </c>
      <c r="G2574" s="1" t="str">
        <f t="shared" si="3"/>
        <v/>
      </c>
      <c r="H2574" s="5" t="str">
        <f t="shared" si="4"/>
        <v>16, 16, PIKACHU</v>
      </c>
    </row>
    <row r="2575" ht="12.75" customHeight="1">
      <c r="A2575" s="4" t="s">
        <v>3595</v>
      </c>
      <c r="B2575" s="5" t="s">
        <v>3595</v>
      </c>
      <c r="C2575" s="1" t="str">
        <f t="shared" si="1"/>
        <v/>
      </c>
      <c r="E2575" s="5" t="s">
        <v>3595</v>
      </c>
      <c r="F2575" s="6" t="str">
        <f t="shared" si="2"/>
        <v>#N/A</v>
      </c>
      <c r="G2575" s="1" t="str">
        <f t="shared" si="3"/>
        <v/>
      </c>
      <c r="H2575" s="5" t="str">
        <f t="shared" si="4"/>
        <v>16, 16, ABRA</v>
      </c>
    </row>
    <row r="2576" ht="12.75" customHeight="1">
      <c r="A2576" s="4" t="s">
        <v>2810</v>
      </c>
      <c r="B2576" s="5">
        <v>0.04</v>
      </c>
      <c r="C2576" s="1" t="str">
        <f t="shared" si="1"/>
        <v/>
      </c>
      <c r="E2576" s="5">
        <v>0.04</v>
      </c>
      <c r="F2576" s="6" t="str">
        <f t="shared" si="2"/>
        <v>#N/A</v>
      </c>
      <c r="G2576" s="1" t="str">
        <f t="shared" si="3"/>
        <v/>
      </c>
      <c r="H2576" s="5">
        <f t="shared" si="4"/>
        <v>0.04</v>
      </c>
    </row>
    <row r="2577" ht="12.75" customHeight="1">
      <c r="A2577" s="4" t="s">
        <v>3596</v>
      </c>
      <c r="B2577" s="5" t="s">
        <v>3596</v>
      </c>
      <c r="C2577" s="1" t="str">
        <f t="shared" si="1"/>
        <v/>
      </c>
      <c r="E2577" s="5" t="s">
        <v>3596</v>
      </c>
      <c r="F2577" s="6" t="str">
        <f t="shared" si="2"/>
        <v>#N/A</v>
      </c>
      <c r="G2577" s="1" t="str">
        <f t="shared" si="3"/>
        <v/>
      </c>
      <c r="H2577" s="5" t="str">
        <f t="shared" si="4"/>
        <v>15, 18, VENONAT</v>
      </c>
    </row>
    <row r="2578" ht="12.75" customHeight="1">
      <c r="A2578" s="4" t="s">
        <v>3597</v>
      </c>
      <c r="B2578" s="5" t="s">
        <v>3597</v>
      </c>
      <c r="C2578" s="1" t="str">
        <f t="shared" si="1"/>
        <v/>
      </c>
      <c r="E2578" s="5" t="s">
        <v>3597</v>
      </c>
      <c r="F2578" s="6" t="str">
        <f t="shared" si="2"/>
        <v>#N/A</v>
      </c>
      <c r="G2578" s="1" t="str">
        <f t="shared" si="3"/>
        <v/>
      </c>
      <c r="H2578" s="5" t="str">
        <f t="shared" si="4"/>
        <v>15, 18, GLOOM</v>
      </c>
    </row>
    <row r="2579" ht="12.75" customHeight="1">
      <c r="A2579" s="4" t="s">
        <v>2813</v>
      </c>
      <c r="B2579" s="5">
        <v>0.01</v>
      </c>
      <c r="C2579" s="1" t="str">
        <f t="shared" si="1"/>
        <v/>
      </c>
      <c r="E2579" s="5">
        <v>0.01</v>
      </c>
      <c r="F2579" s="6" t="str">
        <f t="shared" si="2"/>
        <v>#N/A</v>
      </c>
      <c r="G2579" s="1" t="str">
        <f t="shared" si="3"/>
        <v/>
      </c>
      <c r="H2579" s="5">
        <f t="shared" si="4"/>
        <v>0.01</v>
      </c>
    </row>
    <row r="2580" ht="12.75" customHeight="1">
      <c r="A2580" s="4" t="s">
        <v>3598</v>
      </c>
      <c r="B2580" s="5" t="s">
        <v>3598</v>
      </c>
      <c r="C2580" s="1" t="str">
        <f t="shared" si="1"/>
        <v/>
      </c>
      <c r="E2580" s="5" t="s">
        <v>3598</v>
      </c>
      <c r="F2580" s="6" t="str">
        <f t="shared" si="2"/>
        <v>#N/A</v>
      </c>
      <c r="G2580" s="1" t="str">
        <f t="shared" si="3"/>
        <v/>
      </c>
      <c r="H2580" s="5" t="str">
        <f t="shared" si="4"/>
        <v>17, 17, KADABRA</v>
      </c>
    </row>
    <row r="2581" ht="12.75" customHeight="1">
      <c r="A2581" s="4" t="s">
        <v>3598</v>
      </c>
      <c r="B2581" s="5" t="s">
        <v>3598</v>
      </c>
      <c r="C2581" s="1" t="str">
        <f t="shared" si="1"/>
        <v/>
      </c>
      <c r="E2581" s="5" t="s">
        <v>3598</v>
      </c>
      <c r="F2581" s="6" t="str">
        <f t="shared" si="2"/>
        <v>#N/A</v>
      </c>
      <c r="G2581" s="1" t="str">
        <f t="shared" si="3"/>
        <v/>
      </c>
      <c r="H2581" s="5" t="str">
        <f t="shared" si="4"/>
        <v>17, 17, KADABRA</v>
      </c>
    </row>
    <row r="2582" ht="12.75" customHeight="1">
      <c r="A2582" s="4" t="s">
        <v>3599</v>
      </c>
      <c r="B2582" s="5" t="s">
        <v>3599</v>
      </c>
      <c r="C2582" s="1" t="str">
        <f t="shared" si="1"/>
        <v/>
      </c>
      <c r="E2582" s="5" t="s">
        <v>3599</v>
      </c>
      <c r="F2582" s="6" t="str">
        <f t="shared" si="2"/>
        <v>#N/A</v>
      </c>
      <c r="G2582" s="1" t="str">
        <f t="shared" si="3"/>
        <v/>
      </c>
      <c r="H2582" s="5" t="str">
        <f t="shared" si="4"/>
        <v>2, 34, 40, TENTACOOL</v>
      </c>
    </row>
    <row r="2583" ht="12.75" customHeight="1">
      <c r="A2583" s="4" t="s">
        <v>3600</v>
      </c>
      <c r="B2583" s="5" t="s">
        <v>3600</v>
      </c>
      <c r="C2583" s="1" t="str">
        <f t="shared" si="1"/>
        <v/>
      </c>
      <c r="E2583" s="5" t="s">
        <v>3600</v>
      </c>
      <c r="F2583" s="6" t="str">
        <f t="shared" si="2"/>
        <v>#N/A</v>
      </c>
      <c r="G2583" s="1" t="str">
        <f t="shared" si="3"/>
        <v/>
      </c>
      <c r="H2583" s="5" t="str">
        <f t="shared" si="4"/>
        <v>34, 40, PSYDUCK</v>
      </c>
    </row>
    <row r="2584" ht="12.75" customHeight="1">
      <c r="A2584" s="4" t="s">
        <v>3601</v>
      </c>
      <c r="B2584" s="5" t="s">
        <v>3601</v>
      </c>
      <c r="C2584" s="1" t="str">
        <f t="shared" si="1"/>
        <v/>
      </c>
      <c r="E2584" s="5" t="s">
        <v>3601</v>
      </c>
      <c r="F2584" s="6" t="str">
        <f t="shared" si="2"/>
        <v>#N/A</v>
      </c>
      <c r="G2584" s="1" t="str">
        <f t="shared" si="3"/>
        <v/>
      </c>
      <c r="H2584" s="5" t="str">
        <f t="shared" si="4"/>
        <v>36, 42, TENTACRUEL</v>
      </c>
    </row>
    <row r="2585" ht="12.75" customHeight="1">
      <c r="A2585" s="4" t="s">
        <v>3533</v>
      </c>
      <c r="B2585" s="5" t="s">
        <v>3533</v>
      </c>
      <c r="C2585" s="1" t="str">
        <f t="shared" si="1"/>
        <v/>
      </c>
      <c r="E2585" s="5" t="s">
        <v>3533</v>
      </c>
      <c r="F2585" s="6" t="str">
        <f t="shared" si="2"/>
        <v>#N/A</v>
      </c>
      <c r="G2585" s="1" t="str">
        <f t="shared" si="3"/>
        <v/>
      </c>
      <c r="H2585" s="5" t="str">
        <f t="shared" si="4"/>
        <v>39, 42, GOLDUCK</v>
      </c>
    </row>
    <row r="2586" ht="12.75" customHeight="1">
      <c r="A2586" s="4" t="s">
        <v>3602</v>
      </c>
      <c r="B2586" s="5" t="s">
        <v>3602</v>
      </c>
      <c r="C2586" s="1" t="str">
        <f t="shared" si="1"/>
        <v/>
      </c>
      <c r="E2586" s="5" t="s">
        <v>3602</v>
      </c>
      <c r="F2586" s="6" t="str">
        <f t="shared" si="2"/>
        <v>#N/A</v>
      </c>
      <c r="G2586" s="1" t="str">
        <f t="shared" si="3"/>
        <v/>
      </c>
      <c r="H2586" s="5" t="str">
        <f t="shared" si="4"/>
        <v>39, 42, VAPOREON</v>
      </c>
    </row>
    <row r="2587" ht="12.75" customHeight="1">
      <c r="A2587" s="4" t="s">
        <v>2926</v>
      </c>
      <c r="B2587" s="5" t="s">
        <v>2926</v>
      </c>
      <c r="C2587" s="1" t="str">
        <f t="shared" si="1"/>
        <v/>
      </c>
      <c r="E2587" s="5" t="s">
        <v>2926</v>
      </c>
      <c r="F2587" s="6" t="str">
        <f t="shared" si="2"/>
        <v>#N/A</v>
      </c>
      <c r="G2587" s="1" t="str">
        <f t="shared" si="3"/>
        <v/>
      </c>
      <c r="H2587" s="5" t="str">
        <f t="shared" si="4"/>
        <v>20, old rod:</v>
      </c>
    </row>
    <row r="2588" ht="12.75" customHeight="1">
      <c r="A2588" s="4" t="s">
        <v>500</v>
      </c>
      <c r="B2588" s="5" t="s">
        <v>500</v>
      </c>
      <c r="C2588" s="1" t="str">
        <f t="shared" si="1"/>
        <v/>
      </c>
      <c r="E2588" s="5" t="s">
        <v>500</v>
      </c>
      <c r="F2588" s="6" t="str">
        <f t="shared" si="2"/>
        <v>#N/A</v>
      </c>
      <c r="G2588" s="1" t="str">
        <f t="shared" si="3"/>
        <v/>
      </c>
      <c r="H2588" s="5" t="str">
        <f t="shared" si="4"/>
        <v>19, 26, MAGIKARP</v>
      </c>
    </row>
    <row r="2589" ht="12.75" customHeight="1">
      <c r="A2589" s="4" t="s">
        <v>3353</v>
      </c>
      <c r="B2589" s="5" t="s">
        <v>3353</v>
      </c>
      <c r="C2589" s="1" t="str">
        <f t="shared" si="1"/>
        <v/>
      </c>
      <c r="E2589" s="5" t="s">
        <v>3353</v>
      </c>
      <c r="F2589" s="6" t="str">
        <f t="shared" si="2"/>
        <v>#N/A</v>
      </c>
      <c r="G2589" s="1" t="str">
        <f t="shared" si="3"/>
        <v/>
      </c>
      <c r="H2589" s="5" t="str">
        <f t="shared" si="4"/>
        <v>19, 26, GYARADOS</v>
      </c>
    </row>
    <row r="2590" ht="12.75" customHeight="1">
      <c r="A2590" s="4" t="s">
        <v>2847</v>
      </c>
      <c r="B2590" s="5" t="s">
        <v>2847</v>
      </c>
      <c r="C2590" s="1" t="str">
        <f t="shared" si="1"/>
        <v/>
      </c>
      <c r="E2590" s="5" t="s">
        <v>2847</v>
      </c>
      <c r="F2590" s="6" t="str">
        <f t="shared" si="2"/>
        <v>#N/A</v>
      </c>
      <c r="G2590" s="1" t="str">
        <f t="shared" si="3"/>
        <v/>
      </c>
      <c r="H2590" s="5" t="str">
        <f t="shared" si="4"/>
        <v>good rod:</v>
      </c>
    </row>
    <row r="2591" ht="12.75" customHeight="1">
      <c r="A2591" s="4" t="s">
        <v>3354</v>
      </c>
      <c r="B2591" s="5" t="s">
        <v>3354</v>
      </c>
      <c r="C2591" s="1" t="str">
        <f t="shared" si="1"/>
        <v/>
      </c>
      <c r="E2591" s="5" t="s">
        <v>3354</v>
      </c>
      <c r="F2591" s="6" t="str">
        <f t="shared" si="2"/>
        <v>#N/A</v>
      </c>
      <c r="G2591" s="1" t="str">
        <f t="shared" si="3"/>
        <v/>
      </c>
      <c r="H2591" s="5" t="str">
        <f t="shared" si="4"/>
        <v>29, 33, SLOWPOKE</v>
      </c>
    </row>
    <row r="2592" ht="12.75" customHeight="1">
      <c r="A2592" s="4" t="s">
        <v>3028</v>
      </c>
      <c r="B2592" s="5" t="s">
        <v>3028</v>
      </c>
      <c r="C2592" s="1" t="str">
        <f t="shared" si="1"/>
        <v/>
      </c>
      <c r="E2592" s="5" t="s">
        <v>3028</v>
      </c>
      <c r="F2592" s="6" t="str">
        <f t="shared" si="2"/>
        <v>#N/A</v>
      </c>
      <c r="G2592" s="1" t="str">
        <f t="shared" si="3"/>
        <v/>
      </c>
      <c r="H2592" s="5" t="str">
        <f t="shared" si="4"/>
        <v>30, 35, KRABBY</v>
      </c>
    </row>
    <row r="2593" ht="12.75" customHeight="1">
      <c r="A2593" s="4" t="s">
        <v>3355</v>
      </c>
      <c r="B2593" s="5" t="s">
        <v>3355</v>
      </c>
      <c r="C2593" s="1" t="str">
        <f t="shared" si="1"/>
        <v/>
      </c>
      <c r="E2593" s="5" t="s">
        <v>3355</v>
      </c>
      <c r="F2593" s="6" t="str">
        <f t="shared" si="2"/>
        <v>#N/A</v>
      </c>
      <c r="G2593" s="1" t="str">
        <f t="shared" si="3"/>
        <v/>
      </c>
      <c r="H2593" s="5" t="str">
        <f t="shared" si="4"/>
        <v>30, 35, PSYDUCK</v>
      </c>
    </row>
    <row r="2594" ht="12.75" customHeight="1">
      <c r="A2594" s="4" t="s">
        <v>2851</v>
      </c>
      <c r="B2594" s="5" t="s">
        <v>2851</v>
      </c>
      <c r="C2594" s="1" t="str">
        <f t="shared" si="1"/>
        <v/>
      </c>
      <c r="E2594" s="5" t="s">
        <v>2851</v>
      </c>
      <c r="F2594" s="6" t="str">
        <f t="shared" si="2"/>
        <v>#N/A</v>
      </c>
      <c r="G2594" s="1" t="str">
        <f t="shared" si="3"/>
        <v/>
      </c>
      <c r="H2594" s="5" t="str">
        <f t="shared" si="4"/>
        <v>super rod:</v>
      </c>
    </row>
    <row r="2595" ht="12.75" customHeight="1">
      <c r="A2595" s="4" t="s">
        <v>3356</v>
      </c>
      <c r="B2595" s="5" t="s">
        <v>3356</v>
      </c>
      <c r="C2595" s="1" t="str">
        <f t="shared" si="1"/>
        <v/>
      </c>
      <c r="E2595" s="5" t="s">
        <v>3356</v>
      </c>
      <c r="F2595" s="6" t="str">
        <f t="shared" si="2"/>
        <v>#N/A</v>
      </c>
      <c r="G2595" s="1" t="str">
        <f t="shared" si="3"/>
        <v/>
      </c>
      <c r="H2595" s="5" t="str">
        <f t="shared" si="4"/>
        <v>36, 40, SLOWBRO</v>
      </c>
    </row>
    <row r="2596" ht="12.75" customHeight="1">
      <c r="A2596" s="4" t="s">
        <v>3357</v>
      </c>
      <c r="B2596" s="5" t="s">
        <v>3357</v>
      </c>
      <c r="C2596" s="1" t="str">
        <f t="shared" si="1"/>
        <v/>
      </c>
      <c r="E2596" s="5" t="s">
        <v>3357</v>
      </c>
      <c r="F2596" s="6" t="str">
        <f t="shared" si="2"/>
        <v>#N/A</v>
      </c>
      <c r="G2596" s="1" t="str">
        <f t="shared" si="3"/>
        <v/>
      </c>
      <c r="H2596" s="5" t="str">
        <f t="shared" si="4"/>
        <v>36, 40, GYARADOS</v>
      </c>
    </row>
    <row r="2597" ht="12.75" customHeight="1">
      <c r="A2597" s="4" t="s">
        <v>3358</v>
      </c>
      <c r="B2597" s="5" t="s">
        <v>3358</v>
      </c>
      <c r="C2597" s="1" t="str">
        <f t="shared" si="1"/>
        <v/>
      </c>
      <c r="E2597" s="5" t="s">
        <v>3358</v>
      </c>
      <c r="F2597" s="6" t="str">
        <f t="shared" si="2"/>
        <v>#N/A</v>
      </c>
      <c r="G2597" s="1" t="str">
        <f t="shared" si="3"/>
        <v/>
      </c>
      <c r="H2597" s="5" t="str">
        <f t="shared" si="4"/>
        <v>38, 42, GOLDUCK</v>
      </c>
    </row>
    <row r="2598" ht="12.75" customHeight="1">
      <c r="A2598" s="4" t="s">
        <v>3359</v>
      </c>
      <c r="B2598" s="5" t="s">
        <v>3359</v>
      </c>
      <c r="C2598" s="1" t="str">
        <f t="shared" si="1"/>
        <v/>
      </c>
      <c r="E2598" s="5" t="s">
        <v>3359</v>
      </c>
      <c r="F2598" s="6" t="str">
        <f t="shared" si="2"/>
        <v>#N/A</v>
      </c>
      <c r="G2598" s="1" t="str">
        <f t="shared" si="3"/>
        <v/>
      </c>
      <c r="H2598" s="5" t="str">
        <f t="shared" si="4"/>
        <v>38, 42, KINGLER</v>
      </c>
    </row>
    <row r="2599" ht="12.75" customHeight="1">
      <c r="A2599" s="4" t="s">
        <v>3360</v>
      </c>
      <c r="B2599" s="5" t="s">
        <v>3360</v>
      </c>
      <c r="C2599" s="1" t="str">
        <f t="shared" si="1"/>
        <v/>
      </c>
      <c r="E2599" s="5" t="s">
        <v>3360</v>
      </c>
      <c r="F2599" s="6" t="str">
        <f t="shared" si="2"/>
        <v>#N/A</v>
      </c>
      <c r="G2599" s="1" t="str">
        <f t="shared" si="3"/>
        <v/>
      </c>
      <c r="H2599" s="5" t="str">
        <f t="shared" si="4"/>
        <v>40, 44, SLOWMATE</v>
      </c>
    </row>
    <row r="2600" ht="12.75" customHeight="1">
      <c r="A2600" s="4" t="s">
        <v>2539</v>
      </c>
      <c r="B2600" s="5" t="s">
        <v>2539</v>
      </c>
      <c r="C2600" s="1">
        <f t="shared" si="1"/>
        <v>1</v>
      </c>
      <c r="E2600" s="5" t="s">
        <v>2539</v>
      </c>
      <c r="F2600" s="6" t="str">
        <f t="shared" si="2"/>
        <v>#N/A</v>
      </c>
      <c r="G2600" s="1" t="str">
        <f t="shared" si="3"/>
        <v/>
      </c>
      <c r="H2600" s="5" t="str">
        <f t="shared" si="4"/>
        <v>NEW ROUTE</v>
      </c>
    </row>
    <row r="2601" ht="12.75" customHeight="1">
      <c r="A2601" s="4" t="s">
        <v>2153</v>
      </c>
      <c r="B2601" s="5" t="s">
        <v>2153</v>
      </c>
      <c r="C2601" s="1" t="str">
        <f t="shared" si="1"/>
        <v/>
      </c>
      <c r="E2601" s="5" t="s">
        <v>2153</v>
      </c>
      <c r="F2601" s="6" t="str">
        <f t="shared" si="2"/>
        <v>Route 25</v>
      </c>
      <c r="G2601" s="1" t="str">
        <f t="shared" si="3"/>
        <v>Route 25</v>
      </c>
      <c r="H2601" s="5" t="str">
        <f t="shared" si="4"/>
        <v>Route 25</v>
      </c>
    </row>
    <row r="2602" ht="12.75" customHeight="1">
      <c r="A2602" s="4" t="s">
        <v>2799</v>
      </c>
      <c r="B2602" s="5">
        <v>0.2</v>
      </c>
      <c r="C2602" s="1" t="str">
        <f t="shared" si="1"/>
        <v/>
      </c>
      <c r="E2602" s="5">
        <v>0.2</v>
      </c>
      <c r="F2602" s="6" t="str">
        <f t="shared" si="2"/>
        <v>#N/A</v>
      </c>
      <c r="G2602" s="1" t="str">
        <f t="shared" si="3"/>
        <v/>
      </c>
      <c r="H2602" s="5">
        <f t="shared" si="4"/>
        <v>0.2</v>
      </c>
    </row>
    <row r="2603" ht="12.75" customHeight="1">
      <c r="A2603" s="4" t="s">
        <v>1240</v>
      </c>
      <c r="B2603" s="5" t="s">
        <v>1240</v>
      </c>
      <c r="C2603" s="1" t="str">
        <f t="shared" si="1"/>
        <v/>
      </c>
      <c r="E2603" s="5" t="s">
        <v>1240</v>
      </c>
      <c r="F2603" s="6" t="str">
        <f t="shared" si="2"/>
        <v>#N/A</v>
      </c>
      <c r="G2603" s="1" t="str">
        <f t="shared" si="3"/>
        <v/>
      </c>
      <c r="H2603" s="5" t="str">
        <f t="shared" si="4"/>
        <v>14, 17, PIDGEY</v>
      </c>
    </row>
    <row r="2604" ht="12.75" customHeight="1">
      <c r="A2604" s="4" t="s">
        <v>3604</v>
      </c>
      <c r="B2604" s="5" t="s">
        <v>3604</v>
      </c>
      <c r="C2604" s="1" t="str">
        <f t="shared" si="1"/>
        <v/>
      </c>
      <c r="E2604" s="5" t="s">
        <v>3604</v>
      </c>
      <c r="F2604" s="6" t="str">
        <f t="shared" si="2"/>
        <v>#N/A</v>
      </c>
      <c r="G2604" s="1" t="str">
        <f t="shared" si="3"/>
        <v/>
      </c>
      <c r="H2604" s="5" t="str">
        <f t="shared" si="4"/>
        <v>14, 17, ODDISH</v>
      </c>
    </row>
    <row r="2605" ht="12.75" customHeight="1">
      <c r="A2605" s="4" t="s">
        <v>2802</v>
      </c>
      <c r="B2605" s="5">
        <v>0.1</v>
      </c>
      <c r="C2605" s="1" t="str">
        <f t="shared" si="1"/>
        <v/>
      </c>
      <c r="E2605" s="5">
        <v>0.1</v>
      </c>
      <c r="F2605" s="6" t="str">
        <f t="shared" si="2"/>
        <v>#N/A</v>
      </c>
      <c r="G2605" s="1" t="str">
        <f t="shared" si="3"/>
        <v/>
      </c>
      <c r="H2605" s="5">
        <f t="shared" si="4"/>
        <v>0.1</v>
      </c>
    </row>
    <row r="2606" ht="12.75" customHeight="1">
      <c r="A2606" s="4" t="s">
        <v>3605</v>
      </c>
      <c r="B2606" s="5" t="s">
        <v>3605</v>
      </c>
      <c r="C2606" s="1" t="str">
        <f t="shared" si="1"/>
        <v/>
      </c>
      <c r="E2606" s="5" t="s">
        <v>3605</v>
      </c>
      <c r="F2606" s="6" t="str">
        <f t="shared" si="2"/>
        <v>#N/A</v>
      </c>
      <c r="G2606" s="1" t="str">
        <f t="shared" si="3"/>
        <v/>
      </c>
      <c r="H2606" s="5" t="str">
        <f t="shared" si="4"/>
        <v>15, 17, BELLSPROUT</v>
      </c>
    </row>
    <row r="2607" ht="12.75" customHeight="1">
      <c r="A2607" s="4" t="s">
        <v>3362</v>
      </c>
      <c r="B2607" s="5" t="s">
        <v>3362</v>
      </c>
      <c r="C2607" s="1" t="str">
        <f t="shared" si="1"/>
        <v/>
      </c>
      <c r="E2607" s="5" t="s">
        <v>3362</v>
      </c>
      <c r="F2607" s="6" t="str">
        <f t="shared" si="2"/>
        <v>#N/A</v>
      </c>
      <c r="G2607" s="1" t="str">
        <f t="shared" si="3"/>
        <v/>
      </c>
      <c r="H2607" s="5" t="str">
        <f t="shared" si="4"/>
        <v>15, 17, MEOWTH</v>
      </c>
    </row>
    <row r="2608" ht="12.75" customHeight="1">
      <c r="A2608" s="4" t="s">
        <v>3606</v>
      </c>
      <c r="B2608" s="5" t="s">
        <v>3606</v>
      </c>
      <c r="C2608" s="1" t="str">
        <f t="shared" si="1"/>
        <v/>
      </c>
      <c r="E2608" s="5" t="s">
        <v>3606</v>
      </c>
      <c r="F2608" s="6" t="str">
        <f t="shared" si="2"/>
        <v>#N/A</v>
      </c>
      <c r="G2608" s="1" t="str">
        <f t="shared" si="3"/>
        <v/>
      </c>
      <c r="H2608" s="5" t="str">
        <f t="shared" si="4"/>
        <v>15, 17, PSYDUCK</v>
      </c>
    </row>
    <row r="2609" ht="12.75" customHeight="1">
      <c r="A2609" s="4" t="s">
        <v>3607</v>
      </c>
      <c r="B2609" s="5" t="s">
        <v>3607</v>
      </c>
      <c r="C2609" s="1" t="str">
        <f t="shared" si="1"/>
        <v/>
      </c>
      <c r="E2609" s="5" t="s">
        <v>3607</v>
      </c>
      <c r="F2609" s="6" t="str">
        <f t="shared" si="2"/>
        <v>#N/A</v>
      </c>
      <c r="G2609" s="1" t="str">
        <f t="shared" si="3"/>
        <v/>
      </c>
      <c r="H2609" s="5" t="str">
        <f t="shared" si="4"/>
        <v>15, 17, PIDGEOTTO</v>
      </c>
    </row>
    <row r="2610" ht="12.75" customHeight="1">
      <c r="A2610" s="4" t="s">
        <v>2807</v>
      </c>
      <c r="B2610" s="5">
        <v>0.05</v>
      </c>
      <c r="C2610" s="1" t="str">
        <f t="shared" si="1"/>
        <v/>
      </c>
      <c r="E2610" s="5">
        <v>0.05</v>
      </c>
      <c r="F2610" s="6" t="str">
        <f t="shared" si="2"/>
        <v>#N/A</v>
      </c>
      <c r="G2610" s="1" t="str">
        <f t="shared" si="3"/>
        <v/>
      </c>
      <c r="H2610" s="5">
        <f t="shared" si="4"/>
        <v>0.05</v>
      </c>
    </row>
    <row r="2611" ht="12.75" customHeight="1">
      <c r="A2611" s="4" t="s">
        <v>3594</v>
      </c>
      <c r="B2611" s="5" t="s">
        <v>3594</v>
      </c>
      <c r="C2611" s="1" t="str">
        <f t="shared" si="1"/>
        <v/>
      </c>
      <c r="E2611" s="5" t="s">
        <v>3594</v>
      </c>
      <c r="F2611" s="6" t="str">
        <f t="shared" si="2"/>
        <v>#N/A</v>
      </c>
      <c r="G2611" s="1" t="str">
        <f t="shared" si="3"/>
        <v/>
      </c>
      <c r="H2611" s="5" t="str">
        <f t="shared" si="4"/>
        <v>16, 16, PIKACHU</v>
      </c>
    </row>
    <row r="2612" ht="12.75" customHeight="1">
      <c r="A2612" s="4" t="s">
        <v>3595</v>
      </c>
      <c r="B2612" s="5" t="s">
        <v>3595</v>
      </c>
      <c r="C2612" s="1" t="str">
        <f t="shared" si="1"/>
        <v/>
      </c>
      <c r="E2612" s="5" t="s">
        <v>3595</v>
      </c>
      <c r="F2612" s="6" t="str">
        <f t="shared" si="2"/>
        <v>#N/A</v>
      </c>
      <c r="G2612" s="1" t="str">
        <f t="shared" si="3"/>
        <v/>
      </c>
      <c r="H2612" s="5" t="str">
        <f t="shared" si="4"/>
        <v>16, 16, ABRA</v>
      </c>
    </row>
    <row r="2613" ht="12.75" customHeight="1">
      <c r="A2613" s="4" t="s">
        <v>2810</v>
      </c>
      <c r="B2613" s="5">
        <v>0.04</v>
      </c>
      <c r="C2613" s="1" t="str">
        <f t="shared" si="1"/>
        <v/>
      </c>
      <c r="E2613" s="5">
        <v>0.04</v>
      </c>
      <c r="F2613" s="6" t="str">
        <f t="shared" si="2"/>
        <v>#N/A</v>
      </c>
      <c r="G2613" s="1" t="str">
        <f t="shared" si="3"/>
        <v/>
      </c>
      <c r="H2613" s="5">
        <f t="shared" si="4"/>
        <v>0.04</v>
      </c>
    </row>
    <row r="2614" ht="12.75" customHeight="1">
      <c r="A2614" s="4" t="s">
        <v>3596</v>
      </c>
      <c r="B2614" s="5" t="s">
        <v>3596</v>
      </c>
      <c r="C2614" s="1" t="str">
        <f t="shared" si="1"/>
        <v/>
      </c>
      <c r="E2614" s="5" t="s">
        <v>3596</v>
      </c>
      <c r="F2614" s="6" t="str">
        <f t="shared" si="2"/>
        <v>#N/A</v>
      </c>
      <c r="G2614" s="1" t="str">
        <f t="shared" si="3"/>
        <v/>
      </c>
      <c r="H2614" s="5" t="str">
        <f t="shared" si="4"/>
        <v>15, 18, VENONAT</v>
      </c>
    </row>
    <row r="2615" ht="12.75" customHeight="1">
      <c r="A2615" s="4" t="s">
        <v>3597</v>
      </c>
      <c r="B2615" s="5" t="s">
        <v>3597</v>
      </c>
      <c r="C2615" s="1" t="str">
        <f t="shared" si="1"/>
        <v/>
      </c>
      <c r="E2615" s="5" t="s">
        <v>3597</v>
      </c>
      <c r="F2615" s="6" t="str">
        <f t="shared" si="2"/>
        <v>#N/A</v>
      </c>
      <c r="G2615" s="1" t="str">
        <f t="shared" si="3"/>
        <v/>
      </c>
      <c r="H2615" s="5" t="str">
        <f t="shared" si="4"/>
        <v>15, 18, GLOOM</v>
      </c>
    </row>
    <row r="2616" ht="12.75" customHeight="1">
      <c r="A2616" s="4" t="s">
        <v>2813</v>
      </c>
      <c r="B2616" s="5">
        <v>0.01</v>
      </c>
      <c r="C2616" s="1" t="str">
        <f t="shared" si="1"/>
        <v/>
      </c>
      <c r="E2616" s="5">
        <v>0.01</v>
      </c>
      <c r="F2616" s="6" t="str">
        <f t="shared" si="2"/>
        <v>#N/A</v>
      </c>
      <c r="G2616" s="1" t="str">
        <f t="shared" si="3"/>
        <v/>
      </c>
      <c r="H2616" s="5">
        <f t="shared" si="4"/>
        <v>0.01</v>
      </c>
    </row>
    <row r="2617" ht="12.75" customHeight="1">
      <c r="A2617" s="4" t="s">
        <v>3608</v>
      </c>
      <c r="B2617" s="5" t="s">
        <v>3608</v>
      </c>
      <c r="C2617" s="1" t="str">
        <f t="shared" si="1"/>
        <v/>
      </c>
      <c r="E2617" s="5" t="s">
        <v>3608</v>
      </c>
      <c r="F2617" s="6" t="str">
        <f t="shared" si="2"/>
        <v>#N/A</v>
      </c>
      <c r="G2617" s="1" t="str">
        <f t="shared" si="3"/>
        <v/>
      </c>
      <c r="H2617" s="5" t="str">
        <f t="shared" si="4"/>
        <v>18, 18, KADABRA</v>
      </c>
    </row>
    <row r="2618" ht="12.75" customHeight="1">
      <c r="A2618" s="4" t="s">
        <v>3608</v>
      </c>
      <c r="B2618" s="5" t="s">
        <v>3608</v>
      </c>
      <c r="C2618" s="1" t="str">
        <f t="shared" si="1"/>
        <v/>
      </c>
      <c r="E2618" s="5" t="s">
        <v>3608</v>
      </c>
      <c r="F2618" s="6" t="str">
        <f t="shared" si="2"/>
        <v>#N/A</v>
      </c>
      <c r="G2618" s="1" t="str">
        <f t="shared" si="3"/>
        <v/>
      </c>
      <c r="H2618" s="5" t="str">
        <f t="shared" si="4"/>
        <v>18, 18, KADABRA</v>
      </c>
    </row>
    <row r="2619" ht="12.75" customHeight="1">
      <c r="A2619" s="4" t="s">
        <v>3599</v>
      </c>
      <c r="B2619" s="5" t="s">
        <v>3599</v>
      </c>
      <c r="C2619" s="1" t="str">
        <f t="shared" si="1"/>
        <v/>
      </c>
      <c r="E2619" s="5" t="s">
        <v>3599</v>
      </c>
      <c r="F2619" s="6" t="str">
        <f t="shared" si="2"/>
        <v>#N/A</v>
      </c>
      <c r="G2619" s="1" t="str">
        <f t="shared" si="3"/>
        <v/>
      </c>
      <c r="H2619" s="5" t="str">
        <f t="shared" si="4"/>
        <v>2, 34, 40, TENTACOOL</v>
      </c>
    </row>
    <row r="2620" ht="12.75" customHeight="1">
      <c r="A2620" s="4" t="s">
        <v>3600</v>
      </c>
      <c r="B2620" s="5" t="s">
        <v>3600</v>
      </c>
      <c r="C2620" s="1" t="str">
        <f t="shared" si="1"/>
        <v/>
      </c>
      <c r="E2620" s="5" t="s">
        <v>3600</v>
      </c>
      <c r="F2620" s="6" t="str">
        <f t="shared" si="2"/>
        <v>#N/A</v>
      </c>
      <c r="G2620" s="1" t="str">
        <f t="shared" si="3"/>
        <v/>
      </c>
      <c r="H2620" s="5" t="str">
        <f t="shared" si="4"/>
        <v>34, 40, PSYDUCK</v>
      </c>
    </row>
    <row r="2621" ht="12.75" customHeight="1">
      <c r="A2621" s="4" t="s">
        <v>3601</v>
      </c>
      <c r="B2621" s="5" t="s">
        <v>3601</v>
      </c>
      <c r="C2621" s="1" t="str">
        <f t="shared" si="1"/>
        <v/>
      </c>
      <c r="E2621" s="5" t="s">
        <v>3601</v>
      </c>
      <c r="F2621" s="6" t="str">
        <f t="shared" si="2"/>
        <v>#N/A</v>
      </c>
      <c r="G2621" s="1" t="str">
        <f t="shared" si="3"/>
        <v/>
      </c>
      <c r="H2621" s="5" t="str">
        <f t="shared" si="4"/>
        <v>36, 42, TENTACRUEL</v>
      </c>
    </row>
    <row r="2622" ht="12.75" customHeight="1">
      <c r="A2622" s="4" t="s">
        <v>3533</v>
      </c>
      <c r="B2622" s="5" t="s">
        <v>3533</v>
      </c>
      <c r="C2622" s="1" t="str">
        <f t="shared" si="1"/>
        <v/>
      </c>
      <c r="E2622" s="5" t="s">
        <v>3533</v>
      </c>
      <c r="F2622" s="6" t="str">
        <f t="shared" si="2"/>
        <v>#N/A</v>
      </c>
      <c r="G2622" s="1" t="str">
        <f t="shared" si="3"/>
        <v/>
      </c>
      <c r="H2622" s="5" t="str">
        <f t="shared" si="4"/>
        <v>39, 42, GOLDUCK</v>
      </c>
    </row>
    <row r="2623" ht="12.75" customHeight="1">
      <c r="A2623" s="4" t="s">
        <v>3602</v>
      </c>
      <c r="B2623" s="5" t="s">
        <v>3602</v>
      </c>
      <c r="C2623" s="1" t="str">
        <f t="shared" si="1"/>
        <v/>
      </c>
      <c r="E2623" s="5" t="s">
        <v>3602</v>
      </c>
      <c r="F2623" s="6" t="str">
        <f t="shared" si="2"/>
        <v>#N/A</v>
      </c>
      <c r="G2623" s="1" t="str">
        <f t="shared" si="3"/>
        <v/>
      </c>
      <c r="H2623" s="5" t="str">
        <f t="shared" si="4"/>
        <v>39, 42, VAPOREON</v>
      </c>
    </row>
    <row r="2624" ht="12.75" customHeight="1">
      <c r="A2624" s="4" t="s">
        <v>2926</v>
      </c>
      <c r="B2624" s="5" t="s">
        <v>2926</v>
      </c>
      <c r="C2624" s="1" t="str">
        <f t="shared" si="1"/>
        <v/>
      </c>
      <c r="E2624" s="5" t="s">
        <v>2926</v>
      </c>
      <c r="F2624" s="6" t="str">
        <f t="shared" si="2"/>
        <v>#N/A</v>
      </c>
      <c r="G2624" s="1" t="str">
        <f t="shared" si="3"/>
        <v/>
      </c>
      <c r="H2624" s="5" t="str">
        <f t="shared" si="4"/>
        <v>20, old rod:</v>
      </c>
    </row>
    <row r="2625" ht="12.75" customHeight="1">
      <c r="A2625" s="4" t="s">
        <v>500</v>
      </c>
      <c r="B2625" s="5" t="s">
        <v>500</v>
      </c>
      <c r="C2625" s="1" t="str">
        <f t="shared" si="1"/>
        <v/>
      </c>
      <c r="E2625" s="5" t="s">
        <v>500</v>
      </c>
      <c r="F2625" s="6" t="str">
        <f t="shared" si="2"/>
        <v>#N/A</v>
      </c>
      <c r="G2625" s="1" t="str">
        <f t="shared" si="3"/>
        <v/>
      </c>
      <c r="H2625" s="5" t="str">
        <f t="shared" si="4"/>
        <v>19, 26, MAGIKARP</v>
      </c>
    </row>
    <row r="2626" ht="12.75" customHeight="1">
      <c r="A2626" s="4" t="s">
        <v>3353</v>
      </c>
      <c r="B2626" s="5" t="s">
        <v>3353</v>
      </c>
      <c r="C2626" s="1" t="str">
        <f t="shared" si="1"/>
        <v/>
      </c>
      <c r="E2626" s="5" t="s">
        <v>3353</v>
      </c>
      <c r="F2626" s="6" t="str">
        <f t="shared" si="2"/>
        <v>#N/A</v>
      </c>
      <c r="G2626" s="1" t="str">
        <f t="shared" si="3"/>
        <v/>
      </c>
      <c r="H2626" s="5" t="str">
        <f t="shared" si="4"/>
        <v>19, 26, GYARADOS</v>
      </c>
    </row>
    <row r="2627" ht="12.75" customHeight="1">
      <c r="A2627" s="4" t="s">
        <v>2847</v>
      </c>
      <c r="B2627" s="5" t="s">
        <v>2847</v>
      </c>
      <c r="C2627" s="1" t="str">
        <f t="shared" si="1"/>
        <v/>
      </c>
      <c r="E2627" s="5" t="s">
        <v>2847</v>
      </c>
      <c r="F2627" s="6" t="str">
        <f t="shared" si="2"/>
        <v>#N/A</v>
      </c>
      <c r="G2627" s="1" t="str">
        <f t="shared" si="3"/>
        <v/>
      </c>
      <c r="H2627" s="5" t="str">
        <f t="shared" si="4"/>
        <v>good rod:</v>
      </c>
    </row>
    <row r="2628" ht="12.75" customHeight="1">
      <c r="A2628" s="4" t="s">
        <v>3354</v>
      </c>
      <c r="B2628" s="5" t="s">
        <v>3354</v>
      </c>
      <c r="C2628" s="1" t="str">
        <f t="shared" si="1"/>
        <v/>
      </c>
      <c r="E2628" s="5" t="s">
        <v>3354</v>
      </c>
      <c r="F2628" s="6" t="str">
        <f t="shared" si="2"/>
        <v>#N/A</v>
      </c>
      <c r="G2628" s="1" t="str">
        <f t="shared" si="3"/>
        <v/>
      </c>
      <c r="H2628" s="5" t="str">
        <f t="shared" si="4"/>
        <v>29, 33, SLOWPOKE</v>
      </c>
    </row>
    <row r="2629" ht="12.75" customHeight="1">
      <c r="A2629" s="4" t="s">
        <v>3028</v>
      </c>
      <c r="B2629" s="5" t="s">
        <v>3028</v>
      </c>
      <c r="C2629" s="1" t="str">
        <f t="shared" si="1"/>
        <v/>
      </c>
      <c r="E2629" s="5" t="s">
        <v>3028</v>
      </c>
      <c r="F2629" s="6" t="str">
        <f t="shared" si="2"/>
        <v>#N/A</v>
      </c>
      <c r="G2629" s="1" t="str">
        <f t="shared" si="3"/>
        <v/>
      </c>
      <c r="H2629" s="5" t="str">
        <f t="shared" si="4"/>
        <v>30, 35, KRABBY</v>
      </c>
    </row>
    <row r="2630" ht="12.75" customHeight="1">
      <c r="A2630" s="4" t="s">
        <v>3355</v>
      </c>
      <c r="B2630" s="5" t="s">
        <v>3355</v>
      </c>
      <c r="C2630" s="1" t="str">
        <f t="shared" si="1"/>
        <v/>
      </c>
      <c r="E2630" s="5" t="s">
        <v>3355</v>
      </c>
      <c r="F2630" s="6" t="str">
        <f t="shared" si="2"/>
        <v>#N/A</v>
      </c>
      <c r="G2630" s="1" t="str">
        <f t="shared" si="3"/>
        <v/>
      </c>
      <c r="H2630" s="5" t="str">
        <f t="shared" si="4"/>
        <v>30, 35, PSYDUCK</v>
      </c>
    </row>
    <row r="2631" ht="12.75" customHeight="1">
      <c r="A2631" s="4" t="s">
        <v>2851</v>
      </c>
      <c r="B2631" s="5" t="s">
        <v>2851</v>
      </c>
      <c r="C2631" s="1" t="str">
        <f t="shared" si="1"/>
        <v/>
      </c>
      <c r="E2631" s="5" t="s">
        <v>2851</v>
      </c>
      <c r="F2631" s="6" t="str">
        <f t="shared" si="2"/>
        <v>#N/A</v>
      </c>
      <c r="G2631" s="1" t="str">
        <f t="shared" si="3"/>
        <v/>
      </c>
      <c r="H2631" s="5" t="str">
        <f t="shared" si="4"/>
        <v>super rod:</v>
      </c>
    </row>
    <row r="2632" ht="12.75" customHeight="1">
      <c r="A2632" s="4" t="s">
        <v>3356</v>
      </c>
      <c r="B2632" s="5" t="s">
        <v>3356</v>
      </c>
      <c r="C2632" s="1" t="str">
        <f t="shared" si="1"/>
        <v/>
      </c>
      <c r="E2632" s="5" t="s">
        <v>3356</v>
      </c>
      <c r="F2632" s="6" t="str">
        <f t="shared" si="2"/>
        <v>#N/A</v>
      </c>
      <c r="G2632" s="1" t="str">
        <f t="shared" si="3"/>
        <v/>
      </c>
      <c r="H2632" s="5" t="str">
        <f t="shared" si="4"/>
        <v>36, 40, SLOWBRO</v>
      </c>
    </row>
    <row r="2633" ht="12.75" customHeight="1">
      <c r="A2633" s="4" t="s">
        <v>3357</v>
      </c>
      <c r="B2633" s="5" t="s">
        <v>3357</v>
      </c>
      <c r="C2633" s="1" t="str">
        <f t="shared" si="1"/>
        <v/>
      </c>
      <c r="E2633" s="5" t="s">
        <v>3357</v>
      </c>
      <c r="F2633" s="6" t="str">
        <f t="shared" si="2"/>
        <v>#N/A</v>
      </c>
      <c r="G2633" s="1" t="str">
        <f t="shared" si="3"/>
        <v/>
      </c>
      <c r="H2633" s="5" t="str">
        <f t="shared" si="4"/>
        <v>36, 40, GYARADOS</v>
      </c>
    </row>
    <row r="2634" ht="12.75" customHeight="1">
      <c r="A2634" s="4" t="s">
        <v>3358</v>
      </c>
      <c r="B2634" s="5" t="s">
        <v>3358</v>
      </c>
      <c r="C2634" s="1" t="str">
        <f t="shared" si="1"/>
        <v/>
      </c>
      <c r="E2634" s="5" t="s">
        <v>3358</v>
      </c>
      <c r="F2634" s="6" t="str">
        <f t="shared" si="2"/>
        <v>#N/A</v>
      </c>
      <c r="G2634" s="1" t="str">
        <f t="shared" si="3"/>
        <v/>
      </c>
      <c r="H2634" s="5" t="str">
        <f t="shared" si="4"/>
        <v>38, 42, GOLDUCK</v>
      </c>
    </row>
    <row r="2635" ht="12.75" customHeight="1">
      <c r="A2635" s="4" t="s">
        <v>3359</v>
      </c>
      <c r="B2635" s="5" t="s">
        <v>3359</v>
      </c>
      <c r="C2635" s="1" t="str">
        <f t="shared" si="1"/>
        <v/>
      </c>
      <c r="E2635" s="5" t="s">
        <v>3359</v>
      </c>
      <c r="F2635" s="6" t="str">
        <f t="shared" si="2"/>
        <v>#N/A</v>
      </c>
      <c r="G2635" s="1" t="str">
        <f t="shared" si="3"/>
        <v/>
      </c>
      <c r="H2635" s="5" t="str">
        <f t="shared" si="4"/>
        <v>38, 42, KINGLER</v>
      </c>
    </row>
    <row r="2636" ht="12.75" customHeight="1">
      <c r="A2636" s="4" t="s">
        <v>3360</v>
      </c>
      <c r="B2636" s="5" t="s">
        <v>3360</v>
      </c>
      <c r="C2636" s="1" t="str">
        <f t="shared" si="1"/>
        <v/>
      </c>
      <c r="E2636" s="5" t="s">
        <v>3360</v>
      </c>
      <c r="F2636" s="6" t="str">
        <f t="shared" si="2"/>
        <v>#N/A</v>
      </c>
      <c r="G2636" s="1" t="str">
        <f t="shared" si="3"/>
        <v/>
      </c>
      <c r="H2636" s="5" t="str">
        <f t="shared" si="4"/>
        <v>40, 44, SLOWMATE</v>
      </c>
    </row>
    <row r="2637" ht="12.75" customHeight="1">
      <c r="A2637" s="4" t="s">
        <v>2539</v>
      </c>
      <c r="B2637" s="5" t="s">
        <v>2539</v>
      </c>
      <c r="C2637" s="1">
        <f t="shared" si="1"/>
        <v>1</v>
      </c>
      <c r="E2637" s="5" t="s">
        <v>2539</v>
      </c>
      <c r="F2637" s="6" t="str">
        <f t="shared" si="2"/>
        <v>#N/A</v>
      </c>
      <c r="G2637" s="1" t="str">
        <f t="shared" si="3"/>
        <v/>
      </c>
      <c r="H2637" s="5" t="str">
        <f t="shared" si="4"/>
        <v>NEW ROUTE</v>
      </c>
    </row>
    <row r="2638" ht="12.75" customHeight="1">
      <c r="A2638" s="4" t="s">
        <v>2065</v>
      </c>
      <c r="B2638" s="5" t="s">
        <v>2065</v>
      </c>
      <c r="C2638" s="1" t="str">
        <f t="shared" si="1"/>
        <v/>
      </c>
      <c r="E2638" s="5" t="s">
        <v>2065</v>
      </c>
      <c r="F2638" s="6" t="str">
        <f t="shared" si="2"/>
        <v>Pallet Town</v>
      </c>
      <c r="G2638" s="1" t="str">
        <f t="shared" si="3"/>
        <v>Pallet Town</v>
      </c>
      <c r="H2638" s="5" t="str">
        <f t="shared" si="4"/>
        <v>Pallet Town</v>
      </c>
    </row>
    <row r="2639" ht="12.75" customHeight="1">
      <c r="A2639" s="4" t="s">
        <v>3610</v>
      </c>
      <c r="B2639" s="5" t="s">
        <v>3610</v>
      </c>
      <c r="C2639" s="1" t="str">
        <f t="shared" si="1"/>
        <v/>
      </c>
      <c r="E2639" s="5" t="s">
        <v>3610</v>
      </c>
      <c r="F2639" s="6" t="str">
        <f t="shared" si="2"/>
        <v>#N/A</v>
      </c>
      <c r="G2639" s="1" t="str">
        <f t="shared" si="3"/>
        <v/>
      </c>
      <c r="H2639" s="5" t="str">
        <f t="shared" si="4"/>
        <v>1, 38, 42, TENTACOOL</v>
      </c>
    </row>
    <row r="2640" ht="12.75" customHeight="1">
      <c r="A2640" s="4" t="s">
        <v>3429</v>
      </c>
      <c r="B2640" s="5" t="s">
        <v>3429</v>
      </c>
      <c r="C2640" s="1" t="str">
        <f t="shared" si="1"/>
        <v/>
      </c>
      <c r="E2640" s="5" t="s">
        <v>3429</v>
      </c>
      <c r="F2640" s="6" t="str">
        <f t="shared" si="2"/>
        <v>#N/A</v>
      </c>
      <c r="G2640" s="1" t="str">
        <f t="shared" si="3"/>
        <v/>
      </c>
      <c r="H2640" s="5" t="str">
        <f t="shared" si="4"/>
        <v>40, 44, TENTACRUEL</v>
      </c>
    </row>
    <row r="2641" ht="12.75" customHeight="1">
      <c r="A2641" s="4" t="s">
        <v>3025</v>
      </c>
      <c r="B2641" s="5" t="s">
        <v>3025</v>
      </c>
      <c r="C2641" s="1" t="str">
        <f t="shared" si="1"/>
        <v/>
      </c>
      <c r="E2641" s="5" t="s">
        <v>3025</v>
      </c>
      <c r="F2641" s="6" t="str">
        <f t="shared" si="2"/>
        <v>#N/A</v>
      </c>
      <c r="G2641" s="1" t="str">
        <f t="shared" si="3"/>
        <v/>
      </c>
      <c r="H2641" s="5" t="str">
        <f t="shared" si="4"/>
        <v>42, 46, LAPRAS</v>
      </c>
    </row>
    <row r="2642" ht="12.75" customHeight="1">
      <c r="A2642" s="4" t="s">
        <v>3430</v>
      </c>
      <c r="B2642" s="5" t="s">
        <v>3430</v>
      </c>
      <c r="C2642" s="1" t="str">
        <f t="shared" si="1"/>
        <v/>
      </c>
      <c r="E2642" s="5" t="s">
        <v>3430</v>
      </c>
      <c r="F2642" s="6" t="str">
        <f t="shared" si="2"/>
        <v>#N/A</v>
      </c>
      <c r="G2642" s="1" t="str">
        <f t="shared" si="3"/>
        <v/>
      </c>
      <c r="H2642" s="5" t="str">
        <f t="shared" si="4"/>
        <v>42, 46, TENTACATE</v>
      </c>
    </row>
    <row r="2643" ht="12.75" customHeight="1">
      <c r="A2643" s="4" t="s">
        <v>3450</v>
      </c>
      <c r="B2643" s="5" t="s">
        <v>3450</v>
      </c>
      <c r="C2643" s="1" t="str">
        <f t="shared" si="1"/>
        <v/>
      </c>
      <c r="E2643" s="5" t="s">
        <v>3450</v>
      </c>
      <c r="F2643" s="6" t="str">
        <f t="shared" si="2"/>
        <v>#N/A</v>
      </c>
      <c r="G2643" s="1" t="str">
        <f t="shared" si="3"/>
        <v/>
      </c>
      <c r="H2643" s="5" t="str">
        <f t="shared" si="4"/>
        <v>44, 48, LOCHLASS</v>
      </c>
    </row>
    <row r="2644" ht="12.75" customHeight="1">
      <c r="A2644" s="4" t="s">
        <v>2846</v>
      </c>
      <c r="B2644" s="5" t="s">
        <v>2846</v>
      </c>
      <c r="C2644" s="1" t="str">
        <f t="shared" si="1"/>
        <v/>
      </c>
      <c r="E2644" s="5" t="s">
        <v>2846</v>
      </c>
      <c r="F2644" s="6" t="str">
        <f t="shared" si="2"/>
        <v>#N/A</v>
      </c>
      <c r="G2644" s="1" t="str">
        <f t="shared" si="3"/>
        <v/>
      </c>
      <c r="H2644" s="5" t="str">
        <f t="shared" si="4"/>
        <v>10, old rod:</v>
      </c>
    </row>
    <row r="2645" ht="12.75" customHeight="1">
      <c r="A2645" s="4" t="s">
        <v>500</v>
      </c>
      <c r="B2645" s="5" t="s">
        <v>500</v>
      </c>
      <c r="C2645" s="1" t="str">
        <f t="shared" si="1"/>
        <v/>
      </c>
      <c r="E2645" s="5" t="s">
        <v>500</v>
      </c>
      <c r="F2645" s="6" t="str">
        <f t="shared" si="2"/>
        <v>#N/A</v>
      </c>
      <c r="G2645" s="1" t="str">
        <f t="shared" si="3"/>
        <v/>
      </c>
      <c r="H2645" s="5" t="str">
        <f t="shared" si="4"/>
        <v>19, 26, MAGIKARP</v>
      </c>
    </row>
    <row r="2646" ht="12.75" customHeight="1">
      <c r="A2646" s="4" t="s">
        <v>3353</v>
      </c>
      <c r="B2646" s="5" t="s">
        <v>3353</v>
      </c>
      <c r="C2646" s="1" t="str">
        <f t="shared" si="1"/>
        <v/>
      </c>
      <c r="E2646" s="5" t="s">
        <v>3353</v>
      </c>
      <c r="F2646" s="6" t="str">
        <f t="shared" si="2"/>
        <v>#N/A</v>
      </c>
      <c r="G2646" s="1" t="str">
        <f t="shared" si="3"/>
        <v/>
      </c>
      <c r="H2646" s="5" t="str">
        <f t="shared" si="4"/>
        <v>19, 26, GYARADOS</v>
      </c>
    </row>
    <row r="2647" ht="12.75" customHeight="1">
      <c r="A2647" s="4" t="s">
        <v>2847</v>
      </c>
      <c r="B2647" s="5" t="s">
        <v>2847</v>
      </c>
      <c r="C2647" s="1" t="str">
        <f t="shared" si="1"/>
        <v/>
      </c>
      <c r="E2647" s="5" t="s">
        <v>2847</v>
      </c>
      <c r="F2647" s="6" t="str">
        <f t="shared" si="2"/>
        <v>#N/A</v>
      </c>
      <c r="G2647" s="1" t="str">
        <f t="shared" si="3"/>
        <v/>
      </c>
      <c r="H2647" s="5" t="str">
        <f t="shared" si="4"/>
        <v>good rod:</v>
      </c>
    </row>
    <row r="2648" ht="12.75" customHeight="1">
      <c r="A2648" s="4" t="s">
        <v>3431</v>
      </c>
      <c r="B2648" s="5" t="s">
        <v>3431</v>
      </c>
      <c r="C2648" s="1" t="str">
        <f t="shared" si="1"/>
        <v/>
      </c>
      <c r="E2648" s="5" t="s">
        <v>3431</v>
      </c>
      <c r="F2648" s="6" t="str">
        <f t="shared" si="2"/>
        <v>#N/A</v>
      </c>
      <c r="G2648" s="1" t="str">
        <f t="shared" si="3"/>
        <v/>
      </c>
      <c r="H2648" s="5" t="str">
        <f t="shared" si="4"/>
        <v>29, 33, HORSEA</v>
      </c>
    </row>
    <row r="2649" ht="12.75" customHeight="1">
      <c r="A2649" s="4" t="s">
        <v>3028</v>
      </c>
      <c r="B2649" s="5" t="s">
        <v>3028</v>
      </c>
      <c r="C2649" s="1" t="str">
        <f t="shared" si="1"/>
        <v/>
      </c>
      <c r="E2649" s="5" t="s">
        <v>3028</v>
      </c>
      <c r="F2649" s="6" t="str">
        <f t="shared" si="2"/>
        <v>#N/A</v>
      </c>
      <c r="G2649" s="1" t="str">
        <f t="shared" si="3"/>
        <v/>
      </c>
      <c r="H2649" s="5" t="str">
        <f t="shared" si="4"/>
        <v>30, 35, KRABBY</v>
      </c>
    </row>
    <row r="2650" ht="12.75" customHeight="1">
      <c r="A2650" s="4" t="s">
        <v>3452</v>
      </c>
      <c r="B2650" s="5" t="s">
        <v>3452</v>
      </c>
      <c r="C2650" s="1" t="str">
        <f t="shared" si="1"/>
        <v/>
      </c>
      <c r="E2650" s="5" t="s">
        <v>3452</v>
      </c>
      <c r="F2650" s="6" t="str">
        <f t="shared" si="2"/>
        <v>#N/A</v>
      </c>
      <c r="G2650" s="1" t="str">
        <f t="shared" si="3"/>
        <v/>
      </c>
      <c r="H2650" s="5" t="str">
        <f t="shared" si="4"/>
        <v>30, 35, STARYU</v>
      </c>
    </row>
    <row r="2651" ht="12.75" customHeight="1">
      <c r="A2651" s="4" t="s">
        <v>2851</v>
      </c>
      <c r="B2651" s="5" t="s">
        <v>2851</v>
      </c>
      <c r="C2651" s="1" t="str">
        <f t="shared" si="1"/>
        <v/>
      </c>
      <c r="E2651" s="5" t="s">
        <v>2851</v>
      </c>
      <c r="F2651" s="6" t="str">
        <f t="shared" si="2"/>
        <v>#N/A</v>
      </c>
      <c r="G2651" s="1" t="str">
        <f t="shared" si="3"/>
        <v/>
      </c>
      <c r="H2651" s="5" t="str">
        <f t="shared" si="4"/>
        <v>super rod:</v>
      </c>
    </row>
    <row r="2652" ht="12.75" customHeight="1">
      <c r="A2652" s="4" t="s">
        <v>3433</v>
      </c>
      <c r="B2652" s="5" t="s">
        <v>3433</v>
      </c>
      <c r="C2652" s="1" t="str">
        <f t="shared" si="1"/>
        <v/>
      </c>
      <c r="E2652" s="5" t="s">
        <v>3433</v>
      </c>
      <c r="F2652" s="6" t="str">
        <f t="shared" si="2"/>
        <v>#N/A</v>
      </c>
      <c r="G2652" s="1" t="str">
        <f t="shared" si="3"/>
        <v/>
      </c>
      <c r="H2652" s="5" t="str">
        <f t="shared" si="4"/>
        <v>36, 40, SEADRA</v>
      </c>
    </row>
    <row r="2653" ht="12.75" customHeight="1">
      <c r="A2653" s="4" t="s">
        <v>3357</v>
      </c>
      <c r="B2653" s="5" t="s">
        <v>3357</v>
      </c>
      <c r="C2653" s="1" t="str">
        <f t="shared" si="1"/>
        <v/>
      </c>
      <c r="E2653" s="5" t="s">
        <v>3357</v>
      </c>
      <c r="F2653" s="6" t="str">
        <f t="shared" si="2"/>
        <v>#N/A</v>
      </c>
      <c r="G2653" s="1" t="str">
        <f t="shared" si="3"/>
        <v/>
      </c>
      <c r="H2653" s="5" t="str">
        <f t="shared" si="4"/>
        <v>36, 40, GYARADOS</v>
      </c>
    </row>
    <row r="2654" ht="12.75" customHeight="1">
      <c r="A2654" s="4" t="s">
        <v>3453</v>
      </c>
      <c r="B2654" s="5" t="s">
        <v>3453</v>
      </c>
      <c r="C2654" s="1" t="str">
        <f t="shared" si="1"/>
        <v/>
      </c>
      <c r="E2654" s="5" t="s">
        <v>3453</v>
      </c>
      <c r="F2654" s="6" t="str">
        <f t="shared" si="2"/>
        <v>#N/A</v>
      </c>
      <c r="G2654" s="1" t="str">
        <f t="shared" si="3"/>
        <v/>
      </c>
      <c r="H2654" s="5" t="str">
        <f t="shared" si="4"/>
        <v>38, 42, STARMIE</v>
      </c>
    </row>
    <row r="2655" ht="12.75" customHeight="1">
      <c r="A2655" s="4" t="s">
        <v>3359</v>
      </c>
      <c r="B2655" s="5" t="s">
        <v>3359</v>
      </c>
      <c r="C2655" s="1" t="str">
        <f t="shared" si="1"/>
        <v/>
      </c>
      <c r="E2655" s="5" t="s">
        <v>3359</v>
      </c>
      <c r="F2655" s="6" t="str">
        <f t="shared" si="2"/>
        <v>#N/A</v>
      </c>
      <c r="G2655" s="1" t="str">
        <f t="shared" si="3"/>
        <v/>
      </c>
      <c r="H2655" s="5" t="str">
        <f t="shared" si="4"/>
        <v>38, 42, KINGLER</v>
      </c>
    </row>
    <row r="2656" ht="12.75" customHeight="1">
      <c r="A2656" s="4" t="s">
        <v>3611</v>
      </c>
      <c r="B2656" s="5" t="s">
        <v>3611</v>
      </c>
      <c r="C2656" s="1" t="str">
        <f t="shared" si="1"/>
        <v/>
      </c>
      <c r="E2656" s="5" t="s">
        <v>3611</v>
      </c>
      <c r="F2656" s="6" t="str">
        <f t="shared" si="2"/>
        <v>#N/A</v>
      </c>
      <c r="G2656" s="1" t="str">
        <f t="shared" si="3"/>
        <v/>
      </c>
      <c r="H2656" s="5" t="str">
        <f t="shared" si="4"/>
        <v>40, 44, STARUS</v>
      </c>
    </row>
    <row r="2657" ht="12.75" customHeight="1">
      <c r="A2657" s="4" t="s">
        <v>2539</v>
      </c>
      <c r="B2657" s="5" t="s">
        <v>2539</v>
      </c>
      <c r="C2657" s="1">
        <f t="shared" si="1"/>
        <v>1</v>
      </c>
      <c r="E2657" s="5" t="s">
        <v>2539</v>
      </c>
      <c r="F2657" s="6" t="str">
        <f t="shared" si="2"/>
        <v>#N/A</v>
      </c>
      <c r="G2657" s="1" t="str">
        <f t="shared" si="3"/>
        <v/>
      </c>
      <c r="H2657" s="5" t="str">
        <f t="shared" si="4"/>
        <v>NEW ROUTE</v>
      </c>
    </row>
    <row r="2658" ht="12.75" customHeight="1">
      <c r="A2658" s="4" t="s">
        <v>2067</v>
      </c>
      <c r="B2658" s="5" t="s">
        <v>2067</v>
      </c>
      <c r="C2658" s="1" t="str">
        <f t="shared" si="1"/>
        <v/>
      </c>
      <c r="E2658" s="5" t="s">
        <v>2067</v>
      </c>
      <c r="F2658" s="6" t="str">
        <f t="shared" si="2"/>
        <v>Viridian City</v>
      </c>
      <c r="G2658" s="1" t="str">
        <f t="shared" si="3"/>
        <v>Viridian City</v>
      </c>
      <c r="H2658" s="5" t="str">
        <f t="shared" si="4"/>
        <v>Viridian City</v>
      </c>
    </row>
    <row r="2659" ht="12.75" customHeight="1">
      <c r="A2659" s="4" t="s">
        <v>3613</v>
      </c>
      <c r="B2659" s="5" t="s">
        <v>3613</v>
      </c>
      <c r="C2659" s="1" t="str">
        <f t="shared" si="1"/>
        <v/>
      </c>
      <c r="E2659" s="5" t="s">
        <v>3613</v>
      </c>
      <c r="F2659" s="6" t="str">
        <f t="shared" si="2"/>
        <v>#N/A</v>
      </c>
      <c r="G2659" s="1" t="str">
        <f t="shared" si="3"/>
        <v/>
      </c>
      <c r="H2659" s="5" t="str">
        <f t="shared" si="4"/>
        <v>1, 38, 42, PSYDUCK</v>
      </c>
    </row>
    <row r="2660" ht="12.75" customHeight="1">
      <c r="A2660" s="4" t="s">
        <v>3375</v>
      </c>
      <c r="B2660" s="5" t="s">
        <v>3375</v>
      </c>
      <c r="C2660" s="1" t="str">
        <f t="shared" si="1"/>
        <v/>
      </c>
      <c r="E2660" s="5" t="s">
        <v>3375</v>
      </c>
      <c r="F2660" s="6" t="str">
        <f t="shared" si="2"/>
        <v>#N/A</v>
      </c>
      <c r="G2660" s="1" t="str">
        <f t="shared" si="3"/>
        <v/>
      </c>
      <c r="H2660" s="5" t="str">
        <f t="shared" si="4"/>
        <v>40, 44, SLOWPOKE</v>
      </c>
    </row>
    <row r="2661" ht="12.75" customHeight="1">
      <c r="A2661" s="4" t="s">
        <v>2924</v>
      </c>
      <c r="B2661" s="5" t="s">
        <v>2924</v>
      </c>
      <c r="C2661" s="1" t="str">
        <f t="shared" si="1"/>
        <v/>
      </c>
      <c r="E2661" s="5" t="s">
        <v>2924</v>
      </c>
      <c r="F2661" s="6" t="str">
        <f t="shared" si="2"/>
        <v>#N/A</v>
      </c>
      <c r="G2661" s="1" t="str">
        <f t="shared" si="3"/>
        <v/>
      </c>
      <c r="H2661" s="5" t="str">
        <f t="shared" si="4"/>
        <v>42, 46, GOLDUCK</v>
      </c>
    </row>
    <row r="2662" ht="12.75" customHeight="1">
      <c r="A2662" s="4" t="s">
        <v>2923</v>
      </c>
      <c r="B2662" s="5" t="s">
        <v>2923</v>
      </c>
      <c r="C2662" s="1" t="str">
        <f t="shared" si="1"/>
        <v/>
      </c>
      <c r="E2662" s="5" t="s">
        <v>2923</v>
      </c>
      <c r="F2662" s="6" t="str">
        <f t="shared" si="2"/>
        <v>#N/A</v>
      </c>
      <c r="G2662" s="1" t="str">
        <f t="shared" si="3"/>
        <v/>
      </c>
      <c r="H2662" s="5" t="str">
        <f t="shared" si="4"/>
        <v>42, 46, SLOWBRO</v>
      </c>
    </row>
    <row r="2663" ht="12.75" customHeight="1">
      <c r="A2663" s="4" t="s">
        <v>3614</v>
      </c>
      <c r="B2663" s="5" t="s">
        <v>3614</v>
      </c>
      <c r="C2663" s="1" t="str">
        <f t="shared" si="1"/>
        <v/>
      </c>
      <c r="E2663" s="5" t="s">
        <v>3614</v>
      </c>
      <c r="F2663" s="6" t="str">
        <f t="shared" si="2"/>
        <v>#N/A</v>
      </c>
      <c r="G2663" s="1" t="str">
        <f t="shared" si="3"/>
        <v/>
      </c>
      <c r="H2663" s="5" t="str">
        <f t="shared" si="4"/>
        <v>44, 48, GILDUCK</v>
      </c>
    </row>
    <row r="2664" ht="12.75" customHeight="1">
      <c r="A2664" s="4" t="s">
        <v>2846</v>
      </c>
      <c r="B2664" s="5" t="s">
        <v>2846</v>
      </c>
      <c r="C2664" s="1" t="str">
        <f t="shared" si="1"/>
        <v/>
      </c>
      <c r="E2664" s="5" t="s">
        <v>2846</v>
      </c>
      <c r="F2664" s="6" t="str">
        <f t="shared" si="2"/>
        <v>#N/A</v>
      </c>
      <c r="G2664" s="1" t="str">
        <f t="shared" si="3"/>
        <v/>
      </c>
      <c r="H2664" s="5" t="str">
        <f t="shared" si="4"/>
        <v>10, old rod:</v>
      </c>
    </row>
    <row r="2665" ht="12.75" customHeight="1">
      <c r="A2665" s="4" t="s">
        <v>500</v>
      </c>
      <c r="B2665" s="5" t="s">
        <v>500</v>
      </c>
      <c r="C2665" s="1" t="str">
        <f t="shared" si="1"/>
        <v/>
      </c>
      <c r="E2665" s="5" t="s">
        <v>500</v>
      </c>
      <c r="F2665" s="6" t="str">
        <f t="shared" si="2"/>
        <v>#N/A</v>
      </c>
      <c r="G2665" s="1" t="str">
        <f t="shared" si="3"/>
        <v/>
      </c>
      <c r="H2665" s="5" t="str">
        <f t="shared" si="4"/>
        <v>19, 26, MAGIKARP</v>
      </c>
    </row>
    <row r="2666" ht="12.75" customHeight="1">
      <c r="A2666" s="4" t="s">
        <v>2927</v>
      </c>
      <c r="B2666" s="5" t="s">
        <v>2927</v>
      </c>
      <c r="C2666" s="1" t="str">
        <f t="shared" si="1"/>
        <v/>
      </c>
      <c r="E2666" s="5" t="s">
        <v>2927</v>
      </c>
      <c r="F2666" s="6" t="str">
        <f t="shared" si="2"/>
        <v>#N/A</v>
      </c>
      <c r="G2666" s="1" t="str">
        <f t="shared" si="3"/>
        <v/>
      </c>
      <c r="H2666" s="5" t="str">
        <f t="shared" si="4"/>
        <v>19, 26, POLIWAG</v>
      </c>
    </row>
    <row r="2667" ht="12.75" customHeight="1">
      <c r="A2667" s="4" t="s">
        <v>2847</v>
      </c>
      <c r="B2667" s="5" t="s">
        <v>2847</v>
      </c>
      <c r="C2667" s="1" t="str">
        <f t="shared" si="1"/>
        <v/>
      </c>
      <c r="E2667" s="5" t="s">
        <v>2847</v>
      </c>
      <c r="F2667" s="6" t="str">
        <f t="shared" si="2"/>
        <v>#N/A</v>
      </c>
      <c r="G2667" s="1" t="str">
        <f t="shared" si="3"/>
        <v/>
      </c>
      <c r="H2667" s="5" t="str">
        <f t="shared" si="4"/>
        <v>good rod:</v>
      </c>
    </row>
    <row r="2668" ht="12.75" customHeight="1">
      <c r="A2668" s="4" t="s">
        <v>3560</v>
      </c>
      <c r="B2668" s="5" t="s">
        <v>3560</v>
      </c>
      <c r="C2668" s="1" t="str">
        <f t="shared" si="1"/>
        <v/>
      </c>
      <c r="E2668" s="5" t="s">
        <v>3560</v>
      </c>
      <c r="F2668" s="6" t="str">
        <f t="shared" si="2"/>
        <v>#N/A</v>
      </c>
      <c r="G2668" s="1" t="str">
        <f t="shared" si="3"/>
        <v/>
      </c>
      <c r="H2668" s="5" t="str">
        <f t="shared" si="4"/>
        <v>29, 33, MAGIKARP</v>
      </c>
    </row>
    <row r="2669" ht="12.75" customHeight="1">
      <c r="A2669" s="4" t="s">
        <v>3561</v>
      </c>
      <c r="B2669" s="5" t="s">
        <v>3561</v>
      </c>
      <c r="C2669" s="1" t="str">
        <f t="shared" si="1"/>
        <v/>
      </c>
      <c r="E2669" s="5" t="s">
        <v>3561</v>
      </c>
      <c r="F2669" s="6" t="str">
        <f t="shared" si="2"/>
        <v>#N/A</v>
      </c>
      <c r="G2669" s="1" t="str">
        <f t="shared" si="3"/>
        <v/>
      </c>
      <c r="H2669" s="5" t="str">
        <f t="shared" si="4"/>
        <v>30, 35, GYARADOS</v>
      </c>
    </row>
    <row r="2670" ht="12.75" customHeight="1">
      <c r="A2670" s="4" t="s">
        <v>3562</v>
      </c>
      <c r="B2670" s="5" t="s">
        <v>3562</v>
      </c>
      <c r="C2670" s="1" t="str">
        <f t="shared" si="1"/>
        <v/>
      </c>
      <c r="E2670" s="5" t="s">
        <v>3562</v>
      </c>
      <c r="F2670" s="6" t="str">
        <f t="shared" si="2"/>
        <v>#N/A</v>
      </c>
      <c r="G2670" s="1" t="str">
        <f t="shared" si="3"/>
        <v/>
      </c>
      <c r="H2670" s="5" t="str">
        <f t="shared" si="4"/>
        <v>30, 35, POLIWHIRL</v>
      </c>
    </row>
    <row r="2671" ht="12.75" customHeight="1">
      <c r="A2671" s="4" t="s">
        <v>2851</v>
      </c>
      <c r="B2671" s="5" t="s">
        <v>2851</v>
      </c>
      <c r="C2671" s="1" t="str">
        <f t="shared" si="1"/>
        <v/>
      </c>
      <c r="E2671" s="5" t="s">
        <v>2851</v>
      </c>
      <c r="F2671" s="6" t="str">
        <f t="shared" si="2"/>
        <v>#N/A</v>
      </c>
      <c r="G2671" s="1" t="str">
        <f t="shared" si="3"/>
        <v/>
      </c>
      <c r="H2671" s="5" t="str">
        <f t="shared" si="4"/>
        <v>super rod:</v>
      </c>
    </row>
    <row r="2672" ht="12.75" customHeight="1">
      <c r="A2672" s="4" t="s">
        <v>3563</v>
      </c>
      <c r="B2672" s="5" t="s">
        <v>3563</v>
      </c>
      <c r="C2672" s="1" t="str">
        <f t="shared" si="1"/>
        <v/>
      </c>
      <c r="E2672" s="5" t="s">
        <v>3563</v>
      </c>
      <c r="F2672" s="6" t="str">
        <f t="shared" si="2"/>
        <v>#N/A</v>
      </c>
      <c r="G2672" s="1" t="str">
        <f t="shared" si="3"/>
        <v/>
      </c>
      <c r="H2672" s="5" t="str">
        <f t="shared" si="4"/>
        <v>36, 40, MAGIKARP</v>
      </c>
    </row>
    <row r="2673" ht="12.75" customHeight="1">
      <c r="A2673" s="4" t="s">
        <v>3357</v>
      </c>
      <c r="B2673" s="5" t="s">
        <v>3357</v>
      </c>
      <c r="C2673" s="1" t="str">
        <f t="shared" si="1"/>
        <v/>
      </c>
      <c r="E2673" s="5" t="s">
        <v>3357</v>
      </c>
      <c r="F2673" s="6" t="str">
        <f t="shared" si="2"/>
        <v>#N/A</v>
      </c>
      <c r="G2673" s="1" t="str">
        <f t="shared" si="3"/>
        <v/>
      </c>
      <c r="H2673" s="5" t="str">
        <f t="shared" si="4"/>
        <v>36, 40, GYARADOS</v>
      </c>
    </row>
    <row r="2674" ht="12.75" customHeight="1">
      <c r="A2674" s="4" t="s">
        <v>3564</v>
      </c>
      <c r="B2674" s="5" t="s">
        <v>3564</v>
      </c>
      <c r="C2674" s="1" t="str">
        <f t="shared" si="1"/>
        <v/>
      </c>
      <c r="E2674" s="5" t="s">
        <v>3564</v>
      </c>
      <c r="F2674" s="6" t="str">
        <f t="shared" si="2"/>
        <v>#N/A</v>
      </c>
      <c r="G2674" s="1" t="str">
        <f t="shared" si="3"/>
        <v/>
      </c>
      <c r="H2674" s="5" t="str">
        <f t="shared" si="4"/>
        <v>38, 42, POLIWHIRL</v>
      </c>
    </row>
    <row r="2675" ht="12.75" customHeight="1">
      <c r="A2675" s="4" t="s">
        <v>3379</v>
      </c>
      <c r="B2675" s="5" t="s">
        <v>3379</v>
      </c>
      <c r="C2675" s="1" t="str">
        <f t="shared" si="1"/>
        <v/>
      </c>
      <c r="E2675" s="5" t="s">
        <v>3379</v>
      </c>
      <c r="F2675" s="6" t="str">
        <f t="shared" si="2"/>
        <v>#N/A</v>
      </c>
      <c r="G2675" s="1" t="str">
        <f t="shared" si="3"/>
        <v/>
      </c>
      <c r="H2675" s="5" t="str">
        <f t="shared" si="4"/>
        <v>38, 42, POLIWRATH</v>
      </c>
    </row>
    <row r="2676" ht="12.75" customHeight="1">
      <c r="A2676" s="4" t="s">
        <v>3380</v>
      </c>
      <c r="B2676" s="5" t="s">
        <v>3380</v>
      </c>
      <c r="C2676" s="1" t="str">
        <f t="shared" si="1"/>
        <v/>
      </c>
      <c r="E2676" s="5" t="s">
        <v>3380</v>
      </c>
      <c r="F2676" s="6" t="str">
        <f t="shared" si="2"/>
        <v>#N/A</v>
      </c>
      <c r="G2676" s="1" t="str">
        <f t="shared" si="3"/>
        <v/>
      </c>
      <c r="H2676" s="5" t="str">
        <f t="shared" si="4"/>
        <v>40, 44, POLITOES</v>
      </c>
    </row>
    <row r="2677" ht="12.75" customHeight="1">
      <c r="A2677" s="4" t="s">
        <v>2539</v>
      </c>
      <c r="B2677" s="5" t="s">
        <v>2539</v>
      </c>
      <c r="C2677" s="1">
        <f t="shared" si="1"/>
        <v>1</v>
      </c>
      <c r="E2677" s="5" t="s">
        <v>2539</v>
      </c>
      <c r="F2677" s="6" t="str">
        <f t="shared" si="2"/>
        <v>#N/A</v>
      </c>
      <c r="G2677" s="1" t="str">
        <f t="shared" si="3"/>
        <v/>
      </c>
      <c r="H2677" s="5" t="str">
        <f t="shared" si="4"/>
        <v>NEW ROUTE</v>
      </c>
    </row>
    <row r="2678" ht="12.75" customHeight="1">
      <c r="A2678" s="4" t="s">
        <v>2071</v>
      </c>
      <c r="B2678" s="5" t="s">
        <v>2071</v>
      </c>
      <c r="C2678" s="1" t="str">
        <f t="shared" si="1"/>
        <v/>
      </c>
      <c r="E2678" s="5" t="s">
        <v>2071</v>
      </c>
      <c r="F2678" s="6" t="str">
        <f t="shared" si="2"/>
        <v>Celurean City</v>
      </c>
      <c r="G2678" s="1" t="str">
        <f t="shared" si="3"/>
        <v>Celurean City</v>
      </c>
      <c r="H2678" s="5" t="str">
        <f t="shared" si="4"/>
        <v>Celurean City</v>
      </c>
    </row>
    <row r="2679" ht="12.75" customHeight="1">
      <c r="A2679" s="4" t="s">
        <v>3610</v>
      </c>
      <c r="B2679" s="5" t="s">
        <v>3610</v>
      </c>
      <c r="C2679" s="1" t="str">
        <f t="shared" si="1"/>
        <v/>
      </c>
      <c r="E2679" s="5" t="s">
        <v>3610</v>
      </c>
      <c r="F2679" s="6" t="str">
        <f t="shared" si="2"/>
        <v>#N/A</v>
      </c>
      <c r="G2679" s="1" t="str">
        <f t="shared" si="3"/>
        <v/>
      </c>
      <c r="H2679" s="5" t="str">
        <f t="shared" si="4"/>
        <v>1, 38, 42, TENTACOOL</v>
      </c>
    </row>
    <row r="2680" ht="12.75" customHeight="1">
      <c r="A2680" s="4" t="s">
        <v>3351</v>
      </c>
      <c r="B2680" s="5" t="s">
        <v>3351</v>
      </c>
      <c r="C2680" s="1" t="str">
        <f t="shared" si="1"/>
        <v/>
      </c>
      <c r="E2680" s="5" t="s">
        <v>3351</v>
      </c>
      <c r="F2680" s="6" t="str">
        <f t="shared" si="2"/>
        <v>#N/A</v>
      </c>
      <c r="G2680" s="1" t="str">
        <f t="shared" si="3"/>
        <v/>
      </c>
      <c r="H2680" s="5" t="str">
        <f t="shared" si="4"/>
        <v>40, 44, PSYDUCK</v>
      </c>
    </row>
    <row r="2681" ht="12.75" customHeight="1">
      <c r="A2681" s="4" t="s">
        <v>3352</v>
      </c>
      <c r="B2681" s="5" t="s">
        <v>3352</v>
      </c>
      <c r="C2681" s="1" t="str">
        <f t="shared" si="1"/>
        <v/>
      </c>
      <c r="E2681" s="5" t="s">
        <v>3352</v>
      </c>
      <c r="F2681" s="6" t="str">
        <f t="shared" si="2"/>
        <v>#N/A</v>
      </c>
      <c r="G2681" s="1" t="str">
        <f t="shared" si="3"/>
        <v/>
      </c>
      <c r="H2681" s="5" t="str">
        <f t="shared" si="4"/>
        <v>42, 46, TENTACRUEL</v>
      </c>
    </row>
    <row r="2682" ht="12.75" customHeight="1">
      <c r="A2682" s="4" t="s">
        <v>2924</v>
      </c>
      <c r="B2682" s="5" t="s">
        <v>2924</v>
      </c>
      <c r="C2682" s="1" t="str">
        <f t="shared" si="1"/>
        <v/>
      </c>
      <c r="E2682" s="5" t="s">
        <v>2924</v>
      </c>
      <c r="F2682" s="6" t="str">
        <f t="shared" si="2"/>
        <v>#N/A</v>
      </c>
      <c r="G2682" s="1" t="str">
        <f t="shared" si="3"/>
        <v/>
      </c>
      <c r="H2682" s="5" t="str">
        <f t="shared" si="4"/>
        <v>42, 46, GOLDUCK</v>
      </c>
    </row>
    <row r="2683" ht="12.75" customHeight="1">
      <c r="A2683" s="4" t="s">
        <v>2925</v>
      </c>
      <c r="B2683" s="5" t="s">
        <v>2925</v>
      </c>
      <c r="C2683" s="1" t="str">
        <f t="shared" si="1"/>
        <v/>
      </c>
      <c r="E2683" s="5" t="s">
        <v>2925</v>
      </c>
      <c r="F2683" s="6" t="str">
        <f t="shared" si="2"/>
        <v>#N/A</v>
      </c>
      <c r="G2683" s="1" t="str">
        <f t="shared" si="3"/>
        <v/>
      </c>
      <c r="H2683" s="5" t="str">
        <f t="shared" si="4"/>
        <v>44, 48, VAPOREON</v>
      </c>
    </row>
    <row r="2684" ht="12.75" customHeight="1">
      <c r="A2684" s="4" t="s">
        <v>2846</v>
      </c>
      <c r="B2684" s="5" t="s">
        <v>2846</v>
      </c>
      <c r="C2684" s="1" t="str">
        <f t="shared" si="1"/>
        <v/>
      </c>
      <c r="E2684" s="5" t="s">
        <v>2846</v>
      </c>
      <c r="F2684" s="6" t="str">
        <f t="shared" si="2"/>
        <v>#N/A</v>
      </c>
      <c r="G2684" s="1" t="str">
        <f t="shared" si="3"/>
        <v/>
      </c>
      <c r="H2684" s="5" t="str">
        <f t="shared" si="4"/>
        <v>10, old rod:</v>
      </c>
    </row>
    <row r="2685" ht="12.75" customHeight="1">
      <c r="A2685" s="4" t="s">
        <v>500</v>
      </c>
      <c r="B2685" s="5" t="s">
        <v>500</v>
      </c>
      <c r="C2685" s="1" t="str">
        <f t="shared" si="1"/>
        <v/>
      </c>
      <c r="E2685" s="5" t="s">
        <v>500</v>
      </c>
      <c r="F2685" s="6" t="str">
        <f t="shared" si="2"/>
        <v>#N/A</v>
      </c>
      <c r="G2685" s="1" t="str">
        <f t="shared" si="3"/>
        <v/>
      </c>
      <c r="H2685" s="5" t="str">
        <f t="shared" si="4"/>
        <v>19, 26, MAGIKARP</v>
      </c>
    </row>
    <row r="2686" ht="12.75" customHeight="1">
      <c r="A2686" s="4" t="s">
        <v>3353</v>
      </c>
      <c r="B2686" s="5" t="s">
        <v>3353</v>
      </c>
      <c r="C2686" s="1" t="str">
        <f t="shared" si="1"/>
        <v/>
      </c>
      <c r="E2686" s="5" t="s">
        <v>3353</v>
      </c>
      <c r="F2686" s="6" t="str">
        <f t="shared" si="2"/>
        <v>#N/A</v>
      </c>
      <c r="G2686" s="1" t="str">
        <f t="shared" si="3"/>
        <v/>
      </c>
      <c r="H2686" s="5" t="str">
        <f t="shared" si="4"/>
        <v>19, 26, GYARADOS</v>
      </c>
    </row>
    <row r="2687" ht="12.75" customHeight="1">
      <c r="A2687" s="4" t="s">
        <v>2847</v>
      </c>
      <c r="B2687" s="5" t="s">
        <v>2847</v>
      </c>
      <c r="C2687" s="1" t="str">
        <f t="shared" si="1"/>
        <v/>
      </c>
      <c r="E2687" s="5" t="s">
        <v>2847</v>
      </c>
      <c r="F2687" s="6" t="str">
        <f t="shared" si="2"/>
        <v>#N/A</v>
      </c>
      <c r="G2687" s="1" t="str">
        <f t="shared" si="3"/>
        <v/>
      </c>
      <c r="H2687" s="5" t="str">
        <f t="shared" si="4"/>
        <v>good rod:</v>
      </c>
    </row>
    <row r="2688" ht="12.75" customHeight="1">
      <c r="A2688" s="4" t="s">
        <v>3354</v>
      </c>
      <c r="B2688" s="5" t="s">
        <v>3354</v>
      </c>
      <c r="C2688" s="1" t="str">
        <f t="shared" si="1"/>
        <v/>
      </c>
      <c r="E2688" s="5" t="s">
        <v>3354</v>
      </c>
      <c r="F2688" s="6" t="str">
        <f t="shared" si="2"/>
        <v>#N/A</v>
      </c>
      <c r="G2688" s="1" t="str">
        <f t="shared" si="3"/>
        <v/>
      </c>
      <c r="H2688" s="5" t="str">
        <f t="shared" si="4"/>
        <v>29, 33, SLOWPOKE</v>
      </c>
    </row>
    <row r="2689" ht="12.75" customHeight="1">
      <c r="A2689" s="4" t="s">
        <v>3028</v>
      </c>
      <c r="B2689" s="5" t="s">
        <v>3028</v>
      </c>
      <c r="C2689" s="1" t="str">
        <f t="shared" si="1"/>
        <v/>
      </c>
      <c r="E2689" s="5" t="s">
        <v>3028</v>
      </c>
      <c r="F2689" s="6" t="str">
        <f t="shared" si="2"/>
        <v>#N/A</v>
      </c>
      <c r="G2689" s="1" t="str">
        <f t="shared" si="3"/>
        <v/>
      </c>
      <c r="H2689" s="5" t="str">
        <f t="shared" si="4"/>
        <v>30, 35, KRABBY</v>
      </c>
    </row>
    <row r="2690" ht="12.75" customHeight="1">
      <c r="A2690" s="4" t="s">
        <v>3355</v>
      </c>
      <c r="B2690" s="5" t="s">
        <v>3355</v>
      </c>
      <c r="C2690" s="1" t="str">
        <f t="shared" si="1"/>
        <v/>
      </c>
      <c r="E2690" s="5" t="s">
        <v>3355</v>
      </c>
      <c r="F2690" s="6" t="str">
        <f t="shared" si="2"/>
        <v>#N/A</v>
      </c>
      <c r="G2690" s="1" t="str">
        <f t="shared" si="3"/>
        <v/>
      </c>
      <c r="H2690" s="5" t="str">
        <f t="shared" si="4"/>
        <v>30, 35, PSYDUCK</v>
      </c>
    </row>
    <row r="2691" ht="12.75" customHeight="1">
      <c r="A2691" s="4" t="s">
        <v>2851</v>
      </c>
      <c r="B2691" s="5" t="s">
        <v>2851</v>
      </c>
      <c r="C2691" s="1" t="str">
        <f t="shared" si="1"/>
        <v/>
      </c>
      <c r="E2691" s="5" t="s">
        <v>2851</v>
      </c>
      <c r="F2691" s="6" t="str">
        <f t="shared" si="2"/>
        <v>#N/A</v>
      </c>
      <c r="G2691" s="1" t="str">
        <f t="shared" si="3"/>
        <v/>
      </c>
      <c r="H2691" s="5" t="str">
        <f t="shared" si="4"/>
        <v>super rod:</v>
      </c>
    </row>
    <row r="2692" ht="12.75" customHeight="1">
      <c r="A2692" s="4" t="s">
        <v>3356</v>
      </c>
      <c r="B2692" s="5" t="s">
        <v>3356</v>
      </c>
      <c r="C2692" s="1" t="str">
        <f t="shared" si="1"/>
        <v/>
      </c>
      <c r="E2692" s="5" t="s">
        <v>3356</v>
      </c>
      <c r="F2692" s="6" t="str">
        <f t="shared" si="2"/>
        <v>#N/A</v>
      </c>
      <c r="G2692" s="1" t="str">
        <f t="shared" si="3"/>
        <v/>
      </c>
      <c r="H2692" s="5" t="str">
        <f t="shared" si="4"/>
        <v>36, 40, SLOWBRO</v>
      </c>
    </row>
    <row r="2693" ht="12.75" customHeight="1">
      <c r="A2693" s="4" t="s">
        <v>3357</v>
      </c>
      <c r="B2693" s="5" t="s">
        <v>3357</v>
      </c>
      <c r="C2693" s="1" t="str">
        <f t="shared" si="1"/>
        <v/>
      </c>
      <c r="E2693" s="5" t="s">
        <v>3357</v>
      </c>
      <c r="F2693" s="6" t="str">
        <f t="shared" si="2"/>
        <v>#N/A</v>
      </c>
      <c r="G2693" s="1" t="str">
        <f t="shared" si="3"/>
        <v/>
      </c>
      <c r="H2693" s="5" t="str">
        <f t="shared" si="4"/>
        <v>36, 40, GYARADOS</v>
      </c>
    </row>
    <row r="2694" ht="12.75" customHeight="1">
      <c r="A2694" s="4" t="s">
        <v>3358</v>
      </c>
      <c r="B2694" s="5" t="s">
        <v>3358</v>
      </c>
      <c r="C2694" s="1" t="str">
        <f t="shared" si="1"/>
        <v/>
      </c>
      <c r="E2694" s="5" t="s">
        <v>3358</v>
      </c>
      <c r="F2694" s="6" t="str">
        <f t="shared" si="2"/>
        <v>#N/A</v>
      </c>
      <c r="G2694" s="1" t="str">
        <f t="shared" si="3"/>
        <v/>
      </c>
      <c r="H2694" s="5" t="str">
        <f t="shared" si="4"/>
        <v>38, 42, GOLDUCK</v>
      </c>
    </row>
    <row r="2695" ht="12.75" customHeight="1">
      <c r="A2695" s="4" t="s">
        <v>3359</v>
      </c>
      <c r="B2695" s="5" t="s">
        <v>3359</v>
      </c>
      <c r="C2695" s="1" t="str">
        <f t="shared" si="1"/>
        <v/>
      </c>
      <c r="E2695" s="5" t="s">
        <v>3359</v>
      </c>
      <c r="F2695" s="6" t="str">
        <f t="shared" si="2"/>
        <v>#N/A</v>
      </c>
      <c r="G2695" s="1" t="str">
        <f t="shared" si="3"/>
        <v/>
      </c>
      <c r="H2695" s="5" t="str">
        <f t="shared" si="4"/>
        <v>38, 42, KINGLER</v>
      </c>
    </row>
    <row r="2696" ht="12.75" customHeight="1">
      <c r="A2696" s="4" t="s">
        <v>3360</v>
      </c>
      <c r="B2696" s="5" t="s">
        <v>3360</v>
      </c>
      <c r="C2696" s="1" t="str">
        <f t="shared" si="1"/>
        <v/>
      </c>
      <c r="E2696" s="5" t="s">
        <v>3360</v>
      </c>
      <c r="F2696" s="6" t="str">
        <f t="shared" si="2"/>
        <v>#N/A</v>
      </c>
      <c r="G2696" s="1" t="str">
        <f t="shared" si="3"/>
        <v/>
      </c>
      <c r="H2696" s="5" t="str">
        <f t="shared" si="4"/>
        <v>40, 44, SLOWMATE</v>
      </c>
    </row>
    <row r="2697" ht="12.75" customHeight="1">
      <c r="A2697" s="4" t="s">
        <v>2539</v>
      </c>
      <c r="B2697" s="5" t="s">
        <v>2539</v>
      </c>
      <c r="C2697" s="1">
        <f t="shared" si="1"/>
        <v>1</v>
      </c>
      <c r="E2697" s="5" t="s">
        <v>2539</v>
      </c>
      <c r="F2697" s="6" t="str">
        <f t="shared" si="2"/>
        <v>#N/A</v>
      </c>
      <c r="G2697" s="1" t="str">
        <f t="shared" si="3"/>
        <v/>
      </c>
      <c r="H2697" s="5" t="str">
        <f t="shared" si="4"/>
        <v>NEW ROUTE</v>
      </c>
    </row>
    <row r="2698" ht="12.75" customHeight="1">
      <c r="A2698" s="4" t="s">
        <v>2075</v>
      </c>
      <c r="B2698" s="5" t="s">
        <v>2075</v>
      </c>
      <c r="C2698" s="1" t="str">
        <f t="shared" si="1"/>
        <v/>
      </c>
      <c r="E2698" s="5" t="s">
        <v>2075</v>
      </c>
      <c r="F2698" s="6" t="str">
        <f t="shared" si="2"/>
        <v>Vermilion City</v>
      </c>
      <c r="G2698" s="1" t="str">
        <f t="shared" si="3"/>
        <v>Vermilion City</v>
      </c>
      <c r="H2698" s="5" t="str">
        <f t="shared" si="4"/>
        <v>Vermilion City</v>
      </c>
    </row>
    <row r="2699" ht="12.75" customHeight="1">
      <c r="A2699" s="4" t="s">
        <v>3610</v>
      </c>
      <c r="B2699" s="5" t="s">
        <v>3610</v>
      </c>
      <c r="C2699" s="1" t="str">
        <f t="shared" si="1"/>
        <v/>
      </c>
      <c r="E2699" s="5" t="s">
        <v>3610</v>
      </c>
      <c r="F2699" s="6" t="str">
        <f t="shared" si="2"/>
        <v>#N/A</v>
      </c>
      <c r="G2699" s="1" t="str">
        <f t="shared" si="3"/>
        <v/>
      </c>
      <c r="H2699" s="5" t="str">
        <f t="shared" si="4"/>
        <v>1, 38, 42, TENTACOOL</v>
      </c>
    </row>
    <row r="2700" ht="12.75" customHeight="1">
      <c r="A2700" s="4" t="s">
        <v>3429</v>
      </c>
      <c r="B2700" s="5" t="s">
        <v>3429</v>
      </c>
      <c r="C2700" s="1" t="str">
        <f t="shared" si="1"/>
        <v/>
      </c>
      <c r="E2700" s="5" t="s">
        <v>3429</v>
      </c>
      <c r="F2700" s="6" t="str">
        <f t="shared" si="2"/>
        <v>#N/A</v>
      </c>
      <c r="G2700" s="1" t="str">
        <f t="shared" si="3"/>
        <v/>
      </c>
      <c r="H2700" s="5" t="str">
        <f t="shared" si="4"/>
        <v>40, 44, TENTACRUEL</v>
      </c>
    </row>
    <row r="2701" ht="12.75" customHeight="1">
      <c r="A2701" s="4" t="s">
        <v>3025</v>
      </c>
      <c r="B2701" s="5" t="s">
        <v>3025</v>
      </c>
      <c r="C2701" s="1" t="str">
        <f t="shared" si="1"/>
        <v/>
      </c>
      <c r="E2701" s="5" t="s">
        <v>3025</v>
      </c>
      <c r="F2701" s="6" t="str">
        <f t="shared" si="2"/>
        <v>#N/A</v>
      </c>
      <c r="G2701" s="1" t="str">
        <f t="shared" si="3"/>
        <v/>
      </c>
      <c r="H2701" s="5" t="str">
        <f t="shared" si="4"/>
        <v>42, 46, LAPRAS</v>
      </c>
    </row>
    <row r="2702" ht="12.75" customHeight="1">
      <c r="A2702" s="4" t="s">
        <v>3430</v>
      </c>
      <c r="B2702" s="5" t="s">
        <v>3430</v>
      </c>
      <c r="C2702" s="1" t="str">
        <f t="shared" si="1"/>
        <v/>
      </c>
      <c r="E2702" s="5" t="s">
        <v>3430</v>
      </c>
      <c r="F2702" s="6" t="str">
        <f t="shared" si="2"/>
        <v>#N/A</v>
      </c>
      <c r="G2702" s="1" t="str">
        <f t="shared" si="3"/>
        <v/>
      </c>
      <c r="H2702" s="5" t="str">
        <f t="shared" si="4"/>
        <v>42, 46, TENTACATE</v>
      </c>
    </row>
    <row r="2703" ht="12.75" customHeight="1">
      <c r="A2703" s="4" t="s">
        <v>3450</v>
      </c>
      <c r="B2703" s="5" t="s">
        <v>3450</v>
      </c>
      <c r="C2703" s="1" t="str">
        <f t="shared" si="1"/>
        <v/>
      </c>
      <c r="E2703" s="5" t="s">
        <v>3450</v>
      </c>
      <c r="F2703" s="6" t="str">
        <f t="shared" si="2"/>
        <v>#N/A</v>
      </c>
      <c r="G2703" s="1" t="str">
        <f t="shared" si="3"/>
        <v/>
      </c>
      <c r="H2703" s="5" t="str">
        <f t="shared" si="4"/>
        <v>44, 48, LOCHLASS</v>
      </c>
    </row>
    <row r="2704" ht="12.75" customHeight="1">
      <c r="A2704" s="4" t="s">
        <v>2846</v>
      </c>
      <c r="B2704" s="5" t="s">
        <v>2846</v>
      </c>
      <c r="C2704" s="1" t="str">
        <f t="shared" si="1"/>
        <v/>
      </c>
      <c r="E2704" s="5" t="s">
        <v>2846</v>
      </c>
      <c r="F2704" s="6" t="str">
        <f t="shared" si="2"/>
        <v>#N/A</v>
      </c>
      <c r="G2704" s="1" t="str">
        <f t="shared" si="3"/>
        <v/>
      </c>
      <c r="H2704" s="5" t="str">
        <f t="shared" si="4"/>
        <v>10, old rod:</v>
      </c>
    </row>
    <row r="2705" ht="12.75" customHeight="1">
      <c r="A2705" s="4" t="s">
        <v>500</v>
      </c>
      <c r="B2705" s="5" t="s">
        <v>500</v>
      </c>
      <c r="C2705" s="1" t="str">
        <f t="shared" si="1"/>
        <v/>
      </c>
      <c r="E2705" s="5" t="s">
        <v>500</v>
      </c>
      <c r="F2705" s="6" t="str">
        <f t="shared" si="2"/>
        <v>#N/A</v>
      </c>
      <c r="G2705" s="1" t="str">
        <f t="shared" si="3"/>
        <v/>
      </c>
      <c r="H2705" s="5" t="str">
        <f t="shared" si="4"/>
        <v>19, 26, MAGIKARP</v>
      </c>
    </row>
    <row r="2706" ht="12.75" customHeight="1">
      <c r="A2706" s="4" t="s">
        <v>3353</v>
      </c>
      <c r="B2706" s="5" t="s">
        <v>3353</v>
      </c>
      <c r="C2706" s="1" t="str">
        <f t="shared" si="1"/>
        <v/>
      </c>
      <c r="E2706" s="5" t="s">
        <v>3353</v>
      </c>
      <c r="F2706" s="6" t="str">
        <f t="shared" si="2"/>
        <v>#N/A</v>
      </c>
      <c r="G2706" s="1" t="str">
        <f t="shared" si="3"/>
        <v/>
      </c>
      <c r="H2706" s="5" t="str">
        <f t="shared" si="4"/>
        <v>19, 26, GYARADOS</v>
      </c>
    </row>
    <row r="2707" ht="12.75" customHeight="1">
      <c r="A2707" s="4" t="s">
        <v>2847</v>
      </c>
      <c r="B2707" s="5" t="s">
        <v>2847</v>
      </c>
      <c r="C2707" s="1" t="str">
        <f t="shared" si="1"/>
        <v/>
      </c>
      <c r="E2707" s="5" t="s">
        <v>2847</v>
      </c>
      <c r="F2707" s="6" t="str">
        <f t="shared" si="2"/>
        <v>#N/A</v>
      </c>
      <c r="G2707" s="1" t="str">
        <f t="shared" si="3"/>
        <v/>
      </c>
      <c r="H2707" s="5" t="str">
        <f t="shared" si="4"/>
        <v>good rod:</v>
      </c>
    </row>
    <row r="2708" ht="12.75" customHeight="1">
      <c r="A2708" s="4" t="s">
        <v>3431</v>
      </c>
      <c r="B2708" s="5" t="s">
        <v>3431</v>
      </c>
      <c r="C2708" s="1" t="str">
        <f t="shared" si="1"/>
        <v/>
      </c>
      <c r="E2708" s="5" t="s">
        <v>3431</v>
      </c>
      <c r="F2708" s="6" t="str">
        <f t="shared" si="2"/>
        <v>#N/A</v>
      </c>
      <c r="G2708" s="1" t="str">
        <f t="shared" si="3"/>
        <v/>
      </c>
      <c r="H2708" s="5" t="str">
        <f t="shared" si="4"/>
        <v>29, 33, HORSEA</v>
      </c>
    </row>
    <row r="2709" ht="12.75" customHeight="1">
      <c r="A2709" s="4" t="s">
        <v>3451</v>
      </c>
      <c r="B2709" s="5" t="s">
        <v>3451</v>
      </c>
      <c r="C2709" s="1" t="str">
        <f t="shared" si="1"/>
        <v/>
      </c>
      <c r="E2709" s="5" t="s">
        <v>3451</v>
      </c>
      <c r="F2709" s="6" t="str">
        <f t="shared" si="2"/>
        <v>#N/A</v>
      </c>
      <c r="G2709" s="1" t="str">
        <f t="shared" si="3"/>
        <v/>
      </c>
      <c r="H2709" s="5" t="str">
        <f t="shared" si="4"/>
        <v>30, 35, SHELLDER</v>
      </c>
    </row>
    <row r="2710" ht="12.75" customHeight="1">
      <c r="A2710" s="4" t="s">
        <v>3452</v>
      </c>
      <c r="B2710" s="5" t="s">
        <v>3452</v>
      </c>
      <c r="C2710" s="1" t="str">
        <f t="shared" si="1"/>
        <v/>
      </c>
      <c r="E2710" s="5" t="s">
        <v>3452</v>
      </c>
      <c r="F2710" s="6" t="str">
        <f t="shared" si="2"/>
        <v>#N/A</v>
      </c>
      <c r="G2710" s="1" t="str">
        <f t="shared" si="3"/>
        <v/>
      </c>
      <c r="H2710" s="5" t="str">
        <f t="shared" si="4"/>
        <v>30, 35, STARYU</v>
      </c>
    </row>
    <row r="2711" ht="12.75" customHeight="1">
      <c r="A2711" s="4" t="s">
        <v>2851</v>
      </c>
      <c r="B2711" s="5" t="s">
        <v>2851</v>
      </c>
      <c r="C2711" s="1" t="str">
        <f t="shared" si="1"/>
        <v/>
      </c>
      <c r="E2711" s="5" t="s">
        <v>2851</v>
      </c>
      <c r="F2711" s="6" t="str">
        <f t="shared" si="2"/>
        <v>#N/A</v>
      </c>
      <c r="G2711" s="1" t="str">
        <f t="shared" si="3"/>
        <v/>
      </c>
      <c r="H2711" s="5" t="str">
        <f t="shared" si="4"/>
        <v>super rod:</v>
      </c>
    </row>
    <row r="2712" ht="12.75" customHeight="1">
      <c r="A2712" s="4" t="s">
        <v>3027</v>
      </c>
      <c r="B2712" s="5" t="s">
        <v>3027</v>
      </c>
      <c r="C2712" s="1" t="str">
        <f t="shared" si="1"/>
        <v/>
      </c>
      <c r="E2712" s="5" t="s">
        <v>3027</v>
      </c>
      <c r="F2712" s="6" t="str">
        <f t="shared" si="2"/>
        <v>#N/A</v>
      </c>
      <c r="G2712" s="1" t="str">
        <f t="shared" si="3"/>
        <v/>
      </c>
      <c r="H2712" s="5" t="str">
        <f t="shared" si="4"/>
        <v>29, 33, SEADRA</v>
      </c>
    </row>
    <row r="2713" ht="12.75" customHeight="1">
      <c r="A2713" s="4" t="s">
        <v>3357</v>
      </c>
      <c r="B2713" s="5" t="s">
        <v>3357</v>
      </c>
      <c r="C2713" s="1" t="str">
        <f t="shared" si="1"/>
        <v/>
      </c>
      <c r="E2713" s="5" t="s">
        <v>3357</v>
      </c>
      <c r="F2713" s="6" t="str">
        <f t="shared" si="2"/>
        <v>#N/A</v>
      </c>
      <c r="G2713" s="1" t="str">
        <f t="shared" si="3"/>
        <v/>
      </c>
      <c r="H2713" s="5" t="str">
        <f t="shared" si="4"/>
        <v>36, 40, GYARADOS</v>
      </c>
    </row>
    <row r="2714" ht="12.75" customHeight="1">
      <c r="A2714" s="4" t="s">
        <v>3453</v>
      </c>
      <c r="B2714" s="5" t="s">
        <v>3453</v>
      </c>
      <c r="C2714" s="1" t="str">
        <f t="shared" si="1"/>
        <v/>
      </c>
      <c r="E2714" s="5" t="s">
        <v>3453</v>
      </c>
      <c r="F2714" s="6" t="str">
        <f t="shared" si="2"/>
        <v>#N/A</v>
      </c>
      <c r="G2714" s="1" t="str">
        <f t="shared" si="3"/>
        <v/>
      </c>
      <c r="H2714" s="5" t="str">
        <f t="shared" si="4"/>
        <v>38, 42, STARMIE</v>
      </c>
    </row>
    <row r="2715" ht="12.75" customHeight="1">
      <c r="A2715" s="4" t="s">
        <v>3454</v>
      </c>
      <c r="B2715" s="5" t="s">
        <v>3454</v>
      </c>
      <c r="C2715" s="1" t="str">
        <f t="shared" si="1"/>
        <v/>
      </c>
      <c r="E2715" s="5" t="s">
        <v>3454</v>
      </c>
      <c r="F2715" s="6" t="str">
        <f t="shared" si="2"/>
        <v>#N/A</v>
      </c>
      <c r="G2715" s="1" t="str">
        <f t="shared" si="3"/>
        <v/>
      </c>
      <c r="H2715" s="5" t="str">
        <f t="shared" si="4"/>
        <v>38, 42, CLOYSTER</v>
      </c>
    </row>
    <row r="2716" ht="12.75" customHeight="1">
      <c r="A2716" s="4" t="s">
        <v>3455</v>
      </c>
      <c r="B2716" s="5" t="s">
        <v>3455</v>
      </c>
      <c r="C2716" s="1" t="str">
        <f t="shared" si="1"/>
        <v/>
      </c>
      <c r="E2716" s="5" t="s">
        <v>3455</v>
      </c>
      <c r="F2716" s="6" t="str">
        <f t="shared" si="2"/>
        <v>#N/A</v>
      </c>
      <c r="G2716" s="1" t="str">
        <f t="shared" si="3"/>
        <v/>
      </c>
      <c r="H2716" s="5" t="str">
        <f t="shared" si="4"/>
        <v>38, 42, STARUS</v>
      </c>
    </row>
    <row r="2717" ht="12.75" customHeight="1">
      <c r="A2717" s="4" t="s">
        <v>2539</v>
      </c>
      <c r="B2717" s="5" t="s">
        <v>2539</v>
      </c>
      <c r="C2717" s="1">
        <f t="shared" si="1"/>
        <v>1</v>
      </c>
      <c r="E2717" s="5" t="s">
        <v>2539</v>
      </c>
      <c r="F2717" s="6" t="str">
        <f t="shared" si="2"/>
        <v>#N/A</v>
      </c>
      <c r="G2717" s="1" t="str">
        <f t="shared" si="3"/>
        <v/>
      </c>
      <c r="H2717" s="5" t="str">
        <f t="shared" si="4"/>
        <v>NEW ROUTE</v>
      </c>
    </row>
    <row r="2718" ht="12.75" customHeight="1">
      <c r="A2718" s="4" t="s">
        <v>2077</v>
      </c>
      <c r="B2718" s="5" t="s">
        <v>2077</v>
      </c>
      <c r="C2718" s="1" t="str">
        <f t="shared" si="1"/>
        <v/>
      </c>
      <c r="E2718" s="5" t="s">
        <v>2077</v>
      </c>
      <c r="F2718" s="6" t="str">
        <f t="shared" si="2"/>
        <v>Celadon City</v>
      </c>
      <c r="G2718" s="1" t="str">
        <f t="shared" si="3"/>
        <v>Celadon City</v>
      </c>
      <c r="H2718" s="5" t="str">
        <f t="shared" si="4"/>
        <v>Celadon City</v>
      </c>
    </row>
    <row r="2719" ht="12.75" customHeight="1">
      <c r="A2719" s="4" t="s">
        <v>3613</v>
      </c>
      <c r="B2719" s="5" t="s">
        <v>3613</v>
      </c>
      <c r="C2719" s="1" t="str">
        <f t="shared" si="1"/>
        <v/>
      </c>
      <c r="E2719" s="5" t="s">
        <v>3613</v>
      </c>
      <c r="F2719" s="6" t="str">
        <f t="shared" si="2"/>
        <v>#N/A</v>
      </c>
      <c r="G2719" s="1" t="str">
        <f t="shared" si="3"/>
        <v/>
      </c>
      <c r="H2719" s="5" t="str">
        <f t="shared" si="4"/>
        <v>1, 38, 42, PSYDUCK</v>
      </c>
    </row>
    <row r="2720" ht="12.75" customHeight="1">
      <c r="A2720" s="4" t="s">
        <v>3375</v>
      </c>
      <c r="B2720" s="5" t="s">
        <v>3375</v>
      </c>
      <c r="C2720" s="1" t="str">
        <f t="shared" si="1"/>
        <v/>
      </c>
      <c r="E2720" s="5" t="s">
        <v>3375</v>
      </c>
      <c r="F2720" s="6" t="str">
        <f t="shared" si="2"/>
        <v>#N/A</v>
      </c>
      <c r="G2720" s="1" t="str">
        <f t="shared" si="3"/>
        <v/>
      </c>
      <c r="H2720" s="5" t="str">
        <f t="shared" si="4"/>
        <v>40, 44, SLOWPOKE</v>
      </c>
    </row>
    <row r="2721" ht="12.75" customHeight="1">
      <c r="A2721" s="4" t="s">
        <v>3618</v>
      </c>
      <c r="B2721" s="5" t="s">
        <v>3618</v>
      </c>
      <c r="C2721" s="1" t="str">
        <f t="shared" si="1"/>
        <v/>
      </c>
      <c r="E2721" s="5" t="s">
        <v>3618</v>
      </c>
      <c r="F2721" s="6" t="str">
        <f t="shared" si="2"/>
        <v>#N/A</v>
      </c>
      <c r="G2721" s="1" t="str">
        <f t="shared" si="3"/>
        <v/>
      </c>
      <c r="H2721" s="5" t="str">
        <f t="shared" si="4"/>
        <v>42, 46, KOFFING</v>
      </c>
    </row>
    <row r="2722" ht="12.75" customHeight="1">
      <c r="A2722" s="4" t="s">
        <v>2924</v>
      </c>
      <c r="B2722" s="5" t="s">
        <v>2924</v>
      </c>
      <c r="C2722" s="1" t="str">
        <f t="shared" si="1"/>
        <v/>
      </c>
      <c r="E2722" s="5" t="s">
        <v>2924</v>
      </c>
      <c r="F2722" s="6" t="str">
        <f t="shared" si="2"/>
        <v>#N/A</v>
      </c>
      <c r="G2722" s="1" t="str">
        <f t="shared" si="3"/>
        <v/>
      </c>
      <c r="H2722" s="5" t="str">
        <f t="shared" si="4"/>
        <v>42, 46, GOLDUCK</v>
      </c>
    </row>
    <row r="2723" ht="12.75" customHeight="1">
      <c r="A2723" s="4" t="s">
        <v>3619</v>
      </c>
      <c r="B2723" s="5" t="s">
        <v>3619</v>
      </c>
      <c r="C2723" s="1" t="str">
        <f t="shared" si="1"/>
        <v/>
      </c>
      <c r="E2723" s="5" t="s">
        <v>3619</v>
      </c>
      <c r="F2723" s="6" t="str">
        <f t="shared" si="2"/>
        <v>#N/A</v>
      </c>
      <c r="G2723" s="1" t="str">
        <f t="shared" si="3"/>
        <v/>
      </c>
      <c r="H2723" s="5" t="str">
        <f t="shared" si="4"/>
        <v>44, 48, WEEZING</v>
      </c>
    </row>
    <row r="2724" ht="12.75" customHeight="1">
      <c r="A2724" s="4" t="s">
        <v>2846</v>
      </c>
      <c r="B2724" s="5" t="s">
        <v>2846</v>
      </c>
      <c r="C2724" s="1" t="str">
        <f t="shared" si="1"/>
        <v/>
      </c>
      <c r="E2724" s="5" t="s">
        <v>2846</v>
      </c>
      <c r="F2724" s="6" t="str">
        <f t="shared" si="2"/>
        <v>#N/A</v>
      </c>
      <c r="G2724" s="1" t="str">
        <f t="shared" si="3"/>
        <v/>
      </c>
      <c r="H2724" s="5" t="str">
        <f t="shared" si="4"/>
        <v>10, old rod:</v>
      </c>
    </row>
    <row r="2725" ht="12.75" customHeight="1">
      <c r="A2725" s="4" t="s">
        <v>500</v>
      </c>
      <c r="B2725" s="5" t="s">
        <v>500</v>
      </c>
      <c r="C2725" s="1" t="str">
        <f t="shared" si="1"/>
        <v/>
      </c>
      <c r="E2725" s="5" t="s">
        <v>500</v>
      </c>
      <c r="F2725" s="6" t="str">
        <f t="shared" si="2"/>
        <v>#N/A</v>
      </c>
      <c r="G2725" s="1" t="str">
        <f t="shared" si="3"/>
        <v/>
      </c>
      <c r="H2725" s="5" t="str">
        <f t="shared" si="4"/>
        <v>19, 26, MAGIKARP</v>
      </c>
    </row>
    <row r="2726" ht="12.75" customHeight="1">
      <c r="A2726" s="4" t="s">
        <v>3620</v>
      </c>
      <c r="B2726" s="5" t="s">
        <v>3620</v>
      </c>
      <c r="C2726" s="1" t="str">
        <f t="shared" si="1"/>
        <v/>
      </c>
      <c r="E2726" s="5" t="s">
        <v>3620</v>
      </c>
      <c r="F2726" s="6" t="str">
        <f t="shared" si="2"/>
        <v>#N/A</v>
      </c>
      <c r="G2726" s="1" t="str">
        <f t="shared" si="3"/>
        <v/>
      </c>
      <c r="H2726" s="5" t="str">
        <f t="shared" si="4"/>
        <v>19, 26, GRIMER</v>
      </c>
    </row>
    <row r="2727" ht="12.75" customHeight="1">
      <c r="A2727" s="4" t="s">
        <v>2847</v>
      </c>
      <c r="B2727" s="5" t="s">
        <v>2847</v>
      </c>
      <c r="C2727" s="1" t="str">
        <f t="shared" si="1"/>
        <v/>
      </c>
      <c r="E2727" s="5" t="s">
        <v>2847</v>
      </c>
      <c r="F2727" s="6" t="str">
        <f t="shared" si="2"/>
        <v>#N/A</v>
      </c>
      <c r="G2727" s="1" t="str">
        <f t="shared" si="3"/>
        <v/>
      </c>
      <c r="H2727" s="5" t="str">
        <f t="shared" si="4"/>
        <v>good rod:</v>
      </c>
    </row>
    <row r="2728" ht="12.75" customHeight="1">
      <c r="A2728" s="4" t="s">
        <v>3560</v>
      </c>
      <c r="B2728" s="5" t="s">
        <v>3560</v>
      </c>
      <c r="C2728" s="1" t="str">
        <f t="shared" si="1"/>
        <v/>
      </c>
      <c r="E2728" s="5" t="s">
        <v>3560</v>
      </c>
      <c r="F2728" s="6" t="str">
        <f t="shared" si="2"/>
        <v>#N/A</v>
      </c>
      <c r="G2728" s="1" t="str">
        <f t="shared" si="3"/>
        <v/>
      </c>
      <c r="H2728" s="5" t="str">
        <f t="shared" si="4"/>
        <v>29, 33, MAGIKARP</v>
      </c>
    </row>
    <row r="2729" ht="12.75" customHeight="1">
      <c r="A2729" s="4" t="s">
        <v>3561</v>
      </c>
      <c r="B2729" s="5" t="s">
        <v>3561</v>
      </c>
      <c r="C2729" s="1" t="str">
        <f t="shared" si="1"/>
        <v/>
      </c>
      <c r="E2729" s="5" t="s">
        <v>3561</v>
      </c>
      <c r="F2729" s="6" t="str">
        <f t="shared" si="2"/>
        <v>#N/A</v>
      </c>
      <c r="G2729" s="1" t="str">
        <f t="shared" si="3"/>
        <v/>
      </c>
      <c r="H2729" s="5" t="str">
        <f t="shared" si="4"/>
        <v>30, 35, GYARADOS</v>
      </c>
    </row>
    <row r="2730" ht="12.75" customHeight="1">
      <c r="A2730" s="4" t="s">
        <v>3621</v>
      </c>
      <c r="B2730" s="5" t="s">
        <v>3621</v>
      </c>
      <c r="C2730" s="1" t="str">
        <f t="shared" si="1"/>
        <v/>
      </c>
      <c r="E2730" s="5" t="s">
        <v>3621</v>
      </c>
      <c r="F2730" s="6" t="str">
        <f t="shared" si="2"/>
        <v>#N/A</v>
      </c>
      <c r="G2730" s="1" t="str">
        <f t="shared" si="3"/>
        <v/>
      </c>
      <c r="H2730" s="5" t="str">
        <f t="shared" si="4"/>
        <v>30, 35, MUK</v>
      </c>
    </row>
    <row r="2731" ht="12.75" customHeight="1">
      <c r="A2731" s="4" t="s">
        <v>2851</v>
      </c>
      <c r="B2731" s="5" t="s">
        <v>2851</v>
      </c>
      <c r="C2731" s="1" t="str">
        <f t="shared" si="1"/>
        <v/>
      </c>
      <c r="E2731" s="5" t="s">
        <v>2851</v>
      </c>
      <c r="F2731" s="6" t="str">
        <f t="shared" si="2"/>
        <v>#N/A</v>
      </c>
      <c r="G2731" s="1" t="str">
        <f t="shared" si="3"/>
        <v/>
      </c>
      <c r="H2731" s="5" t="str">
        <f t="shared" si="4"/>
        <v>super rod:</v>
      </c>
    </row>
    <row r="2732" ht="12.75" customHeight="1">
      <c r="A2732" s="4" t="s">
        <v>3357</v>
      </c>
      <c r="B2732" s="5" t="s">
        <v>3357</v>
      </c>
      <c r="C2732" s="1" t="str">
        <f t="shared" si="1"/>
        <v/>
      </c>
      <c r="E2732" s="5" t="s">
        <v>3357</v>
      </c>
      <c r="F2732" s="6" t="str">
        <f t="shared" si="2"/>
        <v>#N/A</v>
      </c>
      <c r="G2732" s="1" t="str">
        <f t="shared" si="3"/>
        <v/>
      </c>
      <c r="H2732" s="5" t="str">
        <f t="shared" si="4"/>
        <v>36, 40, GYARADOS</v>
      </c>
    </row>
    <row r="2733" ht="12.75" customHeight="1">
      <c r="A2733" s="4" t="s">
        <v>3622</v>
      </c>
      <c r="B2733" s="5" t="s">
        <v>3622</v>
      </c>
      <c r="C2733" s="1" t="str">
        <f t="shared" si="1"/>
        <v/>
      </c>
      <c r="E2733" s="5" t="s">
        <v>3622</v>
      </c>
      <c r="F2733" s="6" t="str">
        <f t="shared" si="2"/>
        <v>#N/A</v>
      </c>
      <c r="G2733" s="1" t="str">
        <f t="shared" si="3"/>
        <v/>
      </c>
      <c r="H2733" s="5" t="str">
        <f t="shared" si="4"/>
        <v>36, 40, MUK</v>
      </c>
    </row>
    <row r="2734" ht="12.75" customHeight="1">
      <c r="A2734" s="4" t="s">
        <v>3623</v>
      </c>
      <c r="B2734" s="5" t="s">
        <v>3623</v>
      </c>
      <c r="C2734" s="1" t="str">
        <f t="shared" si="1"/>
        <v/>
      </c>
      <c r="E2734" s="5" t="s">
        <v>3623</v>
      </c>
      <c r="F2734" s="6" t="str">
        <f t="shared" si="2"/>
        <v>#N/A</v>
      </c>
      <c r="G2734" s="1" t="str">
        <f t="shared" si="3"/>
        <v/>
      </c>
      <c r="H2734" s="5" t="str">
        <f t="shared" si="4"/>
        <v>41, 41, GYARADOS</v>
      </c>
    </row>
    <row r="2735" ht="12.75" customHeight="1">
      <c r="A2735" s="4" t="s">
        <v>3624</v>
      </c>
      <c r="B2735" s="5" t="s">
        <v>3624</v>
      </c>
      <c r="C2735" s="1" t="str">
        <f t="shared" si="1"/>
        <v/>
      </c>
      <c r="E2735" s="5" t="s">
        <v>3624</v>
      </c>
      <c r="F2735" s="6" t="str">
        <f t="shared" si="2"/>
        <v>#N/A</v>
      </c>
      <c r="G2735" s="1" t="str">
        <f t="shared" si="3"/>
        <v/>
      </c>
      <c r="H2735" s="5" t="str">
        <f t="shared" si="4"/>
        <v>38, 42, HYDRADOS</v>
      </c>
    </row>
    <row r="2736" ht="12.75" customHeight="1">
      <c r="A2736" s="4" t="s">
        <v>3625</v>
      </c>
      <c r="B2736" s="5" t="s">
        <v>3625</v>
      </c>
      <c r="C2736" s="1" t="str">
        <f t="shared" si="1"/>
        <v/>
      </c>
      <c r="E2736" s="5" t="s">
        <v>3625</v>
      </c>
      <c r="F2736" s="6" t="str">
        <f t="shared" si="2"/>
        <v>#N/A</v>
      </c>
      <c r="G2736" s="1" t="str">
        <f t="shared" si="3"/>
        <v/>
      </c>
      <c r="H2736" s="5" t="str">
        <f t="shared" si="4"/>
        <v>40, 44, GUNK</v>
      </c>
    </row>
    <row r="2737" ht="12.75" customHeight="1">
      <c r="A2737" s="4" t="s">
        <v>2539</v>
      </c>
      <c r="B2737" s="5" t="s">
        <v>2539</v>
      </c>
      <c r="C2737" s="1">
        <f t="shared" si="1"/>
        <v>1</v>
      </c>
      <c r="E2737" s="5" t="s">
        <v>2539</v>
      </c>
      <c r="F2737" s="6" t="str">
        <f t="shared" si="2"/>
        <v>#N/A</v>
      </c>
      <c r="G2737" s="1" t="str">
        <f t="shared" si="3"/>
        <v/>
      </c>
      <c r="H2737" s="5" t="str">
        <f t="shared" si="4"/>
        <v>NEW ROUTE</v>
      </c>
    </row>
    <row r="2738" ht="12.75" customHeight="1">
      <c r="A2738" s="4" t="s">
        <v>2079</v>
      </c>
      <c r="B2738" s="5" t="s">
        <v>2079</v>
      </c>
      <c r="C2738" s="1" t="str">
        <f t="shared" si="1"/>
        <v/>
      </c>
      <c r="E2738" s="5" t="s">
        <v>2079</v>
      </c>
      <c r="F2738" s="6" t="str">
        <f t="shared" si="2"/>
        <v>Fuchsia City</v>
      </c>
      <c r="G2738" s="1" t="str">
        <f t="shared" si="3"/>
        <v>Fuchsia City</v>
      </c>
      <c r="H2738" s="5" t="str">
        <f t="shared" si="4"/>
        <v>Fuchsia City</v>
      </c>
    </row>
    <row r="2739" ht="12.75" customHeight="1">
      <c r="A2739" s="4" t="s">
        <v>3610</v>
      </c>
      <c r="B2739" s="5" t="s">
        <v>3610</v>
      </c>
      <c r="C2739" s="1" t="str">
        <f t="shared" si="1"/>
        <v/>
      </c>
      <c r="E2739" s="5" t="s">
        <v>3610</v>
      </c>
      <c r="F2739" s="6" t="str">
        <f t="shared" si="2"/>
        <v>#N/A</v>
      </c>
      <c r="G2739" s="1" t="str">
        <f t="shared" si="3"/>
        <v/>
      </c>
      <c r="H2739" s="5" t="str">
        <f t="shared" si="4"/>
        <v>1, 38, 42, TENTACOOL</v>
      </c>
    </row>
    <row r="2740" ht="12.75" customHeight="1">
      <c r="A2740" s="4" t="s">
        <v>3351</v>
      </c>
      <c r="B2740" s="5" t="s">
        <v>3351</v>
      </c>
      <c r="C2740" s="1" t="str">
        <f t="shared" si="1"/>
        <v/>
      </c>
      <c r="E2740" s="5" t="s">
        <v>3351</v>
      </c>
      <c r="F2740" s="6" t="str">
        <f t="shared" si="2"/>
        <v>#N/A</v>
      </c>
      <c r="G2740" s="1" t="str">
        <f t="shared" si="3"/>
        <v/>
      </c>
      <c r="H2740" s="5" t="str">
        <f t="shared" si="4"/>
        <v>40, 44, PSYDUCK</v>
      </c>
    </row>
    <row r="2741" ht="12.75" customHeight="1">
      <c r="A2741" s="4" t="s">
        <v>3352</v>
      </c>
      <c r="B2741" s="5" t="s">
        <v>3352</v>
      </c>
      <c r="C2741" s="1" t="str">
        <f t="shared" si="1"/>
        <v/>
      </c>
      <c r="E2741" s="5" t="s">
        <v>3352</v>
      </c>
      <c r="F2741" s="6" t="str">
        <f t="shared" si="2"/>
        <v>#N/A</v>
      </c>
      <c r="G2741" s="1" t="str">
        <f t="shared" si="3"/>
        <v/>
      </c>
      <c r="H2741" s="5" t="str">
        <f t="shared" si="4"/>
        <v>42, 46, TENTACRUEL</v>
      </c>
    </row>
    <row r="2742" ht="12.75" customHeight="1">
      <c r="A2742" s="4" t="s">
        <v>2924</v>
      </c>
      <c r="B2742" s="5" t="s">
        <v>2924</v>
      </c>
      <c r="C2742" s="1" t="str">
        <f t="shared" si="1"/>
        <v/>
      </c>
      <c r="E2742" s="5" t="s">
        <v>2924</v>
      </c>
      <c r="F2742" s="6" t="str">
        <f t="shared" si="2"/>
        <v>#N/A</v>
      </c>
      <c r="G2742" s="1" t="str">
        <f t="shared" si="3"/>
        <v/>
      </c>
      <c r="H2742" s="5" t="str">
        <f t="shared" si="4"/>
        <v>42, 46, GOLDUCK</v>
      </c>
    </row>
    <row r="2743" ht="12.75" customHeight="1">
      <c r="A2743" s="4" t="s">
        <v>2925</v>
      </c>
      <c r="B2743" s="5" t="s">
        <v>2925</v>
      </c>
      <c r="C2743" s="1" t="str">
        <f t="shared" si="1"/>
        <v/>
      </c>
      <c r="E2743" s="5" t="s">
        <v>2925</v>
      </c>
      <c r="F2743" s="6" t="str">
        <f t="shared" si="2"/>
        <v>#N/A</v>
      </c>
      <c r="G2743" s="1" t="str">
        <f t="shared" si="3"/>
        <v/>
      </c>
      <c r="H2743" s="5" t="str">
        <f t="shared" si="4"/>
        <v>44, 48, VAPOREON</v>
      </c>
    </row>
    <row r="2744" ht="12.75" customHeight="1">
      <c r="A2744" s="4" t="s">
        <v>2846</v>
      </c>
      <c r="B2744" s="5" t="s">
        <v>2846</v>
      </c>
      <c r="C2744" s="1" t="str">
        <f t="shared" si="1"/>
        <v/>
      </c>
      <c r="E2744" s="5" t="s">
        <v>2846</v>
      </c>
      <c r="F2744" s="6" t="str">
        <f t="shared" si="2"/>
        <v>#N/A</v>
      </c>
      <c r="G2744" s="1" t="str">
        <f t="shared" si="3"/>
        <v/>
      </c>
      <c r="H2744" s="5" t="str">
        <f t="shared" si="4"/>
        <v>10, old rod:</v>
      </c>
    </row>
    <row r="2745" ht="12.75" customHeight="1">
      <c r="A2745" s="4" t="s">
        <v>1265</v>
      </c>
      <c r="B2745" s="5" t="s">
        <v>1265</v>
      </c>
      <c r="C2745" s="1" t="str">
        <f t="shared" si="1"/>
        <v/>
      </c>
      <c r="E2745" s="5" t="s">
        <v>1265</v>
      </c>
      <c r="F2745" s="6" t="str">
        <f t="shared" si="2"/>
        <v>#N/A</v>
      </c>
      <c r="G2745" s="1" t="str">
        <f t="shared" si="3"/>
        <v/>
      </c>
      <c r="H2745" s="5" t="str">
        <f t="shared" si="4"/>
        <v>19, 26, SEEL</v>
      </c>
    </row>
    <row r="2746" ht="12.75" customHeight="1">
      <c r="A2746" s="4" t="s">
        <v>2927</v>
      </c>
      <c r="B2746" s="5" t="s">
        <v>2927</v>
      </c>
      <c r="C2746" s="1" t="str">
        <f t="shared" si="1"/>
        <v/>
      </c>
      <c r="E2746" s="5" t="s">
        <v>2927</v>
      </c>
      <c r="F2746" s="6" t="str">
        <f t="shared" si="2"/>
        <v>#N/A</v>
      </c>
      <c r="G2746" s="1" t="str">
        <f t="shared" si="3"/>
        <v/>
      </c>
      <c r="H2746" s="5" t="str">
        <f t="shared" si="4"/>
        <v>19, 26, POLIWAG</v>
      </c>
    </row>
    <row r="2747" ht="12.75" customHeight="1">
      <c r="A2747" s="4" t="s">
        <v>2847</v>
      </c>
      <c r="B2747" s="5" t="s">
        <v>2847</v>
      </c>
      <c r="C2747" s="1" t="str">
        <f t="shared" si="1"/>
        <v/>
      </c>
      <c r="E2747" s="5" t="s">
        <v>2847</v>
      </c>
      <c r="F2747" s="6" t="str">
        <f t="shared" si="2"/>
        <v>#N/A</v>
      </c>
      <c r="G2747" s="1" t="str">
        <f t="shared" si="3"/>
        <v/>
      </c>
      <c r="H2747" s="5" t="str">
        <f t="shared" si="4"/>
        <v>good rod:</v>
      </c>
    </row>
    <row r="2748" ht="12.75" customHeight="1">
      <c r="A2748" s="4" t="s">
        <v>3627</v>
      </c>
      <c r="B2748" s="5" t="s">
        <v>3627</v>
      </c>
      <c r="C2748" s="1" t="str">
        <f t="shared" si="1"/>
        <v/>
      </c>
      <c r="E2748" s="5" t="s">
        <v>3627</v>
      </c>
      <c r="F2748" s="6" t="str">
        <f t="shared" si="2"/>
        <v>#N/A</v>
      </c>
      <c r="G2748" s="1" t="str">
        <f t="shared" si="3"/>
        <v/>
      </c>
      <c r="H2748" s="5" t="str">
        <f t="shared" si="4"/>
        <v>29, 33, SEEL</v>
      </c>
    </row>
    <row r="2749" ht="12.75" customHeight="1">
      <c r="A2749" s="4" t="s">
        <v>2929</v>
      </c>
      <c r="B2749" s="5" t="s">
        <v>2929</v>
      </c>
      <c r="C2749" s="1" t="str">
        <f t="shared" si="1"/>
        <v/>
      </c>
      <c r="E2749" s="5" t="s">
        <v>2929</v>
      </c>
      <c r="F2749" s="6" t="str">
        <f t="shared" si="2"/>
        <v>#N/A</v>
      </c>
      <c r="G2749" s="1" t="str">
        <f t="shared" si="3"/>
        <v/>
      </c>
      <c r="H2749" s="5" t="str">
        <f t="shared" si="4"/>
        <v>30, 35, POLIWAG</v>
      </c>
    </row>
    <row r="2750" ht="12.75" customHeight="1">
      <c r="A2750" s="4" t="s">
        <v>2930</v>
      </c>
      <c r="B2750" s="5" t="s">
        <v>2930</v>
      </c>
      <c r="C2750" s="1" t="str">
        <f t="shared" si="1"/>
        <v/>
      </c>
      <c r="E2750" s="5" t="s">
        <v>2930</v>
      </c>
      <c r="F2750" s="6" t="str">
        <f t="shared" si="2"/>
        <v>#N/A</v>
      </c>
      <c r="G2750" s="1" t="str">
        <f t="shared" si="3"/>
        <v/>
      </c>
      <c r="H2750" s="5" t="str">
        <f t="shared" si="4"/>
        <v>30, 35, GOLDEEN</v>
      </c>
    </row>
    <row r="2751" ht="12.75" customHeight="1">
      <c r="A2751" s="4" t="s">
        <v>2851</v>
      </c>
      <c r="B2751" s="5" t="s">
        <v>2851</v>
      </c>
      <c r="C2751" s="1" t="str">
        <f t="shared" si="1"/>
        <v/>
      </c>
      <c r="E2751" s="5" t="s">
        <v>2851</v>
      </c>
      <c r="F2751" s="6" t="str">
        <f t="shared" si="2"/>
        <v>#N/A</v>
      </c>
      <c r="G2751" s="1" t="str">
        <f t="shared" si="3"/>
        <v/>
      </c>
      <c r="H2751" s="5" t="str">
        <f t="shared" si="4"/>
        <v>super rod:</v>
      </c>
    </row>
    <row r="2752" ht="12.75" customHeight="1">
      <c r="A2752" s="4" t="s">
        <v>2931</v>
      </c>
      <c r="B2752" s="5" t="s">
        <v>2931</v>
      </c>
      <c r="C2752" s="1" t="str">
        <f t="shared" si="1"/>
        <v/>
      </c>
      <c r="E2752" s="5" t="s">
        <v>2931</v>
      </c>
      <c r="F2752" s="6" t="str">
        <f t="shared" si="2"/>
        <v>#N/A</v>
      </c>
      <c r="G2752" s="1" t="str">
        <f t="shared" si="3"/>
        <v/>
      </c>
      <c r="H2752" s="5" t="str">
        <f t="shared" si="4"/>
        <v>36, 40, POLIWHIRL</v>
      </c>
    </row>
    <row r="2753" ht="12.75" customHeight="1">
      <c r="A2753" s="4" t="s">
        <v>3628</v>
      </c>
      <c r="B2753" s="5" t="s">
        <v>3628</v>
      </c>
      <c r="C2753" s="1" t="str">
        <f t="shared" si="1"/>
        <v/>
      </c>
      <c r="E2753" s="5" t="s">
        <v>3628</v>
      </c>
      <c r="F2753" s="6" t="str">
        <f t="shared" si="2"/>
        <v>#N/A</v>
      </c>
      <c r="G2753" s="1" t="str">
        <f t="shared" si="3"/>
        <v/>
      </c>
      <c r="H2753" s="5" t="str">
        <f t="shared" si="4"/>
        <v>36, 40, DEWGONG</v>
      </c>
    </row>
    <row r="2754" ht="12.75" customHeight="1">
      <c r="A2754" s="4" t="s">
        <v>3629</v>
      </c>
      <c r="B2754" s="5" t="s">
        <v>3629</v>
      </c>
      <c r="C2754" s="1" t="str">
        <f t="shared" si="1"/>
        <v/>
      </c>
      <c r="E2754" s="5" t="s">
        <v>3629</v>
      </c>
      <c r="F2754" s="6" t="str">
        <f t="shared" si="2"/>
        <v>#N/A</v>
      </c>
      <c r="G2754" s="1" t="str">
        <f t="shared" si="3"/>
        <v/>
      </c>
      <c r="H2754" s="5" t="str">
        <f t="shared" si="4"/>
        <v>38, 42, SEAKING</v>
      </c>
    </row>
    <row r="2755" ht="12.75" customHeight="1">
      <c r="A2755" s="4" t="s">
        <v>3379</v>
      </c>
      <c r="B2755" s="5" t="s">
        <v>3379</v>
      </c>
      <c r="C2755" s="1" t="str">
        <f t="shared" si="1"/>
        <v/>
      </c>
      <c r="E2755" s="5" t="s">
        <v>3379</v>
      </c>
      <c r="F2755" s="6" t="str">
        <f t="shared" si="2"/>
        <v>#N/A</v>
      </c>
      <c r="G2755" s="1" t="str">
        <f t="shared" si="3"/>
        <v/>
      </c>
      <c r="H2755" s="5" t="str">
        <f t="shared" si="4"/>
        <v>38, 42, POLIWRATH</v>
      </c>
    </row>
    <row r="2756" ht="12.75" customHeight="1">
      <c r="A2756" s="4" t="s">
        <v>3630</v>
      </c>
      <c r="B2756" s="5" t="s">
        <v>3630</v>
      </c>
      <c r="C2756" s="1" t="str">
        <f t="shared" si="1"/>
        <v/>
      </c>
      <c r="E2756" s="5" t="s">
        <v>3630</v>
      </c>
      <c r="F2756" s="6" t="str">
        <f t="shared" si="2"/>
        <v>#N/A</v>
      </c>
      <c r="G2756" s="1" t="str">
        <f t="shared" si="3"/>
        <v/>
      </c>
      <c r="H2756" s="5" t="str">
        <f t="shared" si="4"/>
        <v>40, 44, SEAREX</v>
      </c>
    </row>
    <row r="2757" ht="12.75" customHeight="1">
      <c r="A2757" s="4" t="s">
        <v>2539</v>
      </c>
      <c r="B2757" s="5" t="s">
        <v>2539</v>
      </c>
      <c r="C2757" s="1">
        <f t="shared" si="1"/>
        <v>1</v>
      </c>
      <c r="E2757" s="5" t="s">
        <v>2539</v>
      </c>
      <c r="F2757" s="6" t="str">
        <f t="shared" si="2"/>
        <v>#N/A</v>
      </c>
      <c r="G2757" s="1" t="str">
        <f t="shared" si="3"/>
        <v/>
      </c>
      <c r="H2757" s="5" t="str">
        <f t="shared" si="4"/>
        <v>NEW ROUTE</v>
      </c>
    </row>
    <row r="2758" ht="12.75" customHeight="1">
      <c r="A2758" s="4" t="s">
        <v>2081</v>
      </c>
      <c r="B2758" s="5" t="s">
        <v>2081</v>
      </c>
      <c r="C2758" s="1" t="str">
        <f t="shared" si="1"/>
        <v/>
      </c>
      <c r="E2758" s="5" t="s">
        <v>2081</v>
      </c>
      <c r="F2758" s="6" t="str">
        <f t="shared" si="2"/>
        <v>Cinnabar Island</v>
      </c>
      <c r="G2758" s="1" t="str">
        <f t="shared" si="3"/>
        <v>Cinnabar Island</v>
      </c>
      <c r="H2758" s="5" t="str">
        <f t="shared" si="4"/>
        <v>Cinnabar Island</v>
      </c>
    </row>
    <row r="2759" ht="12.75" customHeight="1">
      <c r="A2759" s="4" t="s">
        <v>3632</v>
      </c>
      <c r="B2759" s="5" t="s">
        <v>3632</v>
      </c>
      <c r="C2759" s="1" t="str">
        <f t="shared" si="1"/>
        <v/>
      </c>
      <c r="E2759" s="5" t="s">
        <v>3632</v>
      </c>
      <c r="F2759" s="6" t="str">
        <f t="shared" si="2"/>
        <v>#N/A</v>
      </c>
      <c r="G2759" s="1" t="str">
        <f t="shared" si="3"/>
        <v/>
      </c>
      <c r="H2759" s="5" t="str">
        <f t="shared" si="4"/>
        <v>1, 40, 44, DEWGONG</v>
      </c>
    </row>
    <row r="2760" ht="12.75" customHeight="1">
      <c r="A2760" s="4" t="s">
        <v>3025</v>
      </c>
      <c r="B2760" s="5" t="s">
        <v>3025</v>
      </c>
      <c r="C2760" s="1" t="str">
        <f t="shared" si="1"/>
        <v/>
      </c>
      <c r="E2760" s="5" t="s">
        <v>3025</v>
      </c>
      <c r="F2760" s="6" t="str">
        <f t="shared" si="2"/>
        <v>#N/A</v>
      </c>
      <c r="G2760" s="1" t="str">
        <f t="shared" si="3"/>
        <v/>
      </c>
      <c r="H2760" s="5" t="str">
        <f t="shared" si="4"/>
        <v>42, 46, LAPRAS</v>
      </c>
    </row>
    <row r="2761" ht="12.75" customHeight="1">
      <c r="A2761" s="4" t="s">
        <v>3014</v>
      </c>
      <c r="B2761" s="5" t="s">
        <v>3014</v>
      </c>
      <c r="C2761" s="1" t="str">
        <f t="shared" si="1"/>
        <v/>
      </c>
      <c r="E2761" s="5" t="s">
        <v>3014</v>
      </c>
      <c r="F2761" s="6" t="str">
        <f t="shared" si="2"/>
        <v>#N/A</v>
      </c>
      <c r="G2761" s="1" t="str">
        <f t="shared" si="3"/>
        <v/>
      </c>
      <c r="H2761" s="5" t="str">
        <f t="shared" si="4"/>
        <v>44, 47, PRECIPED</v>
      </c>
    </row>
    <row r="2762" ht="12.75" customHeight="1">
      <c r="A2762" s="4" t="s">
        <v>3633</v>
      </c>
      <c r="B2762" s="5" t="s">
        <v>3633</v>
      </c>
      <c r="C2762" s="1" t="str">
        <f t="shared" si="1"/>
        <v/>
      </c>
      <c r="E2762" s="5" t="s">
        <v>3633</v>
      </c>
      <c r="F2762" s="6" t="str">
        <f t="shared" si="2"/>
        <v>#N/A</v>
      </c>
      <c r="G2762" s="1" t="str">
        <f t="shared" si="3"/>
        <v/>
      </c>
      <c r="H2762" s="5" t="str">
        <f t="shared" si="4"/>
        <v>44, 47, TENTACATE</v>
      </c>
    </row>
    <row r="2763" ht="12.75" customHeight="1">
      <c r="A2763" s="4" t="s">
        <v>3634</v>
      </c>
      <c r="B2763" s="5" t="s">
        <v>3634</v>
      </c>
      <c r="C2763" s="1" t="str">
        <f t="shared" si="1"/>
        <v/>
      </c>
      <c r="E2763" s="5" t="s">
        <v>3634</v>
      </c>
      <c r="F2763" s="6" t="str">
        <f t="shared" si="2"/>
        <v>#N/A</v>
      </c>
      <c r="G2763" s="1" t="str">
        <f t="shared" si="3"/>
        <v/>
      </c>
      <c r="H2763" s="5" t="str">
        <f t="shared" si="4"/>
        <v>45, 50, LOCHLASS</v>
      </c>
    </row>
    <row r="2764" ht="12.75" customHeight="1">
      <c r="A2764" s="4" t="s">
        <v>2846</v>
      </c>
      <c r="B2764" s="5" t="s">
        <v>2846</v>
      </c>
      <c r="C2764" s="1" t="str">
        <f t="shared" si="1"/>
        <v/>
      </c>
      <c r="E2764" s="5" t="s">
        <v>2846</v>
      </c>
      <c r="F2764" s="6" t="str">
        <f t="shared" si="2"/>
        <v>#N/A</v>
      </c>
      <c r="G2764" s="1" t="str">
        <f t="shared" si="3"/>
        <v/>
      </c>
      <c r="H2764" s="5" t="str">
        <f t="shared" si="4"/>
        <v>10, old rod:</v>
      </c>
    </row>
    <row r="2765" ht="12.75" customHeight="1">
      <c r="A2765" s="4" t="s">
        <v>1273</v>
      </c>
      <c r="B2765" s="5" t="s">
        <v>1273</v>
      </c>
      <c r="C2765" s="1" t="str">
        <f t="shared" si="1"/>
        <v/>
      </c>
      <c r="E2765" s="5" t="s">
        <v>1273</v>
      </c>
      <c r="F2765" s="6" t="str">
        <f t="shared" si="2"/>
        <v>#N/A</v>
      </c>
      <c r="G2765" s="1" t="str">
        <f t="shared" si="3"/>
        <v/>
      </c>
      <c r="H2765" s="5" t="str">
        <f t="shared" si="4"/>
        <v>24, 30, HORSEA</v>
      </c>
    </row>
    <row r="2766" ht="12.75" customHeight="1">
      <c r="A2766" s="4" t="s">
        <v>3635</v>
      </c>
      <c r="B2766" s="5" t="s">
        <v>3635</v>
      </c>
      <c r="C2766" s="1" t="str">
        <f t="shared" si="1"/>
        <v/>
      </c>
      <c r="E2766" s="5" t="s">
        <v>3635</v>
      </c>
      <c r="F2766" s="6" t="str">
        <f t="shared" si="2"/>
        <v>#N/A</v>
      </c>
      <c r="G2766" s="1" t="str">
        <f t="shared" si="3"/>
        <v/>
      </c>
      <c r="H2766" s="5" t="str">
        <f t="shared" si="4"/>
        <v>24, 30, SHELLDER</v>
      </c>
    </row>
    <row r="2767" ht="12.75" customHeight="1">
      <c r="A2767" s="4" t="s">
        <v>2847</v>
      </c>
      <c r="B2767" s="5" t="s">
        <v>2847</v>
      </c>
      <c r="C2767" s="1" t="str">
        <f t="shared" si="1"/>
        <v/>
      </c>
      <c r="E2767" s="5" t="s">
        <v>2847</v>
      </c>
      <c r="F2767" s="6" t="str">
        <f t="shared" si="2"/>
        <v>#N/A</v>
      </c>
      <c r="G2767" s="1" t="str">
        <f t="shared" si="3"/>
        <v/>
      </c>
      <c r="H2767" s="5" t="str">
        <f t="shared" si="4"/>
        <v>good rod:</v>
      </c>
    </row>
    <row r="2768" ht="12.75" customHeight="1">
      <c r="A2768" s="4" t="s">
        <v>3636</v>
      </c>
      <c r="B2768" s="5" t="s">
        <v>3636</v>
      </c>
      <c r="C2768" s="1" t="str">
        <f t="shared" si="1"/>
        <v/>
      </c>
      <c r="E2768" s="5" t="s">
        <v>3636</v>
      </c>
      <c r="F2768" s="6" t="str">
        <f t="shared" si="2"/>
        <v>#N/A</v>
      </c>
      <c r="G2768" s="1" t="str">
        <f t="shared" si="3"/>
        <v/>
      </c>
      <c r="H2768" s="5" t="str">
        <f t="shared" si="4"/>
        <v>35, 40, SEADRA</v>
      </c>
    </row>
    <row r="2769" ht="12.75" customHeight="1">
      <c r="A2769" s="4" t="s">
        <v>3637</v>
      </c>
      <c r="B2769" s="5" t="s">
        <v>3637</v>
      </c>
      <c r="C2769" s="1" t="str">
        <f t="shared" si="1"/>
        <v/>
      </c>
      <c r="E2769" s="5" t="s">
        <v>3637</v>
      </c>
      <c r="F2769" s="6" t="str">
        <f t="shared" si="2"/>
        <v>#N/A</v>
      </c>
      <c r="G2769" s="1" t="str">
        <f t="shared" si="3"/>
        <v/>
      </c>
      <c r="H2769" s="5" t="str">
        <f t="shared" si="4"/>
        <v>37, 42, KRABBY</v>
      </c>
    </row>
    <row r="2770" ht="12.75" customHeight="1">
      <c r="A2770" s="4" t="s">
        <v>3638</v>
      </c>
      <c r="B2770" s="5" t="s">
        <v>3638</v>
      </c>
      <c r="C2770" s="1" t="str">
        <f t="shared" si="1"/>
        <v/>
      </c>
      <c r="E2770" s="5" t="s">
        <v>3638</v>
      </c>
      <c r="F2770" s="6" t="str">
        <f t="shared" si="2"/>
        <v>#N/A</v>
      </c>
      <c r="G2770" s="1" t="str">
        <f t="shared" si="3"/>
        <v/>
      </c>
      <c r="H2770" s="5" t="str">
        <f t="shared" si="4"/>
        <v>37, 42, CLOYSTER</v>
      </c>
    </row>
    <row r="2771" ht="12.75" customHeight="1">
      <c r="A2771" s="4" t="s">
        <v>2851</v>
      </c>
      <c r="B2771" s="5" t="s">
        <v>2851</v>
      </c>
      <c r="C2771" s="1" t="str">
        <f t="shared" si="1"/>
        <v/>
      </c>
      <c r="E2771" s="5" t="s">
        <v>2851</v>
      </c>
      <c r="F2771" s="6" t="str">
        <f t="shared" si="2"/>
        <v>#N/A</v>
      </c>
      <c r="G2771" s="1" t="str">
        <f t="shared" si="3"/>
        <v/>
      </c>
      <c r="H2771" s="5" t="str">
        <f t="shared" si="4"/>
        <v>super rod:</v>
      </c>
    </row>
    <row r="2772" ht="12.75" customHeight="1">
      <c r="A2772" s="4" t="s">
        <v>3639</v>
      </c>
      <c r="B2772" s="5" t="s">
        <v>3639</v>
      </c>
      <c r="C2772" s="1" t="str">
        <f t="shared" si="1"/>
        <v/>
      </c>
      <c r="E2772" s="5" t="s">
        <v>3639</v>
      </c>
      <c r="F2772" s="6" t="str">
        <f t="shared" si="2"/>
        <v>#N/A</v>
      </c>
      <c r="G2772" s="1" t="str">
        <f t="shared" si="3"/>
        <v/>
      </c>
      <c r="H2772" s="5" t="str">
        <f t="shared" si="4"/>
        <v>39, 45, KINGDRA</v>
      </c>
    </row>
    <row r="2773" ht="12.75" customHeight="1">
      <c r="A2773" s="4" t="s">
        <v>3640</v>
      </c>
      <c r="B2773" s="5" t="s">
        <v>3640</v>
      </c>
      <c r="C2773" s="1" t="str">
        <f t="shared" si="1"/>
        <v/>
      </c>
      <c r="E2773" s="5" t="s">
        <v>3640</v>
      </c>
      <c r="F2773" s="6" t="str">
        <f t="shared" si="2"/>
        <v>#N/A</v>
      </c>
      <c r="G2773" s="1" t="str">
        <f t="shared" si="3"/>
        <v/>
      </c>
      <c r="H2773" s="5" t="str">
        <f t="shared" si="4"/>
        <v>39, 45, KINGLER</v>
      </c>
    </row>
    <row r="2774" ht="12.75" customHeight="1">
      <c r="A2774" s="4" t="s">
        <v>3641</v>
      </c>
      <c r="B2774" s="5" t="s">
        <v>3641</v>
      </c>
      <c r="C2774" s="1" t="str">
        <f t="shared" si="1"/>
        <v/>
      </c>
      <c r="E2774" s="5" t="s">
        <v>3641</v>
      </c>
      <c r="F2774" s="6" t="str">
        <f t="shared" si="2"/>
        <v>#N/A</v>
      </c>
      <c r="G2774" s="1" t="str">
        <f t="shared" si="3"/>
        <v/>
      </c>
      <c r="H2774" s="5" t="str">
        <f t="shared" si="4"/>
        <v>43, 46, AN'ENEMY</v>
      </c>
    </row>
    <row r="2775" ht="12.75" customHeight="1">
      <c r="A2775" s="4" t="s">
        <v>3642</v>
      </c>
      <c r="B2775" s="5" t="s">
        <v>3642</v>
      </c>
      <c r="C2775" s="1" t="str">
        <f t="shared" si="1"/>
        <v/>
      </c>
      <c r="E2775" s="5" t="s">
        <v>3642</v>
      </c>
      <c r="F2775" s="6" t="str">
        <f t="shared" si="2"/>
        <v>#N/A</v>
      </c>
      <c r="G2775" s="1" t="str">
        <f t="shared" si="3"/>
        <v/>
      </c>
      <c r="H2775" s="5" t="str">
        <f t="shared" si="4"/>
        <v>43, 46, KRAKLAW</v>
      </c>
    </row>
    <row r="2776" ht="12.75" customHeight="1">
      <c r="A2776" s="4" t="s">
        <v>3643</v>
      </c>
      <c r="B2776" s="5" t="s">
        <v>3643</v>
      </c>
      <c r="C2776" s="1" t="str">
        <f t="shared" si="1"/>
        <v/>
      </c>
      <c r="E2776" s="5" t="s">
        <v>3643</v>
      </c>
      <c r="F2776" s="6" t="str">
        <f t="shared" si="2"/>
        <v>#N/A</v>
      </c>
      <c r="G2776" s="1" t="str">
        <f t="shared" si="3"/>
        <v/>
      </c>
      <c r="H2776" s="5" t="str">
        <f t="shared" si="4"/>
        <v>45, 52, LORDRA</v>
      </c>
    </row>
    <row r="2777" ht="12.75" customHeight="1">
      <c r="A2777" s="4" t="s">
        <v>2539</v>
      </c>
      <c r="B2777" s="5" t="s">
        <v>2539</v>
      </c>
      <c r="C2777" s="1">
        <f t="shared" si="1"/>
        <v>1</v>
      </c>
      <c r="E2777" s="5" t="s">
        <v>2539</v>
      </c>
      <c r="F2777" s="6" t="str">
        <f t="shared" si="2"/>
        <v>#N/A</v>
      </c>
      <c r="G2777" s="1" t="str">
        <f t="shared" si="3"/>
        <v/>
      </c>
      <c r="H2777" s="5" t="str">
        <f t="shared" si="4"/>
        <v>NEW ROUTE</v>
      </c>
    </row>
    <row r="2778" ht="12.75" customHeight="1">
      <c r="A2778" s="4" t="s">
        <v>2089</v>
      </c>
      <c r="B2778" s="5" t="s">
        <v>2089</v>
      </c>
      <c r="C2778" s="1" t="str">
        <f t="shared" si="1"/>
        <v/>
      </c>
      <c r="E2778" s="5" t="s">
        <v>2089</v>
      </c>
      <c r="F2778" s="6" t="str">
        <f t="shared" si="2"/>
        <v>One Island</v>
      </c>
      <c r="G2778" s="1" t="str">
        <f t="shared" si="3"/>
        <v>One Island</v>
      </c>
      <c r="H2778" s="5" t="str">
        <f t="shared" si="4"/>
        <v>One Island</v>
      </c>
    </row>
    <row r="2779" ht="12.75" customHeight="1">
      <c r="A2779" s="4" t="s">
        <v>3645</v>
      </c>
      <c r="B2779" s="5" t="s">
        <v>3645</v>
      </c>
      <c r="C2779" s="1" t="str">
        <f t="shared" si="1"/>
        <v/>
      </c>
      <c r="E2779" s="5" t="s">
        <v>3645</v>
      </c>
      <c r="F2779" s="6" t="str">
        <f t="shared" si="2"/>
        <v>#N/A</v>
      </c>
      <c r="G2779" s="1" t="str">
        <f t="shared" si="3"/>
        <v/>
      </c>
      <c r="H2779" s="5" t="str">
        <f t="shared" si="4"/>
        <v>1, 5, 20, TENTACOOL</v>
      </c>
    </row>
    <row r="2780" ht="12.75" customHeight="1">
      <c r="A2780" s="4" t="s">
        <v>3174</v>
      </c>
      <c r="B2780" s="5" t="s">
        <v>3174</v>
      </c>
      <c r="C2780" s="1" t="str">
        <f t="shared" si="1"/>
        <v/>
      </c>
      <c r="E2780" s="5" t="s">
        <v>3174</v>
      </c>
      <c r="F2780" s="6" t="str">
        <f t="shared" si="2"/>
        <v>#N/A</v>
      </c>
      <c r="G2780" s="1" t="str">
        <f t="shared" si="3"/>
        <v/>
      </c>
      <c r="H2780" s="5" t="str">
        <f t="shared" si="4"/>
        <v>20, 35, TENTACOOL</v>
      </c>
    </row>
    <row r="2781" ht="12.75" customHeight="1">
      <c r="A2781" s="4" t="s">
        <v>2845</v>
      </c>
      <c r="B2781" s="5" t="s">
        <v>2845</v>
      </c>
      <c r="C2781" s="1" t="str">
        <f t="shared" si="1"/>
        <v/>
      </c>
      <c r="E2781" s="5" t="s">
        <v>2845</v>
      </c>
      <c r="F2781" s="6" t="str">
        <f t="shared" si="2"/>
        <v>#N/A</v>
      </c>
      <c r="G2781" s="1" t="str">
        <f t="shared" si="3"/>
        <v/>
      </c>
      <c r="H2781" s="5" t="str">
        <f t="shared" si="4"/>
        <v>35, 40, TENTACOOL</v>
      </c>
    </row>
    <row r="2782" ht="12.75" customHeight="1">
      <c r="A2782" s="4" t="s">
        <v>3232</v>
      </c>
      <c r="B2782" s="5" t="s">
        <v>3232</v>
      </c>
      <c r="C2782" s="1" t="str">
        <f t="shared" si="1"/>
        <v/>
      </c>
      <c r="E2782" s="5" t="s">
        <v>3232</v>
      </c>
      <c r="F2782" s="6" t="str">
        <f t="shared" si="2"/>
        <v>#N/A</v>
      </c>
      <c r="G2782" s="1" t="str">
        <f t="shared" si="3"/>
        <v/>
      </c>
      <c r="H2782" s="5" t="str">
        <f t="shared" si="4"/>
        <v>35, 40, TENTACRUEL</v>
      </c>
    </row>
    <row r="2783" ht="12.75" customHeight="1">
      <c r="A2783" s="4" t="s">
        <v>3232</v>
      </c>
      <c r="B2783" s="5" t="s">
        <v>3232</v>
      </c>
      <c r="C2783" s="1" t="str">
        <f t="shared" si="1"/>
        <v/>
      </c>
      <c r="E2783" s="5" t="s">
        <v>3232</v>
      </c>
      <c r="F2783" s="6" t="str">
        <f t="shared" si="2"/>
        <v>#N/A</v>
      </c>
      <c r="G2783" s="1" t="str">
        <f t="shared" si="3"/>
        <v/>
      </c>
      <c r="H2783" s="5" t="str">
        <f t="shared" si="4"/>
        <v>35, 40, TENTACRUEL</v>
      </c>
    </row>
    <row r="2784" ht="12.75" customHeight="1">
      <c r="A2784" s="4" t="s">
        <v>2846</v>
      </c>
      <c r="B2784" s="5" t="s">
        <v>2846</v>
      </c>
      <c r="C2784" s="1" t="str">
        <f t="shared" si="1"/>
        <v/>
      </c>
      <c r="E2784" s="5" t="s">
        <v>2846</v>
      </c>
      <c r="F2784" s="6" t="str">
        <f t="shared" si="2"/>
        <v>#N/A</v>
      </c>
      <c r="G2784" s="1" t="str">
        <f t="shared" si="3"/>
        <v/>
      </c>
      <c r="H2784" s="5" t="str">
        <f t="shared" si="4"/>
        <v>10, old rod:</v>
      </c>
    </row>
    <row r="2785" ht="12.75" customHeight="1">
      <c r="A2785" s="4" t="s">
        <v>417</v>
      </c>
      <c r="B2785" s="5" t="s">
        <v>417</v>
      </c>
      <c r="C2785" s="1" t="str">
        <f t="shared" si="1"/>
        <v/>
      </c>
      <c r="E2785" s="5" t="s">
        <v>417</v>
      </c>
      <c r="F2785" s="6" t="str">
        <f t="shared" si="2"/>
        <v>#N/A</v>
      </c>
      <c r="G2785" s="1" t="str">
        <f t="shared" si="3"/>
        <v/>
      </c>
      <c r="H2785" s="5" t="str">
        <f t="shared" si="4"/>
        <v>5, 5, MAGIKARP</v>
      </c>
    </row>
    <row r="2786" ht="12.75" customHeight="1">
      <c r="A2786" s="4" t="s">
        <v>417</v>
      </c>
      <c r="B2786" s="5" t="s">
        <v>417</v>
      </c>
      <c r="C2786" s="1" t="str">
        <f t="shared" si="1"/>
        <v/>
      </c>
      <c r="E2786" s="5" t="s">
        <v>417</v>
      </c>
      <c r="F2786" s="6" t="str">
        <f t="shared" si="2"/>
        <v>#N/A</v>
      </c>
      <c r="G2786" s="1" t="str">
        <f t="shared" si="3"/>
        <v/>
      </c>
      <c r="H2786" s="5" t="str">
        <f t="shared" si="4"/>
        <v>5, 5, MAGIKARP</v>
      </c>
    </row>
    <row r="2787" ht="12.75" customHeight="1">
      <c r="A2787" s="4" t="s">
        <v>2847</v>
      </c>
      <c r="B2787" s="5" t="s">
        <v>2847</v>
      </c>
      <c r="C2787" s="1" t="str">
        <f t="shared" si="1"/>
        <v/>
      </c>
      <c r="E2787" s="5" t="s">
        <v>2847</v>
      </c>
      <c r="F2787" s="6" t="str">
        <f t="shared" si="2"/>
        <v>#N/A</v>
      </c>
      <c r="G2787" s="1" t="str">
        <f t="shared" si="3"/>
        <v/>
      </c>
      <c r="H2787" s="5" t="str">
        <f t="shared" si="4"/>
        <v>good rod:</v>
      </c>
    </row>
    <row r="2788" ht="12.75" customHeight="1">
      <c r="A2788" s="4" t="s">
        <v>2848</v>
      </c>
      <c r="B2788" s="5" t="s">
        <v>2848</v>
      </c>
      <c r="C2788" s="1" t="str">
        <f t="shared" si="1"/>
        <v/>
      </c>
      <c r="E2788" s="5" t="s">
        <v>2848</v>
      </c>
      <c r="F2788" s="6" t="str">
        <f t="shared" si="2"/>
        <v>#N/A</v>
      </c>
      <c r="G2788" s="1" t="str">
        <f t="shared" si="3"/>
        <v/>
      </c>
      <c r="H2788" s="5" t="str">
        <f t="shared" si="4"/>
        <v>5, 15, KRABBY</v>
      </c>
    </row>
    <row r="2789" ht="12.75" customHeight="1">
      <c r="A2789" s="4" t="s">
        <v>2849</v>
      </c>
      <c r="B2789" s="5" t="s">
        <v>2849</v>
      </c>
      <c r="C2789" s="1" t="str">
        <f t="shared" si="1"/>
        <v/>
      </c>
      <c r="E2789" s="5" t="s">
        <v>2849</v>
      </c>
      <c r="F2789" s="6" t="str">
        <f t="shared" si="2"/>
        <v>#N/A</v>
      </c>
      <c r="G2789" s="1" t="str">
        <f t="shared" si="3"/>
        <v/>
      </c>
      <c r="H2789" s="5" t="str">
        <f t="shared" si="4"/>
        <v>5, 15, MAGIKARP</v>
      </c>
    </row>
    <row r="2790" ht="12.75" customHeight="1">
      <c r="A2790" s="4" t="s">
        <v>2848</v>
      </c>
      <c r="B2790" s="5" t="s">
        <v>2848</v>
      </c>
      <c r="C2790" s="1" t="str">
        <f t="shared" si="1"/>
        <v/>
      </c>
      <c r="E2790" s="5" t="s">
        <v>2848</v>
      </c>
      <c r="F2790" s="6" t="str">
        <f t="shared" si="2"/>
        <v>#N/A</v>
      </c>
      <c r="G2790" s="1" t="str">
        <f t="shared" si="3"/>
        <v/>
      </c>
      <c r="H2790" s="5" t="str">
        <f t="shared" si="4"/>
        <v>5, 15, KRABBY</v>
      </c>
    </row>
    <row r="2791" ht="12.75" customHeight="1">
      <c r="A2791" s="4" t="s">
        <v>2851</v>
      </c>
      <c r="B2791" s="5" t="s">
        <v>2851</v>
      </c>
      <c r="C2791" s="1" t="str">
        <f t="shared" si="1"/>
        <v/>
      </c>
      <c r="E2791" s="5" t="s">
        <v>2851</v>
      </c>
      <c r="F2791" s="6" t="str">
        <f t="shared" si="2"/>
        <v>#N/A</v>
      </c>
      <c r="G2791" s="1" t="str">
        <f t="shared" si="3"/>
        <v/>
      </c>
      <c r="H2791" s="5" t="str">
        <f t="shared" si="4"/>
        <v>super rod:</v>
      </c>
    </row>
    <row r="2792" ht="12.75" customHeight="1">
      <c r="A2792" s="4" t="s">
        <v>2852</v>
      </c>
      <c r="B2792" s="5" t="s">
        <v>2852</v>
      </c>
      <c r="C2792" s="1" t="str">
        <f t="shared" si="1"/>
        <v/>
      </c>
      <c r="E2792" s="5" t="s">
        <v>2852</v>
      </c>
      <c r="F2792" s="6" t="str">
        <f t="shared" si="2"/>
        <v>#N/A</v>
      </c>
      <c r="G2792" s="1" t="str">
        <f t="shared" si="3"/>
        <v/>
      </c>
      <c r="H2792" s="5" t="str">
        <f t="shared" si="4"/>
        <v>15, 25, KRABBY</v>
      </c>
    </row>
    <row r="2793" ht="12.75" customHeight="1">
      <c r="A2793" s="4" t="s">
        <v>2853</v>
      </c>
      <c r="B2793" s="5" t="s">
        <v>2853</v>
      </c>
      <c r="C2793" s="1" t="str">
        <f t="shared" si="1"/>
        <v/>
      </c>
      <c r="E2793" s="5" t="s">
        <v>2853</v>
      </c>
      <c r="F2793" s="6" t="str">
        <f t="shared" si="2"/>
        <v>#N/A</v>
      </c>
      <c r="G2793" s="1" t="str">
        <f t="shared" si="3"/>
        <v/>
      </c>
      <c r="H2793" s="5" t="str">
        <f t="shared" si="4"/>
        <v>15, 25, STARYU</v>
      </c>
    </row>
    <row r="2794" ht="12.75" customHeight="1">
      <c r="A2794" s="4" t="s">
        <v>2854</v>
      </c>
      <c r="B2794" s="5" t="s">
        <v>2854</v>
      </c>
      <c r="C2794" s="1" t="str">
        <f t="shared" si="1"/>
        <v/>
      </c>
      <c r="E2794" s="5" t="s">
        <v>2854</v>
      </c>
      <c r="F2794" s="6" t="str">
        <f t="shared" si="2"/>
        <v>#N/A</v>
      </c>
      <c r="G2794" s="1" t="str">
        <f t="shared" si="3"/>
        <v/>
      </c>
      <c r="H2794" s="5" t="str">
        <f t="shared" si="4"/>
        <v>15, 25, GYARADOS</v>
      </c>
    </row>
    <row r="2795" ht="12.75" customHeight="1">
      <c r="A2795" s="4" t="s">
        <v>3178</v>
      </c>
      <c r="B2795" s="5" t="s">
        <v>3178</v>
      </c>
      <c r="C2795" s="1" t="str">
        <f t="shared" si="1"/>
        <v/>
      </c>
      <c r="E2795" s="5" t="s">
        <v>3178</v>
      </c>
      <c r="F2795" s="6" t="str">
        <f t="shared" si="2"/>
        <v>#N/A</v>
      </c>
      <c r="G2795" s="1" t="str">
        <f t="shared" si="3"/>
        <v/>
      </c>
      <c r="H2795" s="5" t="str">
        <f t="shared" si="4"/>
        <v>25, 35, KINGLER</v>
      </c>
    </row>
    <row r="2796" ht="12.75" customHeight="1">
      <c r="A2796" s="4" t="s">
        <v>2856</v>
      </c>
      <c r="B2796" s="5" t="s">
        <v>2856</v>
      </c>
      <c r="C2796" s="1" t="str">
        <f t="shared" si="1"/>
        <v/>
      </c>
      <c r="E2796" s="5" t="s">
        <v>2856</v>
      </c>
      <c r="F2796" s="6" t="str">
        <f t="shared" si="2"/>
        <v>#N/A</v>
      </c>
      <c r="G2796" s="1" t="str">
        <f t="shared" si="3"/>
        <v/>
      </c>
      <c r="H2796" s="5" t="str">
        <f t="shared" si="4"/>
        <v>25, 35, SLOWPOKE</v>
      </c>
    </row>
    <row r="2797" ht="12.75" customHeight="1">
      <c r="A2797" s="4" t="s">
        <v>2539</v>
      </c>
      <c r="B2797" s="5" t="s">
        <v>2539</v>
      </c>
      <c r="C2797" s="1">
        <f t="shared" si="1"/>
        <v>1</v>
      </c>
      <c r="E2797" s="5" t="s">
        <v>2539</v>
      </c>
      <c r="F2797" s="6" t="str">
        <f t="shared" si="2"/>
        <v>#N/A</v>
      </c>
      <c r="G2797" s="1" t="str">
        <f t="shared" si="3"/>
        <v/>
      </c>
      <c r="H2797" s="5" t="str">
        <f t="shared" si="4"/>
        <v>NEW ROUTE</v>
      </c>
    </row>
    <row r="2798" ht="12.75" customHeight="1">
      <c r="A2798" s="4" t="s">
        <v>2095</v>
      </c>
      <c r="B2798" s="5" t="s">
        <v>2095</v>
      </c>
      <c r="C2798" s="1" t="str">
        <f t="shared" si="1"/>
        <v/>
      </c>
      <c r="E2798" s="5" t="s">
        <v>2095</v>
      </c>
      <c r="F2798" s="6" t="str">
        <f t="shared" si="2"/>
        <v>Four Island</v>
      </c>
      <c r="G2798" s="1" t="str">
        <f t="shared" si="3"/>
        <v>Four Island</v>
      </c>
      <c r="H2798" s="5" t="str">
        <f t="shared" si="4"/>
        <v>Four Island</v>
      </c>
    </row>
    <row r="2799" ht="12.75" customHeight="1">
      <c r="A2799" s="4" t="s">
        <v>3647</v>
      </c>
      <c r="B2799" s="5" t="s">
        <v>3647</v>
      </c>
      <c r="C2799" s="1" t="str">
        <f t="shared" si="1"/>
        <v/>
      </c>
      <c r="E2799" s="5" t="s">
        <v>3647</v>
      </c>
      <c r="F2799" s="6" t="str">
        <f t="shared" si="2"/>
        <v>#N/A</v>
      </c>
      <c r="G2799" s="1" t="str">
        <f t="shared" si="3"/>
        <v/>
      </c>
      <c r="H2799" s="5" t="str">
        <f t="shared" si="4"/>
        <v>2, 5, 15, MARILL</v>
      </c>
    </row>
    <row r="2800" ht="12.75" customHeight="1">
      <c r="A2800" s="4" t="s">
        <v>3159</v>
      </c>
      <c r="B2800" s="5" t="s">
        <v>3159</v>
      </c>
      <c r="C2800" s="1" t="str">
        <f t="shared" si="1"/>
        <v/>
      </c>
      <c r="E2800" s="5" t="s">
        <v>3159</v>
      </c>
      <c r="F2800" s="6" t="str">
        <f t="shared" si="2"/>
        <v>#N/A</v>
      </c>
      <c r="G2800" s="1" t="str">
        <f t="shared" si="3"/>
        <v/>
      </c>
      <c r="H2800" s="5" t="str">
        <f t="shared" si="4"/>
        <v>5, 35, SLOWPOKE</v>
      </c>
    </row>
    <row r="2801" ht="12.75" customHeight="1">
      <c r="A2801" s="4" t="s">
        <v>3294</v>
      </c>
      <c r="B2801" s="5" t="s">
        <v>3294</v>
      </c>
      <c r="C2801" s="1" t="str">
        <f t="shared" si="1"/>
        <v/>
      </c>
      <c r="E2801" s="5" t="s">
        <v>3294</v>
      </c>
      <c r="F2801" s="6" t="str">
        <f t="shared" si="2"/>
        <v>#N/A</v>
      </c>
      <c r="G2801" s="1" t="str">
        <f t="shared" si="3"/>
        <v/>
      </c>
      <c r="H2801" s="5" t="str">
        <f t="shared" si="4"/>
        <v>15, 25, MARILL</v>
      </c>
    </row>
    <row r="2802" ht="12.75" customHeight="1">
      <c r="A2802" s="4" t="s">
        <v>3294</v>
      </c>
      <c r="B2802" s="5" t="s">
        <v>3294</v>
      </c>
      <c r="C2802" s="1" t="str">
        <f t="shared" si="1"/>
        <v/>
      </c>
      <c r="E2802" s="5" t="s">
        <v>3294</v>
      </c>
      <c r="F2802" s="6" t="str">
        <f t="shared" si="2"/>
        <v>#N/A</v>
      </c>
      <c r="G2802" s="1" t="str">
        <f t="shared" si="3"/>
        <v/>
      </c>
      <c r="H2802" s="5" t="str">
        <f t="shared" si="4"/>
        <v>15, 25, MARILL</v>
      </c>
    </row>
    <row r="2803" ht="12.75" customHeight="1">
      <c r="A2803" s="4" t="s">
        <v>3294</v>
      </c>
      <c r="B2803" s="5" t="s">
        <v>3294</v>
      </c>
      <c r="C2803" s="1" t="str">
        <f t="shared" si="1"/>
        <v/>
      </c>
      <c r="E2803" s="5" t="s">
        <v>3294</v>
      </c>
      <c r="F2803" s="6" t="str">
        <f t="shared" si="2"/>
        <v>#N/A</v>
      </c>
      <c r="G2803" s="1" t="str">
        <f t="shared" si="3"/>
        <v/>
      </c>
      <c r="H2803" s="5" t="str">
        <f t="shared" si="4"/>
        <v>15, 25, MARILL</v>
      </c>
    </row>
    <row r="2804" ht="12.75" customHeight="1">
      <c r="A2804" s="4" t="s">
        <v>2926</v>
      </c>
      <c r="B2804" s="5" t="s">
        <v>2926</v>
      </c>
      <c r="C2804" s="1" t="str">
        <f t="shared" si="1"/>
        <v/>
      </c>
      <c r="E2804" s="5" t="s">
        <v>2926</v>
      </c>
      <c r="F2804" s="6" t="str">
        <f t="shared" si="2"/>
        <v>#N/A</v>
      </c>
      <c r="G2804" s="1" t="str">
        <f t="shared" si="3"/>
        <v/>
      </c>
      <c r="H2804" s="5" t="str">
        <f t="shared" si="4"/>
        <v>20, old rod:</v>
      </c>
    </row>
    <row r="2805" ht="12.75" customHeight="1">
      <c r="A2805" s="4" t="s">
        <v>417</v>
      </c>
      <c r="B2805" s="5" t="s">
        <v>417</v>
      </c>
      <c r="C2805" s="1" t="str">
        <f t="shared" si="1"/>
        <v/>
      </c>
      <c r="E2805" s="5" t="s">
        <v>417</v>
      </c>
      <c r="F2805" s="6" t="str">
        <f t="shared" si="2"/>
        <v>#N/A</v>
      </c>
      <c r="G2805" s="1" t="str">
        <f t="shared" si="3"/>
        <v/>
      </c>
      <c r="H2805" s="5" t="str">
        <f t="shared" si="4"/>
        <v>5, 5, MAGIKARP</v>
      </c>
    </row>
    <row r="2806" ht="12.75" customHeight="1">
      <c r="A2806" s="4" t="s">
        <v>417</v>
      </c>
      <c r="B2806" s="5" t="s">
        <v>417</v>
      </c>
      <c r="C2806" s="1" t="str">
        <f t="shared" si="1"/>
        <v/>
      </c>
      <c r="E2806" s="5" t="s">
        <v>417</v>
      </c>
      <c r="F2806" s="6" t="str">
        <f t="shared" si="2"/>
        <v>#N/A</v>
      </c>
      <c r="G2806" s="1" t="str">
        <f t="shared" si="3"/>
        <v/>
      </c>
      <c r="H2806" s="5" t="str">
        <f t="shared" si="4"/>
        <v>5, 5, MAGIKARP</v>
      </c>
    </row>
    <row r="2807" ht="12.75" customHeight="1">
      <c r="A2807" s="4" t="s">
        <v>2847</v>
      </c>
      <c r="B2807" s="5" t="s">
        <v>2847</v>
      </c>
      <c r="C2807" s="1" t="str">
        <f t="shared" si="1"/>
        <v/>
      </c>
      <c r="E2807" s="5" t="s">
        <v>2847</v>
      </c>
      <c r="F2807" s="6" t="str">
        <f t="shared" si="2"/>
        <v>#N/A</v>
      </c>
      <c r="G2807" s="1" t="str">
        <f t="shared" si="3"/>
        <v/>
      </c>
      <c r="H2807" s="5" t="str">
        <f t="shared" si="4"/>
        <v>good rod:</v>
      </c>
    </row>
    <row r="2808" ht="12.75" customHeight="1">
      <c r="A2808" s="4" t="s">
        <v>3144</v>
      </c>
      <c r="B2808" s="5" t="s">
        <v>3144</v>
      </c>
      <c r="C2808" s="1" t="str">
        <f t="shared" si="1"/>
        <v/>
      </c>
      <c r="E2808" s="5" t="s">
        <v>3144</v>
      </c>
      <c r="F2808" s="6" t="str">
        <f t="shared" si="2"/>
        <v>#N/A</v>
      </c>
      <c r="G2808" s="1" t="str">
        <f t="shared" si="3"/>
        <v/>
      </c>
      <c r="H2808" s="5" t="str">
        <f t="shared" si="4"/>
        <v>5, 15, POLIWAG</v>
      </c>
    </row>
    <row r="2809" ht="12.75" customHeight="1">
      <c r="A2809" s="4" t="s">
        <v>2849</v>
      </c>
      <c r="B2809" s="5" t="s">
        <v>2849</v>
      </c>
      <c r="C2809" s="1" t="str">
        <f t="shared" si="1"/>
        <v/>
      </c>
      <c r="E2809" s="5" t="s">
        <v>2849</v>
      </c>
      <c r="F2809" s="6" t="str">
        <f t="shared" si="2"/>
        <v>#N/A</v>
      </c>
      <c r="G2809" s="1" t="str">
        <f t="shared" si="3"/>
        <v/>
      </c>
      <c r="H2809" s="5" t="str">
        <f t="shared" si="4"/>
        <v>5, 15, MAGIKARP</v>
      </c>
    </row>
    <row r="2810" ht="12.75" customHeight="1">
      <c r="A2810" s="4" t="s">
        <v>3143</v>
      </c>
      <c r="B2810" s="5" t="s">
        <v>3143</v>
      </c>
      <c r="C2810" s="1" t="str">
        <f t="shared" si="1"/>
        <v/>
      </c>
      <c r="E2810" s="5" t="s">
        <v>3143</v>
      </c>
      <c r="F2810" s="6" t="str">
        <f t="shared" si="2"/>
        <v>#N/A</v>
      </c>
      <c r="G2810" s="1" t="str">
        <f t="shared" si="3"/>
        <v/>
      </c>
      <c r="H2810" s="5" t="str">
        <f t="shared" si="4"/>
        <v>5, 15, GOLDEEN</v>
      </c>
    </row>
    <row r="2811" ht="12.75" customHeight="1">
      <c r="A2811" s="4" t="s">
        <v>2851</v>
      </c>
      <c r="B2811" s="5" t="s">
        <v>2851</v>
      </c>
      <c r="C2811" s="1" t="str">
        <f t="shared" si="1"/>
        <v/>
      </c>
      <c r="E2811" s="5" t="s">
        <v>2851</v>
      </c>
      <c r="F2811" s="6" t="str">
        <f t="shared" si="2"/>
        <v>#N/A</v>
      </c>
      <c r="G2811" s="1" t="str">
        <f t="shared" si="3"/>
        <v/>
      </c>
      <c r="H2811" s="5" t="str">
        <f t="shared" si="4"/>
        <v>super rod:</v>
      </c>
    </row>
    <row r="2812" ht="12.75" customHeight="1">
      <c r="A2812" s="4" t="s">
        <v>3162</v>
      </c>
      <c r="B2812" s="5" t="s">
        <v>3162</v>
      </c>
      <c r="C2812" s="1" t="str">
        <f t="shared" si="1"/>
        <v/>
      </c>
      <c r="E2812" s="5" t="s">
        <v>3162</v>
      </c>
      <c r="F2812" s="6" t="str">
        <f t="shared" si="2"/>
        <v>#N/A</v>
      </c>
      <c r="G2812" s="1" t="str">
        <f t="shared" si="3"/>
        <v/>
      </c>
      <c r="H2812" s="5" t="str">
        <f t="shared" si="4"/>
        <v>15, 25, POLIWAG</v>
      </c>
    </row>
    <row r="2813" ht="12.75" customHeight="1">
      <c r="A2813" s="4" t="s">
        <v>3163</v>
      </c>
      <c r="B2813" s="5" t="s">
        <v>3163</v>
      </c>
      <c r="C2813" s="1" t="str">
        <f t="shared" si="1"/>
        <v/>
      </c>
      <c r="E2813" s="5" t="s">
        <v>3163</v>
      </c>
      <c r="F2813" s="6" t="str">
        <f t="shared" si="2"/>
        <v>#N/A</v>
      </c>
      <c r="G2813" s="1" t="str">
        <f t="shared" si="3"/>
        <v/>
      </c>
      <c r="H2813" s="5" t="str">
        <f t="shared" si="4"/>
        <v>20, 30, POLIWHIRL</v>
      </c>
    </row>
    <row r="2814" ht="12.75" customHeight="1">
      <c r="A2814" s="4" t="s">
        <v>2854</v>
      </c>
      <c r="B2814" s="5" t="s">
        <v>2854</v>
      </c>
      <c r="C2814" s="1" t="str">
        <f t="shared" si="1"/>
        <v/>
      </c>
      <c r="E2814" s="5" t="s">
        <v>2854</v>
      </c>
      <c r="F2814" s="6" t="str">
        <f t="shared" si="2"/>
        <v>#N/A</v>
      </c>
      <c r="G2814" s="1" t="str">
        <f t="shared" si="3"/>
        <v/>
      </c>
      <c r="H2814" s="5" t="str">
        <f t="shared" si="4"/>
        <v>15, 25, GYARADOS</v>
      </c>
    </row>
    <row r="2815" ht="12.75" customHeight="1">
      <c r="A2815" s="4" t="s">
        <v>3147</v>
      </c>
      <c r="B2815" s="5" t="s">
        <v>3147</v>
      </c>
      <c r="C2815" s="1" t="str">
        <f t="shared" si="1"/>
        <v/>
      </c>
      <c r="E2815" s="5" t="s">
        <v>3147</v>
      </c>
      <c r="F2815" s="6" t="str">
        <f t="shared" si="2"/>
        <v>#N/A</v>
      </c>
      <c r="G2815" s="1" t="str">
        <f t="shared" si="3"/>
        <v/>
      </c>
      <c r="H2815" s="5" t="str">
        <f t="shared" si="4"/>
        <v>15, 25, SLOWPOKE</v>
      </c>
    </row>
    <row r="2816" ht="12.75" customHeight="1">
      <c r="A2816" s="4" t="s">
        <v>2856</v>
      </c>
      <c r="B2816" s="5" t="s">
        <v>2856</v>
      </c>
      <c r="C2816" s="1" t="str">
        <f t="shared" si="1"/>
        <v/>
      </c>
      <c r="E2816" s="5" t="s">
        <v>2856</v>
      </c>
      <c r="F2816" s="6" t="str">
        <f t="shared" si="2"/>
        <v>#N/A</v>
      </c>
      <c r="G2816" s="1" t="str">
        <f t="shared" si="3"/>
        <v/>
      </c>
      <c r="H2816" s="5" t="str">
        <f t="shared" si="4"/>
        <v>25, 35, SLOWPOKE</v>
      </c>
    </row>
    <row r="2817" ht="12.75" customHeight="1">
      <c r="A2817" s="4" t="s">
        <v>2539</v>
      </c>
      <c r="B2817" s="5" t="s">
        <v>2539</v>
      </c>
      <c r="C2817" s="1">
        <f t="shared" si="1"/>
        <v>1</v>
      </c>
      <c r="E2817" s="5" t="s">
        <v>2539</v>
      </c>
      <c r="F2817" s="6" t="str">
        <f t="shared" si="2"/>
        <v>#N/A</v>
      </c>
      <c r="G2817" s="1" t="str">
        <f t="shared" si="3"/>
        <v/>
      </c>
      <c r="H2817" s="5" t="str">
        <f t="shared" si="4"/>
        <v>NEW ROUTE</v>
      </c>
    </row>
    <row r="2818" ht="12.75" customHeight="1">
      <c r="A2818" s="4" t="s">
        <v>2097</v>
      </c>
      <c r="B2818" s="5" t="s">
        <v>2097</v>
      </c>
      <c r="C2818" s="1" t="str">
        <f t="shared" si="1"/>
        <v/>
      </c>
      <c r="E2818" s="5" t="s">
        <v>2097</v>
      </c>
      <c r="F2818" s="6" t="str">
        <f t="shared" si="2"/>
        <v>Five Island</v>
      </c>
      <c r="G2818" s="1" t="str">
        <f t="shared" si="3"/>
        <v>Five Island</v>
      </c>
      <c r="H2818" s="5" t="str">
        <f t="shared" si="4"/>
        <v>Five Island</v>
      </c>
    </row>
    <row r="2819" ht="12.75" customHeight="1">
      <c r="A2819" s="4" t="s">
        <v>3649</v>
      </c>
      <c r="B2819" s="5" t="s">
        <v>3649</v>
      </c>
      <c r="C2819" s="1" t="str">
        <f t="shared" si="1"/>
        <v/>
      </c>
      <c r="E2819" s="5" t="s">
        <v>3649</v>
      </c>
      <c r="F2819" s="6" t="str">
        <f t="shared" si="2"/>
        <v>#N/A</v>
      </c>
      <c r="G2819" s="1" t="str">
        <f t="shared" si="3"/>
        <v/>
      </c>
      <c r="H2819" s="5" t="str">
        <f t="shared" si="4"/>
        <v>1, 5, 35, TENTACOOL</v>
      </c>
    </row>
    <row r="2820" ht="12.75" customHeight="1">
      <c r="A2820" s="4" t="s">
        <v>3258</v>
      </c>
      <c r="B2820" s="5" t="s">
        <v>3258</v>
      </c>
      <c r="C2820" s="1" t="str">
        <f t="shared" si="1"/>
        <v/>
      </c>
      <c r="E2820" s="5" t="s">
        <v>3258</v>
      </c>
      <c r="F2820" s="6" t="str">
        <f t="shared" si="2"/>
        <v>#N/A</v>
      </c>
      <c r="G2820" s="1" t="str">
        <f t="shared" si="3"/>
        <v/>
      </c>
      <c r="H2820" s="5" t="str">
        <f t="shared" si="4"/>
        <v>5, 15, HOPPIP</v>
      </c>
    </row>
    <row r="2821" ht="12.75" customHeight="1">
      <c r="A2821" s="4" t="s">
        <v>2845</v>
      </c>
      <c r="B2821" s="5" t="s">
        <v>2845</v>
      </c>
      <c r="C2821" s="1" t="str">
        <f t="shared" si="1"/>
        <v/>
      </c>
      <c r="E2821" s="5" t="s">
        <v>2845</v>
      </c>
      <c r="F2821" s="6" t="str">
        <f t="shared" si="2"/>
        <v>#N/A</v>
      </c>
      <c r="G2821" s="1" t="str">
        <f t="shared" si="3"/>
        <v/>
      </c>
      <c r="H2821" s="5" t="str">
        <f t="shared" si="4"/>
        <v>35, 40, TENTACOOL</v>
      </c>
    </row>
    <row r="2822" ht="12.75" customHeight="1">
      <c r="A2822" s="4" t="s">
        <v>3232</v>
      </c>
      <c r="B2822" s="5" t="s">
        <v>3232</v>
      </c>
      <c r="C2822" s="1" t="str">
        <f t="shared" si="1"/>
        <v/>
      </c>
      <c r="E2822" s="5" t="s">
        <v>3232</v>
      </c>
      <c r="F2822" s="6" t="str">
        <f t="shared" si="2"/>
        <v>#N/A</v>
      </c>
      <c r="G2822" s="1" t="str">
        <f t="shared" si="3"/>
        <v/>
      </c>
      <c r="H2822" s="5" t="str">
        <f t="shared" si="4"/>
        <v>35, 40, TENTACRUEL</v>
      </c>
    </row>
    <row r="2823" ht="12.75" customHeight="1">
      <c r="A2823" s="4" t="s">
        <v>3232</v>
      </c>
      <c r="B2823" s="5" t="s">
        <v>3232</v>
      </c>
      <c r="C2823" s="1" t="str">
        <f t="shared" si="1"/>
        <v/>
      </c>
      <c r="E2823" s="5" t="s">
        <v>3232</v>
      </c>
      <c r="F2823" s="6" t="str">
        <f t="shared" si="2"/>
        <v>#N/A</v>
      </c>
      <c r="G2823" s="1" t="str">
        <f t="shared" si="3"/>
        <v/>
      </c>
      <c r="H2823" s="5" t="str">
        <f t="shared" si="4"/>
        <v>35, 40, TENTACRUEL</v>
      </c>
    </row>
    <row r="2824" ht="12.75" customHeight="1">
      <c r="A2824" s="4" t="s">
        <v>2846</v>
      </c>
      <c r="B2824" s="5" t="s">
        <v>2846</v>
      </c>
      <c r="C2824" s="1" t="str">
        <f t="shared" si="1"/>
        <v/>
      </c>
      <c r="E2824" s="5" t="s">
        <v>2846</v>
      </c>
      <c r="F2824" s="6" t="str">
        <f t="shared" si="2"/>
        <v>#N/A</v>
      </c>
      <c r="G2824" s="1" t="str">
        <f t="shared" si="3"/>
        <v/>
      </c>
      <c r="H2824" s="5" t="str">
        <f t="shared" si="4"/>
        <v>10, old rod:</v>
      </c>
    </row>
    <row r="2825" ht="12.75" customHeight="1">
      <c r="A2825" s="4" t="s">
        <v>417</v>
      </c>
      <c r="B2825" s="5" t="s">
        <v>417</v>
      </c>
      <c r="C2825" s="1" t="str">
        <f t="shared" si="1"/>
        <v/>
      </c>
      <c r="E2825" s="5" t="s">
        <v>417</v>
      </c>
      <c r="F2825" s="6" t="str">
        <f t="shared" si="2"/>
        <v>#N/A</v>
      </c>
      <c r="G2825" s="1" t="str">
        <f t="shared" si="3"/>
        <v/>
      </c>
      <c r="H2825" s="5" t="str">
        <f t="shared" si="4"/>
        <v>5, 5, MAGIKARP</v>
      </c>
    </row>
    <row r="2826" ht="12.75" customHeight="1">
      <c r="A2826" s="4" t="s">
        <v>417</v>
      </c>
      <c r="B2826" s="5" t="s">
        <v>417</v>
      </c>
      <c r="C2826" s="1" t="str">
        <f t="shared" si="1"/>
        <v/>
      </c>
      <c r="E2826" s="5" t="s">
        <v>417</v>
      </c>
      <c r="F2826" s="6" t="str">
        <f t="shared" si="2"/>
        <v>#N/A</v>
      </c>
      <c r="G2826" s="1" t="str">
        <f t="shared" si="3"/>
        <v/>
      </c>
      <c r="H2826" s="5" t="str">
        <f t="shared" si="4"/>
        <v>5, 5, MAGIKARP</v>
      </c>
    </row>
    <row r="2827" ht="12.75" customHeight="1">
      <c r="A2827" s="4" t="s">
        <v>2847</v>
      </c>
      <c r="B2827" s="5" t="s">
        <v>2847</v>
      </c>
      <c r="C2827" s="1" t="str">
        <f t="shared" si="1"/>
        <v/>
      </c>
      <c r="E2827" s="5" t="s">
        <v>2847</v>
      </c>
      <c r="F2827" s="6" t="str">
        <f t="shared" si="2"/>
        <v>#N/A</v>
      </c>
      <c r="G2827" s="1" t="str">
        <f t="shared" si="3"/>
        <v/>
      </c>
      <c r="H2827" s="5" t="str">
        <f t="shared" si="4"/>
        <v>good rod:</v>
      </c>
    </row>
    <row r="2828" ht="12.75" customHeight="1">
      <c r="A2828" s="4" t="s">
        <v>2848</v>
      </c>
      <c r="B2828" s="5" t="s">
        <v>2848</v>
      </c>
      <c r="C2828" s="1" t="str">
        <f t="shared" si="1"/>
        <v/>
      </c>
      <c r="E2828" s="5" t="s">
        <v>2848</v>
      </c>
      <c r="F2828" s="6" t="str">
        <f t="shared" si="2"/>
        <v>#N/A</v>
      </c>
      <c r="G2828" s="1" t="str">
        <f t="shared" si="3"/>
        <v/>
      </c>
      <c r="H2828" s="5" t="str">
        <f t="shared" si="4"/>
        <v>5, 15, KRABBY</v>
      </c>
    </row>
    <row r="2829" ht="12.75" customHeight="1">
      <c r="A2829" s="4" t="s">
        <v>2849</v>
      </c>
      <c r="B2829" s="5" t="s">
        <v>2849</v>
      </c>
      <c r="C2829" s="1" t="str">
        <f t="shared" si="1"/>
        <v/>
      </c>
      <c r="E2829" s="5" t="s">
        <v>2849</v>
      </c>
      <c r="F2829" s="6" t="str">
        <f t="shared" si="2"/>
        <v>#N/A</v>
      </c>
      <c r="G2829" s="1" t="str">
        <f t="shared" si="3"/>
        <v/>
      </c>
      <c r="H2829" s="5" t="str">
        <f t="shared" si="4"/>
        <v>5, 15, MAGIKARP</v>
      </c>
    </row>
    <row r="2830" ht="12.75" customHeight="1">
      <c r="A2830" s="4" t="s">
        <v>2848</v>
      </c>
      <c r="B2830" s="5" t="s">
        <v>2848</v>
      </c>
      <c r="C2830" s="1" t="str">
        <f t="shared" si="1"/>
        <v/>
      </c>
      <c r="E2830" s="5" t="s">
        <v>2848</v>
      </c>
      <c r="F2830" s="6" t="str">
        <f t="shared" si="2"/>
        <v>#N/A</v>
      </c>
      <c r="G2830" s="1" t="str">
        <f t="shared" si="3"/>
        <v/>
      </c>
      <c r="H2830" s="5" t="str">
        <f t="shared" si="4"/>
        <v>5, 15, KRABBY</v>
      </c>
    </row>
    <row r="2831" ht="12.75" customHeight="1">
      <c r="A2831" s="4" t="s">
        <v>2851</v>
      </c>
      <c r="B2831" s="5" t="s">
        <v>2851</v>
      </c>
      <c r="C2831" s="1" t="str">
        <f t="shared" si="1"/>
        <v/>
      </c>
      <c r="E2831" s="5" t="s">
        <v>2851</v>
      </c>
      <c r="F2831" s="6" t="str">
        <f t="shared" si="2"/>
        <v>#N/A</v>
      </c>
      <c r="G2831" s="1" t="str">
        <f t="shared" si="3"/>
        <v/>
      </c>
      <c r="H2831" s="5" t="str">
        <f t="shared" si="4"/>
        <v>super rod:</v>
      </c>
    </row>
    <row r="2832" ht="12.75" customHeight="1">
      <c r="A2832" s="4" t="s">
        <v>2852</v>
      </c>
      <c r="B2832" s="5" t="s">
        <v>2852</v>
      </c>
      <c r="C2832" s="1" t="str">
        <f t="shared" si="1"/>
        <v/>
      </c>
      <c r="E2832" s="5" t="s">
        <v>2852</v>
      </c>
      <c r="F2832" s="6" t="str">
        <f t="shared" si="2"/>
        <v>#N/A</v>
      </c>
      <c r="G2832" s="1" t="str">
        <f t="shared" si="3"/>
        <v/>
      </c>
      <c r="H2832" s="5" t="str">
        <f t="shared" si="4"/>
        <v>15, 25, KRABBY</v>
      </c>
    </row>
    <row r="2833" ht="12.75" customHeight="1">
      <c r="A2833" s="4" t="s">
        <v>2853</v>
      </c>
      <c r="B2833" s="5" t="s">
        <v>2853</v>
      </c>
      <c r="C2833" s="1" t="str">
        <f t="shared" si="1"/>
        <v/>
      </c>
      <c r="E2833" s="5" t="s">
        <v>2853</v>
      </c>
      <c r="F2833" s="6" t="str">
        <f t="shared" si="2"/>
        <v>#N/A</v>
      </c>
      <c r="G2833" s="1" t="str">
        <f t="shared" si="3"/>
        <v/>
      </c>
      <c r="H2833" s="5" t="str">
        <f t="shared" si="4"/>
        <v>15, 25, STARYU</v>
      </c>
    </row>
    <row r="2834" ht="12.75" customHeight="1">
      <c r="A2834" s="4" t="s">
        <v>2854</v>
      </c>
      <c r="B2834" s="5" t="s">
        <v>2854</v>
      </c>
      <c r="C2834" s="1" t="str">
        <f t="shared" si="1"/>
        <v/>
      </c>
      <c r="E2834" s="5" t="s">
        <v>2854</v>
      </c>
      <c r="F2834" s="6" t="str">
        <f t="shared" si="2"/>
        <v>#N/A</v>
      </c>
      <c r="G2834" s="1" t="str">
        <f t="shared" si="3"/>
        <v/>
      </c>
      <c r="H2834" s="5" t="str">
        <f t="shared" si="4"/>
        <v>15, 25, GYARADOS</v>
      </c>
    </row>
    <row r="2835" ht="12.75" customHeight="1">
      <c r="A2835" s="4" t="s">
        <v>3178</v>
      </c>
      <c r="B2835" s="5" t="s">
        <v>3178</v>
      </c>
      <c r="C2835" s="1" t="str">
        <f t="shared" si="1"/>
        <v/>
      </c>
      <c r="E2835" s="5" t="s">
        <v>3178</v>
      </c>
      <c r="F2835" s="6" t="str">
        <f t="shared" si="2"/>
        <v>#N/A</v>
      </c>
      <c r="G2835" s="1" t="str">
        <f t="shared" si="3"/>
        <v/>
      </c>
      <c r="H2835" s="5" t="str">
        <f t="shared" si="4"/>
        <v>25, 35, KINGLER</v>
      </c>
    </row>
    <row r="2836" ht="12.75" customHeight="1">
      <c r="A2836" s="4" t="s">
        <v>2856</v>
      </c>
      <c r="B2836" s="5" t="s">
        <v>2856</v>
      </c>
      <c r="C2836" s="1" t="str">
        <f t="shared" si="1"/>
        <v/>
      </c>
      <c r="E2836" s="5" t="s">
        <v>2856</v>
      </c>
      <c r="F2836" s="6" t="str">
        <f t="shared" si="2"/>
        <v>#N/A</v>
      </c>
      <c r="G2836" s="1" t="str">
        <f t="shared" si="3"/>
        <v/>
      </c>
      <c r="H2836" s="5" t="str">
        <f t="shared" si="4"/>
        <v>25, 35, SLOWPOKE</v>
      </c>
    </row>
    <row r="2837" ht="12.75" customHeight="1">
      <c r="A2837" s="4" t="s">
        <v>2539</v>
      </c>
      <c r="B2837" s="5" t="s">
        <v>2539</v>
      </c>
      <c r="C2837" s="1">
        <f t="shared" si="1"/>
        <v>1</v>
      </c>
      <c r="E2837" s="5" t="s">
        <v>2539</v>
      </c>
      <c r="F2837" s="6" t="str">
        <f t="shared" si="2"/>
        <v>#N/A</v>
      </c>
      <c r="G2837" s="1" t="str">
        <f t="shared" si="3"/>
        <v/>
      </c>
      <c r="H2837" s="5" t="str">
        <f t="shared" si="4"/>
        <v>NEW ROUTE</v>
      </c>
    </row>
    <row r="2838" ht="12.75" customHeight="1">
      <c r="A2838" s="4" t="s">
        <v>1939</v>
      </c>
      <c r="B2838" s="5" t="s">
        <v>1939</v>
      </c>
      <c r="C2838" s="1" t="str">
        <f t="shared" si="1"/>
        <v/>
      </c>
      <c r="E2838" s="5" t="s">
        <v>1939</v>
      </c>
      <c r="F2838" s="6" t="str">
        <f t="shared" si="2"/>
        <v>Six Island Altering Cave</v>
      </c>
      <c r="G2838" s="1" t="str">
        <f t="shared" si="3"/>
        <v>Six Island Altering Cave</v>
      </c>
      <c r="H2838" s="5" t="str">
        <f t="shared" si="4"/>
        <v>Six Island Altering Cave</v>
      </c>
    </row>
    <row r="2839" ht="12.75" customHeight="1">
      <c r="A2839" s="4" t="s">
        <v>2799</v>
      </c>
      <c r="B2839" s="5">
        <v>0.2</v>
      </c>
      <c r="C2839" s="1" t="str">
        <f t="shared" si="1"/>
        <v/>
      </c>
      <c r="E2839" s="5">
        <v>0.2</v>
      </c>
      <c r="F2839" s="6" t="str">
        <f t="shared" si="2"/>
        <v>#N/A</v>
      </c>
      <c r="G2839" s="1" t="str">
        <f t="shared" si="3"/>
        <v/>
      </c>
      <c r="H2839" s="5">
        <f t="shared" si="4"/>
        <v>0.2</v>
      </c>
    </row>
    <row r="2840" ht="12.75" customHeight="1">
      <c r="A2840" s="4" t="s">
        <v>1289</v>
      </c>
      <c r="B2840" s="5" t="s">
        <v>1289</v>
      </c>
      <c r="C2840" s="1" t="str">
        <f t="shared" si="1"/>
        <v/>
      </c>
      <c r="E2840" s="5" t="s">
        <v>1289</v>
      </c>
      <c r="F2840" s="6" t="str">
        <f t="shared" si="2"/>
        <v>#N/A</v>
      </c>
      <c r="G2840" s="1" t="str">
        <f t="shared" si="3"/>
        <v/>
      </c>
      <c r="H2840" s="5" t="str">
        <f t="shared" si="4"/>
        <v>10, 10, ZUBAT</v>
      </c>
    </row>
    <row r="2841" ht="12.75" customHeight="1">
      <c r="A2841" s="4" t="s">
        <v>3651</v>
      </c>
      <c r="B2841" s="5" t="s">
        <v>3651</v>
      </c>
      <c r="C2841" s="1" t="str">
        <f t="shared" si="1"/>
        <v/>
      </c>
      <c r="E2841" s="5" t="s">
        <v>3651</v>
      </c>
      <c r="F2841" s="6" t="str">
        <f t="shared" si="2"/>
        <v>#N/A</v>
      </c>
      <c r="G2841" s="1" t="str">
        <f t="shared" si="3"/>
        <v/>
      </c>
      <c r="H2841" s="5" t="str">
        <f t="shared" si="4"/>
        <v>12, 12, ZUBAT</v>
      </c>
    </row>
    <row r="2842" ht="12.75" customHeight="1">
      <c r="A2842" s="4" t="s">
        <v>2802</v>
      </c>
      <c r="B2842" s="5">
        <v>0.1</v>
      </c>
      <c r="C2842" s="1" t="str">
        <f t="shared" si="1"/>
        <v/>
      </c>
      <c r="E2842" s="5">
        <v>0.1</v>
      </c>
      <c r="F2842" s="6" t="str">
        <f t="shared" si="2"/>
        <v>#N/A</v>
      </c>
      <c r="G2842" s="1" t="str">
        <f t="shared" si="3"/>
        <v/>
      </c>
      <c r="H2842" s="5">
        <f t="shared" si="4"/>
        <v>0.1</v>
      </c>
    </row>
    <row r="2843" ht="12.75" customHeight="1">
      <c r="A2843" s="4" t="s">
        <v>3652</v>
      </c>
      <c r="B2843" s="5" t="s">
        <v>3652</v>
      </c>
      <c r="C2843" s="1" t="str">
        <f t="shared" si="1"/>
        <v/>
      </c>
      <c r="E2843" s="5" t="s">
        <v>3652</v>
      </c>
      <c r="F2843" s="6" t="str">
        <f t="shared" si="2"/>
        <v>#N/A</v>
      </c>
      <c r="G2843" s="1" t="str">
        <f t="shared" si="3"/>
        <v/>
      </c>
      <c r="H2843" s="5" t="str">
        <f t="shared" si="4"/>
        <v>8, 8, ZUBAT</v>
      </c>
    </row>
    <row r="2844" ht="12.75" customHeight="1">
      <c r="A2844" s="4" t="s">
        <v>3653</v>
      </c>
      <c r="B2844" s="5" t="s">
        <v>3653</v>
      </c>
      <c r="C2844" s="1" t="str">
        <f t="shared" si="1"/>
        <v/>
      </c>
      <c r="E2844" s="5" t="s">
        <v>3653</v>
      </c>
      <c r="F2844" s="6" t="str">
        <f t="shared" si="2"/>
        <v>#N/A</v>
      </c>
      <c r="G2844" s="1" t="str">
        <f t="shared" si="3"/>
        <v/>
      </c>
      <c r="H2844" s="5" t="str">
        <f t="shared" si="4"/>
        <v>14, 14, ZUBAT</v>
      </c>
    </row>
    <row r="2845" ht="12.75" customHeight="1">
      <c r="A2845" s="4" t="s">
        <v>1289</v>
      </c>
      <c r="B2845" s="5" t="s">
        <v>1289</v>
      </c>
      <c r="C2845" s="1" t="str">
        <f t="shared" si="1"/>
        <v/>
      </c>
      <c r="E2845" s="5" t="s">
        <v>1289</v>
      </c>
      <c r="F2845" s="6" t="str">
        <f t="shared" si="2"/>
        <v>#N/A</v>
      </c>
      <c r="G2845" s="1" t="str">
        <f t="shared" si="3"/>
        <v/>
      </c>
      <c r="H2845" s="5" t="str">
        <f t="shared" si="4"/>
        <v>10, 10, ZUBAT</v>
      </c>
    </row>
    <row r="2846" ht="12.75" customHeight="1">
      <c r="A2846" s="4" t="s">
        <v>3651</v>
      </c>
      <c r="B2846" s="5" t="s">
        <v>3651</v>
      </c>
      <c r="C2846" s="1" t="str">
        <f t="shared" si="1"/>
        <v/>
      </c>
      <c r="E2846" s="5" t="s">
        <v>3651</v>
      </c>
      <c r="F2846" s="6" t="str">
        <f t="shared" si="2"/>
        <v>#N/A</v>
      </c>
      <c r="G2846" s="1" t="str">
        <f t="shared" si="3"/>
        <v/>
      </c>
      <c r="H2846" s="5" t="str">
        <f t="shared" si="4"/>
        <v>12, 12, ZUBAT</v>
      </c>
    </row>
    <row r="2847" ht="12.75" customHeight="1">
      <c r="A2847" s="4" t="s">
        <v>2807</v>
      </c>
      <c r="B2847" s="5">
        <v>0.05</v>
      </c>
      <c r="C2847" s="1" t="str">
        <f t="shared" si="1"/>
        <v/>
      </c>
      <c r="E2847" s="5">
        <v>0.05</v>
      </c>
      <c r="F2847" s="6" t="str">
        <f t="shared" si="2"/>
        <v>#N/A</v>
      </c>
      <c r="G2847" s="1" t="str">
        <f t="shared" si="3"/>
        <v/>
      </c>
      <c r="H2847" s="5">
        <f t="shared" si="4"/>
        <v>0.05</v>
      </c>
    </row>
    <row r="2848" ht="12.75" customHeight="1">
      <c r="A2848" s="4" t="s">
        <v>3654</v>
      </c>
      <c r="B2848" s="5" t="s">
        <v>3654</v>
      </c>
      <c r="C2848" s="1" t="str">
        <f t="shared" si="1"/>
        <v/>
      </c>
      <c r="E2848" s="5" t="s">
        <v>3654</v>
      </c>
      <c r="F2848" s="6" t="str">
        <f t="shared" si="2"/>
        <v>#N/A</v>
      </c>
      <c r="G2848" s="1" t="str">
        <f t="shared" si="3"/>
        <v/>
      </c>
      <c r="H2848" s="5" t="str">
        <f t="shared" si="4"/>
        <v>16, 16, ZUBAT</v>
      </c>
    </row>
    <row r="2849" ht="12.75" customHeight="1">
      <c r="A2849" s="4" t="s">
        <v>3655</v>
      </c>
      <c r="B2849" s="5" t="s">
        <v>3655</v>
      </c>
      <c r="C2849" s="1" t="str">
        <f t="shared" si="1"/>
        <v/>
      </c>
      <c r="E2849" s="5" t="s">
        <v>3655</v>
      </c>
      <c r="F2849" s="6" t="str">
        <f t="shared" si="2"/>
        <v>#N/A</v>
      </c>
      <c r="G2849" s="1" t="str">
        <f t="shared" si="3"/>
        <v/>
      </c>
      <c r="H2849" s="5" t="str">
        <f t="shared" si="4"/>
        <v>6, 6, ZUBAT</v>
      </c>
    </row>
    <row r="2850" ht="12.75" customHeight="1">
      <c r="A2850" s="4" t="s">
        <v>2810</v>
      </c>
      <c r="B2850" s="5">
        <v>0.04</v>
      </c>
      <c r="C2850" s="1" t="str">
        <f t="shared" si="1"/>
        <v/>
      </c>
      <c r="E2850" s="5">
        <v>0.04</v>
      </c>
      <c r="F2850" s="6" t="str">
        <f t="shared" si="2"/>
        <v>#N/A</v>
      </c>
      <c r="G2850" s="1" t="str">
        <f t="shared" si="3"/>
        <v/>
      </c>
      <c r="H2850" s="5">
        <f t="shared" si="4"/>
        <v>0.04</v>
      </c>
    </row>
    <row r="2851" ht="12.75" customHeight="1">
      <c r="A2851" s="4" t="s">
        <v>3652</v>
      </c>
      <c r="B2851" s="5" t="s">
        <v>3652</v>
      </c>
      <c r="C2851" s="1" t="str">
        <f t="shared" si="1"/>
        <v/>
      </c>
      <c r="E2851" s="5" t="s">
        <v>3652</v>
      </c>
      <c r="F2851" s="6" t="str">
        <f t="shared" si="2"/>
        <v>#N/A</v>
      </c>
      <c r="G2851" s="1" t="str">
        <f t="shared" si="3"/>
        <v/>
      </c>
      <c r="H2851" s="5" t="str">
        <f t="shared" si="4"/>
        <v>8, 8, ZUBAT</v>
      </c>
    </row>
    <row r="2852" ht="12.75" customHeight="1">
      <c r="A2852" s="4" t="s">
        <v>3653</v>
      </c>
      <c r="B2852" s="5" t="s">
        <v>3653</v>
      </c>
      <c r="C2852" s="1" t="str">
        <f t="shared" si="1"/>
        <v/>
      </c>
      <c r="E2852" s="5" t="s">
        <v>3653</v>
      </c>
      <c r="F2852" s="6" t="str">
        <f t="shared" si="2"/>
        <v>#N/A</v>
      </c>
      <c r="G2852" s="1" t="str">
        <f t="shared" si="3"/>
        <v/>
      </c>
      <c r="H2852" s="5" t="str">
        <f t="shared" si="4"/>
        <v>14, 14, ZUBAT</v>
      </c>
    </row>
    <row r="2853" ht="12.75" customHeight="1">
      <c r="A2853" s="4" t="s">
        <v>2813</v>
      </c>
      <c r="B2853" s="5">
        <v>0.01</v>
      </c>
      <c r="C2853" s="1" t="str">
        <f t="shared" si="1"/>
        <v/>
      </c>
      <c r="E2853" s="5">
        <v>0.01</v>
      </c>
      <c r="F2853" s="6" t="str">
        <f t="shared" si="2"/>
        <v>#N/A</v>
      </c>
      <c r="G2853" s="1" t="str">
        <f t="shared" si="3"/>
        <v/>
      </c>
      <c r="H2853" s="5">
        <f t="shared" si="4"/>
        <v>0.01</v>
      </c>
    </row>
    <row r="2854" ht="12.75" customHeight="1">
      <c r="A2854" s="4" t="s">
        <v>3652</v>
      </c>
      <c r="B2854" s="5" t="s">
        <v>3652</v>
      </c>
      <c r="C2854" s="1" t="str">
        <f t="shared" si="1"/>
        <v/>
      </c>
      <c r="E2854" s="5" t="s">
        <v>3652</v>
      </c>
      <c r="F2854" s="6" t="str">
        <f t="shared" si="2"/>
        <v>#N/A</v>
      </c>
      <c r="G2854" s="1" t="str">
        <f t="shared" si="3"/>
        <v/>
      </c>
      <c r="H2854" s="5" t="str">
        <f t="shared" si="4"/>
        <v>8, 8, ZUBAT</v>
      </c>
    </row>
    <row r="2855" ht="12.75" customHeight="1">
      <c r="A2855" s="4" t="s">
        <v>3653</v>
      </c>
      <c r="B2855" s="5" t="s">
        <v>3653</v>
      </c>
      <c r="C2855" s="1" t="str">
        <f t="shared" si="1"/>
        <v/>
      </c>
      <c r="E2855" s="5" t="s">
        <v>3653</v>
      </c>
      <c r="F2855" s="6" t="str">
        <f t="shared" si="2"/>
        <v>#N/A</v>
      </c>
      <c r="G2855" s="1" t="str">
        <f t="shared" si="3"/>
        <v/>
      </c>
      <c r="H2855" s="5" t="str">
        <f t="shared" si="4"/>
        <v>14, 14, ZUBAT</v>
      </c>
    </row>
    <row r="2856" ht="12.75" customHeight="1">
      <c r="A2856" s="4" t="s">
        <v>2539</v>
      </c>
      <c r="B2856" s="5" t="s">
        <v>2539</v>
      </c>
      <c r="C2856" s="1">
        <f t="shared" si="1"/>
        <v>1</v>
      </c>
      <c r="E2856" s="5" t="s">
        <v>2539</v>
      </c>
      <c r="F2856" s="6" t="str">
        <f t="shared" si="2"/>
        <v>#N/A</v>
      </c>
      <c r="G2856" s="1" t="str">
        <f t="shared" si="3"/>
        <v/>
      </c>
      <c r="H2856" s="5" t="str">
        <f t="shared" si="4"/>
        <v>NEW ROUTE</v>
      </c>
    </row>
    <row r="2857" ht="12.75" customHeight="1">
      <c r="A2857" s="4" t="s">
        <v>1939</v>
      </c>
      <c r="B2857" s="5" t="s">
        <v>1939</v>
      </c>
      <c r="C2857" s="1" t="str">
        <f t="shared" si="1"/>
        <v/>
      </c>
      <c r="E2857" s="5" t="s">
        <v>1939</v>
      </c>
      <c r="F2857" s="6" t="str">
        <f t="shared" si="2"/>
        <v>Six Island Altering Cave</v>
      </c>
      <c r="G2857" s="1" t="str">
        <f t="shared" si="3"/>
        <v>Six Island Altering Cave</v>
      </c>
      <c r="H2857" s="5" t="str">
        <f t="shared" si="4"/>
        <v>Six Island Altering Cave</v>
      </c>
    </row>
    <row r="2858" ht="12.75" customHeight="1">
      <c r="A2858" s="4" t="s">
        <v>2799</v>
      </c>
      <c r="B2858" s="5">
        <v>0.2</v>
      </c>
      <c r="C2858" s="1" t="str">
        <f t="shared" si="1"/>
        <v/>
      </c>
      <c r="E2858" s="5">
        <v>0.2</v>
      </c>
      <c r="F2858" s="6" t="str">
        <f t="shared" si="2"/>
        <v>#N/A</v>
      </c>
      <c r="G2858" s="1" t="str">
        <f t="shared" si="3"/>
        <v/>
      </c>
      <c r="H2858" s="5">
        <f t="shared" si="4"/>
        <v>0.2</v>
      </c>
    </row>
    <row r="2859" ht="12.75" customHeight="1">
      <c r="A2859" s="4" t="s">
        <v>1297</v>
      </c>
      <c r="B2859" s="5" t="s">
        <v>1297</v>
      </c>
      <c r="C2859" s="1" t="str">
        <f t="shared" si="1"/>
        <v/>
      </c>
      <c r="E2859" s="5" t="s">
        <v>1297</v>
      </c>
      <c r="F2859" s="6" t="str">
        <f t="shared" si="2"/>
        <v>#N/A</v>
      </c>
      <c r="G2859" s="1" t="str">
        <f t="shared" si="3"/>
        <v/>
      </c>
      <c r="H2859" s="5" t="str">
        <f t="shared" si="4"/>
        <v>7, 7, MAREEP</v>
      </c>
    </row>
    <row r="2860" ht="12.75" customHeight="1">
      <c r="A2860" s="4" t="s">
        <v>3657</v>
      </c>
      <c r="B2860" s="5" t="s">
        <v>3657</v>
      </c>
      <c r="C2860" s="1" t="str">
        <f t="shared" si="1"/>
        <v/>
      </c>
      <c r="E2860" s="5" t="s">
        <v>3657</v>
      </c>
      <c r="F2860" s="6" t="str">
        <f t="shared" si="2"/>
        <v>#N/A</v>
      </c>
      <c r="G2860" s="1" t="str">
        <f t="shared" si="3"/>
        <v/>
      </c>
      <c r="H2860" s="5" t="str">
        <f t="shared" si="4"/>
        <v>9, 9, MAREEP</v>
      </c>
    </row>
    <row r="2861" ht="12.75" customHeight="1">
      <c r="A2861" s="4" t="s">
        <v>2802</v>
      </c>
      <c r="B2861" s="5">
        <v>0.1</v>
      </c>
      <c r="C2861" s="1" t="str">
        <f t="shared" si="1"/>
        <v/>
      </c>
      <c r="E2861" s="5">
        <v>0.1</v>
      </c>
      <c r="F2861" s="6" t="str">
        <f t="shared" si="2"/>
        <v>#N/A</v>
      </c>
      <c r="G2861" s="1" t="str">
        <f t="shared" si="3"/>
        <v/>
      </c>
      <c r="H2861" s="5">
        <f t="shared" si="4"/>
        <v>0.1</v>
      </c>
    </row>
    <row r="2862" ht="12.75" customHeight="1">
      <c r="A2862" s="4" t="s">
        <v>3658</v>
      </c>
      <c r="B2862" s="5" t="s">
        <v>3658</v>
      </c>
      <c r="C2862" s="1" t="str">
        <f t="shared" si="1"/>
        <v/>
      </c>
      <c r="E2862" s="5" t="s">
        <v>3658</v>
      </c>
      <c r="F2862" s="6" t="str">
        <f t="shared" si="2"/>
        <v>#N/A</v>
      </c>
      <c r="G2862" s="1" t="str">
        <f t="shared" si="3"/>
        <v/>
      </c>
      <c r="H2862" s="5" t="str">
        <f t="shared" si="4"/>
        <v>5, 5, MAREEP</v>
      </c>
    </row>
    <row r="2863" ht="12.75" customHeight="1">
      <c r="A2863" s="4" t="s">
        <v>3659</v>
      </c>
      <c r="B2863" s="5" t="s">
        <v>3659</v>
      </c>
      <c r="C2863" s="1" t="str">
        <f t="shared" si="1"/>
        <v/>
      </c>
      <c r="E2863" s="5" t="s">
        <v>3659</v>
      </c>
      <c r="F2863" s="6" t="str">
        <f t="shared" si="2"/>
        <v>#N/A</v>
      </c>
      <c r="G2863" s="1" t="str">
        <f t="shared" si="3"/>
        <v/>
      </c>
      <c r="H2863" s="5" t="str">
        <f t="shared" si="4"/>
        <v>11, 11, MAREEP</v>
      </c>
    </row>
    <row r="2864" ht="12.75" customHeight="1">
      <c r="A2864" s="4" t="s">
        <v>1297</v>
      </c>
      <c r="B2864" s="5" t="s">
        <v>1297</v>
      </c>
      <c r="C2864" s="1" t="str">
        <f t="shared" si="1"/>
        <v/>
      </c>
      <c r="E2864" s="5" t="s">
        <v>1297</v>
      </c>
      <c r="F2864" s="6" t="str">
        <f t="shared" si="2"/>
        <v>#N/A</v>
      </c>
      <c r="G2864" s="1" t="str">
        <f t="shared" si="3"/>
        <v/>
      </c>
      <c r="H2864" s="5" t="str">
        <f t="shared" si="4"/>
        <v>7, 7, MAREEP</v>
      </c>
    </row>
    <row r="2865" ht="12.75" customHeight="1">
      <c r="A2865" s="4" t="s">
        <v>3657</v>
      </c>
      <c r="B2865" s="5" t="s">
        <v>3657</v>
      </c>
      <c r="C2865" s="1" t="str">
        <f t="shared" si="1"/>
        <v/>
      </c>
      <c r="E2865" s="5" t="s">
        <v>3657</v>
      </c>
      <c r="F2865" s="6" t="str">
        <f t="shared" si="2"/>
        <v>#N/A</v>
      </c>
      <c r="G2865" s="1" t="str">
        <f t="shared" si="3"/>
        <v/>
      </c>
      <c r="H2865" s="5" t="str">
        <f t="shared" si="4"/>
        <v>9, 9, MAREEP</v>
      </c>
    </row>
    <row r="2866" ht="12.75" customHeight="1">
      <c r="A2866" s="4" t="s">
        <v>2807</v>
      </c>
      <c r="B2866" s="5">
        <v>0.05</v>
      </c>
      <c r="C2866" s="1" t="str">
        <f t="shared" si="1"/>
        <v/>
      </c>
      <c r="E2866" s="5">
        <v>0.05</v>
      </c>
      <c r="F2866" s="6" t="str">
        <f t="shared" si="2"/>
        <v>#N/A</v>
      </c>
      <c r="G2866" s="1" t="str">
        <f t="shared" si="3"/>
        <v/>
      </c>
      <c r="H2866" s="5">
        <f t="shared" si="4"/>
        <v>0.05</v>
      </c>
    </row>
    <row r="2867" ht="12.75" customHeight="1">
      <c r="A2867" s="4" t="s">
        <v>3660</v>
      </c>
      <c r="B2867" s="5" t="s">
        <v>3660</v>
      </c>
      <c r="C2867" s="1" t="str">
        <f t="shared" si="1"/>
        <v/>
      </c>
      <c r="E2867" s="5" t="s">
        <v>3660</v>
      </c>
      <c r="F2867" s="6" t="str">
        <f t="shared" si="2"/>
        <v>#N/A</v>
      </c>
      <c r="G2867" s="1" t="str">
        <f t="shared" si="3"/>
        <v/>
      </c>
      <c r="H2867" s="5" t="str">
        <f t="shared" si="4"/>
        <v>13, 13, MAREEP</v>
      </c>
    </row>
    <row r="2868" ht="12.75" customHeight="1">
      <c r="A2868" s="4" t="s">
        <v>3661</v>
      </c>
      <c r="B2868" s="5" t="s">
        <v>3661</v>
      </c>
      <c r="C2868" s="1" t="str">
        <f t="shared" si="1"/>
        <v/>
      </c>
      <c r="E2868" s="5" t="s">
        <v>3661</v>
      </c>
      <c r="F2868" s="6" t="str">
        <f t="shared" si="2"/>
        <v>#N/A</v>
      </c>
      <c r="G2868" s="1" t="str">
        <f t="shared" si="3"/>
        <v/>
      </c>
      <c r="H2868" s="5" t="str">
        <f t="shared" si="4"/>
        <v>3, 3, MAREEP</v>
      </c>
    </row>
    <row r="2869" ht="12.75" customHeight="1">
      <c r="A2869" s="4" t="s">
        <v>2810</v>
      </c>
      <c r="B2869" s="5">
        <v>0.04</v>
      </c>
      <c r="C2869" s="1" t="str">
        <f t="shared" si="1"/>
        <v/>
      </c>
      <c r="E2869" s="5">
        <v>0.04</v>
      </c>
      <c r="F2869" s="6" t="str">
        <f t="shared" si="2"/>
        <v>#N/A</v>
      </c>
      <c r="G2869" s="1" t="str">
        <f t="shared" si="3"/>
        <v/>
      </c>
      <c r="H2869" s="5">
        <f t="shared" si="4"/>
        <v>0.04</v>
      </c>
    </row>
    <row r="2870" ht="12.75" customHeight="1">
      <c r="A2870" s="4" t="s">
        <v>3658</v>
      </c>
      <c r="B2870" s="5" t="s">
        <v>3658</v>
      </c>
      <c r="C2870" s="1" t="str">
        <f t="shared" si="1"/>
        <v/>
      </c>
      <c r="E2870" s="5" t="s">
        <v>3658</v>
      </c>
      <c r="F2870" s="6" t="str">
        <f t="shared" si="2"/>
        <v>#N/A</v>
      </c>
      <c r="G2870" s="1" t="str">
        <f t="shared" si="3"/>
        <v/>
      </c>
      <c r="H2870" s="5" t="str">
        <f t="shared" si="4"/>
        <v>5, 5, MAREEP</v>
      </c>
    </row>
    <row r="2871" ht="12.75" customHeight="1">
      <c r="A2871" s="4" t="s">
        <v>3659</v>
      </c>
      <c r="B2871" s="5" t="s">
        <v>3659</v>
      </c>
      <c r="C2871" s="1" t="str">
        <f t="shared" si="1"/>
        <v/>
      </c>
      <c r="E2871" s="5" t="s">
        <v>3659</v>
      </c>
      <c r="F2871" s="6" t="str">
        <f t="shared" si="2"/>
        <v>#N/A</v>
      </c>
      <c r="G2871" s="1" t="str">
        <f t="shared" si="3"/>
        <v/>
      </c>
      <c r="H2871" s="5" t="str">
        <f t="shared" si="4"/>
        <v>11, 11, MAREEP</v>
      </c>
    </row>
    <row r="2872" ht="12.75" customHeight="1">
      <c r="A2872" s="4" t="s">
        <v>2813</v>
      </c>
      <c r="B2872" s="5">
        <v>0.01</v>
      </c>
      <c r="C2872" s="1" t="str">
        <f t="shared" si="1"/>
        <v/>
      </c>
      <c r="E2872" s="5">
        <v>0.01</v>
      </c>
      <c r="F2872" s="6" t="str">
        <f t="shared" si="2"/>
        <v>#N/A</v>
      </c>
      <c r="G2872" s="1" t="str">
        <f t="shared" si="3"/>
        <v/>
      </c>
      <c r="H2872" s="5">
        <f t="shared" si="4"/>
        <v>0.01</v>
      </c>
    </row>
    <row r="2873" ht="12.75" customHeight="1">
      <c r="A2873" s="4" t="s">
        <v>3658</v>
      </c>
      <c r="B2873" s="5" t="s">
        <v>3658</v>
      </c>
      <c r="C2873" s="1" t="str">
        <f t="shared" si="1"/>
        <v/>
      </c>
      <c r="E2873" s="5" t="s">
        <v>3658</v>
      </c>
      <c r="F2873" s="6" t="str">
        <f t="shared" si="2"/>
        <v>#N/A</v>
      </c>
      <c r="G2873" s="1" t="str">
        <f t="shared" si="3"/>
        <v/>
      </c>
      <c r="H2873" s="5" t="str">
        <f t="shared" si="4"/>
        <v>5, 5, MAREEP</v>
      </c>
    </row>
    <row r="2874" ht="12.75" customHeight="1">
      <c r="A2874" s="4" t="s">
        <v>3659</v>
      </c>
      <c r="B2874" s="5" t="s">
        <v>3659</v>
      </c>
      <c r="C2874" s="1" t="str">
        <f t="shared" si="1"/>
        <v/>
      </c>
      <c r="E2874" s="5" t="s">
        <v>3659</v>
      </c>
      <c r="F2874" s="6" t="str">
        <f t="shared" si="2"/>
        <v>#N/A</v>
      </c>
      <c r="G2874" s="1" t="str">
        <f t="shared" si="3"/>
        <v/>
      </c>
      <c r="H2874" s="5" t="str">
        <f t="shared" si="4"/>
        <v>11, 11, MAREEP</v>
      </c>
    </row>
    <row r="2875" ht="12.75" customHeight="1">
      <c r="A2875" s="4" t="s">
        <v>2539</v>
      </c>
      <c r="B2875" s="5" t="s">
        <v>2539</v>
      </c>
      <c r="C2875" s="1">
        <f t="shared" si="1"/>
        <v>1</v>
      </c>
      <c r="E2875" s="5" t="s">
        <v>2539</v>
      </c>
      <c r="F2875" s="6" t="str">
        <f t="shared" si="2"/>
        <v>#N/A</v>
      </c>
      <c r="G2875" s="1" t="str">
        <f t="shared" si="3"/>
        <v/>
      </c>
      <c r="H2875" s="5" t="str">
        <f t="shared" si="4"/>
        <v>NEW ROUTE</v>
      </c>
    </row>
    <row r="2876" ht="12.75" customHeight="1">
      <c r="A2876" s="4" t="s">
        <v>1939</v>
      </c>
      <c r="B2876" s="5" t="s">
        <v>1939</v>
      </c>
      <c r="C2876" s="1" t="str">
        <f t="shared" si="1"/>
        <v/>
      </c>
      <c r="E2876" s="5" t="s">
        <v>1939</v>
      </c>
      <c r="F2876" s="6" t="str">
        <f t="shared" si="2"/>
        <v>Six Island Altering Cave</v>
      </c>
      <c r="G2876" s="1" t="str">
        <f t="shared" si="3"/>
        <v>Six Island Altering Cave</v>
      </c>
      <c r="H2876" s="5" t="str">
        <f t="shared" si="4"/>
        <v>Six Island Altering Cave</v>
      </c>
    </row>
    <row r="2877" ht="12.75" customHeight="1">
      <c r="A2877" s="4" t="s">
        <v>2799</v>
      </c>
      <c r="B2877" s="5">
        <v>0.2</v>
      </c>
      <c r="C2877" s="1" t="str">
        <f t="shared" si="1"/>
        <v/>
      </c>
      <c r="E2877" s="5">
        <v>0.2</v>
      </c>
      <c r="F2877" s="6" t="str">
        <f t="shared" si="2"/>
        <v>#N/A</v>
      </c>
      <c r="G2877" s="1" t="str">
        <f t="shared" si="3"/>
        <v/>
      </c>
      <c r="H2877" s="5">
        <f t="shared" si="4"/>
        <v>0.2</v>
      </c>
    </row>
    <row r="2878" ht="12.75" customHeight="1">
      <c r="A2878" s="4" t="s">
        <v>1305</v>
      </c>
      <c r="B2878" s="5" t="s">
        <v>1305</v>
      </c>
      <c r="C2878" s="1" t="str">
        <f t="shared" si="1"/>
        <v/>
      </c>
      <c r="E2878" s="5" t="s">
        <v>1305</v>
      </c>
      <c r="F2878" s="6" t="str">
        <f t="shared" si="2"/>
        <v>#N/A</v>
      </c>
      <c r="G2878" s="1" t="str">
        <f t="shared" si="3"/>
        <v/>
      </c>
      <c r="H2878" s="5" t="str">
        <f t="shared" si="4"/>
        <v>23, 23, PINECO</v>
      </c>
    </row>
    <row r="2879" ht="12.75" customHeight="1">
      <c r="A2879" s="4" t="s">
        <v>3663</v>
      </c>
      <c r="B2879" s="5" t="s">
        <v>3663</v>
      </c>
      <c r="C2879" s="1" t="str">
        <f t="shared" si="1"/>
        <v/>
      </c>
      <c r="E2879" s="5" t="s">
        <v>3663</v>
      </c>
      <c r="F2879" s="6" t="str">
        <f t="shared" si="2"/>
        <v>#N/A</v>
      </c>
      <c r="G2879" s="1" t="str">
        <f t="shared" si="3"/>
        <v/>
      </c>
      <c r="H2879" s="5" t="str">
        <f t="shared" si="4"/>
        <v>25, 25, PINECO</v>
      </c>
    </row>
    <row r="2880" ht="12.75" customHeight="1">
      <c r="A2880" s="4" t="s">
        <v>2802</v>
      </c>
      <c r="B2880" s="5">
        <v>0.1</v>
      </c>
      <c r="C2880" s="1" t="str">
        <f t="shared" si="1"/>
        <v/>
      </c>
      <c r="E2880" s="5">
        <v>0.1</v>
      </c>
      <c r="F2880" s="6" t="str">
        <f t="shared" si="2"/>
        <v>#N/A</v>
      </c>
      <c r="G2880" s="1" t="str">
        <f t="shared" si="3"/>
        <v/>
      </c>
      <c r="H2880" s="5">
        <f t="shared" si="4"/>
        <v>0.1</v>
      </c>
    </row>
    <row r="2881" ht="12.75" customHeight="1">
      <c r="A2881" s="4" t="s">
        <v>3664</v>
      </c>
      <c r="B2881" s="5" t="s">
        <v>3664</v>
      </c>
      <c r="C2881" s="1" t="str">
        <f t="shared" si="1"/>
        <v/>
      </c>
      <c r="E2881" s="5" t="s">
        <v>3664</v>
      </c>
      <c r="F2881" s="6" t="str">
        <f t="shared" si="2"/>
        <v>#N/A</v>
      </c>
      <c r="G2881" s="1" t="str">
        <f t="shared" si="3"/>
        <v/>
      </c>
      <c r="H2881" s="5" t="str">
        <f t="shared" si="4"/>
        <v>22, 22, PINECO</v>
      </c>
    </row>
    <row r="2882" ht="12.75" customHeight="1">
      <c r="A2882" s="4" t="s">
        <v>3665</v>
      </c>
      <c r="B2882" s="5" t="s">
        <v>3665</v>
      </c>
      <c r="C2882" s="1" t="str">
        <f t="shared" si="1"/>
        <v/>
      </c>
      <c r="E2882" s="5" t="s">
        <v>3665</v>
      </c>
      <c r="F2882" s="6" t="str">
        <f t="shared" si="2"/>
        <v>#N/A</v>
      </c>
      <c r="G2882" s="1" t="str">
        <f t="shared" si="3"/>
        <v/>
      </c>
      <c r="H2882" s="5" t="str">
        <f t="shared" si="4"/>
        <v>27, 27, PINECO</v>
      </c>
    </row>
    <row r="2883" ht="12.75" customHeight="1">
      <c r="A2883" s="4" t="s">
        <v>1305</v>
      </c>
      <c r="B2883" s="5" t="s">
        <v>1305</v>
      </c>
      <c r="C2883" s="1" t="str">
        <f t="shared" si="1"/>
        <v/>
      </c>
      <c r="E2883" s="5" t="s">
        <v>1305</v>
      </c>
      <c r="F2883" s="6" t="str">
        <f t="shared" si="2"/>
        <v>#N/A</v>
      </c>
      <c r="G2883" s="1" t="str">
        <f t="shared" si="3"/>
        <v/>
      </c>
      <c r="H2883" s="5" t="str">
        <f t="shared" si="4"/>
        <v>23, 23, PINECO</v>
      </c>
    </row>
    <row r="2884" ht="12.75" customHeight="1">
      <c r="A2884" s="4" t="s">
        <v>3663</v>
      </c>
      <c r="B2884" s="5" t="s">
        <v>3663</v>
      </c>
      <c r="C2884" s="1" t="str">
        <f t="shared" si="1"/>
        <v/>
      </c>
      <c r="E2884" s="5" t="s">
        <v>3663</v>
      </c>
      <c r="F2884" s="6" t="str">
        <f t="shared" si="2"/>
        <v>#N/A</v>
      </c>
      <c r="G2884" s="1" t="str">
        <f t="shared" si="3"/>
        <v/>
      </c>
      <c r="H2884" s="5" t="str">
        <f t="shared" si="4"/>
        <v>25, 25, PINECO</v>
      </c>
    </row>
    <row r="2885" ht="12.75" customHeight="1">
      <c r="A2885" s="4" t="s">
        <v>2807</v>
      </c>
      <c r="B2885" s="5">
        <v>0.05</v>
      </c>
      <c r="C2885" s="1" t="str">
        <f t="shared" si="1"/>
        <v/>
      </c>
      <c r="E2885" s="5">
        <v>0.05</v>
      </c>
      <c r="F2885" s="6" t="str">
        <f t="shared" si="2"/>
        <v>#N/A</v>
      </c>
      <c r="G2885" s="1" t="str">
        <f t="shared" si="3"/>
        <v/>
      </c>
      <c r="H2885" s="5">
        <f t="shared" si="4"/>
        <v>0.05</v>
      </c>
    </row>
    <row r="2886" ht="12.75" customHeight="1">
      <c r="A2886" s="4" t="s">
        <v>3666</v>
      </c>
      <c r="B2886" s="5" t="s">
        <v>3666</v>
      </c>
      <c r="C2886" s="1" t="str">
        <f t="shared" si="1"/>
        <v/>
      </c>
      <c r="E2886" s="5" t="s">
        <v>3666</v>
      </c>
      <c r="F2886" s="6" t="str">
        <f t="shared" si="2"/>
        <v>#N/A</v>
      </c>
      <c r="G2886" s="1" t="str">
        <f t="shared" si="3"/>
        <v/>
      </c>
      <c r="H2886" s="5" t="str">
        <f t="shared" si="4"/>
        <v>29, 29, PINECO</v>
      </c>
    </row>
    <row r="2887" ht="12.75" customHeight="1">
      <c r="A2887" s="4" t="s">
        <v>3667</v>
      </c>
      <c r="B2887" s="5" t="s">
        <v>3667</v>
      </c>
      <c r="C2887" s="1" t="str">
        <f t="shared" si="1"/>
        <v/>
      </c>
      <c r="E2887" s="5" t="s">
        <v>3667</v>
      </c>
      <c r="F2887" s="6" t="str">
        <f t="shared" si="2"/>
        <v>#N/A</v>
      </c>
      <c r="G2887" s="1" t="str">
        <f t="shared" si="3"/>
        <v/>
      </c>
      <c r="H2887" s="5" t="str">
        <f t="shared" si="4"/>
        <v>19, 19, PINECO</v>
      </c>
    </row>
    <row r="2888" ht="12.75" customHeight="1">
      <c r="A2888" s="4" t="s">
        <v>2810</v>
      </c>
      <c r="B2888" s="5">
        <v>0.04</v>
      </c>
      <c r="C2888" s="1" t="str">
        <f t="shared" si="1"/>
        <v/>
      </c>
      <c r="E2888" s="5">
        <v>0.04</v>
      </c>
      <c r="F2888" s="6" t="str">
        <f t="shared" si="2"/>
        <v>#N/A</v>
      </c>
      <c r="G2888" s="1" t="str">
        <f t="shared" si="3"/>
        <v/>
      </c>
      <c r="H2888" s="5">
        <f t="shared" si="4"/>
        <v>0.04</v>
      </c>
    </row>
    <row r="2889" ht="12.75" customHeight="1">
      <c r="A2889" s="4" t="s">
        <v>3668</v>
      </c>
      <c r="B2889" s="5" t="s">
        <v>3668</v>
      </c>
      <c r="C2889" s="1" t="str">
        <f t="shared" si="1"/>
        <v/>
      </c>
      <c r="E2889" s="5" t="s">
        <v>3668</v>
      </c>
      <c r="F2889" s="6" t="str">
        <f t="shared" si="2"/>
        <v>#N/A</v>
      </c>
      <c r="G2889" s="1" t="str">
        <f t="shared" si="3"/>
        <v/>
      </c>
      <c r="H2889" s="5" t="str">
        <f t="shared" si="4"/>
        <v>21, 21, PINECO</v>
      </c>
    </row>
    <row r="2890" ht="12.75" customHeight="1">
      <c r="A2890" s="4" t="s">
        <v>3665</v>
      </c>
      <c r="B2890" s="5" t="s">
        <v>3665</v>
      </c>
      <c r="C2890" s="1" t="str">
        <f t="shared" si="1"/>
        <v/>
      </c>
      <c r="E2890" s="5" t="s">
        <v>3665</v>
      </c>
      <c r="F2890" s="6" t="str">
        <f t="shared" si="2"/>
        <v>#N/A</v>
      </c>
      <c r="G2890" s="1" t="str">
        <f t="shared" si="3"/>
        <v/>
      </c>
      <c r="H2890" s="5" t="str">
        <f t="shared" si="4"/>
        <v>27, 27, PINECO</v>
      </c>
    </row>
    <row r="2891" ht="12.75" customHeight="1">
      <c r="A2891" s="4" t="s">
        <v>2813</v>
      </c>
      <c r="B2891" s="5">
        <v>0.01</v>
      </c>
      <c r="C2891" s="1" t="str">
        <f t="shared" si="1"/>
        <v/>
      </c>
      <c r="E2891" s="5">
        <v>0.01</v>
      </c>
      <c r="F2891" s="6" t="str">
        <f t="shared" si="2"/>
        <v>#N/A</v>
      </c>
      <c r="G2891" s="1" t="str">
        <f t="shared" si="3"/>
        <v/>
      </c>
      <c r="H2891" s="5">
        <f t="shared" si="4"/>
        <v>0.01</v>
      </c>
    </row>
    <row r="2892" ht="12.75" customHeight="1">
      <c r="A2892" s="4" t="s">
        <v>3668</v>
      </c>
      <c r="B2892" s="5" t="s">
        <v>3668</v>
      </c>
      <c r="C2892" s="1" t="str">
        <f t="shared" si="1"/>
        <v/>
      </c>
      <c r="E2892" s="5" t="s">
        <v>3668</v>
      </c>
      <c r="F2892" s="6" t="str">
        <f t="shared" si="2"/>
        <v>#N/A</v>
      </c>
      <c r="G2892" s="1" t="str">
        <f t="shared" si="3"/>
        <v/>
      </c>
      <c r="H2892" s="5" t="str">
        <f t="shared" si="4"/>
        <v>21, 21, PINECO</v>
      </c>
    </row>
    <row r="2893" ht="12.75" customHeight="1">
      <c r="A2893" s="4" t="s">
        <v>3665</v>
      </c>
      <c r="B2893" s="5" t="s">
        <v>3665</v>
      </c>
      <c r="C2893" s="1" t="str">
        <f t="shared" si="1"/>
        <v/>
      </c>
      <c r="E2893" s="5" t="s">
        <v>3665</v>
      </c>
      <c r="F2893" s="6" t="str">
        <f t="shared" si="2"/>
        <v>#N/A</v>
      </c>
      <c r="G2893" s="1" t="str">
        <f t="shared" si="3"/>
        <v/>
      </c>
      <c r="H2893" s="5" t="str">
        <f t="shared" si="4"/>
        <v>27, 27, PINECO</v>
      </c>
    </row>
    <row r="2894" ht="12.75" customHeight="1">
      <c r="A2894" s="4" t="s">
        <v>2539</v>
      </c>
      <c r="B2894" s="5" t="s">
        <v>2539</v>
      </c>
      <c r="C2894" s="1">
        <f t="shared" si="1"/>
        <v>1</v>
      </c>
      <c r="E2894" s="5" t="s">
        <v>2539</v>
      </c>
      <c r="F2894" s="6" t="str">
        <f t="shared" si="2"/>
        <v>#N/A</v>
      </c>
      <c r="G2894" s="1" t="str">
        <f t="shared" si="3"/>
        <v/>
      </c>
      <c r="H2894" s="5" t="str">
        <f t="shared" si="4"/>
        <v>NEW ROUTE</v>
      </c>
    </row>
    <row r="2895" ht="12.75" customHeight="1">
      <c r="A2895" s="4" t="s">
        <v>1939</v>
      </c>
      <c r="B2895" s="5" t="s">
        <v>1939</v>
      </c>
      <c r="C2895" s="1" t="str">
        <f t="shared" si="1"/>
        <v/>
      </c>
      <c r="E2895" s="5" t="s">
        <v>1939</v>
      </c>
      <c r="F2895" s="6" t="str">
        <f t="shared" si="2"/>
        <v>Six Island Altering Cave</v>
      </c>
      <c r="G2895" s="1" t="str">
        <f t="shared" si="3"/>
        <v>Six Island Altering Cave</v>
      </c>
      <c r="H2895" s="5" t="str">
        <f t="shared" si="4"/>
        <v>Six Island Altering Cave</v>
      </c>
    </row>
    <row r="2896" ht="12.75" customHeight="1">
      <c r="A2896" s="4" t="s">
        <v>2799</v>
      </c>
      <c r="B2896" s="5">
        <v>0.2</v>
      </c>
      <c r="C2896" s="1" t="str">
        <f t="shared" si="1"/>
        <v/>
      </c>
      <c r="E2896" s="5">
        <v>0.2</v>
      </c>
      <c r="F2896" s="6" t="str">
        <f t="shared" si="2"/>
        <v>#N/A</v>
      </c>
      <c r="G2896" s="1" t="str">
        <f t="shared" si="3"/>
        <v/>
      </c>
      <c r="H2896" s="5">
        <f t="shared" si="4"/>
        <v>0.2</v>
      </c>
    </row>
    <row r="2897" ht="12.75" customHeight="1">
      <c r="A2897" s="4" t="s">
        <v>1314</v>
      </c>
      <c r="B2897" s="5" t="s">
        <v>1314</v>
      </c>
      <c r="C2897" s="1" t="str">
        <f t="shared" si="1"/>
        <v/>
      </c>
      <c r="E2897" s="5" t="s">
        <v>1314</v>
      </c>
      <c r="F2897" s="6" t="str">
        <f t="shared" si="2"/>
        <v>#N/A</v>
      </c>
      <c r="G2897" s="1" t="str">
        <f t="shared" si="3"/>
        <v/>
      </c>
      <c r="H2897" s="5" t="str">
        <f t="shared" si="4"/>
        <v>16, 16, HOUNDOUR</v>
      </c>
    </row>
    <row r="2898" ht="12.75" customHeight="1">
      <c r="A2898" s="4" t="s">
        <v>3670</v>
      </c>
      <c r="B2898" s="5" t="s">
        <v>3670</v>
      </c>
      <c r="C2898" s="1" t="str">
        <f t="shared" si="1"/>
        <v/>
      </c>
      <c r="E2898" s="5" t="s">
        <v>3670</v>
      </c>
      <c r="F2898" s="6" t="str">
        <f t="shared" si="2"/>
        <v>#N/A</v>
      </c>
      <c r="G2898" s="1" t="str">
        <f t="shared" si="3"/>
        <v/>
      </c>
      <c r="H2898" s="5" t="str">
        <f t="shared" si="4"/>
        <v>18, 18, HOUNDOUR</v>
      </c>
    </row>
    <row r="2899" ht="12.75" customHeight="1">
      <c r="A2899" s="4" t="s">
        <v>2802</v>
      </c>
      <c r="B2899" s="5">
        <v>0.1</v>
      </c>
      <c r="C2899" s="1" t="str">
        <f t="shared" si="1"/>
        <v/>
      </c>
      <c r="E2899" s="5">
        <v>0.1</v>
      </c>
      <c r="F2899" s="6" t="str">
        <f t="shared" si="2"/>
        <v>#N/A</v>
      </c>
      <c r="G2899" s="1" t="str">
        <f t="shared" si="3"/>
        <v/>
      </c>
      <c r="H2899" s="5">
        <f t="shared" si="4"/>
        <v>0.1</v>
      </c>
    </row>
    <row r="2900" ht="12.75" customHeight="1">
      <c r="A2900" s="4" t="s">
        <v>3671</v>
      </c>
      <c r="B2900" s="5" t="s">
        <v>3671</v>
      </c>
      <c r="C2900" s="1" t="str">
        <f t="shared" si="1"/>
        <v/>
      </c>
      <c r="E2900" s="5" t="s">
        <v>3671</v>
      </c>
      <c r="F2900" s="6" t="str">
        <f t="shared" si="2"/>
        <v>#N/A</v>
      </c>
      <c r="G2900" s="1" t="str">
        <f t="shared" si="3"/>
        <v/>
      </c>
      <c r="H2900" s="5" t="str">
        <f t="shared" si="4"/>
        <v>14, 14, HOUNDOUR</v>
      </c>
    </row>
    <row r="2901" ht="12.75" customHeight="1">
      <c r="A2901" s="4" t="s">
        <v>3672</v>
      </c>
      <c r="B2901" s="5" t="s">
        <v>3672</v>
      </c>
      <c r="C2901" s="1" t="str">
        <f t="shared" si="1"/>
        <v/>
      </c>
      <c r="E2901" s="5" t="s">
        <v>3672</v>
      </c>
      <c r="F2901" s="6" t="str">
        <f t="shared" si="2"/>
        <v>#N/A</v>
      </c>
      <c r="G2901" s="1" t="str">
        <f t="shared" si="3"/>
        <v/>
      </c>
      <c r="H2901" s="5" t="str">
        <f t="shared" si="4"/>
        <v>20, 20, HOUNDOUR</v>
      </c>
    </row>
    <row r="2902" ht="12.75" customHeight="1">
      <c r="A2902" s="4" t="s">
        <v>1314</v>
      </c>
      <c r="B2902" s="5" t="s">
        <v>1314</v>
      </c>
      <c r="C2902" s="1" t="str">
        <f t="shared" si="1"/>
        <v/>
      </c>
      <c r="E2902" s="5" t="s">
        <v>1314</v>
      </c>
      <c r="F2902" s="6" t="str">
        <f t="shared" si="2"/>
        <v>#N/A</v>
      </c>
      <c r="G2902" s="1" t="str">
        <f t="shared" si="3"/>
        <v/>
      </c>
      <c r="H2902" s="5" t="str">
        <f t="shared" si="4"/>
        <v>16, 16, HOUNDOUR</v>
      </c>
    </row>
    <row r="2903" ht="12.75" customHeight="1">
      <c r="A2903" s="4" t="s">
        <v>3670</v>
      </c>
      <c r="B2903" s="5" t="s">
        <v>3670</v>
      </c>
      <c r="C2903" s="1" t="str">
        <f t="shared" si="1"/>
        <v/>
      </c>
      <c r="E2903" s="5" t="s">
        <v>3670</v>
      </c>
      <c r="F2903" s="6" t="str">
        <f t="shared" si="2"/>
        <v>#N/A</v>
      </c>
      <c r="G2903" s="1" t="str">
        <f t="shared" si="3"/>
        <v/>
      </c>
      <c r="H2903" s="5" t="str">
        <f t="shared" si="4"/>
        <v>18, 18, HOUNDOUR</v>
      </c>
    </row>
    <row r="2904" ht="12.75" customHeight="1">
      <c r="A2904" s="4" t="s">
        <v>2807</v>
      </c>
      <c r="B2904" s="5">
        <v>0.05</v>
      </c>
      <c r="C2904" s="1" t="str">
        <f t="shared" si="1"/>
        <v/>
      </c>
      <c r="E2904" s="5">
        <v>0.05</v>
      </c>
      <c r="F2904" s="6" t="str">
        <f t="shared" si="2"/>
        <v>#N/A</v>
      </c>
      <c r="G2904" s="1" t="str">
        <f t="shared" si="3"/>
        <v/>
      </c>
      <c r="H2904" s="5">
        <f t="shared" si="4"/>
        <v>0.05</v>
      </c>
    </row>
    <row r="2905" ht="12.75" customHeight="1">
      <c r="A2905" s="4" t="s">
        <v>3673</v>
      </c>
      <c r="B2905" s="5" t="s">
        <v>3673</v>
      </c>
      <c r="C2905" s="1" t="str">
        <f t="shared" si="1"/>
        <v/>
      </c>
      <c r="E2905" s="5" t="s">
        <v>3673</v>
      </c>
      <c r="F2905" s="6" t="str">
        <f t="shared" si="2"/>
        <v>#N/A</v>
      </c>
      <c r="G2905" s="1" t="str">
        <f t="shared" si="3"/>
        <v/>
      </c>
      <c r="H2905" s="5" t="str">
        <f t="shared" si="4"/>
        <v>22, 22, HOUNDOUR</v>
      </c>
    </row>
    <row r="2906" ht="12.75" customHeight="1">
      <c r="A2906" s="4" t="s">
        <v>3674</v>
      </c>
      <c r="B2906" s="5" t="s">
        <v>3674</v>
      </c>
      <c r="C2906" s="1" t="str">
        <f t="shared" si="1"/>
        <v/>
      </c>
      <c r="E2906" s="5" t="s">
        <v>3674</v>
      </c>
      <c r="F2906" s="6" t="str">
        <f t="shared" si="2"/>
        <v>#N/A</v>
      </c>
      <c r="G2906" s="1" t="str">
        <f t="shared" si="3"/>
        <v/>
      </c>
      <c r="H2906" s="5" t="str">
        <f t="shared" si="4"/>
        <v>12, 12, HOUNDOUR</v>
      </c>
    </row>
    <row r="2907" ht="12.75" customHeight="1">
      <c r="A2907" s="4" t="s">
        <v>2810</v>
      </c>
      <c r="B2907" s="5">
        <v>0.04</v>
      </c>
      <c r="C2907" s="1" t="str">
        <f t="shared" si="1"/>
        <v/>
      </c>
      <c r="E2907" s="5">
        <v>0.04</v>
      </c>
      <c r="F2907" s="6" t="str">
        <f t="shared" si="2"/>
        <v>#N/A</v>
      </c>
      <c r="G2907" s="1" t="str">
        <f t="shared" si="3"/>
        <v/>
      </c>
      <c r="H2907" s="5">
        <f t="shared" si="4"/>
        <v>0.04</v>
      </c>
    </row>
    <row r="2908" ht="12.75" customHeight="1">
      <c r="A2908" s="4" t="s">
        <v>3671</v>
      </c>
      <c r="B2908" s="5" t="s">
        <v>3671</v>
      </c>
      <c r="C2908" s="1" t="str">
        <f t="shared" si="1"/>
        <v/>
      </c>
      <c r="E2908" s="5" t="s">
        <v>3671</v>
      </c>
      <c r="F2908" s="6" t="str">
        <f t="shared" si="2"/>
        <v>#N/A</v>
      </c>
      <c r="G2908" s="1" t="str">
        <f t="shared" si="3"/>
        <v/>
      </c>
      <c r="H2908" s="5" t="str">
        <f t="shared" si="4"/>
        <v>14, 14, HOUNDOUR</v>
      </c>
    </row>
    <row r="2909" ht="12.75" customHeight="1">
      <c r="A2909" s="4" t="s">
        <v>3672</v>
      </c>
      <c r="B2909" s="5" t="s">
        <v>3672</v>
      </c>
      <c r="C2909" s="1" t="str">
        <f t="shared" si="1"/>
        <v/>
      </c>
      <c r="E2909" s="5" t="s">
        <v>3672</v>
      </c>
      <c r="F2909" s="6" t="str">
        <f t="shared" si="2"/>
        <v>#N/A</v>
      </c>
      <c r="G2909" s="1" t="str">
        <f t="shared" si="3"/>
        <v/>
      </c>
      <c r="H2909" s="5" t="str">
        <f t="shared" si="4"/>
        <v>20, 20, HOUNDOUR</v>
      </c>
    </row>
    <row r="2910" ht="12.75" customHeight="1">
      <c r="A2910" s="4" t="s">
        <v>2813</v>
      </c>
      <c r="B2910" s="5">
        <v>0.01</v>
      </c>
      <c r="C2910" s="1" t="str">
        <f t="shared" si="1"/>
        <v/>
      </c>
      <c r="E2910" s="5">
        <v>0.01</v>
      </c>
      <c r="F2910" s="6" t="str">
        <f t="shared" si="2"/>
        <v>#N/A</v>
      </c>
      <c r="G2910" s="1" t="str">
        <f t="shared" si="3"/>
        <v/>
      </c>
      <c r="H2910" s="5">
        <f t="shared" si="4"/>
        <v>0.01</v>
      </c>
    </row>
    <row r="2911" ht="12.75" customHeight="1">
      <c r="A2911" s="4" t="s">
        <v>3671</v>
      </c>
      <c r="B2911" s="5" t="s">
        <v>3671</v>
      </c>
      <c r="C2911" s="1" t="str">
        <f t="shared" si="1"/>
        <v/>
      </c>
      <c r="E2911" s="5" t="s">
        <v>3671</v>
      </c>
      <c r="F2911" s="6" t="str">
        <f t="shared" si="2"/>
        <v>#N/A</v>
      </c>
      <c r="G2911" s="1" t="str">
        <f t="shared" si="3"/>
        <v/>
      </c>
      <c r="H2911" s="5" t="str">
        <f t="shared" si="4"/>
        <v>14, 14, HOUNDOUR</v>
      </c>
    </row>
    <row r="2912" ht="12.75" customHeight="1">
      <c r="A2912" s="4" t="s">
        <v>3672</v>
      </c>
      <c r="B2912" s="5" t="s">
        <v>3672</v>
      </c>
      <c r="C2912" s="1" t="str">
        <f t="shared" si="1"/>
        <v/>
      </c>
      <c r="E2912" s="5" t="s">
        <v>3672</v>
      </c>
      <c r="F2912" s="6" t="str">
        <f t="shared" si="2"/>
        <v>#N/A</v>
      </c>
      <c r="G2912" s="1" t="str">
        <f t="shared" si="3"/>
        <v/>
      </c>
      <c r="H2912" s="5" t="str">
        <f t="shared" si="4"/>
        <v>20, 20, HOUNDOUR</v>
      </c>
    </row>
    <row r="2913" ht="12.75" customHeight="1">
      <c r="A2913" s="4" t="s">
        <v>2539</v>
      </c>
      <c r="B2913" s="5" t="s">
        <v>2539</v>
      </c>
      <c r="C2913" s="1">
        <f t="shared" si="1"/>
        <v>1</v>
      </c>
      <c r="E2913" s="5" t="s">
        <v>2539</v>
      </c>
      <c r="F2913" s="6" t="str">
        <f t="shared" si="2"/>
        <v>#N/A</v>
      </c>
      <c r="G2913" s="1" t="str">
        <f t="shared" si="3"/>
        <v/>
      </c>
      <c r="H2913" s="5" t="str">
        <f t="shared" si="4"/>
        <v>NEW ROUTE</v>
      </c>
    </row>
    <row r="2914" ht="12.75" customHeight="1">
      <c r="A2914" s="4" t="s">
        <v>1939</v>
      </c>
      <c r="B2914" s="5" t="s">
        <v>1939</v>
      </c>
      <c r="C2914" s="1" t="str">
        <f t="shared" si="1"/>
        <v/>
      </c>
      <c r="E2914" s="5" t="s">
        <v>1939</v>
      </c>
      <c r="F2914" s="6" t="str">
        <f t="shared" si="2"/>
        <v>Six Island Altering Cave</v>
      </c>
      <c r="G2914" s="1" t="str">
        <f t="shared" si="3"/>
        <v>Six Island Altering Cave</v>
      </c>
      <c r="H2914" s="5" t="str">
        <f t="shared" si="4"/>
        <v>Six Island Altering Cave</v>
      </c>
    </row>
    <row r="2915" ht="12.75" customHeight="1">
      <c r="A2915" s="4" t="s">
        <v>2799</v>
      </c>
      <c r="B2915" s="5">
        <v>0.2</v>
      </c>
      <c r="C2915" s="1" t="str">
        <f t="shared" si="1"/>
        <v/>
      </c>
      <c r="E2915" s="5">
        <v>0.2</v>
      </c>
      <c r="F2915" s="6" t="str">
        <f t="shared" si="2"/>
        <v>#N/A</v>
      </c>
      <c r="G2915" s="1" t="str">
        <f t="shared" si="3"/>
        <v/>
      </c>
      <c r="H2915" s="5">
        <f t="shared" si="4"/>
        <v>0.2</v>
      </c>
    </row>
    <row r="2916" ht="12.75" customHeight="1">
      <c r="A2916" s="4" t="s">
        <v>1322</v>
      </c>
      <c r="B2916" s="5" t="s">
        <v>1322</v>
      </c>
      <c r="C2916" s="1" t="str">
        <f t="shared" si="1"/>
        <v/>
      </c>
      <c r="E2916" s="5" t="s">
        <v>1322</v>
      </c>
      <c r="F2916" s="6" t="str">
        <f t="shared" si="2"/>
        <v>#N/A</v>
      </c>
      <c r="G2916" s="1" t="str">
        <f t="shared" si="3"/>
        <v/>
      </c>
      <c r="H2916" s="5" t="str">
        <f t="shared" si="4"/>
        <v>22, 22, TEDDIURSA</v>
      </c>
    </row>
    <row r="2917" ht="12.75" customHeight="1">
      <c r="A2917" s="4" t="s">
        <v>3676</v>
      </c>
      <c r="B2917" s="5" t="s">
        <v>3676</v>
      </c>
      <c r="C2917" s="1" t="str">
        <f t="shared" si="1"/>
        <v/>
      </c>
      <c r="E2917" s="5" t="s">
        <v>3676</v>
      </c>
      <c r="F2917" s="6" t="str">
        <f t="shared" si="2"/>
        <v>#N/A</v>
      </c>
      <c r="G2917" s="1" t="str">
        <f t="shared" si="3"/>
        <v/>
      </c>
      <c r="H2917" s="5" t="str">
        <f t="shared" si="4"/>
        <v>24, 24, TEDDIURSA</v>
      </c>
    </row>
    <row r="2918" ht="12.75" customHeight="1">
      <c r="A2918" s="4" t="s">
        <v>2802</v>
      </c>
      <c r="B2918" s="5">
        <v>0.1</v>
      </c>
      <c r="C2918" s="1" t="str">
        <f t="shared" si="1"/>
        <v/>
      </c>
      <c r="E2918" s="5">
        <v>0.1</v>
      </c>
      <c r="F2918" s="6" t="str">
        <f t="shared" si="2"/>
        <v>#N/A</v>
      </c>
      <c r="G2918" s="1" t="str">
        <f t="shared" si="3"/>
        <v/>
      </c>
      <c r="H2918" s="5">
        <f t="shared" si="4"/>
        <v>0.1</v>
      </c>
    </row>
    <row r="2919" ht="12.75" customHeight="1">
      <c r="A2919" s="4" t="s">
        <v>3677</v>
      </c>
      <c r="B2919" s="5" t="s">
        <v>3677</v>
      </c>
      <c r="C2919" s="1" t="str">
        <f t="shared" si="1"/>
        <v/>
      </c>
      <c r="E2919" s="5" t="s">
        <v>3677</v>
      </c>
      <c r="F2919" s="6" t="str">
        <f t="shared" si="2"/>
        <v>#N/A</v>
      </c>
      <c r="G2919" s="1" t="str">
        <f t="shared" si="3"/>
        <v/>
      </c>
      <c r="H2919" s="5" t="str">
        <f t="shared" si="4"/>
        <v>20, 20, TEDDIURSA</v>
      </c>
    </row>
    <row r="2920" ht="12.75" customHeight="1">
      <c r="A2920" s="4" t="s">
        <v>3678</v>
      </c>
      <c r="B2920" s="5" t="s">
        <v>3678</v>
      </c>
      <c r="C2920" s="1" t="str">
        <f t="shared" si="1"/>
        <v/>
      </c>
      <c r="E2920" s="5" t="s">
        <v>3678</v>
      </c>
      <c r="F2920" s="6" t="str">
        <f t="shared" si="2"/>
        <v>#N/A</v>
      </c>
      <c r="G2920" s="1" t="str">
        <f t="shared" si="3"/>
        <v/>
      </c>
      <c r="H2920" s="5" t="str">
        <f t="shared" si="4"/>
        <v>26, 26, TEDDIURSA</v>
      </c>
    </row>
    <row r="2921" ht="12.75" customHeight="1">
      <c r="A2921" s="4" t="s">
        <v>1322</v>
      </c>
      <c r="B2921" s="5" t="s">
        <v>1322</v>
      </c>
      <c r="C2921" s="1" t="str">
        <f t="shared" si="1"/>
        <v/>
      </c>
      <c r="E2921" s="5" t="s">
        <v>1322</v>
      </c>
      <c r="F2921" s="6" t="str">
        <f t="shared" si="2"/>
        <v>#N/A</v>
      </c>
      <c r="G2921" s="1" t="str">
        <f t="shared" si="3"/>
        <v/>
      </c>
      <c r="H2921" s="5" t="str">
        <f t="shared" si="4"/>
        <v>22, 22, TEDDIURSA</v>
      </c>
    </row>
    <row r="2922" ht="12.75" customHeight="1">
      <c r="A2922" s="4" t="s">
        <v>3676</v>
      </c>
      <c r="B2922" s="5" t="s">
        <v>3676</v>
      </c>
      <c r="C2922" s="1" t="str">
        <f t="shared" si="1"/>
        <v/>
      </c>
      <c r="E2922" s="5" t="s">
        <v>3676</v>
      </c>
      <c r="F2922" s="6" t="str">
        <f t="shared" si="2"/>
        <v>#N/A</v>
      </c>
      <c r="G2922" s="1" t="str">
        <f t="shared" si="3"/>
        <v/>
      </c>
      <c r="H2922" s="5" t="str">
        <f t="shared" si="4"/>
        <v>24, 24, TEDDIURSA</v>
      </c>
    </row>
    <row r="2923" ht="12.75" customHeight="1">
      <c r="A2923" s="4" t="s">
        <v>2807</v>
      </c>
      <c r="B2923" s="5">
        <v>0.05</v>
      </c>
      <c r="C2923" s="1" t="str">
        <f t="shared" si="1"/>
        <v/>
      </c>
      <c r="E2923" s="5">
        <v>0.05</v>
      </c>
      <c r="F2923" s="6" t="str">
        <f t="shared" si="2"/>
        <v>#N/A</v>
      </c>
      <c r="G2923" s="1" t="str">
        <f t="shared" si="3"/>
        <v/>
      </c>
      <c r="H2923" s="5">
        <f t="shared" si="4"/>
        <v>0.05</v>
      </c>
    </row>
    <row r="2924" ht="12.75" customHeight="1">
      <c r="A2924" s="4" t="s">
        <v>3679</v>
      </c>
      <c r="B2924" s="5" t="s">
        <v>3679</v>
      </c>
      <c r="C2924" s="1" t="str">
        <f t="shared" si="1"/>
        <v/>
      </c>
      <c r="E2924" s="5" t="s">
        <v>3679</v>
      </c>
      <c r="F2924" s="6" t="str">
        <f t="shared" si="2"/>
        <v>#N/A</v>
      </c>
      <c r="G2924" s="1" t="str">
        <f t="shared" si="3"/>
        <v/>
      </c>
      <c r="H2924" s="5" t="str">
        <f t="shared" si="4"/>
        <v>28, 28, TEDDIURSA</v>
      </c>
    </row>
    <row r="2925" ht="12.75" customHeight="1">
      <c r="A2925" s="4" t="s">
        <v>3680</v>
      </c>
      <c r="B2925" s="5" t="s">
        <v>3680</v>
      </c>
      <c r="C2925" s="1" t="str">
        <f t="shared" si="1"/>
        <v/>
      </c>
      <c r="E2925" s="5" t="s">
        <v>3680</v>
      </c>
      <c r="F2925" s="6" t="str">
        <f t="shared" si="2"/>
        <v>#N/A</v>
      </c>
      <c r="G2925" s="1" t="str">
        <f t="shared" si="3"/>
        <v/>
      </c>
      <c r="H2925" s="5" t="str">
        <f t="shared" si="4"/>
        <v>18, 18, TEDDIURSA</v>
      </c>
    </row>
    <row r="2926" ht="12.75" customHeight="1">
      <c r="A2926" s="4" t="s">
        <v>2810</v>
      </c>
      <c r="B2926" s="5">
        <v>0.04</v>
      </c>
      <c r="C2926" s="1" t="str">
        <f t="shared" si="1"/>
        <v/>
      </c>
      <c r="E2926" s="5">
        <v>0.04</v>
      </c>
      <c r="F2926" s="6" t="str">
        <f t="shared" si="2"/>
        <v>#N/A</v>
      </c>
      <c r="G2926" s="1" t="str">
        <f t="shared" si="3"/>
        <v/>
      </c>
      <c r="H2926" s="5">
        <f t="shared" si="4"/>
        <v>0.04</v>
      </c>
    </row>
    <row r="2927" ht="12.75" customHeight="1">
      <c r="A2927" s="4" t="s">
        <v>3677</v>
      </c>
      <c r="B2927" s="5" t="s">
        <v>3677</v>
      </c>
      <c r="C2927" s="1" t="str">
        <f t="shared" si="1"/>
        <v/>
      </c>
      <c r="E2927" s="5" t="s">
        <v>3677</v>
      </c>
      <c r="F2927" s="6" t="str">
        <f t="shared" si="2"/>
        <v>#N/A</v>
      </c>
      <c r="G2927" s="1" t="str">
        <f t="shared" si="3"/>
        <v/>
      </c>
      <c r="H2927" s="5" t="str">
        <f t="shared" si="4"/>
        <v>20, 20, TEDDIURSA</v>
      </c>
    </row>
    <row r="2928" ht="12.75" customHeight="1">
      <c r="A2928" s="4" t="s">
        <v>3678</v>
      </c>
      <c r="B2928" s="5" t="s">
        <v>3678</v>
      </c>
      <c r="C2928" s="1" t="str">
        <f t="shared" si="1"/>
        <v/>
      </c>
      <c r="E2928" s="5" t="s">
        <v>3678</v>
      </c>
      <c r="F2928" s="6" t="str">
        <f t="shared" si="2"/>
        <v>#N/A</v>
      </c>
      <c r="G2928" s="1" t="str">
        <f t="shared" si="3"/>
        <v/>
      </c>
      <c r="H2928" s="5" t="str">
        <f t="shared" si="4"/>
        <v>26, 26, TEDDIURSA</v>
      </c>
    </row>
    <row r="2929" ht="12.75" customHeight="1">
      <c r="A2929" s="4" t="s">
        <v>2813</v>
      </c>
      <c r="B2929" s="5">
        <v>0.01</v>
      </c>
      <c r="C2929" s="1" t="str">
        <f t="shared" si="1"/>
        <v/>
      </c>
      <c r="E2929" s="5">
        <v>0.01</v>
      </c>
      <c r="F2929" s="6" t="str">
        <f t="shared" si="2"/>
        <v>#N/A</v>
      </c>
      <c r="G2929" s="1" t="str">
        <f t="shared" si="3"/>
        <v/>
      </c>
      <c r="H2929" s="5">
        <f t="shared" si="4"/>
        <v>0.01</v>
      </c>
    </row>
    <row r="2930" ht="12.75" customHeight="1">
      <c r="A2930" s="4" t="s">
        <v>3677</v>
      </c>
      <c r="B2930" s="5" t="s">
        <v>3677</v>
      </c>
      <c r="C2930" s="1" t="str">
        <f t="shared" si="1"/>
        <v/>
      </c>
      <c r="E2930" s="5" t="s">
        <v>3677</v>
      </c>
      <c r="F2930" s="6" t="str">
        <f t="shared" si="2"/>
        <v>#N/A</v>
      </c>
      <c r="G2930" s="1" t="str">
        <f t="shared" si="3"/>
        <v/>
      </c>
      <c r="H2930" s="5" t="str">
        <f t="shared" si="4"/>
        <v>20, 20, TEDDIURSA</v>
      </c>
    </row>
    <row r="2931" ht="12.75" customHeight="1">
      <c r="A2931" s="4" t="s">
        <v>3678</v>
      </c>
      <c r="B2931" s="5" t="s">
        <v>3678</v>
      </c>
      <c r="C2931" s="1" t="str">
        <f t="shared" si="1"/>
        <v/>
      </c>
      <c r="E2931" s="5" t="s">
        <v>3678</v>
      </c>
      <c r="F2931" s="6" t="str">
        <f t="shared" si="2"/>
        <v>#N/A</v>
      </c>
      <c r="G2931" s="1" t="str">
        <f t="shared" si="3"/>
        <v/>
      </c>
      <c r="H2931" s="5" t="str">
        <f t="shared" si="4"/>
        <v>26, 26, TEDDIURSA</v>
      </c>
    </row>
    <row r="2932" ht="12.75" customHeight="1">
      <c r="A2932" s="4" t="s">
        <v>2539</v>
      </c>
      <c r="B2932" s="5" t="s">
        <v>2539</v>
      </c>
      <c r="C2932" s="1">
        <f t="shared" si="1"/>
        <v>1</v>
      </c>
      <c r="E2932" s="5" t="s">
        <v>2539</v>
      </c>
      <c r="F2932" s="6" t="str">
        <f t="shared" si="2"/>
        <v>#N/A</v>
      </c>
      <c r="G2932" s="1" t="str">
        <f t="shared" si="3"/>
        <v/>
      </c>
      <c r="H2932" s="5" t="str">
        <f t="shared" si="4"/>
        <v>NEW ROUTE</v>
      </c>
    </row>
    <row r="2933" ht="12.75" customHeight="1">
      <c r="A2933" s="4" t="s">
        <v>1939</v>
      </c>
      <c r="B2933" s="5" t="s">
        <v>1939</v>
      </c>
      <c r="C2933" s="1" t="str">
        <f t="shared" si="1"/>
        <v/>
      </c>
      <c r="E2933" s="5" t="s">
        <v>1939</v>
      </c>
      <c r="F2933" s="6" t="str">
        <f t="shared" si="2"/>
        <v>Six Island Altering Cave</v>
      </c>
      <c r="G2933" s="1" t="str">
        <f t="shared" si="3"/>
        <v>Six Island Altering Cave</v>
      </c>
      <c r="H2933" s="5" t="str">
        <f t="shared" si="4"/>
        <v>Six Island Altering Cave</v>
      </c>
    </row>
    <row r="2934" ht="12.75" customHeight="1">
      <c r="A2934" s="4" t="s">
        <v>2799</v>
      </c>
      <c r="B2934" s="5">
        <v>0.2</v>
      </c>
      <c r="C2934" s="1" t="str">
        <f t="shared" si="1"/>
        <v/>
      </c>
      <c r="E2934" s="5">
        <v>0.2</v>
      </c>
      <c r="F2934" s="6" t="str">
        <f t="shared" si="2"/>
        <v>#N/A</v>
      </c>
      <c r="G2934" s="1" t="str">
        <f t="shared" si="3"/>
        <v/>
      </c>
      <c r="H2934" s="5">
        <f t="shared" si="4"/>
        <v>0.2</v>
      </c>
    </row>
    <row r="2935" ht="12.75" customHeight="1">
      <c r="A2935" s="4" t="s">
        <v>1330</v>
      </c>
      <c r="B2935" s="5" t="s">
        <v>1330</v>
      </c>
      <c r="C2935" s="1" t="str">
        <f t="shared" si="1"/>
        <v/>
      </c>
      <c r="E2935" s="5" t="s">
        <v>1330</v>
      </c>
      <c r="F2935" s="6" t="str">
        <f t="shared" si="2"/>
        <v>#N/A</v>
      </c>
      <c r="G2935" s="1" t="str">
        <f t="shared" si="3"/>
        <v/>
      </c>
      <c r="H2935" s="5" t="str">
        <f t="shared" si="4"/>
        <v>22, 22, AIPOM</v>
      </c>
    </row>
    <row r="2936" ht="12.75" customHeight="1">
      <c r="A2936" s="4" t="s">
        <v>3682</v>
      </c>
      <c r="B2936" s="5" t="s">
        <v>3682</v>
      </c>
      <c r="C2936" s="1" t="str">
        <f t="shared" si="1"/>
        <v/>
      </c>
      <c r="E2936" s="5" t="s">
        <v>3682</v>
      </c>
      <c r="F2936" s="6" t="str">
        <f t="shared" si="2"/>
        <v>#N/A</v>
      </c>
      <c r="G2936" s="1" t="str">
        <f t="shared" si="3"/>
        <v/>
      </c>
      <c r="H2936" s="5" t="str">
        <f t="shared" si="4"/>
        <v>24, 24, AIPOM</v>
      </c>
    </row>
    <row r="2937" ht="12.75" customHeight="1">
      <c r="A2937" s="4" t="s">
        <v>2802</v>
      </c>
      <c r="B2937" s="5">
        <v>0.1</v>
      </c>
      <c r="C2937" s="1" t="str">
        <f t="shared" si="1"/>
        <v/>
      </c>
      <c r="E2937" s="5">
        <v>0.1</v>
      </c>
      <c r="F2937" s="6" t="str">
        <f t="shared" si="2"/>
        <v>#N/A</v>
      </c>
      <c r="G2937" s="1" t="str">
        <f t="shared" si="3"/>
        <v/>
      </c>
      <c r="H2937" s="5">
        <f t="shared" si="4"/>
        <v>0.1</v>
      </c>
    </row>
    <row r="2938" ht="12.75" customHeight="1">
      <c r="A2938" s="4" t="s">
        <v>3683</v>
      </c>
      <c r="B2938" s="5" t="s">
        <v>3683</v>
      </c>
      <c r="C2938" s="1" t="str">
        <f t="shared" si="1"/>
        <v/>
      </c>
      <c r="E2938" s="5" t="s">
        <v>3683</v>
      </c>
      <c r="F2938" s="6" t="str">
        <f t="shared" si="2"/>
        <v>#N/A</v>
      </c>
      <c r="G2938" s="1" t="str">
        <f t="shared" si="3"/>
        <v/>
      </c>
      <c r="H2938" s="5" t="str">
        <f t="shared" si="4"/>
        <v>20, 20, AIPOM</v>
      </c>
    </row>
    <row r="2939" ht="12.75" customHeight="1">
      <c r="A2939" s="4" t="s">
        <v>3684</v>
      </c>
      <c r="B2939" s="5" t="s">
        <v>3684</v>
      </c>
      <c r="C2939" s="1" t="str">
        <f t="shared" si="1"/>
        <v/>
      </c>
      <c r="E2939" s="5" t="s">
        <v>3684</v>
      </c>
      <c r="F2939" s="6" t="str">
        <f t="shared" si="2"/>
        <v>#N/A</v>
      </c>
      <c r="G2939" s="1" t="str">
        <f t="shared" si="3"/>
        <v/>
      </c>
      <c r="H2939" s="5" t="str">
        <f t="shared" si="4"/>
        <v>26, 26, AIPOM</v>
      </c>
    </row>
    <row r="2940" ht="12.75" customHeight="1">
      <c r="A2940" s="4" t="s">
        <v>1330</v>
      </c>
      <c r="B2940" s="5" t="s">
        <v>1330</v>
      </c>
      <c r="C2940" s="1" t="str">
        <f t="shared" si="1"/>
        <v/>
      </c>
      <c r="E2940" s="5" t="s">
        <v>1330</v>
      </c>
      <c r="F2940" s="6" t="str">
        <f t="shared" si="2"/>
        <v>#N/A</v>
      </c>
      <c r="G2940" s="1" t="str">
        <f t="shared" si="3"/>
        <v/>
      </c>
      <c r="H2940" s="5" t="str">
        <f t="shared" si="4"/>
        <v>22, 22, AIPOM</v>
      </c>
    </row>
    <row r="2941" ht="12.75" customHeight="1">
      <c r="A2941" s="4" t="s">
        <v>3682</v>
      </c>
      <c r="B2941" s="5" t="s">
        <v>3682</v>
      </c>
      <c r="C2941" s="1" t="str">
        <f t="shared" si="1"/>
        <v/>
      </c>
      <c r="E2941" s="5" t="s">
        <v>3682</v>
      </c>
      <c r="F2941" s="6" t="str">
        <f t="shared" si="2"/>
        <v>#N/A</v>
      </c>
      <c r="G2941" s="1" t="str">
        <f t="shared" si="3"/>
        <v/>
      </c>
      <c r="H2941" s="5" t="str">
        <f t="shared" si="4"/>
        <v>24, 24, AIPOM</v>
      </c>
    </row>
    <row r="2942" ht="12.75" customHeight="1">
      <c r="A2942" s="4" t="s">
        <v>2807</v>
      </c>
      <c r="B2942" s="5">
        <v>0.05</v>
      </c>
      <c r="C2942" s="1" t="str">
        <f t="shared" si="1"/>
        <v/>
      </c>
      <c r="E2942" s="5">
        <v>0.05</v>
      </c>
      <c r="F2942" s="6" t="str">
        <f t="shared" si="2"/>
        <v>#N/A</v>
      </c>
      <c r="G2942" s="1" t="str">
        <f t="shared" si="3"/>
        <v/>
      </c>
      <c r="H2942" s="5">
        <f t="shared" si="4"/>
        <v>0.05</v>
      </c>
    </row>
    <row r="2943" ht="12.75" customHeight="1">
      <c r="A2943" s="4" t="s">
        <v>3685</v>
      </c>
      <c r="B2943" s="5" t="s">
        <v>3685</v>
      </c>
      <c r="C2943" s="1" t="str">
        <f t="shared" si="1"/>
        <v/>
      </c>
      <c r="E2943" s="5" t="s">
        <v>3685</v>
      </c>
      <c r="F2943" s="6" t="str">
        <f t="shared" si="2"/>
        <v>#N/A</v>
      </c>
      <c r="G2943" s="1" t="str">
        <f t="shared" si="3"/>
        <v/>
      </c>
      <c r="H2943" s="5" t="str">
        <f t="shared" si="4"/>
        <v>28, 28, AIPOM</v>
      </c>
    </row>
    <row r="2944" ht="12.75" customHeight="1">
      <c r="A2944" s="4" t="s">
        <v>3686</v>
      </c>
      <c r="B2944" s="5" t="s">
        <v>3686</v>
      </c>
      <c r="C2944" s="1" t="str">
        <f t="shared" si="1"/>
        <v/>
      </c>
      <c r="E2944" s="5" t="s">
        <v>3686</v>
      </c>
      <c r="F2944" s="6" t="str">
        <f t="shared" si="2"/>
        <v>#N/A</v>
      </c>
      <c r="G2944" s="1" t="str">
        <f t="shared" si="3"/>
        <v/>
      </c>
      <c r="H2944" s="5" t="str">
        <f t="shared" si="4"/>
        <v>18, 18, AIPOM</v>
      </c>
    </row>
    <row r="2945" ht="12.75" customHeight="1">
      <c r="A2945" s="4" t="s">
        <v>2810</v>
      </c>
      <c r="B2945" s="5">
        <v>0.04</v>
      </c>
      <c r="C2945" s="1" t="str">
        <f t="shared" si="1"/>
        <v/>
      </c>
      <c r="E2945" s="5">
        <v>0.04</v>
      </c>
      <c r="F2945" s="6" t="str">
        <f t="shared" si="2"/>
        <v>#N/A</v>
      </c>
      <c r="G2945" s="1" t="str">
        <f t="shared" si="3"/>
        <v/>
      </c>
      <c r="H2945" s="5">
        <f t="shared" si="4"/>
        <v>0.04</v>
      </c>
    </row>
    <row r="2946" ht="12.75" customHeight="1">
      <c r="A2946" s="4" t="s">
        <v>3683</v>
      </c>
      <c r="B2946" s="5" t="s">
        <v>3683</v>
      </c>
      <c r="C2946" s="1" t="str">
        <f t="shared" si="1"/>
        <v/>
      </c>
      <c r="E2946" s="5" t="s">
        <v>3683</v>
      </c>
      <c r="F2946" s="6" t="str">
        <f t="shared" si="2"/>
        <v>#N/A</v>
      </c>
      <c r="G2946" s="1" t="str">
        <f t="shared" si="3"/>
        <v/>
      </c>
      <c r="H2946" s="5" t="str">
        <f t="shared" si="4"/>
        <v>20, 20, AIPOM</v>
      </c>
    </row>
    <row r="2947" ht="12.75" customHeight="1">
      <c r="A2947" s="4" t="s">
        <v>3684</v>
      </c>
      <c r="B2947" s="5" t="s">
        <v>3684</v>
      </c>
      <c r="C2947" s="1" t="str">
        <f t="shared" si="1"/>
        <v/>
      </c>
      <c r="E2947" s="5" t="s">
        <v>3684</v>
      </c>
      <c r="F2947" s="6" t="str">
        <f t="shared" si="2"/>
        <v>#N/A</v>
      </c>
      <c r="G2947" s="1" t="str">
        <f t="shared" si="3"/>
        <v/>
      </c>
      <c r="H2947" s="5" t="str">
        <f t="shared" si="4"/>
        <v>26, 26, AIPOM</v>
      </c>
    </row>
    <row r="2948" ht="12.75" customHeight="1">
      <c r="A2948" s="4" t="s">
        <v>2813</v>
      </c>
      <c r="B2948" s="5">
        <v>0.01</v>
      </c>
      <c r="C2948" s="1" t="str">
        <f t="shared" si="1"/>
        <v/>
      </c>
      <c r="E2948" s="5">
        <v>0.01</v>
      </c>
      <c r="F2948" s="6" t="str">
        <f t="shared" si="2"/>
        <v>#N/A</v>
      </c>
      <c r="G2948" s="1" t="str">
        <f t="shared" si="3"/>
        <v/>
      </c>
      <c r="H2948" s="5">
        <f t="shared" si="4"/>
        <v>0.01</v>
      </c>
    </row>
    <row r="2949" ht="12.75" customHeight="1">
      <c r="A2949" s="4" t="s">
        <v>3683</v>
      </c>
      <c r="B2949" s="5" t="s">
        <v>3683</v>
      </c>
      <c r="C2949" s="1" t="str">
        <f t="shared" si="1"/>
        <v/>
      </c>
      <c r="E2949" s="5" t="s">
        <v>3683</v>
      </c>
      <c r="F2949" s="6" t="str">
        <f t="shared" si="2"/>
        <v>#N/A</v>
      </c>
      <c r="G2949" s="1" t="str">
        <f t="shared" si="3"/>
        <v/>
      </c>
      <c r="H2949" s="5" t="str">
        <f t="shared" si="4"/>
        <v>20, 20, AIPOM</v>
      </c>
    </row>
    <row r="2950" ht="12.75" customHeight="1">
      <c r="A2950" s="4" t="s">
        <v>3684</v>
      </c>
      <c r="B2950" s="5" t="s">
        <v>3684</v>
      </c>
      <c r="C2950" s="1" t="str">
        <f t="shared" si="1"/>
        <v/>
      </c>
      <c r="E2950" s="5" t="s">
        <v>3684</v>
      </c>
      <c r="F2950" s="6" t="str">
        <f t="shared" si="2"/>
        <v>#N/A</v>
      </c>
      <c r="G2950" s="1" t="str">
        <f t="shared" si="3"/>
        <v/>
      </c>
      <c r="H2950" s="5" t="str">
        <f t="shared" si="4"/>
        <v>26, 26, AIPOM</v>
      </c>
    </row>
    <row r="2951" ht="12.75" customHeight="1">
      <c r="A2951" s="4" t="s">
        <v>2539</v>
      </c>
      <c r="B2951" s="5" t="s">
        <v>2539</v>
      </c>
      <c r="C2951" s="1">
        <f t="shared" si="1"/>
        <v>1</v>
      </c>
      <c r="E2951" s="5" t="s">
        <v>2539</v>
      </c>
      <c r="F2951" s="6" t="str">
        <f t="shared" si="2"/>
        <v>#N/A</v>
      </c>
      <c r="G2951" s="1" t="str">
        <f t="shared" si="3"/>
        <v/>
      </c>
      <c r="H2951" s="5" t="str">
        <f t="shared" si="4"/>
        <v>NEW ROUTE</v>
      </c>
    </row>
    <row r="2952" ht="12.75" customHeight="1">
      <c r="A2952" s="4" t="s">
        <v>1939</v>
      </c>
      <c r="B2952" s="5" t="s">
        <v>1939</v>
      </c>
      <c r="C2952" s="1" t="str">
        <f t="shared" si="1"/>
        <v/>
      </c>
      <c r="E2952" s="5" t="s">
        <v>1939</v>
      </c>
      <c r="F2952" s="6" t="str">
        <f t="shared" si="2"/>
        <v>Six Island Altering Cave</v>
      </c>
      <c r="G2952" s="1" t="str">
        <f t="shared" si="3"/>
        <v>Six Island Altering Cave</v>
      </c>
      <c r="H2952" s="5" t="str">
        <f t="shared" si="4"/>
        <v>Six Island Altering Cave</v>
      </c>
    </row>
    <row r="2953" ht="12.75" customHeight="1">
      <c r="A2953" s="4" t="s">
        <v>2799</v>
      </c>
      <c r="B2953" s="5">
        <v>0.2</v>
      </c>
      <c r="C2953" s="1" t="str">
        <f t="shared" si="1"/>
        <v/>
      </c>
      <c r="E2953" s="5">
        <v>0.2</v>
      </c>
      <c r="F2953" s="6" t="str">
        <f t="shared" si="2"/>
        <v>#N/A</v>
      </c>
      <c r="G2953" s="1" t="str">
        <f t="shared" si="3"/>
        <v/>
      </c>
      <c r="H2953" s="5">
        <f t="shared" si="4"/>
        <v>0.2</v>
      </c>
    </row>
    <row r="2954" ht="12.75" customHeight="1">
      <c r="A2954" s="4" t="s">
        <v>1338</v>
      </c>
      <c r="B2954" s="5" t="s">
        <v>1338</v>
      </c>
      <c r="C2954" s="1" t="str">
        <f t="shared" si="1"/>
        <v/>
      </c>
      <c r="E2954" s="5" t="s">
        <v>1338</v>
      </c>
      <c r="F2954" s="6" t="str">
        <f t="shared" si="2"/>
        <v>#N/A</v>
      </c>
      <c r="G2954" s="1" t="str">
        <f t="shared" si="3"/>
        <v/>
      </c>
      <c r="H2954" s="5" t="str">
        <f t="shared" si="4"/>
        <v>22, 22, SHUCKLE</v>
      </c>
    </row>
    <row r="2955" ht="12.75" customHeight="1">
      <c r="A2955" s="4" t="s">
        <v>3688</v>
      </c>
      <c r="B2955" s="5" t="s">
        <v>3688</v>
      </c>
      <c r="C2955" s="1" t="str">
        <f t="shared" si="1"/>
        <v/>
      </c>
      <c r="E2955" s="5" t="s">
        <v>3688</v>
      </c>
      <c r="F2955" s="6" t="str">
        <f t="shared" si="2"/>
        <v>#N/A</v>
      </c>
      <c r="G2955" s="1" t="str">
        <f t="shared" si="3"/>
        <v/>
      </c>
      <c r="H2955" s="5" t="str">
        <f t="shared" si="4"/>
        <v>24, 24, SHUCKLE</v>
      </c>
    </row>
    <row r="2956" ht="12.75" customHeight="1">
      <c r="A2956" s="4" t="s">
        <v>2802</v>
      </c>
      <c r="B2956" s="5">
        <v>0.1</v>
      </c>
      <c r="C2956" s="1" t="str">
        <f t="shared" si="1"/>
        <v/>
      </c>
      <c r="E2956" s="5">
        <v>0.1</v>
      </c>
      <c r="F2956" s="6" t="str">
        <f t="shared" si="2"/>
        <v>#N/A</v>
      </c>
      <c r="G2956" s="1" t="str">
        <f t="shared" si="3"/>
        <v/>
      </c>
      <c r="H2956" s="5">
        <f t="shared" si="4"/>
        <v>0.1</v>
      </c>
    </row>
    <row r="2957" ht="12.75" customHeight="1">
      <c r="A2957" s="4" t="s">
        <v>3689</v>
      </c>
      <c r="B2957" s="5" t="s">
        <v>3689</v>
      </c>
      <c r="C2957" s="1" t="str">
        <f t="shared" si="1"/>
        <v/>
      </c>
      <c r="E2957" s="5" t="s">
        <v>3689</v>
      </c>
      <c r="F2957" s="6" t="str">
        <f t="shared" si="2"/>
        <v>#N/A</v>
      </c>
      <c r="G2957" s="1" t="str">
        <f t="shared" si="3"/>
        <v/>
      </c>
      <c r="H2957" s="5" t="str">
        <f t="shared" si="4"/>
        <v>20, 20, SHUCKLE</v>
      </c>
    </row>
    <row r="2958" ht="12.75" customHeight="1">
      <c r="A2958" s="4" t="s">
        <v>3690</v>
      </c>
      <c r="B2958" s="5" t="s">
        <v>3690</v>
      </c>
      <c r="C2958" s="1" t="str">
        <f t="shared" si="1"/>
        <v/>
      </c>
      <c r="E2958" s="5" t="s">
        <v>3690</v>
      </c>
      <c r="F2958" s="6" t="str">
        <f t="shared" si="2"/>
        <v>#N/A</v>
      </c>
      <c r="G2958" s="1" t="str">
        <f t="shared" si="3"/>
        <v/>
      </c>
      <c r="H2958" s="5" t="str">
        <f t="shared" si="4"/>
        <v>26, 26, SHUCKLE</v>
      </c>
    </row>
    <row r="2959" ht="12.75" customHeight="1">
      <c r="A2959" s="4" t="s">
        <v>1338</v>
      </c>
      <c r="B2959" s="5" t="s">
        <v>1338</v>
      </c>
      <c r="C2959" s="1" t="str">
        <f t="shared" si="1"/>
        <v/>
      </c>
      <c r="E2959" s="5" t="s">
        <v>1338</v>
      </c>
      <c r="F2959" s="6" t="str">
        <f t="shared" si="2"/>
        <v>#N/A</v>
      </c>
      <c r="G2959" s="1" t="str">
        <f t="shared" si="3"/>
        <v/>
      </c>
      <c r="H2959" s="5" t="str">
        <f t="shared" si="4"/>
        <v>22, 22, SHUCKLE</v>
      </c>
    </row>
    <row r="2960" ht="12.75" customHeight="1">
      <c r="A2960" s="4" t="s">
        <v>3688</v>
      </c>
      <c r="B2960" s="5" t="s">
        <v>3688</v>
      </c>
      <c r="C2960" s="1" t="str">
        <f t="shared" si="1"/>
        <v/>
      </c>
      <c r="E2960" s="5" t="s">
        <v>3688</v>
      </c>
      <c r="F2960" s="6" t="str">
        <f t="shared" si="2"/>
        <v>#N/A</v>
      </c>
      <c r="G2960" s="1" t="str">
        <f t="shared" si="3"/>
        <v/>
      </c>
      <c r="H2960" s="5" t="str">
        <f t="shared" si="4"/>
        <v>24, 24, SHUCKLE</v>
      </c>
    </row>
    <row r="2961" ht="12.75" customHeight="1">
      <c r="A2961" s="4" t="s">
        <v>2807</v>
      </c>
      <c r="B2961" s="5">
        <v>0.05</v>
      </c>
      <c r="C2961" s="1" t="str">
        <f t="shared" si="1"/>
        <v/>
      </c>
      <c r="E2961" s="5">
        <v>0.05</v>
      </c>
      <c r="F2961" s="6" t="str">
        <f t="shared" si="2"/>
        <v>#N/A</v>
      </c>
      <c r="G2961" s="1" t="str">
        <f t="shared" si="3"/>
        <v/>
      </c>
      <c r="H2961" s="5">
        <f t="shared" si="4"/>
        <v>0.05</v>
      </c>
    </row>
    <row r="2962" ht="12.75" customHeight="1">
      <c r="A2962" s="4" t="s">
        <v>3691</v>
      </c>
      <c r="B2962" s="5" t="s">
        <v>3691</v>
      </c>
      <c r="C2962" s="1" t="str">
        <f t="shared" si="1"/>
        <v/>
      </c>
      <c r="E2962" s="5" t="s">
        <v>3691</v>
      </c>
      <c r="F2962" s="6" t="str">
        <f t="shared" si="2"/>
        <v>#N/A</v>
      </c>
      <c r="G2962" s="1" t="str">
        <f t="shared" si="3"/>
        <v/>
      </c>
      <c r="H2962" s="5" t="str">
        <f t="shared" si="4"/>
        <v>28, 28, SHUCKLE</v>
      </c>
    </row>
    <row r="2963" ht="12.75" customHeight="1">
      <c r="A2963" s="4" t="s">
        <v>3692</v>
      </c>
      <c r="B2963" s="5" t="s">
        <v>3692</v>
      </c>
      <c r="C2963" s="1" t="str">
        <f t="shared" si="1"/>
        <v/>
      </c>
      <c r="E2963" s="5" t="s">
        <v>3692</v>
      </c>
      <c r="F2963" s="6" t="str">
        <f t="shared" si="2"/>
        <v>#N/A</v>
      </c>
      <c r="G2963" s="1" t="str">
        <f t="shared" si="3"/>
        <v/>
      </c>
      <c r="H2963" s="5" t="str">
        <f t="shared" si="4"/>
        <v>18, 18, SHUCKLE</v>
      </c>
    </row>
    <row r="2964" ht="12.75" customHeight="1">
      <c r="A2964" s="4" t="s">
        <v>2810</v>
      </c>
      <c r="B2964" s="5">
        <v>0.04</v>
      </c>
      <c r="C2964" s="1" t="str">
        <f t="shared" si="1"/>
        <v/>
      </c>
      <c r="E2964" s="5">
        <v>0.04</v>
      </c>
      <c r="F2964" s="6" t="str">
        <f t="shared" si="2"/>
        <v>#N/A</v>
      </c>
      <c r="G2964" s="1" t="str">
        <f t="shared" si="3"/>
        <v/>
      </c>
      <c r="H2964" s="5">
        <f t="shared" si="4"/>
        <v>0.04</v>
      </c>
    </row>
    <row r="2965" ht="12.75" customHeight="1">
      <c r="A2965" s="4" t="s">
        <v>3689</v>
      </c>
      <c r="B2965" s="5" t="s">
        <v>3689</v>
      </c>
      <c r="C2965" s="1" t="str">
        <f t="shared" si="1"/>
        <v/>
      </c>
      <c r="E2965" s="5" t="s">
        <v>3689</v>
      </c>
      <c r="F2965" s="6" t="str">
        <f t="shared" si="2"/>
        <v>#N/A</v>
      </c>
      <c r="G2965" s="1" t="str">
        <f t="shared" si="3"/>
        <v/>
      </c>
      <c r="H2965" s="5" t="str">
        <f t="shared" si="4"/>
        <v>20, 20, SHUCKLE</v>
      </c>
    </row>
    <row r="2966" ht="12.75" customHeight="1">
      <c r="A2966" s="4" t="s">
        <v>3690</v>
      </c>
      <c r="B2966" s="5" t="s">
        <v>3690</v>
      </c>
      <c r="C2966" s="1" t="str">
        <f t="shared" si="1"/>
        <v/>
      </c>
      <c r="E2966" s="5" t="s">
        <v>3690</v>
      </c>
      <c r="F2966" s="6" t="str">
        <f t="shared" si="2"/>
        <v>#N/A</v>
      </c>
      <c r="G2966" s="1" t="str">
        <f t="shared" si="3"/>
        <v/>
      </c>
      <c r="H2966" s="5" t="str">
        <f t="shared" si="4"/>
        <v>26, 26, SHUCKLE</v>
      </c>
    </row>
    <row r="2967" ht="12.75" customHeight="1">
      <c r="A2967" s="4" t="s">
        <v>2813</v>
      </c>
      <c r="B2967" s="5">
        <v>0.01</v>
      </c>
      <c r="C2967" s="1" t="str">
        <f t="shared" si="1"/>
        <v/>
      </c>
      <c r="E2967" s="5">
        <v>0.01</v>
      </c>
      <c r="F2967" s="6" t="str">
        <f t="shared" si="2"/>
        <v>#N/A</v>
      </c>
      <c r="G2967" s="1" t="str">
        <f t="shared" si="3"/>
        <v/>
      </c>
      <c r="H2967" s="5">
        <f t="shared" si="4"/>
        <v>0.01</v>
      </c>
    </row>
    <row r="2968" ht="12.75" customHeight="1">
      <c r="A2968" s="4" t="s">
        <v>3689</v>
      </c>
      <c r="B2968" s="5" t="s">
        <v>3689</v>
      </c>
      <c r="C2968" s="1" t="str">
        <f t="shared" si="1"/>
        <v/>
      </c>
      <c r="E2968" s="5" t="s">
        <v>3689</v>
      </c>
      <c r="F2968" s="6" t="str">
        <f t="shared" si="2"/>
        <v>#N/A</v>
      </c>
      <c r="G2968" s="1" t="str">
        <f t="shared" si="3"/>
        <v/>
      </c>
      <c r="H2968" s="5" t="str">
        <f t="shared" si="4"/>
        <v>20, 20, SHUCKLE</v>
      </c>
    </row>
    <row r="2969" ht="12.75" customHeight="1">
      <c r="A2969" s="4" t="s">
        <v>3690</v>
      </c>
      <c r="B2969" s="5" t="s">
        <v>3690</v>
      </c>
      <c r="C2969" s="1" t="str">
        <f t="shared" si="1"/>
        <v/>
      </c>
      <c r="E2969" s="5" t="s">
        <v>3690</v>
      </c>
      <c r="F2969" s="6" t="str">
        <f t="shared" si="2"/>
        <v>#N/A</v>
      </c>
      <c r="G2969" s="1" t="str">
        <f t="shared" si="3"/>
        <v/>
      </c>
      <c r="H2969" s="5" t="str">
        <f t="shared" si="4"/>
        <v>26, 26, SHUCKLE</v>
      </c>
    </row>
    <row r="2970" ht="12.75" customHeight="1">
      <c r="A2970" s="4" t="s">
        <v>2539</v>
      </c>
      <c r="B2970" s="5" t="s">
        <v>2539</v>
      </c>
      <c r="C2970" s="1">
        <f t="shared" si="1"/>
        <v>1</v>
      </c>
      <c r="E2970" s="5" t="s">
        <v>2539</v>
      </c>
      <c r="F2970" s="6" t="str">
        <f t="shared" si="2"/>
        <v>#N/A</v>
      </c>
      <c r="G2970" s="1" t="str">
        <f t="shared" si="3"/>
        <v/>
      </c>
      <c r="H2970" s="5" t="str">
        <f t="shared" si="4"/>
        <v>NEW ROUTE</v>
      </c>
    </row>
    <row r="2971" ht="12.75" customHeight="1">
      <c r="A2971" s="4" t="s">
        <v>1939</v>
      </c>
      <c r="B2971" s="5" t="s">
        <v>1939</v>
      </c>
      <c r="C2971" s="1" t="str">
        <f t="shared" si="1"/>
        <v/>
      </c>
      <c r="E2971" s="5" t="s">
        <v>1939</v>
      </c>
      <c r="F2971" s="6" t="str">
        <f t="shared" si="2"/>
        <v>Six Island Altering Cave</v>
      </c>
      <c r="G2971" s="1" t="str">
        <f t="shared" si="3"/>
        <v>Six Island Altering Cave</v>
      </c>
      <c r="H2971" s="5" t="str">
        <f t="shared" si="4"/>
        <v>Six Island Altering Cave</v>
      </c>
    </row>
    <row r="2972" ht="12.75" customHeight="1">
      <c r="A2972" s="4" t="s">
        <v>2799</v>
      </c>
      <c r="B2972" s="5">
        <v>0.2</v>
      </c>
      <c r="C2972" s="1" t="str">
        <f t="shared" si="1"/>
        <v/>
      </c>
      <c r="E2972" s="5">
        <v>0.2</v>
      </c>
      <c r="F2972" s="6" t="str">
        <f t="shared" si="2"/>
        <v>#N/A</v>
      </c>
      <c r="G2972" s="1" t="str">
        <f t="shared" si="3"/>
        <v/>
      </c>
      <c r="H2972" s="5">
        <f t="shared" si="4"/>
        <v>0.2</v>
      </c>
    </row>
    <row r="2973" ht="12.75" customHeight="1">
      <c r="A2973" s="4" t="s">
        <v>1346</v>
      </c>
      <c r="B2973" s="5" t="s">
        <v>1346</v>
      </c>
      <c r="C2973" s="1" t="str">
        <f t="shared" si="1"/>
        <v/>
      </c>
      <c r="E2973" s="5" t="s">
        <v>1346</v>
      </c>
      <c r="F2973" s="6" t="str">
        <f t="shared" si="2"/>
        <v>#N/A</v>
      </c>
      <c r="G2973" s="1" t="str">
        <f t="shared" si="3"/>
        <v/>
      </c>
      <c r="H2973" s="5" t="str">
        <f t="shared" si="4"/>
        <v>22, 22, STANTLER</v>
      </c>
    </row>
    <row r="2974" ht="12.75" customHeight="1">
      <c r="A2974" s="4" t="s">
        <v>3694</v>
      </c>
      <c r="B2974" s="5" t="s">
        <v>3694</v>
      </c>
      <c r="C2974" s="1" t="str">
        <f t="shared" si="1"/>
        <v/>
      </c>
      <c r="E2974" s="5" t="s">
        <v>3694</v>
      </c>
      <c r="F2974" s="6" t="str">
        <f t="shared" si="2"/>
        <v>#N/A</v>
      </c>
      <c r="G2974" s="1" t="str">
        <f t="shared" si="3"/>
        <v/>
      </c>
      <c r="H2974" s="5" t="str">
        <f t="shared" si="4"/>
        <v>24, 24, STANTLER</v>
      </c>
    </row>
    <row r="2975" ht="12.75" customHeight="1">
      <c r="A2975" s="4" t="s">
        <v>2802</v>
      </c>
      <c r="B2975" s="5">
        <v>0.1</v>
      </c>
      <c r="C2975" s="1" t="str">
        <f t="shared" si="1"/>
        <v/>
      </c>
      <c r="E2975" s="5">
        <v>0.1</v>
      </c>
      <c r="F2975" s="6" t="str">
        <f t="shared" si="2"/>
        <v>#N/A</v>
      </c>
      <c r="G2975" s="1" t="str">
        <f t="shared" si="3"/>
        <v/>
      </c>
      <c r="H2975" s="5">
        <f t="shared" si="4"/>
        <v>0.1</v>
      </c>
    </row>
    <row r="2976" ht="12.75" customHeight="1">
      <c r="A2976" s="4" t="s">
        <v>3695</v>
      </c>
      <c r="B2976" s="5" t="s">
        <v>3695</v>
      </c>
      <c r="C2976" s="1" t="str">
        <f t="shared" si="1"/>
        <v/>
      </c>
      <c r="E2976" s="5" t="s">
        <v>3695</v>
      </c>
      <c r="F2976" s="6" t="str">
        <f t="shared" si="2"/>
        <v>#N/A</v>
      </c>
      <c r="G2976" s="1" t="str">
        <f t="shared" si="3"/>
        <v/>
      </c>
      <c r="H2976" s="5" t="str">
        <f t="shared" si="4"/>
        <v>20, 20, STANTLER</v>
      </c>
    </row>
    <row r="2977" ht="12.75" customHeight="1">
      <c r="A2977" s="4" t="s">
        <v>3696</v>
      </c>
      <c r="B2977" s="5" t="s">
        <v>3696</v>
      </c>
      <c r="C2977" s="1" t="str">
        <f t="shared" si="1"/>
        <v/>
      </c>
      <c r="E2977" s="5" t="s">
        <v>3696</v>
      </c>
      <c r="F2977" s="6" t="str">
        <f t="shared" si="2"/>
        <v>#N/A</v>
      </c>
      <c r="G2977" s="1" t="str">
        <f t="shared" si="3"/>
        <v/>
      </c>
      <c r="H2977" s="5" t="str">
        <f t="shared" si="4"/>
        <v>26, 26, STANTLER</v>
      </c>
    </row>
    <row r="2978" ht="12.75" customHeight="1">
      <c r="A2978" s="4" t="s">
        <v>1346</v>
      </c>
      <c r="B2978" s="5" t="s">
        <v>1346</v>
      </c>
      <c r="C2978" s="1" t="str">
        <f t="shared" si="1"/>
        <v/>
      </c>
      <c r="E2978" s="5" t="s">
        <v>1346</v>
      </c>
      <c r="F2978" s="6" t="str">
        <f t="shared" si="2"/>
        <v>#N/A</v>
      </c>
      <c r="G2978" s="1" t="str">
        <f t="shared" si="3"/>
        <v/>
      </c>
      <c r="H2978" s="5" t="str">
        <f t="shared" si="4"/>
        <v>22, 22, STANTLER</v>
      </c>
    </row>
    <row r="2979" ht="12.75" customHeight="1">
      <c r="A2979" s="4" t="s">
        <v>3694</v>
      </c>
      <c r="B2979" s="5" t="s">
        <v>3694</v>
      </c>
      <c r="C2979" s="1" t="str">
        <f t="shared" si="1"/>
        <v/>
      </c>
      <c r="E2979" s="5" t="s">
        <v>3694</v>
      </c>
      <c r="F2979" s="6" t="str">
        <f t="shared" si="2"/>
        <v>#N/A</v>
      </c>
      <c r="G2979" s="1" t="str">
        <f t="shared" si="3"/>
        <v/>
      </c>
      <c r="H2979" s="5" t="str">
        <f t="shared" si="4"/>
        <v>24, 24, STANTLER</v>
      </c>
    </row>
    <row r="2980" ht="12.75" customHeight="1">
      <c r="A2980" s="4" t="s">
        <v>2807</v>
      </c>
      <c r="B2980" s="5">
        <v>0.05</v>
      </c>
      <c r="C2980" s="1" t="str">
        <f t="shared" si="1"/>
        <v/>
      </c>
      <c r="E2980" s="5">
        <v>0.05</v>
      </c>
      <c r="F2980" s="6" t="str">
        <f t="shared" si="2"/>
        <v>#N/A</v>
      </c>
      <c r="G2980" s="1" t="str">
        <f t="shared" si="3"/>
        <v/>
      </c>
      <c r="H2980" s="5">
        <f t="shared" si="4"/>
        <v>0.05</v>
      </c>
    </row>
    <row r="2981" ht="12.75" customHeight="1">
      <c r="A2981" s="4" t="s">
        <v>3697</v>
      </c>
      <c r="B2981" s="5" t="s">
        <v>3697</v>
      </c>
      <c r="C2981" s="1" t="str">
        <f t="shared" si="1"/>
        <v/>
      </c>
      <c r="E2981" s="5" t="s">
        <v>3697</v>
      </c>
      <c r="F2981" s="6" t="str">
        <f t="shared" si="2"/>
        <v>#N/A</v>
      </c>
      <c r="G2981" s="1" t="str">
        <f t="shared" si="3"/>
        <v/>
      </c>
      <c r="H2981" s="5" t="str">
        <f t="shared" si="4"/>
        <v>28, 28, STANTLER</v>
      </c>
    </row>
    <row r="2982" ht="12.75" customHeight="1">
      <c r="A2982" s="4" t="s">
        <v>3698</v>
      </c>
      <c r="B2982" s="5" t="s">
        <v>3698</v>
      </c>
      <c r="C2982" s="1" t="str">
        <f t="shared" si="1"/>
        <v/>
      </c>
      <c r="E2982" s="5" t="s">
        <v>3698</v>
      </c>
      <c r="F2982" s="6" t="str">
        <f t="shared" si="2"/>
        <v>#N/A</v>
      </c>
      <c r="G2982" s="1" t="str">
        <f t="shared" si="3"/>
        <v/>
      </c>
      <c r="H2982" s="5" t="str">
        <f t="shared" si="4"/>
        <v>18, 18, STANTLER</v>
      </c>
    </row>
    <row r="2983" ht="12.75" customHeight="1">
      <c r="A2983" s="4" t="s">
        <v>2810</v>
      </c>
      <c r="B2983" s="5">
        <v>0.04</v>
      </c>
      <c r="C2983" s="1" t="str">
        <f t="shared" si="1"/>
        <v/>
      </c>
      <c r="E2983" s="5">
        <v>0.04</v>
      </c>
      <c r="F2983" s="6" t="str">
        <f t="shared" si="2"/>
        <v>#N/A</v>
      </c>
      <c r="G2983" s="1" t="str">
        <f t="shared" si="3"/>
        <v/>
      </c>
      <c r="H2983" s="5">
        <f t="shared" si="4"/>
        <v>0.04</v>
      </c>
    </row>
    <row r="2984" ht="12.75" customHeight="1">
      <c r="A2984" s="4" t="s">
        <v>3695</v>
      </c>
      <c r="B2984" s="5" t="s">
        <v>3695</v>
      </c>
      <c r="C2984" s="1" t="str">
        <f t="shared" si="1"/>
        <v/>
      </c>
      <c r="E2984" s="5" t="s">
        <v>3695</v>
      </c>
      <c r="F2984" s="6" t="str">
        <f t="shared" si="2"/>
        <v>#N/A</v>
      </c>
      <c r="G2984" s="1" t="str">
        <f t="shared" si="3"/>
        <v/>
      </c>
      <c r="H2984" s="5" t="str">
        <f t="shared" si="4"/>
        <v>20, 20, STANTLER</v>
      </c>
    </row>
    <row r="2985" ht="12.75" customHeight="1">
      <c r="A2985" s="4" t="s">
        <v>3696</v>
      </c>
      <c r="B2985" s="5" t="s">
        <v>3696</v>
      </c>
      <c r="C2985" s="1" t="str">
        <f t="shared" si="1"/>
        <v/>
      </c>
      <c r="E2985" s="5" t="s">
        <v>3696</v>
      </c>
      <c r="F2985" s="6" t="str">
        <f t="shared" si="2"/>
        <v>#N/A</v>
      </c>
      <c r="G2985" s="1" t="str">
        <f t="shared" si="3"/>
        <v/>
      </c>
      <c r="H2985" s="5" t="str">
        <f t="shared" si="4"/>
        <v>26, 26, STANTLER</v>
      </c>
    </row>
    <row r="2986" ht="12.75" customHeight="1">
      <c r="A2986" s="4" t="s">
        <v>2813</v>
      </c>
      <c r="B2986" s="5">
        <v>0.01</v>
      </c>
      <c r="C2986" s="1" t="str">
        <f t="shared" si="1"/>
        <v/>
      </c>
      <c r="E2986" s="5">
        <v>0.01</v>
      </c>
      <c r="F2986" s="6" t="str">
        <f t="shared" si="2"/>
        <v>#N/A</v>
      </c>
      <c r="G2986" s="1" t="str">
        <f t="shared" si="3"/>
        <v/>
      </c>
      <c r="H2986" s="5">
        <f t="shared" si="4"/>
        <v>0.01</v>
      </c>
    </row>
    <row r="2987" ht="12.75" customHeight="1">
      <c r="A2987" s="4" t="s">
        <v>3695</v>
      </c>
      <c r="B2987" s="5" t="s">
        <v>3695</v>
      </c>
      <c r="C2987" s="1" t="str">
        <f t="shared" si="1"/>
        <v/>
      </c>
      <c r="E2987" s="5" t="s">
        <v>3695</v>
      </c>
      <c r="F2987" s="6" t="str">
        <f t="shared" si="2"/>
        <v>#N/A</v>
      </c>
      <c r="G2987" s="1" t="str">
        <f t="shared" si="3"/>
        <v/>
      </c>
      <c r="H2987" s="5" t="str">
        <f t="shared" si="4"/>
        <v>20, 20, STANTLER</v>
      </c>
    </row>
    <row r="2988" ht="12.75" customHeight="1">
      <c r="A2988" s="4" t="s">
        <v>3696</v>
      </c>
      <c r="B2988" s="5" t="s">
        <v>3696</v>
      </c>
      <c r="C2988" s="1" t="str">
        <f t="shared" si="1"/>
        <v/>
      </c>
      <c r="E2988" s="5" t="s">
        <v>3696</v>
      </c>
      <c r="F2988" s="6" t="str">
        <f t="shared" si="2"/>
        <v>#N/A</v>
      </c>
      <c r="G2988" s="1" t="str">
        <f t="shared" si="3"/>
        <v/>
      </c>
      <c r="H2988" s="5" t="str">
        <f t="shared" si="4"/>
        <v>26, 26, STANTLER</v>
      </c>
    </row>
    <row r="2989" ht="12.75" customHeight="1">
      <c r="A2989" s="4" t="s">
        <v>2539</v>
      </c>
      <c r="B2989" s="5" t="s">
        <v>2539</v>
      </c>
      <c r="C2989" s="1">
        <f t="shared" si="1"/>
        <v>1</v>
      </c>
      <c r="E2989" s="5" t="s">
        <v>2539</v>
      </c>
      <c r="F2989" s="6" t="str">
        <f t="shared" si="2"/>
        <v>#N/A</v>
      </c>
      <c r="G2989" s="1" t="str">
        <f t="shared" si="3"/>
        <v/>
      </c>
      <c r="H2989" s="5" t="str">
        <f t="shared" si="4"/>
        <v>NEW ROUTE</v>
      </c>
    </row>
    <row r="2990" ht="12.75" customHeight="1">
      <c r="A2990" s="4" t="s">
        <v>1939</v>
      </c>
      <c r="B2990" s="5" t="s">
        <v>1939</v>
      </c>
      <c r="C2990" s="1" t="str">
        <f t="shared" si="1"/>
        <v/>
      </c>
      <c r="E2990" s="5" t="s">
        <v>1939</v>
      </c>
      <c r="F2990" s="6" t="str">
        <f t="shared" si="2"/>
        <v>Six Island Altering Cave</v>
      </c>
      <c r="G2990" s="1" t="str">
        <f t="shared" si="3"/>
        <v>Six Island Altering Cave</v>
      </c>
      <c r="H2990" s="5" t="str">
        <f t="shared" si="4"/>
        <v>Six Island Altering Cave</v>
      </c>
    </row>
    <row r="2991" ht="12.75" customHeight="1">
      <c r="A2991" s="4" t="s">
        <v>2799</v>
      </c>
      <c r="B2991" s="5">
        <v>0.2</v>
      </c>
      <c r="C2991" s="1" t="str">
        <f t="shared" si="1"/>
        <v/>
      </c>
      <c r="E2991" s="5">
        <v>0.2</v>
      </c>
      <c r="F2991" s="6" t="str">
        <f t="shared" si="2"/>
        <v>#N/A</v>
      </c>
      <c r="G2991" s="1" t="str">
        <f t="shared" si="3"/>
        <v/>
      </c>
      <c r="H2991" s="5">
        <f t="shared" si="4"/>
        <v>0.2</v>
      </c>
    </row>
    <row r="2992" ht="12.75" customHeight="1">
      <c r="A2992" s="4" t="s">
        <v>1354</v>
      </c>
      <c r="B2992" s="5" t="s">
        <v>1354</v>
      </c>
      <c r="C2992" s="1" t="str">
        <f t="shared" si="1"/>
        <v/>
      </c>
      <c r="E2992" s="5" t="s">
        <v>1354</v>
      </c>
      <c r="F2992" s="6" t="str">
        <f t="shared" si="2"/>
        <v>#N/A</v>
      </c>
      <c r="G2992" s="1" t="str">
        <f t="shared" si="3"/>
        <v/>
      </c>
      <c r="H2992" s="5" t="str">
        <f t="shared" si="4"/>
        <v>22, 22, SMEARGLE</v>
      </c>
    </row>
    <row r="2993" ht="12.75" customHeight="1">
      <c r="A2993" s="4" t="s">
        <v>3700</v>
      </c>
      <c r="B2993" s="5" t="s">
        <v>3700</v>
      </c>
      <c r="C2993" s="1" t="str">
        <f t="shared" si="1"/>
        <v/>
      </c>
      <c r="E2993" s="5" t="s">
        <v>3700</v>
      </c>
      <c r="F2993" s="6" t="str">
        <f t="shared" si="2"/>
        <v>#N/A</v>
      </c>
      <c r="G2993" s="1" t="str">
        <f t="shared" si="3"/>
        <v/>
      </c>
      <c r="H2993" s="5" t="str">
        <f t="shared" si="4"/>
        <v>24, 24, SMEARGLE</v>
      </c>
    </row>
    <row r="2994" ht="12.75" customHeight="1">
      <c r="A2994" s="4" t="s">
        <v>2802</v>
      </c>
      <c r="B2994" s="5">
        <v>0.1</v>
      </c>
      <c r="C2994" s="1" t="str">
        <f t="shared" si="1"/>
        <v/>
      </c>
      <c r="E2994" s="5">
        <v>0.1</v>
      </c>
      <c r="F2994" s="6" t="str">
        <f t="shared" si="2"/>
        <v>#N/A</v>
      </c>
      <c r="G2994" s="1" t="str">
        <f t="shared" si="3"/>
        <v/>
      </c>
      <c r="H2994" s="5">
        <f t="shared" si="4"/>
        <v>0.1</v>
      </c>
    </row>
    <row r="2995" ht="12.75" customHeight="1">
      <c r="A2995" s="4" t="s">
        <v>3701</v>
      </c>
      <c r="B2995" s="5" t="s">
        <v>3701</v>
      </c>
      <c r="C2995" s="1" t="str">
        <f t="shared" si="1"/>
        <v/>
      </c>
      <c r="E2995" s="5" t="s">
        <v>3701</v>
      </c>
      <c r="F2995" s="6" t="str">
        <f t="shared" si="2"/>
        <v>#N/A</v>
      </c>
      <c r="G2995" s="1" t="str">
        <f t="shared" si="3"/>
        <v/>
      </c>
      <c r="H2995" s="5" t="str">
        <f t="shared" si="4"/>
        <v>20, 20, SMEARGLE</v>
      </c>
    </row>
    <row r="2996" ht="12.75" customHeight="1">
      <c r="A2996" s="4" t="s">
        <v>3702</v>
      </c>
      <c r="B2996" s="5" t="s">
        <v>3702</v>
      </c>
      <c r="C2996" s="1" t="str">
        <f t="shared" si="1"/>
        <v/>
      </c>
      <c r="E2996" s="5" t="s">
        <v>3702</v>
      </c>
      <c r="F2996" s="6" t="str">
        <f t="shared" si="2"/>
        <v>#N/A</v>
      </c>
      <c r="G2996" s="1" t="str">
        <f t="shared" si="3"/>
        <v/>
      </c>
      <c r="H2996" s="5" t="str">
        <f t="shared" si="4"/>
        <v>26, 26, SMEARGLE</v>
      </c>
    </row>
    <row r="2997" ht="12.75" customHeight="1">
      <c r="A2997" s="4" t="s">
        <v>1354</v>
      </c>
      <c r="B2997" s="5" t="s">
        <v>1354</v>
      </c>
      <c r="C2997" s="1" t="str">
        <f t="shared" si="1"/>
        <v/>
      </c>
      <c r="E2997" s="5" t="s">
        <v>1354</v>
      </c>
      <c r="F2997" s="6" t="str">
        <f t="shared" si="2"/>
        <v>#N/A</v>
      </c>
      <c r="G2997" s="1" t="str">
        <f t="shared" si="3"/>
        <v/>
      </c>
      <c r="H2997" s="5" t="str">
        <f t="shared" si="4"/>
        <v>22, 22, SMEARGLE</v>
      </c>
    </row>
    <row r="2998" ht="12.75" customHeight="1">
      <c r="A2998" s="4" t="s">
        <v>3700</v>
      </c>
      <c r="B2998" s="5" t="s">
        <v>3700</v>
      </c>
      <c r="C2998" s="1" t="str">
        <f t="shared" si="1"/>
        <v/>
      </c>
      <c r="E2998" s="5" t="s">
        <v>3700</v>
      </c>
      <c r="F2998" s="6" t="str">
        <f t="shared" si="2"/>
        <v>#N/A</v>
      </c>
      <c r="G2998" s="1" t="str">
        <f t="shared" si="3"/>
        <v/>
      </c>
      <c r="H2998" s="5" t="str">
        <f t="shared" si="4"/>
        <v>24, 24, SMEARGLE</v>
      </c>
    </row>
    <row r="2999" ht="12.75" customHeight="1">
      <c r="A2999" s="4" t="s">
        <v>2807</v>
      </c>
      <c r="B2999" s="5">
        <v>0.05</v>
      </c>
      <c r="C2999" s="1" t="str">
        <f t="shared" si="1"/>
        <v/>
      </c>
      <c r="E2999" s="5">
        <v>0.05</v>
      </c>
      <c r="F2999" s="6" t="str">
        <f t="shared" si="2"/>
        <v>#N/A</v>
      </c>
      <c r="G2999" s="1" t="str">
        <f t="shared" si="3"/>
        <v/>
      </c>
      <c r="H2999" s="5">
        <f t="shared" si="4"/>
        <v>0.05</v>
      </c>
    </row>
    <row r="3000" ht="12.75" customHeight="1">
      <c r="A3000" s="4" t="s">
        <v>3703</v>
      </c>
      <c r="B3000" s="5" t="s">
        <v>3703</v>
      </c>
      <c r="C3000" s="1" t="str">
        <f t="shared" si="1"/>
        <v/>
      </c>
      <c r="E3000" s="5" t="s">
        <v>3703</v>
      </c>
      <c r="F3000" s="6" t="str">
        <f t="shared" si="2"/>
        <v>#N/A</v>
      </c>
      <c r="G3000" s="1" t="str">
        <f t="shared" si="3"/>
        <v/>
      </c>
      <c r="H3000" s="5" t="str">
        <f t="shared" si="4"/>
        <v>28, 28, SMEARGLE</v>
      </c>
    </row>
    <row r="3001" ht="12.75" customHeight="1">
      <c r="A3001" s="4" t="s">
        <v>3704</v>
      </c>
      <c r="B3001" s="5" t="s">
        <v>3704</v>
      </c>
      <c r="C3001" s="1" t="str">
        <f t="shared" si="1"/>
        <v/>
      </c>
      <c r="E3001" s="5" t="s">
        <v>3704</v>
      </c>
      <c r="F3001" s="6" t="str">
        <f t="shared" si="2"/>
        <v>#N/A</v>
      </c>
      <c r="G3001" s="1" t="str">
        <f t="shared" si="3"/>
        <v/>
      </c>
      <c r="H3001" s="5" t="str">
        <f t="shared" si="4"/>
        <v>18, 18, SMEARGLE</v>
      </c>
    </row>
    <row r="3002" ht="12.75" customHeight="1">
      <c r="A3002" s="4" t="s">
        <v>2810</v>
      </c>
      <c r="B3002" s="5">
        <v>0.04</v>
      </c>
      <c r="C3002" s="1" t="str">
        <f t="shared" si="1"/>
        <v/>
      </c>
      <c r="E3002" s="5">
        <v>0.04</v>
      </c>
      <c r="F3002" s="6" t="str">
        <f t="shared" si="2"/>
        <v>#N/A</v>
      </c>
      <c r="G3002" s="1" t="str">
        <f t="shared" si="3"/>
        <v/>
      </c>
      <c r="H3002" s="5">
        <f t="shared" si="4"/>
        <v>0.04</v>
      </c>
    </row>
    <row r="3003" ht="12.75" customHeight="1">
      <c r="A3003" s="4" t="s">
        <v>3701</v>
      </c>
      <c r="B3003" s="5" t="s">
        <v>3701</v>
      </c>
      <c r="C3003" s="1" t="str">
        <f t="shared" si="1"/>
        <v/>
      </c>
      <c r="E3003" s="5" t="s">
        <v>3701</v>
      </c>
      <c r="F3003" s="6" t="str">
        <f t="shared" si="2"/>
        <v>#N/A</v>
      </c>
      <c r="G3003" s="1" t="str">
        <f t="shared" si="3"/>
        <v/>
      </c>
      <c r="H3003" s="5" t="str">
        <f t="shared" si="4"/>
        <v>20, 20, SMEARGLE</v>
      </c>
    </row>
    <row r="3004" ht="12.75" customHeight="1">
      <c r="A3004" s="4" t="s">
        <v>3702</v>
      </c>
      <c r="B3004" s="5" t="s">
        <v>3702</v>
      </c>
      <c r="C3004" s="1" t="str">
        <f t="shared" si="1"/>
        <v/>
      </c>
      <c r="E3004" s="5" t="s">
        <v>3702</v>
      </c>
      <c r="F3004" s="6" t="str">
        <f t="shared" si="2"/>
        <v>#N/A</v>
      </c>
      <c r="G3004" s="1" t="str">
        <f t="shared" si="3"/>
        <v/>
      </c>
      <c r="H3004" s="5" t="str">
        <f t="shared" si="4"/>
        <v>26, 26, SMEARGLE</v>
      </c>
    </row>
    <row r="3005" ht="12.75" customHeight="1">
      <c r="A3005" s="4" t="s">
        <v>2813</v>
      </c>
      <c r="B3005" s="5">
        <v>0.01</v>
      </c>
      <c r="C3005" s="1" t="str">
        <f t="shared" si="1"/>
        <v/>
      </c>
      <c r="E3005" s="5">
        <v>0.01</v>
      </c>
      <c r="F3005" s="6" t="str">
        <f t="shared" si="2"/>
        <v>#N/A</v>
      </c>
      <c r="G3005" s="1" t="str">
        <f t="shared" si="3"/>
        <v/>
      </c>
      <c r="H3005" s="5">
        <f t="shared" si="4"/>
        <v>0.01</v>
      </c>
    </row>
    <row r="3006" ht="12.75" customHeight="1">
      <c r="A3006" s="4" t="s">
        <v>3701</v>
      </c>
      <c r="B3006" s="5" t="s">
        <v>3701</v>
      </c>
      <c r="C3006" s="1" t="str">
        <f t="shared" si="1"/>
        <v/>
      </c>
      <c r="E3006" s="5" t="s">
        <v>3701</v>
      </c>
      <c r="F3006" s="6" t="str">
        <f t="shared" si="2"/>
        <v>#N/A</v>
      </c>
      <c r="G3006" s="1" t="str">
        <f t="shared" si="3"/>
        <v/>
      </c>
      <c r="H3006" s="5" t="str">
        <f t="shared" si="4"/>
        <v>20, 20, SMEARGLE</v>
      </c>
    </row>
    <row r="3007" ht="12.75" customHeight="1">
      <c r="A3007" s="4" t="s">
        <v>3702</v>
      </c>
      <c r="B3007" s="5" t="s">
        <v>3702</v>
      </c>
      <c r="C3007" s="1" t="str">
        <f t="shared" si="1"/>
        <v/>
      </c>
      <c r="E3007" s="5" t="s">
        <v>3702</v>
      </c>
      <c r="F3007" s="6" t="str">
        <f t="shared" si="2"/>
        <v>#N/A</v>
      </c>
      <c r="G3007" s="1" t="str">
        <f t="shared" si="3"/>
        <v/>
      </c>
      <c r="H3007" s="5" t="str">
        <f t="shared" si="4"/>
        <v>26, 26, SMEARGLE</v>
      </c>
    </row>
    <row r="3008" ht="12.75" customHeight="1">
      <c r="A3008" s="4" t="s">
        <v>2539</v>
      </c>
      <c r="B3008" s="5" t="s">
        <v>2539</v>
      </c>
      <c r="C3008" s="1">
        <f t="shared" si="1"/>
        <v>1</v>
      </c>
      <c r="E3008" s="5" t="s">
        <v>2539</v>
      </c>
      <c r="F3008" s="6" t="str">
        <f t="shared" si="2"/>
        <v>#N/A</v>
      </c>
      <c r="G3008" s="1" t="str">
        <f t="shared" si="3"/>
        <v/>
      </c>
      <c r="H3008" s="5" t="str">
        <f t="shared" si="4"/>
        <v>NEW ROUTE</v>
      </c>
    </row>
    <row r="3009" ht="12.75" customHeight="1">
      <c r="A3009" s="4" t="s">
        <v>3729</v>
      </c>
      <c r="B3009" s="5" t="s">
        <v>3729</v>
      </c>
      <c r="C3009" s="1" t="str">
        <f t="shared" si="1"/>
        <v/>
      </c>
      <c r="E3009" s="5" t="s">
        <v>3729</v>
      </c>
      <c r="F3009" s="6" t="str">
        <f t="shared" si="2"/>
        <v>#N/A</v>
      </c>
      <c r="G3009" s="1" t="str">
        <f t="shared" si="3"/>
        <v/>
      </c>
      <c r="H3009" s="5" t="str">
        <f t="shared" si="4"/>
        <v>0x1818</v>
      </c>
    </row>
    <row r="3010" ht="12.75" customHeight="1">
      <c r="A3010" s="4" t="s">
        <v>2807</v>
      </c>
      <c r="B3010" s="5">
        <v>0.05</v>
      </c>
      <c r="C3010" s="1" t="str">
        <f t="shared" si="1"/>
        <v/>
      </c>
      <c r="E3010" s="5">
        <v>0.05</v>
      </c>
      <c r="F3010" s="6" t="str">
        <f t="shared" si="2"/>
        <v>#N/A</v>
      </c>
      <c r="G3010" s="1" t="str">
        <f t="shared" si="3"/>
        <v/>
      </c>
      <c r="H3010" s="5">
        <f t="shared" si="4"/>
        <v>0.05</v>
      </c>
    </row>
    <row r="3011" ht="12.75" customHeight="1">
      <c r="A3011" s="4" t="s">
        <v>3697</v>
      </c>
      <c r="B3011" s="5" t="s">
        <v>3697</v>
      </c>
      <c r="C3011" s="1" t="str">
        <f t="shared" si="1"/>
        <v/>
      </c>
      <c r="E3011" s="5" t="s">
        <v>3697</v>
      </c>
      <c r="F3011" s="6" t="str">
        <f t="shared" si="2"/>
        <v>#N/A</v>
      </c>
      <c r="G3011" s="1" t="str">
        <f t="shared" si="3"/>
        <v/>
      </c>
      <c r="H3011" s="5" t="str">
        <f t="shared" si="4"/>
        <v>28, 28, STANTLER</v>
      </c>
    </row>
    <row r="3012" ht="12.75" customHeight="1">
      <c r="A3012" s="4" t="s">
        <v>3698</v>
      </c>
      <c r="B3012" s="5" t="s">
        <v>3698</v>
      </c>
      <c r="C3012" s="1" t="str">
        <f t="shared" si="1"/>
        <v/>
      </c>
      <c r="E3012" s="5" t="s">
        <v>3698</v>
      </c>
      <c r="F3012" s="6" t="str">
        <f t="shared" si="2"/>
        <v>#N/A</v>
      </c>
      <c r="G3012" s="1" t="str">
        <f t="shared" si="3"/>
        <v/>
      </c>
      <c r="H3012" s="5" t="str">
        <f t="shared" si="4"/>
        <v>18, 18, STANTLER</v>
      </c>
    </row>
    <row r="3013" ht="12.75" customHeight="1">
      <c r="A3013" s="4" t="s">
        <v>2810</v>
      </c>
      <c r="B3013" s="5">
        <v>0.04</v>
      </c>
      <c r="C3013" s="1" t="str">
        <f t="shared" si="1"/>
        <v/>
      </c>
      <c r="E3013" s="5">
        <v>0.04</v>
      </c>
      <c r="F3013" s="6" t="str">
        <f t="shared" si="2"/>
        <v>#N/A</v>
      </c>
      <c r="G3013" s="1" t="str">
        <f t="shared" si="3"/>
        <v/>
      </c>
      <c r="H3013" s="5">
        <f t="shared" si="4"/>
        <v>0.04</v>
      </c>
    </row>
    <row r="3014" ht="12.75" customHeight="1">
      <c r="A3014" s="4" t="s">
        <v>3695</v>
      </c>
      <c r="B3014" s="5" t="s">
        <v>3695</v>
      </c>
      <c r="C3014" s="1" t="str">
        <f t="shared" si="1"/>
        <v/>
      </c>
      <c r="E3014" s="5" t="s">
        <v>3695</v>
      </c>
      <c r="F3014" s="6" t="str">
        <f t="shared" si="2"/>
        <v>#N/A</v>
      </c>
      <c r="G3014" s="1" t="str">
        <f t="shared" si="3"/>
        <v/>
      </c>
      <c r="H3014" s="5" t="str">
        <f t="shared" si="4"/>
        <v>20, 20, STANTLER</v>
      </c>
    </row>
    <row r="3015" ht="12.75" customHeight="1">
      <c r="A3015" s="4" t="s">
        <v>3696</v>
      </c>
      <c r="B3015" s="5" t="s">
        <v>3696</v>
      </c>
      <c r="C3015" s="1" t="str">
        <f t="shared" si="1"/>
        <v/>
      </c>
      <c r="E3015" s="5" t="s">
        <v>3696</v>
      </c>
      <c r="F3015" s="6" t="str">
        <f t="shared" si="2"/>
        <v>#N/A</v>
      </c>
      <c r="G3015" s="1" t="str">
        <f t="shared" si="3"/>
        <v/>
      </c>
      <c r="H3015" s="5" t="str">
        <f t="shared" si="4"/>
        <v>26, 26, STANTLER</v>
      </c>
    </row>
    <row r="3016" ht="12.75" customHeight="1">
      <c r="A3016" s="4" t="s">
        <v>2813</v>
      </c>
      <c r="B3016" s="5">
        <v>0.01</v>
      </c>
      <c r="C3016" s="1" t="str">
        <f t="shared" si="1"/>
        <v/>
      </c>
      <c r="E3016" s="5">
        <v>0.01</v>
      </c>
      <c r="F3016" s="6" t="str">
        <f t="shared" si="2"/>
        <v>#N/A</v>
      </c>
      <c r="G3016" s="1" t="str">
        <f t="shared" si="3"/>
        <v/>
      </c>
      <c r="H3016" s="5">
        <f t="shared" si="4"/>
        <v>0.01</v>
      </c>
    </row>
    <row r="3017" ht="12.75" customHeight="1">
      <c r="A3017" s="4" t="s">
        <v>3695</v>
      </c>
      <c r="B3017" s="5" t="s">
        <v>3695</v>
      </c>
      <c r="C3017" s="1" t="str">
        <f t="shared" si="1"/>
        <v/>
      </c>
      <c r="E3017" s="5" t="s">
        <v>3695</v>
      </c>
      <c r="F3017" s="6" t="str">
        <f t="shared" si="2"/>
        <v>#N/A</v>
      </c>
      <c r="G3017" s="1" t="str">
        <f t="shared" si="3"/>
        <v/>
      </c>
      <c r="H3017" s="5" t="str">
        <f t="shared" si="4"/>
        <v>20, 20, STANTLER</v>
      </c>
    </row>
    <row r="3018" ht="12.75" customHeight="1">
      <c r="A3018" s="4" t="s">
        <v>3696</v>
      </c>
      <c r="B3018" s="5" t="s">
        <v>3696</v>
      </c>
      <c r="C3018" s="1" t="str">
        <f t="shared" si="1"/>
        <v/>
      </c>
      <c r="E3018" s="5" t="s">
        <v>3696</v>
      </c>
      <c r="F3018" s="6" t="str">
        <f t="shared" si="2"/>
        <v>#N/A</v>
      </c>
      <c r="G3018" s="1" t="str">
        <f t="shared" si="3"/>
        <v/>
      </c>
      <c r="H3018" s="5" t="str">
        <f t="shared" si="4"/>
        <v>26, 26, STANTLER</v>
      </c>
    </row>
    <row r="3019" ht="12.75" customHeight="1">
      <c r="A3019" s="4" t="s">
        <v>2539</v>
      </c>
      <c r="B3019" s="5" t="s">
        <v>2539</v>
      </c>
      <c r="C3019" s="1">
        <f t="shared" si="1"/>
        <v>1</v>
      </c>
      <c r="E3019" s="5" t="s">
        <v>2539</v>
      </c>
      <c r="F3019" s="6" t="str">
        <f t="shared" si="2"/>
        <v>#N/A</v>
      </c>
      <c r="G3019" s="1" t="str">
        <f t="shared" si="3"/>
        <v/>
      </c>
      <c r="H3019" s="5" t="str">
        <f t="shared" si="4"/>
        <v>NEW ROUTE</v>
      </c>
    </row>
    <row r="3020" ht="12.75" customHeight="1">
      <c r="A3020" s="4" t="s">
        <v>1939</v>
      </c>
      <c r="B3020" s="5" t="s">
        <v>1939</v>
      </c>
      <c r="C3020" s="1" t="str">
        <f t="shared" si="1"/>
        <v/>
      </c>
      <c r="E3020" s="5" t="s">
        <v>1939</v>
      </c>
      <c r="F3020" s="6" t="str">
        <f t="shared" si="2"/>
        <v>Six Island Altering Cave</v>
      </c>
      <c r="G3020" s="1" t="str">
        <f t="shared" si="3"/>
        <v>Six Island Altering Cave</v>
      </c>
      <c r="H3020" s="5" t="str">
        <f t="shared" si="4"/>
        <v>Six Island Altering Cave</v>
      </c>
    </row>
    <row r="3021" ht="12.75" customHeight="1">
      <c r="A3021" s="4" t="s">
        <v>2799</v>
      </c>
      <c r="B3021" s="5">
        <v>0.2</v>
      </c>
      <c r="C3021" s="1" t="str">
        <f t="shared" si="1"/>
        <v/>
      </c>
      <c r="E3021" s="5">
        <v>0.2</v>
      </c>
      <c r="F3021" s="6" t="str">
        <f t="shared" si="2"/>
        <v>#N/A</v>
      </c>
      <c r="G3021" s="1" t="str">
        <f t="shared" si="3"/>
        <v/>
      </c>
      <c r="H3021" s="5">
        <f t="shared" si="4"/>
        <v>0.2</v>
      </c>
    </row>
    <row r="3022" ht="12.75" customHeight="1">
      <c r="A3022" s="4" t="s">
        <v>1354</v>
      </c>
      <c r="B3022" s="5" t="s">
        <v>1354</v>
      </c>
      <c r="C3022" s="1" t="str">
        <f t="shared" si="1"/>
        <v/>
      </c>
      <c r="E3022" s="5" t="s">
        <v>1354</v>
      </c>
      <c r="F3022" s="6" t="str">
        <f t="shared" si="2"/>
        <v>#N/A</v>
      </c>
      <c r="G3022" s="1" t="str">
        <f t="shared" si="3"/>
        <v/>
      </c>
      <c r="H3022" s="5" t="str">
        <f t="shared" si="4"/>
        <v>22, 22, SMEARGLE</v>
      </c>
    </row>
    <row r="3023" ht="12.75" customHeight="1">
      <c r="A3023" s="4" t="s">
        <v>3700</v>
      </c>
      <c r="B3023" s="5" t="s">
        <v>3700</v>
      </c>
      <c r="C3023" s="1" t="str">
        <f t="shared" si="1"/>
        <v/>
      </c>
      <c r="E3023" s="5" t="s">
        <v>3700</v>
      </c>
      <c r="F3023" s="6" t="str">
        <f t="shared" si="2"/>
        <v>#N/A</v>
      </c>
      <c r="G3023" s="1" t="str">
        <f t="shared" si="3"/>
        <v/>
      </c>
      <c r="H3023" s="5" t="str">
        <f t="shared" si="4"/>
        <v>24, 24, SMEARGLE</v>
      </c>
    </row>
    <row r="3024" ht="12.75" customHeight="1">
      <c r="A3024" s="4" t="s">
        <v>2802</v>
      </c>
      <c r="B3024" s="5">
        <v>0.1</v>
      </c>
      <c r="C3024" s="1" t="str">
        <f t="shared" si="1"/>
        <v/>
      </c>
      <c r="E3024" s="5">
        <v>0.1</v>
      </c>
      <c r="F3024" s="6" t="str">
        <f t="shared" si="2"/>
        <v>#N/A</v>
      </c>
      <c r="G3024" s="1" t="str">
        <f t="shared" si="3"/>
        <v/>
      </c>
      <c r="H3024" s="5">
        <f t="shared" si="4"/>
        <v>0.1</v>
      </c>
    </row>
    <row r="3025" ht="12.75" customHeight="1">
      <c r="A3025" s="4" t="s">
        <v>3701</v>
      </c>
      <c r="B3025" s="5" t="s">
        <v>3701</v>
      </c>
      <c r="C3025" s="1" t="str">
        <f t="shared" si="1"/>
        <v/>
      </c>
      <c r="E3025" s="5" t="s">
        <v>3701</v>
      </c>
      <c r="F3025" s="6" t="str">
        <f t="shared" si="2"/>
        <v>#N/A</v>
      </c>
      <c r="G3025" s="1" t="str">
        <f t="shared" si="3"/>
        <v/>
      </c>
      <c r="H3025" s="5" t="str">
        <f t="shared" si="4"/>
        <v>20, 20, SMEARGLE</v>
      </c>
    </row>
    <row r="3026" ht="12.75" customHeight="1">
      <c r="A3026" s="4" t="s">
        <v>3702</v>
      </c>
      <c r="B3026" s="5" t="s">
        <v>3702</v>
      </c>
      <c r="C3026" s="1" t="str">
        <f t="shared" si="1"/>
        <v/>
      </c>
      <c r="E3026" s="5" t="s">
        <v>3702</v>
      </c>
      <c r="F3026" s="6" t="str">
        <f t="shared" si="2"/>
        <v>#N/A</v>
      </c>
      <c r="G3026" s="1" t="str">
        <f t="shared" si="3"/>
        <v/>
      </c>
      <c r="H3026" s="5" t="str">
        <f t="shared" si="4"/>
        <v>26, 26, SMEARGLE</v>
      </c>
    </row>
    <row r="3027" ht="12.75" customHeight="1">
      <c r="A3027" s="4" t="s">
        <v>1354</v>
      </c>
      <c r="B3027" s="5" t="s">
        <v>1354</v>
      </c>
      <c r="C3027" s="1" t="str">
        <f t="shared" si="1"/>
        <v/>
      </c>
      <c r="E3027" s="5" t="s">
        <v>1354</v>
      </c>
      <c r="F3027" s="6" t="str">
        <f t="shared" si="2"/>
        <v>#N/A</v>
      </c>
      <c r="G3027" s="1" t="str">
        <f t="shared" si="3"/>
        <v/>
      </c>
      <c r="H3027" s="5" t="str">
        <f t="shared" si="4"/>
        <v>22, 22, SMEARGLE</v>
      </c>
    </row>
    <row r="3028" ht="12.75" customHeight="1">
      <c r="A3028" s="4" t="s">
        <v>3700</v>
      </c>
      <c r="B3028" s="5" t="s">
        <v>3700</v>
      </c>
      <c r="C3028" s="1" t="str">
        <f t="shared" si="1"/>
        <v/>
      </c>
      <c r="E3028" s="5" t="s">
        <v>3700</v>
      </c>
      <c r="F3028" s="6" t="str">
        <f t="shared" si="2"/>
        <v>#N/A</v>
      </c>
      <c r="G3028" s="1" t="str">
        <f t="shared" si="3"/>
        <v/>
      </c>
      <c r="H3028" s="5" t="str">
        <f t="shared" si="4"/>
        <v>24, 24, SMEARGLE</v>
      </c>
    </row>
    <row r="3029" ht="12.75" customHeight="1">
      <c r="A3029" s="4" t="s">
        <v>2807</v>
      </c>
      <c r="B3029" s="5">
        <v>0.05</v>
      </c>
      <c r="C3029" s="1" t="str">
        <f t="shared" si="1"/>
        <v/>
      </c>
      <c r="E3029" s="5">
        <v>0.05</v>
      </c>
      <c r="F3029" s="6" t="str">
        <f t="shared" si="2"/>
        <v>#N/A</v>
      </c>
      <c r="G3029" s="1" t="str">
        <f t="shared" si="3"/>
        <v/>
      </c>
      <c r="H3029" s="5">
        <f t="shared" si="4"/>
        <v>0.05</v>
      </c>
    </row>
    <row r="3030" ht="12.75" customHeight="1">
      <c r="A3030" s="4" t="s">
        <v>3703</v>
      </c>
      <c r="B3030" s="5" t="s">
        <v>3703</v>
      </c>
      <c r="C3030" s="1" t="str">
        <f t="shared" si="1"/>
        <v/>
      </c>
      <c r="E3030" s="5" t="s">
        <v>3703</v>
      </c>
      <c r="F3030" s="6" t="str">
        <f t="shared" si="2"/>
        <v>#N/A</v>
      </c>
      <c r="G3030" s="1" t="str">
        <f t="shared" si="3"/>
        <v/>
      </c>
      <c r="H3030" s="5" t="str">
        <f t="shared" si="4"/>
        <v>28, 28, SMEARGLE</v>
      </c>
    </row>
    <row r="3031" ht="12.75" customHeight="1">
      <c r="A3031" s="4" t="s">
        <v>3704</v>
      </c>
      <c r="B3031" s="5" t="s">
        <v>3704</v>
      </c>
      <c r="C3031" s="1" t="str">
        <f t="shared" si="1"/>
        <v/>
      </c>
      <c r="E3031" s="5" t="s">
        <v>3704</v>
      </c>
      <c r="F3031" s="6" t="str">
        <f t="shared" si="2"/>
        <v>#N/A</v>
      </c>
      <c r="G3031" s="1" t="str">
        <f t="shared" si="3"/>
        <v/>
      </c>
      <c r="H3031" s="5" t="str">
        <f t="shared" si="4"/>
        <v>18, 18, SMEARGLE</v>
      </c>
    </row>
    <row r="3032" ht="12.75" customHeight="1">
      <c r="A3032" s="4" t="s">
        <v>2810</v>
      </c>
      <c r="B3032" s="5">
        <v>0.04</v>
      </c>
      <c r="C3032" s="1" t="str">
        <f t="shared" si="1"/>
        <v/>
      </c>
      <c r="E3032" s="5">
        <v>0.04</v>
      </c>
      <c r="F3032" s="6" t="str">
        <f t="shared" si="2"/>
        <v>#N/A</v>
      </c>
      <c r="G3032" s="1" t="str">
        <f t="shared" si="3"/>
        <v/>
      </c>
      <c r="H3032" s="5">
        <f t="shared" si="4"/>
        <v>0.04</v>
      </c>
    </row>
    <row r="3033" ht="12.75" customHeight="1">
      <c r="A3033" s="4" t="s">
        <v>3701</v>
      </c>
      <c r="B3033" s="5" t="s">
        <v>3701</v>
      </c>
      <c r="C3033" s="1" t="str">
        <f t="shared" si="1"/>
        <v/>
      </c>
      <c r="E3033" s="5" t="s">
        <v>3701</v>
      </c>
      <c r="F3033" s="6" t="str">
        <f t="shared" si="2"/>
        <v>#N/A</v>
      </c>
      <c r="G3033" s="1" t="str">
        <f t="shared" si="3"/>
        <v/>
      </c>
      <c r="H3033" s="5" t="str">
        <f t="shared" si="4"/>
        <v>20, 20, SMEARGLE</v>
      </c>
    </row>
    <row r="3034" ht="12.75" customHeight="1">
      <c r="A3034" s="4" t="s">
        <v>3702</v>
      </c>
      <c r="B3034" s="5" t="s">
        <v>3702</v>
      </c>
      <c r="C3034" s="1" t="str">
        <f t="shared" si="1"/>
        <v/>
      </c>
      <c r="E3034" s="5" t="s">
        <v>3702</v>
      </c>
      <c r="F3034" s="6" t="str">
        <f t="shared" si="2"/>
        <v>#N/A</v>
      </c>
      <c r="G3034" s="1" t="str">
        <f t="shared" si="3"/>
        <v/>
      </c>
      <c r="H3034" s="5" t="str">
        <f t="shared" si="4"/>
        <v>26, 26, SMEARGLE</v>
      </c>
    </row>
    <row r="3035" ht="12.75" customHeight="1">
      <c r="A3035" s="4" t="s">
        <v>2813</v>
      </c>
      <c r="B3035" s="5">
        <v>0.01</v>
      </c>
      <c r="C3035" s="1" t="str">
        <f t="shared" si="1"/>
        <v/>
      </c>
      <c r="E3035" s="5">
        <v>0.01</v>
      </c>
      <c r="F3035" s="6" t="str">
        <f t="shared" si="2"/>
        <v>#N/A</v>
      </c>
      <c r="G3035" s="1" t="str">
        <f t="shared" si="3"/>
        <v/>
      </c>
      <c r="H3035" s="5">
        <f t="shared" si="4"/>
        <v>0.01</v>
      </c>
    </row>
    <row r="3036" ht="12.75" customHeight="1">
      <c r="A3036" s="4" t="s">
        <v>3701</v>
      </c>
      <c r="B3036" s="5" t="s">
        <v>3701</v>
      </c>
      <c r="C3036" s="1" t="str">
        <f t="shared" si="1"/>
        <v/>
      </c>
      <c r="E3036" s="5" t="s">
        <v>3701</v>
      </c>
      <c r="F3036" s="6" t="str">
        <f t="shared" si="2"/>
        <v>#N/A</v>
      </c>
      <c r="G3036" s="1" t="str">
        <f t="shared" si="3"/>
        <v/>
      </c>
      <c r="H3036" s="5" t="str">
        <f t="shared" si="4"/>
        <v>20, 20, SMEARGLE</v>
      </c>
    </row>
    <row r="3037" ht="12.75" customHeight="1">
      <c r="A3037" s="4" t="s">
        <v>3702</v>
      </c>
      <c r="B3037" s="5" t="s">
        <v>3702</v>
      </c>
      <c r="C3037" s="1" t="str">
        <f t="shared" si="1"/>
        <v/>
      </c>
      <c r="E3037" s="5" t="s">
        <v>3702</v>
      </c>
      <c r="F3037" s="6" t="str">
        <f t="shared" si="2"/>
        <v>#N/A</v>
      </c>
      <c r="G3037" s="1" t="str">
        <f t="shared" si="3"/>
        <v/>
      </c>
      <c r="H3037" s="5" t="str">
        <f t="shared" si="4"/>
        <v>26, 26, SMEARGLE</v>
      </c>
    </row>
  </sheetData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" width="36.38"/>
    <col customWidth="1" min="3" max="3" width="8.38"/>
    <col customWidth="1" min="4" max="4" width="16.13"/>
    <col customWidth="1" min="5" max="5" width="13.75"/>
    <col customWidth="1" min="6" max="6" width="8.63"/>
    <col customWidth="1" min="7" max="7" width="36.38"/>
    <col customWidth="1" min="8" max="8" width="8.63"/>
    <col customWidth="1" min="9" max="9" width="36.38"/>
  </cols>
  <sheetData>
    <row r="1" ht="12.75" customHeight="1">
      <c r="A1" s="5" t="s">
        <v>2539</v>
      </c>
      <c r="B1" s="7" t="s">
        <v>2539</v>
      </c>
      <c r="C1" s="7"/>
      <c r="D1" s="7"/>
      <c r="E1" s="7"/>
      <c r="G1" s="5" t="str">
        <f t="shared" ref="G1:G3037" si="1">IF(ISNUMBER(FIND("old rod:",A1)),"old rod:",A1)</f>
        <v>NEW ROUTE</v>
      </c>
      <c r="I1" s="5" t="s">
        <v>2539</v>
      </c>
    </row>
    <row r="2" ht="12.75" customHeight="1">
      <c r="A2" s="5" t="s">
        <v>1396</v>
      </c>
      <c r="B2" s="7" t="s">
        <v>1396</v>
      </c>
      <c r="C2" s="7"/>
      <c r="D2" s="7"/>
      <c r="E2" s="7"/>
      <c r="G2" s="5" t="str">
        <f t="shared" si="1"/>
        <v>Viridian Forest</v>
      </c>
      <c r="I2" s="5" t="s">
        <v>1396</v>
      </c>
    </row>
    <row r="3" ht="12.75" customHeight="1">
      <c r="A3" s="5">
        <v>0.2</v>
      </c>
      <c r="B3" s="5">
        <v>0.2</v>
      </c>
      <c r="C3" s="7"/>
      <c r="D3" s="7"/>
      <c r="E3" s="7"/>
      <c r="G3" s="5">
        <f t="shared" si="1"/>
        <v>0.2</v>
      </c>
      <c r="I3" s="5">
        <v>0.2</v>
      </c>
    </row>
    <row r="4" ht="12.75" customHeight="1">
      <c r="A4" s="5" t="s">
        <v>372</v>
      </c>
      <c r="B4" s="7">
        <v>4.0</v>
      </c>
      <c r="C4" s="7">
        <v>6.0</v>
      </c>
      <c r="D4" s="7" t="s">
        <v>3730</v>
      </c>
      <c r="E4" s="7"/>
      <c r="G4" s="5" t="str">
        <f t="shared" si="1"/>
        <v>4, 6, CATERPIE</v>
      </c>
      <c r="I4" s="5" t="s">
        <v>372</v>
      </c>
    </row>
    <row r="5" ht="12.75" customHeight="1">
      <c r="A5" s="5" t="s">
        <v>2800</v>
      </c>
      <c r="B5" s="7">
        <v>4.0</v>
      </c>
      <c r="C5" s="7">
        <v>6.0</v>
      </c>
      <c r="D5" s="7" t="s">
        <v>3731</v>
      </c>
      <c r="E5" s="7"/>
      <c r="G5" s="5" t="str">
        <f t="shared" si="1"/>
        <v>4, 6, WEEDLE</v>
      </c>
      <c r="I5" s="5" t="s">
        <v>2800</v>
      </c>
    </row>
    <row r="6" ht="12.75" customHeight="1">
      <c r="A6" s="5">
        <v>0.1</v>
      </c>
      <c r="B6" s="5">
        <v>0.1</v>
      </c>
      <c r="C6" s="7"/>
      <c r="D6" s="7"/>
      <c r="E6" s="7"/>
      <c r="G6" s="5">
        <f t="shared" si="1"/>
        <v>0.1</v>
      </c>
      <c r="I6" s="5">
        <v>0.1</v>
      </c>
    </row>
    <row r="7" ht="12.75" customHeight="1">
      <c r="A7" s="5" t="s">
        <v>2803</v>
      </c>
      <c r="B7" s="7">
        <v>5.0</v>
      </c>
      <c r="C7" s="7">
        <v>7.0</v>
      </c>
      <c r="D7" s="7" t="s">
        <v>3732</v>
      </c>
      <c r="E7" s="7"/>
      <c r="G7" s="5" t="str">
        <f t="shared" si="1"/>
        <v>5, 7, ODDISH</v>
      </c>
      <c r="I7" s="5" t="s">
        <v>2803</v>
      </c>
    </row>
    <row r="8" ht="12.75" customHeight="1">
      <c r="A8" s="5" t="s">
        <v>2804</v>
      </c>
      <c r="B8" s="7">
        <v>7.0</v>
      </c>
      <c r="C8" s="7">
        <v>9.0</v>
      </c>
      <c r="D8" s="7" t="s">
        <v>3733</v>
      </c>
      <c r="E8" s="7"/>
      <c r="G8" s="5" t="str">
        <f t="shared" si="1"/>
        <v>7, 9, METAPOD</v>
      </c>
      <c r="I8" s="5" t="s">
        <v>2804</v>
      </c>
    </row>
    <row r="9" ht="12.75" customHeight="1">
      <c r="A9" s="5" t="s">
        <v>2805</v>
      </c>
      <c r="B9" s="7">
        <v>7.0</v>
      </c>
      <c r="C9" s="7">
        <v>9.0</v>
      </c>
      <c r="D9" s="7" t="s">
        <v>3734</v>
      </c>
      <c r="E9" s="7"/>
      <c r="G9" s="5" t="str">
        <f t="shared" si="1"/>
        <v>7, 9, KAKUNA</v>
      </c>
      <c r="I9" s="5" t="s">
        <v>2805</v>
      </c>
    </row>
    <row r="10" ht="12.75" customHeight="1">
      <c r="A10" s="5" t="s">
        <v>2806</v>
      </c>
      <c r="B10" s="7">
        <v>5.0</v>
      </c>
      <c r="C10" s="7">
        <v>7.0</v>
      </c>
      <c r="D10" s="7" t="s">
        <v>3735</v>
      </c>
      <c r="E10" s="7"/>
      <c r="G10" s="5" t="str">
        <f t="shared" si="1"/>
        <v>5, 7, PIKACHU</v>
      </c>
      <c r="I10" s="5" t="s">
        <v>2806</v>
      </c>
    </row>
    <row r="11" ht="12.75" customHeight="1">
      <c r="A11" s="5">
        <v>0.05</v>
      </c>
      <c r="B11" s="5">
        <v>0.05</v>
      </c>
      <c r="C11" s="7"/>
      <c r="D11" s="7"/>
      <c r="E11" s="7"/>
      <c r="G11" s="5">
        <f t="shared" si="1"/>
        <v>0.05</v>
      </c>
      <c r="I11" s="5">
        <v>0.05</v>
      </c>
    </row>
    <row r="12" ht="12.75" customHeight="1">
      <c r="A12" s="5" t="s">
        <v>2808</v>
      </c>
      <c r="B12" s="7">
        <v>5.0</v>
      </c>
      <c r="C12" s="7">
        <v>7.0</v>
      </c>
      <c r="D12" s="7" t="s">
        <v>3736</v>
      </c>
      <c r="E12" s="7"/>
      <c r="G12" s="5" t="str">
        <f t="shared" si="1"/>
        <v>5, 7, MANKEY</v>
      </c>
      <c r="I12" s="5" t="s">
        <v>2808</v>
      </c>
    </row>
    <row r="13" ht="12.75" customHeight="1">
      <c r="A13" s="5" t="s">
        <v>2809</v>
      </c>
      <c r="B13" s="7">
        <v>9.0</v>
      </c>
      <c r="C13" s="7">
        <v>10.0</v>
      </c>
      <c r="D13" s="7" t="s">
        <v>3737</v>
      </c>
      <c r="E13" s="7"/>
      <c r="G13" s="5" t="str">
        <f t="shared" si="1"/>
        <v>9, 10, BUTTERFREE</v>
      </c>
      <c r="I13" s="5" t="s">
        <v>2809</v>
      </c>
    </row>
    <row r="14" ht="12.75" customHeight="1">
      <c r="A14" s="5">
        <v>0.04</v>
      </c>
      <c r="B14" s="5">
        <v>0.04</v>
      </c>
      <c r="C14" s="7"/>
      <c r="D14" s="7"/>
      <c r="E14" s="7"/>
      <c r="G14" s="5">
        <f t="shared" si="1"/>
        <v>0.04</v>
      </c>
      <c r="I14" s="5">
        <v>0.04</v>
      </c>
    </row>
    <row r="15" ht="12.75" customHeight="1">
      <c r="A15" s="5" t="s">
        <v>2811</v>
      </c>
      <c r="B15" s="7">
        <v>9.0</v>
      </c>
      <c r="C15" s="7">
        <v>10.0</v>
      </c>
      <c r="D15" s="7" t="s">
        <v>3738</v>
      </c>
      <c r="E15" s="7"/>
      <c r="G15" s="5" t="str">
        <f t="shared" si="1"/>
        <v>9, 10, BEEDRILL</v>
      </c>
      <c r="I15" s="5" t="s">
        <v>2811</v>
      </c>
    </row>
    <row r="16" ht="12.75" customHeight="1">
      <c r="A16" s="5" t="s">
        <v>2812</v>
      </c>
      <c r="B16" s="7">
        <v>6.0</v>
      </c>
      <c r="C16" s="7">
        <v>9.0</v>
      </c>
      <c r="D16" s="7" t="s">
        <v>3739</v>
      </c>
      <c r="E16" s="7"/>
      <c r="G16" s="5" t="str">
        <f t="shared" si="1"/>
        <v>6, 9, TANGELA</v>
      </c>
      <c r="I16" s="5" t="s">
        <v>2812</v>
      </c>
    </row>
    <row r="17" ht="12.75" customHeight="1">
      <c r="A17" s="5">
        <v>0.01</v>
      </c>
      <c r="B17" s="5">
        <v>0.01</v>
      </c>
      <c r="C17" s="7"/>
      <c r="D17" s="7"/>
      <c r="E17" s="7"/>
      <c r="G17" s="5">
        <f t="shared" si="1"/>
        <v>0.01</v>
      </c>
      <c r="I17" s="5">
        <v>0.01</v>
      </c>
    </row>
    <row r="18" ht="12.75" customHeight="1">
      <c r="A18" s="5" t="s">
        <v>2814</v>
      </c>
      <c r="B18" s="7">
        <v>11.0</v>
      </c>
      <c r="C18" s="7">
        <v>11.0</v>
      </c>
      <c r="D18" s="7" t="s">
        <v>3738</v>
      </c>
      <c r="E18" s="7"/>
      <c r="G18" s="5" t="str">
        <f t="shared" si="1"/>
        <v>11, 11, BEEDRILL</v>
      </c>
      <c r="I18" s="5" t="s">
        <v>2814</v>
      </c>
    </row>
    <row r="19" ht="12.75" customHeight="1">
      <c r="A19" s="5" t="s">
        <v>3706</v>
      </c>
      <c r="B19" s="7">
        <v>10.0</v>
      </c>
      <c r="C19" s="7">
        <v>10.0</v>
      </c>
      <c r="D19" s="7" t="s">
        <v>3739</v>
      </c>
      <c r="E19" s="7"/>
      <c r="G19" s="5" t="str">
        <f t="shared" si="1"/>
        <v>10, 10, TANGELA</v>
      </c>
      <c r="I19" s="5" t="s">
        <v>3706</v>
      </c>
    </row>
    <row r="20" ht="12.75" customHeight="1">
      <c r="A20" s="5" t="s">
        <v>2539</v>
      </c>
      <c r="B20" s="7" t="s">
        <v>2539</v>
      </c>
      <c r="C20" s="7"/>
      <c r="D20" s="7"/>
      <c r="E20" s="7"/>
      <c r="G20" s="5" t="str">
        <f t="shared" si="1"/>
        <v>NEW ROUTE</v>
      </c>
      <c r="I20" s="5" t="s">
        <v>2539</v>
      </c>
    </row>
    <row r="21" ht="12.75" customHeight="1">
      <c r="A21" s="5" t="s">
        <v>1400</v>
      </c>
      <c r="B21" s="7" t="s">
        <v>1400</v>
      </c>
      <c r="C21" s="7"/>
      <c r="D21" s="7"/>
      <c r="E21" s="7"/>
      <c r="G21" s="5" t="str">
        <f t="shared" si="1"/>
        <v>Mt Moon 1F</v>
      </c>
      <c r="I21" s="5" t="s">
        <v>1400</v>
      </c>
    </row>
    <row r="22" ht="12.75" customHeight="1">
      <c r="A22" s="5">
        <v>0.2</v>
      </c>
      <c r="B22" s="5">
        <v>0.2</v>
      </c>
      <c r="C22" s="7"/>
      <c r="D22" s="7"/>
      <c r="E22" s="7"/>
      <c r="G22" s="5">
        <f t="shared" si="1"/>
        <v>0.2</v>
      </c>
      <c r="I22" s="5">
        <v>0.2</v>
      </c>
    </row>
    <row r="23" ht="12.75" customHeight="1">
      <c r="A23" s="5" t="s">
        <v>385</v>
      </c>
      <c r="B23" s="7">
        <v>9.0</v>
      </c>
      <c r="C23" s="7">
        <v>11.0</v>
      </c>
      <c r="D23" s="7" t="s">
        <v>3740</v>
      </c>
      <c r="E23" s="7"/>
      <c r="G23" s="5" t="str">
        <f t="shared" si="1"/>
        <v>9, 11, ZUBAT</v>
      </c>
      <c r="I23" s="5" t="s">
        <v>385</v>
      </c>
    </row>
    <row r="24" ht="12.75" customHeight="1">
      <c r="A24" s="5" t="s">
        <v>385</v>
      </c>
      <c r="B24" s="7">
        <v>9.0</v>
      </c>
      <c r="C24" s="7">
        <v>11.0</v>
      </c>
      <c r="D24" s="7" t="s">
        <v>3740</v>
      </c>
      <c r="E24" s="7"/>
      <c r="G24" s="5" t="str">
        <f t="shared" si="1"/>
        <v>9, 11, ZUBAT</v>
      </c>
      <c r="I24" s="5" t="s">
        <v>385</v>
      </c>
    </row>
    <row r="25" ht="12.75" customHeight="1">
      <c r="A25" s="5">
        <v>0.1</v>
      </c>
      <c r="B25" s="5">
        <v>0.1</v>
      </c>
      <c r="C25" s="7"/>
      <c r="D25" s="7"/>
      <c r="E25" s="7"/>
      <c r="G25" s="5">
        <f t="shared" si="1"/>
        <v>0.1</v>
      </c>
      <c r="I25" s="5">
        <v>0.1</v>
      </c>
    </row>
    <row r="26" ht="12.75" customHeight="1">
      <c r="A26" s="5" t="s">
        <v>394</v>
      </c>
      <c r="B26" s="7">
        <v>10.0</v>
      </c>
      <c r="C26" s="7">
        <v>12.0</v>
      </c>
      <c r="D26" s="7" t="s">
        <v>3740</v>
      </c>
      <c r="E26" s="7"/>
      <c r="G26" s="5" t="str">
        <f t="shared" si="1"/>
        <v>10, 12, ZUBAT</v>
      </c>
      <c r="I26" s="5" t="s">
        <v>394</v>
      </c>
    </row>
    <row r="27" ht="12.75" customHeight="1">
      <c r="A27" s="5" t="s">
        <v>394</v>
      </c>
      <c r="B27" s="7">
        <v>10.0</v>
      </c>
      <c r="C27" s="7">
        <v>12.0</v>
      </c>
      <c r="D27" s="7" t="s">
        <v>3740</v>
      </c>
      <c r="E27" s="7"/>
      <c r="G27" s="5" t="str">
        <f t="shared" si="1"/>
        <v>10, 12, ZUBAT</v>
      </c>
      <c r="I27" s="5" t="s">
        <v>394</v>
      </c>
    </row>
    <row r="28" ht="12.75" customHeight="1">
      <c r="A28" s="5" t="s">
        <v>2818</v>
      </c>
      <c r="B28" s="7">
        <v>10.0</v>
      </c>
      <c r="C28" s="7">
        <v>12.0</v>
      </c>
      <c r="D28" s="7" t="s">
        <v>3741</v>
      </c>
      <c r="E28" s="7"/>
      <c r="G28" s="5" t="str">
        <f t="shared" si="1"/>
        <v>10, 12, GEODUDE</v>
      </c>
      <c r="I28" s="5" t="s">
        <v>2818</v>
      </c>
    </row>
    <row r="29" ht="12.75" customHeight="1">
      <c r="A29" s="5" t="s">
        <v>2818</v>
      </c>
      <c r="B29" s="7">
        <v>10.0</v>
      </c>
      <c r="C29" s="7">
        <v>12.0</v>
      </c>
      <c r="D29" s="7" t="s">
        <v>3741</v>
      </c>
      <c r="E29" s="7"/>
      <c r="G29" s="5" t="str">
        <f t="shared" si="1"/>
        <v>10, 12, GEODUDE</v>
      </c>
      <c r="I29" s="5" t="s">
        <v>2818</v>
      </c>
    </row>
    <row r="30" ht="12.75" customHeight="1">
      <c r="A30" s="5">
        <v>0.05</v>
      </c>
      <c r="B30" s="5">
        <v>0.05</v>
      </c>
      <c r="C30" s="7"/>
      <c r="D30" s="7"/>
      <c r="E30" s="7"/>
      <c r="G30" s="5">
        <f t="shared" si="1"/>
        <v>0.05</v>
      </c>
      <c r="I30" s="5">
        <v>0.05</v>
      </c>
    </row>
    <row r="31" ht="12.75" customHeight="1">
      <c r="A31" s="5" t="s">
        <v>2819</v>
      </c>
      <c r="B31" s="7">
        <v>11.0</v>
      </c>
      <c r="C31" s="7">
        <v>11.0</v>
      </c>
      <c r="D31" s="7" t="s">
        <v>3742</v>
      </c>
      <c r="E31" s="7"/>
      <c r="G31" s="5" t="str">
        <f t="shared" si="1"/>
        <v>11, 11, SANDSHREW</v>
      </c>
      <c r="I31" s="5" t="s">
        <v>2819</v>
      </c>
    </row>
    <row r="32" ht="12.75" customHeight="1">
      <c r="A32" s="5" t="s">
        <v>2819</v>
      </c>
      <c r="B32" s="7">
        <v>11.0</v>
      </c>
      <c r="C32" s="7">
        <v>11.0</v>
      </c>
      <c r="D32" s="7" t="s">
        <v>3742</v>
      </c>
      <c r="E32" s="7"/>
      <c r="G32" s="5" t="str">
        <f t="shared" si="1"/>
        <v>11, 11, SANDSHREW</v>
      </c>
      <c r="I32" s="5" t="s">
        <v>2819</v>
      </c>
    </row>
    <row r="33" ht="12.75" customHeight="1">
      <c r="A33" s="5">
        <v>0.04</v>
      </c>
      <c r="B33" s="5">
        <v>0.04</v>
      </c>
      <c r="C33" s="7"/>
      <c r="D33" s="7"/>
      <c r="E33" s="7"/>
      <c r="G33" s="5">
        <f t="shared" si="1"/>
        <v>0.04</v>
      </c>
      <c r="I33" s="5">
        <v>0.04</v>
      </c>
    </row>
    <row r="34" ht="12.75" customHeight="1">
      <c r="A34" s="5" t="s">
        <v>2820</v>
      </c>
      <c r="B34" s="7">
        <v>11.0</v>
      </c>
      <c r="C34" s="7">
        <v>11.0</v>
      </c>
      <c r="D34" s="7" t="s">
        <v>3743</v>
      </c>
      <c r="E34" s="7"/>
      <c r="G34" s="5" t="str">
        <f t="shared" si="1"/>
        <v>11, 11, PARAS</v>
      </c>
      <c r="I34" s="5" t="s">
        <v>2820</v>
      </c>
    </row>
    <row r="35" ht="12.75" customHeight="1">
      <c r="A35" s="5" t="s">
        <v>2820</v>
      </c>
      <c r="B35" s="7">
        <v>11.0</v>
      </c>
      <c r="C35" s="7">
        <v>11.0</v>
      </c>
      <c r="D35" s="7" t="s">
        <v>3743</v>
      </c>
      <c r="E35" s="7"/>
      <c r="G35" s="5" t="str">
        <f t="shared" si="1"/>
        <v>11, 11, PARAS</v>
      </c>
      <c r="I35" s="5" t="s">
        <v>2820</v>
      </c>
    </row>
    <row r="36" ht="12.75" customHeight="1">
      <c r="A36" s="5">
        <v>0.01</v>
      </c>
      <c r="B36" s="5">
        <v>0.01</v>
      </c>
      <c r="C36" s="7"/>
      <c r="D36" s="7"/>
      <c r="E36" s="7"/>
      <c r="G36" s="5">
        <f t="shared" si="1"/>
        <v>0.01</v>
      </c>
      <c r="I36" s="5">
        <v>0.01</v>
      </c>
    </row>
    <row r="37" ht="12.75" customHeight="1">
      <c r="A37" s="5" t="s">
        <v>2821</v>
      </c>
      <c r="B37" s="7">
        <v>11.0</v>
      </c>
      <c r="C37" s="7">
        <v>14.0</v>
      </c>
      <c r="D37" s="7" t="s">
        <v>3744</v>
      </c>
      <c r="E37" s="7"/>
      <c r="G37" s="5" t="str">
        <f t="shared" si="1"/>
        <v>11, 14, ONIX</v>
      </c>
      <c r="I37" s="5" t="s">
        <v>2821</v>
      </c>
    </row>
    <row r="38" ht="12.75" customHeight="1">
      <c r="A38" s="5" t="s">
        <v>3707</v>
      </c>
      <c r="B38" s="7">
        <v>11.0</v>
      </c>
      <c r="C38" s="7">
        <v>14.0</v>
      </c>
      <c r="D38" s="7" t="s">
        <v>3745</v>
      </c>
      <c r="E38" s="7"/>
      <c r="G38" s="5" t="str">
        <f t="shared" si="1"/>
        <v>11, 14, CLEFAIRY</v>
      </c>
      <c r="I38" s="5" t="s">
        <v>3707</v>
      </c>
    </row>
    <row r="39" ht="12.75" customHeight="1">
      <c r="A39" s="5" t="s">
        <v>2539</v>
      </c>
      <c r="B39" s="7" t="s">
        <v>2539</v>
      </c>
      <c r="C39" s="7"/>
      <c r="D39" s="7"/>
      <c r="E39" s="7"/>
      <c r="G39" s="5" t="str">
        <f t="shared" si="1"/>
        <v>NEW ROUTE</v>
      </c>
      <c r="I39" s="5" t="s">
        <v>2539</v>
      </c>
    </row>
    <row r="40" ht="12.75" customHeight="1">
      <c r="A40" s="5" t="s">
        <v>1405</v>
      </c>
      <c r="B40" s="7" t="s">
        <v>1405</v>
      </c>
      <c r="C40" s="7"/>
      <c r="D40" s="7"/>
      <c r="E40" s="7"/>
      <c r="G40" s="5" t="str">
        <f t="shared" si="1"/>
        <v>Mt Moon B1F</v>
      </c>
      <c r="I40" s="5" t="s">
        <v>1405</v>
      </c>
    </row>
    <row r="41" ht="12.75" customHeight="1">
      <c r="A41" s="5">
        <v>0.2</v>
      </c>
      <c r="B41" s="5">
        <v>0.2</v>
      </c>
      <c r="C41" s="7"/>
      <c r="D41" s="7"/>
      <c r="E41" s="7"/>
      <c r="G41" s="5">
        <f t="shared" si="1"/>
        <v>0.2</v>
      </c>
      <c r="I41" s="5">
        <v>0.2</v>
      </c>
    </row>
    <row r="42" ht="12.75" customHeight="1">
      <c r="A42" s="5" t="s">
        <v>394</v>
      </c>
      <c r="B42" s="7">
        <v>10.0</v>
      </c>
      <c r="C42" s="7">
        <v>12.0</v>
      </c>
      <c r="D42" s="7" t="s">
        <v>3740</v>
      </c>
      <c r="E42" s="7"/>
      <c r="G42" s="5" t="str">
        <f t="shared" si="1"/>
        <v>10, 12, ZUBAT</v>
      </c>
      <c r="I42" s="5" t="s">
        <v>394</v>
      </c>
    </row>
    <row r="43" ht="12.75" customHeight="1">
      <c r="A43" s="5" t="s">
        <v>394</v>
      </c>
      <c r="B43" s="7">
        <v>10.0</v>
      </c>
      <c r="C43" s="7">
        <v>12.0</v>
      </c>
      <c r="D43" s="7" t="s">
        <v>3740</v>
      </c>
      <c r="E43" s="7"/>
      <c r="G43" s="5" t="str">
        <f t="shared" si="1"/>
        <v>10, 12, ZUBAT</v>
      </c>
      <c r="I43" s="5" t="s">
        <v>394</v>
      </c>
    </row>
    <row r="44" ht="12.75" customHeight="1">
      <c r="A44" s="5">
        <v>0.1</v>
      </c>
      <c r="B44" s="5">
        <v>0.1</v>
      </c>
      <c r="C44" s="7"/>
      <c r="D44" s="7"/>
      <c r="E44" s="7"/>
      <c r="G44" s="5">
        <f t="shared" si="1"/>
        <v>0.1</v>
      </c>
      <c r="I44" s="5">
        <v>0.1</v>
      </c>
    </row>
    <row r="45" ht="12.75" customHeight="1">
      <c r="A45" s="5" t="s">
        <v>2825</v>
      </c>
      <c r="B45" s="7">
        <v>11.0</v>
      </c>
      <c r="C45" s="7">
        <v>13.0</v>
      </c>
      <c r="D45" s="7" t="s">
        <v>3740</v>
      </c>
      <c r="E45" s="7"/>
      <c r="G45" s="5" t="str">
        <f t="shared" si="1"/>
        <v>11, 13, ZUBAT</v>
      </c>
      <c r="I45" s="5" t="s">
        <v>2825</v>
      </c>
    </row>
    <row r="46" ht="12.75" customHeight="1">
      <c r="A46" s="5" t="s">
        <v>2825</v>
      </c>
      <c r="B46" s="7">
        <v>11.0</v>
      </c>
      <c r="C46" s="7">
        <v>13.0</v>
      </c>
      <c r="D46" s="7" t="s">
        <v>3740</v>
      </c>
      <c r="E46" s="7"/>
      <c r="G46" s="5" t="str">
        <f t="shared" si="1"/>
        <v>11, 13, ZUBAT</v>
      </c>
      <c r="I46" s="5" t="s">
        <v>2825</v>
      </c>
    </row>
    <row r="47" ht="12.75" customHeight="1">
      <c r="A47" s="5" t="s">
        <v>2826</v>
      </c>
      <c r="B47" s="7">
        <v>11.0</v>
      </c>
      <c r="C47" s="7">
        <v>13.0</v>
      </c>
      <c r="D47" s="7" t="s">
        <v>3741</v>
      </c>
      <c r="E47" s="7"/>
      <c r="G47" s="5" t="str">
        <f t="shared" si="1"/>
        <v>11, 13, GEODUDE</v>
      </c>
      <c r="I47" s="5" t="s">
        <v>2826</v>
      </c>
    </row>
    <row r="48" ht="12.75" customHeight="1">
      <c r="A48" s="5" t="s">
        <v>2826</v>
      </c>
      <c r="B48" s="7">
        <v>11.0</v>
      </c>
      <c r="C48" s="7">
        <v>13.0</v>
      </c>
      <c r="D48" s="7" t="s">
        <v>3741</v>
      </c>
      <c r="E48" s="7"/>
      <c r="G48" s="5" t="str">
        <f t="shared" si="1"/>
        <v>11, 13, GEODUDE</v>
      </c>
      <c r="I48" s="5" t="s">
        <v>2826</v>
      </c>
    </row>
    <row r="49" ht="12.75" customHeight="1">
      <c r="A49" s="5">
        <v>0.05</v>
      </c>
      <c r="B49" s="5">
        <v>0.05</v>
      </c>
      <c r="C49" s="7"/>
      <c r="D49" s="7"/>
      <c r="E49" s="7"/>
      <c r="G49" s="5">
        <f t="shared" si="1"/>
        <v>0.05</v>
      </c>
      <c r="I49" s="5">
        <v>0.05</v>
      </c>
    </row>
    <row r="50" ht="12.75" customHeight="1">
      <c r="A50" s="5" t="s">
        <v>2827</v>
      </c>
      <c r="B50" s="7">
        <v>12.0</v>
      </c>
      <c r="C50" s="7">
        <v>12.0</v>
      </c>
      <c r="D50" s="7" t="s">
        <v>3742</v>
      </c>
      <c r="E50" s="7"/>
      <c r="G50" s="5" t="str">
        <f t="shared" si="1"/>
        <v>12, 12, SANDSHREW</v>
      </c>
      <c r="I50" s="5" t="s">
        <v>2827</v>
      </c>
    </row>
    <row r="51" ht="12.75" customHeight="1">
      <c r="A51" s="5" t="s">
        <v>2827</v>
      </c>
      <c r="B51" s="7">
        <v>12.0</v>
      </c>
      <c r="C51" s="7">
        <v>12.0</v>
      </c>
      <c r="D51" s="7" t="s">
        <v>3742</v>
      </c>
      <c r="E51" s="7"/>
      <c r="G51" s="5" t="str">
        <f t="shared" si="1"/>
        <v>12, 12, SANDSHREW</v>
      </c>
      <c r="I51" s="5" t="s">
        <v>2827</v>
      </c>
    </row>
    <row r="52" ht="12.75" customHeight="1">
      <c r="A52" s="5">
        <v>0.04</v>
      </c>
      <c r="B52" s="5">
        <v>0.04</v>
      </c>
      <c r="C52" s="7"/>
      <c r="D52" s="7"/>
      <c r="E52" s="7"/>
      <c r="G52" s="5">
        <f t="shared" si="1"/>
        <v>0.04</v>
      </c>
      <c r="I52" s="5">
        <v>0.04</v>
      </c>
    </row>
    <row r="53" ht="12.75" customHeight="1">
      <c r="A53" s="5" t="s">
        <v>2828</v>
      </c>
      <c r="B53" s="7">
        <v>12.0</v>
      </c>
      <c r="C53" s="7">
        <v>12.0</v>
      </c>
      <c r="D53" s="7" t="s">
        <v>3743</v>
      </c>
      <c r="E53" s="7"/>
      <c r="G53" s="5" t="str">
        <f t="shared" si="1"/>
        <v>12, 12, PARAS</v>
      </c>
      <c r="I53" s="5" t="s">
        <v>2828</v>
      </c>
    </row>
    <row r="54" ht="12.75" customHeight="1">
      <c r="A54" s="5" t="s">
        <v>2828</v>
      </c>
      <c r="B54" s="7">
        <v>12.0</v>
      </c>
      <c r="C54" s="7">
        <v>12.0</v>
      </c>
      <c r="D54" s="7" t="s">
        <v>3743</v>
      </c>
      <c r="E54" s="7"/>
      <c r="G54" s="5" t="str">
        <f t="shared" si="1"/>
        <v>12, 12, PARAS</v>
      </c>
      <c r="I54" s="5" t="s">
        <v>2828</v>
      </c>
    </row>
    <row r="55" ht="12.75" customHeight="1">
      <c r="A55" s="5">
        <v>0.01</v>
      </c>
      <c r="B55" s="5">
        <v>0.01</v>
      </c>
      <c r="C55" s="7"/>
      <c r="D55" s="7"/>
      <c r="E55" s="7"/>
      <c r="G55" s="5">
        <f t="shared" si="1"/>
        <v>0.01</v>
      </c>
      <c r="I55" s="5">
        <v>0.01</v>
      </c>
    </row>
    <row r="56" ht="12.75" customHeight="1">
      <c r="A56" s="5" t="s">
        <v>2829</v>
      </c>
      <c r="B56" s="7">
        <v>12.0</v>
      </c>
      <c r="C56" s="7">
        <v>15.0</v>
      </c>
      <c r="D56" s="7" t="s">
        <v>3744</v>
      </c>
      <c r="E56" s="7"/>
      <c r="G56" s="5" t="str">
        <f t="shared" si="1"/>
        <v>12, 15, ONIX</v>
      </c>
      <c r="I56" s="5" t="s">
        <v>2829</v>
      </c>
    </row>
    <row r="57" ht="12.75" customHeight="1">
      <c r="A57" s="5" t="s">
        <v>3708</v>
      </c>
      <c r="B57" s="7">
        <v>12.0</v>
      </c>
      <c r="C57" s="7">
        <v>15.0</v>
      </c>
      <c r="D57" s="7" t="s">
        <v>3745</v>
      </c>
      <c r="E57" s="7"/>
      <c r="G57" s="5" t="str">
        <f t="shared" si="1"/>
        <v>12, 15, CLEFAIRY</v>
      </c>
      <c r="I57" s="5" t="s">
        <v>3708</v>
      </c>
    </row>
    <row r="58" ht="12.75" customHeight="1">
      <c r="A58" s="5" t="s">
        <v>2539</v>
      </c>
      <c r="B58" s="7" t="s">
        <v>2539</v>
      </c>
      <c r="C58" s="7"/>
      <c r="D58" s="7"/>
      <c r="E58" s="7"/>
      <c r="G58" s="5" t="str">
        <f t="shared" si="1"/>
        <v>NEW ROUTE</v>
      </c>
      <c r="I58" s="5" t="s">
        <v>2539</v>
      </c>
    </row>
    <row r="59" ht="12.75" customHeight="1">
      <c r="A59" s="5" t="s">
        <v>1408</v>
      </c>
      <c r="B59" s="7" t="s">
        <v>1408</v>
      </c>
      <c r="C59" s="7"/>
      <c r="D59" s="7"/>
      <c r="E59" s="7"/>
      <c r="G59" s="5" t="str">
        <f t="shared" si="1"/>
        <v>Mt Moon B2F</v>
      </c>
      <c r="I59" s="5" t="s">
        <v>1408</v>
      </c>
    </row>
    <row r="60" ht="12.75" customHeight="1">
      <c r="A60" s="5">
        <v>0.2</v>
      </c>
      <c r="B60" s="5">
        <v>0.2</v>
      </c>
      <c r="C60" s="7"/>
      <c r="D60" s="7"/>
      <c r="E60" s="7"/>
      <c r="G60" s="5">
        <f t="shared" si="1"/>
        <v>0.2</v>
      </c>
      <c r="I60" s="5">
        <v>0.2</v>
      </c>
    </row>
    <row r="61" ht="12.75" customHeight="1">
      <c r="A61" s="5" t="s">
        <v>402</v>
      </c>
      <c r="B61" s="7">
        <v>10.0</v>
      </c>
      <c r="C61" s="7">
        <v>13.0</v>
      </c>
      <c r="D61" s="7" t="s">
        <v>3740</v>
      </c>
      <c r="E61" s="7"/>
      <c r="G61" s="5" t="str">
        <f t="shared" si="1"/>
        <v>10, 13, ZUBAT</v>
      </c>
      <c r="I61" s="5" t="s">
        <v>402</v>
      </c>
    </row>
    <row r="62" ht="12.75" customHeight="1">
      <c r="A62" s="5" t="s">
        <v>402</v>
      </c>
      <c r="B62" s="7">
        <v>10.0</v>
      </c>
      <c r="C62" s="7">
        <v>13.0</v>
      </c>
      <c r="D62" s="7" t="s">
        <v>3740</v>
      </c>
      <c r="E62" s="7"/>
      <c r="G62" s="5" t="str">
        <f t="shared" si="1"/>
        <v>10, 13, ZUBAT</v>
      </c>
      <c r="I62" s="5" t="s">
        <v>402</v>
      </c>
    </row>
    <row r="63" ht="12.75" customHeight="1">
      <c r="A63" s="5">
        <v>0.1</v>
      </c>
      <c r="B63" s="5">
        <v>0.1</v>
      </c>
      <c r="C63" s="7"/>
      <c r="D63" s="7"/>
      <c r="E63" s="7"/>
      <c r="G63" s="5">
        <f t="shared" si="1"/>
        <v>0.1</v>
      </c>
      <c r="I63" s="5">
        <v>0.1</v>
      </c>
    </row>
    <row r="64" ht="12.75" customHeight="1">
      <c r="A64" s="5" t="s">
        <v>2832</v>
      </c>
      <c r="B64" s="7">
        <v>11.0</v>
      </c>
      <c r="C64" s="7">
        <v>14.0</v>
      </c>
      <c r="D64" s="7" t="s">
        <v>3740</v>
      </c>
      <c r="E64" s="7"/>
      <c r="G64" s="5" t="str">
        <f t="shared" si="1"/>
        <v>11, 14, ZUBAT</v>
      </c>
      <c r="I64" s="5" t="s">
        <v>2832</v>
      </c>
    </row>
    <row r="65" ht="12.75" customHeight="1">
      <c r="A65" s="5" t="s">
        <v>2833</v>
      </c>
      <c r="B65" s="7">
        <v>11.0</v>
      </c>
      <c r="C65" s="7">
        <v>14.0</v>
      </c>
      <c r="D65" s="7" t="s">
        <v>3741</v>
      </c>
      <c r="E65" s="7"/>
      <c r="G65" s="5" t="str">
        <f t="shared" si="1"/>
        <v>11, 14, GEODUDE</v>
      </c>
      <c r="I65" s="5" t="s">
        <v>2833</v>
      </c>
    </row>
    <row r="66" ht="12.75" customHeight="1">
      <c r="A66" s="5" t="s">
        <v>2833</v>
      </c>
      <c r="B66" s="7">
        <v>11.0</v>
      </c>
      <c r="C66" s="7">
        <v>14.0</v>
      </c>
      <c r="D66" s="7" t="s">
        <v>3741</v>
      </c>
      <c r="E66" s="7"/>
      <c r="G66" s="5" t="str">
        <f t="shared" si="1"/>
        <v>11, 14, GEODUDE</v>
      </c>
      <c r="I66" s="5" t="s">
        <v>2833</v>
      </c>
    </row>
    <row r="67" ht="12.75" customHeight="1">
      <c r="A67" s="5" t="s">
        <v>2834</v>
      </c>
      <c r="B67" s="7">
        <v>11.0</v>
      </c>
      <c r="C67" s="7">
        <v>14.0</v>
      </c>
      <c r="D67" s="7" t="s">
        <v>3742</v>
      </c>
      <c r="E67" s="7"/>
      <c r="G67" s="5" t="str">
        <f t="shared" si="1"/>
        <v>11, 14, SANDSHREW</v>
      </c>
      <c r="I67" s="5" t="s">
        <v>2834</v>
      </c>
    </row>
    <row r="68" ht="12.75" customHeight="1">
      <c r="A68" s="5">
        <v>0.05</v>
      </c>
      <c r="B68" s="5">
        <v>0.05</v>
      </c>
      <c r="C68" s="7"/>
      <c r="D68" s="7"/>
      <c r="E68" s="7"/>
      <c r="G68" s="5">
        <f t="shared" si="1"/>
        <v>0.05</v>
      </c>
      <c r="I68" s="5">
        <v>0.05</v>
      </c>
    </row>
    <row r="69" ht="12.75" customHeight="1">
      <c r="A69" s="5" t="s">
        <v>2835</v>
      </c>
      <c r="B69" s="7">
        <v>13.0</v>
      </c>
      <c r="C69" s="7">
        <v>13.0</v>
      </c>
      <c r="D69" s="7" t="s">
        <v>3743</v>
      </c>
      <c r="E69" s="7"/>
      <c r="G69" s="5" t="str">
        <f t="shared" si="1"/>
        <v>13, 13, PARAS</v>
      </c>
      <c r="I69" s="5" t="s">
        <v>2835</v>
      </c>
    </row>
    <row r="70" ht="12.75" customHeight="1">
      <c r="A70" s="5" t="s">
        <v>2835</v>
      </c>
      <c r="B70" s="7">
        <v>13.0</v>
      </c>
      <c r="C70" s="7">
        <v>13.0</v>
      </c>
      <c r="D70" s="7" t="s">
        <v>3743</v>
      </c>
      <c r="E70" s="7"/>
      <c r="G70" s="5" t="str">
        <f t="shared" si="1"/>
        <v>13, 13, PARAS</v>
      </c>
      <c r="I70" s="5" t="s">
        <v>2835</v>
      </c>
    </row>
    <row r="71" ht="12.75" customHeight="1">
      <c r="A71" s="5">
        <v>0.04</v>
      </c>
      <c r="B71" s="5">
        <v>0.04</v>
      </c>
      <c r="C71" s="7"/>
      <c r="D71" s="7"/>
      <c r="E71" s="7"/>
      <c r="G71" s="5">
        <f t="shared" si="1"/>
        <v>0.04</v>
      </c>
      <c r="I71" s="5">
        <v>0.04</v>
      </c>
    </row>
    <row r="72" ht="12.75" customHeight="1">
      <c r="A72" s="5" t="s">
        <v>2836</v>
      </c>
      <c r="B72" s="7">
        <v>13.0</v>
      </c>
      <c r="C72" s="7">
        <v>13.0</v>
      </c>
      <c r="D72" s="7" t="s">
        <v>3744</v>
      </c>
      <c r="E72" s="7"/>
      <c r="G72" s="5" t="str">
        <f t="shared" si="1"/>
        <v>13, 13, ONIX</v>
      </c>
      <c r="I72" s="5" t="s">
        <v>2836</v>
      </c>
    </row>
    <row r="73" ht="12.75" customHeight="1">
      <c r="A73" s="5" t="s">
        <v>2837</v>
      </c>
      <c r="B73" s="7">
        <v>13.0</v>
      </c>
      <c r="C73" s="7">
        <v>13.0</v>
      </c>
      <c r="D73" s="7" t="s">
        <v>3745</v>
      </c>
      <c r="E73" s="7"/>
      <c r="G73" s="5" t="str">
        <f t="shared" si="1"/>
        <v>13, 13, CLEFAIRY</v>
      </c>
      <c r="I73" s="5" t="s">
        <v>2837</v>
      </c>
    </row>
    <row r="74" ht="12.75" customHeight="1">
      <c r="A74" s="5">
        <v>0.01</v>
      </c>
      <c r="B74" s="5">
        <v>0.01</v>
      </c>
      <c r="C74" s="7"/>
      <c r="D74" s="7"/>
      <c r="E74" s="7"/>
      <c r="G74" s="5">
        <f t="shared" si="1"/>
        <v>0.01</v>
      </c>
      <c r="I74" s="5">
        <v>0.01</v>
      </c>
    </row>
    <row r="75" ht="12.75" customHeight="1">
      <c r="A75" s="5" t="s">
        <v>2838</v>
      </c>
      <c r="B75" s="7">
        <v>13.0</v>
      </c>
      <c r="C75" s="7">
        <v>16.0</v>
      </c>
      <c r="D75" s="7" t="s">
        <v>3746</v>
      </c>
      <c r="E75" s="7"/>
      <c r="G75" s="5" t="str">
        <f t="shared" si="1"/>
        <v>13, 16, GOLBAT</v>
      </c>
      <c r="I75" s="5" t="s">
        <v>2838</v>
      </c>
    </row>
    <row r="76" ht="12.75" customHeight="1">
      <c r="A76" s="5" t="s">
        <v>3709</v>
      </c>
      <c r="B76" s="7">
        <v>13.0</v>
      </c>
      <c r="C76" s="7">
        <v>16.0</v>
      </c>
      <c r="D76" s="7" t="s">
        <v>3747</v>
      </c>
      <c r="E76" s="7"/>
      <c r="G76" s="5" t="str">
        <f t="shared" si="1"/>
        <v>13, 16, GRAVELER</v>
      </c>
      <c r="I76" s="5" t="s">
        <v>3709</v>
      </c>
    </row>
    <row r="77" ht="12.75" customHeight="1">
      <c r="A77" s="5" t="s">
        <v>2539</v>
      </c>
      <c r="B77" s="7" t="s">
        <v>2539</v>
      </c>
      <c r="C77" s="7"/>
      <c r="D77" s="7"/>
      <c r="E77" s="7"/>
      <c r="G77" s="5" t="str">
        <f t="shared" si="1"/>
        <v>NEW ROUTE</v>
      </c>
      <c r="I77" s="5" t="s">
        <v>2539</v>
      </c>
    </row>
    <row r="78" ht="12.75" customHeight="1">
      <c r="A78" s="5" t="s">
        <v>1411</v>
      </c>
      <c r="B78" s="7" t="s">
        <v>1411</v>
      </c>
      <c r="C78" s="7"/>
      <c r="D78" s="7"/>
      <c r="E78" s="7"/>
      <c r="G78" s="5" t="str">
        <f t="shared" si="1"/>
        <v>S.S. Anne Exterior</v>
      </c>
      <c r="I78" s="5" t="s">
        <v>1411</v>
      </c>
    </row>
    <row r="79" ht="12.75" customHeight="1">
      <c r="A79" s="5" t="s">
        <v>2841</v>
      </c>
      <c r="B79" s="7">
        <v>1.0</v>
      </c>
      <c r="C79" s="7">
        <v>5.0</v>
      </c>
      <c r="D79" s="7">
        <v>10.0</v>
      </c>
      <c r="E79" s="7" t="s">
        <v>3748</v>
      </c>
      <c r="G79" s="5" t="str">
        <f t="shared" si="1"/>
        <v>1, 5, 10, TENTACOOL</v>
      </c>
      <c r="I79" s="5" t="s">
        <v>2841</v>
      </c>
    </row>
    <row r="80" ht="12.75" customHeight="1">
      <c r="A80" s="5" t="s">
        <v>2842</v>
      </c>
      <c r="B80" s="7">
        <v>10.0</v>
      </c>
      <c r="C80" s="7">
        <v>20.0</v>
      </c>
      <c r="D80" s="7" t="s">
        <v>3748</v>
      </c>
      <c r="E80" s="7"/>
      <c r="G80" s="5" t="str">
        <f t="shared" si="1"/>
        <v>10, 20, TENTACOOL</v>
      </c>
      <c r="I80" s="5" t="s">
        <v>2842</v>
      </c>
    </row>
    <row r="81" ht="12.75" customHeight="1">
      <c r="A81" s="5" t="s">
        <v>2843</v>
      </c>
      <c r="B81" s="7">
        <v>20.0</v>
      </c>
      <c r="C81" s="7">
        <v>30.0</v>
      </c>
      <c r="D81" s="7" t="s">
        <v>3748</v>
      </c>
      <c r="E81" s="7"/>
      <c r="G81" s="5" t="str">
        <f t="shared" si="1"/>
        <v>20, 30, TENTACOOL</v>
      </c>
      <c r="I81" s="5" t="s">
        <v>2843</v>
      </c>
    </row>
    <row r="82" ht="12.75" customHeight="1">
      <c r="A82" s="5" t="s">
        <v>2844</v>
      </c>
      <c r="B82" s="7">
        <v>30.0</v>
      </c>
      <c r="C82" s="7">
        <v>35.0</v>
      </c>
      <c r="D82" s="7" t="s">
        <v>3748</v>
      </c>
      <c r="E82" s="7"/>
      <c r="G82" s="5" t="str">
        <f t="shared" si="1"/>
        <v>30, 35, TENTACOOL</v>
      </c>
      <c r="I82" s="5" t="s">
        <v>2844</v>
      </c>
    </row>
    <row r="83" ht="12.75" customHeight="1">
      <c r="A83" s="5" t="s">
        <v>2845</v>
      </c>
      <c r="B83" s="7">
        <v>35.0</v>
      </c>
      <c r="C83" s="7">
        <v>40.0</v>
      </c>
      <c r="D83" s="7" t="s">
        <v>3748</v>
      </c>
      <c r="E83" s="7"/>
      <c r="G83" s="5" t="str">
        <f t="shared" si="1"/>
        <v>35, 40, TENTACOOL</v>
      </c>
      <c r="I83" s="5" t="s">
        <v>2845</v>
      </c>
    </row>
    <row r="84" ht="12.75" customHeight="1">
      <c r="A84" s="5" t="s">
        <v>2846</v>
      </c>
      <c r="B84" s="7">
        <v>10.0</v>
      </c>
      <c r="C84" s="7" t="s">
        <v>3749</v>
      </c>
      <c r="D84" s="7"/>
      <c r="E84" s="7"/>
      <c r="G84" s="5" t="str">
        <f t="shared" si="1"/>
        <v>old rod:</v>
      </c>
      <c r="I84" s="5" t="s">
        <v>3750</v>
      </c>
    </row>
    <row r="85" ht="12.75" customHeight="1">
      <c r="A85" s="5" t="s">
        <v>417</v>
      </c>
      <c r="B85" s="7">
        <v>5.0</v>
      </c>
      <c r="C85" s="7">
        <v>5.0</v>
      </c>
      <c r="D85" s="7" t="s">
        <v>3751</v>
      </c>
      <c r="E85" s="7"/>
      <c r="G85" s="5" t="str">
        <f t="shared" si="1"/>
        <v>5, 5, MAGIKARP</v>
      </c>
      <c r="I85" s="5" t="s">
        <v>417</v>
      </c>
    </row>
    <row r="86" ht="12.75" customHeight="1">
      <c r="A86" s="5" t="s">
        <v>417</v>
      </c>
      <c r="B86" s="7">
        <v>5.0</v>
      </c>
      <c r="C86" s="7">
        <v>5.0</v>
      </c>
      <c r="D86" s="7" t="s">
        <v>3751</v>
      </c>
      <c r="E86" s="7"/>
      <c r="G86" s="5" t="str">
        <f t="shared" si="1"/>
        <v>5, 5, MAGIKARP</v>
      </c>
      <c r="I86" s="5" t="s">
        <v>417</v>
      </c>
    </row>
    <row r="87" ht="12.75" customHeight="1">
      <c r="A87" s="5" t="s">
        <v>2847</v>
      </c>
      <c r="B87" s="7" t="s">
        <v>2847</v>
      </c>
      <c r="C87" s="7"/>
      <c r="D87" s="7"/>
      <c r="E87" s="7"/>
      <c r="G87" s="5" t="str">
        <f t="shared" si="1"/>
        <v>good rod:</v>
      </c>
      <c r="I87" s="5" t="s">
        <v>2847</v>
      </c>
    </row>
    <row r="88" ht="12.75" customHeight="1">
      <c r="A88" s="5" t="s">
        <v>2848</v>
      </c>
      <c r="B88" s="7">
        <v>5.0</v>
      </c>
      <c r="C88" s="7">
        <v>15.0</v>
      </c>
      <c r="D88" s="7" t="s">
        <v>3752</v>
      </c>
      <c r="E88" s="7"/>
      <c r="G88" s="5" t="str">
        <f t="shared" si="1"/>
        <v>5, 15, KRABBY</v>
      </c>
      <c r="I88" s="5" t="s">
        <v>2848</v>
      </c>
    </row>
    <row r="89" ht="12.75" customHeight="1">
      <c r="A89" s="5" t="s">
        <v>2849</v>
      </c>
      <c r="B89" s="7">
        <v>5.0</v>
      </c>
      <c r="C89" s="7">
        <v>15.0</v>
      </c>
      <c r="D89" s="7" t="s">
        <v>3751</v>
      </c>
      <c r="E89" s="7"/>
      <c r="G89" s="5" t="str">
        <f t="shared" si="1"/>
        <v>5, 15, MAGIKARP</v>
      </c>
      <c r="I89" s="5" t="s">
        <v>2849</v>
      </c>
    </row>
    <row r="90" ht="12.75" customHeight="1">
      <c r="A90" s="5" t="s">
        <v>2850</v>
      </c>
      <c r="B90" s="7">
        <v>5.0</v>
      </c>
      <c r="C90" s="7">
        <v>15.0</v>
      </c>
      <c r="D90" s="7" t="s">
        <v>3753</v>
      </c>
      <c r="E90" s="7"/>
      <c r="G90" s="5" t="str">
        <f t="shared" si="1"/>
        <v>5, 15, HORSEA</v>
      </c>
      <c r="I90" s="5" t="s">
        <v>2850</v>
      </c>
    </row>
    <row r="91" ht="12.75" customHeight="1">
      <c r="A91" s="5" t="s">
        <v>2851</v>
      </c>
      <c r="B91" s="7" t="s">
        <v>2851</v>
      </c>
      <c r="C91" s="7"/>
      <c r="D91" s="7"/>
      <c r="E91" s="7"/>
      <c r="G91" s="5" t="str">
        <f t="shared" si="1"/>
        <v>super rod:</v>
      </c>
      <c r="I91" s="5" t="s">
        <v>2851</v>
      </c>
    </row>
    <row r="92" ht="12.75" customHeight="1">
      <c r="A92" s="5" t="s">
        <v>2852</v>
      </c>
      <c r="B92" s="7">
        <v>15.0</v>
      </c>
      <c r="C92" s="7">
        <v>25.0</v>
      </c>
      <c r="D92" s="7" t="s">
        <v>3752</v>
      </c>
      <c r="E92" s="7"/>
      <c r="G92" s="5" t="str">
        <f t="shared" si="1"/>
        <v>15, 25, KRABBY</v>
      </c>
      <c r="I92" s="5" t="s">
        <v>2852</v>
      </c>
    </row>
    <row r="93" ht="12.75" customHeight="1">
      <c r="A93" s="5" t="s">
        <v>2853</v>
      </c>
      <c r="B93" s="7">
        <v>15.0</v>
      </c>
      <c r="C93" s="7">
        <v>25.0</v>
      </c>
      <c r="D93" s="7" t="s">
        <v>3754</v>
      </c>
      <c r="E93" s="7"/>
      <c r="G93" s="5" t="str">
        <f t="shared" si="1"/>
        <v>15, 25, STARYU</v>
      </c>
      <c r="I93" s="5" t="s">
        <v>2853</v>
      </c>
    </row>
    <row r="94" ht="12.75" customHeight="1">
      <c r="A94" s="5" t="s">
        <v>2854</v>
      </c>
      <c r="B94" s="7">
        <v>15.0</v>
      </c>
      <c r="C94" s="7">
        <v>25.0</v>
      </c>
      <c r="D94" s="7" t="s">
        <v>3755</v>
      </c>
      <c r="E94" s="7"/>
      <c r="G94" s="5" t="str">
        <f t="shared" si="1"/>
        <v>15, 25, GYARADOS</v>
      </c>
      <c r="I94" s="5" t="s">
        <v>2854</v>
      </c>
    </row>
    <row r="95" ht="12.75" customHeight="1">
      <c r="A95" s="5" t="s">
        <v>2855</v>
      </c>
      <c r="B95" s="7">
        <v>25.0</v>
      </c>
      <c r="C95" s="7">
        <v>35.0</v>
      </c>
      <c r="D95" s="7" t="s">
        <v>3752</v>
      </c>
      <c r="E95" s="7"/>
      <c r="G95" s="5" t="str">
        <f t="shared" si="1"/>
        <v>25, 35, KRABBY</v>
      </c>
      <c r="I95" s="5" t="s">
        <v>2855</v>
      </c>
    </row>
    <row r="96" ht="12.75" customHeight="1">
      <c r="A96" s="5" t="s">
        <v>2856</v>
      </c>
      <c r="B96" s="7">
        <v>25.0</v>
      </c>
      <c r="C96" s="7">
        <v>35.0</v>
      </c>
      <c r="D96" s="7" t="s">
        <v>3756</v>
      </c>
      <c r="E96" s="7"/>
      <c r="G96" s="5" t="str">
        <f t="shared" si="1"/>
        <v>25, 35, SLOWPOKE</v>
      </c>
      <c r="I96" s="5" t="s">
        <v>2856</v>
      </c>
    </row>
    <row r="97" ht="12.75" customHeight="1">
      <c r="A97" s="5" t="s">
        <v>2539</v>
      </c>
      <c r="B97" s="7" t="s">
        <v>2539</v>
      </c>
      <c r="C97" s="7"/>
      <c r="D97" s="7"/>
      <c r="E97" s="7"/>
      <c r="G97" s="5" t="str">
        <f t="shared" si="1"/>
        <v>NEW ROUTE</v>
      </c>
      <c r="I97" s="5" t="s">
        <v>2539</v>
      </c>
    </row>
    <row r="98" ht="12.75" customHeight="1">
      <c r="A98" s="5" t="s">
        <v>1563</v>
      </c>
      <c r="B98" s="7" t="s">
        <v>1563</v>
      </c>
      <c r="C98" s="7"/>
      <c r="D98" s="7"/>
      <c r="E98" s="7"/>
      <c r="G98" s="5" t="str">
        <f t="shared" si="1"/>
        <v>Diglett's Cave B1F</v>
      </c>
      <c r="I98" s="5" t="s">
        <v>1563</v>
      </c>
    </row>
    <row r="99" ht="12.75" customHeight="1">
      <c r="A99" s="5">
        <v>0.2</v>
      </c>
      <c r="B99" s="5">
        <v>0.2</v>
      </c>
      <c r="C99" s="7"/>
      <c r="D99" s="7"/>
      <c r="E99" s="7"/>
      <c r="G99" s="5">
        <f t="shared" si="1"/>
        <v>0.2</v>
      </c>
      <c r="I99" s="5">
        <v>0.2</v>
      </c>
    </row>
    <row r="100" ht="12.75" customHeight="1">
      <c r="A100" s="5" t="s">
        <v>430</v>
      </c>
      <c r="B100" s="7">
        <v>18.0</v>
      </c>
      <c r="C100" s="7">
        <v>18.0</v>
      </c>
      <c r="D100" s="7" t="s">
        <v>3757</v>
      </c>
      <c r="E100" s="7"/>
      <c r="G100" s="5" t="str">
        <f t="shared" si="1"/>
        <v>18, 18, DIGLETT</v>
      </c>
      <c r="I100" s="5" t="s">
        <v>430</v>
      </c>
    </row>
    <row r="101" ht="12.75" customHeight="1">
      <c r="A101" s="5" t="s">
        <v>2858</v>
      </c>
      <c r="B101" s="7">
        <v>19.0</v>
      </c>
      <c r="C101" s="7">
        <v>19.0</v>
      </c>
      <c r="D101" s="7" t="s">
        <v>3757</v>
      </c>
      <c r="E101" s="7"/>
      <c r="G101" s="5" t="str">
        <f t="shared" si="1"/>
        <v>19, 19, DIGLETT</v>
      </c>
      <c r="I101" s="5" t="s">
        <v>2858</v>
      </c>
    </row>
    <row r="102" ht="12.75" customHeight="1">
      <c r="A102" s="5">
        <v>0.1</v>
      </c>
      <c r="B102" s="5">
        <v>0.1</v>
      </c>
      <c r="C102" s="7"/>
      <c r="D102" s="7"/>
      <c r="E102" s="7"/>
      <c r="G102" s="5">
        <f t="shared" si="1"/>
        <v>0.1</v>
      </c>
      <c r="I102" s="5">
        <v>0.1</v>
      </c>
    </row>
    <row r="103" ht="12.75" customHeight="1">
      <c r="A103" s="5" t="s">
        <v>2859</v>
      </c>
      <c r="B103" s="7">
        <v>20.0</v>
      </c>
      <c r="C103" s="7">
        <v>20.0</v>
      </c>
      <c r="D103" s="7" t="s">
        <v>3757</v>
      </c>
      <c r="E103" s="7"/>
      <c r="G103" s="5" t="str">
        <f t="shared" si="1"/>
        <v>20, 20, DIGLETT</v>
      </c>
      <c r="I103" s="5" t="s">
        <v>2859</v>
      </c>
    </row>
    <row r="104" ht="12.75" customHeight="1">
      <c r="A104" s="5" t="s">
        <v>2860</v>
      </c>
      <c r="B104" s="7">
        <v>21.0</v>
      </c>
      <c r="C104" s="7">
        <v>21.0</v>
      </c>
      <c r="D104" s="7" t="s">
        <v>3757</v>
      </c>
      <c r="E104" s="7"/>
      <c r="G104" s="5" t="str">
        <f t="shared" si="1"/>
        <v>21, 21, DIGLETT</v>
      </c>
      <c r="I104" s="5" t="s">
        <v>2860</v>
      </c>
    </row>
    <row r="105" ht="12.75" customHeight="1">
      <c r="A105" s="5" t="s">
        <v>2861</v>
      </c>
      <c r="B105" s="7">
        <v>22.0</v>
      </c>
      <c r="C105" s="7">
        <v>22.0</v>
      </c>
      <c r="D105" s="7" t="s">
        <v>3757</v>
      </c>
      <c r="E105" s="7"/>
      <c r="G105" s="5" t="str">
        <f t="shared" si="1"/>
        <v>22, 22, DIGLETT</v>
      </c>
      <c r="I105" s="5" t="s">
        <v>2861</v>
      </c>
    </row>
    <row r="106" ht="12.75" customHeight="1">
      <c r="A106" s="5" t="s">
        <v>2862</v>
      </c>
      <c r="B106" s="7">
        <v>19.0</v>
      </c>
      <c r="C106" s="7">
        <v>19.0</v>
      </c>
      <c r="D106" s="7" t="s">
        <v>3758</v>
      </c>
      <c r="E106" s="7"/>
      <c r="G106" s="5" t="str">
        <f t="shared" si="1"/>
        <v>19, 19, DUGTRIO</v>
      </c>
      <c r="I106" s="5" t="s">
        <v>2862</v>
      </c>
    </row>
    <row r="107" ht="12.75" customHeight="1">
      <c r="A107" s="5">
        <v>0.05</v>
      </c>
      <c r="B107" s="5">
        <v>0.05</v>
      </c>
      <c r="C107" s="7"/>
      <c r="D107" s="7"/>
      <c r="E107" s="7"/>
      <c r="G107" s="5">
        <f t="shared" si="1"/>
        <v>0.05</v>
      </c>
      <c r="I107" s="5">
        <v>0.05</v>
      </c>
    </row>
    <row r="108" ht="12.75" customHeight="1">
      <c r="A108" s="5" t="s">
        <v>2863</v>
      </c>
      <c r="B108" s="7">
        <v>23.0</v>
      </c>
      <c r="C108" s="7">
        <v>23.0</v>
      </c>
      <c r="D108" s="7" t="s">
        <v>3757</v>
      </c>
      <c r="E108" s="7"/>
      <c r="G108" s="5" t="str">
        <f t="shared" si="1"/>
        <v>23, 23, DIGLETT</v>
      </c>
      <c r="I108" s="5" t="s">
        <v>2863</v>
      </c>
    </row>
    <row r="109" ht="12.75" customHeight="1">
      <c r="A109" s="5" t="s">
        <v>2864</v>
      </c>
      <c r="B109" s="7">
        <v>24.0</v>
      </c>
      <c r="C109" s="7">
        <v>24.0</v>
      </c>
      <c r="D109" s="7" t="s">
        <v>3757</v>
      </c>
      <c r="E109" s="7"/>
      <c r="G109" s="5" t="str">
        <f t="shared" si="1"/>
        <v>24, 24, DIGLETT</v>
      </c>
      <c r="I109" s="5" t="s">
        <v>2864</v>
      </c>
    </row>
    <row r="110" ht="12.75" customHeight="1">
      <c r="A110" s="5">
        <v>0.04</v>
      </c>
      <c r="B110" s="5">
        <v>0.04</v>
      </c>
      <c r="C110" s="7"/>
      <c r="D110" s="7"/>
      <c r="E110" s="7"/>
      <c r="G110" s="5">
        <f t="shared" si="1"/>
        <v>0.04</v>
      </c>
      <c r="I110" s="5">
        <v>0.04</v>
      </c>
    </row>
    <row r="111" ht="12.75" customHeight="1">
      <c r="A111" s="5" t="s">
        <v>2865</v>
      </c>
      <c r="B111" s="7">
        <v>20.0</v>
      </c>
      <c r="C111" s="7">
        <v>23.0</v>
      </c>
      <c r="D111" s="7" t="s">
        <v>3758</v>
      </c>
      <c r="E111" s="7"/>
      <c r="G111" s="5" t="str">
        <f t="shared" si="1"/>
        <v>20, 23, DUGTRIO</v>
      </c>
      <c r="I111" s="5" t="s">
        <v>2865</v>
      </c>
    </row>
    <row r="112" ht="12.75" customHeight="1">
      <c r="A112" s="5" t="s">
        <v>2866</v>
      </c>
      <c r="B112" s="7">
        <v>24.0</v>
      </c>
      <c r="C112" s="7">
        <v>26.0</v>
      </c>
      <c r="D112" s="7" t="s">
        <v>3758</v>
      </c>
      <c r="E112" s="7"/>
      <c r="G112" s="5" t="str">
        <f t="shared" si="1"/>
        <v>24, 26, DUGTRIO</v>
      </c>
      <c r="I112" s="5" t="s">
        <v>2866</v>
      </c>
    </row>
    <row r="113" ht="12.75" customHeight="1">
      <c r="A113" s="5">
        <v>0.01</v>
      </c>
      <c r="B113" s="5">
        <v>0.01</v>
      </c>
      <c r="C113" s="7"/>
      <c r="D113" s="7"/>
      <c r="E113" s="7"/>
      <c r="G113" s="5">
        <f t="shared" si="1"/>
        <v>0.01</v>
      </c>
      <c r="I113" s="5">
        <v>0.01</v>
      </c>
    </row>
    <row r="114" ht="12.75" customHeight="1">
      <c r="A114" s="5" t="s">
        <v>2867</v>
      </c>
      <c r="B114" s="7">
        <v>27.0</v>
      </c>
      <c r="C114" s="7">
        <v>28.0</v>
      </c>
      <c r="D114" s="7" t="s">
        <v>3758</v>
      </c>
      <c r="E114" s="7"/>
      <c r="G114" s="5" t="str">
        <f t="shared" si="1"/>
        <v>27, 28, DUGTRIO</v>
      </c>
      <c r="I114" s="5" t="s">
        <v>2867</v>
      </c>
    </row>
    <row r="115" ht="12.75" customHeight="1">
      <c r="A115" s="5" t="s">
        <v>3710</v>
      </c>
      <c r="B115" s="7">
        <v>30.0</v>
      </c>
      <c r="C115" s="7">
        <v>30.0</v>
      </c>
      <c r="D115" s="7" t="s">
        <v>3759</v>
      </c>
      <c r="E115" s="7"/>
      <c r="G115" s="5" t="str">
        <f t="shared" si="1"/>
        <v>30, 30, DUGROUPLE</v>
      </c>
      <c r="I115" s="5" t="s">
        <v>3710</v>
      </c>
    </row>
    <row r="116" ht="12.75" customHeight="1">
      <c r="A116" s="5" t="s">
        <v>2539</v>
      </c>
      <c r="B116" s="7" t="s">
        <v>2539</v>
      </c>
      <c r="C116" s="7"/>
      <c r="D116" s="7"/>
      <c r="E116" s="7"/>
      <c r="G116" s="5" t="str">
        <f t="shared" si="1"/>
        <v>NEW ROUTE</v>
      </c>
      <c r="I116" s="5" t="s">
        <v>2539</v>
      </c>
    </row>
    <row r="117" ht="12.75" customHeight="1">
      <c r="A117" s="5" t="s">
        <v>1572</v>
      </c>
      <c r="B117" s="7" t="s">
        <v>1572</v>
      </c>
      <c r="C117" s="7"/>
      <c r="D117" s="7"/>
      <c r="E117" s="7"/>
      <c r="G117" s="5" t="str">
        <f t="shared" si="1"/>
        <v>Victory Road 1F</v>
      </c>
      <c r="I117" s="5" t="s">
        <v>1572</v>
      </c>
    </row>
    <row r="118" ht="12.75" customHeight="1">
      <c r="A118" s="5">
        <v>0.2</v>
      </c>
      <c r="B118" s="5">
        <v>0.2</v>
      </c>
      <c r="C118" s="7"/>
      <c r="D118" s="7"/>
      <c r="E118" s="7"/>
      <c r="G118" s="5">
        <f t="shared" si="1"/>
        <v>0.2</v>
      </c>
      <c r="I118" s="5">
        <v>0.2</v>
      </c>
    </row>
    <row r="119" ht="12.75" customHeight="1">
      <c r="A119" s="5" t="s">
        <v>443</v>
      </c>
      <c r="B119" s="7">
        <v>51.0</v>
      </c>
      <c r="C119" s="7">
        <v>56.0</v>
      </c>
      <c r="D119" s="7" t="s">
        <v>3760</v>
      </c>
      <c r="E119" s="7"/>
      <c r="G119" s="5" t="str">
        <f t="shared" si="1"/>
        <v>51, 56, NOHTYP</v>
      </c>
      <c r="I119" s="5" t="s">
        <v>443</v>
      </c>
    </row>
    <row r="120" ht="12.75" customHeight="1">
      <c r="A120" s="5" t="s">
        <v>2870</v>
      </c>
      <c r="B120" s="7">
        <v>51.0</v>
      </c>
      <c r="C120" s="7">
        <v>56.0</v>
      </c>
      <c r="D120" s="7" t="s">
        <v>3761</v>
      </c>
      <c r="E120" s="7"/>
      <c r="G120" s="5" t="str">
        <f t="shared" si="1"/>
        <v>51, 56, CROBAT</v>
      </c>
      <c r="I120" s="5" t="s">
        <v>2870</v>
      </c>
    </row>
    <row r="121" ht="12.75" customHeight="1">
      <c r="A121" s="5">
        <v>0.1</v>
      </c>
      <c r="B121" s="5">
        <v>0.1</v>
      </c>
      <c r="C121" s="7"/>
      <c r="D121" s="7"/>
      <c r="E121" s="7"/>
      <c r="G121" s="5">
        <f t="shared" si="1"/>
        <v>0.1</v>
      </c>
      <c r="I121" s="5">
        <v>0.1</v>
      </c>
    </row>
    <row r="122" ht="12.75" customHeight="1">
      <c r="A122" s="5" t="s">
        <v>2871</v>
      </c>
      <c r="B122" s="7">
        <v>51.0</v>
      </c>
      <c r="C122" s="7">
        <v>56.0</v>
      </c>
      <c r="D122" s="7" t="s">
        <v>3762</v>
      </c>
      <c r="E122" s="7"/>
      <c r="G122" s="5" t="str">
        <f t="shared" si="1"/>
        <v>51, 56, MACHAMP</v>
      </c>
      <c r="I122" s="5" t="s">
        <v>2871</v>
      </c>
    </row>
    <row r="123" ht="12.75" customHeight="1">
      <c r="A123" s="5" t="s">
        <v>2872</v>
      </c>
      <c r="B123" s="7">
        <v>51.0</v>
      </c>
      <c r="C123" s="7">
        <v>56.0</v>
      </c>
      <c r="D123" s="7" t="s">
        <v>3763</v>
      </c>
      <c r="E123" s="7"/>
      <c r="G123" s="5" t="str">
        <f t="shared" si="1"/>
        <v>51, 56, GOLEM</v>
      </c>
      <c r="I123" s="5" t="s">
        <v>2872</v>
      </c>
    </row>
    <row r="124" ht="12.75" customHeight="1">
      <c r="A124" s="5" t="s">
        <v>2873</v>
      </c>
      <c r="B124" s="7">
        <v>53.0</v>
      </c>
      <c r="C124" s="7">
        <v>57.0</v>
      </c>
      <c r="D124" s="7" t="s">
        <v>3764</v>
      </c>
      <c r="E124" s="7"/>
      <c r="G124" s="5" t="str">
        <f t="shared" si="1"/>
        <v>53, 57, ADNOKANA</v>
      </c>
      <c r="I124" s="5" t="s">
        <v>2873</v>
      </c>
    </row>
    <row r="125" ht="12.75" customHeight="1">
      <c r="A125" s="5" t="s">
        <v>2874</v>
      </c>
      <c r="B125" s="7">
        <v>53.0</v>
      </c>
      <c r="C125" s="7">
        <v>57.0</v>
      </c>
      <c r="D125" s="7" t="s">
        <v>3765</v>
      </c>
      <c r="E125" s="7"/>
      <c r="G125" s="5" t="str">
        <f t="shared" si="1"/>
        <v>53, 57, POLABAT</v>
      </c>
      <c r="I125" s="5" t="s">
        <v>2874</v>
      </c>
    </row>
    <row r="126" ht="12.75" customHeight="1">
      <c r="A126" s="5">
        <v>0.05</v>
      </c>
      <c r="B126" s="5">
        <v>0.05</v>
      </c>
      <c r="C126" s="7"/>
      <c r="D126" s="7"/>
      <c r="E126" s="7"/>
      <c r="G126" s="5">
        <f t="shared" si="1"/>
        <v>0.05</v>
      </c>
      <c r="I126" s="5">
        <v>0.05</v>
      </c>
    </row>
    <row r="127" ht="12.75" customHeight="1">
      <c r="A127" s="5" t="s">
        <v>2875</v>
      </c>
      <c r="B127" s="7">
        <v>53.0</v>
      </c>
      <c r="C127" s="7">
        <v>57.0</v>
      </c>
      <c r="D127" s="7" t="s">
        <v>3766</v>
      </c>
      <c r="E127" s="7"/>
      <c r="G127" s="5" t="str">
        <f t="shared" si="1"/>
        <v>53, 57, MACHULK</v>
      </c>
      <c r="I127" s="5" t="s">
        <v>2875</v>
      </c>
    </row>
    <row r="128" ht="12.75" customHeight="1">
      <c r="A128" s="5" t="s">
        <v>2876</v>
      </c>
      <c r="B128" s="7">
        <v>53.0</v>
      </c>
      <c r="C128" s="7">
        <v>57.0</v>
      </c>
      <c r="D128" s="7" t="s">
        <v>3767</v>
      </c>
      <c r="E128" s="7"/>
      <c r="G128" s="5" t="str">
        <f t="shared" si="1"/>
        <v>53, 57, RHYMARKABL</v>
      </c>
      <c r="I128" s="5" t="s">
        <v>2876</v>
      </c>
    </row>
    <row r="129" ht="12.75" customHeight="1">
      <c r="A129" s="5">
        <v>0.04</v>
      </c>
      <c r="B129" s="5">
        <v>0.04</v>
      </c>
      <c r="C129" s="7"/>
      <c r="D129" s="7"/>
      <c r="E129" s="7"/>
      <c r="G129" s="5">
        <f t="shared" si="1"/>
        <v>0.04</v>
      </c>
      <c r="I129" s="5">
        <v>0.04</v>
      </c>
    </row>
    <row r="130" ht="12.75" customHeight="1">
      <c r="A130" s="5" t="s">
        <v>2877</v>
      </c>
      <c r="B130" s="7">
        <v>55.0</v>
      </c>
      <c r="C130" s="7">
        <v>57.0</v>
      </c>
      <c r="D130" s="7" t="s">
        <v>3768</v>
      </c>
      <c r="E130" s="7"/>
      <c r="G130" s="5" t="str">
        <f t="shared" si="1"/>
        <v>55, 57, PLATNIX</v>
      </c>
      <c r="I130" s="5" t="s">
        <v>2877</v>
      </c>
    </row>
    <row r="131" ht="12.75" customHeight="1">
      <c r="A131" s="5" t="s">
        <v>2878</v>
      </c>
      <c r="B131" s="7">
        <v>55.0</v>
      </c>
      <c r="C131" s="7">
        <v>57.0</v>
      </c>
      <c r="D131" s="7" t="s">
        <v>3769</v>
      </c>
      <c r="E131" s="7"/>
      <c r="G131" s="5" t="str">
        <f t="shared" si="1"/>
        <v>55, 57, SLAGOLEM</v>
      </c>
      <c r="I131" s="5" t="s">
        <v>2878</v>
      </c>
    </row>
    <row r="132" ht="12.75" customHeight="1">
      <c r="A132" s="5">
        <v>0.01</v>
      </c>
      <c r="B132" s="5">
        <v>0.01</v>
      </c>
      <c r="C132" s="7"/>
      <c r="D132" s="7"/>
      <c r="E132" s="7"/>
      <c r="G132" s="5">
        <f t="shared" si="1"/>
        <v>0.01</v>
      </c>
      <c r="I132" s="5">
        <v>0.01</v>
      </c>
    </row>
    <row r="133" ht="12.75" customHeight="1">
      <c r="A133" s="5" t="s">
        <v>2879</v>
      </c>
      <c r="B133" s="7">
        <v>58.0</v>
      </c>
      <c r="C133" s="7">
        <v>60.0</v>
      </c>
      <c r="D133" s="7" t="s">
        <v>3770</v>
      </c>
      <c r="E133" s="7"/>
      <c r="G133" s="5" t="str">
        <f t="shared" si="1"/>
        <v>58, 60, MOLTREM</v>
      </c>
      <c r="I133" s="5" t="s">
        <v>2879</v>
      </c>
    </row>
    <row r="134" ht="12.75" customHeight="1">
      <c r="A134" s="5" t="s">
        <v>3711</v>
      </c>
      <c r="B134" s="7">
        <v>58.0</v>
      </c>
      <c r="C134" s="7">
        <v>60.0</v>
      </c>
      <c r="D134" s="7" t="s">
        <v>3771</v>
      </c>
      <c r="E134" s="7"/>
      <c r="G134" s="5" t="str">
        <f t="shared" si="1"/>
        <v>58, 60, WRAIWRATH</v>
      </c>
      <c r="I134" s="5" t="s">
        <v>3711</v>
      </c>
    </row>
    <row r="135" ht="12.75" customHeight="1">
      <c r="A135" s="5" t="s">
        <v>2539</v>
      </c>
      <c r="B135" s="7" t="s">
        <v>2539</v>
      </c>
      <c r="C135" s="7"/>
      <c r="D135" s="7"/>
      <c r="E135" s="7"/>
      <c r="G135" s="5" t="str">
        <f t="shared" si="1"/>
        <v>NEW ROUTE</v>
      </c>
      <c r="I135" s="5" t="s">
        <v>2539</v>
      </c>
    </row>
    <row r="136" ht="12.75" customHeight="1">
      <c r="A136" s="5" t="s">
        <v>1577</v>
      </c>
      <c r="B136" s="7" t="s">
        <v>1577</v>
      </c>
      <c r="C136" s="7"/>
      <c r="D136" s="7"/>
      <c r="E136" s="7"/>
      <c r="G136" s="5" t="str">
        <f t="shared" si="1"/>
        <v>Victory Road 2F</v>
      </c>
      <c r="I136" s="5" t="s">
        <v>1577</v>
      </c>
    </row>
    <row r="137" ht="12.75" customHeight="1">
      <c r="A137" s="5">
        <v>0.2</v>
      </c>
      <c r="B137" s="5">
        <v>0.2</v>
      </c>
      <c r="C137" s="7"/>
      <c r="D137" s="7"/>
      <c r="E137" s="7"/>
      <c r="G137" s="5">
        <f t="shared" si="1"/>
        <v>0.2</v>
      </c>
      <c r="I137" s="5">
        <v>0.2</v>
      </c>
    </row>
    <row r="138" ht="12.75" customHeight="1">
      <c r="A138" s="5" t="s">
        <v>443</v>
      </c>
      <c r="B138" s="7">
        <v>51.0</v>
      </c>
      <c r="C138" s="7">
        <v>56.0</v>
      </c>
      <c r="D138" s="7" t="s">
        <v>3760</v>
      </c>
      <c r="E138" s="7"/>
      <c r="G138" s="5" t="str">
        <f t="shared" si="1"/>
        <v>51, 56, NOHTYP</v>
      </c>
      <c r="I138" s="5" t="s">
        <v>443</v>
      </c>
    </row>
    <row r="139" ht="12.75" customHeight="1">
      <c r="A139" s="5" t="s">
        <v>2870</v>
      </c>
      <c r="B139" s="7">
        <v>51.0</v>
      </c>
      <c r="C139" s="7">
        <v>56.0</v>
      </c>
      <c r="D139" s="7" t="s">
        <v>3761</v>
      </c>
      <c r="E139" s="7"/>
      <c r="G139" s="5" t="str">
        <f t="shared" si="1"/>
        <v>51, 56, CROBAT</v>
      </c>
      <c r="I139" s="5" t="s">
        <v>2870</v>
      </c>
    </row>
    <row r="140" ht="12.75" customHeight="1">
      <c r="A140" s="5">
        <v>0.1</v>
      </c>
      <c r="B140" s="5">
        <v>0.1</v>
      </c>
      <c r="C140" s="7"/>
      <c r="D140" s="7"/>
      <c r="E140" s="7"/>
      <c r="G140" s="5">
        <f t="shared" si="1"/>
        <v>0.1</v>
      </c>
      <c r="I140" s="5">
        <v>0.1</v>
      </c>
    </row>
    <row r="141" ht="12.75" customHeight="1">
      <c r="A141" s="5" t="s">
        <v>2871</v>
      </c>
      <c r="B141" s="7">
        <v>51.0</v>
      </c>
      <c r="C141" s="7">
        <v>56.0</v>
      </c>
      <c r="D141" s="7" t="s">
        <v>3762</v>
      </c>
      <c r="E141" s="7"/>
      <c r="G141" s="5" t="str">
        <f t="shared" si="1"/>
        <v>51, 56, MACHAMP</v>
      </c>
      <c r="I141" s="5" t="s">
        <v>2871</v>
      </c>
    </row>
    <row r="142" ht="12.75" customHeight="1">
      <c r="A142" s="5" t="s">
        <v>2872</v>
      </c>
      <c r="B142" s="7">
        <v>51.0</v>
      </c>
      <c r="C142" s="7">
        <v>56.0</v>
      </c>
      <c r="D142" s="7" t="s">
        <v>3763</v>
      </c>
      <c r="E142" s="7"/>
      <c r="G142" s="5" t="str">
        <f t="shared" si="1"/>
        <v>51, 56, GOLEM</v>
      </c>
      <c r="I142" s="5" t="s">
        <v>2872</v>
      </c>
    </row>
    <row r="143" ht="12.75" customHeight="1">
      <c r="A143" s="5" t="s">
        <v>2873</v>
      </c>
      <c r="B143" s="7">
        <v>53.0</v>
      </c>
      <c r="C143" s="7">
        <v>57.0</v>
      </c>
      <c r="D143" s="7" t="s">
        <v>3764</v>
      </c>
      <c r="E143" s="7"/>
      <c r="G143" s="5" t="str">
        <f t="shared" si="1"/>
        <v>53, 57, ADNOKANA</v>
      </c>
      <c r="I143" s="5" t="s">
        <v>2873</v>
      </c>
    </row>
    <row r="144" ht="12.75" customHeight="1">
      <c r="A144" s="5" t="s">
        <v>2874</v>
      </c>
      <c r="B144" s="7">
        <v>53.0</v>
      </c>
      <c r="C144" s="7">
        <v>57.0</v>
      </c>
      <c r="D144" s="7" t="s">
        <v>3765</v>
      </c>
      <c r="E144" s="7"/>
      <c r="G144" s="5" t="str">
        <f t="shared" si="1"/>
        <v>53, 57, POLABAT</v>
      </c>
      <c r="I144" s="5" t="s">
        <v>2874</v>
      </c>
    </row>
    <row r="145" ht="12.75" customHeight="1">
      <c r="A145" s="5">
        <v>0.05</v>
      </c>
      <c r="B145" s="5">
        <v>0.05</v>
      </c>
      <c r="C145" s="7"/>
      <c r="D145" s="7"/>
      <c r="E145" s="7"/>
      <c r="G145" s="5">
        <f t="shared" si="1"/>
        <v>0.05</v>
      </c>
      <c r="I145" s="5">
        <v>0.05</v>
      </c>
    </row>
    <row r="146" ht="12.75" customHeight="1">
      <c r="A146" s="5" t="s">
        <v>2875</v>
      </c>
      <c r="B146" s="7">
        <v>53.0</v>
      </c>
      <c r="C146" s="7">
        <v>57.0</v>
      </c>
      <c r="D146" s="7" t="s">
        <v>3766</v>
      </c>
      <c r="E146" s="7"/>
      <c r="G146" s="5" t="str">
        <f t="shared" si="1"/>
        <v>53, 57, MACHULK</v>
      </c>
      <c r="I146" s="5" t="s">
        <v>2875</v>
      </c>
    </row>
    <row r="147" ht="12.75" customHeight="1">
      <c r="A147" s="5" t="s">
        <v>2876</v>
      </c>
      <c r="B147" s="7">
        <v>53.0</v>
      </c>
      <c r="C147" s="7">
        <v>57.0</v>
      </c>
      <c r="D147" s="7" t="s">
        <v>3767</v>
      </c>
      <c r="E147" s="7"/>
      <c r="G147" s="5" t="str">
        <f t="shared" si="1"/>
        <v>53, 57, RHYMARKABL</v>
      </c>
      <c r="I147" s="5" t="s">
        <v>2876</v>
      </c>
    </row>
    <row r="148" ht="12.75" customHeight="1">
      <c r="A148" s="5">
        <v>0.04</v>
      </c>
      <c r="B148" s="5">
        <v>0.04</v>
      </c>
      <c r="C148" s="7"/>
      <c r="D148" s="7"/>
      <c r="E148" s="7"/>
      <c r="G148" s="5">
        <f t="shared" si="1"/>
        <v>0.04</v>
      </c>
      <c r="I148" s="5">
        <v>0.04</v>
      </c>
    </row>
    <row r="149" ht="12.75" customHeight="1">
      <c r="A149" s="5" t="s">
        <v>2877</v>
      </c>
      <c r="B149" s="7">
        <v>55.0</v>
      </c>
      <c r="C149" s="7">
        <v>57.0</v>
      </c>
      <c r="D149" s="7" t="s">
        <v>3768</v>
      </c>
      <c r="E149" s="7"/>
      <c r="G149" s="5" t="str">
        <f t="shared" si="1"/>
        <v>55, 57, PLATNIX</v>
      </c>
      <c r="I149" s="5" t="s">
        <v>2877</v>
      </c>
    </row>
    <row r="150" ht="12.75" customHeight="1">
      <c r="A150" s="5" t="s">
        <v>2878</v>
      </c>
      <c r="B150" s="7">
        <v>55.0</v>
      </c>
      <c r="C150" s="7">
        <v>57.0</v>
      </c>
      <c r="D150" s="7" t="s">
        <v>3769</v>
      </c>
      <c r="E150" s="7"/>
      <c r="G150" s="5" t="str">
        <f t="shared" si="1"/>
        <v>55, 57, SLAGOLEM</v>
      </c>
      <c r="I150" s="5" t="s">
        <v>2878</v>
      </c>
    </row>
    <row r="151" ht="12.75" customHeight="1">
      <c r="A151" s="5">
        <v>0.01</v>
      </c>
      <c r="B151" s="5">
        <v>0.01</v>
      </c>
      <c r="C151" s="7"/>
      <c r="D151" s="7"/>
      <c r="E151" s="7"/>
      <c r="G151" s="5">
        <f t="shared" si="1"/>
        <v>0.01</v>
      </c>
      <c r="I151" s="5">
        <v>0.01</v>
      </c>
    </row>
    <row r="152" ht="12.75" customHeight="1">
      <c r="A152" s="5" t="s">
        <v>2882</v>
      </c>
      <c r="B152" s="7">
        <v>59.0</v>
      </c>
      <c r="C152" s="7">
        <v>61.0</v>
      </c>
      <c r="D152" s="7" t="s">
        <v>3770</v>
      </c>
      <c r="E152" s="7"/>
      <c r="G152" s="5" t="str">
        <f t="shared" si="1"/>
        <v>59, 61, MOLTREM</v>
      </c>
      <c r="I152" s="5" t="s">
        <v>2882</v>
      </c>
    </row>
    <row r="153" ht="12.75" customHeight="1">
      <c r="A153" s="5" t="s">
        <v>3712</v>
      </c>
      <c r="B153" s="7">
        <v>59.0</v>
      </c>
      <c r="C153" s="7">
        <v>61.0</v>
      </c>
      <c r="D153" s="7" t="s">
        <v>3772</v>
      </c>
      <c r="E153" s="7"/>
      <c r="G153" s="5" t="str">
        <f t="shared" si="1"/>
        <v>59, 61, FERODILLO</v>
      </c>
      <c r="I153" s="5" t="s">
        <v>3712</v>
      </c>
    </row>
    <row r="154" ht="12.75" customHeight="1">
      <c r="A154" s="5" t="s">
        <v>2539</v>
      </c>
      <c r="B154" s="7" t="s">
        <v>2539</v>
      </c>
      <c r="C154" s="7"/>
      <c r="D154" s="7"/>
      <c r="E154" s="7"/>
      <c r="G154" s="5" t="str">
        <f t="shared" si="1"/>
        <v>NEW ROUTE</v>
      </c>
      <c r="I154" s="5" t="s">
        <v>2539</v>
      </c>
    </row>
    <row r="155" ht="12.75" customHeight="1">
      <c r="A155" s="5" t="s">
        <v>1582</v>
      </c>
      <c r="B155" s="7" t="s">
        <v>1582</v>
      </c>
      <c r="C155" s="7"/>
      <c r="D155" s="7"/>
      <c r="E155" s="7"/>
      <c r="G155" s="5" t="str">
        <f t="shared" si="1"/>
        <v>Victory Road 3F</v>
      </c>
      <c r="I155" s="5" t="s">
        <v>1582</v>
      </c>
    </row>
    <row r="156" ht="12.75" customHeight="1">
      <c r="A156" s="5">
        <v>0.2</v>
      </c>
      <c r="B156" s="5">
        <v>0.2</v>
      </c>
      <c r="C156" s="7"/>
      <c r="D156" s="7"/>
      <c r="E156" s="7"/>
      <c r="G156" s="5">
        <f t="shared" si="1"/>
        <v>0.2</v>
      </c>
      <c r="I156" s="5">
        <v>0.2</v>
      </c>
    </row>
    <row r="157" ht="12.75" customHeight="1">
      <c r="A157" s="5" t="s">
        <v>443</v>
      </c>
      <c r="B157" s="7">
        <v>51.0</v>
      </c>
      <c r="C157" s="7">
        <v>56.0</v>
      </c>
      <c r="D157" s="7" t="s">
        <v>3760</v>
      </c>
      <c r="E157" s="7"/>
      <c r="G157" s="5" t="str">
        <f t="shared" si="1"/>
        <v>51, 56, NOHTYP</v>
      </c>
      <c r="I157" s="5" t="s">
        <v>443</v>
      </c>
    </row>
    <row r="158" ht="12.75" customHeight="1">
      <c r="A158" s="5" t="s">
        <v>2870</v>
      </c>
      <c r="B158" s="7">
        <v>51.0</v>
      </c>
      <c r="C158" s="7">
        <v>56.0</v>
      </c>
      <c r="D158" s="7" t="s">
        <v>3761</v>
      </c>
      <c r="E158" s="7"/>
      <c r="G158" s="5" t="str">
        <f t="shared" si="1"/>
        <v>51, 56, CROBAT</v>
      </c>
      <c r="I158" s="5" t="s">
        <v>2870</v>
      </c>
    </row>
    <row r="159" ht="12.75" customHeight="1">
      <c r="A159" s="5">
        <v>0.1</v>
      </c>
      <c r="B159" s="5">
        <v>0.1</v>
      </c>
      <c r="C159" s="7"/>
      <c r="D159" s="7"/>
      <c r="E159" s="7"/>
      <c r="G159" s="5">
        <f t="shared" si="1"/>
        <v>0.1</v>
      </c>
      <c r="I159" s="5">
        <v>0.1</v>
      </c>
    </row>
    <row r="160" ht="12.75" customHeight="1">
      <c r="A160" s="5" t="s">
        <v>2871</v>
      </c>
      <c r="B160" s="7">
        <v>51.0</v>
      </c>
      <c r="C160" s="7">
        <v>56.0</v>
      </c>
      <c r="D160" s="7" t="s">
        <v>3762</v>
      </c>
      <c r="E160" s="7"/>
      <c r="G160" s="5" t="str">
        <f t="shared" si="1"/>
        <v>51, 56, MACHAMP</v>
      </c>
      <c r="I160" s="5" t="s">
        <v>2871</v>
      </c>
    </row>
    <row r="161" ht="12.75" customHeight="1">
      <c r="A161" s="5" t="s">
        <v>2872</v>
      </c>
      <c r="B161" s="7">
        <v>51.0</v>
      </c>
      <c r="C161" s="7">
        <v>56.0</v>
      </c>
      <c r="D161" s="7" t="s">
        <v>3763</v>
      </c>
      <c r="E161" s="7"/>
      <c r="G161" s="5" t="str">
        <f t="shared" si="1"/>
        <v>51, 56, GOLEM</v>
      </c>
      <c r="I161" s="5" t="s">
        <v>2872</v>
      </c>
    </row>
    <row r="162" ht="12.75" customHeight="1">
      <c r="A162" s="5" t="s">
        <v>2873</v>
      </c>
      <c r="B162" s="7">
        <v>53.0</v>
      </c>
      <c r="C162" s="7">
        <v>57.0</v>
      </c>
      <c r="D162" s="7" t="s">
        <v>3764</v>
      </c>
      <c r="E162" s="7"/>
      <c r="G162" s="5" t="str">
        <f t="shared" si="1"/>
        <v>53, 57, ADNOKANA</v>
      </c>
      <c r="I162" s="5" t="s">
        <v>2873</v>
      </c>
    </row>
    <row r="163" ht="12.75" customHeight="1">
      <c r="A163" s="5" t="s">
        <v>2874</v>
      </c>
      <c r="B163" s="7">
        <v>53.0</v>
      </c>
      <c r="C163" s="7">
        <v>57.0</v>
      </c>
      <c r="D163" s="7" t="s">
        <v>3765</v>
      </c>
      <c r="E163" s="7"/>
      <c r="G163" s="5" t="str">
        <f t="shared" si="1"/>
        <v>53, 57, POLABAT</v>
      </c>
      <c r="I163" s="5" t="s">
        <v>2874</v>
      </c>
    </row>
    <row r="164" ht="12.75" customHeight="1">
      <c r="A164" s="5">
        <v>0.05</v>
      </c>
      <c r="B164" s="5">
        <v>0.05</v>
      </c>
      <c r="C164" s="7"/>
      <c r="D164" s="7"/>
      <c r="E164" s="7"/>
      <c r="G164" s="5">
        <f t="shared" si="1"/>
        <v>0.05</v>
      </c>
      <c r="I164" s="5">
        <v>0.05</v>
      </c>
    </row>
    <row r="165" ht="12.75" customHeight="1">
      <c r="A165" s="5" t="s">
        <v>2875</v>
      </c>
      <c r="B165" s="7">
        <v>53.0</v>
      </c>
      <c r="C165" s="7">
        <v>57.0</v>
      </c>
      <c r="D165" s="7" t="s">
        <v>3766</v>
      </c>
      <c r="E165" s="7"/>
      <c r="G165" s="5" t="str">
        <f t="shared" si="1"/>
        <v>53, 57, MACHULK</v>
      </c>
      <c r="I165" s="5" t="s">
        <v>2875</v>
      </c>
    </row>
    <row r="166" ht="12.75" customHeight="1">
      <c r="A166" s="5" t="s">
        <v>2876</v>
      </c>
      <c r="B166" s="7">
        <v>53.0</v>
      </c>
      <c r="C166" s="7">
        <v>57.0</v>
      </c>
      <c r="D166" s="7" t="s">
        <v>3767</v>
      </c>
      <c r="E166" s="7"/>
      <c r="G166" s="5" t="str">
        <f t="shared" si="1"/>
        <v>53, 57, RHYMARKABL</v>
      </c>
      <c r="I166" s="5" t="s">
        <v>2876</v>
      </c>
    </row>
    <row r="167" ht="12.75" customHeight="1">
      <c r="A167" s="5">
        <v>0.04</v>
      </c>
      <c r="B167" s="5">
        <v>0.04</v>
      </c>
      <c r="C167" s="7"/>
      <c r="D167" s="7"/>
      <c r="E167" s="7"/>
      <c r="G167" s="5">
        <f t="shared" si="1"/>
        <v>0.04</v>
      </c>
      <c r="I167" s="5">
        <v>0.04</v>
      </c>
    </row>
    <row r="168" ht="12.75" customHeight="1">
      <c r="A168" s="5" t="s">
        <v>2877</v>
      </c>
      <c r="B168" s="7">
        <v>55.0</v>
      </c>
      <c r="C168" s="7">
        <v>57.0</v>
      </c>
      <c r="D168" s="7" t="s">
        <v>3768</v>
      </c>
      <c r="E168" s="7"/>
      <c r="G168" s="5" t="str">
        <f t="shared" si="1"/>
        <v>55, 57, PLATNIX</v>
      </c>
      <c r="I168" s="5" t="s">
        <v>2877</v>
      </c>
    </row>
    <row r="169" ht="12.75" customHeight="1">
      <c r="A169" s="5" t="s">
        <v>2878</v>
      </c>
      <c r="B169" s="7">
        <v>55.0</v>
      </c>
      <c r="C169" s="7">
        <v>57.0</v>
      </c>
      <c r="D169" s="7" t="s">
        <v>3769</v>
      </c>
      <c r="E169" s="7"/>
      <c r="G169" s="5" t="str">
        <f t="shared" si="1"/>
        <v>55, 57, SLAGOLEM</v>
      </c>
      <c r="I169" s="5" t="s">
        <v>2878</v>
      </c>
    </row>
    <row r="170" ht="12.75" customHeight="1">
      <c r="A170" s="5">
        <v>0.01</v>
      </c>
      <c r="B170" s="5">
        <v>0.01</v>
      </c>
      <c r="C170" s="7"/>
      <c r="D170" s="7"/>
      <c r="E170" s="7"/>
      <c r="G170" s="5">
        <f t="shared" si="1"/>
        <v>0.01</v>
      </c>
      <c r="I170" s="5">
        <v>0.01</v>
      </c>
    </row>
    <row r="171" ht="12.75" customHeight="1">
      <c r="A171" s="5" t="s">
        <v>2885</v>
      </c>
      <c r="B171" s="7">
        <v>60.0</v>
      </c>
      <c r="C171" s="7">
        <v>62.0</v>
      </c>
      <c r="D171" s="7" t="s">
        <v>3770</v>
      </c>
      <c r="E171" s="7"/>
      <c r="G171" s="5" t="str">
        <f t="shared" si="1"/>
        <v>60, 62, MOLTREM</v>
      </c>
      <c r="I171" s="5" t="s">
        <v>2885</v>
      </c>
    </row>
    <row r="172" ht="12.75" customHeight="1">
      <c r="A172" s="5" t="s">
        <v>3713</v>
      </c>
      <c r="B172" s="7">
        <v>60.0</v>
      </c>
      <c r="C172" s="7">
        <v>62.0</v>
      </c>
      <c r="D172" s="7" t="s">
        <v>3773</v>
      </c>
      <c r="E172" s="7"/>
      <c r="G172" s="5" t="str">
        <f t="shared" si="1"/>
        <v>60, 62, CLAYMOR</v>
      </c>
      <c r="I172" s="5" t="s">
        <v>3713</v>
      </c>
    </row>
    <row r="173" ht="12.75" customHeight="1">
      <c r="A173" s="5" t="s">
        <v>2539</v>
      </c>
      <c r="B173" s="7" t="s">
        <v>2539</v>
      </c>
      <c r="C173" s="7"/>
      <c r="D173" s="7"/>
      <c r="E173" s="7"/>
      <c r="G173" s="5" t="str">
        <f t="shared" si="1"/>
        <v>NEW ROUTE</v>
      </c>
      <c r="I173" s="5" t="s">
        <v>2539</v>
      </c>
    </row>
    <row r="174" ht="12.75" customHeight="1">
      <c r="A174" s="5" t="s">
        <v>1663</v>
      </c>
      <c r="B174" s="7" t="s">
        <v>1663</v>
      </c>
      <c r="C174" s="7"/>
      <c r="D174" s="7"/>
      <c r="E174" s="7"/>
      <c r="G174" s="5" t="str">
        <f t="shared" si="1"/>
        <v>Pokémon Mansion 1F</v>
      </c>
      <c r="I174" s="5" t="s">
        <v>1663</v>
      </c>
    </row>
    <row r="175" ht="12.75" customHeight="1">
      <c r="A175" s="5">
        <v>0.2</v>
      </c>
      <c r="B175" s="5">
        <v>0.2</v>
      </c>
      <c r="C175" s="7"/>
      <c r="D175" s="7"/>
      <c r="E175" s="7"/>
      <c r="G175" s="5">
        <f t="shared" si="1"/>
        <v>0.2</v>
      </c>
      <c r="I175" s="5">
        <v>0.2</v>
      </c>
    </row>
    <row r="176" ht="12.75" customHeight="1">
      <c r="A176" s="5" t="s">
        <v>462</v>
      </c>
      <c r="B176" s="7">
        <v>40.0</v>
      </c>
      <c r="C176" s="7">
        <v>44.0</v>
      </c>
      <c r="D176" s="7" t="s">
        <v>3774</v>
      </c>
      <c r="E176" s="7"/>
      <c r="G176" s="5" t="str">
        <f t="shared" si="1"/>
        <v>40, 44, RATTCHET</v>
      </c>
      <c r="I176" s="5" t="s">
        <v>462</v>
      </c>
    </row>
    <row r="177" ht="12.75" customHeight="1">
      <c r="A177" s="5" t="s">
        <v>2888</v>
      </c>
      <c r="B177" s="7">
        <v>40.0</v>
      </c>
      <c r="C177" s="7">
        <v>44.0</v>
      </c>
      <c r="D177" s="7" t="s">
        <v>3775</v>
      </c>
      <c r="E177" s="7"/>
      <c r="G177" s="5" t="str">
        <f t="shared" si="1"/>
        <v>40, 44, NINETALES</v>
      </c>
      <c r="I177" s="5" t="s">
        <v>2888</v>
      </c>
    </row>
    <row r="178" ht="12.75" customHeight="1">
      <c r="A178" s="5">
        <v>0.1</v>
      </c>
      <c r="B178" s="5">
        <v>0.1</v>
      </c>
      <c r="C178" s="7"/>
      <c r="D178" s="7"/>
      <c r="E178" s="7"/>
      <c r="G178" s="5">
        <f t="shared" si="1"/>
        <v>0.1</v>
      </c>
      <c r="I178" s="5">
        <v>0.1</v>
      </c>
    </row>
    <row r="179" ht="12.75" customHeight="1">
      <c r="A179" s="5" t="s">
        <v>2889</v>
      </c>
      <c r="B179" s="7">
        <v>41.0</v>
      </c>
      <c r="C179" s="7">
        <v>42.0</v>
      </c>
      <c r="D179" s="7" t="s">
        <v>3776</v>
      </c>
      <c r="E179" s="7"/>
      <c r="G179" s="5" t="str">
        <f t="shared" si="1"/>
        <v>41, 42, ARCANINE</v>
      </c>
      <c r="I179" s="5" t="s">
        <v>2889</v>
      </c>
    </row>
    <row r="180" ht="12.75" customHeight="1">
      <c r="A180" s="5" t="s">
        <v>2890</v>
      </c>
      <c r="B180" s="7">
        <v>43.0</v>
      </c>
      <c r="C180" s="7">
        <v>44.0</v>
      </c>
      <c r="D180" s="7" t="s">
        <v>3776</v>
      </c>
      <c r="E180" s="7"/>
      <c r="G180" s="5" t="str">
        <f t="shared" si="1"/>
        <v>43, 44, ARCANINE</v>
      </c>
      <c r="I180" s="5" t="s">
        <v>2890</v>
      </c>
    </row>
    <row r="181" ht="12.75" customHeight="1">
      <c r="A181" s="5" t="s">
        <v>2891</v>
      </c>
      <c r="B181" s="7">
        <v>42.0</v>
      </c>
      <c r="C181" s="7">
        <v>44.0</v>
      </c>
      <c r="D181" s="7" t="s">
        <v>3777</v>
      </c>
      <c r="E181" s="7"/>
      <c r="G181" s="5" t="str">
        <f t="shared" si="1"/>
        <v>42, 44, WEEZING</v>
      </c>
      <c r="I181" s="5" t="s">
        <v>2891</v>
      </c>
    </row>
    <row r="182" ht="12.75" customHeight="1">
      <c r="A182" s="5" t="s">
        <v>2892</v>
      </c>
      <c r="B182" s="7">
        <v>42.0</v>
      </c>
      <c r="C182" s="7">
        <v>44.0</v>
      </c>
      <c r="D182" s="7" t="s">
        <v>3778</v>
      </c>
      <c r="E182" s="7"/>
      <c r="G182" s="5" t="str">
        <f t="shared" si="1"/>
        <v>42, 44, MUK</v>
      </c>
      <c r="I182" s="5" t="s">
        <v>2892</v>
      </c>
    </row>
    <row r="183" ht="12.75" customHeight="1">
      <c r="A183" s="5">
        <v>0.05</v>
      </c>
      <c r="B183" s="5">
        <v>0.05</v>
      </c>
      <c r="C183" s="7"/>
      <c r="D183" s="7"/>
      <c r="E183" s="7"/>
      <c r="G183" s="5">
        <f t="shared" si="1"/>
        <v>0.05</v>
      </c>
      <c r="I183" s="5">
        <v>0.05</v>
      </c>
    </row>
    <row r="184" ht="12.75" customHeight="1">
      <c r="A184" s="5" t="s">
        <v>2893</v>
      </c>
      <c r="B184" s="7">
        <v>43.0</v>
      </c>
      <c r="C184" s="7">
        <v>45.0</v>
      </c>
      <c r="D184" s="7" t="s">
        <v>3779</v>
      </c>
      <c r="E184" s="7"/>
      <c r="G184" s="5" t="str">
        <f t="shared" si="1"/>
        <v>43, 45, SINGESHA</v>
      </c>
      <c r="I184" s="5" t="s">
        <v>2893</v>
      </c>
    </row>
    <row r="185" ht="12.75" customHeight="1">
      <c r="A185" s="5" t="s">
        <v>2894</v>
      </c>
      <c r="B185" s="7">
        <v>43.0</v>
      </c>
      <c r="C185" s="7">
        <v>45.0</v>
      </c>
      <c r="D185" s="7" t="s">
        <v>3780</v>
      </c>
      <c r="E185" s="7"/>
      <c r="G185" s="5" t="str">
        <f t="shared" si="1"/>
        <v>43, 45, SPIRITALES</v>
      </c>
      <c r="I185" s="5" t="s">
        <v>2894</v>
      </c>
    </row>
    <row r="186" ht="12.75" customHeight="1">
      <c r="A186" s="5">
        <v>0.04</v>
      </c>
      <c r="B186" s="5">
        <v>0.04</v>
      </c>
      <c r="C186" s="7"/>
      <c r="D186" s="7"/>
      <c r="E186" s="7"/>
      <c r="G186" s="5">
        <f t="shared" si="1"/>
        <v>0.04</v>
      </c>
      <c r="I186" s="5">
        <v>0.04</v>
      </c>
    </row>
    <row r="187" ht="12.75" customHeight="1">
      <c r="A187" s="5" t="s">
        <v>2895</v>
      </c>
      <c r="B187" s="7">
        <v>45.0</v>
      </c>
      <c r="C187" s="7">
        <v>46.0</v>
      </c>
      <c r="D187" s="7" t="s">
        <v>3781</v>
      </c>
      <c r="E187" s="7"/>
      <c r="G187" s="5" t="str">
        <f t="shared" si="1"/>
        <v>45, 46, GUNK</v>
      </c>
      <c r="I187" s="5" t="s">
        <v>2895</v>
      </c>
    </row>
    <row r="188" ht="12.75" customHeight="1">
      <c r="A188" s="5" t="s">
        <v>2896</v>
      </c>
      <c r="B188" s="7">
        <v>45.0</v>
      </c>
      <c r="C188" s="7">
        <v>46.0</v>
      </c>
      <c r="D188" s="7" t="s">
        <v>3782</v>
      </c>
      <c r="E188" s="7"/>
      <c r="G188" s="5" t="str">
        <f t="shared" si="1"/>
        <v>45, 46, HEEVING</v>
      </c>
      <c r="I188" s="5" t="s">
        <v>2896</v>
      </c>
    </row>
    <row r="189" ht="12.75" customHeight="1">
      <c r="A189" s="5">
        <v>0.01</v>
      </c>
      <c r="B189" s="5">
        <v>0.01</v>
      </c>
      <c r="C189" s="7"/>
      <c r="D189" s="7"/>
      <c r="E189" s="7"/>
      <c r="G189" s="5">
        <f t="shared" si="1"/>
        <v>0.01</v>
      </c>
      <c r="I189" s="5">
        <v>0.01</v>
      </c>
    </row>
    <row r="190" ht="12.75" customHeight="1">
      <c r="A190" s="5" t="s">
        <v>2897</v>
      </c>
      <c r="B190" s="7">
        <v>44.0</v>
      </c>
      <c r="C190" s="7">
        <v>47.0</v>
      </c>
      <c r="D190" s="7" t="s">
        <v>3783</v>
      </c>
      <c r="E190" s="7"/>
      <c r="G190" s="5" t="str">
        <f t="shared" si="1"/>
        <v>44, 47, RATTARULE</v>
      </c>
      <c r="I190" s="5" t="s">
        <v>2897</v>
      </c>
    </row>
    <row r="191" ht="12.75" customHeight="1">
      <c r="A191" s="5" t="s">
        <v>3714</v>
      </c>
      <c r="B191" s="7">
        <v>20.0</v>
      </c>
      <c r="C191" s="7">
        <v>25.0</v>
      </c>
      <c r="D191" s="7" t="s">
        <v>3784</v>
      </c>
      <c r="E191" s="7"/>
      <c r="G191" s="5" t="str">
        <f t="shared" si="1"/>
        <v>20, 25, CHARMANDER</v>
      </c>
      <c r="I191" s="5" t="s">
        <v>3714</v>
      </c>
    </row>
    <row r="192" ht="12.75" customHeight="1">
      <c r="A192" s="5" t="s">
        <v>2539</v>
      </c>
      <c r="B192" s="7" t="s">
        <v>2539</v>
      </c>
      <c r="C192" s="7"/>
      <c r="D192" s="7"/>
      <c r="E192" s="7"/>
      <c r="G192" s="5" t="str">
        <f t="shared" si="1"/>
        <v>NEW ROUTE</v>
      </c>
      <c r="I192" s="5" t="s">
        <v>2539</v>
      </c>
    </row>
    <row r="193" ht="12.75" customHeight="1">
      <c r="A193" s="5" t="s">
        <v>1667</v>
      </c>
      <c r="B193" s="7" t="s">
        <v>1667</v>
      </c>
      <c r="C193" s="7"/>
      <c r="D193" s="7"/>
      <c r="E193" s="7"/>
      <c r="G193" s="5" t="str">
        <f t="shared" si="1"/>
        <v>Pokémon Mansion 2F</v>
      </c>
      <c r="I193" s="5" t="s">
        <v>1667</v>
      </c>
    </row>
    <row r="194" ht="12.75" customHeight="1">
      <c r="A194" s="5">
        <v>0.2</v>
      </c>
      <c r="B194" s="5">
        <v>0.2</v>
      </c>
      <c r="C194" s="7"/>
      <c r="D194" s="7"/>
      <c r="E194" s="7"/>
      <c r="G194" s="5">
        <f t="shared" si="1"/>
        <v>0.2</v>
      </c>
      <c r="I194" s="5">
        <v>0.2</v>
      </c>
    </row>
    <row r="195" ht="12.75" customHeight="1">
      <c r="A195" s="5" t="s">
        <v>462</v>
      </c>
      <c r="B195" s="7">
        <v>40.0</v>
      </c>
      <c r="C195" s="7">
        <v>44.0</v>
      </c>
      <c r="D195" s="7" t="s">
        <v>3774</v>
      </c>
      <c r="E195" s="7"/>
      <c r="G195" s="5" t="str">
        <f t="shared" si="1"/>
        <v>40, 44, RATTCHET</v>
      </c>
      <c r="I195" s="5" t="s">
        <v>462</v>
      </c>
    </row>
    <row r="196" ht="12.75" customHeight="1">
      <c r="A196" s="5" t="s">
        <v>2888</v>
      </c>
      <c r="B196" s="7">
        <v>40.0</v>
      </c>
      <c r="C196" s="7">
        <v>44.0</v>
      </c>
      <c r="D196" s="7" t="s">
        <v>3775</v>
      </c>
      <c r="E196" s="7"/>
      <c r="G196" s="5" t="str">
        <f t="shared" si="1"/>
        <v>40, 44, NINETALES</v>
      </c>
      <c r="I196" s="5" t="s">
        <v>2888</v>
      </c>
    </row>
    <row r="197" ht="12.75" customHeight="1">
      <c r="A197" s="5">
        <v>0.1</v>
      </c>
      <c r="B197" s="5">
        <v>0.1</v>
      </c>
      <c r="C197" s="7"/>
      <c r="D197" s="7"/>
      <c r="E197" s="7"/>
      <c r="G197" s="5">
        <f t="shared" si="1"/>
        <v>0.1</v>
      </c>
      <c r="I197" s="5">
        <v>0.1</v>
      </c>
    </row>
    <row r="198" ht="12.75" customHeight="1">
      <c r="A198" s="5" t="s">
        <v>2889</v>
      </c>
      <c r="B198" s="7">
        <v>41.0</v>
      </c>
      <c r="C198" s="7">
        <v>42.0</v>
      </c>
      <c r="D198" s="7" t="s">
        <v>3776</v>
      </c>
      <c r="E198" s="7"/>
      <c r="G198" s="5" t="str">
        <f t="shared" si="1"/>
        <v>41, 42, ARCANINE</v>
      </c>
      <c r="I198" s="5" t="s">
        <v>2889</v>
      </c>
    </row>
    <row r="199" ht="12.75" customHeight="1">
      <c r="A199" s="5" t="s">
        <v>2890</v>
      </c>
      <c r="B199" s="7">
        <v>43.0</v>
      </c>
      <c r="C199" s="7">
        <v>44.0</v>
      </c>
      <c r="D199" s="7" t="s">
        <v>3776</v>
      </c>
      <c r="E199" s="7"/>
      <c r="G199" s="5" t="str">
        <f t="shared" si="1"/>
        <v>43, 44, ARCANINE</v>
      </c>
      <c r="I199" s="5" t="s">
        <v>2890</v>
      </c>
    </row>
    <row r="200" ht="12.75" customHeight="1">
      <c r="A200" s="5" t="s">
        <v>2891</v>
      </c>
      <c r="B200" s="7">
        <v>42.0</v>
      </c>
      <c r="C200" s="7">
        <v>44.0</v>
      </c>
      <c r="D200" s="7" t="s">
        <v>3777</v>
      </c>
      <c r="E200" s="7"/>
      <c r="G200" s="5" t="str">
        <f t="shared" si="1"/>
        <v>42, 44, WEEZING</v>
      </c>
      <c r="I200" s="5" t="s">
        <v>2891</v>
      </c>
    </row>
    <row r="201" ht="12.75" customHeight="1">
      <c r="A201" s="5" t="s">
        <v>2892</v>
      </c>
      <c r="B201" s="7">
        <v>42.0</v>
      </c>
      <c r="C201" s="7">
        <v>44.0</v>
      </c>
      <c r="D201" s="7" t="s">
        <v>3778</v>
      </c>
      <c r="E201" s="7"/>
      <c r="G201" s="5" t="str">
        <f t="shared" si="1"/>
        <v>42, 44, MUK</v>
      </c>
      <c r="I201" s="5" t="s">
        <v>2892</v>
      </c>
    </row>
    <row r="202" ht="12.75" customHeight="1">
      <c r="A202" s="5">
        <v>0.05</v>
      </c>
      <c r="B202" s="5">
        <v>0.05</v>
      </c>
      <c r="C202" s="7"/>
      <c r="D202" s="7"/>
      <c r="E202" s="7"/>
      <c r="G202" s="5">
        <f t="shared" si="1"/>
        <v>0.05</v>
      </c>
      <c r="I202" s="5">
        <v>0.05</v>
      </c>
    </row>
    <row r="203" ht="12.75" customHeight="1">
      <c r="A203" s="5" t="s">
        <v>2893</v>
      </c>
      <c r="B203" s="7">
        <v>43.0</v>
      </c>
      <c r="C203" s="7">
        <v>45.0</v>
      </c>
      <c r="D203" s="7" t="s">
        <v>3779</v>
      </c>
      <c r="E203" s="7"/>
      <c r="G203" s="5" t="str">
        <f t="shared" si="1"/>
        <v>43, 45, SINGESHA</v>
      </c>
      <c r="I203" s="5" t="s">
        <v>2893</v>
      </c>
    </row>
    <row r="204" ht="12.75" customHeight="1">
      <c r="A204" s="5" t="s">
        <v>2894</v>
      </c>
      <c r="B204" s="7">
        <v>43.0</v>
      </c>
      <c r="C204" s="7">
        <v>45.0</v>
      </c>
      <c r="D204" s="7" t="s">
        <v>3780</v>
      </c>
      <c r="E204" s="7"/>
      <c r="G204" s="5" t="str">
        <f t="shared" si="1"/>
        <v>43, 45, SPIRITALES</v>
      </c>
      <c r="I204" s="5" t="s">
        <v>2894</v>
      </c>
    </row>
    <row r="205" ht="12.75" customHeight="1">
      <c r="A205" s="5">
        <v>0.04</v>
      </c>
      <c r="B205" s="5">
        <v>0.04</v>
      </c>
      <c r="C205" s="7"/>
      <c r="D205" s="7"/>
      <c r="E205" s="7"/>
      <c r="G205" s="5">
        <f t="shared" si="1"/>
        <v>0.04</v>
      </c>
      <c r="I205" s="5">
        <v>0.04</v>
      </c>
    </row>
    <row r="206" ht="12.75" customHeight="1">
      <c r="A206" s="5" t="s">
        <v>2895</v>
      </c>
      <c r="B206" s="7">
        <v>45.0</v>
      </c>
      <c r="C206" s="7">
        <v>46.0</v>
      </c>
      <c r="D206" s="7" t="s">
        <v>3781</v>
      </c>
      <c r="E206" s="7"/>
      <c r="G206" s="5" t="str">
        <f t="shared" si="1"/>
        <v>45, 46, GUNK</v>
      </c>
      <c r="I206" s="5" t="s">
        <v>2895</v>
      </c>
    </row>
    <row r="207" ht="12.75" customHeight="1">
      <c r="A207" s="5" t="s">
        <v>2896</v>
      </c>
      <c r="B207" s="7">
        <v>45.0</v>
      </c>
      <c r="C207" s="7">
        <v>46.0</v>
      </c>
      <c r="D207" s="7" t="s">
        <v>3782</v>
      </c>
      <c r="E207" s="7"/>
      <c r="G207" s="5" t="str">
        <f t="shared" si="1"/>
        <v>45, 46, HEEVING</v>
      </c>
      <c r="I207" s="5" t="s">
        <v>2896</v>
      </c>
    </row>
    <row r="208" ht="12.75" customHeight="1">
      <c r="A208" s="5">
        <v>0.01</v>
      </c>
      <c r="B208" s="5">
        <v>0.01</v>
      </c>
      <c r="C208" s="7"/>
      <c r="D208" s="7"/>
      <c r="E208" s="7"/>
      <c r="G208" s="5">
        <f t="shared" si="1"/>
        <v>0.01</v>
      </c>
      <c r="I208" s="5">
        <v>0.01</v>
      </c>
    </row>
    <row r="209" ht="12.75" customHeight="1">
      <c r="A209" s="5" t="s">
        <v>2897</v>
      </c>
      <c r="B209" s="7">
        <v>44.0</v>
      </c>
      <c r="C209" s="7">
        <v>47.0</v>
      </c>
      <c r="D209" s="7" t="s">
        <v>3783</v>
      </c>
      <c r="E209" s="7"/>
      <c r="G209" s="5" t="str">
        <f t="shared" si="1"/>
        <v>44, 47, RATTARULE</v>
      </c>
      <c r="I209" s="5" t="s">
        <v>2897</v>
      </c>
    </row>
    <row r="210" ht="12.75" customHeight="1">
      <c r="A210" s="5" t="s">
        <v>3714</v>
      </c>
      <c r="B210" s="7">
        <v>20.0</v>
      </c>
      <c r="C210" s="7">
        <v>25.0</v>
      </c>
      <c r="D210" s="7" t="s">
        <v>3784</v>
      </c>
      <c r="E210" s="7"/>
      <c r="G210" s="5" t="str">
        <f t="shared" si="1"/>
        <v>20, 25, CHARMANDER</v>
      </c>
      <c r="I210" s="5" t="s">
        <v>3714</v>
      </c>
    </row>
    <row r="211" ht="12.75" customHeight="1">
      <c r="A211" s="5" t="s">
        <v>2539</v>
      </c>
      <c r="B211" s="7" t="s">
        <v>2539</v>
      </c>
      <c r="C211" s="7"/>
      <c r="D211" s="7"/>
      <c r="E211" s="7"/>
      <c r="G211" s="5" t="str">
        <f t="shared" si="1"/>
        <v>NEW ROUTE</v>
      </c>
      <c r="I211" s="5" t="s">
        <v>2539</v>
      </c>
    </row>
    <row r="212" ht="12.75" customHeight="1">
      <c r="A212" s="5" t="s">
        <v>1671</v>
      </c>
      <c r="B212" s="7" t="s">
        <v>1671</v>
      </c>
      <c r="C212" s="7"/>
      <c r="D212" s="7"/>
      <c r="E212" s="7"/>
      <c r="G212" s="5" t="str">
        <f t="shared" si="1"/>
        <v>Pokémon Mansion 3F</v>
      </c>
      <c r="I212" s="5" t="s">
        <v>1671</v>
      </c>
    </row>
    <row r="213" ht="12.75" customHeight="1">
      <c r="A213" s="5">
        <v>0.2</v>
      </c>
      <c r="B213" s="5">
        <v>0.2</v>
      </c>
      <c r="C213" s="7"/>
      <c r="D213" s="7"/>
      <c r="E213" s="7"/>
      <c r="G213" s="5">
        <f t="shared" si="1"/>
        <v>0.2</v>
      </c>
      <c r="I213" s="5">
        <v>0.2</v>
      </c>
    </row>
    <row r="214" ht="12.75" customHeight="1">
      <c r="A214" s="5" t="s">
        <v>462</v>
      </c>
      <c r="B214" s="7">
        <v>40.0</v>
      </c>
      <c r="C214" s="7">
        <v>44.0</v>
      </c>
      <c r="D214" s="7" t="s">
        <v>3774</v>
      </c>
      <c r="E214" s="7"/>
      <c r="G214" s="5" t="str">
        <f t="shared" si="1"/>
        <v>40, 44, RATTCHET</v>
      </c>
      <c r="I214" s="5" t="s">
        <v>462</v>
      </c>
    </row>
    <row r="215" ht="12.75" customHeight="1">
      <c r="A215" s="5" t="s">
        <v>2888</v>
      </c>
      <c r="B215" s="7">
        <v>40.0</v>
      </c>
      <c r="C215" s="7">
        <v>44.0</v>
      </c>
      <c r="D215" s="7" t="s">
        <v>3775</v>
      </c>
      <c r="E215" s="7"/>
      <c r="G215" s="5" t="str">
        <f t="shared" si="1"/>
        <v>40, 44, NINETALES</v>
      </c>
      <c r="I215" s="5" t="s">
        <v>2888</v>
      </c>
    </row>
    <row r="216" ht="12.75" customHeight="1">
      <c r="A216" s="5">
        <v>0.1</v>
      </c>
      <c r="B216" s="5">
        <v>0.1</v>
      </c>
      <c r="C216" s="7"/>
      <c r="D216" s="7"/>
      <c r="E216" s="7"/>
      <c r="G216" s="5">
        <f t="shared" si="1"/>
        <v>0.1</v>
      </c>
      <c r="I216" s="5">
        <v>0.1</v>
      </c>
    </row>
    <row r="217" ht="12.75" customHeight="1">
      <c r="A217" s="5" t="s">
        <v>2889</v>
      </c>
      <c r="B217" s="7">
        <v>41.0</v>
      </c>
      <c r="C217" s="7">
        <v>42.0</v>
      </c>
      <c r="D217" s="7" t="s">
        <v>3776</v>
      </c>
      <c r="E217" s="7"/>
      <c r="G217" s="5" t="str">
        <f t="shared" si="1"/>
        <v>41, 42, ARCANINE</v>
      </c>
      <c r="I217" s="5" t="s">
        <v>2889</v>
      </c>
    </row>
    <row r="218" ht="12.75" customHeight="1">
      <c r="A218" s="5" t="s">
        <v>2890</v>
      </c>
      <c r="B218" s="7">
        <v>43.0</v>
      </c>
      <c r="C218" s="7">
        <v>44.0</v>
      </c>
      <c r="D218" s="7" t="s">
        <v>3776</v>
      </c>
      <c r="E218" s="7"/>
      <c r="G218" s="5" t="str">
        <f t="shared" si="1"/>
        <v>43, 44, ARCANINE</v>
      </c>
      <c r="I218" s="5" t="s">
        <v>2890</v>
      </c>
    </row>
    <row r="219" ht="12.75" customHeight="1">
      <c r="A219" s="5" t="s">
        <v>2891</v>
      </c>
      <c r="B219" s="7">
        <v>42.0</v>
      </c>
      <c r="C219" s="7">
        <v>44.0</v>
      </c>
      <c r="D219" s="7" t="s">
        <v>3777</v>
      </c>
      <c r="E219" s="7"/>
      <c r="G219" s="5" t="str">
        <f t="shared" si="1"/>
        <v>42, 44, WEEZING</v>
      </c>
      <c r="I219" s="5" t="s">
        <v>2891</v>
      </c>
    </row>
    <row r="220" ht="12.75" customHeight="1">
      <c r="A220" s="5" t="s">
        <v>2892</v>
      </c>
      <c r="B220" s="7">
        <v>42.0</v>
      </c>
      <c r="C220" s="7">
        <v>44.0</v>
      </c>
      <c r="D220" s="7" t="s">
        <v>3778</v>
      </c>
      <c r="E220" s="7"/>
      <c r="G220" s="5" t="str">
        <f t="shared" si="1"/>
        <v>42, 44, MUK</v>
      </c>
      <c r="I220" s="5" t="s">
        <v>2892</v>
      </c>
    </row>
    <row r="221" ht="12.75" customHeight="1">
      <c r="A221" s="5">
        <v>0.05</v>
      </c>
      <c r="B221" s="5">
        <v>0.05</v>
      </c>
      <c r="C221" s="7"/>
      <c r="D221" s="7"/>
      <c r="E221" s="7"/>
      <c r="G221" s="5">
        <f t="shared" si="1"/>
        <v>0.05</v>
      </c>
      <c r="I221" s="5">
        <v>0.05</v>
      </c>
    </row>
    <row r="222" ht="12.75" customHeight="1">
      <c r="A222" s="5" t="s">
        <v>2893</v>
      </c>
      <c r="B222" s="7">
        <v>43.0</v>
      </c>
      <c r="C222" s="7">
        <v>45.0</v>
      </c>
      <c r="D222" s="7" t="s">
        <v>3779</v>
      </c>
      <c r="E222" s="7"/>
      <c r="G222" s="5" t="str">
        <f t="shared" si="1"/>
        <v>43, 45, SINGESHA</v>
      </c>
      <c r="I222" s="5" t="s">
        <v>2893</v>
      </c>
    </row>
    <row r="223" ht="12.75" customHeight="1">
      <c r="A223" s="5" t="s">
        <v>2894</v>
      </c>
      <c r="B223" s="7">
        <v>43.0</v>
      </c>
      <c r="C223" s="7">
        <v>45.0</v>
      </c>
      <c r="D223" s="7" t="s">
        <v>3780</v>
      </c>
      <c r="E223" s="7"/>
      <c r="G223" s="5" t="str">
        <f t="shared" si="1"/>
        <v>43, 45, SPIRITALES</v>
      </c>
      <c r="I223" s="5" t="s">
        <v>2894</v>
      </c>
    </row>
    <row r="224" ht="12.75" customHeight="1">
      <c r="A224" s="5">
        <v>0.04</v>
      </c>
      <c r="B224" s="5">
        <v>0.04</v>
      </c>
      <c r="C224" s="7"/>
      <c r="D224" s="7"/>
      <c r="E224" s="7"/>
      <c r="G224" s="5">
        <f t="shared" si="1"/>
        <v>0.04</v>
      </c>
      <c r="I224" s="5">
        <v>0.04</v>
      </c>
    </row>
    <row r="225" ht="12.75" customHeight="1">
      <c r="A225" s="5" t="s">
        <v>2895</v>
      </c>
      <c r="B225" s="7">
        <v>45.0</v>
      </c>
      <c r="C225" s="7">
        <v>46.0</v>
      </c>
      <c r="D225" s="7" t="s">
        <v>3781</v>
      </c>
      <c r="E225" s="7"/>
      <c r="G225" s="5" t="str">
        <f t="shared" si="1"/>
        <v>45, 46, GUNK</v>
      </c>
      <c r="I225" s="5" t="s">
        <v>2895</v>
      </c>
    </row>
    <row r="226" ht="12.75" customHeight="1">
      <c r="A226" s="5" t="s">
        <v>2896</v>
      </c>
      <c r="B226" s="7">
        <v>45.0</v>
      </c>
      <c r="C226" s="7">
        <v>46.0</v>
      </c>
      <c r="D226" s="7" t="s">
        <v>3782</v>
      </c>
      <c r="E226" s="7"/>
      <c r="G226" s="5" t="str">
        <f t="shared" si="1"/>
        <v>45, 46, HEEVING</v>
      </c>
      <c r="I226" s="5" t="s">
        <v>2896</v>
      </c>
    </row>
    <row r="227" ht="12.75" customHeight="1">
      <c r="A227" s="5">
        <v>0.01</v>
      </c>
      <c r="B227" s="5">
        <v>0.01</v>
      </c>
      <c r="C227" s="7"/>
      <c r="D227" s="7"/>
      <c r="E227" s="7"/>
      <c r="G227" s="5">
        <f t="shared" si="1"/>
        <v>0.01</v>
      </c>
      <c r="I227" s="5">
        <v>0.01</v>
      </c>
    </row>
    <row r="228" ht="12.75" customHeight="1">
      <c r="A228" s="5" t="s">
        <v>2897</v>
      </c>
      <c r="B228" s="7">
        <v>44.0</v>
      </c>
      <c r="C228" s="7">
        <v>47.0</v>
      </c>
      <c r="D228" s="7" t="s">
        <v>3783</v>
      </c>
      <c r="E228" s="7"/>
      <c r="G228" s="5" t="str">
        <f t="shared" si="1"/>
        <v>44, 47, RATTARULE</v>
      </c>
      <c r="I228" s="5" t="s">
        <v>2897</v>
      </c>
    </row>
    <row r="229" ht="12.75" customHeight="1">
      <c r="A229" s="5" t="s">
        <v>3714</v>
      </c>
      <c r="B229" s="7">
        <v>20.0</v>
      </c>
      <c r="C229" s="7">
        <v>25.0</v>
      </c>
      <c r="D229" s="7" t="s">
        <v>3784</v>
      </c>
      <c r="E229" s="7"/>
      <c r="G229" s="5" t="str">
        <f t="shared" si="1"/>
        <v>20, 25, CHARMANDER</v>
      </c>
      <c r="I229" s="5" t="s">
        <v>3714</v>
      </c>
    </row>
    <row r="230" ht="12.75" customHeight="1">
      <c r="A230" s="5" t="s">
        <v>2539</v>
      </c>
      <c r="B230" s="7" t="s">
        <v>2539</v>
      </c>
      <c r="C230" s="7"/>
      <c r="D230" s="7"/>
      <c r="E230" s="7"/>
      <c r="G230" s="5" t="str">
        <f t="shared" si="1"/>
        <v>NEW ROUTE</v>
      </c>
      <c r="I230" s="5" t="s">
        <v>2539</v>
      </c>
    </row>
    <row r="231" ht="12.75" customHeight="1">
      <c r="A231" s="5" t="s">
        <v>1675</v>
      </c>
      <c r="B231" s="7" t="s">
        <v>1675</v>
      </c>
      <c r="C231" s="7"/>
      <c r="D231" s="7"/>
      <c r="E231" s="7"/>
      <c r="G231" s="5" t="str">
        <f t="shared" si="1"/>
        <v>Pokémon Mansion B1F</v>
      </c>
      <c r="I231" s="5" t="s">
        <v>1675</v>
      </c>
    </row>
    <row r="232" ht="12.75" customHeight="1">
      <c r="A232" s="5">
        <v>0.2</v>
      </c>
      <c r="B232" s="5">
        <v>0.2</v>
      </c>
      <c r="C232" s="7"/>
      <c r="D232" s="7"/>
      <c r="E232" s="7"/>
      <c r="G232" s="5">
        <f t="shared" si="1"/>
        <v>0.2</v>
      </c>
      <c r="I232" s="5">
        <v>0.2</v>
      </c>
    </row>
    <row r="233" ht="12.75" customHeight="1">
      <c r="A233" s="5" t="s">
        <v>462</v>
      </c>
      <c r="B233" s="7">
        <v>40.0</v>
      </c>
      <c r="C233" s="7">
        <v>44.0</v>
      </c>
      <c r="D233" s="7" t="s">
        <v>3774</v>
      </c>
      <c r="E233" s="7"/>
      <c r="G233" s="5" t="str">
        <f t="shared" si="1"/>
        <v>40, 44, RATTCHET</v>
      </c>
      <c r="I233" s="5" t="s">
        <v>462</v>
      </c>
    </row>
    <row r="234" ht="12.75" customHeight="1">
      <c r="A234" s="5" t="s">
        <v>2888</v>
      </c>
      <c r="B234" s="7">
        <v>40.0</v>
      </c>
      <c r="C234" s="7">
        <v>44.0</v>
      </c>
      <c r="D234" s="7" t="s">
        <v>3775</v>
      </c>
      <c r="E234" s="7"/>
      <c r="G234" s="5" t="str">
        <f t="shared" si="1"/>
        <v>40, 44, NINETALES</v>
      </c>
      <c r="I234" s="5" t="s">
        <v>2888</v>
      </c>
    </row>
    <row r="235" ht="12.75" customHeight="1">
      <c r="A235" s="5">
        <v>0.1</v>
      </c>
      <c r="B235" s="5">
        <v>0.1</v>
      </c>
      <c r="C235" s="7"/>
      <c r="D235" s="7"/>
      <c r="E235" s="7"/>
      <c r="G235" s="5">
        <f t="shared" si="1"/>
        <v>0.1</v>
      </c>
      <c r="I235" s="5">
        <v>0.1</v>
      </c>
    </row>
    <row r="236" ht="12.75" customHeight="1">
      <c r="A236" s="5" t="s">
        <v>2889</v>
      </c>
      <c r="B236" s="7">
        <v>41.0</v>
      </c>
      <c r="C236" s="7">
        <v>42.0</v>
      </c>
      <c r="D236" s="7" t="s">
        <v>3776</v>
      </c>
      <c r="E236" s="7"/>
      <c r="G236" s="5" t="str">
        <f t="shared" si="1"/>
        <v>41, 42, ARCANINE</v>
      </c>
      <c r="I236" s="5" t="s">
        <v>2889</v>
      </c>
    </row>
    <row r="237" ht="12.75" customHeight="1">
      <c r="A237" s="5" t="s">
        <v>2890</v>
      </c>
      <c r="B237" s="7">
        <v>43.0</v>
      </c>
      <c r="C237" s="7">
        <v>44.0</v>
      </c>
      <c r="D237" s="7" t="s">
        <v>3776</v>
      </c>
      <c r="E237" s="7"/>
      <c r="G237" s="5" t="str">
        <f t="shared" si="1"/>
        <v>43, 44, ARCANINE</v>
      </c>
      <c r="I237" s="5" t="s">
        <v>2890</v>
      </c>
    </row>
    <row r="238" ht="12.75" customHeight="1">
      <c r="A238" s="5" t="s">
        <v>2891</v>
      </c>
      <c r="B238" s="7">
        <v>42.0</v>
      </c>
      <c r="C238" s="7">
        <v>44.0</v>
      </c>
      <c r="D238" s="7" t="s">
        <v>3777</v>
      </c>
      <c r="E238" s="7"/>
      <c r="G238" s="5" t="str">
        <f t="shared" si="1"/>
        <v>42, 44, WEEZING</v>
      </c>
      <c r="I238" s="5" t="s">
        <v>2891</v>
      </c>
    </row>
    <row r="239" ht="12.75" customHeight="1">
      <c r="A239" s="5" t="s">
        <v>2892</v>
      </c>
      <c r="B239" s="7">
        <v>42.0</v>
      </c>
      <c r="C239" s="7">
        <v>44.0</v>
      </c>
      <c r="D239" s="7" t="s">
        <v>3778</v>
      </c>
      <c r="E239" s="7"/>
      <c r="G239" s="5" t="str">
        <f t="shared" si="1"/>
        <v>42, 44, MUK</v>
      </c>
      <c r="I239" s="5" t="s">
        <v>2892</v>
      </c>
    </row>
    <row r="240" ht="12.75" customHeight="1">
      <c r="A240" s="5">
        <v>0.05</v>
      </c>
      <c r="B240" s="5">
        <v>0.05</v>
      </c>
      <c r="C240" s="7"/>
      <c r="D240" s="7"/>
      <c r="E240" s="7"/>
      <c r="G240" s="5">
        <f t="shared" si="1"/>
        <v>0.05</v>
      </c>
      <c r="I240" s="5">
        <v>0.05</v>
      </c>
    </row>
    <row r="241" ht="12.75" customHeight="1">
      <c r="A241" s="5" t="s">
        <v>2902</v>
      </c>
      <c r="B241" s="7">
        <v>43.0</v>
      </c>
      <c r="C241" s="7">
        <v>45.0</v>
      </c>
      <c r="D241" s="7" t="s">
        <v>3781</v>
      </c>
      <c r="E241" s="7"/>
      <c r="G241" s="5" t="str">
        <f t="shared" si="1"/>
        <v>43, 45, GUNK</v>
      </c>
      <c r="I241" s="5" t="s">
        <v>2902</v>
      </c>
    </row>
    <row r="242" ht="12.75" customHeight="1">
      <c r="A242" s="5" t="s">
        <v>2903</v>
      </c>
      <c r="B242" s="7">
        <v>43.0</v>
      </c>
      <c r="C242" s="7">
        <v>45.0</v>
      </c>
      <c r="D242" s="7" t="s">
        <v>3782</v>
      </c>
      <c r="E242" s="7"/>
      <c r="G242" s="5" t="str">
        <f t="shared" si="1"/>
        <v>43, 45, HEEVING</v>
      </c>
      <c r="I242" s="5" t="s">
        <v>2903</v>
      </c>
    </row>
    <row r="243" ht="12.75" customHeight="1">
      <c r="A243" s="5">
        <v>0.04</v>
      </c>
      <c r="B243" s="5">
        <v>0.04</v>
      </c>
      <c r="C243" s="7"/>
      <c r="D243" s="7"/>
      <c r="E243" s="7"/>
      <c r="G243" s="5">
        <f t="shared" si="1"/>
        <v>0.04</v>
      </c>
      <c r="I243" s="5">
        <v>0.04</v>
      </c>
    </row>
    <row r="244" ht="12.75" customHeight="1">
      <c r="A244" s="5" t="s">
        <v>2904</v>
      </c>
      <c r="B244" s="7">
        <v>45.0</v>
      </c>
      <c r="C244" s="7">
        <v>46.0</v>
      </c>
      <c r="D244" s="7" t="s">
        <v>3783</v>
      </c>
      <c r="E244" s="7"/>
      <c r="G244" s="5" t="str">
        <f t="shared" si="1"/>
        <v>45, 46, RATTARULE</v>
      </c>
      <c r="I244" s="5" t="s">
        <v>2904</v>
      </c>
    </row>
    <row r="245" ht="12.75" customHeight="1">
      <c r="A245" s="5" t="s">
        <v>2905</v>
      </c>
      <c r="B245" s="7">
        <v>45.0</v>
      </c>
      <c r="C245" s="7">
        <v>46.0</v>
      </c>
      <c r="D245" s="7" t="s">
        <v>3785</v>
      </c>
      <c r="E245" s="7"/>
      <c r="G245" s="5" t="str">
        <f t="shared" si="1"/>
        <v>45, 46, DITTO</v>
      </c>
      <c r="I245" s="5" t="s">
        <v>2905</v>
      </c>
    </row>
    <row r="246" ht="12.75" customHeight="1">
      <c r="A246" s="5">
        <v>0.01</v>
      </c>
      <c r="B246" s="5">
        <v>0.01</v>
      </c>
      <c r="C246" s="7"/>
      <c r="D246" s="7"/>
      <c r="E246" s="7"/>
      <c r="G246" s="5">
        <f t="shared" si="1"/>
        <v>0.01</v>
      </c>
      <c r="I246" s="5">
        <v>0.01</v>
      </c>
    </row>
    <row r="247" ht="12.75" customHeight="1">
      <c r="A247" s="5" t="s">
        <v>2906</v>
      </c>
      <c r="B247" s="7">
        <v>20.0</v>
      </c>
      <c r="C247" s="7">
        <v>25.0</v>
      </c>
      <c r="D247" s="7" t="s">
        <v>3786</v>
      </c>
      <c r="E247" s="7"/>
      <c r="G247" s="5" t="str">
        <f t="shared" si="1"/>
        <v>20, 25, KABUTO</v>
      </c>
      <c r="I247" s="5" t="s">
        <v>2906</v>
      </c>
    </row>
    <row r="248" ht="12.75" customHeight="1">
      <c r="A248" s="5" t="s">
        <v>3715</v>
      </c>
      <c r="B248" s="7">
        <v>20.0</v>
      </c>
      <c r="C248" s="7">
        <v>25.0</v>
      </c>
      <c r="D248" s="7" t="s">
        <v>3787</v>
      </c>
      <c r="E248" s="7"/>
      <c r="G248" s="5" t="str">
        <f t="shared" si="1"/>
        <v>20, 25, OMANYTE</v>
      </c>
      <c r="I248" s="5" t="s">
        <v>3715</v>
      </c>
    </row>
    <row r="249" ht="12.75" customHeight="1">
      <c r="A249" s="5" t="s">
        <v>2539</v>
      </c>
      <c r="B249" s="7" t="s">
        <v>2539</v>
      </c>
      <c r="C249" s="7"/>
      <c r="D249" s="7"/>
      <c r="E249" s="7"/>
      <c r="G249" s="5" t="str">
        <f t="shared" si="1"/>
        <v>NEW ROUTE</v>
      </c>
      <c r="I249" s="5" t="s">
        <v>2539</v>
      </c>
    </row>
    <row r="250" ht="12.75" customHeight="1">
      <c r="A250" s="5" t="s">
        <v>1679</v>
      </c>
      <c r="B250" s="7" t="s">
        <v>1679</v>
      </c>
      <c r="C250" s="7"/>
      <c r="D250" s="7"/>
      <c r="E250" s="7"/>
      <c r="G250" s="5" t="str">
        <f t="shared" si="1"/>
        <v>Safari Zone Center</v>
      </c>
      <c r="I250" s="5" t="s">
        <v>1679</v>
      </c>
    </row>
    <row r="251" ht="12.75" customHeight="1">
      <c r="A251" s="5">
        <v>0.2</v>
      </c>
      <c r="B251" s="5">
        <v>0.2</v>
      </c>
      <c r="C251" s="7"/>
      <c r="D251" s="7"/>
      <c r="E251" s="7"/>
      <c r="G251" s="5">
        <f t="shared" si="1"/>
        <v>0.2</v>
      </c>
      <c r="I251" s="5">
        <v>0.2</v>
      </c>
    </row>
    <row r="252" ht="12.75" customHeight="1">
      <c r="A252" s="5" t="s">
        <v>484</v>
      </c>
      <c r="B252" s="7">
        <v>35.0</v>
      </c>
      <c r="C252" s="7">
        <v>40.0</v>
      </c>
      <c r="D252" s="7" t="s">
        <v>3788</v>
      </c>
      <c r="E252" s="7"/>
      <c r="G252" s="5" t="str">
        <f t="shared" si="1"/>
        <v>35, 40, NIDOKING</v>
      </c>
      <c r="I252" s="5" t="s">
        <v>484</v>
      </c>
    </row>
    <row r="253" ht="12.75" customHeight="1">
      <c r="A253" s="5" t="s">
        <v>2910</v>
      </c>
      <c r="B253" s="7">
        <v>35.0</v>
      </c>
      <c r="C253" s="7">
        <v>40.0</v>
      </c>
      <c r="D253" s="7" t="s">
        <v>3789</v>
      </c>
      <c r="E253" s="7"/>
      <c r="G253" s="5" t="str">
        <f t="shared" si="1"/>
        <v>35, 40, NIDOQUEEN</v>
      </c>
      <c r="I253" s="5" t="s">
        <v>2910</v>
      </c>
    </row>
    <row r="254" ht="12.75" customHeight="1">
      <c r="A254" s="5">
        <v>0.1</v>
      </c>
      <c r="B254" s="5">
        <v>0.1</v>
      </c>
      <c r="C254" s="7"/>
      <c r="D254" s="7"/>
      <c r="E254" s="7"/>
      <c r="G254" s="5">
        <f t="shared" si="1"/>
        <v>0.1</v>
      </c>
      <c r="I254" s="5">
        <v>0.1</v>
      </c>
    </row>
    <row r="255" ht="12.75" customHeight="1">
      <c r="A255" s="5" t="s">
        <v>2911</v>
      </c>
      <c r="B255" s="7">
        <v>36.0</v>
      </c>
      <c r="C255" s="7">
        <v>41.0</v>
      </c>
      <c r="D255" s="7" t="s">
        <v>3790</v>
      </c>
      <c r="E255" s="7"/>
      <c r="G255" s="5" t="str">
        <f t="shared" si="1"/>
        <v>36, 41, PARASECT</v>
      </c>
      <c r="I255" s="5" t="s">
        <v>2911</v>
      </c>
    </row>
    <row r="256" ht="12.75" customHeight="1">
      <c r="A256" s="5" t="s">
        <v>2912</v>
      </c>
      <c r="B256" s="7">
        <v>36.0</v>
      </c>
      <c r="C256" s="7">
        <v>41.0</v>
      </c>
      <c r="D256" s="7" t="s">
        <v>3791</v>
      </c>
      <c r="E256" s="7"/>
      <c r="G256" s="5" t="str">
        <f t="shared" si="1"/>
        <v>36, 41, VENOMOTH</v>
      </c>
      <c r="I256" s="5" t="s">
        <v>2912</v>
      </c>
    </row>
    <row r="257" ht="12.75" customHeight="1">
      <c r="A257" s="5" t="s">
        <v>2913</v>
      </c>
      <c r="B257" s="7">
        <v>36.0</v>
      </c>
      <c r="C257" s="7">
        <v>41.0</v>
      </c>
      <c r="D257" s="7" t="s">
        <v>3792</v>
      </c>
      <c r="E257" s="7"/>
      <c r="G257" s="5" t="str">
        <f t="shared" si="1"/>
        <v>36, 41, EXEGGUTOR</v>
      </c>
      <c r="I257" s="5" t="s">
        <v>2913</v>
      </c>
    </row>
    <row r="258" ht="12.75" customHeight="1">
      <c r="A258" s="5" t="s">
        <v>2914</v>
      </c>
      <c r="B258" s="7">
        <v>36.0</v>
      </c>
      <c r="C258" s="7">
        <v>41.0</v>
      </c>
      <c r="D258" s="7" t="s">
        <v>3793</v>
      </c>
      <c r="E258" s="7"/>
      <c r="G258" s="5" t="str">
        <f t="shared" si="1"/>
        <v>36, 41, RHYDON</v>
      </c>
      <c r="I258" s="5" t="s">
        <v>2914</v>
      </c>
    </row>
    <row r="259" ht="12.75" customHeight="1">
      <c r="A259" s="5">
        <v>0.05</v>
      </c>
      <c r="B259" s="5">
        <v>0.05</v>
      </c>
      <c r="C259" s="7"/>
      <c r="D259" s="7"/>
      <c r="E259" s="7"/>
      <c r="G259" s="5">
        <f t="shared" si="1"/>
        <v>0.05</v>
      </c>
      <c r="I259" s="5">
        <v>0.05</v>
      </c>
    </row>
    <row r="260" ht="12.75" customHeight="1">
      <c r="A260" s="5" t="s">
        <v>2915</v>
      </c>
      <c r="B260" s="7">
        <v>37.0</v>
      </c>
      <c r="C260" s="7">
        <v>39.0</v>
      </c>
      <c r="D260" s="7" t="s">
        <v>3794</v>
      </c>
      <c r="E260" s="7"/>
      <c r="G260" s="5" t="str">
        <f t="shared" si="1"/>
        <v>37, 39, SCIZOR</v>
      </c>
      <c r="I260" s="5" t="s">
        <v>2915</v>
      </c>
    </row>
    <row r="261" ht="12.75" customHeight="1">
      <c r="A261" s="5" t="s">
        <v>2916</v>
      </c>
      <c r="B261" s="7">
        <v>37.0</v>
      </c>
      <c r="C261" s="7">
        <v>39.0</v>
      </c>
      <c r="D261" s="7" t="s">
        <v>3795</v>
      </c>
      <c r="E261" s="7"/>
      <c r="G261" s="5" t="str">
        <f t="shared" si="1"/>
        <v>37, 39, PINSIRIOR</v>
      </c>
      <c r="I261" s="5" t="s">
        <v>2916</v>
      </c>
    </row>
    <row r="262" ht="12.75" customHeight="1">
      <c r="A262" s="5">
        <v>0.04</v>
      </c>
      <c r="B262" s="5">
        <v>0.04</v>
      </c>
      <c r="C262" s="7"/>
      <c r="D262" s="7"/>
      <c r="E262" s="7"/>
      <c r="G262" s="5">
        <f t="shared" si="1"/>
        <v>0.04</v>
      </c>
      <c r="I262" s="5">
        <v>0.04</v>
      </c>
    </row>
    <row r="263" ht="12.75" customHeight="1">
      <c r="A263" s="5" t="s">
        <v>2917</v>
      </c>
      <c r="B263" s="7">
        <v>38.0</v>
      </c>
      <c r="C263" s="7">
        <v>42.0</v>
      </c>
      <c r="D263" s="7" t="s">
        <v>3796</v>
      </c>
      <c r="E263" s="7"/>
      <c r="G263" s="5" t="str">
        <f t="shared" si="1"/>
        <v>38, 42, CHANSEY</v>
      </c>
      <c r="I263" s="5" t="s">
        <v>2917</v>
      </c>
    </row>
    <row r="264" ht="12.75" customHeight="1">
      <c r="A264" s="5" t="s">
        <v>2918</v>
      </c>
      <c r="B264" s="7">
        <v>38.0</v>
      </c>
      <c r="C264" s="7">
        <v>42.0</v>
      </c>
      <c r="D264" s="7" t="s">
        <v>3797</v>
      </c>
      <c r="E264" s="7"/>
      <c r="G264" s="5" t="str">
        <f t="shared" si="1"/>
        <v>38, 42, JOLTEON</v>
      </c>
      <c r="I264" s="5" t="s">
        <v>2918</v>
      </c>
    </row>
    <row r="265" ht="12.75" customHeight="1">
      <c r="A265" s="5">
        <v>0.01</v>
      </c>
      <c r="B265" s="5">
        <v>0.01</v>
      </c>
      <c r="C265" s="7"/>
      <c r="D265" s="7"/>
      <c r="E265" s="7"/>
      <c r="G265" s="5">
        <f t="shared" si="1"/>
        <v>0.01</v>
      </c>
      <c r="I265" s="5">
        <v>0.01</v>
      </c>
    </row>
    <row r="266" ht="12.75" customHeight="1">
      <c r="A266" s="5" t="s">
        <v>2919</v>
      </c>
      <c r="B266" s="7">
        <v>40.0</v>
      </c>
      <c r="C266" s="7">
        <v>40.0</v>
      </c>
      <c r="D266" s="7" t="s">
        <v>3798</v>
      </c>
      <c r="E266" s="7"/>
      <c r="G266" s="5" t="str">
        <f t="shared" si="1"/>
        <v>40, 40, BLISSEY</v>
      </c>
      <c r="I266" s="5" t="s">
        <v>2919</v>
      </c>
    </row>
    <row r="267" ht="12.75" customHeight="1">
      <c r="A267" s="5" t="s">
        <v>2920</v>
      </c>
      <c r="B267" s="7">
        <v>40.0</v>
      </c>
      <c r="C267" s="7">
        <v>40.0</v>
      </c>
      <c r="D267" s="7" t="s">
        <v>3799</v>
      </c>
      <c r="E267" s="7"/>
      <c r="G267" s="5" t="str">
        <f t="shared" si="1"/>
        <v>40, 40, RHYPERIOR</v>
      </c>
      <c r="I267" s="5" t="s">
        <v>2920</v>
      </c>
    </row>
    <row r="268" ht="12.75" customHeight="1">
      <c r="A268" s="5" t="s">
        <v>2921</v>
      </c>
      <c r="B268" s="7">
        <v>2.0</v>
      </c>
      <c r="C268" s="7">
        <v>38.0</v>
      </c>
      <c r="D268" s="7">
        <v>42.0</v>
      </c>
      <c r="E268" s="7" t="s">
        <v>3756</v>
      </c>
      <c r="G268" s="5" t="str">
        <f t="shared" si="1"/>
        <v>2, 38, 42, SLOWPOKE</v>
      </c>
      <c r="I268" s="5" t="s">
        <v>2921</v>
      </c>
    </row>
    <row r="269" ht="12.75" customHeight="1">
      <c r="A269" s="5" t="s">
        <v>2922</v>
      </c>
      <c r="B269" s="7">
        <v>40.0</v>
      </c>
      <c r="C269" s="7">
        <v>42.0</v>
      </c>
      <c r="D269" s="7" t="s">
        <v>3800</v>
      </c>
      <c r="E269" s="7"/>
      <c r="G269" s="5" t="str">
        <f t="shared" si="1"/>
        <v>40, 42, PSYDUCK</v>
      </c>
      <c r="I269" s="5" t="s">
        <v>2922</v>
      </c>
    </row>
    <row r="270" ht="12.75" customHeight="1">
      <c r="A270" s="5" t="s">
        <v>2923</v>
      </c>
      <c r="B270" s="7">
        <v>42.0</v>
      </c>
      <c r="C270" s="7">
        <v>46.0</v>
      </c>
      <c r="D270" s="7" t="s">
        <v>3801</v>
      </c>
      <c r="E270" s="7"/>
      <c r="G270" s="5" t="str">
        <f t="shared" si="1"/>
        <v>42, 46, SLOWBRO</v>
      </c>
      <c r="I270" s="5" t="s">
        <v>2923</v>
      </c>
    </row>
    <row r="271" ht="12.75" customHeight="1">
      <c r="A271" s="5" t="s">
        <v>2924</v>
      </c>
      <c r="B271" s="7">
        <v>42.0</v>
      </c>
      <c r="C271" s="7">
        <v>46.0</v>
      </c>
      <c r="D271" s="7" t="s">
        <v>3802</v>
      </c>
      <c r="E271" s="7"/>
      <c r="G271" s="5" t="str">
        <f t="shared" si="1"/>
        <v>42, 46, GOLDUCK</v>
      </c>
      <c r="I271" s="5" t="s">
        <v>2924</v>
      </c>
    </row>
    <row r="272" ht="12.75" customHeight="1">
      <c r="A272" s="5" t="s">
        <v>2925</v>
      </c>
      <c r="B272" s="7">
        <v>44.0</v>
      </c>
      <c r="C272" s="7">
        <v>48.0</v>
      </c>
      <c r="D272" s="7" t="s">
        <v>3803</v>
      </c>
      <c r="E272" s="7"/>
      <c r="G272" s="5" t="str">
        <f t="shared" si="1"/>
        <v>44, 48, VAPOREON</v>
      </c>
      <c r="I272" s="5" t="s">
        <v>2925</v>
      </c>
    </row>
    <row r="273" ht="12.75" customHeight="1">
      <c r="A273" s="5" t="s">
        <v>2926</v>
      </c>
      <c r="B273" s="7">
        <v>20.0</v>
      </c>
      <c r="C273" s="7" t="s">
        <v>3749</v>
      </c>
      <c r="D273" s="7"/>
      <c r="E273" s="7"/>
      <c r="G273" s="5" t="str">
        <f t="shared" si="1"/>
        <v>old rod:</v>
      </c>
      <c r="I273" s="5" t="s">
        <v>3750</v>
      </c>
    </row>
    <row r="274" ht="12.75" customHeight="1">
      <c r="A274" s="5" t="s">
        <v>500</v>
      </c>
      <c r="B274" s="7">
        <v>19.0</v>
      </c>
      <c r="C274" s="7">
        <v>26.0</v>
      </c>
      <c r="D274" s="7" t="s">
        <v>3751</v>
      </c>
      <c r="E274" s="7"/>
      <c r="G274" s="5" t="str">
        <f t="shared" si="1"/>
        <v>19, 26, MAGIKARP</v>
      </c>
      <c r="I274" s="5" t="s">
        <v>500</v>
      </c>
    </row>
    <row r="275" ht="12.75" customHeight="1">
      <c r="A275" s="5" t="s">
        <v>2927</v>
      </c>
      <c r="B275" s="7">
        <v>19.0</v>
      </c>
      <c r="C275" s="7">
        <v>26.0</v>
      </c>
      <c r="D275" s="7" t="s">
        <v>3804</v>
      </c>
      <c r="E275" s="7"/>
      <c r="G275" s="5" t="str">
        <f t="shared" si="1"/>
        <v>19, 26, POLIWAG</v>
      </c>
      <c r="I275" s="5" t="s">
        <v>2927</v>
      </c>
    </row>
    <row r="276" ht="12.75" customHeight="1">
      <c r="A276" s="5" t="s">
        <v>2847</v>
      </c>
      <c r="B276" s="7" t="s">
        <v>2847</v>
      </c>
      <c r="C276" s="7"/>
      <c r="D276" s="7"/>
      <c r="E276" s="7"/>
      <c r="G276" s="5" t="str">
        <f t="shared" si="1"/>
        <v>good rod:</v>
      </c>
      <c r="I276" s="5" t="s">
        <v>2847</v>
      </c>
    </row>
    <row r="277" ht="12.75" customHeight="1">
      <c r="A277" s="5" t="s">
        <v>2928</v>
      </c>
      <c r="B277" s="7">
        <v>29.0</v>
      </c>
      <c r="C277" s="7">
        <v>33.0</v>
      </c>
      <c r="D277" s="7" t="s">
        <v>3755</v>
      </c>
      <c r="E277" s="7"/>
      <c r="G277" s="5" t="str">
        <f t="shared" si="1"/>
        <v>29, 33, GYARADOS</v>
      </c>
      <c r="I277" s="5" t="s">
        <v>2928</v>
      </c>
    </row>
    <row r="278" ht="12.75" customHeight="1">
      <c r="A278" s="5" t="s">
        <v>2929</v>
      </c>
      <c r="B278" s="7">
        <v>30.0</v>
      </c>
      <c r="C278" s="7">
        <v>35.0</v>
      </c>
      <c r="D278" s="7" t="s">
        <v>3804</v>
      </c>
      <c r="E278" s="7"/>
      <c r="G278" s="5" t="str">
        <f t="shared" si="1"/>
        <v>30, 35, POLIWAG</v>
      </c>
      <c r="I278" s="5" t="s">
        <v>2929</v>
      </c>
    </row>
    <row r="279" ht="12.75" customHeight="1">
      <c r="A279" s="5" t="s">
        <v>2930</v>
      </c>
      <c r="B279" s="7">
        <v>30.0</v>
      </c>
      <c r="C279" s="7">
        <v>35.0</v>
      </c>
      <c r="D279" s="7" t="s">
        <v>3805</v>
      </c>
      <c r="E279" s="7"/>
      <c r="G279" s="5" t="str">
        <f t="shared" si="1"/>
        <v>30, 35, GOLDEEN</v>
      </c>
      <c r="I279" s="5" t="s">
        <v>2930</v>
      </c>
    </row>
    <row r="280" ht="12.75" customHeight="1">
      <c r="A280" s="5" t="s">
        <v>2851</v>
      </c>
      <c r="B280" s="7" t="s">
        <v>2851</v>
      </c>
      <c r="C280" s="7"/>
      <c r="D280" s="7"/>
      <c r="E280" s="7"/>
      <c r="G280" s="5" t="str">
        <f t="shared" si="1"/>
        <v>super rod:</v>
      </c>
      <c r="I280" s="5" t="s">
        <v>2851</v>
      </c>
    </row>
    <row r="281" ht="12.75" customHeight="1">
      <c r="A281" s="5" t="s">
        <v>2931</v>
      </c>
      <c r="B281" s="7">
        <v>36.0</v>
      </c>
      <c r="C281" s="7">
        <v>40.0</v>
      </c>
      <c r="D281" s="7" t="s">
        <v>3806</v>
      </c>
      <c r="E281" s="7"/>
      <c r="G281" s="5" t="str">
        <f t="shared" si="1"/>
        <v>36, 40, POLIWHIRL</v>
      </c>
      <c r="I281" s="5" t="s">
        <v>2931</v>
      </c>
    </row>
    <row r="282" ht="12.75" customHeight="1">
      <c r="A282" s="5" t="s">
        <v>2932</v>
      </c>
      <c r="B282" s="7">
        <v>36.0</v>
      </c>
      <c r="C282" s="7">
        <v>40.0</v>
      </c>
      <c r="D282" s="7" t="s">
        <v>3807</v>
      </c>
      <c r="E282" s="7"/>
      <c r="G282" s="5" t="str">
        <f t="shared" si="1"/>
        <v>36, 40, SEAKING</v>
      </c>
      <c r="I282" s="5" t="s">
        <v>2932</v>
      </c>
    </row>
    <row r="283" ht="12.75" customHeight="1">
      <c r="A283" s="5" t="s">
        <v>2933</v>
      </c>
      <c r="B283" s="7">
        <v>38.0</v>
      </c>
      <c r="C283" s="7">
        <v>42.0</v>
      </c>
      <c r="D283" s="7" t="s">
        <v>3808</v>
      </c>
      <c r="E283" s="7"/>
      <c r="G283" s="5" t="str">
        <f t="shared" si="1"/>
        <v>38, 42, DRATINI</v>
      </c>
      <c r="I283" s="5" t="s">
        <v>2933</v>
      </c>
    </row>
    <row r="284" ht="12.75" customHeight="1">
      <c r="A284" s="5" t="s">
        <v>2934</v>
      </c>
      <c r="B284" s="7">
        <v>38.0</v>
      </c>
      <c r="C284" s="7">
        <v>42.0</v>
      </c>
      <c r="D284" s="7" t="s">
        <v>3809</v>
      </c>
      <c r="E284" s="7"/>
      <c r="G284" s="5" t="str">
        <f t="shared" si="1"/>
        <v>38, 42, DRAGONAIR</v>
      </c>
      <c r="I284" s="5" t="s">
        <v>2934</v>
      </c>
    </row>
    <row r="285" ht="12.75" customHeight="1">
      <c r="A285" s="5" t="s">
        <v>2935</v>
      </c>
      <c r="B285" s="7">
        <v>40.0</v>
      </c>
      <c r="C285" s="7">
        <v>44.0</v>
      </c>
      <c r="D285" s="7" t="s">
        <v>3810</v>
      </c>
      <c r="E285" s="7"/>
      <c r="G285" s="5" t="str">
        <f t="shared" si="1"/>
        <v>40, 44, DRAGONITE</v>
      </c>
      <c r="I285" s="5" t="s">
        <v>2935</v>
      </c>
    </row>
    <row r="286" ht="12.75" customHeight="1">
      <c r="A286" s="5" t="s">
        <v>2539</v>
      </c>
      <c r="B286" s="7" t="s">
        <v>2539</v>
      </c>
      <c r="C286" s="7"/>
      <c r="D286" s="7"/>
      <c r="E286" s="7"/>
      <c r="G286" s="5" t="str">
        <f t="shared" si="1"/>
        <v>NEW ROUTE</v>
      </c>
      <c r="I286" s="5" t="s">
        <v>2539</v>
      </c>
    </row>
    <row r="287" ht="12.75" customHeight="1">
      <c r="A287" s="5" t="s">
        <v>1683</v>
      </c>
      <c r="B287" s="7" t="s">
        <v>1683</v>
      </c>
      <c r="C287" s="7"/>
      <c r="D287" s="7"/>
      <c r="E287" s="7"/>
      <c r="G287" s="5" t="str">
        <f t="shared" si="1"/>
        <v>Safari Zone East</v>
      </c>
      <c r="I287" s="5" t="s">
        <v>1683</v>
      </c>
    </row>
    <row r="288" ht="12.75" customHeight="1">
      <c r="A288" s="5">
        <v>0.2</v>
      </c>
      <c r="B288" s="5">
        <v>0.2</v>
      </c>
      <c r="C288" s="7"/>
      <c r="D288" s="7"/>
      <c r="E288" s="7"/>
      <c r="G288" s="5">
        <f t="shared" si="1"/>
        <v>0.2</v>
      </c>
      <c r="I288" s="5">
        <v>0.2</v>
      </c>
    </row>
    <row r="289" ht="12.75" customHeight="1">
      <c r="A289" s="5" t="s">
        <v>484</v>
      </c>
      <c r="B289" s="7">
        <v>35.0</v>
      </c>
      <c r="C289" s="7">
        <v>40.0</v>
      </c>
      <c r="D289" s="7" t="s">
        <v>3788</v>
      </c>
      <c r="E289" s="7"/>
      <c r="G289" s="5" t="str">
        <f t="shared" si="1"/>
        <v>35, 40, NIDOKING</v>
      </c>
      <c r="I289" s="5" t="s">
        <v>484</v>
      </c>
    </row>
    <row r="290" ht="12.75" customHeight="1">
      <c r="A290" s="5" t="s">
        <v>2910</v>
      </c>
      <c r="B290" s="7">
        <v>35.0</v>
      </c>
      <c r="C290" s="7">
        <v>40.0</v>
      </c>
      <c r="D290" s="7" t="s">
        <v>3789</v>
      </c>
      <c r="E290" s="7"/>
      <c r="G290" s="5" t="str">
        <f t="shared" si="1"/>
        <v>35, 40, NIDOQUEEN</v>
      </c>
      <c r="I290" s="5" t="s">
        <v>2910</v>
      </c>
    </row>
    <row r="291" ht="12.75" customHeight="1">
      <c r="A291" s="5">
        <v>0.1</v>
      </c>
      <c r="B291" s="5">
        <v>0.1</v>
      </c>
      <c r="C291" s="7"/>
      <c r="D291" s="7"/>
      <c r="E291" s="7"/>
      <c r="G291" s="5">
        <f t="shared" si="1"/>
        <v>0.1</v>
      </c>
      <c r="I291" s="5">
        <v>0.1</v>
      </c>
    </row>
    <row r="292" ht="12.75" customHeight="1">
      <c r="A292" s="5" t="s">
        <v>2911</v>
      </c>
      <c r="B292" s="7">
        <v>36.0</v>
      </c>
      <c r="C292" s="7">
        <v>41.0</v>
      </c>
      <c r="D292" s="7" t="s">
        <v>3790</v>
      </c>
      <c r="E292" s="7"/>
      <c r="G292" s="5" t="str">
        <f t="shared" si="1"/>
        <v>36, 41, PARASECT</v>
      </c>
      <c r="I292" s="5" t="s">
        <v>2911</v>
      </c>
    </row>
    <row r="293" ht="12.75" customHeight="1">
      <c r="A293" s="5" t="s">
        <v>2912</v>
      </c>
      <c r="B293" s="7">
        <v>36.0</v>
      </c>
      <c r="C293" s="7">
        <v>41.0</v>
      </c>
      <c r="D293" s="7" t="s">
        <v>3791</v>
      </c>
      <c r="E293" s="7"/>
      <c r="G293" s="5" t="str">
        <f t="shared" si="1"/>
        <v>36, 41, VENOMOTH</v>
      </c>
      <c r="I293" s="5" t="s">
        <v>2912</v>
      </c>
    </row>
    <row r="294" ht="12.75" customHeight="1">
      <c r="A294" s="5" t="s">
        <v>2937</v>
      </c>
      <c r="B294" s="7">
        <v>36.0</v>
      </c>
      <c r="C294" s="7">
        <v>41.0</v>
      </c>
      <c r="D294" s="7" t="s">
        <v>3811</v>
      </c>
      <c r="E294" s="7"/>
      <c r="G294" s="5" t="str">
        <f t="shared" si="1"/>
        <v>36, 41, DODRIO</v>
      </c>
      <c r="I294" s="5" t="s">
        <v>2937</v>
      </c>
    </row>
    <row r="295" ht="12.75" customHeight="1">
      <c r="A295" s="5" t="s">
        <v>2938</v>
      </c>
      <c r="B295" s="7">
        <v>36.0</v>
      </c>
      <c r="C295" s="7">
        <v>41.0</v>
      </c>
      <c r="D295" s="7" t="s">
        <v>3812</v>
      </c>
      <c r="E295" s="7"/>
      <c r="G295" s="5" t="str">
        <f t="shared" si="1"/>
        <v>36, 41, MAGMAR</v>
      </c>
      <c r="I295" s="5" t="s">
        <v>2938</v>
      </c>
    </row>
    <row r="296" ht="12.75" customHeight="1">
      <c r="A296" s="5">
        <v>0.05</v>
      </c>
      <c r="B296" s="5">
        <v>0.05</v>
      </c>
      <c r="C296" s="7"/>
      <c r="D296" s="7"/>
      <c r="E296" s="7"/>
      <c r="G296" s="5">
        <f t="shared" si="1"/>
        <v>0.05</v>
      </c>
      <c r="I296" s="5">
        <v>0.05</v>
      </c>
    </row>
    <row r="297" ht="12.75" customHeight="1">
      <c r="A297" s="5" t="s">
        <v>2915</v>
      </c>
      <c r="B297" s="7">
        <v>37.0</v>
      </c>
      <c r="C297" s="7">
        <v>39.0</v>
      </c>
      <c r="D297" s="7" t="s">
        <v>3794</v>
      </c>
      <c r="E297" s="7"/>
      <c r="G297" s="5" t="str">
        <f t="shared" si="1"/>
        <v>37, 39, SCIZOR</v>
      </c>
      <c r="I297" s="5" t="s">
        <v>2915</v>
      </c>
    </row>
    <row r="298" ht="12.75" customHeight="1">
      <c r="A298" s="5" t="s">
        <v>2916</v>
      </c>
      <c r="B298" s="7">
        <v>37.0</v>
      </c>
      <c r="C298" s="7">
        <v>39.0</v>
      </c>
      <c r="D298" s="7" t="s">
        <v>3795</v>
      </c>
      <c r="E298" s="7"/>
      <c r="G298" s="5" t="str">
        <f t="shared" si="1"/>
        <v>37, 39, PINSIRIOR</v>
      </c>
      <c r="I298" s="5" t="s">
        <v>2916</v>
      </c>
    </row>
    <row r="299" ht="12.75" customHeight="1">
      <c r="A299" s="5">
        <v>0.04</v>
      </c>
      <c r="B299" s="5">
        <v>0.04</v>
      </c>
      <c r="C299" s="7"/>
      <c r="D299" s="7"/>
      <c r="E299" s="7"/>
      <c r="G299" s="5">
        <f t="shared" si="1"/>
        <v>0.04</v>
      </c>
      <c r="I299" s="5">
        <v>0.04</v>
      </c>
    </row>
    <row r="300" ht="12.75" customHeight="1">
      <c r="A300" s="5" t="s">
        <v>2939</v>
      </c>
      <c r="B300" s="7">
        <v>38.0</v>
      </c>
      <c r="C300" s="7">
        <v>42.0</v>
      </c>
      <c r="D300" s="7" t="s">
        <v>3813</v>
      </c>
      <c r="E300" s="7"/>
      <c r="G300" s="5" t="str">
        <f t="shared" si="1"/>
        <v>38, 42, KANGASKHAN</v>
      </c>
      <c r="I300" s="5" t="s">
        <v>2939</v>
      </c>
    </row>
    <row r="301" ht="12.75" customHeight="1">
      <c r="A301" s="5" t="s">
        <v>2940</v>
      </c>
      <c r="B301" s="7">
        <v>38.0</v>
      </c>
      <c r="C301" s="7">
        <v>42.0</v>
      </c>
      <c r="D301" s="7" t="s">
        <v>3814</v>
      </c>
      <c r="E301" s="7"/>
      <c r="G301" s="5" t="str">
        <f t="shared" si="1"/>
        <v>38, 42, HITMONCHAN</v>
      </c>
      <c r="I301" s="5" t="s">
        <v>2940</v>
      </c>
    </row>
    <row r="302" ht="12.75" customHeight="1">
      <c r="A302" s="5">
        <v>0.01</v>
      </c>
      <c r="B302" s="5">
        <v>0.01</v>
      </c>
      <c r="C302" s="7"/>
      <c r="D302" s="7"/>
      <c r="E302" s="7"/>
      <c r="G302" s="5">
        <f t="shared" si="1"/>
        <v>0.01</v>
      </c>
      <c r="I302" s="5">
        <v>0.01</v>
      </c>
    </row>
    <row r="303" ht="12.75" customHeight="1">
      <c r="A303" s="5" t="s">
        <v>2941</v>
      </c>
      <c r="B303" s="7">
        <v>40.0</v>
      </c>
      <c r="C303" s="7">
        <v>40.0</v>
      </c>
      <c r="D303" s="7" t="s">
        <v>3815</v>
      </c>
      <c r="E303" s="7"/>
      <c r="G303" s="5" t="str">
        <f t="shared" si="1"/>
        <v>40, 40, KANGALLOUS</v>
      </c>
      <c r="I303" s="5" t="s">
        <v>2941</v>
      </c>
    </row>
    <row r="304" ht="12.75" customHeight="1">
      <c r="A304" s="5" t="s">
        <v>2942</v>
      </c>
      <c r="B304" s="7">
        <v>40.0</v>
      </c>
      <c r="C304" s="7">
        <v>40.0</v>
      </c>
      <c r="D304" s="7" t="s">
        <v>3816</v>
      </c>
      <c r="E304" s="7"/>
      <c r="G304" s="5" t="str">
        <f t="shared" si="1"/>
        <v>40, 40, MAGMORTAR</v>
      </c>
      <c r="I304" s="5" t="s">
        <v>2942</v>
      </c>
    </row>
    <row r="305" ht="12.75" customHeight="1">
      <c r="A305" s="5" t="s">
        <v>2921</v>
      </c>
      <c r="B305" s="7">
        <v>2.0</v>
      </c>
      <c r="C305" s="7">
        <v>38.0</v>
      </c>
      <c r="D305" s="7">
        <v>42.0</v>
      </c>
      <c r="E305" s="7" t="s">
        <v>3756</v>
      </c>
      <c r="G305" s="5" t="str">
        <f t="shared" si="1"/>
        <v>2, 38, 42, SLOWPOKE</v>
      </c>
      <c r="I305" s="5" t="s">
        <v>2921</v>
      </c>
    </row>
    <row r="306" ht="12.75" customHeight="1">
      <c r="A306" s="5" t="s">
        <v>2922</v>
      </c>
      <c r="B306" s="7">
        <v>40.0</v>
      </c>
      <c r="C306" s="7">
        <v>42.0</v>
      </c>
      <c r="D306" s="7" t="s">
        <v>3800</v>
      </c>
      <c r="E306" s="7"/>
      <c r="G306" s="5" t="str">
        <f t="shared" si="1"/>
        <v>40, 42, PSYDUCK</v>
      </c>
      <c r="I306" s="5" t="s">
        <v>2922</v>
      </c>
    </row>
    <row r="307" ht="12.75" customHeight="1">
      <c r="A307" s="5" t="s">
        <v>2923</v>
      </c>
      <c r="B307" s="7">
        <v>42.0</v>
      </c>
      <c r="C307" s="7">
        <v>46.0</v>
      </c>
      <c r="D307" s="7" t="s">
        <v>3801</v>
      </c>
      <c r="E307" s="7"/>
      <c r="G307" s="5" t="str">
        <f t="shared" si="1"/>
        <v>42, 46, SLOWBRO</v>
      </c>
      <c r="I307" s="5" t="s">
        <v>2923</v>
      </c>
    </row>
    <row r="308" ht="12.75" customHeight="1">
      <c r="A308" s="5" t="s">
        <v>2924</v>
      </c>
      <c r="B308" s="7">
        <v>42.0</v>
      </c>
      <c r="C308" s="7">
        <v>46.0</v>
      </c>
      <c r="D308" s="7" t="s">
        <v>3802</v>
      </c>
      <c r="E308" s="7"/>
      <c r="G308" s="5" t="str">
        <f t="shared" si="1"/>
        <v>42, 46, GOLDUCK</v>
      </c>
      <c r="I308" s="5" t="s">
        <v>2924</v>
      </c>
    </row>
    <row r="309" ht="12.75" customHeight="1">
      <c r="A309" s="5" t="s">
        <v>2925</v>
      </c>
      <c r="B309" s="7">
        <v>44.0</v>
      </c>
      <c r="C309" s="7">
        <v>48.0</v>
      </c>
      <c r="D309" s="7" t="s">
        <v>3803</v>
      </c>
      <c r="E309" s="7"/>
      <c r="G309" s="5" t="str">
        <f t="shared" si="1"/>
        <v>44, 48, VAPOREON</v>
      </c>
      <c r="I309" s="5" t="s">
        <v>2925</v>
      </c>
    </row>
    <row r="310" ht="12.75" customHeight="1">
      <c r="A310" s="5" t="s">
        <v>2926</v>
      </c>
      <c r="B310" s="7">
        <v>20.0</v>
      </c>
      <c r="C310" s="7" t="s">
        <v>3749</v>
      </c>
      <c r="D310" s="7"/>
      <c r="E310" s="7"/>
      <c r="G310" s="5" t="str">
        <f t="shared" si="1"/>
        <v>old rod:</v>
      </c>
      <c r="I310" s="5" t="s">
        <v>3750</v>
      </c>
    </row>
    <row r="311" ht="12.75" customHeight="1">
      <c r="A311" s="5" t="s">
        <v>500</v>
      </c>
      <c r="B311" s="7">
        <v>19.0</v>
      </c>
      <c r="C311" s="7">
        <v>26.0</v>
      </c>
      <c r="D311" s="7" t="s">
        <v>3751</v>
      </c>
      <c r="E311" s="7"/>
      <c r="G311" s="5" t="str">
        <f t="shared" si="1"/>
        <v>19, 26, MAGIKARP</v>
      </c>
      <c r="I311" s="5" t="s">
        <v>500</v>
      </c>
    </row>
    <row r="312" ht="12.75" customHeight="1">
      <c r="A312" s="5" t="s">
        <v>2927</v>
      </c>
      <c r="B312" s="7">
        <v>19.0</v>
      </c>
      <c r="C312" s="7">
        <v>26.0</v>
      </c>
      <c r="D312" s="7" t="s">
        <v>3804</v>
      </c>
      <c r="E312" s="7"/>
      <c r="G312" s="5" t="str">
        <f t="shared" si="1"/>
        <v>19, 26, POLIWAG</v>
      </c>
      <c r="I312" s="5" t="s">
        <v>2927</v>
      </c>
    </row>
    <row r="313" ht="12.75" customHeight="1">
      <c r="A313" s="5" t="s">
        <v>2847</v>
      </c>
      <c r="B313" s="7" t="s">
        <v>2847</v>
      </c>
      <c r="C313" s="7"/>
      <c r="D313" s="7"/>
      <c r="E313" s="7"/>
      <c r="G313" s="5" t="str">
        <f t="shared" si="1"/>
        <v>good rod:</v>
      </c>
      <c r="I313" s="5" t="s">
        <v>2847</v>
      </c>
    </row>
    <row r="314" ht="12.75" customHeight="1">
      <c r="A314" s="5" t="s">
        <v>2928</v>
      </c>
      <c r="B314" s="7">
        <v>29.0</v>
      </c>
      <c r="C314" s="7">
        <v>33.0</v>
      </c>
      <c r="D314" s="7" t="s">
        <v>3755</v>
      </c>
      <c r="E314" s="7"/>
      <c r="G314" s="5" t="str">
        <f t="shared" si="1"/>
        <v>29, 33, GYARADOS</v>
      </c>
      <c r="I314" s="5" t="s">
        <v>2928</v>
      </c>
    </row>
    <row r="315" ht="12.75" customHeight="1">
      <c r="A315" s="5" t="s">
        <v>2929</v>
      </c>
      <c r="B315" s="7">
        <v>30.0</v>
      </c>
      <c r="C315" s="7">
        <v>35.0</v>
      </c>
      <c r="D315" s="7" t="s">
        <v>3804</v>
      </c>
      <c r="E315" s="7"/>
      <c r="G315" s="5" t="str">
        <f t="shared" si="1"/>
        <v>30, 35, POLIWAG</v>
      </c>
      <c r="I315" s="5" t="s">
        <v>2929</v>
      </c>
    </row>
    <row r="316" ht="12.75" customHeight="1">
      <c r="A316" s="5" t="s">
        <v>2930</v>
      </c>
      <c r="B316" s="7">
        <v>30.0</v>
      </c>
      <c r="C316" s="7">
        <v>35.0</v>
      </c>
      <c r="D316" s="7" t="s">
        <v>3805</v>
      </c>
      <c r="E316" s="7"/>
      <c r="G316" s="5" t="str">
        <f t="shared" si="1"/>
        <v>30, 35, GOLDEEN</v>
      </c>
      <c r="I316" s="5" t="s">
        <v>2930</v>
      </c>
    </row>
    <row r="317" ht="12.75" customHeight="1">
      <c r="A317" s="5" t="s">
        <v>2851</v>
      </c>
      <c r="B317" s="7" t="s">
        <v>2851</v>
      </c>
      <c r="C317" s="7"/>
      <c r="D317" s="7"/>
      <c r="E317" s="7"/>
      <c r="G317" s="5" t="str">
        <f t="shared" si="1"/>
        <v>super rod:</v>
      </c>
      <c r="I317" s="5" t="s">
        <v>2851</v>
      </c>
    </row>
    <row r="318" ht="12.75" customHeight="1">
      <c r="A318" s="5" t="s">
        <v>2931</v>
      </c>
      <c r="B318" s="7">
        <v>36.0</v>
      </c>
      <c r="C318" s="7">
        <v>40.0</v>
      </c>
      <c r="D318" s="7" t="s">
        <v>3806</v>
      </c>
      <c r="E318" s="7"/>
      <c r="G318" s="5" t="str">
        <f t="shared" si="1"/>
        <v>36, 40, POLIWHIRL</v>
      </c>
      <c r="I318" s="5" t="s">
        <v>2931</v>
      </c>
    </row>
    <row r="319" ht="12.75" customHeight="1">
      <c r="A319" s="5" t="s">
        <v>2932</v>
      </c>
      <c r="B319" s="7">
        <v>36.0</v>
      </c>
      <c r="C319" s="7">
        <v>40.0</v>
      </c>
      <c r="D319" s="7" t="s">
        <v>3807</v>
      </c>
      <c r="E319" s="7"/>
      <c r="G319" s="5" t="str">
        <f t="shared" si="1"/>
        <v>36, 40, SEAKING</v>
      </c>
      <c r="I319" s="5" t="s">
        <v>2932</v>
      </c>
    </row>
    <row r="320" ht="12.75" customHeight="1">
      <c r="A320" s="5" t="s">
        <v>2933</v>
      </c>
      <c r="B320" s="7">
        <v>38.0</v>
      </c>
      <c r="C320" s="7">
        <v>42.0</v>
      </c>
      <c r="D320" s="7" t="s">
        <v>3808</v>
      </c>
      <c r="E320" s="7"/>
      <c r="G320" s="5" t="str">
        <f t="shared" si="1"/>
        <v>38, 42, DRATINI</v>
      </c>
      <c r="I320" s="5" t="s">
        <v>2933</v>
      </c>
    </row>
    <row r="321" ht="12.75" customHeight="1">
      <c r="A321" s="5" t="s">
        <v>2934</v>
      </c>
      <c r="B321" s="7">
        <v>38.0</v>
      </c>
      <c r="C321" s="7">
        <v>42.0</v>
      </c>
      <c r="D321" s="7" t="s">
        <v>3809</v>
      </c>
      <c r="E321" s="7"/>
      <c r="G321" s="5" t="str">
        <f t="shared" si="1"/>
        <v>38, 42, DRAGONAIR</v>
      </c>
      <c r="I321" s="5" t="s">
        <v>2934</v>
      </c>
    </row>
    <row r="322" ht="12.75" customHeight="1">
      <c r="A322" s="5" t="s">
        <v>2935</v>
      </c>
      <c r="B322" s="7">
        <v>40.0</v>
      </c>
      <c r="C322" s="7">
        <v>44.0</v>
      </c>
      <c r="D322" s="7" t="s">
        <v>3810</v>
      </c>
      <c r="E322" s="7"/>
      <c r="G322" s="5" t="str">
        <f t="shared" si="1"/>
        <v>40, 44, DRAGONITE</v>
      </c>
      <c r="I322" s="5" t="s">
        <v>2935</v>
      </c>
    </row>
    <row r="323" ht="12.75" customHeight="1">
      <c r="A323" s="5" t="s">
        <v>2539</v>
      </c>
      <c r="B323" s="7" t="s">
        <v>2539</v>
      </c>
      <c r="C323" s="7"/>
      <c r="D323" s="7"/>
      <c r="E323" s="7"/>
      <c r="G323" s="5" t="str">
        <f t="shared" si="1"/>
        <v>NEW ROUTE</v>
      </c>
      <c r="I323" s="5" t="s">
        <v>2539</v>
      </c>
    </row>
    <row r="324" ht="12.75" customHeight="1">
      <c r="A324" s="5" t="s">
        <v>1690</v>
      </c>
      <c r="B324" s="7" t="s">
        <v>1690</v>
      </c>
      <c r="C324" s="7"/>
      <c r="D324" s="7"/>
      <c r="E324" s="7"/>
      <c r="G324" s="5" t="str">
        <f t="shared" si="1"/>
        <v>Safari Zone North</v>
      </c>
      <c r="I324" s="5" t="s">
        <v>1690</v>
      </c>
    </row>
    <row r="325" ht="12.75" customHeight="1">
      <c r="A325" s="5">
        <v>0.2</v>
      </c>
      <c r="B325" s="5">
        <v>0.2</v>
      </c>
      <c r="C325" s="7"/>
      <c r="D325" s="7"/>
      <c r="E325" s="7"/>
      <c r="G325" s="5">
        <f t="shared" si="1"/>
        <v>0.2</v>
      </c>
      <c r="I325" s="5">
        <v>0.2</v>
      </c>
    </row>
    <row r="326" ht="12.75" customHeight="1">
      <c r="A326" s="5" t="s">
        <v>484</v>
      </c>
      <c r="B326" s="7">
        <v>35.0</v>
      </c>
      <c r="C326" s="7">
        <v>40.0</v>
      </c>
      <c r="D326" s="7" t="s">
        <v>3788</v>
      </c>
      <c r="E326" s="7"/>
      <c r="G326" s="5" t="str">
        <f t="shared" si="1"/>
        <v>35, 40, NIDOKING</v>
      </c>
      <c r="I326" s="5" t="s">
        <v>484</v>
      </c>
    </row>
    <row r="327" ht="12.75" customHeight="1">
      <c r="A327" s="5" t="s">
        <v>2910</v>
      </c>
      <c r="B327" s="7">
        <v>35.0</v>
      </c>
      <c r="C327" s="7">
        <v>40.0</v>
      </c>
      <c r="D327" s="7" t="s">
        <v>3789</v>
      </c>
      <c r="E327" s="7"/>
      <c r="G327" s="5" t="str">
        <f t="shared" si="1"/>
        <v>35, 40, NIDOQUEEN</v>
      </c>
      <c r="I327" s="5" t="s">
        <v>2910</v>
      </c>
    </row>
    <row r="328" ht="12.75" customHeight="1">
      <c r="A328" s="5">
        <v>0.1</v>
      </c>
      <c r="B328" s="5">
        <v>0.1</v>
      </c>
      <c r="C328" s="7"/>
      <c r="D328" s="7"/>
      <c r="E328" s="7"/>
      <c r="G328" s="5">
        <f t="shared" si="1"/>
        <v>0.1</v>
      </c>
      <c r="I328" s="5">
        <v>0.1</v>
      </c>
    </row>
    <row r="329" ht="12.75" customHeight="1">
      <c r="A329" s="5" t="s">
        <v>2911</v>
      </c>
      <c r="B329" s="7">
        <v>36.0</v>
      </c>
      <c r="C329" s="7">
        <v>41.0</v>
      </c>
      <c r="D329" s="7" t="s">
        <v>3790</v>
      </c>
      <c r="E329" s="7"/>
      <c r="G329" s="5" t="str">
        <f t="shared" si="1"/>
        <v>36, 41, PARASECT</v>
      </c>
      <c r="I329" s="5" t="s">
        <v>2911</v>
      </c>
    </row>
    <row r="330" ht="12.75" customHeight="1">
      <c r="A330" s="5" t="s">
        <v>2912</v>
      </c>
      <c r="B330" s="7">
        <v>36.0</v>
      </c>
      <c r="C330" s="7">
        <v>41.0</v>
      </c>
      <c r="D330" s="7" t="s">
        <v>3791</v>
      </c>
      <c r="E330" s="7"/>
      <c r="G330" s="5" t="str">
        <f t="shared" si="1"/>
        <v>36, 41, VENOMOTH</v>
      </c>
      <c r="I330" s="5" t="s">
        <v>2912</v>
      </c>
    </row>
    <row r="331" ht="12.75" customHeight="1">
      <c r="A331" s="5" t="s">
        <v>2944</v>
      </c>
      <c r="B331" s="7">
        <v>36.0</v>
      </c>
      <c r="C331" s="7">
        <v>41.0</v>
      </c>
      <c r="D331" s="7" t="s">
        <v>3817</v>
      </c>
      <c r="E331" s="7"/>
      <c r="G331" s="5" t="str">
        <f t="shared" si="1"/>
        <v>36, 41, CLEFABLE</v>
      </c>
      <c r="I331" s="5" t="s">
        <v>2944</v>
      </c>
    </row>
    <row r="332" ht="12.75" customHeight="1">
      <c r="A332" s="5" t="s">
        <v>2945</v>
      </c>
      <c r="B332" s="7">
        <v>36.0</v>
      </c>
      <c r="C332" s="7">
        <v>41.0</v>
      </c>
      <c r="D332" s="7" t="s">
        <v>3818</v>
      </c>
      <c r="E332" s="7"/>
      <c r="G332" s="5" t="str">
        <f t="shared" si="1"/>
        <v>36, 41, ELECTABUZZ</v>
      </c>
      <c r="I332" s="5" t="s">
        <v>2945</v>
      </c>
    </row>
    <row r="333" ht="12.75" customHeight="1">
      <c r="A333" s="5">
        <v>0.05</v>
      </c>
      <c r="B333" s="5">
        <v>0.05</v>
      </c>
      <c r="C333" s="7"/>
      <c r="D333" s="7"/>
      <c r="E333" s="7"/>
      <c r="G333" s="5">
        <f t="shared" si="1"/>
        <v>0.05</v>
      </c>
      <c r="I333" s="5">
        <v>0.05</v>
      </c>
    </row>
    <row r="334" ht="12.75" customHeight="1">
      <c r="A334" s="5" t="s">
        <v>2915</v>
      </c>
      <c r="B334" s="7">
        <v>37.0</v>
      </c>
      <c r="C334" s="7">
        <v>39.0</v>
      </c>
      <c r="D334" s="7" t="s">
        <v>3794</v>
      </c>
      <c r="E334" s="7"/>
      <c r="G334" s="5" t="str">
        <f t="shared" si="1"/>
        <v>37, 39, SCIZOR</v>
      </c>
      <c r="I334" s="5" t="s">
        <v>2915</v>
      </c>
    </row>
    <row r="335" ht="12.75" customHeight="1">
      <c r="A335" s="5" t="s">
        <v>2916</v>
      </c>
      <c r="B335" s="7">
        <v>37.0</v>
      </c>
      <c r="C335" s="7">
        <v>39.0</v>
      </c>
      <c r="D335" s="7" t="s">
        <v>3795</v>
      </c>
      <c r="E335" s="7"/>
      <c r="G335" s="5" t="str">
        <f t="shared" si="1"/>
        <v>37, 39, PINSIRIOR</v>
      </c>
      <c r="I335" s="5" t="s">
        <v>2916</v>
      </c>
    </row>
    <row r="336" ht="12.75" customHeight="1">
      <c r="A336" s="5">
        <v>0.04</v>
      </c>
      <c r="B336" s="5">
        <v>0.04</v>
      </c>
      <c r="C336" s="7"/>
      <c r="D336" s="7"/>
      <c r="E336" s="7"/>
      <c r="G336" s="5">
        <f t="shared" si="1"/>
        <v>0.04</v>
      </c>
      <c r="I336" s="5">
        <v>0.04</v>
      </c>
    </row>
    <row r="337" ht="12.75" customHeight="1">
      <c r="A337" s="5" t="s">
        <v>2946</v>
      </c>
      <c r="B337" s="7">
        <v>38.0</v>
      </c>
      <c r="C337" s="7">
        <v>42.0</v>
      </c>
      <c r="D337" s="7" t="s">
        <v>3819</v>
      </c>
      <c r="E337" s="7"/>
      <c r="G337" s="5" t="str">
        <f t="shared" si="1"/>
        <v>38, 42, TAUROS</v>
      </c>
      <c r="I337" s="5" t="s">
        <v>2946</v>
      </c>
    </row>
    <row r="338" ht="12.75" customHeight="1">
      <c r="A338" s="5" t="s">
        <v>2947</v>
      </c>
      <c r="B338" s="7">
        <v>38.0</v>
      </c>
      <c r="C338" s="7">
        <v>42.0</v>
      </c>
      <c r="D338" s="7" t="s">
        <v>3820</v>
      </c>
      <c r="E338" s="7"/>
      <c r="G338" s="5" t="str">
        <f t="shared" si="1"/>
        <v>38, 42, FLAREON</v>
      </c>
      <c r="I338" s="5" t="s">
        <v>2947</v>
      </c>
    </row>
    <row r="339" ht="12.75" customHeight="1">
      <c r="A339" s="5">
        <v>0.01</v>
      </c>
      <c r="B339" s="5">
        <v>0.01</v>
      </c>
      <c r="C339" s="7"/>
      <c r="D339" s="7"/>
      <c r="E339" s="7"/>
      <c r="G339" s="5">
        <f t="shared" si="1"/>
        <v>0.01</v>
      </c>
      <c r="I339" s="5">
        <v>0.01</v>
      </c>
    </row>
    <row r="340" ht="12.75" customHeight="1">
      <c r="A340" s="5" t="s">
        <v>2948</v>
      </c>
      <c r="B340" s="7">
        <v>40.0</v>
      </c>
      <c r="C340" s="7">
        <v>40.0</v>
      </c>
      <c r="D340" s="7" t="s">
        <v>3821</v>
      </c>
      <c r="E340" s="7"/>
      <c r="G340" s="5" t="str">
        <f t="shared" si="1"/>
        <v>40, 40, TAUROX</v>
      </c>
      <c r="I340" s="5" t="s">
        <v>2948</v>
      </c>
    </row>
    <row r="341" ht="12.75" customHeight="1">
      <c r="A341" s="5" t="s">
        <v>2949</v>
      </c>
      <c r="B341" s="7">
        <v>40.0</v>
      </c>
      <c r="C341" s="7">
        <v>40.0</v>
      </c>
      <c r="D341" s="7" t="s">
        <v>3822</v>
      </c>
      <c r="E341" s="7"/>
      <c r="G341" s="5" t="str">
        <f t="shared" si="1"/>
        <v>40, 40, ELECTIVIRE</v>
      </c>
      <c r="I341" s="5" t="s">
        <v>2949</v>
      </c>
    </row>
    <row r="342" ht="12.75" customHeight="1">
      <c r="A342" s="5" t="s">
        <v>2921</v>
      </c>
      <c r="B342" s="7">
        <v>2.0</v>
      </c>
      <c r="C342" s="7">
        <v>38.0</v>
      </c>
      <c r="D342" s="7">
        <v>42.0</v>
      </c>
      <c r="E342" s="7" t="s">
        <v>3756</v>
      </c>
      <c r="G342" s="5" t="str">
        <f t="shared" si="1"/>
        <v>2, 38, 42, SLOWPOKE</v>
      </c>
      <c r="I342" s="5" t="s">
        <v>2921</v>
      </c>
    </row>
    <row r="343" ht="12.75" customHeight="1">
      <c r="A343" s="5" t="s">
        <v>2922</v>
      </c>
      <c r="B343" s="7">
        <v>40.0</v>
      </c>
      <c r="C343" s="7">
        <v>42.0</v>
      </c>
      <c r="D343" s="7" t="s">
        <v>3800</v>
      </c>
      <c r="E343" s="7"/>
      <c r="G343" s="5" t="str">
        <f t="shared" si="1"/>
        <v>40, 42, PSYDUCK</v>
      </c>
      <c r="I343" s="5" t="s">
        <v>2922</v>
      </c>
    </row>
    <row r="344" ht="12.75" customHeight="1">
      <c r="A344" s="5" t="s">
        <v>2923</v>
      </c>
      <c r="B344" s="7">
        <v>42.0</v>
      </c>
      <c r="C344" s="7">
        <v>46.0</v>
      </c>
      <c r="D344" s="7" t="s">
        <v>3801</v>
      </c>
      <c r="E344" s="7"/>
      <c r="G344" s="5" t="str">
        <f t="shared" si="1"/>
        <v>42, 46, SLOWBRO</v>
      </c>
      <c r="I344" s="5" t="s">
        <v>2923</v>
      </c>
    </row>
    <row r="345" ht="12.75" customHeight="1">
      <c r="A345" s="5" t="s">
        <v>2924</v>
      </c>
      <c r="B345" s="7">
        <v>42.0</v>
      </c>
      <c r="C345" s="7">
        <v>46.0</v>
      </c>
      <c r="D345" s="7" t="s">
        <v>3802</v>
      </c>
      <c r="E345" s="7"/>
      <c r="G345" s="5" t="str">
        <f t="shared" si="1"/>
        <v>42, 46, GOLDUCK</v>
      </c>
      <c r="I345" s="5" t="s">
        <v>2924</v>
      </c>
    </row>
    <row r="346" ht="12.75" customHeight="1">
      <c r="A346" s="5" t="s">
        <v>2925</v>
      </c>
      <c r="B346" s="7">
        <v>44.0</v>
      </c>
      <c r="C346" s="7">
        <v>48.0</v>
      </c>
      <c r="D346" s="7" t="s">
        <v>3803</v>
      </c>
      <c r="E346" s="7"/>
      <c r="G346" s="5" t="str">
        <f t="shared" si="1"/>
        <v>44, 48, VAPOREON</v>
      </c>
      <c r="I346" s="5" t="s">
        <v>2925</v>
      </c>
    </row>
    <row r="347" ht="12.75" customHeight="1">
      <c r="A347" s="5" t="s">
        <v>2926</v>
      </c>
      <c r="B347" s="7">
        <v>20.0</v>
      </c>
      <c r="C347" s="7" t="s">
        <v>3749</v>
      </c>
      <c r="D347" s="7"/>
      <c r="E347" s="7"/>
      <c r="G347" s="5" t="str">
        <f t="shared" si="1"/>
        <v>old rod:</v>
      </c>
      <c r="I347" s="5" t="s">
        <v>3750</v>
      </c>
    </row>
    <row r="348" ht="12.75" customHeight="1">
      <c r="A348" s="5" t="s">
        <v>500</v>
      </c>
      <c r="B348" s="7">
        <v>19.0</v>
      </c>
      <c r="C348" s="7">
        <v>26.0</v>
      </c>
      <c r="D348" s="7" t="s">
        <v>3751</v>
      </c>
      <c r="E348" s="7"/>
      <c r="G348" s="5" t="str">
        <f t="shared" si="1"/>
        <v>19, 26, MAGIKARP</v>
      </c>
      <c r="I348" s="5" t="s">
        <v>500</v>
      </c>
    </row>
    <row r="349" ht="12.75" customHeight="1">
      <c r="A349" s="5" t="s">
        <v>2927</v>
      </c>
      <c r="B349" s="7">
        <v>19.0</v>
      </c>
      <c r="C349" s="7">
        <v>26.0</v>
      </c>
      <c r="D349" s="7" t="s">
        <v>3804</v>
      </c>
      <c r="E349" s="7"/>
      <c r="G349" s="5" t="str">
        <f t="shared" si="1"/>
        <v>19, 26, POLIWAG</v>
      </c>
      <c r="I349" s="5" t="s">
        <v>2927</v>
      </c>
    </row>
    <row r="350" ht="12.75" customHeight="1">
      <c r="A350" s="5" t="s">
        <v>2847</v>
      </c>
      <c r="B350" s="7" t="s">
        <v>2847</v>
      </c>
      <c r="C350" s="7"/>
      <c r="D350" s="7"/>
      <c r="E350" s="7"/>
      <c r="G350" s="5" t="str">
        <f t="shared" si="1"/>
        <v>good rod:</v>
      </c>
      <c r="I350" s="5" t="s">
        <v>2847</v>
      </c>
    </row>
    <row r="351" ht="12.75" customHeight="1">
      <c r="A351" s="5" t="s">
        <v>2928</v>
      </c>
      <c r="B351" s="7">
        <v>29.0</v>
      </c>
      <c r="C351" s="7">
        <v>33.0</v>
      </c>
      <c r="D351" s="7" t="s">
        <v>3755</v>
      </c>
      <c r="E351" s="7"/>
      <c r="G351" s="5" t="str">
        <f t="shared" si="1"/>
        <v>29, 33, GYARADOS</v>
      </c>
      <c r="I351" s="5" t="s">
        <v>2928</v>
      </c>
    </row>
    <row r="352" ht="12.75" customHeight="1">
      <c r="A352" s="5" t="s">
        <v>2929</v>
      </c>
      <c r="B352" s="7">
        <v>30.0</v>
      </c>
      <c r="C352" s="7">
        <v>35.0</v>
      </c>
      <c r="D352" s="7" t="s">
        <v>3804</v>
      </c>
      <c r="E352" s="7"/>
      <c r="G352" s="5" t="str">
        <f t="shared" si="1"/>
        <v>30, 35, POLIWAG</v>
      </c>
      <c r="I352" s="5" t="s">
        <v>2929</v>
      </c>
    </row>
    <row r="353" ht="12.75" customHeight="1">
      <c r="A353" s="5" t="s">
        <v>2930</v>
      </c>
      <c r="B353" s="7">
        <v>30.0</v>
      </c>
      <c r="C353" s="7">
        <v>35.0</v>
      </c>
      <c r="D353" s="7" t="s">
        <v>3805</v>
      </c>
      <c r="E353" s="7"/>
      <c r="G353" s="5" t="str">
        <f t="shared" si="1"/>
        <v>30, 35, GOLDEEN</v>
      </c>
      <c r="I353" s="5" t="s">
        <v>2930</v>
      </c>
    </row>
    <row r="354" ht="12.75" customHeight="1">
      <c r="A354" s="5" t="s">
        <v>2851</v>
      </c>
      <c r="B354" s="7" t="s">
        <v>2851</v>
      </c>
      <c r="C354" s="7"/>
      <c r="D354" s="7"/>
      <c r="E354" s="7"/>
      <c r="G354" s="5" t="str">
        <f t="shared" si="1"/>
        <v>super rod:</v>
      </c>
      <c r="I354" s="5" t="s">
        <v>2851</v>
      </c>
    </row>
    <row r="355" ht="12.75" customHeight="1">
      <c r="A355" s="5" t="s">
        <v>2931</v>
      </c>
      <c r="B355" s="7">
        <v>36.0</v>
      </c>
      <c r="C355" s="7">
        <v>40.0</v>
      </c>
      <c r="D355" s="7" t="s">
        <v>3806</v>
      </c>
      <c r="E355" s="7"/>
      <c r="G355" s="5" t="str">
        <f t="shared" si="1"/>
        <v>36, 40, POLIWHIRL</v>
      </c>
      <c r="I355" s="5" t="s">
        <v>2931</v>
      </c>
    </row>
    <row r="356" ht="12.75" customHeight="1">
      <c r="A356" s="5" t="s">
        <v>2932</v>
      </c>
      <c r="B356" s="7">
        <v>36.0</v>
      </c>
      <c r="C356" s="7">
        <v>40.0</v>
      </c>
      <c r="D356" s="7" t="s">
        <v>3807</v>
      </c>
      <c r="E356" s="7"/>
      <c r="G356" s="5" t="str">
        <f t="shared" si="1"/>
        <v>36, 40, SEAKING</v>
      </c>
      <c r="I356" s="5" t="s">
        <v>2932</v>
      </c>
    </row>
    <row r="357" ht="12.75" customHeight="1">
      <c r="A357" s="5" t="s">
        <v>2933</v>
      </c>
      <c r="B357" s="7">
        <v>38.0</v>
      </c>
      <c r="C357" s="7">
        <v>42.0</v>
      </c>
      <c r="D357" s="7" t="s">
        <v>3808</v>
      </c>
      <c r="E357" s="7"/>
      <c r="G357" s="5" t="str">
        <f t="shared" si="1"/>
        <v>38, 42, DRATINI</v>
      </c>
      <c r="I357" s="5" t="s">
        <v>2933</v>
      </c>
    </row>
    <row r="358" ht="12.75" customHeight="1">
      <c r="A358" s="5" t="s">
        <v>2934</v>
      </c>
      <c r="B358" s="7">
        <v>38.0</v>
      </c>
      <c r="C358" s="7">
        <v>42.0</v>
      </c>
      <c r="D358" s="7" t="s">
        <v>3809</v>
      </c>
      <c r="E358" s="7"/>
      <c r="G358" s="5" t="str">
        <f t="shared" si="1"/>
        <v>38, 42, DRAGONAIR</v>
      </c>
      <c r="I358" s="5" t="s">
        <v>2934</v>
      </c>
    </row>
    <row r="359" ht="12.75" customHeight="1">
      <c r="A359" s="5" t="s">
        <v>2935</v>
      </c>
      <c r="B359" s="7">
        <v>40.0</v>
      </c>
      <c r="C359" s="7">
        <v>44.0</v>
      </c>
      <c r="D359" s="7" t="s">
        <v>3810</v>
      </c>
      <c r="E359" s="7"/>
      <c r="G359" s="5" t="str">
        <f t="shared" si="1"/>
        <v>40, 44, DRAGONITE</v>
      </c>
      <c r="I359" s="5" t="s">
        <v>2935</v>
      </c>
    </row>
    <row r="360" ht="12.75" customHeight="1">
      <c r="A360" s="5" t="s">
        <v>2539</v>
      </c>
      <c r="B360" s="7" t="s">
        <v>2539</v>
      </c>
      <c r="C360" s="7"/>
      <c r="D360" s="7"/>
      <c r="E360" s="7"/>
      <c r="G360" s="5" t="str">
        <f t="shared" si="1"/>
        <v>NEW ROUTE</v>
      </c>
      <c r="I360" s="5" t="s">
        <v>2539</v>
      </c>
    </row>
    <row r="361" ht="12.75" customHeight="1">
      <c r="A361" s="5" t="s">
        <v>1696</v>
      </c>
      <c r="B361" s="7" t="s">
        <v>1696</v>
      </c>
      <c r="C361" s="7"/>
      <c r="D361" s="7"/>
      <c r="E361" s="7"/>
      <c r="G361" s="5" t="str">
        <f t="shared" si="1"/>
        <v>Safari Zone West</v>
      </c>
      <c r="I361" s="5" t="s">
        <v>1696</v>
      </c>
    </row>
    <row r="362" ht="12.75" customHeight="1">
      <c r="A362" s="5">
        <v>0.2</v>
      </c>
      <c r="B362" s="5">
        <v>0.2</v>
      </c>
      <c r="C362" s="7"/>
      <c r="D362" s="7"/>
      <c r="E362" s="7"/>
      <c r="G362" s="5">
        <f t="shared" si="1"/>
        <v>0.2</v>
      </c>
      <c r="I362" s="5">
        <v>0.2</v>
      </c>
    </row>
    <row r="363" ht="12.75" customHeight="1">
      <c r="A363" s="5" t="s">
        <v>484</v>
      </c>
      <c r="B363" s="7">
        <v>35.0</v>
      </c>
      <c r="C363" s="7">
        <v>40.0</v>
      </c>
      <c r="D363" s="7" t="s">
        <v>3788</v>
      </c>
      <c r="E363" s="7"/>
      <c r="G363" s="5" t="str">
        <f t="shared" si="1"/>
        <v>35, 40, NIDOKING</v>
      </c>
      <c r="I363" s="5" t="s">
        <v>484</v>
      </c>
    </row>
    <row r="364" ht="12.75" customHeight="1">
      <c r="A364" s="5" t="s">
        <v>2910</v>
      </c>
      <c r="B364" s="7">
        <v>35.0</v>
      </c>
      <c r="C364" s="7">
        <v>40.0</v>
      </c>
      <c r="D364" s="7" t="s">
        <v>3789</v>
      </c>
      <c r="E364" s="7"/>
      <c r="G364" s="5" t="str">
        <f t="shared" si="1"/>
        <v>35, 40, NIDOQUEEN</v>
      </c>
      <c r="I364" s="5" t="s">
        <v>2910</v>
      </c>
    </row>
    <row r="365" ht="12.75" customHeight="1">
      <c r="A365" s="5">
        <v>0.1</v>
      </c>
      <c r="B365" s="5">
        <v>0.1</v>
      </c>
      <c r="C365" s="7"/>
      <c r="D365" s="7"/>
      <c r="E365" s="7"/>
      <c r="G365" s="5">
        <f t="shared" si="1"/>
        <v>0.1</v>
      </c>
      <c r="I365" s="5">
        <v>0.1</v>
      </c>
    </row>
    <row r="366" ht="12.75" customHeight="1">
      <c r="A366" s="5" t="s">
        <v>2911</v>
      </c>
      <c r="B366" s="7">
        <v>36.0</v>
      </c>
      <c r="C366" s="7">
        <v>41.0</v>
      </c>
      <c r="D366" s="7" t="s">
        <v>3790</v>
      </c>
      <c r="E366" s="7"/>
      <c r="G366" s="5" t="str">
        <f t="shared" si="1"/>
        <v>36, 41, PARASECT</v>
      </c>
      <c r="I366" s="5" t="s">
        <v>2911</v>
      </c>
    </row>
    <row r="367" ht="12.75" customHeight="1">
      <c r="A367" s="5" t="s">
        <v>2912</v>
      </c>
      <c r="B367" s="7">
        <v>36.0</v>
      </c>
      <c r="C367" s="7">
        <v>41.0</v>
      </c>
      <c r="D367" s="7" t="s">
        <v>3791</v>
      </c>
      <c r="E367" s="7"/>
      <c r="G367" s="5" t="str">
        <f t="shared" si="1"/>
        <v>36, 41, VENOMOTH</v>
      </c>
      <c r="I367" s="5" t="s">
        <v>2912</v>
      </c>
    </row>
    <row r="368" ht="12.75" customHeight="1">
      <c r="A368" s="5" t="s">
        <v>2951</v>
      </c>
      <c r="B368" s="7">
        <v>36.0</v>
      </c>
      <c r="C368" s="7">
        <v>41.0</v>
      </c>
      <c r="D368" s="7" t="s">
        <v>3823</v>
      </c>
      <c r="E368" s="7"/>
      <c r="G368" s="5" t="str">
        <f t="shared" si="1"/>
        <v>36, 41, RAPIDASH</v>
      </c>
      <c r="I368" s="5" t="s">
        <v>2951</v>
      </c>
    </row>
    <row r="369" ht="12.75" customHeight="1">
      <c r="A369" s="5" t="s">
        <v>2952</v>
      </c>
      <c r="B369" s="7">
        <v>36.0</v>
      </c>
      <c r="C369" s="7">
        <v>41.0</v>
      </c>
      <c r="D369" s="7" t="s">
        <v>3739</v>
      </c>
      <c r="E369" s="7"/>
      <c r="G369" s="5" t="str">
        <f t="shared" si="1"/>
        <v>36, 41, TANGELA</v>
      </c>
      <c r="I369" s="5" t="s">
        <v>2952</v>
      </c>
    </row>
    <row r="370" ht="12.75" customHeight="1">
      <c r="A370" s="5">
        <v>0.05</v>
      </c>
      <c r="B370" s="5">
        <v>0.05</v>
      </c>
      <c r="C370" s="7"/>
      <c r="D370" s="7"/>
      <c r="E370" s="7"/>
      <c r="G370" s="5">
        <f t="shared" si="1"/>
        <v>0.05</v>
      </c>
      <c r="I370" s="5">
        <v>0.05</v>
      </c>
    </row>
    <row r="371" ht="12.75" customHeight="1">
      <c r="A371" s="5" t="s">
        <v>2915</v>
      </c>
      <c r="B371" s="7">
        <v>37.0</v>
      </c>
      <c r="C371" s="7">
        <v>39.0</v>
      </c>
      <c r="D371" s="7" t="s">
        <v>3794</v>
      </c>
      <c r="E371" s="7"/>
      <c r="G371" s="5" t="str">
        <f t="shared" si="1"/>
        <v>37, 39, SCIZOR</v>
      </c>
      <c r="I371" s="5" t="s">
        <v>2915</v>
      </c>
    </row>
    <row r="372" ht="12.75" customHeight="1">
      <c r="A372" s="5" t="s">
        <v>2916</v>
      </c>
      <c r="B372" s="7">
        <v>37.0</v>
      </c>
      <c r="C372" s="7">
        <v>39.0</v>
      </c>
      <c r="D372" s="7" t="s">
        <v>3795</v>
      </c>
      <c r="E372" s="7"/>
      <c r="G372" s="5" t="str">
        <f t="shared" si="1"/>
        <v>37, 39, PINSIRIOR</v>
      </c>
      <c r="I372" s="5" t="s">
        <v>2916</v>
      </c>
    </row>
    <row r="373" ht="12.75" customHeight="1">
      <c r="A373" s="5">
        <v>0.04</v>
      </c>
      <c r="B373" s="5">
        <v>0.04</v>
      </c>
      <c r="C373" s="7"/>
      <c r="D373" s="7"/>
      <c r="E373" s="7"/>
      <c r="G373" s="5">
        <f t="shared" si="1"/>
        <v>0.04</v>
      </c>
      <c r="I373" s="5">
        <v>0.04</v>
      </c>
    </row>
    <row r="374" ht="12.75" customHeight="1">
      <c r="A374" s="5" t="s">
        <v>2953</v>
      </c>
      <c r="B374" s="7">
        <v>38.0</v>
      </c>
      <c r="C374" s="7">
        <v>42.0</v>
      </c>
      <c r="D374" s="7" t="s">
        <v>3824</v>
      </c>
      <c r="E374" s="7"/>
      <c r="G374" s="5" t="str">
        <f t="shared" si="1"/>
        <v>38, 42, SNORLAX</v>
      </c>
      <c r="I374" s="5" t="s">
        <v>2953</v>
      </c>
    </row>
    <row r="375" ht="12.75" customHeight="1">
      <c r="A375" s="5" t="s">
        <v>2954</v>
      </c>
      <c r="B375" s="7">
        <v>38.0</v>
      </c>
      <c r="C375" s="7">
        <v>42.0</v>
      </c>
      <c r="D375" s="7" t="s">
        <v>3825</v>
      </c>
      <c r="E375" s="7"/>
      <c r="G375" s="5" t="str">
        <f t="shared" si="1"/>
        <v>38, 42, HITMONLEE</v>
      </c>
      <c r="I375" s="5" t="s">
        <v>2954</v>
      </c>
    </row>
    <row r="376" ht="12.75" customHeight="1">
      <c r="A376" s="5">
        <v>0.01</v>
      </c>
      <c r="B376" s="5">
        <v>0.01</v>
      </c>
      <c r="C376" s="7"/>
      <c r="D376" s="7"/>
      <c r="E376" s="7"/>
      <c r="G376" s="5">
        <f t="shared" si="1"/>
        <v>0.01</v>
      </c>
      <c r="I376" s="5">
        <v>0.01</v>
      </c>
    </row>
    <row r="377" ht="12.75" customHeight="1">
      <c r="A377" s="5" t="s">
        <v>2955</v>
      </c>
      <c r="B377" s="7">
        <v>40.0</v>
      </c>
      <c r="C377" s="7">
        <v>40.0</v>
      </c>
      <c r="D377" s="7" t="s">
        <v>3826</v>
      </c>
      <c r="E377" s="7"/>
      <c r="G377" s="5" t="str">
        <f t="shared" si="1"/>
        <v>40, 40, ACTLAX</v>
      </c>
      <c r="I377" s="5" t="s">
        <v>2955</v>
      </c>
    </row>
    <row r="378" ht="12.75" customHeight="1">
      <c r="A378" s="5" t="s">
        <v>2956</v>
      </c>
      <c r="B378" s="7">
        <v>40.0</v>
      </c>
      <c r="C378" s="7">
        <v>40.0</v>
      </c>
      <c r="D378" s="7" t="s">
        <v>3827</v>
      </c>
      <c r="E378" s="7"/>
      <c r="G378" s="5" t="str">
        <f t="shared" si="1"/>
        <v>40, 40, TANGROWTH</v>
      </c>
      <c r="I378" s="5" t="s">
        <v>2956</v>
      </c>
    </row>
    <row r="379" ht="12.75" customHeight="1">
      <c r="A379" s="5" t="s">
        <v>2921</v>
      </c>
      <c r="B379" s="7">
        <v>2.0</v>
      </c>
      <c r="C379" s="7">
        <v>38.0</v>
      </c>
      <c r="D379" s="7">
        <v>42.0</v>
      </c>
      <c r="E379" s="7" t="s">
        <v>3756</v>
      </c>
      <c r="G379" s="5" t="str">
        <f t="shared" si="1"/>
        <v>2, 38, 42, SLOWPOKE</v>
      </c>
      <c r="I379" s="5" t="s">
        <v>2921</v>
      </c>
    </row>
    <row r="380" ht="12.75" customHeight="1">
      <c r="A380" s="5" t="s">
        <v>2922</v>
      </c>
      <c r="B380" s="7">
        <v>40.0</v>
      </c>
      <c r="C380" s="7">
        <v>42.0</v>
      </c>
      <c r="D380" s="7" t="s">
        <v>3800</v>
      </c>
      <c r="E380" s="7"/>
      <c r="G380" s="5" t="str">
        <f t="shared" si="1"/>
        <v>40, 42, PSYDUCK</v>
      </c>
      <c r="I380" s="5" t="s">
        <v>2922</v>
      </c>
    </row>
    <row r="381" ht="12.75" customHeight="1">
      <c r="A381" s="5" t="s">
        <v>2923</v>
      </c>
      <c r="B381" s="7">
        <v>42.0</v>
      </c>
      <c r="C381" s="7">
        <v>46.0</v>
      </c>
      <c r="D381" s="7" t="s">
        <v>3801</v>
      </c>
      <c r="E381" s="7"/>
      <c r="G381" s="5" t="str">
        <f t="shared" si="1"/>
        <v>42, 46, SLOWBRO</v>
      </c>
      <c r="I381" s="5" t="s">
        <v>2923</v>
      </c>
    </row>
    <row r="382" ht="12.75" customHeight="1">
      <c r="A382" s="5" t="s">
        <v>2924</v>
      </c>
      <c r="B382" s="7">
        <v>42.0</v>
      </c>
      <c r="C382" s="7">
        <v>46.0</v>
      </c>
      <c r="D382" s="7" t="s">
        <v>3802</v>
      </c>
      <c r="E382" s="7"/>
      <c r="G382" s="5" t="str">
        <f t="shared" si="1"/>
        <v>42, 46, GOLDUCK</v>
      </c>
      <c r="I382" s="5" t="s">
        <v>2924</v>
      </c>
    </row>
    <row r="383" ht="12.75" customHeight="1">
      <c r="A383" s="5" t="s">
        <v>2925</v>
      </c>
      <c r="B383" s="7">
        <v>44.0</v>
      </c>
      <c r="C383" s="7">
        <v>48.0</v>
      </c>
      <c r="D383" s="7" t="s">
        <v>3803</v>
      </c>
      <c r="E383" s="7"/>
      <c r="G383" s="5" t="str">
        <f t="shared" si="1"/>
        <v>44, 48, VAPOREON</v>
      </c>
      <c r="I383" s="5" t="s">
        <v>2925</v>
      </c>
    </row>
    <row r="384" ht="12.75" customHeight="1">
      <c r="A384" s="5" t="s">
        <v>2926</v>
      </c>
      <c r="B384" s="7">
        <v>20.0</v>
      </c>
      <c r="C384" s="7" t="s">
        <v>3749</v>
      </c>
      <c r="D384" s="7"/>
      <c r="E384" s="7"/>
      <c r="G384" s="5" t="str">
        <f t="shared" si="1"/>
        <v>old rod:</v>
      </c>
      <c r="I384" s="5" t="s">
        <v>3750</v>
      </c>
    </row>
    <row r="385" ht="12.75" customHeight="1">
      <c r="A385" s="5" t="s">
        <v>500</v>
      </c>
      <c r="B385" s="7">
        <v>19.0</v>
      </c>
      <c r="C385" s="7">
        <v>26.0</v>
      </c>
      <c r="D385" s="7" t="s">
        <v>3751</v>
      </c>
      <c r="E385" s="7"/>
      <c r="G385" s="5" t="str">
        <f t="shared" si="1"/>
        <v>19, 26, MAGIKARP</v>
      </c>
      <c r="I385" s="5" t="s">
        <v>500</v>
      </c>
    </row>
    <row r="386" ht="12.75" customHeight="1">
      <c r="A386" s="5" t="s">
        <v>2927</v>
      </c>
      <c r="B386" s="7">
        <v>19.0</v>
      </c>
      <c r="C386" s="7">
        <v>26.0</v>
      </c>
      <c r="D386" s="7" t="s">
        <v>3804</v>
      </c>
      <c r="E386" s="7"/>
      <c r="G386" s="5" t="str">
        <f t="shared" si="1"/>
        <v>19, 26, POLIWAG</v>
      </c>
      <c r="I386" s="5" t="s">
        <v>2927</v>
      </c>
    </row>
    <row r="387" ht="12.75" customHeight="1">
      <c r="A387" s="5" t="s">
        <v>2847</v>
      </c>
      <c r="B387" s="7" t="s">
        <v>2847</v>
      </c>
      <c r="C387" s="7"/>
      <c r="D387" s="7"/>
      <c r="E387" s="7"/>
      <c r="G387" s="5" t="str">
        <f t="shared" si="1"/>
        <v>good rod:</v>
      </c>
      <c r="I387" s="5" t="s">
        <v>2847</v>
      </c>
    </row>
    <row r="388" ht="12.75" customHeight="1">
      <c r="A388" s="5" t="s">
        <v>2928</v>
      </c>
      <c r="B388" s="7">
        <v>29.0</v>
      </c>
      <c r="C388" s="7">
        <v>33.0</v>
      </c>
      <c r="D388" s="7" t="s">
        <v>3755</v>
      </c>
      <c r="E388" s="7"/>
      <c r="G388" s="5" t="str">
        <f t="shared" si="1"/>
        <v>29, 33, GYARADOS</v>
      </c>
      <c r="I388" s="5" t="s">
        <v>2928</v>
      </c>
    </row>
    <row r="389" ht="12.75" customHeight="1">
      <c r="A389" s="5" t="s">
        <v>2929</v>
      </c>
      <c r="B389" s="7">
        <v>30.0</v>
      </c>
      <c r="C389" s="7">
        <v>35.0</v>
      </c>
      <c r="D389" s="7" t="s">
        <v>3804</v>
      </c>
      <c r="E389" s="7"/>
      <c r="G389" s="5" t="str">
        <f t="shared" si="1"/>
        <v>30, 35, POLIWAG</v>
      </c>
      <c r="I389" s="5" t="s">
        <v>2929</v>
      </c>
    </row>
    <row r="390" ht="12.75" customHeight="1">
      <c r="A390" s="5" t="s">
        <v>2930</v>
      </c>
      <c r="B390" s="7">
        <v>30.0</v>
      </c>
      <c r="C390" s="7">
        <v>35.0</v>
      </c>
      <c r="D390" s="7" t="s">
        <v>3805</v>
      </c>
      <c r="E390" s="7"/>
      <c r="G390" s="5" t="str">
        <f t="shared" si="1"/>
        <v>30, 35, GOLDEEN</v>
      </c>
      <c r="I390" s="5" t="s">
        <v>2930</v>
      </c>
    </row>
    <row r="391" ht="12.75" customHeight="1">
      <c r="A391" s="5" t="s">
        <v>2851</v>
      </c>
      <c r="B391" s="7" t="s">
        <v>2851</v>
      </c>
      <c r="C391" s="7"/>
      <c r="D391" s="7"/>
      <c r="E391" s="7"/>
      <c r="G391" s="5" t="str">
        <f t="shared" si="1"/>
        <v>super rod:</v>
      </c>
      <c r="I391" s="5" t="s">
        <v>2851</v>
      </c>
    </row>
    <row r="392" ht="12.75" customHeight="1">
      <c r="A392" s="5" t="s">
        <v>2931</v>
      </c>
      <c r="B392" s="7">
        <v>36.0</v>
      </c>
      <c r="C392" s="7">
        <v>40.0</v>
      </c>
      <c r="D392" s="7" t="s">
        <v>3806</v>
      </c>
      <c r="E392" s="7"/>
      <c r="G392" s="5" t="str">
        <f t="shared" si="1"/>
        <v>36, 40, POLIWHIRL</v>
      </c>
      <c r="I392" s="5" t="s">
        <v>2931</v>
      </c>
    </row>
    <row r="393" ht="12.75" customHeight="1">
      <c r="A393" s="5" t="s">
        <v>2932</v>
      </c>
      <c r="B393" s="7">
        <v>36.0</v>
      </c>
      <c r="C393" s="7">
        <v>40.0</v>
      </c>
      <c r="D393" s="7" t="s">
        <v>3807</v>
      </c>
      <c r="E393" s="7"/>
      <c r="G393" s="5" t="str">
        <f t="shared" si="1"/>
        <v>36, 40, SEAKING</v>
      </c>
      <c r="I393" s="5" t="s">
        <v>2932</v>
      </c>
    </row>
    <row r="394" ht="12.75" customHeight="1">
      <c r="A394" s="5" t="s">
        <v>2933</v>
      </c>
      <c r="B394" s="7">
        <v>38.0</v>
      </c>
      <c r="C394" s="7">
        <v>42.0</v>
      </c>
      <c r="D394" s="7" t="s">
        <v>3808</v>
      </c>
      <c r="E394" s="7"/>
      <c r="G394" s="5" t="str">
        <f t="shared" si="1"/>
        <v>38, 42, DRATINI</v>
      </c>
      <c r="I394" s="5" t="s">
        <v>2933</v>
      </c>
    </row>
    <row r="395" ht="12.75" customHeight="1">
      <c r="A395" s="5" t="s">
        <v>2934</v>
      </c>
      <c r="B395" s="7">
        <v>38.0</v>
      </c>
      <c r="C395" s="7">
        <v>42.0</v>
      </c>
      <c r="D395" s="7" t="s">
        <v>3809</v>
      </c>
      <c r="E395" s="7"/>
      <c r="G395" s="5" t="str">
        <f t="shared" si="1"/>
        <v>38, 42, DRAGONAIR</v>
      </c>
      <c r="I395" s="5" t="s">
        <v>2934</v>
      </c>
    </row>
    <row r="396" ht="12.75" customHeight="1">
      <c r="A396" s="5" t="s">
        <v>2935</v>
      </c>
      <c r="B396" s="7">
        <v>40.0</v>
      </c>
      <c r="C396" s="7">
        <v>44.0</v>
      </c>
      <c r="D396" s="7" t="s">
        <v>3810</v>
      </c>
      <c r="E396" s="7"/>
      <c r="G396" s="5" t="str">
        <f t="shared" si="1"/>
        <v>40, 44, DRAGONITE</v>
      </c>
      <c r="I396" s="5" t="s">
        <v>2935</v>
      </c>
    </row>
    <row r="397" ht="12.75" customHeight="1">
      <c r="A397" s="5" t="s">
        <v>2539</v>
      </c>
      <c r="B397" s="7" t="s">
        <v>2539</v>
      </c>
      <c r="C397" s="7"/>
      <c r="D397" s="7"/>
      <c r="E397" s="7"/>
      <c r="G397" s="5" t="str">
        <f t="shared" si="1"/>
        <v>NEW ROUTE</v>
      </c>
      <c r="I397" s="5" t="s">
        <v>2539</v>
      </c>
    </row>
    <row r="398" ht="12.75" customHeight="1">
      <c r="A398" s="5" t="s">
        <v>1728</v>
      </c>
      <c r="B398" s="7" t="s">
        <v>1728</v>
      </c>
      <c r="C398" s="7"/>
      <c r="D398" s="7"/>
      <c r="E398" s="7"/>
      <c r="G398" s="5" t="str">
        <f t="shared" si="1"/>
        <v>Cerulean Cave 1F</v>
      </c>
      <c r="I398" s="5" t="s">
        <v>1728</v>
      </c>
    </row>
    <row r="399" ht="12.75" customHeight="1">
      <c r="A399" s="5">
        <v>0.2</v>
      </c>
      <c r="B399" s="5">
        <v>0.2</v>
      </c>
      <c r="C399" s="7"/>
      <c r="D399" s="7"/>
      <c r="E399" s="7"/>
      <c r="G399" s="5">
        <f t="shared" si="1"/>
        <v>0.2</v>
      </c>
      <c r="I399" s="5">
        <v>0.2</v>
      </c>
    </row>
    <row r="400" ht="12.75" customHeight="1">
      <c r="A400" s="5" t="s">
        <v>532</v>
      </c>
      <c r="B400" s="7">
        <v>50.0</v>
      </c>
      <c r="C400" s="7">
        <v>55.0</v>
      </c>
      <c r="D400" s="7" t="s">
        <v>3759</v>
      </c>
      <c r="E400" s="7"/>
      <c r="G400" s="5" t="str">
        <f t="shared" si="1"/>
        <v>50, 55, DUGROUPLE</v>
      </c>
      <c r="I400" s="5" t="s">
        <v>532</v>
      </c>
    </row>
    <row r="401" ht="12.75" customHeight="1">
      <c r="A401" s="5" t="s">
        <v>2958</v>
      </c>
      <c r="B401" s="7">
        <v>50.0</v>
      </c>
      <c r="C401" s="7">
        <v>55.0</v>
      </c>
      <c r="D401" s="7" t="s">
        <v>3765</v>
      </c>
      <c r="E401" s="7"/>
      <c r="G401" s="5" t="str">
        <f t="shared" si="1"/>
        <v>50, 55, POLABAT</v>
      </c>
      <c r="I401" s="5" t="s">
        <v>2958</v>
      </c>
    </row>
    <row r="402" ht="12.75" customHeight="1">
      <c r="A402" s="5">
        <v>0.1</v>
      </c>
      <c r="B402" s="5">
        <v>0.1</v>
      </c>
      <c r="C402" s="7"/>
      <c r="D402" s="7"/>
      <c r="E402" s="7"/>
      <c r="G402" s="5">
        <f t="shared" si="1"/>
        <v>0.1</v>
      </c>
      <c r="I402" s="5">
        <v>0.1</v>
      </c>
    </row>
    <row r="403" ht="12.75" customHeight="1">
      <c r="A403" s="5" t="s">
        <v>2959</v>
      </c>
      <c r="B403" s="7">
        <v>52.0</v>
      </c>
      <c r="C403" s="7">
        <v>55.0</v>
      </c>
      <c r="D403" s="7" t="s">
        <v>3828</v>
      </c>
      <c r="E403" s="7"/>
      <c r="G403" s="5" t="str">
        <f t="shared" si="1"/>
        <v>52, 55, VENOMENON</v>
      </c>
      <c r="I403" s="5" t="s">
        <v>2959</v>
      </c>
    </row>
    <row r="404" ht="12.75" customHeight="1">
      <c r="A404" s="5" t="s">
        <v>2960</v>
      </c>
      <c r="B404" s="7">
        <v>52.0</v>
      </c>
      <c r="C404" s="7">
        <v>55.0</v>
      </c>
      <c r="D404" s="7" t="s">
        <v>3829</v>
      </c>
      <c r="E404" s="7"/>
      <c r="G404" s="5" t="str">
        <f t="shared" si="1"/>
        <v>52, 55, "MR. JEST"</v>
      </c>
      <c r="I404" s="5" t="s">
        <v>2960</v>
      </c>
    </row>
    <row r="405" ht="12.75" customHeight="1">
      <c r="A405" s="5" t="s">
        <v>2961</v>
      </c>
      <c r="B405" s="7">
        <v>52.0</v>
      </c>
      <c r="C405" s="7">
        <v>55.0</v>
      </c>
      <c r="D405" s="7" t="s">
        <v>3830</v>
      </c>
      <c r="E405" s="7"/>
      <c r="G405" s="5" t="str">
        <f t="shared" si="1"/>
        <v>52, 55, NIDORULY</v>
      </c>
      <c r="I405" s="5" t="s">
        <v>2961</v>
      </c>
    </row>
    <row r="406" ht="12.75" customHeight="1">
      <c r="A406" s="5" t="s">
        <v>2962</v>
      </c>
      <c r="B406" s="7">
        <v>52.0</v>
      </c>
      <c r="C406" s="7">
        <v>55.0</v>
      </c>
      <c r="D406" s="7" t="s">
        <v>3831</v>
      </c>
      <c r="E406" s="7"/>
      <c r="G406" s="5" t="str">
        <f t="shared" si="1"/>
        <v>52, 55, NIDOREGAL</v>
      </c>
      <c r="I406" s="5" t="s">
        <v>2962</v>
      </c>
    </row>
    <row r="407" ht="12.75" customHeight="1">
      <c r="A407" s="5">
        <v>0.05</v>
      </c>
      <c r="B407" s="5">
        <v>0.05</v>
      </c>
      <c r="C407" s="7"/>
      <c r="D407" s="7"/>
      <c r="E407" s="7"/>
      <c r="G407" s="5">
        <f t="shared" si="1"/>
        <v>0.05</v>
      </c>
      <c r="I407" s="5">
        <v>0.05</v>
      </c>
    </row>
    <row r="408" ht="12.75" customHeight="1">
      <c r="A408" s="5" t="s">
        <v>2963</v>
      </c>
      <c r="B408" s="7">
        <v>54.0</v>
      </c>
      <c r="C408" s="7">
        <v>56.0</v>
      </c>
      <c r="D408" s="7" t="s">
        <v>3832</v>
      </c>
      <c r="E408" s="7"/>
      <c r="G408" s="5" t="str">
        <f t="shared" si="1"/>
        <v>54, 56, MORPHO</v>
      </c>
      <c r="I408" s="5" t="s">
        <v>2963</v>
      </c>
    </row>
    <row r="409" ht="12.75" customHeight="1">
      <c r="A409" s="5" t="s">
        <v>2964</v>
      </c>
      <c r="B409" s="7">
        <v>54.0</v>
      </c>
      <c r="C409" s="7">
        <v>56.0</v>
      </c>
      <c r="D409" s="7" t="s">
        <v>3833</v>
      </c>
      <c r="E409" s="7"/>
      <c r="G409" s="5" t="str">
        <f t="shared" si="1"/>
        <v>54, 56, MAGNEMELD</v>
      </c>
      <c r="I409" s="5" t="s">
        <v>2964</v>
      </c>
    </row>
    <row r="410" ht="12.75" customHeight="1">
      <c r="A410" s="5">
        <v>0.04</v>
      </c>
      <c r="B410" s="5">
        <v>0.04</v>
      </c>
      <c r="C410" s="7"/>
      <c r="D410" s="7"/>
      <c r="E410" s="7"/>
      <c r="G410" s="5">
        <f t="shared" si="1"/>
        <v>0.04</v>
      </c>
      <c r="I410" s="5">
        <v>0.04</v>
      </c>
    </row>
    <row r="411" ht="12.75" customHeight="1">
      <c r="A411" s="5" t="s">
        <v>2965</v>
      </c>
      <c r="B411" s="7">
        <v>54.0</v>
      </c>
      <c r="C411" s="7">
        <v>56.0</v>
      </c>
      <c r="D411" s="7" t="s">
        <v>3834</v>
      </c>
      <c r="E411" s="7"/>
      <c r="G411" s="5" t="str">
        <f t="shared" si="1"/>
        <v>54, 56, VOHOO-DU</v>
      </c>
      <c r="I411" s="5" t="s">
        <v>2965</v>
      </c>
    </row>
    <row r="412" ht="12.75" customHeight="1">
      <c r="A412" s="5" t="s">
        <v>2966</v>
      </c>
      <c r="B412" s="7">
        <v>54.0</v>
      </c>
      <c r="C412" s="7">
        <v>56.0</v>
      </c>
      <c r="D412" s="7" t="s">
        <v>3835</v>
      </c>
      <c r="E412" s="7"/>
      <c r="G412" s="5" t="str">
        <f t="shared" si="1"/>
        <v>54, 56, CLEFAEFAE</v>
      </c>
      <c r="I412" s="5" t="s">
        <v>2966</v>
      </c>
    </row>
    <row r="413" ht="12.75" customHeight="1">
      <c r="A413" s="5">
        <v>0.01</v>
      </c>
      <c r="B413" s="5">
        <v>0.01</v>
      </c>
      <c r="C413" s="7"/>
      <c r="D413" s="7"/>
      <c r="E413" s="7"/>
      <c r="G413" s="5">
        <f t="shared" si="1"/>
        <v>0.01</v>
      </c>
      <c r="I413" s="5">
        <v>0.01</v>
      </c>
    </row>
    <row r="414" ht="12.75" customHeight="1">
      <c r="A414" s="5" t="s">
        <v>2967</v>
      </c>
      <c r="B414" s="7">
        <v>55.0</v>
      </c>
      <c r="C414" s="7">
        <v>56.0</v>
      </c>
      <c r="D414" s="7" t="s">
        <v>3836</v>
      </c>
      <c r="E414" s="7"/>
      <c r="G414" s="5" t="str">
        <f t="shared" si="1"/>
        <v>55, 56, KABUTAK</v>
      </c>
      <c r="I414" s="5" t="s">
        <v>2967</v>
      </c>
    </row>
    <row r="415" ht="12.75" customHeight="1">
      <c r="A415" s="5" t="s">
        <v>2968</v>
      </c>
      <c r="B415" s="7">
        <v>55.0</v>
      </c>
      <c r="C415" s="7">
        <v>56.0</v>
      </c>
      <c r="D415" s="7" t="s">
        <v>3837</v>
      </c>
      <c r="E415" s="7"/>
      <c r="G415" s="5" t="str">
        <f t="shared" si="1"/>
        <v>55, 56, OMAPAL</v>
      </c>
      <c r="I415" s="5" t="s">
        <v>2968</v>
      </c>
    </row>
    <row r="416" ht="12.75" customHeight="1">
      <c r="A416" s="5" t="s">
        <v>2969</v>
      </c>
      <c r="B416" s="7">
        <v>2.0</v>
      </c>
      <c r="C416" s="7">
        <v>50.0</v>
      </c>
      <c r="D416" s="7">
        <v>55.0</v>
      </c>
      <c r="E416" s="7" t="s">
        <v>3838</v>
      </c>
      <c r="G416" s="5" t="str">
        <f t="shared" si="1"/>
        <v>2, 50, 55, POLITOES</v>
      </c>
      <c r="I416" s="5" t="s">
        <v>2969</v>
      </c>
    </row>
    <row r="417" ht="12.75" customHeight="1">
      <c r="A417" s="5" t="s">
        <v>2970</v>
      </c>
      <c r="B417" s="7">
        <v>50.0</v>
      </c>
      <c r="C417" s="7">
        <v>55.0</v>
      </c>
      <c r="D417" s="7" t="s">
        <v>3810</v>
      </c>
      <c r="E417" s="7"/>
      <c r="G417" s="5" t="str">
        <f t="shared" si="1"/>
        <v>50, 55, DRAGONITE</v>
      </c>
      <c r="I417" s="5" t="s">
        <v>2970</v>
      </c>
    </row>
    <row r="418" ht="12.75" customHeight="1">
      <c r="A418" s="5" t="s">
        <v>2971</v>
      </c>
      <c r="B418" s="7">
        <v>52.0</v>
      </c>
      <c r="C418" s="7">
        <v>57.0</v>
      </c>
      <c r="D418" s="7" t="s">
        <v>3839</v>
      </c>
      <c r="E418" s="7"/>
      <c r="G418" s="5" t="str">
        <f t="shared" si="1"/>
        <v>52, 57, POLIWISE</v>
      </c>
      <c r="I418" s="5" t="s">
        <v>2971</v>
      </c>
    </row>
    <row r="419" ht="12.75" customHeight="1">
      <c r="A419" s="5" t="s">
        <v>2972</v>
      </c>
      <c r="B419" s="7">
        <v>52.0</v>
      </c>
      <c r="C419" s="7">
        <v>57.0</v>
      </c>
      <c r="D419" s="7" t="s">
        <v>3840</v>
      </c>
      <c r="E419" s="7"/>
      <c r="G419" s="5" t="str">
        <f t="shared" si="1"/>
        <v>52, 57, DRAGONIER</v>
      </c>
      <c r="I419" s="5" t="s">
        <v>2972</v>
      </c>
    </row>
    <row r="420" ht="12.75" customHeight="1">
      <c r="A420" s="5" t="s">
        <v>2973</v>
      </c>
      <c r="B420" s="7">
        <v>53.0</v>
      </c>
      <c r="C420" s="7">
        <v>58.0</v>
      </c>
      <c r="D420" s="7" t="s">
        <v>3841</v>
      </c>
      <c r="E420" s="7"/>
      <c r="G420" s="5" t="str">
        <f t="shared" si="1"/>
        <v>53, 58, NESSEA</v>
      </c>
      <c r="I420" s="5" t="s">
        <v>2973</v>
      </c>
    </row>
    <row r="421" ht="12.75" customHeight="1">
      <c r="A421" s="5" t="s">
        <v>2926</v>
      </c>
      <c r="B421" s="7">
        <v>20.0</v>
      </c>
      <c r="C421" s="7" t="s">
        <v>3749</v>
      </c>
      <c r="D421" s="7"/>
      <c r="E421" s="7"/>
      <c r="G421" s="5" t="str">
        <f t="shared" si="1"/>
        <v>old rod:</v>
      </c>
      <c r="I421" s="5" t="s">
        <v>3750</v>
      </c>
    </row>
    <row r="422" ht="12.75" customHeight="1">
      <c r="A422" s="5" t="s">
        <v>548</v>
      </c>
      <c r="B422" s="7">
        <v>23.0</v>
      </c>
      <c r="C422" s="7">
        <v>36.0</v>
      </c>
      <c r="D422" s="7" t="s">
        <v>3842</v>
      </c>
      <c r="E422" s="7"/>
      <c r="G422" s="5" t="str">
        <f t="shared" si="1"/>
        <v>23, 36, CLOYSTER</v>
      </c>
      <c r="I422" s="5" t="s">
        <v>548</v>
      </c>
    </row>
    <row r="423" ht="12.75" customHeight="1">
      <c r="A423" s="5" t="s">
        <v>2974</v>
      </c>
      <c r="B423" s="7">
        <v>23.0</v>
      </c>
      <c r="C423" s="7">
        <v>36.0</v>
      </c>
      <c r="D423" s="7" t="s">
        <v>3755</v>
      </c>
      <c r="E423" s="7"/>
      <c r="G423" s="5" t="str">
        <f t="shared" si="1"/>
        <v>23, 36, GYARADOS</v>
      </c>
      <c r="I423" s="5" t="s">
        <v>2974</v>
      </c>
    </row>
    <row r="424" ht="12.75" customHeight="1">
      <c r="A424" s="5" t="s">
        <v>2847</v>
      </c>
      <c r="B424" s="7" t="s">
        <v>2847</v>
      </c>
      <c r="C424" s="7"/>
      <c r="D424" s="7"/>
      <c r="E424" s="7"/>
      <c r="G424" s="5" t="str">
        <f t="shared" si="1"/>
        <v>good rod:</v>
      </c>
      <c r="I424" s="5" t="s">
        <v>2847</v>
      </c>
    </row>
    <row r="425" ht="12.75" customHeight="1">
      <c r="A425" s="5" t="s">
        <v>2975</v>
      </c>
      <c r="B425" s="7">
        <v>30.0</v>
      </c>
      <c r="C425" s="7">
        <v>38.0</v>
      </c>
      <c r="D425" s="7" t="s">
        <v>3842</v>
      </c>
      <c r="E425" s="7"/>
      <c r="G425" s="5" t="str">
        <f t="shared" si="1"/>
        <v>30, 38, CLOYSTER</v>
      </c>
      <c r="I425" s="5" t="s">
        <v>2975</v>
      </c>
    </row>
    <row r="426" ht="12.75" customHeight="1">
      <c r="A426" s="5" t="s">
        <v>2976</v>
      </c>
      <c r="B426" s="7">
        <v>32.0</v>
      </c>
      <c r="C426" s="7">
        <v>40.0</v>
      </c>
      <c r="D426" s="7" t="s">
        <v>3843</v>
      </c>
      <c r="E426" s="7"/>
      <c r="G426" s="5" t="str">
        <f t="shared" si="1"/>
        <v>32, 40, KINGDRA</v>
      </c>
      <c r="I426" s="5" t="s">
        <v>2976</v>
      </c>
    </row>
    <row r="427" ht="12.75" customHeight="1">
      <c r="A427" s="5" t="s">
        <v>2977</v>
      </c>
      <c r="B427" s="7">
        <v>32.0</v>
      </c>
      <c r="C427" s="7">
        <v>40.0</v>
      </c>
      <c r="D427" s="7" t="s">
        <v>3844</v>
      </c>
      <c r="E427" s="7"/>
      <c r="G427" s="5" t="str">
        <f t="shared" si="1"/>
        <v>32, 40, HYDRADOS</v>
      </c>
      <c r="I427" s="5" t="s">
        <v>2977</v>
      </c>
    </row>
    <row r="428" ht="12.75" customHeight="1">
      <c r="A428" s="5" t="s">
        <v>2851</v>
      </c>
      <c r="B428" s="7" t="s">
        <v>2851</v>
      </c>
      <c r="C428" s="7"/>
      <c r="D428" s="7"/>
      <c r="E428" s="7"/>
      <c r="G428" s="5" t="str">
        <f t="shared" si="1"/>
        <v>super rod:</v>
      </c>
      <c r="I428" s="5" t="s">
        <v>2851</v>
      </c>
    </row>
    <row r="429" ht="12.75" customHeight="1">
      <c r="A429" s="5" t="s">
        <v>2978</v>
      </c>
      <c r="B429" s="7">
        <v>50.0</v>
      </c>
      <c r="C429" s="7">
        <v>55.0</v>
      </c>
      <c r="D429" s="7" t="s">
        <v>3845</v>
      </c>
      <c r="E429" s="7"/>
      <c r="G429" s="5" t="str">
        <f t="shared" si="1"/>
        <v>50, 55, LORDRA</v>
      </c>
      <c r="I429" s="5" t="s">
        <v>2978</v>
      </c>
    </row>
    <row r="430" ht="12.75" customHeight="1">
      <c r="A430" s="5" t="s">
        <v>2979</v>
      </c>
      <c r="B430" s="7">
        <v>50.0</v>
      </c>
      <c r="C430" s="7">
        <v>55.0</v>
      </c>
      <c r="D430" s="7" t="s">
        <v>3846</v>
      </c>
      <c r="E430" s="7"/>
      <c r="G430" s="5" t="str">
        <f t="shared" si="1"/>
        <v>50, 55, AN'ENEMY</v>
      </c>
      <c r="I430" s="5" t="s">
        <v>2979</v>
      </c>
    </row>
    <row r="431" ht="12.75" customHeight="1">
      <c r="A431" s="5" t="s">
        <v>2980</v>
      </c>
      <c r="B431" s="7">
        <v>52.0</v>
      </c>
      <c r="C431" s="7">
        <v>57.0</v>
      </c>
      <c r="D431" s="7" t="s">
        <v>3847</v>
      </c>
      <c r="E431" s="7"/>
      <c r="G431" s="5" t="str">
        <f t="shared" si="1"/>
        <v>52, 57, DRACOSMIC</v>
      </c>
      <c r="I431" s="5" t="s">
        <v>2980</v>
      </c>
    </row>
    <row r="432" ht="12.75" customHeight="1">
      <c r="A432" s="5" t="s">
        <v>2981</v>
      </c>
      <c r="B432" s="7">
        <v>52.0</v>
      </c>
      <c r="C432" s="7">
        <v>57.0</v>
      </c>
      <c r="D432" s="7" t="s">
        <v>3848</v>
      </c>
      <c r="E432" s="7"/>
      <c r="G432" s="5" t="str">
        <f t="shared" si="1"/>
        <v>52, 57, GLAISHELL</v>
      </c>
      <c r="I432" s="5" t="s">
        <v>2981</v>
      </c>
    </row>
    <row r="433" ht="12.75" customHeight="1">
      <c r="A433" s="5" t="s">
        <v>2982</v>
      </c>
      <c r="B433" s="7">
        <v>53.0</v>
      </c>
      <c r="C433" s="7">
        <v>58.0</v>
      </c>
      <c r="D433" s="7" t="s">
        <v>3849</v>
      </c>
      <c r="E433" s="7"/>
      <c r="G433" s="5" t="str">
        <f t="shared" si="1"/>
        <v>53, 58, STARWE</v>
      </c>
      <c r="I433" s="5" t="s">
        <v>2982</v>
      </c>
    </row>
    <row r="434" ht="12.75" customHeight="1">
      <c r="A434" s="5" t="s">
        <v>2539</v>
      </c>
      <c r="B434" s="7" t="s">
        <v>2539</v>
      </c>
      <c r="C434" s="7"/>
      <c r="D434" s="7"/>
      <c r="E434" s="7"/>
      <c r="G434" s="5" t="str">
        <f t="shared" si="1"/>
        <v>NEW ROUTE</v>
      </c>
      <c r="I434" s="5" t="s">
        <v>2539</v>
      </c>
    </row>
    <row r="435" ht="12.75" customHeight="1">
      <c r="A435" s="5" t="s">
        <v>1734</v>
      </c>
      <c r="B435" s="7" t="s">
        <v>1734</v>
      </c>
      <c r="C435" s="7"/>
      <c r="D435" s="7"/>
      <c r="E435" s="7"/>
      <c r="G435" s="5" t="str">
        <f t="shared" si="1"/>
        <v>Cerulean Cave 2F</v>
      </c>
      <c r="I435" s="5" t="s">
        <v>1734</v>
      </c>
    </row>
    <row r="436" ht="12.75" customHeight="1">
      <c r="A436" s="5">
        <v>0.2</v>
      </c>
      <c r="B436" s="5">
        <v>0.2</v>
      </c>
      <c r="C436" s="7"/>
      <c r="D436" s="7"/>
      <c r="E436" s="7"/>
      <c r="G436" s="5">
        <f t="shared" si="1"/>
        <v>0.2</v>
      </c>
      <c r="I436" s="5">
        <v>0.2</v>
      </c>
    </row>
    <row r="437" ht="12.75" customHeight="1">
      <c r="A437" s="5" t="s">
        <v>532</v>
      </c>
      <c r="B437" s="7">
        <v>50.0</v>
      </c>
      <c r="C437" s="7">
        <v>55.0</v>
      </c>
      <c r="D437" s="7" t="s">
        <v>3759</v>
      </c>
      <c r="E437" s="7"/>
      <c r="G437" s="5" t="str">
        <f t="shared" si="1"/>
        <v>50, 55, DUGROUPLE</v>
      </c>
      <c r="I437" s="5" t="s">
        <v>532</v>
      </c>
    </row>
    <row r="438" ht="12.75" customHeight="1">
      <c r="A438" s="5" t="s">
        <v>2958</v>
      </c>
      <c r="B438" s="7">
        <v>50.0</v>
      </c>
      <c r="C438" s="7">
        <v>55.0</v>
      </c>
      <c r="D438" s="7" t="s">
        <v>3765</v>
      </c>
      <c r="E438" s="7"/>
      <c r="G438" s="5" t="str">
        <f t="shared" si="1"/>
        <v>50, 55, POLABAT</v>
      </c>
      <c r="I438" s="5" t="s">
        <v>2958</v>
      </c>
    </row>
    <row r="439" ht="12.75" customHeight="1">
      <c r="A439" s="5">
        <v>0.1</v>
      </c>
      <c r="B439" s="5">
        <v>0.1</v>
      </c>
      <c r="C439" s="7"/>
      <c r="D439" s="7"/>
      <c r="E439" s="7"/>
      <c r="G439" s="5">
        <f t="shared" si="1"/>
        <v>0.1</v>
      </c>
      <c r="I439" s="5">
        <v>0.1</v>
      </c>
    </row>
    <row r="440" ht="12.75" customHeight="1">
      <c r="A440" s="5" t="s">
        <v>2959</v>
      </c>
      <c r="B440" s="7">
        <v>52.0</v>
      </c>
      <c r="C440" s="7">
        <v>55.0</v>
      </c>
      <c r="D440" s="7" t="s">
        <v>3828</v>
      </c>
      <c r="E440" s="7"/>
      <c r="G440" s="5" t="str">
        <f t="shared" si="1"/>
        <v>52, 55, VENOMENON</v>
      </c>
      <c r="I440" s="5" t="s">
        <v>2959</v>
      </c>
    </row>
    <row r="441" ht="12.75" customHeight="1">
      <c r="A441" s="5" t="s">
        <v>2960</v>
      </c>
      <c r="B441" s="7">
        <v>52.0</v>
      </c>
      <c r="C441" s="7">
        <v>55.0</v>
      </c>
      <c r="D441" s="7" t="s">
        <v>3829</v>
      </c>
      <c r="E441" s="7"/>
      <c r="G441" s="5" t="str">
        <f t="shared" si="1"/>
        <v>52, 55, "MR. JEST"</v>
      </c>
      <c r="I441" s="5" t="s">
        <v>2960</v>
      </c>
    </row>
    <row r="442" ht="12.75" customHeight="1">
      <c r="A442" s="5" t="s">
        <v>2961</v>
      </c>
      <c r="B442" s="7">
        <v>52.0</v>
      </c>
      <c r="C442" s="7">
        <v>55.0</v>
      </c>
      <c r="D442" s="7" t="s">
        <v>3830</v>
      </c>
      <c r="E442" s="7"/>
      <c r="G442" s="5" t="str">
        <f t="shared" si="1"/>
        <v>52, 55, NIDORULY</v>
      </c>
      <c r="I442" s="5" t="s">
        <v>2961</v>
      </c>
    </row>
    <row r="443" ht="12.75" customHeight="1">
      <c r="A443" s="5" t="s">
        <v>2962</v>
      </c>
      <c r="B443" s="7">
        <v>52.0</v>
      </c>
      <c r="C443" s="7">
        <v>55.0</v>
      </c>
      <c r="D443" s="7" t="s">
        <v>3831</v>
      </c>
      <c r="E443" s="7"/>
      <c r="G443" s="5" t="str">
        <f t="shared" si="1"/>
        <v>52, 55, NIDOREGAL</v>
      </c>
      <c r="I443" s="5" t="s">
        <v>2962</v>
      </c>
    </row>
    <row r="444" ht="12.75" customHeight="1">
      <c r="A444" s="5">
        <v>0.05</v>
      </c>
      <c r="B444" s="5">
        <v>0.05</v>
      </c>
      <c r="C444" s="7"/>
      <c r="D444" s="7"/>
      <c r="E444" s="7"/>
      <c r="G444" s="5">
        <f t="shared" si="1"/>
        <v>0.05</v>
      </c>
      <c r="I444" s="5">
        <v>0.05</v>
      </c>
    </row>
    <row r="445" ht="12.75" customHeight="1">
      <c r="A445" s="5" t="s">
        <v>2963</v>
      </c>
      <c r="B445" s="7">
        <v>54.0</v>
      </c>
      <c r="C445" s="7">
        <v>56.0</v>
      </c>
      <c r="D445" s="7" t="s">
        <v>3832</v>
      </c>
      <c r="E445" s="7"/>
      <c r="G445" s="5" t="str">
        <f t="shared" si="1"/>
        <v>54, 56, MORPHO</v>
      </c>
      <c r="I445" s="5" t="s">
        <v>2963</v>
      </c>
    </row>
    <row r="446" ht="12.75" customHeight="1">
      <c r="A446" s="5" t="s">
        <v>2964</v>
      </c>
      <c r="B446" s="7">
        <v>54.0</v>
      </c>
      <c r="C446" s="7">
        <v>56.0</v>
      </c>
      <c r="D446" s="7" t="s">
        <v>3833</v>
      </c>
      <c r="E446" s="7"/>
      <c r="G446" s="5" t="str">
        <f t="shared" si="1"/>
        <v>54, 56, MAGNEMELD</v>
      </c>
      <c r="I446" s="5" t="s">
        <v>2964</v>
      </c>
    </row>
    <row r="447" ht="12.75" customHeight="1">
      <c r="A447" s="5">
        <v>0.04</v>
      </c>
      <c r="B447" s="5">
        <v>0.04</v>
      </c>
      <c r="C447" s="7"/>
      <c r="D447" s="7"/>
      <c r="E447" s="7"/>
      <c r="G447" s="5">
        <f t="shared" si="1"/>
        <v>0.04</v>
      </c>
      <c r="I447" s="5">
        <v>0.04</v>
      </c>
    </row>
    <row r="448" ht="12.75" customHeight="1">
      <c r="A448" s="5" t="s">
        <v>2965</v>
      </c>
      <c r="B448" s="7">
        <v>54.0</v>
      </c>
      <c r="C448" s="7">
        <v>56.0</v>
      </c>
      <c r="D448" s="7" t="s">
        <v>3834</v>
      </c>
      <c r="E448" s="7"/>
      <c r="G448" s="5" t="str">
        <f t="shared" si="1"/>
        <v>54, 56, VOHOO-DU</v>
      </c>
      <c r="I448" s="5" t="s">
        <v>2965</v>
      </c>
    </row>
    <row r="449" ht="12.75" customHeight="1">
      <c r="A449" s="5" t="s">
        <v>2966</v>
      </c>
      <c r="B449" s="7">
        <v>54.0</v>
      </c>
      <c r="C449" s="7">
        <v>56.0</v>
      </c>
      <c r="D449" s="7" t="s">
        <v>3835</v>
      </c>
      <c r="E449" s="7"/>
      <c r="G449" s="5" t="str">
        <f t="shared" si="1"/>
        <v>54, 56, CLEFAEFAE</v>
      </c>
      <c r="I449" s="5" t="s">
        <v>2966</v>
      </c>
    </row>
    <row r="450" ht="12.75" customHeight="1">
      <c r="A450" s="5">
        <v>0.01</v>
      </c>
      <c r="B450" s="5">
        <v>0.01</v>
      </c>
      <c r="C450" s="7"/>
      <c r="D450" s="7"/>
      <c r="E450" s="7"/>
      <c r="G450" s="5">
        <f t="shared" si="1"/>
        <v>0.01</v>
      </c>
      <c r="I450" s="5">
        <v>0.01</v>
      </c>
    </row>
    <row r="451" ht="12.75" customHeight="1">
      <c r="A451" s="5" t="s">
        <v>2967</v>
      </c>
      <c r="B451" s="7">
        <v>55.0</v>
      </c>
      <c r="C451" s="7">
        <v>56.0</v>
      </c>
      <c r="D451" s="7" t="s">
        <v>3836</v>
      </c>
      <c r="E451" s="7"/>
      <c r="G451" s="5" t="str">
        <f t="shared" si="1"/>
        <v>55, 56, KABUTAK</v>
      </c>
      <c r="I451" s="5" t="s">
        <v>2967</v>
      </c>
    </row>
    <row r="452" ht="12.75" customHeight="1">
      <c r="A452" s="5" t="s">
        <v>2968</v>
      </c>
      <c r="B452" s="7">
        <v>55.0</v>
      </c>
      <c r="C452" s="7">
        <v>56.0</v>
      </c>
      <c r="D452" s="7" t="s">
        <v>3837</v>
      </c>
      <c r="E452" s="7"/>
      <c r="G452" s="5" t="str">
        <f t="shared" si="1"/>
        <v>55, 56, OMAPAL</v>
      </c>
      <c r="I452" s="5" t="s">
        <v>2968</v>
      </c>
    </row>
    <row r="453" ht="12.75" customHeight="1">
      <c r="A453" s="5" t="s">
        <v>2539</v>
      </c>
      <c r="B453" s="7" t="s">
        <v>2539</v>
      </c>
      <c r="C453" s="7"/>
      <c r="D453" s="7"/>
      <c r="E453" s="7"/>
      <c r="G453" s="5" t="str">
        <f t="shared" si="1"/>
        <v>NEW ROUTE</v>
      </c>
      <c r="I453" s="5" t="s">
        <v>2539</v>
      </c>
    </row>
    <row r="454" ht="12.75" customHeight="1">
      <c r="A454" s="5" t="s">
        <v>1739</v>
      </c>
      <c r="B454" s="7" t="s">
        <v>1739</v>
      </c>
      <c r="C454" s="7"/>
      <c r="D454" s="7"/>
      <c r="E454" s="7"/>
      <c r="G454" s="5" t="str">
        <f t="shared" si="1"/>
        <v>Cerulean Cave B1F</v>
      </c>
      <c r="I454" s="5" t="s">
        <v>1739</v>
      </c>
    </row>
    <row r="455" ht="12.75" customHeight="1">
      <c r="A455" s="5">
        <v>0.2</v>
      </c>
      <c r="B455" s="5">
        <v>0.2</v>
      </c>
      <c r="C455" s="7"/>
      <c r="D455" s="7"/>
      <c r="E455" s="7"/>
      <c r="G455" s="5">
        <f t="shared" si="1"/>
        <v>0.2</v>
      </c>
      <c r="I455" s="5">
        <v>0.2</v>
      </c>
    </row>
    <row r="456" ht="12.75" customHeight="1">
      <c r="A456" s="5" t="s">
        <v>532</v>
      </c>
      <c r="B456" s="7">
        <v>50.0</v>
      </c>
      <c r="C456" s="7">
        <v>55.0</v>
      </c>
      <c r="D456" s="7" t="s">
        <v>3759</v>
      </c>
      <c r="E456" s="7"/>
      <c r="G456" s="5" t="str">
        <f t="shared" si="1"/>
        <v>50, 55, DUGROUPLE</v>
      </c>
      <c r="I456" s="5" t="s">
        <v>532</v>
      </c>
    </row>
    <row r="457" ht="12.75" customHeight="1">
      <c r="A457" s="5" t="s">
        <v>2958</v>
      </c>
      <c r="B457" s="7">
        <v>50.0</v>
      </c>
      <c r="C457" s="7">
        <v>55.0</v>
      </c>
      <c r="D457" s="7" t="s">
        <v>3765</v>
      </c>
      <c r="E457" s="7"/>
      <c r="G457" s="5" t="str">
        <f t="shared" si="1"/>
        <v>50, 55, POLABAT</v>
      </c>
      <c r="I457" s="5" t="s">
        <v>2958</v>
      </c>
    </row>
    <row r="458" ht="12.75" customHeight="1">
      <c r="A458" s="5">
        <v>0.1</v>
      </c>
      <c r="B458" s="5">
        <v>0.1</v>
      </c>
      <c r="C458" s="7"/>
      <c r="D458" s="7"/>
      <c r="E458" s="7"/>
      <c r="G458" s="5">
        <f t="shared" si="1"/>
        <v>0.1</v>
      </c>
      <c r="I458" s="5">
        <v>0.1</v>
      </c>
    </row>
    <row r="459" ht="12.75" customHeight="1">
      <c r="A459" s="5" t="s">
        <v>2959</v>
      </c>
      <c r="B459" s="7">
        <v>52.0</v>
      </c>
      <c r="C459" s="7">
        <v>55.0</v>
      </c>
      <c r="D459" s="7" t="s">
        <v>3828</v>
      </c>
      <c r="E459" s="7"/>
      <c r="G459" s="5" t="str">
        <f t="shared" si="1"/>
        <v>52, 55, VENOMENON</v>
      </c>
      <c r="I459" s="5" t="s">
        <v>2959</v>
      </c>
    </row>
    <row r="460" ht="12.75" customHeight="1">
      <c r="A460" s="5" t="s">
        <v>2960</v>
      </c>
      <c r="B460" s="7">
        <v>52.0</v>
      </c>
      <c r="C460" s="7">
        <v>55.0</v>
      </c>
      <c r="D460" s="7" t="s">
        <v>3829</v>
      </c>
      <c r="E460" s="7"/>
      <c r="G460" s="5" t="str">
        <f t="shared" si="1"/>
        <v>52, 55, "MR. JEST"</v>
      </c>
      <c r="I460" s="5" t="s">
        <v>2960</v>
      </c>
    </row>
    <row r="461" ht="12.75" customHeight="1">
      <c r="A461" s="5" t="s">
        <v>2961</v>
      </c>
      <c r="B461" s="7">
        <v>52.0</v>
      </c>
      <c r="C461" s="7">
        <v>55.0</v>
      </c>
      <c r="D461" s="7" t="s">
        <v>3830</v>
      </c>
      <c r="E461" s="7"/>
      <c r="G461" s="5" t="str">
        <f t="shared" si="1"/>
        <v>52, 55, NIDORULY</v>
      </c>
      <c r="I461" s="5" t="s">
        <v>2961</v>
      </c>
    </row>
    <row r="462" ht="12.75" customHeight="1">
      <c r="A462" s="5" t="s">
        <v>2962</v>
      </c>
      <c r="B462" s="7">
        <v>52.0</v>
      </c>
      <c r="C462" s="7">
        <v>55.0</v>
      </c>
      <c r="D462" s="7" t="s">
        <v>3831</v>
      </c>
      <c r="E462" s="7"/>
      <c r="G462" s="5" t="str">
        <f t="shared" si="1"/>
        <v>52, 55, NIDOREGAL</v>
      </c>
      <c r="I462" s="5" t="s">
        <v>2962</v>
      </c>
    </row>
    <row r="463" ht="12.75" customHeight="1">
      <c r="A463" s="5">
        <v>0.05</v>
      </c>
      <c r="B463" s="5">
        <v>0.05</v>
      </c>
      <c r="C463" s="7"/>
      <c r="D463" s="7"/>
      <c r="E463" s="7"/>
      <c r="G463" s="5">
        <f t="shared" si="1"/>
        <v>0.05</v>
      </c>
      <c r="I463" s="5">
        <v>0.05</v>
      </c>
    </row>
    <row r="464" ht="12.75" customHeight="1">
      <c r="A464" s="5" t="s">
        <v>2963</v>
      </c>
      <c r="B464" s="7">
        <v>54.0</v>
      </c>
      <c r="C464" s="7">
        <v>56.0</v>
      </c>
      <c r="D464" s="7" t="s">
        <v>3832</v>
      </c>
      <c r="E464" s="7"/>
      <c r="G464" s="5" t="str">
        <f t="shared" si="1"/>
        <v>54, 56, MORPHO</v>
      </c>
      <c r="I464" s="5" t="s">
        <v>2963</v>
      </c>
    </row>
    <row r="465" ht="12.75" customHeight="1">
      <c r="A465" s="5" t="s">
        <v>2964</v>
      </c>
      <c r="B465" s="7">
        <v>54.0</v>
      </c>
      <c r="C465" s="7">
        <v>56.0</v>
      </c>
      <c r="D465" s="7" t="s">
        <v>3833</v>
      </c>
      <c r="E465" s="7"/>
      <c r="G465" s="5" t="str">
        <f t="shared" si="1"/>
        <v>54, 56, MAGNEMELD</v>
      </c>
      <c r="I465" s="5" t="s">
        <v>2964</v>
      </c>
    </row>
    <row r="466" ht="12.75" customHeight="1">
      <c r="A466" s="5">
        <v>0.04</v>
      </c>
      <c r="B466" s="5">
        <v>0.04</v>
      </c>
      <c r="C466" s="7"/>
      <c r="D466" s="7"/>
      <c r="E466" s="7"/>
      <c r="G466" s="5">
        <f t="shared" si="1"/>
        <v>0.04</v>
      </c>
      <c r="I466" s="5">
        <v>0.04</v>
      </c>
    </row>
    <row r="467" ht="12.75" customHeight="1">
      <c r="A467" s="5" t="s">
        <v>2965</v>
      </c>
      <c r="B467" s="7">
        <v>54.0</v>
      </c>
      <c r="C467" s="7">
        <v>56.0</v>
      </c>
      <c r="D467" s="7" t="s">
        <v>3834</v>
      </c>
      <c r="E467" s="7"/>
      <c r="G467" s="5" t="str">
        <f t="shared" si="1"/>
        <v>54, 56, VOHOO-DU</v>
      </c>
      <c r="I467" s="5" t="s">
        <v>2965</v>
      </c>
    </row>
    <row r="468" ht="12.75" customHeight="1">
      <c r="A468" s="5" t="s">
        <v>2966</v>
      </c>
      <c r="B468" s="7">
        <v>54.0</v>
      </c>
      <c r="C468" s="7">
        <v>56.0</v>
      </c>
      <c r="D468" s="7" t="s">
        <v>3835</v>
      </c>
      <c r="E468" s="7"/>
      <c r="G468" s="5" t="str">
        <f t="shared" si="1"/>
        <v>54, 56, CLEFAEFAE</v>
      </c>
      <c r="I468" s="5" t="s">
        <v>2966</v>
      </c>
    </row>
    <row r="469" ht="12.75" customHeight="1">
      <c r="A469" s="5">
        <v>0.01</v>
      </c>
      <c r="B469" s="5">
        <v>0.01</v>
      </c>
      <c r="C469" s="7"/>
      <c r="D469" s="7"/>
      <c r="E469" s="7"/>
      <c r="G469" s="5">
        <f t="shared" si="1"/>
        <v>0.01</v>
      </c>
      <c r="I469" s="5">
        <v>0.01</v>
      </c>
    </row>
    <row r="470" ht="12.75" customHeight="1">
      <c r="A470" s="5" t="s">
        <v>2967</v>
      </c>
      <c r="B470" s="7">
        <v>55.0</v>
      </c>
      <c r="C470" s="7">
        <v>56.0</v>
      </c>
      <c r="D470" s="7" t="s">
        <v>3836</v>
      </c>
      <c r="E470" s="7"/>
      <c r="G470" s="5" t="str">
        <f t="shared" si="1"/>
        <v>55, 56, KABUTAK</v>
      </c>
      <c r="I470" s="5" t="s">
        <v>2967</v>
      </c>
    </row>
    <row r="471" ht="12.75" customHeight="1">
      <c r="A471" s="5" t="s">
        <v>2968</v>
      </c>
      <c r="B471" s="7">
        <v>55.0</v>
      </c>
      <c r="C471" s="7">
        <v>56.0</v>
      </c>
      <c r="D471" s="7" t="s">
        <v>3837</v>
      </c>
      <c r="E471" s="7"/>
      <c r="G471" s="5" t="str">
        <f t="shared" si="1"/>
        <v>55, 56, OMAPAL</v>
      </c>
      <c r="I471" s="5" t="s">
        <v>2968</v>
      </c>
    </row>
    <row r="472" ht="12.75" customHeight="1">
      <c r="A472" s="5" t="s">
        <v>2969</v>
      </c>
      <c r="B472" s="7">
        <v>2.0</v>
      </c>
      <c r="C472" s="7">
        <v>50.0</v>
      </c>
      <c r="D472" s="7">
        <v>55.0</v>
      </c>
      <c r="E472" s="7" t="s">
        <v>3838</v>
      </c>
      <c r="G472" s="5" t="str">
        <f t="shared" si="1"/>
        <v>2, 50, 55, POLITOES</v>
      </c>
      <c r="I472" s="5" t="s">
        <v>2969</v>
      </c>
    </row>
    <row r="473" ht="12.75" customHeight="1">
      <c r="A473" s="5" t="s">
        <v>2970</v>
      </c>
      <c r="B473" s="7">
        <v>50.0</v>
      </c>
      <c r="C473" s="7">
        <v>55.0</v>
      </c>
      <c r="D473" s="7" t="s">
        <v>3810</v>
      </c>
      <c r="E473" s="7"/>
      <c r="G473" s="5" t="str">
        <f t="shared" si="1"/>
        <v>50, 55, DRAGONITE</v>
      </c>
      <c r="I473" s="5" t="s">
        <v>2970</v>
      </c>
    </row>
    <row r="474" ht="12.75" customHeight="1">
      <c r="A474" s="5" t="s">
        <v>2971</v>
      </c>
      <c r="B474" s="7">
        <v>52.0</v>
      </c>
      <c r="C474" s="7">
        <v>57.0</v>
      </c>
      <c r="D474" s="7" t="s">
        <v>3839</v>
      </c>
      <c r="E474" s="7"/>
      <c r="G474" s="5" t="str">
        <f t="shared" si="1"/>
        <v>52, 57, POLIWISE</v>
      </c>
      <c r="I474" s="5" t="s">
        <v>2971</v>
      </c>
    </row>
    <row r="475" ht="12.75" customHeight="1">
      <c r="A475" s="5" t="s">
        <v>2972</v>
      </c>
      <c r="B475" s="7">
        <v>52.0</v>
      </c>
      <c r="C475" s="7">
        <v>57.0</v>
      </c>
      <c r="D475" s="7" t="s">
        <v>3840</v>
      </c>
      <c r="E475" s="7"/>
      <c r="G475" s="5" t="str">
        <f t="shared" si="1"/>
        <v>52, 57, DRAGONIER</v>
      </c>
      <c r="I475" s="5" t="s">
        <v>2972</v>
      </c>
    </row>
    <row r="476" ht="12.75" customHeight="1">
      <c r="A476" s="5" t="s">
        <v>2973</v>
      </c>
      <c r="B476" s="7">
        <v>53.0</v>
      </c>
      <c r="C476" s="7">
        <v>58.0</v>
      </c>
      <c r="D476" s="7" t="s">
        <v>3841</v>
      </c>
      <c r="E476" s="7"/>
      <c r="G476" s="5" t="str">
        <f t="shared" si="1"/>
        <v>53, 58, NESSEA</v>
      </c>
      <c r="I476" s="5" t="s">
        <v>2973</v>
      </c>
    </row>
    <row r="477" ht="12.75" customHeight="1">
      <c r="A477" s="5" t="s">
        <v>2926</v>
      </c>
      <c r="B477" s="7">
        <v>20.0</v>
      </c>
      <c r="C477" s="7" t="s">
        <v>3749</v>
      </c>
      <c r="D477" s="7"/>
      <c r="E477" s="7"/>
      <c r="G477" s="5" t="str">
        <f t="shared" si="1"/>
        <v>old rod:</v>
      </c>
      <c r="I477" s="5" t="s">
        <v>3750</v>
      </c>
    </row>
    <row r="478" ht="12.75" customHeight="1">
      <c r="A478" s="5" t="s">
        <v>548</v>
      </c>
      <c r="B478" s="7">
        <v>23.0</v>
      </c>
      <c r="C478" s="7">
        <v>36.0</v>
      </c>
      <c r="D478" s="7" t="s">
        <v>3842</v>
      </c>
      <c r="E478" s="7"/>
      <c r="G478" s="5" t="str">
        <f t="shared" si="1"/>
        <v>23, 36, CLOYSTER</v>
      </c>
      <c r="I478" s="5" t="s">
        <v>548</v>
      </c>
    </row>
    <row r="479" ht="12.75" customHeight="1">
      <c r="A479" s="5" t="s">
        <v>2974</v>
      </c>
      <c r="B479" s="7">
        <v>23.0</v>
      </c>
      <c r="C479" s="7">
        <v>36.0</v>
      </c>
      <c r="D479" s="7" t="s">
        <v>3755</v>
      </c>
      <c r="E479" s="7"/>
      <c r="G479" s="5" t="str">
        <f t="shared" si="1"/>
        <v>23, 36, GYARADOS</v>
      </c>
      <c r="I479" s="5" t="s">
        <v>2974</v>
      </c>
    </row>
    <row r="480" ht="12.75" customHeight="1">
      <c r="A480" s="5" t="s">
        <v>2847</v>
      </c>
      <c r="B480" s="7" t="s">
        <v>2847</v>
      </c>
      <c r="C480" s="7"/>
      <c r="D480" s="7"/>
      <c r="E480" s="7"/>
      <c r="G480" s="5" t="str">
        <f t="shared" si="1"/>
        <v>good rod:</v>
      </c>
      <c r="I480" s="5" t="s">
        <v>2847</v>
      </c>
    </row>
    <row r="481" ht="12.75" customHeight="1">
      <c r="A481" s="5" t="s">
        <v>2975</v>
      </c>
      <c r="B481" s="7">
        <v>30.0</v>
      </c>
      <c r="C481" s="7">
        <v>38.0</v>
      </c>
      <c r="D481" s="7" t="s">
        <v>3842</v>
      </c>
      <c r="E481" s="7"/>
      <c r="G481" s="5" t="str">
        <f t="shared" si="1"/>
        <v>30, 38, CLOYSTER</v>
      </c>
      <c r="I481" s="5" t="s">
        <v>2975</v>
      </c>
    </row>
    <row r="482" ht="12.75" customHeight="1">
      <c r="A482" s="5" t="s">
        <v>2976</v>
      </c>
      <c r="B482" s="7">
        <v>32.0</v>
      </c>
      <c r="C482" s="7">
        <v>40.0</v>
      </c>
      <c r="D482" s="7" t="s">
        <v>3843</v>
      </c>
      <c r="E482" s="7"/>
      <c r="G482" s="5" t="str">
        <f t="shared" si="1"/>
        <v>32, 40, KINGDRA</v>
      </c>
      <c r="I482" s="5" t="s">
        <v>2976</v>
      </c>
    </row>
    <row r="483" ht="12.75" customHeight="1">
      <c r="A483" s="5" t="s">
        <v>2977</v>
      </c>
      <c r="B483" s="7">
        <v>32.0</v>
      </c>
      <c r="C483" s="7">
        <v>40.0</v>
      </c>
      <c r="D483" s="7" t="s">
        <v>3844</v>
      </c>
      <c r="E483" s="7"/>
      <c r="G483" s="5" t="str">
        <f t="shared" si="1"/>
        <v>32, 40, HYDRADOS</v>
      </c>
      <c r="I483" s="5" t="s">
        <v>2977</v>
      </c>
    </row>
    <row r="484" ht="12.75" customHeight="1">
      <c r="A484" s="5" t="s">
        <v>2851</v>
      </c>
      <c r="B484" s="7" t="s">
        <v>2851</v>
      </c>
      <c r="C484" s="7"/>
      <c r="D484" s="7"/>
      <c r="E484" s="7"/>
      <c r="G484" s="5" t="str">
        <f t="shared" si="1"/>
        <v>super rod:</v>
      </c>
      <c r="I484" s="5" t="s">
        <v>2851</v>
      </c>
    </row>
    <row r="485" ht="12.75" customHeight="1">
      <c r="A485" s="5" t="s">
        <v>2978</v>
      </c>
      <c r="B485" s="7">
        <v>50.0</v>
      </c>
      <c r="C485" s="7">
        <v>55.0</v>
      </c>
      <c r="D485" s="7" t="s">
        <v>3845</v>
      </c>
      <c r="E485" s="7"/>
      <c r="G485" s="5" t="str">
        <f t="shared" si="1"/>
        <v>50, 55, LORDRA</v>
      </c>
      <c r="I485" s="5" t="s">
        <v>2978</v>
      </c>
    </row>
    <row r="486" ht="12.75" customHeight="1">
      <c r="A486" s="5" t="s">
        <v>2979</v>
      </c>
      <c r="B486" s="7">
        <v>50.0</v>
      </c>
      <c r="C486" s="7">
        <v>55.0</v>
      </c>
      <c r="D486" s="7" t="s">
        <v>3846</v>
      </c>
      <c r="E486" s="7"/>
      <c r="G486" s="5" t="str">
        <f t="shared" si="1"/>
        <v>50, 55, AN'ENEMY</v>
      </c>
      <c r="I486" s="5" t="s">
        <v>2979</v>
      </c>
    </row>
    <row r="487" ht="12.75" customHeight="1">
      <c r="A487" s="5" t="s">
        <v>2980</v>
      </c>
      <c r="B487" s="7">
        <v>52.0</v>
      </c>
      <c r="C487" s="7">
        <v>57.0</v>
      </c>
      <c r="D487" s="7" t="s">
        <v>3847</v>
      </c>
      <c r="E487" s="7"/>
      <c r="G487" s="5" t="str">
        <f t="shared" si="1"/>
        <v>52, 57, DRACOSMIC</v>
      </c>
      <c r="I487" s="5" t="s">
        <v>2980</v>
      </c>
    </row>
    <row r="488" ht="12.75" customHeight="1">
      <c r="A488" s="5" t="s">
        <v>2981</v>
      </c>
      <c r="B488" s="7">
        <v>52.0</v>
      </c>
      <c r="C488" s="7">
        <v>57.0</v>
      </c>
      <c r="D488" s="7" t="s">
        <v>3848</v>
      </c>
      <c r="E488" s="7"/>
      <c r="G488" s="5" t="str">
        <f t="shared" si="1"/>
        <v>52, 57, GLAISHELL</v>
      </c>
      <c r="I488" s="5" t="s">
        <v>2981</v>
      </c>
    </row>
    <row r="489" ht="12.75" customHeight="1">
      <c r="A489" s="5" t="s">
        <v>2982</v>
      </c>
      <c r="B489" s="7">
        <v>53.0</v>
      </c>
      <c r="C489" s="7">
        <v>58.0</v>
      </c>
      <c r="D489" s="7" t="s">
        <v>3849</v>
      </c>
      <c r="E489" s="7"/>
      <c r="G489" s="5" t="str">
        <f t="shared" si="1"/>
        <v>53, 58, STARWE</v>
      </c>
      <c r="I489" s="5" t="s">
        <v>2982</v>
      </c>
    </row>
    <row r="490" ht="12.75" customHeight="1">
      <c r="A490" s="5" t="s">
        <v>2539</v>
      </c>
      <c r="B490" s="7" t="s">
        <v>2539</v>
      </c>
      <c r="C490" s="7"/>
      <c r="D490" s="7"/>
      <c r="E490" s="7"/>
      <c r="G490" s="5" t="str">
        <f t="shared" si="1"/>
        <v>NEW ROUTE</v>
      </c>
      <c r="I490" s="5" t="s">
        <v>2539</v>
      </c>
    </row>
    <row r="491" ht="12.75" customHeight="1">
      <c r="A491" s="5" t="s">
        <v>1768</v>
      </c>
      <c r="B491" s="7" t="s">
        <v>1768</v>
      </c>
      <c r="C491" s="7"/>
      <c r="D491" s="7"/>
      <c r="E491" s="7"/>
      <c r="G491" s="5" t="str">
        <f t="shared" si="1"/>
        <v>Rock Tunnel 1F</v>
      </c>
      <c r="I491" s="5" t="s">
        <v>1768</v>
      </c>
    </row>
    <row r="492" ht="12.75" customHeight="1">
      <c r="A492" s="5">
        <v>0.2</v>
      </c>
      <c r="B492" s="5">
        <v>0.2</v>
      </c>
      <c r="C492" s="7"/>
      <c r="D492" s="7"/>
      <c r="E492" s="7"/>
      <c r="G492" s="5">
        <f t="shared" si="1"/>
        <v>0.2</v>
      </c>
      <c r="I492" s="5">
        <v>0.2</v>
      </c>
    </row>
    <row r="493" ht="12.75" customHeight="1">
      <c r="A493" s="5" t="s">
        <v>562</v>
      </c>
      <c r="B493" s="7">
        <v>20.0</v>
      </c>
      <c r="C493" s="7">
        <v>23.0</v>
      </c>
      <c r="D493" s="7" t="s">
        <v>3850</v>
      </c>
      <c r="E493" s="7"/>
      <c r="G493" s="5" t="str">
        <f t="shared" si="1"/>
        <v>20, 23, RHYHORN</v>
      </c>
      <c r="I493" s="5" t="s">
        <v>562</v>
      </c>
    </row>
    <row r="494" ht="12.75" customHeight="1">
      <c r="A494" s="5" t="s">
        <v>2987</v>
      </c>
      <c r="B494" s="7">
        <v>20.0</v>
      </c>
      <c r="C494" s="7">
        <v>23.0</v>
      </c>
      <c r="D494" s="7" t="s">
        <v>3741</v>
      </c>
      <c r="E494" s="7"/>
      <c r="G494" s="5" t="str">
        <f t="shared" si="1"/>
        <v>20, 23, GEODUDE</v>
      </c>
      <c r="I494" s="5" t="s">
        <v>2987</v>
      </c>
    </row>
    <row r="495" ht="12.75" customHeight="1">
      <c r="A495" s="5">
        <v>0.1</v>
      </c>
      <c r="B495" s="5">
        <v>0.1</v>
      </c>
      <c r="C495" s="7"/>
      <c r="D495" s="7"/>
      <c r="E495" s="7"/>
      <c r="G495" s="5">
        <f t="shared" si="1"/>
        <v>0.1</v>
      </c>
      <c r="I495" s="5">
        <v>0.1</v>
      </c>
    </row>
    <row r="496" ht="12.75" customHeight="1">
      <c r="A496" s="5" t="s">
        <v>2988</v>
      </c>
      <c r="B496" s="7">
        <v>20.0</v>
      </c>
      <c r="C496" s="7">
        <v>24.0</v>
      </c>
      <c r="D496" s="7" t="s">
        <v>3744</v>
      </c>
      <c r="E496" s="7"/>
      <c r="G496" s="5" t="str">
        <f t="shared" si="1"/>
        <v>20, 24, ONIX</v>
      </c>
      <c r="I496" s="5" t="s">
        <v>2988</v>
      </c>
    </row>
    <row r="497" ht="12.75" customHeight="1">
      <c r="A497" s="5" t="s">
        <v>2989</v>
      </c>
      <c r="B497" s="7">
        <v>19.0</v>
      </c>
      <c r="C497" s="7">
        <v>23.0</v>
      </c>
      <c r="D497" s="7" t="s">
        <v>3736</v>
      </c>
      <c r="E497" s="7"/>
      <c r="G497" s="5" t="str">
        <f t="shared" si="1"/>
        <v>19, 23, MANKEY</v>
      </c>
      <c r="I497" s="5" t="s">
        <v>2989</v>
      </c>
    </row>
    <row r="498" ht="12.75" customHeight="1">
      <c r="A498" s="5" t="s">
        <v>2990</v>
      </c>
      <c r="B498" s="7">
        <v>19.0</v>
      </c>
      <c r="C498" s="7">
        <v>23.0</v>
      </c>
      <c r="D498" s="7" t="s">
        <v>3851</v>
      </c>
      <c r="E498" s="7"/>
      <c r="G498" s="5" t="str">
        <f t="shared" si="1"/>
        <v>19, 23, MACHOP</v>
      </c>
      <c r="I498" s="5" t="s">
        <v>2990</v>
      </c>
    </row>
    <row r="499" ht="12.75" customHeight="1">
      <c r="A499" s="5" t="s">
        <v>2991</v>
      </c>
      <c r="B499" s="7">
        <v>22.0</v>
      </c>
      <c r="C499" s="7">
        <v>24.0</v>
      </c>
      <c r="D499" s="7" t="s">
        <v>3746</v>
      </c>
      <c r="E499" s="7"/>
      <c r="G499" s="5" t="str">
        <f t="shared" si="1"/>
        <v>22, 24, GOLBAT</v>
      </c>
      <c r="I499" s="5" t="s">
        <v>2991</v>
      </c>
    </row>
    <row r="500" ht="12.75" customHeight="1">
      <c r="A500" s="5">
        <v>0.05</v>
      </c>
      <c r="B500" s="5">
        <v>0.05</v>
      </c>
      <c r="C500" s="7"/>
      <c r="D500" s="7"/>
      <c r="E500" s="7"/>
      <c r="G500" s="5">
        <f t="shared" si="1"/>
        <v>0.05</v>
      </c>
      <c r="I500" s="5">
        <v>0.05</v>
      </c>
    </row>
    <row r="501" ht="12.75" customHeight="1">
      <c r="A501" s="5" t="s">
        <v>2992</v>
      </c>
      <c r="B501" s="7">
        <v>24.0</v>
      </c>
      <c r="C501" s="7">
        <v>24.0</v>
      </c>
      <c r="D501" s="7" t="s">
        <v>3850</v>
      </c>
      <c r="E501" s="7"/>
      <c r="G501" s="5" t="str">
        <f t="shared" si="1"/>
        <v>24, 24, RHYHORN</v>
      </c>
      <c r="I501" s="5" t="s">
        <v>2992</v>
      </c>
    </row>
    <row r="502" ht="12.75" customHeight="1">
      <c r="A502" s="5" t="s">
        <v>2993</v>
      </c>
      <c r="B502" s="7">
        <v>24.0</v>
      </c>
      <c r="C502" s="7">
        <v>24.0</v>
      </c>
      <c r="D502" s="7" t="s">
        <v>3741</v>
      </c>
      <c r="E502" s="7"/>
      <c r="G502" s="5" t="str">
        <f t="shared" si="1"/>
        <v>24, 24, GEODUDE</v>
      </c>
      <c r="I502" s="5" t="s">
        <v>2993</v>
      </c>
    </row>
    <row r="503" ht="12.75" customHeight="1">
      <c r="A503" s="5">
        <v>0.04</v>
      </c>
      <c r="B503" s="5">
        <v>0.04</v>
      </c>
      <c r="C503" s="7"/>
      <c r="D503" s="7"/>
      <c r="E503" s="7"/>
      <c r="G503" s="5">
        <f t="shared" si="1"/>
        <v>0.04</v>
      </c>
      <c r="I503" s="5">
        <v>0.04</v>
      </c>
    </row>
    <row r="504" ht="12.75" customHeight="1">
      <c r="A504" s="5" t="s">
        <v>2994</v>
      </c>
      <c r="B504" s="7">
        <v>20.0</v>
      </c>
      <c r="C504" s="7">
        <v>25.0</v>
      </c>
      <c r="D504" s="7" t="s">
        <v>3747</v>
      </c>
      <c r="E504" s="7"/>
      <c r="G504" s="5" t="str">
        <f t="shared" si="1"/>
        <v>20, 25, GRAVELER</v>
      </c>
      <c r="I504" s="5" t="s">
        <v>2994</v>
      </c>
    </row>
    <row r="505" ht="12.75" customHeight="1">
      <c r="A505" s="5" t="s">
        <v>2995</v>
      </c>
      <c r="B505" s="7">
        <v>25.0</v>
      </c>
      <c r="C505" s="7">
        <v>25.0</v>
      </c>
      <c r="D505" s="7" t="s">
        <v>3746</v>
      </c>
      <c r="E505" s="7"/>
      <c r="G505" s="5" t="str">
        <f t="shared" si="1"/>
        <v>25, 25, GOLBAT</v>
      </c>
      <c r="I505" s="5" t="s">
        <v>2995</v>
      </c>
    </row>
    <row r="506" ht="12.75" customHeight="1">
      <c r="A506" s="5">
        <v>0.01</v>
      </c>
      <c r="B506" s="5">
        <v>0.01</v>
      </c>
      <c r="C506" s="7"/>
      <c r="D506" s="7"/>
      <c r="E506" s="7"/>
      <c r="G506" s="5">
        <f t="shared" si="1"/>
        <v>0.01</v>
      </c>
      <c r="I506" s="5">
        <v>0.01</v>
      </c>
    </row>
    <row r="507" ht="12.75" customHeight="1">
      <c r="A507" s="5" t="s">
        <v>2996</v>
      </c>
      <c r="B507" s="7">
        <v>20.0</v>
      </c>
      <c r="C507" s="7">
        <v>25.0</v>
      </c>
      <c r="D507" s="7" t="s">
        <v>3852</v>
      </c>
      <c r="E507" s="7"/>
      <c r="G507" s="5" t="str">
        <f t="shared" si="1"/>
        <v>20, 25, PINSIR</v>
      </c>
      <c r="I507" s="5" t="s">
        <v>2996</v>
      </c>
    </row>
    <row r="508" ht="12.75" customHeight="1">
      <c r="A508" s="5" t="s">
        <v>3716</v>
      </c>
      <c r="B508" s="7">
        <v>20.0</v>
      </c>
      <c r="C508" s="7">
        <v>23.0</v>
      </c>
      <c r="D508" s="7" t="s">
        <v>3813</v>
      </c>
      <c r="E508" s="7"/>
      <c r="G508" s="5" t="str">
        <f t="shared" si="1"/>
        <v>20, 23, KANGASKHAN</v>
      </c>
      <c r="I508" s="5" t="s">
        <v>3716</v>
      </c>
    </row>
    <row r="509" ht="12.75" customHeight="1">
      <c r="A509" s="5" t="s">
        <v>2539</v>
      </c>
      <c r="B509" s="7" t="s">
        <v>2539</v>
      </c>
      <c r="C509" s="7"/>
      <c r="D509" s="7"/>
      <c r="E509" s="7"/>
      <c r="G509" s="5" t="str">
        <f t="shared" si="1"/>
        <v>NEW ROUTE</v>
      </c>
      <c r="I509" s="5" t="s">
        <v>2539</v>
      </c>
    </row>
    <row r="510" ht="12.75" customHeight="1">
      <c r="A510" s="5" t="s">
        <v>1771</v>
      </c>
      <c r="B510" s="7" t="s">
        <v>1771</v>
      </c>
      <c r="C510" s="7"/>
      <c r="D510" s="7"/>
      <c r="E510" s="7"/>
      <c r="G510" s="5" t="str">
        <f t="shared" si="1"/>
        <v>Rock Tunnel B1F</v>
      </c>
      <c r="I510" s="5" t="s">
        <v>1771</v>
      </c>
    </row>
    <row r="511" ht="12.75" customHeight="1">
      <c r="A511" s="5">
        <v>0.2</v>
      </c>
      <c r="B511" s="5">
        <v>0.2</v>
      </c>
      <c r="C511" s="7"/>
      <c r="D511" s="7"/>
      <c r="E511" s="7"/>
      <c r="G511" s="5">
        <f t="shared" si="1"/>
        <v>0.2</v>
      </c>
      <c r="I511" s="5">
        <v>0.2</v>
      </c>
    </row>
    <row r="512" ht="12.75" customHeight="1">
      <c r="A512" s="5" t="s">
        <v>562</v>
      </c>
      <c r="B512" s="7">
        <v>20.0</v>
      </c>
      <c r="C512" s="7">
        <v>23.0</v>
      </c>
      <c r="D512" s="7" t="s">
        <v>3850</v>
      </c>
      <c r="E512" s="7"/>
      <c r="G512" s="5" t="str">
        <f t="shared" si="1"/>
        <v>20, 23, RHYHORN</v>
      </c>
      <c r="I512" s="5" t="s">
        <v>562</v>
      </c>
    </row>
    <row r="513" ht="12.75" customHeight="1">
      <c r="A513" s="5" t="s">
        <v>2987</v>
      </c>
      <c r="B513" s="7">
        <v>20.0</v>
      </c>
      <c r="C513" s="7">
        <v>23.0</v>
      </c>
      <c r="D513" s="7" t="s">
        <v>3741</v>
      </c>
      <c r="E513" s="7"/>
      <c r="G513" s="5" t="str">
        <f t="shared" si="1"/>
        <v>20, 23, GEODUDE</v>
      </c>
      <c r="I513" s="5" t="s">
        <v>2987</v>
      </c>
    </row>
    <row r="514" ht="12.75" customHeight="1">
      <c r="A514" s="5">
        <v>0.1</v>
      </c>
      <c r="B514" s="5">
        <v>0.1</v>
      </c>
      <c r="C514" s="7"/>
      <c r="D514" s="7"/>
      <c r="E514" s="7"/>
      <c r="G514" s="5">
        <f t="shared" si="1"/>
        <v>0.1</v>
      </c>
      <c r="I514" s="5">
        <v>0.1</v>
      </c>
    </row>
    <row r="515" ht="12.75" customHeight="1">
      <c r="A515" s="5" t="s">
        <v>2988</v>
      </c>
      <c r="B515" s="7">
        <v>20.0</v>
      </c>
      <c r="C515" s="7">
        <v>24.0</v>
      </c>
      <c r="D515" s="7" t="s">
        <v>3744</v>
      </c>
      <c r="E515" s="7"/>
      <c r="G515" s="5" t="str">
        <f t="shared" si="1"/>
        <v>20, 24, ONIX</v>
      </c>
      <c r="I515" s="5" t="s">
        <v>2988</v>
      </c>
    </row>
    <row r="516" ht="12.75" customHeight="1">
      <c r="A516" s="5" t="s">
        <v>2989</v>
      </c>
      <c r="B516" s="7">
        <v>19.0</v>
      </c>
      <c r="C516" s="7">
        <v>23.0</v>
      </c>
      <c r="D516" s="7" t="s">
        <v>3736</v>
      </c>
      <c r="E516" s="7"/>
      <c r="G516" s="5" t="str">
        <f t="shared" si="1"/>
        <v>19, 23, MANKEY</v>
      </c>
      <c r="I516" s="5" t="s">
        <v>2989</v>
      </c>
    </row>
    <row r="517" ht="12.75" customHeight="1">
      <c r="A517" s="5" t="s">
        <v>2990</v>
      </c>
      <c r="B517" s="7">
        <v>19.0</v>
      </c>
      <c r="C517" s="7">
        <v>23.0</v>
      </c>
      <c r="D517" s="7" t="s">
        <v>3851</v>
      </c>
      <c r="E517" s="7"/>
      <c r="G517" s="5" t="str">
        <f t="shared" si="1"/>
        <v>19, 23, MACHOP</v>
      </c>
      <c r="I517" s="5" t="s">
        <v>2990</v>
      </c>
    </row>
    <row r="518" ht="12.75" customHeight="1">
      <c r="A518" s="5" t="s">
        <v>2991</v>
      </c>
      <c r="B518" s="7">
        <v>22.0</v>
      </c>
      <c r="C518" s="7">
        <v>24.0</v>
      </c>
      <c r="D518" s="7" t="s">
        <v>3746</v>
      </c>
      <c r="E518" s="7"/>
      <c r="G518" s="5" t="str">
        <f t="shared" si="1"/>
        <v>22, 24, GOLBAT</v>
      </c>
      <c r="I518" s="5" t="s">
        <v>2991</v>
      </c>
    </row>
    <row r="519" ht="12.75" customHeight="1">
      <c r="A519" s="5">
        <v>0.05</v>
      </c>
      <c r="B519" s="5">
        <v>0.05</v>
      </c>
      <c r="C519" s="7"/>
      <c r="D519" s="7"/>
      <c r="E519" s="7"/>
      <c r="G519" s="5">
        <f t="shared" si="1"/>
        <v>0.05</v>
      </c>
      <c r="I519" s="5">
        <v>0.05</v>
      </c>
    </row>
    <row r="520" ht="12.75" customHeight="1">
      <c r="A520" s="5" t="s">
        <v>2992</v>
      </c>
      <c r="B520" s="7">
        <v>24.0</v>
      </c>
      <c r="C520" s="7">
        <v>24.0</v>
      </c>
      <c r="D520" s="7" t="s">
        <v>3850</v>
      </c>
      <c r="E520" s="7"/>
      <c r="G520" s="5" t="str">
        <f t="shared" si="1"/>
        <v>24, 24, RHYHORN</v>
      </c>
      <c r="I520" s="5" t="s">
        <v>2992</v>
      </c>
    </row>
    <row r="521" ht="12.75" customHeight="1">
      <c r="A521" s="5" t="s">
        <v>2993</v>
      </c>
      <c r="B521" s="7">
        <v>24.0</v>
      </c>
      <c r="C521" s="7">
        <v>24.0</v>
      </c>
      <c r="D521" s="7" t="s">
        <v>3741</v>
      </c>
      <c r="E521" s="7"/>
      <c r="G521" s="5" t="str">
        <f t="shared" si="1"/>
        <v>24, 24, GEODUDE</v>
      </c>
      <c r="I521" s="5" t="s">
        <v>2993</v>
      </c>
    </row>
    <row r="522" ht="12.75" customHeight="1">
      <c r="A522" s="5">
        <v>0.04</v>
      </c>
      <c r="B522" s="5">
        <v>0.04</v>
      </c>
      <c r="C522" s="7"/>
      <c r="D522" s="7"/>
      <c r="E522" s="7"/>
      <c r="G522" s="5">
        <f t="shared" si="1"/>
        <v>0.04</v>
      </c>
      <c r="I522" s="5">
        <v>0.04</v>
      </c>
    </row>
    <row r="523" ht="12.75" customHeight="1">
      <c r="A523" s="5" t="s">
        <v>2994</v>
      </c>
      <c r="B523" s="7">
        <v>20.0</v>
      </c>
      <c r="C523" s="7">
        <v>25.0</v>
      </c>
      <c r="D523" s="7" t="s">
        <v>3747</v>
      </c>
      <c r="E523" s="7"/>
      <c r="G523" s="5" t="str">
        <f t="shared" si="1"/>
        <v>20, 25, GRAVELER</v>
      </c>
      <c r="I523" s="5" t="s">
        <v>2994</v>
      </c>
    </row>
    <row r="524" ht="12.75" customHeight="1">
      <c r="A524" s="5" t="s">
        <v>2995</v>
      </c>
      <c r="B524" s="7">
        <v>25.0</v>
      </c>
      <c r="C524" s="7">
        <v>25.0</v>
      </c>
      <c r="D524" s="7" t="s">
        <v>3746</v>
      </c>
      <c r="E524" s="7"/>
      <c r="G524" s="5" t="str">
        <f t="shared" si="1"/>
        <v>25, 25, GOLBAT</v>
      </c>
      <c r="I524" s="5" t="s">
        <v>2995</v>
      </c>
    </row>
    <row r="525" ht="12.75" customHeight="1">
      <c r="A525" s="5">
        <v>0.01</v>
      </c>
      <c r="B525" s="5">
        <v>0.01</v>
      </c>
      <c r="C525" s="7"/>
      <c r="D525" s="7"/>
      <c r="E525" s="7"/>
      <c r="G525" s="5">
        <f t="shared" si="1"/>
        <v>0.01</v>
      </c>
      <c r="I525" s="5">
        <v>0.01</v>
      </c>
    </row>
    <row r="526" ht="12.75" customHeight="1">
      <c r="A526" s="5" t="s">
        <v>2996</v>
      </c>
      <c r="B526" s="7">
        <v>20.0</v>
      </c>
      <c r="C526" s="7">
        <v>25.0</v>
      </c>
      <c r="D526" s="7" t="s">
        <v>3852</v>
      </c>
      <c r="E526" s="7"/>
      <c r="G526" s="5" t="str">
        <f t="shared" si="1"/>
        <v>20, 25, PINSIR</v>
      </c>
      <c r="I526" s="5" t="s">
        <v>2996</v>
      </c>
    </row>
    <row r="527" ht="12.75" customHeight="1">
      <c r="A527" s="5" t="s">
        <v>2999</v>
      </c>
      <c r="B527" s="7">
        <v>21.0</v>
      </c>
      <c r="C527" s="7">
        <v>24.0</v>
      </c>
      <c r="D527" s="7" t="s">
        <v>3813</v>
      </c>
      <c r="E527" s="7"/>
      <c r="G527" s="5" t="str">
        <f t="shared" si="1"/>
        <v>21, 24, KANGASKHAN</v>
      </c>
      <c r="I527" s="5" t="s">
        <v>2999</v>
      </c>
    </row>
    <row r="528" ht="12.75" customHeight="1">
      <c r="A528" s="5" t="s">
        <v>3000</v>
      </c>
      <c r="B528" s="7">
        <v>50.0</v>
      </c>
      <c r="C528" s="7">
        <v>5.0</v>
      </c>
      <c r="D528" s="7">
        <v>20.0</v>
      </c>
      <c r="E528" s="7" t="s">
        <v>3741</v>
      </c>
      <c r="G528" s="5" t="str">
        <f t="shared" si="1"/>
        <v>50, 5, 20, GEODUDE</v>
      </c>
      <c r="I528" s="5" t="s">
        <v>3000</v>
      </c>
    </row>
    <row r="529" ht="12.75" customHeight="1">
      <c r="A529" s="5" t="s">
        <v>3001</v>
      </c>
      <c r="B529" s="7">
        <v>10.0</v>
      </c>
      <c r="C529" s="7">
        <v>20.0</v>
      </c>
      <c r="D529" s="7" t="s">
        <v>3741</v>
      </c>
      <c r="E529" s="7"/>
      <c r="G529" s="5" t="str">
        <f t="shared" si="1"/>
        <v>10, 20, GEODUDE</v>
      </c>
      <c r="I529" s="5" t="s">
        <v>3001</v>
      </c>
    </row>
    <row r="530" ht="12.75" customHeight="1">
      <c r="A530" s="5" t="s">
        <v>3002</v>
      </c>
      <c r="B530" s="7">
        <v>15.0</v>
      </c>
      <c r="C530" s="7">
        <v>30.0</v>
      </c>
      <c r="D530" s="7" t="s">
        <v>3741</v>
      </c>
      <c r="E530" s="7"/>
      <c r="G530" s="5" t="str">
        <f t="shared" si="1"/>
        <v>15, 30, GEODUDE</v>
      </c>
      <c r="I530" s="5" t="s">
        <v>3002</v>
      </c>
    </row>
    <row r="531" ht="12.75" customHeight="1">
      <c r="A531" s="5" t="s">
        <v>3003</v>
      </c>
      <c r="B531" s="7">
        <v>25.0</v>
      </c>
      <c r="C531" s="7">
        <v>40.0</v>
      </c>
      <c r="D531" s="7" t="s">
        <v>3747</v>
      </c>
      <c r="E531" s="7"/>
      <c r="G531" s="5" t="str">
        <f t="shared" si="1"/>
        <v>25, 40, GRAVELER</v>
      </c>
      <c r="I531" s="5" t="s">
        <v>3003</v>
      </c>
    </row>
    <row r="532" ht="12.75" customHeight="1">
      <c r="A532" s="5" t="s">
        <v>3234</v>
      </c>
      <c r="B532" s="7">
        <v>30.0</v>
      </c>
      <c r="C532" s="7">
        <v>40.0</v>
      </c>
      <c r="D532" s="7" t="s">
        <v>3747</v>
      </c>
      <c r="E532" s="7"/>
      <c r="G532" s="5" t="str">
        <f t="shared" si="1"/>
        <v>30, 40, GRAVELER</v>
      </c>
      <c r="I532" s="5" t="s">
        <v>3234</v>
      </c>
    </row>
    <row r="533" ht="12.75" customHeight="1">
      <c r="A533" s="5" t="s">
        <v>2539</v>
      </c>
      <c r="B533" s="7" t="s">
        <v>2539</v>
      </c>
      <c r="C533" s="7"/>
      <c r="D533" s="7"/>
      <c r="E533" s="7"/>
      <c r="G533" s="5" t="str">
        <f t="shared" si="1"/>
        <v>NEW ROUTE</v>
      </c>
      <c r="I533" s="5" t="s">
        <v>2539</v>
      </c>
    </row>
    <row r="534" ht="12.75" customHeight="1">
      <c r="A534" s="5" t="s">
        <v>1774</v>
      </c>
      <c r="B534" s="7" t="s">
        <v>1774</v>
      </c>
      <c r="C534" s="7"/>
      <c r="D534" s="7"/>
      <c r="E534" s="7"/>
      <c r="G534" s="5" t="str">
        <f t="shared" si="1"/>
        <v>Seafoam Islands 1F</v>
      </c>
      <c r="I534" s="5" t="s">
        <v>1774</v>
      </c>
    </row>
    <row r="535" ht="12.75" customHeight="1">
      <c r="A535" s="5">
        <v>0.2</v>
      </c>
      <c r="B535" s="5">
        <v>0.2</v>
      </c>
      <c r="C535" s="7"/>
      <c r="D535" s="7"/>
      <c r="E535" s="7"/>
      <c r="G535" s="5">
        <f t="shared" si="1"/>
        <v>0.2</v>
      </c>
      <c r="I535" s="5">
        <v>0.2</v>
      </c>
    </row>
    <row r="536" ht="12.75" customHeight="1">
      <c r="A536" s="5" t="s">
        <v>581</v>
      </c>
      <c r="B536" s="7">
        <v>40.0</v>
      </c>
      <c r="C536" s="7">
        <v>44.0</v>
      </c>
      <c r="D536" s="7" t="s">
        <v>3746</v>
      </c>
      <c r="E536" s="7"/>
      <c r="G536" s="5" t="str">
        <f t="shared" si="1"/>
        <v>40, 44, GOLBAT</v>
      </c>
      <c r="I536" s="5" t="s">
        <v>581</v>
      </c>
    </row>
    <row r="537" ht="12.75" customHeight="1">
      <c r="A537" s="5" t="s">
        <v>3006</v>
      </c>
      <c r="B537" s="7">
        <v>40.0</v>
      </c>
      <c r="C537" s="7">
        <v>44.0</v>
      </c>
      <c r="D537" s="7" t="s">
        <v>3802</v>
      </c>
      <c r="E537" s="7"/>
      <c r="G537" s="5" t="str">
        <f t="shared" si="1"/>
        <v>40, 44, GOLDUCK</v>
      </c>
      <c r="I537" s="5" t="s">
        <v>3006</v>
      </c>
    </row>
    <row r="538" ht="12.75" customHeight="1">
      <c r="A538" s="5">
        <v>0.1</v>
      </c>
      <c r="B538" s="5">
        <v>0.1</v>
      </c>
      <c r="C538" s="7"/>
      <c r="D538" s="7"/>
      <c r="E538" s="7"/>
      <c r="G538" s="5">
        <f t="shared" si="1"/>
        <v>0.1</v>
      </c>
      <c r="I538" s="5">
        <v>0.1</v>
      </c>
    </row>
    <row r="539" ht="12.75" customHeight="1">
      <c r="A539" s="5" t="s">
        <v>3007</v>
      </c>
      <c r="B539" s="7">
        <v>40.0</v>
      </c>
      <c r="C539" s="7">
        <v>44.0</v>
      </c>
      <c r="D539" s="7" t="s">
        <v>3801</v>
      </c>
      <c r="E539" s="7"/>
      <c r="G539" s="5" t="str">
        <f t="shared" si="1"/>
        <v>40, 44, SLOWBRO</v>
      </c>
      <c r="I539" s="5" t="s">
        <v>3007</v>
      </c>
    </row>
    <row r="540" ht="12.75" customHeight="1">
      <c r="A540" s="5" t="s">
        <v>3008</v>
      </c>
      <c r="B540" s="7">
        <v>40.0</v>
      </c>
      <c r="C540" s="7">
        <v>44.0</v>
      </c>
      <c r="D540" s="7" t="s">
        <v>3761</v>
      </c>
      <c r="E540" s="7"/>
      <c r="G540" s="5" t="str">
        <f t="shared" si="1"/>
        <v>40, 44, CROBAT</v>
      </c>
      <c r="I540" s="5" t="s">
        <v>3008</v>
      </c>
    </row>
    <row r="541" ht="12.75" customHeight="1">
      <c r="A541" s="5" t="s">
        <v>3009</v>
      </c>
      <c r="B541" s="7">
        <v>40.0</v>
      </c>
      <c r="C541" s="7">
        <v>44.0</v>
      </c>
      <c r="D541" s="7" t="s">
        <v>3853</v>
      </c>
      <c r="E541" s="7"/>
      <c r="G541" s="5" t="str">
        <f t="shared" si="1"/>
        <v>40, 44, DEWGONG</v>
      </c>
      <c r="I541" s="5" t="s">
        <v>3009</v>
      </c>
    </row>
    <row r="542" ht="12.75" customHeight="1">
      <c r="A542" s="5" t="s">
        <v>3010</v>
      </c>
      <c r="B542" s="7">
        <v>40.0</v>
      </c>
      <c r="C542" s="7">
        <v>44.0</v>
      </c>
      <c r="D542" s="7" t="s">
        <v>3854</v>
      </c>
      <c r="E542" s="7"/>
      <c r="G542" s="5" t="str">
        <f t="shared" si="1"/>
        <v>40, 44, LICKILICKY</v>
      </c>
      <c r="I542" s="5" t="s">
        <v>3010</v>
      </c>
    </row>
    <row r="543" ht="12.75" customHeight="1">
      <c r="A543" s="5">
        <v>0.05</v>
      </c>
      <c r="B543" s="5">
        <v>0.05</v>
      </c>
      <c r="C543" s="7"/>
      <c r="D543" s="7"/>
      <c r="E543" s="7"/>
      <c r="G543" s="5">
        <f t="shared" si="1"/>
        <v>0.05</v>
      </c>
      <c r="I543" s="5">
        <v>0.05</v>
      </c>
    </row>
    <row r="544" ht="12.75" customHeight="1">
      <c r="A544" s="5" t="s">
        <v>3011</v>
      </c>
      <c r="B544" s="7">
        <v>42.0</v>
      </c>
      <c r="C544" s="7">
        <v>46.0</v>
      </c>
      <c r="D544" s="7" t="s">
        <v>3765</v>
      </c>
      <c r="E544" s="7"/>
      <c r="G544" s="5" t="str">
        <f t="shared" si="1"/>
        <v>42, 46, POLABAT</v>
      </c>
      <c r="I544" s="5" t="s">
        <v>3011</v>
      </c>
    </row>
    <row r="545" ht="12.75" customHeight="1">
      <c r="A545" s="5" t="s">
        <v>3012</v>
      </c>
      <c r="B545" s="7">
        <v>42.0</v>
      </c>
      <c r="C545" s="7">
        <v>46.0</v>
      </c>
      <c r="D545" s="7" t="s">
        <v>3855</v>
      </c>
      <c r="E545" s="7"/>
      <c r="G545" s="5" t="str">
        <f t="shared" si="1"/>
        <v>42, 46, GILDUCK</v>
      </c>
      <c r="I545" s="5" t="s">
        <v>3012</v>
      </c>
    </row>
    <row r="546" ht="12.75" customHeight="1">
      <c r="A546" s="5">
        <v>0.04</v>
      </c>
      <c r="B546" s="5">
        <v>0.04</v>
      </c>
      <c r="C546" s="7"/>
      <c r="D546" s="7"/>
      <c r="E546" s="7"/>
      <c r="G546" s="5">
        <f t="shared" si="1"/>
        <v>0.04</v>
      </c>
      <c r="I546" s="5">
        <v>0.04</v>
      </c>
    </row>
    <row r="547" ht="12.75" customHeight="1">
      <c r="A547" s="5" t="s">
        <v>3013</v>
      </c>
      <c r="B547" s="7">
        <v>44.0</v>
      </c>
      <c r="C547" s="7">
        <v>47.0</v>
      </c>
      <c r="D547" s="7" t="s">
        <v>3856</v>
      </c>
      <c r="E547" s="7"/>
      <c r="G547" s="5" t="str">
        <f t="shared" si="1"/>
        <v>44, 47, SLOWMATE</v>
      </c>
      <c r="I547" s="5" t="s">
        <v>3013</v>
      </c>
    </row>
    <row r="548" ht="12.75" customHeight="1">
      <c r="A548" s="5" t="s">
        <v>3014</v>
      </c>
      <c r="B548" s="7">
        <v>44.0</v>
      </c>
      <c r="C548" s="7">
        <v>47.0</v>
      </c>
      <c r="D548" s="7" t="s">
        <v>3857</v>
      </c>
      <c r="E548" s="7"/>
      <c r="G548" s="5" t="str">
        <f t="shared" si="1"/>
        <v>44, 47, PRECIPED</v>
      </c>
      <c r="I548" s="5" t="s">
        <v>3014</v>
      </c>
    </row>
    <row r="549" ht="12.75" customHeight="1">
      <c r="A549" s="5">
        <v>0.01</v>
      </c>
      <c r="B549" s="5">
        <v>0.01</v>
      </c>
      <c r="C549" s="7"/>
      <c r="D549" s="7"/>
      <c r="E549" s="7"/>
      <c r="G549" s="5">
        <f t="shared" si="1"/>
        <v>0.01</v>
      </c>
      <c r="I549" s="5">
        <v>0.01</v>
      </c>
    </row>
    <row r="550" ht="12.75" customHeight="1">
      <c r="A550" s="5" t="s">
        <v>3015</v>
      </c>
      <c r="B550" s="7">
        <v>45.0</v>
      </c>
      <c r="C550" s="7">
        <v>50.0</v>
      </c>
      <c r="D550" s="7" t="s">
        <v>3810</v>
      </c>
      <c r="E550" s="7"/>
      <c r="G550" s="5" t="str">
        <f t="shared" si="1"/>
        <v>45, 50, DRAGONITE</v>
      </c>
      <c r="I550" s="5" t="s">
        <v>3015</v>
      </c>
    </row>
    <row r="551" ht="12.75" customHeight="1">
      <c r="A551" s="5" t="s">
        <v>3717</v>
      </c>
      <c r="B551" s="7">
        <v>45.0</v>
      </c>
      <c r="C551" s="7">
        <v>50.0</v>
      </c>
      <c r="D551" s="7" t="s">
        <v>3854</v>
      </c>
      <c r="E551" s="7"/>
      <c r="G551" s="5" t="str">
        <f t="shared" si="1"/>
        <v>45, 50, LICKILICKY</v>
      </c>
      <c r="I551" s="5" t="s">
        <v>3717</v>
      </c>
    </row>
    <row r="552" ht="12.75" customHeight="1">
      <c r="A552" s="5" t="s">
        <v>2539</v>
      </c>
      <c r="B552" s="7" t="s">
        <v>2539</v>
      </c>
      <c r="C552" s="7"/>
      <c r="D552" s="7"/>
      <c r="E552" s="7"/>
      <c r="G552" s="5" t="str">
        <f t="shared" si="1"/>
        <v>NEW ROUTE</v>
      </c>
      <c r="I552" s="5" t="s">
        <v>2539</v>
      </c>
    </row>
    <row r="553" ht="12.75" customHeight="1">
      <c r="A553" s="5" t="s">
        <v>1777</v>
      </c>
      <c r="B553" s="7" t="s">
        <v>1777</v>
      </c>
      <c r="C553" s="7"/>
      <c r="D553" s="7"/>
      <c r="E553" s="7"/>
      <c r="G553" s="5" t="str">
        <f t="shared" si="1"/>
        <v>Seafoam Islands B1F</v>
      </c>
      <c r="I553" s="5" t="s">
        <v>1777</v>
      </c>
    </row>
    <row r="554" ht="12.75" customHeight="1">
      <c r="A554" s="5">
        <v>0.2</v>
      </c>
      <c r="B554" s="5">
        <v>0.2</v>
      </c>
      <c r="C554" s="7"/>
      <c r="D554" s="7"/>
      <c r="E554" s="7"/>
      <c r="G554" s="5">
        <f t="shared" si="1"/>
        <v>0.2</v>
      </c>
      <c r="I554" s="5">
        <v>0.2</v>
      </c>
    </row>
    <row r="555" ht="12.75" customHeight="1">
      <c r="A555" s="5" t="s">
        <v>581</v>
      </c>
      <c r="B555" s="7">
        <v>40.0</v>
      </c>
      <c r="C555" s="7">
        <v>44.0</v>
      </c>
      <c r="D555" s="7" t="s">
        <v>3746</v>
      </c>
      <c r="E555" s="7"/>
      <c r="G555" s="5" t="str">
        <f t="shared" si="1"/>
        <v>40, 44, GOLBAT</v>
      </c>
      <c r="I555" s="5" t="s">
        <v>581</v>
      </c>
    </row>
    <row r="556" ht="12.75" customHeight="1">
      <c r="A556" s="5" t="s">
        <v>3006</v>
      </c>
      <c r="B556" s="7">
        <v>40.0</v>
      </c>
      <c r="C556" s="7">
        <v>44.0</v>
      </c>
      <c r="D556" s="7" t="s">
        <v>3802</v>
      </c>
      <c r="E556" s="7"/>
      <c r="G556" s="5" t="str">
        <f t="shared" si="1"/>
        <v>40, 44, GOLDUCK</v>
      </c>
      <c r="I556" s="5" t="s">
        <v>3006</v>
      </c>
    </row>
    <row r="557" ht="12.75" customHeight="1">
      <c r="A557" s="5">
        <v>0.1</v>
      </c>
      <c r="B557" s="5">
        <v>0.1</v>
      </c>
      <c r="C557" s="7"/>
      <c r="D557" s="7"/>
      <c r="E557" s="7"/>
      <c r="G557" s="5">
        <f t="shared" si="1"/>
        <v>0.1</v>
      </c>
      <c r="I557" s="5">
        <v>0.1</v>
      </c>
    </row>
    <row r="558" ht="12.75" customHeight="1">
      <c r="A558" s="5" t="s">
        <v>3007</v>
      </c>
      <c r="B558" s="7">
        <v>40.0</v>
      </c>
      <c r="C558" s="7">
        <v>44.0</v>
      </c>
      <c r="D558" s="7" t="s">
        <v>3801</v>
      </c>
      <c r="E558" s="7"/>
      <c r="G558" s="5" t="str">
        <f t="shared" si="1"/>
        <v>40, 44, SLOWBRO</v>
      </c>
      <c r="I558" s="5" t="s">
        <v>3007</v>
      </c>
    </row>
    <row r="559" ht="12.75" customHeight="1">
      <c r="A559" s="5" t="s">
        <v>3008</v>
      </c>
      <c r="B559" s="7">
        <v>40.0</v>
      </c>
      <c r="C559" s="7">
        <v>44.0</v>
      </c>
      <c r="D559" s="7" t="s">
        <v>3761</v>
      </c>
      <c r="E559" s="7"/>
      <c r="G559" s="5" t="str">
        <f t="shared" si="1"/>
        <v>40, 44, CROBAT</v>
      </c>
      <c r="I559" s="5" t="s">
        <v>3008</v>
      </c>
    </row>
    <row r="560" ht="12.75" customHeight="1">
      <c r="A560" s="5" t="s">
        <v>3009</v>
      </c>
      <c r="B560" s="7">
        <v>40.0</v>
      </c>
      <c r="C560" s="7">
        <v>44.0</v>
      </c>
      <c r="D560" s="7" t="s">
        <v>3853</v>
      </c>
      <c r="E560" s="7"/>
      <c r="G560" s="5" t="str">
        <f t="shared" si="1"/>
        <v>40, 44, DEWGONG</v>
      </c>
      <c r="I560" s="5" t="s">
        <v>3009</v>
      </c>
    </row>
    <row r="561" ht="12.75" customHeight="1">
      <c r="A561" s="5" t="s">
        <v>3010</v>
      </c>
      <c r="B561" s="7">
        <v>40.0</v>
      </c>
      <c r="C561" s="7">
        <v>44.0</v>
      </c>
      <c r="D561" s="7" t="s">
        <v>3854</v>
      </c>
      <c r="E561" s="7"/>
      <c r="G561" s="5" t="str">
        <f t="shared" si="1"/>
        <v>40, 44, LICKILICKY</v>
      </c>
      <c r="I561" s="5" t="s">
        <v>3010</v>
      </c>
    </row>
    <row r="562" ht="12.75" customHeight="1">
      <c r="A562" s="5">
        <v>0.05</v>
      </c>
      <c r="B562" s="5">
        <v>0.05</v>
      </c>
      <c r="C562" s="7"/>
      <c r="D562" s="7"/>
      <c r="E562" s="7"/>
      <c r="G562" s="5">
        <f t="shared" si="1"/>
        <v>0.05</v>
      </c>
      <c r="I562" s="5">
        <v>0.05</v>
      </c>
    </row>
    <row r="563" ht="12.75" customHeight="1">
      <c r="A563" s="5" t="s">
        <v>3011</v>
      </c>
      <c r="B563" s="7">
        <v>42.0</v>
      </c>
      <c r="C563" s="7">
        <v>46.0</v>
      </c>
      <c r="D563" s="7" t="s">
        <v>3765</v>
      </c>
      <c r="E563" s="7"/>
      <c r="G563" s="5" t="str">
        <f t="shared" si="1"/>
        <v>42, 46, POLABAT</v>
      </c>
      <c r="I563" s="5" t="s">
        <v>3011</v>
      </c>
    </row>
    <row r="564" ht="12.75" customHeight="1">
      <c r="A564" s="5" t="s">
        <v>3012</v>
      </c>
      <c r="B564" s="7">
        <v>42.0</v>
      </c>
      <c r="C564" s="7">
        <v>46.0</v>
      </c>
      <c r="D564" s="7" t="s">
        <v>3855</v>
      </c>
      <c r="E564" s="7"/>
      <c r="G564" s="5" t="str">
        <f t="shared" si="1"/>
        <v>42, 46, GILDUCK</v>
      </c>
      <c r="I564" s="5" t="s">
        <v>3012</v>
      </c>
    </row>
    <row r="565" ht="12.75" customHeight="1">
      <c r="A565" s="5">
        <v>0.04</v>
      </c>
      <c r="B565" s="5">
        <v>0.04</v>
      </c>
      <c r="C565" s="7"/>
      <c r="D565" s="7"/>
      <c r="E565" s="7"/>
      <c r="G565" s="5">
        <f t="shared" si="1"/>
        <v>0.04</v>
      </c>
      <c r="I565" s="5">
        <v>0.04</v>
      </c>
    </row>
    <row r="566" ht="12.75" customHeight="1">
      <c r="A566" s="5" t="s">
        <v>3013</v>
      </c>
      <c r="B566" s="7">
        <v>44.0</v>
      </c>
      <c r="C566" s="7">
        <v>47.0</v>
      </c>
      <c r="D566" s="7" t="s">
        <v>3856</v>
      </c>
      <c r="E566" s="7"/>
      <c r="G566" s="5" t="str">
        <f t="shared" si="1"/>
        <v>44, 47, SLOWMATE</v>
      </c>
      <c r="I566" s="5" t="s">
        <v>3013</v>
      </c>
    </row>
    <row r="567" ht="12.75" customHeight="1">
      <c r="A567" s="5" t="s">
        <v>3014</v>
      </c>
      <c r="B567" s="7">
        <v>44.0</v>
      </c>
      <c r="C567" s="7">
        <v>47.0</v>
      </c>
      <c r="D567" s="7" t="s">
        <v>3857</v>
      </c>
      <c r="E567" s="7"/>
      <c r="G567" s="5" t="str">
        <f t="shared" si="1"/>
        <v>44, 47, PRECIPED</v>
      </c>
      <c r="I567" s="5" t="s">
        <v>3014</v>
      </c>
    </row>
    <row r="568" ht="12.75" customHeight="1">
      <c r="A568" s="5">
        <v>0.01</v>
      </c>
      <c r="B568" s="5">
        <v>0.01</v>
      </c>
      <c r="C568" s="7"/>
      <c r="D568" s="7"/>
      <c r="E568" s="7"/>
      <c r="G568" s="5">
        <f t="shared" si="1"/>
        <v>0.01</v>
      </c>
      <c r="I568" s="5">
        <v>0.01</v>
      </c>
    </row>
    <row r="569" ht="12.75" customHeight="1">
      <c r="A569" s="5" t="s">
        <v>3015</v>
      </c>
      <c r="B569" s="7">
        <v>45.0</v>
      </c>
      <c r="C569" s="7">
        <v>50.0</v>
      </c>
      <c r="D569" s="7" t="s">
        <v>3810</v>
      </c>
      <c r="E569" s="7"/>
      <c r="G569" s="5" t="str">
        <f t="shared" si="1"/>
        <v>45, 50, DRAGONITE</v>
      </c>
      <c r="I569" s="5" t="s">
        <v>3015</v>
      </c>
    </row>
    <row r="570" ht="12.75" customHeight="1">
      <c r="A570" s="5" t="s">
        <v>3021</v>
      </c>
      <c r="B570" s="7">
        <v>45.0</v>
      </c>
      <c r="C570" s="7">
        <v>50.0</v>
      </c>
      <c r="D570" s="7" t="s">
        <v>3858</v>
      </c>
      <c r="E570" s="7"/>
      <c r="G570" s="5" t="str">
        <f t="shared" si="1"/>
        <v>45, 50, LICKILOLLY</v>
      </c>
      <c r="I570" s="5" t="s">
        <v>3021</v>
      </c>
    </row>
    <row r="571" ht="12.75" customHeight="1">
      <c r="A571" s="5" t="s">
        <v>2539</v>
      </c>
      <c r="B571" s="7" t="s">
        <v>2539</v>
      </c>
      <c r="C571" s="7"/>
      <c r="D571" s="7"/>
      <c r="E571" s="7"/>
      <c r="G571" s="5" t="str">
        <f t="shared" si="1"/>
        <v>NEW ROUTE</v>
      </c>
      <c r="I571" s="5" t="s">
        <v>2539</v>
      </c>
    </row>
    <row r="572" ht="12.75" customHeight="1">
      <c r="A572" s="5" t="s">
        <v>1782</v>
      </c>
      <c r="B572" s="7" t="s">
        <v>1782</v>
      </c>
      <c r="C572" s="7"/>
      <c r="D572" s="7"/>
      <c r="E572" s="7"/>
      <c r="G572" s="5" t="str">
        <f t="shared" si="1"/>
        <v>Seafoam Islands B2F</v>
      </c>
      <c r="I572" s="5" t="s">
        <v>1782</v>
      </c>
    </row>
    <row r="573" ht="12.75" customHeight="1">
      <c r="A573" s="5">
        <v>0.2</v>
      </c>
      <c r="B573" s="5">
        <v>0.2</v>
      </c>
      <c r="C573" s="7"/>
      <c r="D573" s="7"/>
      <c r="E573" s="7"/>
      <c r="G573" s="5">
        <f t="shared" si="1"/>
        <v>0.2</v>
      </c>
      <c r="I573" s="5">
        <v>0.2</v>
      </c>
    </row>
    <row r="574" ht="12.75" customHeight="1">
      <c r="A574" s="5" t="s">
        <v>581</v>
      </c>
      <c r="B574" s="7">
        <v>40.0</v>
      </c>
      <c r="C574" s="7">
        <v>44.0</v>
      </c>
      <c r="D574" s="7" t="s">
        <v>3746</v>
      </c>
      <c r="E574" s="7"/>
      <c r="G574" s="5" t="str">
        <f t="shared" si="1"/>
        <v>40, 44, GOLBAT</v>
      </c>
      <c r="I574" s="5" t="s">
        <v>581</v>
      </c>
    </row>
    <row r="575" ht="12.75" customHeight="1">
      <c r="A575" s="5" t="s">
        <v>3006</v>
      </c>
      <c r="B575" s="7">
        <v>40.0</v>
      </c>
      <c r="C575" s="7">
        <v>44.0</v>
      </c>
      <c r="D575" s="7" t="s">
        <v>3802</v>
      </c>
      <c r="E575" s="7"/>
      <c r="G575" s="5" t="str">
        <f t="shared" si="1"/>
        <v>40, 44, GOLDUCK</v>
      </c>
      <c r="I575" s="5" t="s">
        <v>3006</v>
      </c>
    </row>
    <row r="576" ht="12.75" customHeight="1">
      <c r="A576" s="5">
        <v>0.1</v>
      </c>
      <c r="B576" s="5">
        <v>0.1</v>
      </c>
      <c r="C576" s="7"/>
      <c r="D576" s="7"/>
      <c r="E576" s="7"/>
      <c r="G576" s="5">
        <f t="shared" si="1"/>
        <v>0.1</v>
      </c>
      <c r="I576" s="5">
        <v>0.1</v>
      </c>
    </row>
    <row r="577" ht="12.75" customHeight="1">
      <c r="A577" s="5" t="s">
        <v>3007</v>
      </c>
      <c r="B577" s="7">
        <v>40.0</v>
      </c>
      <c r="C577" s="7">
        <v>44.0</v>
      </c>
      <c r="D577" s="7" t="s">
        <v>3801</v>
      </c>
      <c r="E577" s="7"/>
      <c r="G577" s="5" t="str">
        <f t="shared" si="1"/>
        <v>40, 44, SLOWBRO</v>
      </c>
      <c r="I577" s="5" t="s">
        <v>3007</v>
      </c>
    </row>
    <row r="578" ht="12.75" customHeight="1">
      <c r="A578" s="5" t="s">
        <v>3008</v>
      </c>
      <c r="B578" s="7">
        <v>40.0</v>
      </c>
      <c r="C578" s="7">
        <v>44.0</v>
      </c>
      <c r="D578" s="7" t="s">
        <v>3761</v>
      </c>
      <c r="E578" s="7"/>
      <c r="G578" s="5" t="str">
        <f t="shared" si="1"/>
        <v>40, 44, CROBAT</v>
      </c>
      <c r="I578" s="5" t="s">
        <v>3008</v>
      </c>
    </row>
    <row r="579" ht="12.75" customHeight="1">
      <c r="A579" s="5" t="s">
        <v>3009</v>
      </c>
      <c r="B579" s="7">
        <v>40.0</v>
      </c>
      <c r="C579" s="7">
        <v>44.0</v>
      </c>
      <c r="D579" s="7" t="s">
        <v>3853</v>
      </c>
      <c r="E579" s="7"/>
      <c r="G579" s="5" t="str">
        <f t="shared" si="1"/>
        <v>40, 44, DEWGONG</v>
      </c>
      <c r="I579" s="5" t="s">
        <v>3009</v>
      </c>
    </row>
    <row r="580" ht="12.75" customHeight="1">
      <c r="A580" s="5" t="s">
        <v>3010</v>
      </c>
      <c r="B580" s="7">
        <v>40.0</v>
      </c>
      <c r="C580" s="7">
        <v>44.0</v>
      </c>
      <c r="D580" s="7" t="s">
        <v>3854</v>
      </c>
      <c r="E580" s="7"/>
      <c r="G580" s="5" t="str">
        <f t="shared" si="1"/>
        <v>40, 44, LICKILICKY</v>
      </c>
      <c r="I580" s="5" t="s">
        <v>3010</v>
      </c>
    </row>
    <row r="581" ht="12.75" customHeight="1">
      <c r="A581" s="5">
        <v>0.05</v>
      </c>
      <c r="B581" s="5">
        <v>0.05</v>
      </c>
      <c r="C581" s="7"/>
      <c r="D581" s="7"/>
      <c r="E581" s="7"/>
      <c r="G581" s="5">
        <f t="shared" si="1"/>
        <v>0.05</v>
      </c>
      <c r="I581" s="5">
        <v>0.05</v>
      </c>
    </row>
    <row r="582" ht="12.75" customHeight="1">
      <c r="A582" s="5" t="s">
        <v>3011</v>
      </c>
      <c r="B582" s="7">
        <v>42.0</v>
      </c>
      <c r="C582" s="7">
        <v>46.0</v>
      </c>
      <c r="D582" s="7" t="s">
        <v>3765</v>
      </c>
      <c r="E582" s="7"/>
      <c r="G582" s="5" t="str">
        <f t="shared" si="1"/>
        <v>42, 46, POLABAT</v>
      </c>
      <c r="I582" s="5" t="s">
        <v>3011</v>
      </c>
    </row>
    <row r="583" ht="12.75" customHeight="1">
      <c r="A583" s="5" t="s">
        <v>3012</v>
      </c>
      <c r="B583" s="7">
        <v>42.0</v>
      </c>
      <c r="C583" s="7">
        <v>46.0</v>
      </c>
      <c r="D583" s="7" t="s">
        <v>3855</v>
      </c>
      <c r="E583" s="7"/>
      <c r="G583" s="5" t="str">
        <f t="shared" si="1"/>
        <v>42, 46, GILDUCK</v>
      </c>
      <c r="I583" s="5" t="s">
        <v>3012</v>
      </c>
    </row>
    <row r="584" ht="12.75" customHeight="1">
      <c r="A584" s="5">
        <v>0.04</v>
      </c>
      <c r="B584" s="5">
        <v>0.04</v>
      </c>
      <c r="C584" s="7"/>
      <c r="D584" s="7"/>
      <c r="E584" s="7"/>
      <c r="G584" s="5">
        <f t="shared" si="1"/>
        <v>0.04</v>
      </c>
      <c r="I584" s="5">
        <v>0.04</v>
      </c>
    </row>
    <row r="585" ht="12.75" customHeight="1">
      <c r="A585" s="5" t="s">
        <v>3013</v>
      </c>
      <c r="B585" s="7">
        <v>44.0</v>
      </c>
      <c r="C585" s="7">
        <v>47.0</v>
      </c>
      <c r="D585" s="7" t="s">
        <v>3856</v>
      </c>
      <c r="E585" s="7"/>
      <c r="G585" s="5" t="str">
        <f t="shared" si="1"/>
        <v>44, 47, SLOWMATE</v>
      </c>
      <c r="I585" s="5" t="s">
        <v>3013</v>
      </c>
    </row>
    <row r="586" ht="12.75" customHeight="1">
      <c r="A586" s="5" t="s">
        <v>3014</v>
      </c>
      <c r="B586" s="7">
        <v>44.0</v>
      </c>
      <c r="C586" s="7">
        <v>47.0</v>
      </c>
      <c r="D586" s="7" t="s">
        <v>3857</v>
      </c>
      <c r="E586" s="7"/>
      <c r="G586" s="5" t="str">
        <f t="shared" si="1"/>
        <v>44, 47, PRECIPED</v>
      </c>
      <c r="I586" s="5" t="s">
        <v>3014</v>
      </c>
    </row>
    <row r="587" ht="12.75" customHeight="1">
      <c r="A587" s="5">
        <v>0.01</v>
      </c>
      <c r="B587" s="5">
        <v>0.01</v>
      </c>
      <c r="C587" s="7"/>
      <c r="D587" s="7"/>
      <c r="E587" s="7"/>
      <c r="G587" s="5">
        <f t="shared" si="1"/>
        <v>0.01</v>
      </c>
      <c r="I587" s="5">
        <v>0.01</v>
      </c>
    </row>
    <row r="588" ht="12.75" customHeight="1">
      <c r="A588" s="5" t="s">
        <v>3015</v>
      </c>
      <c r="B588" s="7">
        <v>45.0</v>
      </c>
      <c r="C588" s="7">
        <v>50.0</v>
      </c>
      <c r="D588" s="7" t="s">
        <v>3810</v>
      </c>
      <c r="E588" s="7"/>
      <c r="G588" s="5" t="str">
        <f t="shared" si="1"/>
        <v>45, 50, DRAGONITE</v>
      </c>
      <c r="I588" s="5" t="s">
        <v>3015</v>
      </c>
    </row>
    <row r="589" ht="12.75" customHeight="1">
      <c r="A589" s="5" t="s">
        <v>3021</v>
      </c>
      <c r="B589" s="7">
        <v>45.0</v>
      </c>
      <c r="C589" s="7">
        <v>50.0</v>
      </c>
      <c r="D589" s="7" t="s">
        <v>3858</v>
      </c>
      <c r="E589" s="7"/>
      <c r="G589" s="5" t="str">
        <f t="shared" si="1"/>
        <v>45, 50, LICKILOLLY</v>
      </c>
      <c r="I589" s="5" t="s">
        <v>3021</v>
      </c>
    </row>
    <row r="590" ht="12.75" customHeight="1">
      <c r="A590" s="5" t="s">
        <v>2539</v>
      </c>
      <c r="B590" s="7" t="s">
        <v>2539</v>
      </c>
      <c r="C590" s="7"/>
      <c r="D590" s="7"/>
      <c r="E590" s="7"/>
      <c r="G590" s="5" t="str">
        <f t="shared" si="1"/>
        <v>NEW ROUTE</v>
      </c>
      <c r="I590" s="5" t="s">
        <v>2539</v>
      </c>
    </row>
    <row r="591" ht="12.75" customHeight="1">
      <c r="A591" s="5" t="s">
        <v>1785</v>
      </c>
      <c r="B591" s="7" t="s">
        <v>1785</v>
      </c>
      <c r="C591" s="7"/>
      <c r="D591" s="7"/>
      <c r="E591" s="7"/>
      <c r="G591" s="5" t="str">
        <f t="shared" si="1"/>
        <v>Seafoam Islands B3F</v>
      </c>
      <c r="I591" s="5" t="s">
        <v>1785</v>
      </c>
    </row>
    <row r="592" ht="12.75" customHeight="1">
      <c r="A592" s="5">
        <v>0.2</v>
      </c>
      <c r="B592" s="5">
        <v>0.2</v>
      </c>
      <c r="C592" s="7"/>
      <c r="D592" s="7"/>
      <c r="E592" s="7"/>
      <c r="G592" s="5">
        <f t="shared" si="1"/>
        <v>0.2</v>
      </c>
      <c r="I592" s="5">
        <v>0.2</v>
      </c>
    </row>
    <row r="593" ht="12.75" customHeight="1">
      <c r="A593" s="5" t="s">
        <v>581</v>
      </c>
      <c r="B593" s="7">
        <v>40.0</v>
      </c>
      <c r="C593" s="7">
        <v>44.0</v>
      </c>
      <c r="D593" s="7" t="s">
        <v>3746</v>
      </c>
      <c r="E593" s="7"/>
      <c r="G593" s="5" t="str">
        <f t="shared" si="1"/>
        <v>40, 44, GOLBAT</v>
      </c>
      <c r="I593" s="5" t="s">
        <v>581</v>
      </c>
    </row>
    <row r="594" ht="12.75" customHeight="1">
      <c r="A594" s="5" t="s">
        <v>3006</v>
      </c>
      <c r="B594" s="7">
        <v>40.0</v>
      </c>
      <c r="C594" s="7">
        <v>44.0</v>
      </c>
      <c r="D594" s="7" t="s">
        <v>3802</v>
      </c>
      <c r="E594" s="7"/>
      <c r="G594" s="5" t="str">
        <f t="shared" si="1"/>
        <v>40, 44, GOLDUCK</v>
      </c>
      <c r="I594" s="5" t="s">
        <v>3006</v>
      </c>
    </row>
    <row r="595" ht="12.75" customHeight="1">
      <c r="A595" s="5">
        <v>0.1</v>
      </c>
      <c r="B595" s="5">
        <v>0.1</v>
      </c>
      <c r="C595" s="7"/>
      <c r="D595" s="7"/>
      <c r="E595" s="7"/>
      <c r="G595" s="5">
        <f t="shared" si="1"/>
        <v>0.1</v>
      </c>
      <c r="I595" s="5">
        <v>0.1</v>
      </c>
    </row>
    <row r="596" ht="12.75" customHeight="1">
      <c r="A596" s="5" t="s">
        <v>3007</v>
      </c>
      <c r="B596" s="7">
        <v>40.0</v>
      </c>
      <c r="C596" s="7">
        <v>44.0</v>
      </c>
      <c r="D596" s="7" t="s">
        <v>3801</v>
      </c>
      <c r="E596" s="7"/>
      <c r="G596" s="5" t="str">
        <f t="shared" si="1"/>
        <v>40, 44, SLOWBRO</v>
      </c>
      <c r="I596" s="5" t="s">
        <v>3007</v>
      </c>
    </row>
    <row r="597" ht="12.75" customHeight="1">
      <c r="A597" s="5" t="s">
        <v>3008</v>
      </c>
      <c r="B597" s="7">
        <v>40.0</v>
      </c>
      <c r="C597" s="7">
        <v>44.0</v>
      </c>
      <c r="D597" s="7" t="s">
        <v>3761</v>
      </c>
      <c r="E597" s="7"/>
      <c r="G597" s="5" t="str">
        <f t="shared" si="1"/>
        <v>40, 44, CROBAT</v>
      </c>
      <c r="I597" s="5" t="s">
        <v>3008</v>
      </c>
    </row>
    <row r="598" ht="12.75" customHeight="1">
      <c r="A598" s="5" t="s">
        <v>3009</v>
      </c>
      <c r="B598" s="7">
        <v>40.0</v>
      </c>
      <c r="C598" s="7">
        <v>44.0</v>
      </c>
      <c r="D598" s="7" t="s">
        <v>3853</v>
      </c>
      <c r="E598" s="7"/>
      <c r="G598" s="5" t="str">
        <f t="shared" si="1"/>
        <v>40, 44, DEWGONG</v>
      </c>
      <c r="I598" s="5" t="s">
        <v>3009</v>
      </c>
    </row>
    <row r="599" ht="12.75" customHeight="1">
      <c r="A599" s="5" t="s">
        <v>3010</v>
      </c>
      <c r="B599" s="7">
        <v>40.0</v>
      </c>
      <c r="C599" s="7">
        <v>44.0</v>
      </c>
      <c r="D599" s="7" t="s">
        <v>3854</v>
      </c>
      <c r="E599" s="7"/>
      <c r="G599" s="5" t="str">
        <f t="shared" si="1"/>
        <v>40, 44, LICKILICKY</v>
      </c>
      <c r="I599" s="5" t="s">
        <v>3010</v>
      </c>
    </row>
    <row r="600" ht="12.75" customHeight="1">
      <c r="A600" s="5">
        <v>0.05</v>
      </c>
      <c r="B600" s="5">
        <v>0.05</v>
      </c>
      <c r="C600" s="7"/>
      <c r="D600" s="7"/>
      <c r="E600" s="7"/>
      <c r="G600" s="5">
        <f t="shared" si="1"/>
        <v>0.05</v>
      </c>
      <c r="I600" s="5">
        <v>0.05</v>
      </c>
    </row>
    <row r="601" ht="12.75" customHeight="1">
      <c r="A601" s="5" t="s">
        <v>3011</v>
      </c>
      <c r="B601" s="7">
        <v>42.0</v>
      </c>
      <c r="C601" s="7">
        <v>46.0</v>
      </c>
      <c r="D601" s="7" t="s">
        <v>3765</v>
      </c>
      <c r="E601" s="7"/>
      <c r="G601" s="5" t="str">
        <f t="shared" si="1"/>
        <v>42, 46, POLABAT</v>
      </c>
      <c r="I601" s="5" t="s">
        <v>3011</v>
      </c>
    </row>
    <row r="602" ht="12.75" customHeight="1">
      <c r="A602" s="5" t="s">
        <v>3012</v>
      </c>
      <c r="B602" s="7">
        <v>42.0</v>
      </c>
      <c r="C602" s="7">
        <v>46.0</v>
      </c>
      <c r="D602" s="7" t="s">
        <v>3855</v>
      </c>
      <c r="E602" s="7"/>
      <c r="G602" s="5" t="str">
        <f t="shared" si="1"/>
        <v>42, 46, GILDUCK</v>
      </c>
      <c r="I602" s="5" t="s">
        <v>3012</v>
      </c>
    </row>
    <row r="603" ht="12.75" customHeight="1">
      <c r="A603" s="5">
        <v>0.04</v>
      </c>
      <c r="B603" s="5">
        <v>0.04</v>
      </c>
      <c r="C603" s="7"/>
      <c r="D603" s="7"/>
      <c r="E603" s="7"/>
      <c r="G603" s="5">
        <f t="shared" si="1"/>
        <v>0.04</v>
      </c>
      <c r="I603" s="5">
        <v>0.04</v>
      </c>
    </row>
    <row r="604" ht="12.75" customHeight="1">
      <c r="A604" s="5" t="s">
        <v>3013</v>
      </c>
      <c r="B604" s="7">
        <v>44.0</v>
      </c>
      <c r="C604" s="7">
        <v>47.0</v>
      </c>
      <c r="D604" s="7" t="s">
        <v>3856</v>
      </c>
      <c r="E604" s="7"/>
      <c r="G604" s="5" t="str">
        <f t="shared" si="1"/>
        <v>44, 47, SLOWMATE</v>
      </c>
      <c r="I604" s="5" t="s">
        <v>3013</v>
      </c>
    </row>
    <row r="605" ht="12.75" customHeight="1">
      <c r="A605" s="5" t="s">
        <v>3014</v>
      </c>
      <c r="B605" s="7">
        <v>44.0</v>
      </c>
      <c r="C605" s="7">
        <v>47.0</v>
      </c>
      <c r="D605" s="7" t="s">
        <v>3857</v>
      </c>
      <c r="E605" s="7"/>
      <c r="G605" s="5" t="str">
        <f t="shared" si="1"/>
        <v>44, 47, PRECIPED</v>
      </c>
      <c r="I605" s="5" t="s">
        <v>3014</v>
      </c>
    </row>
    <row r="606" ht="12.75" customHeight="1">
      <c r="A606" s="5">
        <v>0.01</v>
      </c>
      <c r="B606" s="5">
        <v>0.01</v>
      </c>
      <c r="C606" s="7"/>
      <c r="D606" s="7"/>
      <c r="E606" s="7"/>
      <c r="G606" s="5">
        <f t="shared" si="1"/>
        <v>0.01</v>
      </c>
      <c r="I606" s="5">
        <v>0.01</v>
      </c>
    </row>
    <row r="607" ht="12.75" customHeight="1">
      <c r="A607" s="5" t="s">
        <v>3015</v>
      </c>
      <c r="B607" s="7">
        <v>45.0</v>
      </c>
      <c r="C607" s="7">
        <v>50.0</v>
      </c>
      <c r="D607" s="7" t="s">
        <v>3810</v>
      </c>
      <c r="E607" s="7"/>
      <c r="G607" s="5" t="str">
        <f t="shared" si="1"/>
        <v>45, 50, DRAGONITE</v>
      </c>
      <c r="I607" s="5" t="s">
        <v>3015</v>
      </c>
    </row>
    <row r="608" ht="12.75" customHeight="1">
      <c r="A608" s="5" t="s">
        <v>3021</v>
      </c>
      <c r="B608" s="7">
        <v>45.0</v>
      </c>
      <c r="C608" s="7">
        <v>50.0</v>
      </c>
      <c r="D608" s="7" t="s">
        <v>3858</v>
      </c>
      <c r="E608" s="7"/>
      <c r="G608" s="5" t="str">
        <f t="shared" si="1"/>
        <v>45, 50, LICKILOLLY</v>
      </c>
      <c r="I608" s="5" t="s">
        <v>3021</v>
      </c>
    </row>
    <row r="609" ht="12.75" customHeight="1">
      <c r="A609" s="5" t="s">
        <v>3022</v>
      </c>
      <c r="B609" s="7">
        <v>2.0</v>
      </c>
      <c r="C609" s="7">
        <v>38.0</v>
      </c>
      <c r="D609" s="7">
        <v>44.0</v>
      </c>
      <c r="E609" s="7" t="s">
        <v>3853</v>
      </c>
      <c r="G609" s="5" t="str">
        <f t="shared" si="1"/>
        <v>2, 38, 44, DEWGONG</v>
      </c>
      <c r="I609" s="5" t="s">
        <v>3022</v>
      </c>
    </row>
    <row r="610" ht="12.75" customHeight="1">
      <c r="A610" s="5" t="s">
        <v>3023</v>
      </c>
      <c r="B610" s="7">
        <v>40.0</v>
      </c>
      <c r="C610" s="7">
        <v>44.0</v>
      </c>
      <c r="D610" s="7" t="s">
        <v>3859</v>
      </c>
      <c r="E610" s="7"/>
      <c r="G610" s="5" t="str">
        <f t="shared" si="1"/>
        <v>40, 44, SEADRA</v>
      </c>
      <c r="I610" s="5" t="s">
        <v>3023</v>
      </c>
    </row>
    <row r="611" ht="12.75" customHeight="1">
      <c r="A611" s="5" t="s">
        <v>3024</v>
      </c>
      <c r="B611" s="7">
        <v>42.0</v>
      </c>
      <c r="C611" s="7">
        <v>46.0</v>
      </c>
      <c r="D611" s="7" t="s">
        <v>3860</v>
      </c>
      <c r="E611" s="7"/>
      <c r="G611" s="5" t="str">
        <f t="shared" si="1"/>
        <v>42, 46, KINGLER</v>
      </c>
      <c r="I611" s="5" t="s">
        <v>3024</v>
      </c>
    </row>
    <row r="612" ht="12.75" customHeight="1">
      <c r="A612" s="5" t="s">
        <v>3025</v>
      </c>
      <c r="B612" s="7">
        <v>42.0</v>
      </c>
      <c r="C612" s="7">
        <v>46.0</v>
      </c>
      <c r="D612" s="7" t="s">
        <v>3861</v>
      </c>
      <c r="E612" s="7"/>
      <c r="G612" s="5" t="str">
        <f t="shared" si="1"/>
        <v>42, 46, LAPRAS</v>
      </c>
      <c r="I612" s="5" t="s">
        <v>3025</v>
      </c>
    </row>
    <row r="613" ht="12.75" customHeight="1">
      <c r="A613" s="5" t="s">
        <v>2923</v>
      </c>
      <c r="B613" s="7">
        <v>42.0</v>
      </c>
      <c r="C613" s="7">
        <v>46.0</v>
      </c>
      <c r="D613" s="7" t="s">
        <v>3801</v>
      </c>
      <c r="E613" s="7"/>
      <c r="G613" s="5" t="str">
        <f t="shared" si="1"/>
        <v>42, 46, SLOWBRO</v>
      </c>
      <c r="I613" s="5" t="s">
        <v>2923</v>
      </c>
    </row>
    <row r="614" ht="12.75" customHeight="1">
      <c r="A614" s="5" t="s">
        <v>2926</v>
      </c>
      <c r="B614" s="7">
        <v>20.0</v>
      </c>
      <c r="C614" s="7" t="s">
        <v>3749</v>
      </c>
      <c r="D614" s="7"/>
      <c r="E614" s="7"/>
      <c r="G614" s="5" t="str">
        <f t="shared" si="1"/>
        <v>old rod:</v>
      </c>
      <c r="I614" s="5" t="s">
        <v>3750</v>
      </c>
    </row>
    <row r="615" ht="12.75" customHeight="1">
      <c r="A615" s="5" t="s">
        <v>602</v>
      </c>
      <c r="B615" s="7">
        <v>19.0</v>
      </c>
      <c r="C615" s="7">
        <v>26.0</v>
      </c>
      <c r="D615" s="7" t="s">
        <v>3753</v>
      </c>
      <c r="E615" s="7"/>
      <c r="G615" s="5" t="str">
        <f t="shared" si="1"/>
        <v>19, 26, HORSEA</v>
      </c>
      <c r="I615" s="5" t="s">
        <v>602</v>
      </c>
    </row>
    <row r="616" ht="12.75" customHeight="1">
      <c r="A616" s="5" t="s">
        <v>3026</v>
      </c>
      <c r="B616" s="7">
        <v>19.0</v>
      </c>
      <c r="C616" s="7">
        <v>26.0</v>
      </c>
      <c r="D616" s="7" t="s">
        <v>3862</v>
      </c>
      <c r="E616" s="7"/>
      <c r="G616" s="5" t="str">
        <f t="shared" si="1"/>
        <v>19, 26, SHELLDER</v>
      </c>
      <c r="I616" s="5" t="s">
        <v>3026</v>
      </c>
    </row>
    <row r="617" ht="12.75" customHeight="1">
      <c r="A617" s="5" t="s">
        <v>2847</v>
      </c>
      <c r="B617" s="7" t="s">
        <v>2847</v>
      </c>
      <c r="C617" s="7"/>
      <c r="D617" s="7"/>
      <c r="E617" s="7"/>
      <c r="G617" s="5" t="str">
        <f t="shared" si="1"/>
        <v>good rod:</v>
      </c>
      <c r="I617" s="5" t="s">
        <v>2847</v>
      </c>
    </row>
    <row r="618" ht="12.75" customHeight="1">
      <c r="A618" s="5" t="s">
        <v>3027</v>
      </c>
      <c r="B618" s="7">
        <v>29.0</v>
      </c>
      <c r="C618" s="7">
        <v>33.0</v>
      </c>
      <c r="D618" s="7" t="s">
        <v>3859</v>
      </c>
      <c r="E618" s="7"/>
      <c r="G618" s="5" t="str">
        <f t="shared" si="1"/>
        <v>29, 33, SEADRA</v>
      </c>
      <c r="I618" s="5" t="s">
        <v>3027</v>
      </c>
    </row>
    <row r="619" ht="12.75" customHeight="1">
      <c r="A619" s="5" t="s">
        <v>3028</v>
      </c>
      <c r="B619" s="7">
        <v>30.0</v>
      </c>
      <c r="C619" s="7">
        <v>35.0</v>
      </c>
      <c r="D619" s="7" t="s">
        <v>3752</v>
      </c>
      <c r="E619" s="7"/>
      <c r="G619" s="5" t="str">
        <f t="shared" si="1"/>
        <v>30, 35, KRABBY</v>
      </c>
      <c r="I619" s="5" t="s">
        <v>3028</v>
      </c>
    </row>
    <row r="620" ht="12.75" customHeight="1">
      <c r="A620" s="5" t="s">
        <v>3029</v>
      </c>
      <c r="B620" s="7">
        <v>30.0</v>
      </c>
      <c r="C620" s="7">
        <v>35.0</v>
      </c>
      <c r="D620" s="7" t="s">
        <v>3802</v>
      </c>
      <c r="E620" s="7"/>
      <c r="G620" s="5" t="str">
        <f t="shared" si="1"/>
        <v>30, 35, GOLDUCK</v>
      </c>
      <c r="I620" s="5" t="s">
        <v>3029</v>
      </c>
    </row>
    <row r="621" ht="12.75" customHeight="1">
      <c r="A621" s="5" t="s">
        <v>2851</v>
      </c>
      <c r="B621" s="7" t="s">
        <v>2851</v>
      </c>
      <c r="C621" s="7"/>
      <c r="D621" s="7"/>
      <c r="E621" s="7"/>
      <c r="G621" s="5" t="str">
        <f t="shared" si="1"/>
        <v>super rod:</v>
      </c>
      <c r="I621" s="5" t="s">
        <v>2851</v>
      </c>
    </row>
    <row r="622" ht="12.75" customHeight="1">
      <c r="A622" s="5" t="s">
        <v>3030</v>
      </c>
      <c r="B622" s="7">
        <v>36.0</v>
      </c>
      <c r="C622" s="7">
        <v>40.0</v>
      </c>
      <c r="D622" s="7" t="s">
        <v>3843</v>
      </c>
      <c r="E622" s="7"/>
      <c r="G622" s="5" t="str">
        <f t="shared" si="1"/>
        <v>36, 40, KINGDRA</v>
      </c>
      <c r="I622" s="5" t="s">
        <v>3030</v>
      </c>
    </row>
    <row r="623" ht="12.75" customHeight="1">
      <c r="A623" s="5" t="s">
        <v>3031</v>
      </c>
      <c r="B623" s="7">
        <v>36.0</v>
      </c>
      <c r="C623" s="7">
        <v>40.0</v>
      </c>
      <c r="D623" s="7" t="s">
        <v>3842</v>
      </c>
      <c r="E623" s="7"/>
      <c r="G623" s="5" t="str">
        <f t="shared" si="1"/>
        <v>36, 40, CLOYSTER</v>
      </c>
      <c r="I623" s="5" t="s">
        <v>3031</v>
      </c>
    </row>
    <row r="624" ht="12.75" customHeight="1">
      <c r="A624" s="5" t="s">
        <v>3032</v>
      </c>
      <c r="B624" s="7">
        <v>38.0</v>
      </c>
      <c r="C624" s="7">
        <v>42.0</v>
      </c>
      <c r="D624" s="7" t="s">
        <v>3855</v>
      </c>
      <c r="E624" s="7"/>
      <c r="G624" s="5" t="str">
        <f t="shared" si="1"/>
        <v>38, 42, GILDUCK</v>
      </c>
      <c r="I624" s="5" t="s">
        <v>3032</v>
      </c>
    </row>
    <row r="625" ht="12.75" customHeight="1">
      <c r="A625" s="5" t="s">
        <v>3033</v>
      </c>
      <c r="B625" s="7">
        <v>38.0</v>
      </c>
      <c r="C625" s="7">
        <v>42.0</v>
      </c>
      <c r="D625" s="7" t="s">
        <v>3863</v>
      </c>
      <c r="E625" s="7"/>
      <c r="G625" s="5" t="str">
        <f t="shared" si="1"/>
        <v>38, 42, KRAKLAW</v>
      </c>
      <c r="I625" s="5" t="s">
        <v>3033</v>
      </c>
    </row>
    <row r="626" ht="12.75" customHeight="1">
      <c r="A626" s="5" t="s">
        <v>3034</v>
      </c>
      <c r="B626" s="7">
        <v>40.0</v>
      </c>
      <c r="C626" s="7">
        <v>44.0</v>
      </c>
      <c r="D626" s="7" t="s">
        <v>3845</v>
      </c>
      <c r="E626" s="7"/>
      <c r="G626" s="5" t="str">
        <f t="shared" si="1"/>
        <v>40, 44, LORDRA</v>
      </c>
      <c r="I626" s="5" t="s">
        <v>3034</v>
      </c>
    </row>
    <row r="627" ht="12.75" customHeight="1">
      <c r="A627" s="5" t="s">
        <v>2539</v>
      </c>
      <c r="B627" s="7" t="s">
        <v>2539</v>
      </c>
      <c r="C627" s="7"/>
      <c r="D627" s="7"/>
      <c r="E627" s="7"/>
      <c r="G627" s="5" t="str">
        <f t="shared" si="1"/>
        <v>NEW ROUTE</v>
      </c>
      <c r="I627" s="5" t="s">
        <v>2539</v>
      </c>
    </row>
    <row r="628" ht="12.75" customHeight="1">
      <c r="A628" s="5" t="s">
        <v>1790</v>
      </c>
      <c r="B628" s="7" t="s">
        <v>1790</v>
      </c>
      <c r="C628" s="7"/>
      <c r="D628" s="7"/>
      <c r="E628" s="7"/>
      <c r="G628" s="5" t="str">
        <f t="shared" si="1"/>
        <v>Seafoam Islands B4F</v>
      </c>
      <c r="I628" s="5" t="s">
        <v>1790</v>
      </c>
    </row>
    <row r="629" ht="12.75" customHeight="1">
      <c r="A629" s="5">
        <v>0.2</v>
      </c>
      <c r="B629" s="5">
        <v>0.2</v>
      </c>
      <c r="C629" s="7"/>
      <c r="D629" s="7"/>
      <c r="E629" s="7"/>
      <c r="G629" s="5">
        <f t="shared" si="1"/>
        <v>0.2</v>
      </c>
      <c r="I629" s="5">
        <v>0.2</v>
      </c>
    </row>
    <row r="630" ht="12.75" customHeight="1">
      <c r="A630" s="5" t="s">
        <v>581</v>
      </c>
      <c r="B630" s="7">
        <v>40.0</v>
      </c>
      <c r="C630" s="7">
        <v>44.0</v>
      </c>
      <c r="D630" s="7" t="s">
        <v>3746</v>
      </c>
      <c r="E630" s="7"/>
      <c r="G630" s="5" t="str">
        <f t="shared" si="1"/>
        <v>40, 44, GOLBAT</v>
      </c>
      <c r="I630" s="5" t="s">
        <v>581</v>
      </c>
    </row>
    <row r="631" ht="12.75" customHeight="1">
      <c r="A631" s="5" t="s">
        <v>3006</v>
      </c>
      <c r="B631" s="7">
        <v>40.0</v>
      </c>
      <c r="C631" s="7">
        <v>44.0</v>
      </c>
      <c r="D631" s="7" t="s">
        <v>3802</v>
      </c>
      <c r="E631" s="7"/>
      <c r="G631" s="5" t="str">
        <f t="shared" si="1"/>
        <v>40, 44, GOLDUCK</v>
      </c>
      <c r="I631" s="5" t="s">
        <v>3006</v>
      </c>
    </row>
    <row r="632" ht="12.75" customHeight="1">
      <c r="A632" s="5">
        <v>0.1</v>
      </c>
      <c r="B632" s="5">
        <v>0.1</v>
      </c>
      <c r="C632" s="7"/>
      <c r="D632" s="7"/>
      <c r="E632" s="7"/>
      <c r="G632" s="5">
        <f t="shared" si="1"/>
        <v>0.1</v>
      </c>
      <c r="I632" s="5">
        <v>0.1</v>
      </c>
    </row>
    <row r="633" ht="12.75" customHeight="1">
      <c r="A633" s="5" t="s">
        <v>3007</v>
      </c>
      <c r="B633" s="7">
        <v>40.0</v>
      </c>
      <c r="C633" s="7">
        <v>44.0</v>
      </c>
      <c r="D633" s="7" t="s">
        <v>3801</v>
      </c>
      <c r="E633" s="7"/>
      <c r="G633" s="5" t="str">
        <f t="shared" si="1"/>
        <v>40, 44, SLOWBRO</v>
      </c>
      <c r="I633" s="5" t="s">
        <v>3007</v>
      </c>
    </row>
    <row r="634" ht="12.75" customHeight="1">
      <c r="A634" s="5" t="s">
        <v>3008</v>
      </c>
      <c r="B634" s="7">
        <v>40.0</v>
      </c>
      <c r="C634" s="7">
        <v>44.0</v>
      </c>
      <c r="D634" s="7" t="s">
        <v>3761</v>
      </c>
      <c r="E634" s="7"/>
      <c r="G634" s="5" t="str">
        <f t="shared" si="1"/>
        <v>40, 44, CROBAT</v>
      </c>
      <c r="I634" s="5" t="s">
        <v>3008</v>
      </c>
    </row>
    <row r="635" ht="12.75" customHeight="1">
      <c r="A635" s="5" t="s">
        <v>3009</v>
      </c>
      <c r="B635" s="7">
        <v>40.0</v>
      </c>
      <c r="C635" s="7">
        <v>44.0</v>
      </c>
      <c r="D635" s="7" t="s">
        <v>3853</v>
      </c>
      <c r="E635" s="7"/>
      <c r="G635" s="5" t="str">
        <f t="shared" si="1"/>
        <v>40, 44, DEWGONG</v>
      </c>
      <c r="I635" s="5" t="s">
        <v>3009</v>
      </c>
    </row>
    <row r="636" ht="12.75" customHeight="1">
      <c r="A636" s="5" t="s">
        <v>3010</v>
      </c>
      <c r="B636" s="7">
        <v>40.0</v>
      </c>
      <c r="C636" s="7">
        <v>44.0</v>
      </c>
      <c r="D636" s="7" t="s">
        <v>3854</v>
      </c>
      <c r="E636" s="7"/>
      <c r="G636" s="5" t="str">
        <f t="shared" si="1"/>
        <v>40, 44, LICKILICKY</v>
      </c>
      <c r="I636" s="5" t="s">
        <v>3010</v>
      </c>
    </row>
    <row r="637" ht="12.75" customHeight="1">
      <c r="A637" s="5">
        <v>0.05</v>
      </c>
      <c r="B637" s="5">
        <v>0.05</v>
      </c>
      <c r="C637" s="7"/>
      <c r="D637" s="7"/>
      <c r="E637" s="7"/>
      <c r="G637" s="5">
        <f t="shared" si="1"/>
        <v>0.05</v>
      </c>
      <c r="I637" s="5">
        <v>0.05</v>
      </c>
    </row>
    <row r="638" ht="12.75" customHeight="1">
      <c r="A638" s="5" t="s">
        <v>3011</v>
      </c>
      <c r="B638" s="7">
        <v>42.0</v>
      </c>
      <c r="C638" s="7">
        <v>46.0</v>
      </c>
      <c r="D638" s="7" t="s">
        <v>3765</v>
      </c>
      <c r="E638" s="7"/>
      <c r="G638" s="5" t="str">
        <f t="shared" si="1"/>
        <v>42, 46, POLABAT</v>
      </c>
      <c r="I638" s="5" t="s">
        <v>3011</v>
      </c>
    </row>
    <row r="639" ht="12.75" customHeight="1">
      <c r="A639" s="5" t="s">
        <v>3012</v>
      </c>
      <c r="B639" s="7">
        <v>42.0</v>
      </c>
      <c r="C639" s="7">
        <v>46.0</v>
      </c>
      <c r="D639" s="7" t="s">
        <v>3855</v>
      </c>
      <c r="E639" s="7"/>
      <c r="G639" s="5" t="str">
        <f t="shared" si="1"/>
        <v>42, 46, GILDUCK</v>
      </c>
      <c r="I639" s="5" t="s">
        <v>3012</v>
      </c>
    </row>
    <row r="640" ht="12.75" customHeight="1">
      <c r="A640" s="5">
        <v>0.04</v>
      </c>
      <c r="B640" s="5">
        <v>0.04</v>
      </c>
      <c r="C640" s="7"/>
      <c r="D640" s="7"/>
      <c r="E640" s="7"/>
      <c r="G640" s="5">
        <f t="shared" si="1"/>
        <v>0.04</v>
      </c>
      <c r="I640" s="5">
        <v>0.04</v>
      </c>
    </row>
    <row r="641" ht="12.75" customHeight="1">
      <c r="A641" s="5" t="s">
        <v>3013</v>
      </c>
      <c r="B641" s="7">
        <v>44.0</v>
      </c>
      <c r="C641" s="7">
        <v>47.0</v>
      </c>
      <c r="D641" s="7" t="s">
        <v>3856</v>
      </c>
      <c r="E641" s="7"/>
      <c r="G641" s="5" t="str">
        <f t="shared" si="1"/>
        <v>44, 47, SLOWMATE</v>
      </c>
      <c r="I641" s="5" t="s">
        <v>3013</v>
      </c>
    </row>
    <row r="642" ht="12.75" customHeight="1">
      <c r="A642" s="5" t="s">
        <v>3014</v>
      </c>
      <c r="B642" s="7">
        <v>44.0</v>
      </c>
      <c r="C642" s="7">
        <v>47.0</v>
      </c>
      <c r="D642" s="7" t="s">
        <v>3857</v>
      </c>
      <c r="E642" s="7"/>
      <c r="G642" s="5" t="str">
        <f t="shared" si="1"/>
        <v>44, 47, PRECIPED</v>
      </c>
      <c r="I642" s="5" t="s">
        <v>3014</v>
      </c>
    </row>
    <row r="643" ht="12.75" customHeight="1">
      <c r="A643" s="5">
        <v>0.01</v>
      </c>
      <c r="B643" s="5">
        <v>0.01</v>
      </c>
      <c r="C643" s="7"/>
      <c r="D643" s="7"/>
      <c r="E643" s="7"/>
      <c r="G643" s="5">
        <f t="shared" si="1"/>
        <v>0.01</v>
      </c>
      <c r="I643" s="5">
        <v>0.01</v>
      </c>
    </row>
    <row r="644" ht="12.75" customHeight="1">
      <c r="A644" s="5" t="s">
        <v>3015</v>
      </c>
      <c r="B644" s="7">
        <v>45.0</v>
      </c>
      <c r="C644" s="7">
        <v>50.0</v>
      </c>
      <c r="D644" s="7" t="s">
        <v>3810</v>
      </c>
      <c r="E644" s="7"/>
      <c r="G644" s="5" t="str">
        <f t="shared" si="1"/>
        <v>45, 50, DRAGONITE</v>
      </c>
      <c r="I644" s="5" t="s">
        <v>3015</v>
      </c>
    </row>
    <row r="645" ht="12.75" customHeight="1">
      <c r="A645" s="5" t="s">
        <v>3021</v>
      </c>
      <c r="B645" s="7">
        <v>45.0</v>
      </c>
      <c r="C645" s="7">
        <v>50.0</v>
      </c>
      <c r="D645" s="7" t="s">
        <v>3858</v>
      </c>
      <c r="E645" s="7"/>
      <c r="G645" s="5" t="str">
        <f t="shared" si="1"/>
        <v>45, 50, LICKILOLLY</v>
      </c>
      <c r="I645" s="5" t="s">
        <v>3021</v>
      </c>
    </row>
    <row r="646" ht="12.75" customHeight="1">
      <c r="A646" s="5" t="s">
        <v>3022</v>
      </c>
      <c r="B646" s="7">
        <v>2.0</v>
      </c>
      <c r="C646" s="7">
        <v>38.0</v>
      </c>
      <c r="D646" s="7">
        <v>44.0</v>
      </c>
      <c r="E646" s="7" t="s">
        <v>3853</v>
      </c>
      <c r="G646" s="5" t="str">
        <f t="shared" si="1"/>
        <v>2, 38, 44, DEWGONG</v>
      </c>
      <c r="I646" s="5" t="s">
        <v>3022</v>
      </c>
    </row>
    <row r="647" ht="12.75" customHeight="1">
      <c r="A647" s="5" t="s">
        <v>3023</v>
      </c>
      <c r="B647" s="7">
        <v>40.0</v>
      </c>
      <c r="C647" s="7">
        <v>44.0</v>
      </c>
      <c r="D647" s="7" t="s">
        <v>3859</v>
      </c>
      <c r="E647" s="7"/>
      <c r="G647" s="5" t="str">
        <f t="shared" si="1"/>
        <v>40, 44, SEADRA</v>
      </c>
      <c r="I647" s="5" t="s">
        <v>3023</v>
      </c>
    </row>
    <row r="648" ht="12.75" customHeight="1">
      <c r="A648" s="5" t="s">
        <v>3024</v>
      </c>
      <c r="B648" s="7">
        <v>42.0</v>
      </c>
      <c r="C648" s="7">
        <v>46.0</v>
      </c>
      <c r="D648" s="7" t="s">
        <v>3860</v>
      </c>
      <c r="E648" s="7"/>
      <c r="G648" s="5" t="str">
        <f t="shared" si="1"/>
        <v>42, 46, KINGLER</v>
      </c>
      <c r="I648" s="5" t="s">
        <v>3024</v>
      </c>
    </row>
    <row r="649" ht="12.75" customHeight="1">
      <c r="A649" s="5" t="s">
        <v>3025</v>
      </c>
      <c r="B649" s="7">
        <v>42.0</v>
      </c>
      <c r="C649" s="7">
        <v>46.0</v>
      </c>
      <c r="D649" s="7" t="s">
        <v>3861</v>
      </c>
      <c r="E649" s="7"/>
      <c r="G649" s="5" t="str">
        <f t="shared" si="1"/>
        <v>42, 46, LAPRAS</v>
      </c>
      <c r="I649" s="5" t="s">
        <v>3025</v>
      </c>
    </row>
    <row r="650" ht="12.75" customHeight="1">
      <c r="A650" s="5" t="s">
        <v>2923</v>
      </c>
      <c r="B650" s="7">
        <v>42.0</v>
      </c>
      <c r="C650" s="7">
        <v>46.0</v>
      </c>
      <c r="D650" s="7" t="s">
        <v>3801</v>
      </c>
      <c r="E650" s="7"/>
      <c r="G650" s="5" t="str">
        <f t="shared" si="1"/>
        <v>42, 46, SLOWBRO</v>
      </c>
      <c r="I650" s="5" t="s">
        <v>2923</v>
      </c>
    </row>
    <row r="651" ht="12.75" customHeight="1">
      <c r="A651" s="5" t="s">
        <v>2926</v>
      </c>
      <c r="B651" s="7">
        <v>20.0</v>
      </c>
      <c r="C651" s="7" t="s">
        <v>3749</v>
      </c>
      <c r="D651" s="7"/>
      <c r="E651" s="7"/>
      <c r="G651" s="5" t="str">
        <f t="shared" si="1"/>
        <v>old rod:</v>
      </c>
      <c r="I651" s="5" t="s">
        <v>3750</v>
      </c>
    </row>
    <row r="652" ht="12.75" customHeight="1">
      <c r="A652" s="5" t="s">
        <v>602</v>
      </c>
      <c r="B652" s="7">
        <v>19.0</v>
      </c>
      <c r="C652" s="7">
        <v>26.0</v>
      </c>
      <c r="D652" s="7" t="s">
        <v>3753</v>
      </c>
      <c r="E652" s="7"/>
      <c r="G652" s="5" t="str">
        <f t="shared" si="1"/>
        <v>19, 26, HORSEA</v>
      </c>
      <c r="I652" s="5" t="s">
        <v>602</v>
      </c>
    </row>
    <row r="653" ht="12.75" customHeight="1">
      <c r="A653" s="5" t="s">
        <v>3026</v>
      </c>
      <c r="B653" s="7">
        <v>19.0</v>
      </c>
      <c r="C653" s="7">
        <v>26.0</v>
      </c>
      <c r="D653" s="7" t="s">
        <v>3862</v>
      </c>
      <c r="E653" s="7"/>
      <c r="G653" s="5" t="str">
        <f t="shared" si="1"/>
        <v>19, 26, SHELLDER</v>
      </c>
      <c r="I653" s="5" t="s">
        <v>3026</v>
      </c>
    </row>
    <row r="654" ht="12.75" customHeight="1">
      <c r="A654" s="5" t="s">
        <v>2847</v>
      </c>
      <c r="B654" s="7" t="s">
        <v>2847</v>
      </c>
      <c r="C654" s="7"/>
      <c r="D654" s="7"/>
      <c r="E654" s="7"/>
      <c r="G654" s="5" t="str">
        <f t="shared" si="1"/>
        <v>good rod:</v>
      </c>
      <c r="I654" s="5" t="s">
        <v>2847</v>
      </c>
    </row>
    <row r="655" ht="12.75" customHeight="1">
      <c r="A655" s="5" t="s">
        <v>3027</v>
      </c>
      <c r="B655" s="7">
        <v>29.0</v>
      </c>
      <c r="C655" s="7">
        <v>33.0</v>
      </c>
      <c r="D655" s="7" t="s">
        <v>3859</v>
      </c>
      <c r="E655" s="7"/>
      <c r="G655" s="5" t="str">
        <f t="shared" si="1"/>
        <v>29, 33, SEADRA</v>
      </c>
      <c r="I655" s="5" t="s">
        <v>3027</v>
      </c>
    </row>
    <row r="656" ht="12.75" customHeight="1">
      <c r="A656" s="5" t="s">
        <v>3028</v>
      </c>
      <c r="B656" s="7">
        <v>30.0</v>
      </c>
      <c r="C656" s="7">
        <v>35.0</v>
      </c>
      <c r="D656" s="7" t="s">
        <v>3752</v>
      </c>
      <c r="E656" s="7"/>
      <c r="G656" s="5" t="str">
        <f t="shared" si="1"/>
        <v>30, 35, KRABBY</v>
      </c>
      <c r="I656" s="5" t="s">
        <v>3028</v>
      </c>
    </row>
    <row r="657" ht="12.75" customHeight="1">
      <c r="A657" s="5" t="s">
        <v>3029</v>
      </c>
      <c r="B657" s="7">
        <v>30.0</v>
      </c>
      <c r="C657" s="7">
        <v>35.0</v>
      </c>
      <c r="D657" s="7" t="s">
        <v>3802</v>
      </c>
      <c r="E657" s="7"/>
      <c r="G657" s="5" t="str">
        <f t="shared" si="1"/>
        <v>30, 35, GOLDUCK</v>
      </c>
      <c r="I657" s="5" t="s">
        <v>3029</v>
      </c>
    </row>
    <row r="658" ht="12.75" customHeight="1">
      <c r="A658" s="5" t="s">
        <v>2851</v>
      </c>
      <c r="B658" s="7" t="s">
        <v>2851</v>
      </c>
      <c r="C658" s="7"/>
      <c r="D658" s="7"/>
      <c r="E658" s="7"/>
      <c r="G658" s="5" t="str">
        <f t="shared" si="1"/>
        <v>super rod:</v>
      </c>
      <c r="I658" s="5" t="s">
        <v>2851</v>
      </c>
    </row>
    <row r="659" ht="12.75" customHeight="1">
      <c r="A659" s="5" t="s">
        <v>3030</v>
      </c>
      <c r="B659" s="7">
        <v>36.0</v>
      </c>
      <c r="C659" s="7">
        <v>40.0</v>
      </c>
      <c r="D659" s="7" t="s">
        <v>3843</v>
      </c>
      <c r="E659" s="7"/>
      <c r="G659" s="5" t="str">
        <f t="shared" si="1"/>
        <v>36, 40, KINGDRA</v>
      </c>
      <c r="I659" s="5" t="s">
        <v>3030</v>
      </c>
    </row>
    <row r="660" ht="12.75" customHeight="1">
      <c r="A660" s="5" t="s">
        <v>3031</v>
      </c>
      <c r="B660" s="7">
        <v>36.0</v>
      </c>
      <c r="C660" s="7">
        <v>40.0</v>
      </c>
      <c r="D660" s="7" t="s">
        <v>3842</v>
      </c>
      <c r="E660" s="7"/>
      <c r="G660" s="5" t="str">
        <f t="shared" si="1"/>
        <v>36, 40, CLOYSTER</v>
      </c>
      <c r="I660" s="5" t="s">
        <v>3031</v>
      </c>
    </row>
    <row r="661" ht="12.75" customHeight="1">
      <c r="A661" s="5" t="s">
        <v>3032</v>
      </c>
      <c r="B661" s="7">
        <v>38.0</v>
      </c>
      <c r="C661" s="7">
        <v>42.0</v>
      </c>
      <c r="D661" s="7" t="s">
        <v>3855</v>
      </c>
      <c r="E661" s="7"/>
      <c r="G661" s="5" t="str">
        <f t="shared" si="1"/>
        <v>38, 42, GILDUCK</v>
      </c>
      <c r="I661" s="5" t="s">
        <v>3032</v>
      </c>
    </row>
    <row r="662" ht="12.75" customHeight="1">
      <c r="A662" s="5" t="s">
        <v>3033</v>
      </c>
      <c r="B662" s="7">
        <v>38.0</v>
      </c>
      <c r="C662" s="7">
        <v>42.0</v>
      </c>
      <c r="D662" s="7" t="s">
        <v>3863</v>
      </c>
      <c r="E662" s="7"/>
      <c r="G662" s="5" t="str">
        <f t="shared" si="1"/>
        <v>38, 42, KRAKLAW</v>
      </c>
      <c r="I662" s="5" t="s">
        <v>3033</v>
      </c>
    </row>
    <row r="663" ht="12.75" customHeight="1">
      <c r="A663" s="5" t="s">
        <v>3034</v>
      </c>
      <c r="B663" s="7">
        <v>40.0</v>
      </c>
      <c r="C663" s="7">
        <v>44.0</v>
      </c>
      <c r="D663" s="7" t="s">
        <v>3845</v>
      </c>
      <c r="E663" s="7"/>
      <c r="G663" s="5" t="str">
        <f t="shared" si="1"/>
        <v>40, 44, LORDRA</v>
      </c>
      <c r="I663" s="5" t="s">
        <v>3034</v>
      </c>
    </row>
    <row r="664" ht="12.75" customHeight="1">
      <c r="A664" s="5" t="s">
        <v>2539</v>
      </c>
      <c r="B664" s="7" t="s">
        <v>2539</v>
      </c>
      <c r="C664" s="7"/>
      <c r="D664" s="7"/>
      <c r="E664" s="7"/>
      <c r="G664" s="5" t="str">
        <f t="shared" si="1"/>
        <v>NEW ROUTE</v>
      </c>
      <c r="I664" s="5" t="s">
        <v>2539</v>
      </c>
    </row>
    <row r="665" ht="12.75" customHeight="1">
      <c r="A665" s="5" t="s">
        <v>1799</v>
      </c>
      <c r="B665" s="7" t="s">
        <v>1799</v>
      </c>
      <c r="C665" s="7"/>
      <c r="D665" s="7"/>
      <c r="E665" s="7"/>
      <c r="G665" s="5" t="str">
        <f t="shared" si="1"/>
        <v>Pokémon Tower 3F</v>
      </c>
      <c r="I665" s="5" t="s">
        <v>1799</v>
      </c>
    </row>
    <row r="666" ht="12.75" customHeight="1">
      <c r="A666" s="5">
        <v>0.2</v>
      </c>
      <c r="B666" s="5">
        <v>0.2</v>
      </c>
      <c r="C666" s="7"/>
      <c r="D666" s="7"/>
      <c r="E666" s="7"/>
      <c r="G666" s="5">
        <f t="shared" si="1"/>
        <v>0.2</v>
      </c>
      <c r="I666" s="5">
        <v>0.2</v>
      </c>
    </row>
    <row r="667" ht="12.75" customHeight="1">
      <c r="A667" s="5" t="s">
        <v>614</v>
      </c>
      <c r="B667" s="7">
        <v>28.0</v>
      </c>
      <c r="C667" s="7">
        <v>31.0</v>
      </c>
      <c r="D667" s="7" t="s">
        <v>3864</v>
      </c>
      <c r="E667" s="7"/>
      <c r="G667" s="5" t="str">
        <f t="shared" si="1"/>
        <v>28, 31, GASTLY</v>
      </c>
      <c r="I667" s="5" t="s">
        <v>614</v>
      </c>
    </row>
    <row r="668" ht="12.75" customHeight="1">
      <c r="A668" s="5" t="s">
        <v>3038</v>
      </c>
      <c r="B668" s="7">
        <v>29.0</v>
      </c>
      <c r="C668" s="7">
        <v>32.0</v>
      </c>
      <c r="D668" s="7" t="s">
        <v>3865</v>
      </c>
      <c r="E668" s="7"/>
      <c r="G668" s="5" t="str">
        <f t="shared" si="1"/>
        <v>29, 32, RATTATA</v>
      </c>
      <c r="I668" s="5" t="s">
        <v>3038</v>
      </c>
    </row>
    <row r="669" ht="12.75" customHeight="1">
      <c r="A669" s="5">
        <v>0.1</v>
      </c>
      <c r="B669" s="5">
        <v>0.1</v>
      </c>
      <c r="C669" s="7"/>
      <c r="D669" s="7"/>
      <c r="E669" s="7"/>
      <c r="G669" s="5">
        <f t="shared" si="1"/>
        <v>0.1</v>
      </c>
      <c r="I669" s="5">
        <v>0.1</v>
      </c>
    </row>
    <row r="670" ht="12.75" customHeight="1">
      <c r="A670" s="5" t="s">
        <v>3039</v>
      </c>
      <c r="B670" s="7">
        <v>27.0</v>
      </c>
      <c r="C670" s="7">
        <v>31.0</v>
      </c>
      <c r="D670" s="7" t="s">
        <v>3866</v>
      </c>
      <c r="E670" s="7"/>
      <c r="G670" s="5" t="str">
        <f t="shared" si="1"/>
        <v>27, 31, CUBONE</v>
      </c>
      <c r="I670" s="5" t="s">
        <v>3039</v>
      </c>
    </row>
    <row r="671" ht="12.75" customHeight="1">
      <c r="A671" s="5" t="s">
        <v>3040</v>
      </c>
      <c r="B671" s="7">
        <v>29.0</v>
      </c>
      <c r="C671" s="7">
        <v>32.0</v>
      </c>
      <c r="D671" s="7" t="s">
        <v>3867</v>
      </c>
      <c r="E671" s="7"/>
      <c r="G671" s="5" t="str">
        <f t="shared" si="1"/>
        <v>29, 32, HAUNTER</v>
      </c>
      <c r="I671" s="5" t="s">
        <v>3040</v>
      </c>
    </row>
    <row r="672" ht="12.75" customHeight="1">
      <c r="A672" s="5" t="s">
        <v>3041</v>
      </c>
      <c r="B672" s="7">
        <v>28.0</v>
      </c>
      <c r="C672" s="7">
        <v>31.0</v>
      </c>
      <c r="D672" s="7" t="s">
        <v>3868</v>
      </c>
      <c r="E672" s="7"/>
      <c r="G672" s="5" t="str">
        <f t="shared" si="1"/>
        <v>28, 31, DROWZEE</v>
      </c>
      <c r="I672" s="5" t="s">
        <v>3041</v>
      </c>
    </row>
    <row r="673" ht="12.75" customHeight="1">
      <c r="A673" s="5" t="s">
        <v>3042</v>
      </c>
      <c r="B673" s="7">
        <v>28.0</v>
      </c>
      <c r="C673" s="7">
        <v>31.0</v>
      </c>
      <c r="D673" s="7" t="s">
        <v>3869</v>
      </c>
      <c r="E673" s="7"/>
      <c r="G673" s="5" t="str">
        <f t="shared" si="1"/>
        <v>28, 31, VULPIX</v>
      </c>
      <c r="I673" s="5" t="s">
        <v>3042</v>
      </c>
    </row>
    <row r="674" ht="12.75" customHeight="1">
      <c r="A674" s="5">
        <v>0.05</v>
      </c>
      <c r="B674" s="5">
        <v>0.05</v>
      </c>
      <c r="C674" s="7"/>
      <c r="D674" s="7"/>
      <c r="E674" s="7"/>
      <c r="G674" s="5">
        <f t="shared" si="1"/>
        <v>0.05</v>
      </c>
      <c r="I674" s="5">
        <v>0.05</v>
      </c>
    </row>
    <row r="675" ht="12.75" customHeight="1">
      <c r="A675" s="5" t="s">
        <v>3043</v>
      </c>
      <c r="B675" s="7">
        <v>29.0</v>
      </c>
      <c r="C675" s="7">
        <v>32.0</v>
      </c>
      <c r="D675" s="7" t="s">
        <v>3870</v>
      </c>
      <c r="E675" s="7"/>
      <c r="G675" s="5" t="str">
        <f t="shared" si="1"/>
        <v>29, 32, HYPNO</v>
      </c>
      <c r="I675" s="5" t="s">
        <v>3043</v>
      </c>
    </row>
    <row r="676" ht="12.75" customHeight="1">
      <c r="A676" s="5" t="s">
        <v>3044</v>
      </c>
      <c r="B676" s="7">
        <v>28.0</v>
      </c>
      <c r="C676" s="7">
        <v>31.0</v>
      </c>
      <c r="D676" s="7" t="s">
        <v>3871</v>
      </c>
      <c r="E676" s="7"/>
      <c r="G676" s="5" t="str">
        <f t="shared" si="1"/>
        <v>28, 31, RATICATE</v>
      </c>
      <c r="I676" s="5" t="s">
        <v>3044</v>
      </c>
    </row>
    <row r="677" ht="12.75" customHeight="1">
      <c r="A677" s="5">
        <v>0.04</v>
      </c>
      <c r="B677" s="5">
        <v>0.04</v>
      </c>
      <c r="C677" s="7"/>
      <c r="D677" s="7"/>
      <c r="E677" s="7"/>
      <c r="G677" s="5">
        <f t="shared" si="1"/>
        <v>0.04</v>
      </c>
      <c r="I677" s="5">
        <v>0.04</v>
      </c>
    </row>
    <row r="678" ht="12.75" customHeight="1">
      <c r="A678" s="5" t="s">
        <v>3045</v>
      </c>
      <c r="B678" s="7">
        <v>29.0</v>
      </c>
      <c r="C678" s="7">
        <v>32.0</v>
      </c>
      <c r="D678" s="7" t="s">
        <v>3872</v>
      </c>
      <c r="E678" s="7"/>
      <c r="G678" s="5" t="str">
        <f t="shared" si="1"/>
        <v>29, 32, MAROWAK</v>
      </c>
      <c r="I678" s="5" t="s">
        <v>3045</v>
      </c>
    </row>
    <row r="679" ht="12.75" customHeight="1">
      <c r="A679" s="5" t="s">
        <v>3046</v>
      </c>
      <c r="B679" s="7">
        <v>28.0</v>
      </c>
      <c r="C679" s="7">
        <v>31.0</v>
      </c>
      <c r="D679" s="7" t="s">
        <v>3774</v>
      </c>
      <c r="E679" s="7"/>
      <c r="G679" s="5" t="str">
        <f t="shared" si="1"/>
        <v>28, 31, RATTCHET</v>
      </c>
      <c r="I679" s="5" t="s">
        <v>3046</v>
      </c>
    </row>
    <row r="680" ht="12.75" customHeight="1">
      <c r="A680" s="5">
        <v>0.01</v>
      </c>
      <c r="B680" s="5">
        <v>0.01</v>
      </c>
      <c r="C680" s="7"/>
      <c r="D680" s="7"/>
      <c r="E680" s="7"/>
      <c r="G680" s="5">
        <f t="shared" si="1"/>
        <v>0.01</v>
      </c>
      <c r="I680" s="5">
        <v>0.01</v>
      </c>
    </row>
    <row r="681" ht="12.75" customHeight="1">
      <c r="A681" s="5" t="s">
        <v>3047</v>
      </c>
      <c r="B681" s="7">
        <v>33.0</v>
      </c>
      <c r="C681" s="7">
        <v>33.0</v>
      </c>
      <c r="D681" s="7" t="s">
        <v>3867</v>
      </c>
      <c r="E681" s="7"/>
      <c r="G681" s="5" t="str">
        <f t="shared" si="1"/>
        <v>33, 33, HAUNTER</v>
      </c>
      <c r="I681" s="5" t="s">
        <v>3047</v>
      </c>
    </row>
    <row r="682" ht="12.75" customHeight="1">
      <c r="A682" s="5" t="s">
        <v>3718</v>
      </c>
      <c r="B682" s="7">
        <v>32.0</v>
      </c>
      <c r="C682" s="7">
        <v>33.0</v>
      </c>
      <c r="D682" s="7" t="s">
        <v>3775</v>
      </c>
      <c r="E682" s="7"/>
      <c r="G682" s="5" t="str">
        <f t="shared" si="1"/>
        <v>32, 33, NINETALES</v>
      </c>
      <c r="I682" s="5" t="s">
        <v>3718</v>
      </c>
    </row>
    <row r="683" ht="12.75" customHeight="1">
      <c r="A683" s="5" t="s">
        <v>2539</v>
      </c>
      <c r="B683" s="7" t="s">
        <v>2539</v>
      </c>
      <c r="C683" s="7"/>
      <c r="D683" s="7"/>
      <c r="E683" s="7"/>
      <c r="G683" s="5" t="str">
        <f t="shared" si="1"/>
        <v>NEW ROUTE</v>
      </c>
      <c r="I683" s="5" t="s">
        <v>2539</v>
      </c>
    </row>
    <row r="684" ht="12.75" customHeight="1">
      <c r="A684" s="5" t="s">
        <v>1804</v>
      </c>
      <c r="B684" s="7" t="s">
        <v>1804</v>
      </c>
      <c r="C684" s="7"/>
      <c r="D684" s="7"/>
      <c r="E684" s="7"/>
      <c r="G684" s="5" t="str">
        <f t="shared" si="1"/>
        <v>Pokémon Tower 4F</v>
      </c>
      <c r="I684" s="5" t="s">
        <v>1804</v>
      </c>
    </row>
    <row r="685" ht="12.75" customHeight="1">
      <c r="A685" s="5">
        <v>0.2</v>
      </c>
      <c r="B685" s="5">
        <v>0.2</v>
      </c>
      <c r="C685" s="7"/>
      <c r="D685" s="7"/>
      <c r="E685" s="7"/>
      <c r="G685" s="5">
        <f t="shared" si="1"/>
        <v>0.2</v>
      </c>
      <c r="I685" s="5">
        <v>0.2</v>
      </c>
    </row>
    <row r="686" ht="12.75" customHeight="1">
      <c r="A686" s="5" t="s">
        <v>614</v>
      </c>
      <c r="B686" s="7">
        <v>28.0</v>
      </c>
      <c r="C686" s="7">
        <v>31.0</v>
      </c>
      <c r="D686" s="7" t="s">
        <v>3864</v>
      </c>
      <c r="E686" s="7"/>
      <c r="G686" s="5" t="str">
        <f t="shared" si="1"/>
        <v>28, 31, GASTLY</v>
      </c>
      <c r="I686" s="5" t="s">
        <v>614</v>
      </c>
    </row>
    <row r="687" ht="12.75" customHeight="1">
      <c r="A687" s="5" t="s">
        <v>3038</v>
      </c>
      <c r="B687" s="7">
        <v>29.0</v>
      </c>
      <c r="C687" s="7">
        <v>32.0</v>
      </c>
      <c r="D687" s="7" t="s">
        <v>3865</v>
      </c>
      <c r="E687" s="7"/>
      <c r="G687" s="5" t="str">
        <f t="shared" si="1"/>
        <v>29, 32, RATTATA</v>
      </c>
      <c r="I687" s="5" t="s">
        <v>3038</v>
      </c>
    </row>
    <row r="688" ht="12.75" customHeight="1">
      <c r="A688" s="5">
        <v>0.1</v>
      </c>
      <c r="B688" s="5">
        <v>0.1</v>
      </c>
      <c r="C688" s="7"/>
      <c r="D688" s="7"/>
      <c r="E688" s="7"/>
      <c r="G688" s="5">
        <f t="shared" si="1"/>
        <v>0.1</v>
      </c>
      <c r="I688" s="5">
        <v>0.1</v>
      </c>
    </row>
    <row r="689" ht="12.75" customHeight="1">
      <c r="A689" s="5" t="s">
        <v>3039</v>
      </c>
      <c r="B689" s="7">
        <v>27.0</v>
      </c>
      <c r="C689" s="7">
        <v>31.0</v>
      </c>
      <c r="D689" s="7" t="s">
        <v>3866</v>
      </c>
      <c r="E689" s="7"/>
      <c r="G689" s="5" t="str">
        <f t="shared" si="1"/>
        <v>27, 31, CUBONE</v>
      </c>
      <c r="I689" s="5" t="s">
        <v>3039</v>
      </c>
    </row>
    <row r="690" ht="12.75" customHeight="1">
      <c r="A690" s="5" t="s">
        <v>3040</v>
      </c>
      <c r="B690" s="7">
        <v>29.0</v>
      </c>
      <c r="C690" s="7">
        <v>32.0</v>
      </c>
      <c r="D690" s="7" t="s">
        <v>3867</v>
      </c>
      <c r="E690" s="7"/>
      <c r="G690" s="5" t="str">
        <f t="shared" si="1"/>
        <v>29, 32, HAUNTER</v>
      </c>
      <c r="I690" s="5" t="s">
        <v>3040</v>
      </c>
    </row>
    <row r="691" ht="12.75" customHeight="1">
      <c r="A691" s="5" t="s">
        <v>3041</v>
      </c>
      <c r="B691" s="7">
        <v>28.0</v>
      </c>
      <c r="C691" s="7">
        <v>31.0</v>
      </c>
      <c r="D691" s="7" t="s">
        <v>3868</v>
      </c>
      <c r="E691" s="7"/>
      <c r="G691" s="5" t="str">
        <f t="shared" si="1"/>
        <v>28, 31, DROWZEE</v>
      </c>
      <c r="I691" s="5" t="s">
        <v>3041</v>
      </c>
    </row>
    <row r="692" ht="12.75" customHeight="1">
      <c r="A692" s="5" t="s">
        <v>3042</v>
      </c>
      <c r="B692" s="7">
        <v>28.0</v>
      </c>
      <c r="C692" s="7">
        <v>31.0</v>
      </c>
      <c r="D692" s="7" t="s">
        <v>3869</v>
      </c>
      <c r="E692" s="7"/>
      <c r="G692" s="5" t="str">
        <f t="shared" si="1"/>
        <v>28, 31, VULPIX</v>
      </c>
      <c r="I692" s="5" t="s">
        <v>3042</v>
      </c>
    </row>
    <row r="693" ht="12.75" customHeight="1">
      <c r="A693" s="5">
        <v>0.05</v>
      </c>
      <c r="B693" s="5">
        <v>0.05</v>
      </c>
      <c r="C693" s="7"/>
      <c r="D693" s="7"/>
      <c r="E693" s="7"/>
      <c r="G693" s="5">
        <f t="shared" si="1"/>
        <v>0.05</v>
      </c>
      <c r="I693" s="5">
        <v>0.05</v>
      </c>
    </row>
    <row r="694" ht="12.75" customHeight="1">
      <c r="A694" s="5" t="s">
        <v>3043</v>
      </c>
      <c r="B694" s="7">
        <v>29.0</v>
      </c>
      <c r="C694" s="7">
        <v>32.0</v>
      </c>
      <c r="D694" s="7" t="s">
        <v>3870</v>
      </c>
      <c r="E694" s="7"/>
      <c r="G694" s="5" t="str">
        <f t="shared" si="1"/>
        <v>29, 32, HYPNO</v>
      </c>
      <c r="I694" s="5" t="s">
        <v>3043</v>
      </c>
    </row>
    <row r="695" ht="12.75" customHeight="1">
      <c r="A695" s="5" t="s">
        <v>3044</v>
      </c>
      <c r="B695" s="7">
        <v>28.0</v>
      </c>
      <c r="C695" s="7">
        <v>31.0</v>
      </c>
      <c r="D695" s="7" t="s">
        <v>3871</v>
      </c>
      <c r="E695" s="7"/>
      <c r="G695" s="5" t="str">
        <f t="shared" si="1"/>
        <v>28, 31, RATICATE</v>
      </c>
      <c r="I695" s="5" t="s">
        <v>3044</v>
      </c>
    </row>
    <row r="696" ht="12.75" customHeight="1">
      <c r="A696" s="5">
        <v>0.04</v>
      </c>
      <c r="B696" s="5">
        <v>0.04</v>
      </c>
      <c r="C696" s="7"/>
      <c r="D696" s="7"/>
      <c r="E696" s="7"/>
      <c r="G696" s="5">
        <f t="shared" si="1"/>
        <v>0.04</v>
      </c>
      <c r="I696" s="5">
        <v>0.04</v>
      </c>
    </row>
    <row r="697" ht="12.75" customHeight="1">
      <c r="A697" s="5" t="s">
        <v>3045</v>
      </c>
      <c r="B697" s="7">
        <v>29.0</v>
      </c>
      <c r="C697" s="7">
        <v>32.0</v>
      </c>
      <c r="D697" s="7" t="s">
        <v>3872</v>
      </c>
      <c r="E697" s="7"/>
      <c r="G697" s="5" t="str">
        <f t="shared" si="1"/>
        <v>29, 32, MAROWAK</v>
      </c>
      <c r="I697" s="5" t="s">
        <v>3045</v>
      </c>
    </row>
    <row r="698" ht="12.75" customHeight="1">
      <c r="A698" s="5" t="s">
        <v>3046</v>
      </c>
      <c r="B698" s="7">
        <v>28.0</v>
      </c>
      <c r="C698" s="7">
        <v>31.0</v>
      </c>
      <c r="D698" s="7" t="s">
        <v>3774</v>
      </c>
      <c r="E698" s="7"/>
      <c r="G698" s="5" t="str">
        <f t="shared" si="1"/>
        <v>28, 31, RATTCHET</v>
      </c>
      <c r="I698" s="5" t="s">
        <v>3046</v>
      </c>
    </row>
    <row r="699" ht="12.75" customHeight="1">
      <c r="A699" s="5">
        <v>0.01</v>
      </c>
      <c r="B699" s="5">
        <v>0.01</v>
      </c>
      <c r="C699" s="7"/>
      <c r="D699" s="7"/>
      <c r="E699" s="7"/>
      <c r="G699" s="5">
        <f t="shared" si="1"/>
        <v>0.01</v>
      </c>
      <c r="I699" s="5">
        <v>0.01</v>
      </c>
    </row>
    <row r="700" ht="12.75" customHeight="1">
      <c r="A700" s="5" t="s">
        <v>3047</v>
      </c>
      <c r="B700" s="7">
        <v>33.0</v>
      </c>
      <c r="C700" s="7">
        <v>33.0</v>
      </c>
      <c r="D700" s="7" t="s">
        <v>3867</v>
      </c>
      <c r="E700" s="7"/>
      <c r="G700" s="5" t="str">
        <f t="shared" si="1"/>
        <v>33, 33, HAUNTER</v>
      </c>
      <c r="I700" s="5" t="s">
        <v>3047</v>
      </c>
    </row>
    <row r="701" ht="12.75" customHeight="1">
      <c r="A701" s="5" t="s">
        <v>3718</v>
      </c>
      <c r="B701" s="7">
        <v>32.0</v>
      </c>
      <c r="C701" s="7">
        <v>33.0</v>
      </c>
      <c r="D701" s="7" t="s">
        <v>3775</v>
      </c>
      <c r="E701" s="7"/>
      <c r="G701" s="5" t="str">
        <f t="shared" si="1"/>
        <v>32, 33, NINETALES</v>
      </c>
      <c r="I701" s="5" t="s">
        <v>3718</v>
      </c>
    </row>
    <row r="702" ht="12.75" customHeight="1">
      <c r="A702" s="5" t="s">
        <v>2539</v>
      </c>
      <c r="B702" s="7" t="s">
        <v>2539</v>
      </c>
      <c r="C702" s="7"/>
      <c r="D702" s="7"/>
      <c r="E702" s="7"/>
      <c r="G702" s="5" t="str">
        <f t="shared" si="1"/>
        <v>NEW ROUTE</v>
      </c>
      <c r="I702" s="5" t="s">
        <v>2539</v>
      </c>
    </row>
    <row r="703" ht="12.75" customHeight="1">
      <c r="A703" s="5" t="s">
        <v>1809</v>
      </c>
      <c r="B703" s="7" t="s">
        <v>1809</v>
      </c>
      <c r="C703" s="7"/>
      <c r="D703" s="7"/>
      <c r="E703" s="7"/>
      <c r="G703" s="5" t="str">
        <f t="shared" si="1"/>
        <v>Pokémon Tower 5F</v>
      </c>
      <c r="I703" s="5" t="s">
        <v>1809</v>
      </c>
    </row>
    <row r="704" ht="12.75" customHeight="1">
      <c r="A704" s="5">
        <v>0.2</v>
      </c>
      <c r="B704" s="5">
        <v>0.2</v>
      </c>
      <c r="C704" s="7"/>
      <c r="D704" s="7"/>
      <c r="E704" s="7"/>
      <c r="G704" s="5">
        <f t="shared" si="1"/>
        <v>0.2</v>
      </c>
      <c r="I704" s="5">
        <v>0.2</v>
      </c>
    </row>
    <row r="705" ht="12.75" customHeight="1">
      <c r="A705" s="5" t="s">
        <v>614</v>
      </c>
      <c r="B705" s="7">
        <v>28.0</v>
      </c>
      <c r="C705" s="7">
        <v>31.0</v>
      </c>
      <c r="D705" s="7" t="s">
        <v>3864</v>
      </c>
      <c r="E705" s="7"/>
      <c r="G705" s="5" t="str">
        <f t="shared" si="1"/>
        <v>28, 31, GASTLY</v>
      </c>
      <c r="I705" s="5" t="s">
        <v>614</v>
      </c>
    </row>
    <row r="706" ht="12.75" customHeight="1">
      <c r="A706" s="5" t="s">
        <v>3038</v>
      </c>
      <c r="B706" s="7">
        <v>29.0</v>
      </c>
      <c r="C706" s="7">
        <v>32.0</v>
      </c>
      <c r="D706" s="7" t="s">
        <v>3865</v>
      </c>
      <c r="E706" s="7"/>
      <c r="G706" s="5" t="str">
        <f t="shared" si="1"/>
        <v>29, 32, RATTATA</v>
      </c>
      <c r="I706" s="5" t="s">
        <v>3038</v>
      </c>
    </row>
    <row r="707" ht="12.75" customHeight="1">
      <c r="A707" s="5">
        <v>0.1</v>
      </c>
      <c r="B707" s="5">
        <v>0.1</v>
      </c>
      <c r="C707" s="7"/>
      <c r="D707" s="7"/>
      <c r="E707" s="7"/>
      <c r="G707" s="5">
        <f t="shared" si="1"/>
        <v>0.1</v>
      </c>
      <c r="I707" s="5">
        <v>0.1</v>
      </c>
    </row>
    <row r="708" ht="12.75" customHeight="1">
      <c r="A708" s="5" t="s">
        <v>3039</v>
      </c>
      <c r="B708" s="7">
        <v>27.0</v>
      </c>
      <c r="C708" s="7">
        <v>31.0</v>
      </c>
      <c r="D708" s="7" t="s">
        <v>3866</v>
      </c>
      <c r="E708" s="7"/>
      <c r="G708" s="5" t="str">
        <f t="shared" si="1"/>
        <v>27, 31, CUBONE</v>
      </c>
      <c r="I708" s="5" t="s">
        <v>3039</v>
      </c>
    </row>
    <row r="709" ht="12.75" customHeight="1">
      <c r="A709" s="5" t="s">
        <v>3040</v>
      </c>
      <c r="B709" s="7">
        <v>29.0</v>
      </c>
      <c r="C709" s="7">
        <v>32.0</v>
      </c>
      <c r="D709" s="7" t="s">
        <v>3867</v>
      </c>
      <c r="E709" s="7"/>
      <c r="G709" s="5" t="str">
        <f t="shared" si="1"/>
        <v>29, 32, HAUNTER</v>
      </c>
      <c r="I709" s="5" t="s">
        <v>3040</v>
      </c>
    </row>
    <row r="710" ht="12.75" customHeight="1">
      <c r="A710" s="5" t="s">
        <v>3041</v>
      </c>
      <c r="B710" s="7">
        <v>28.0</v>
      </c>
      <c r="C710" s="7">
        <v>31.0</v>
      </c>
      <c r="D710" s="7" t="s">
        <v>3868</v>
      </c>
      <c r="E710" s="7"/>
      <c r="G710" s="5" t="str">
        <f t="shared" si="1"/>
        <v>28, 31, DROWZEE</v>
      </c>
      <c r="I710" s="5" t="s">
        <v>3041</v>
      </c>
    </row>
    <row r="711" ht="12.75" customHeight="1">
      <c r="A711" s="5" t="s">
        <v>3042</v>
      </c>
      <c r="B711" s="7">
        <v>28.0</v>
      </c>
      <c r="C711" s="7">
        <v>31.0</v>
      </c>
      <c r="D711" s="7" t="s">
        <v>3869</v>
      </c>
      <c r="E711" s="7"/>
      <c r="G711" s="5" t="str">
        <f t="shared" si="1"/>
        <v>28, 31, VULPIX</v>
      </c>
      <c r="I711" s="5" t="s">
        <v>3042</v>
      </c>
    </row>
    <row r="712" ht="12.75" customHeight="1">
      <c r="A712" s="5">
        <v>0.05</v>
      </c>
      <c r="B712" s="5">
        <v>0.05</v>
      </c>
      <c r="C712" s="7"/>
      <c r="D712" s="7"/>
      <c r="E712" s="7"/>
      <c r="G712" s="5">
        <f t="shared" si="1"/>
        <v>0.05</v>
      </c>
      <c r="I712" s="5">
        <v>0.05</v>
      </c>
    </row>
    <row r="713" ht="12.75" customHeight="1">
      <c r="A713" s="5" t="s">
        <v>3043</v>
      </c>
      <c r="B713" s="7">
        <v>29.0</v>
      </c>
      <c r="C713" s="7">
        <v>32.0</v>
      </c>
      <c r="D713" s="7" t="s">
        <v>3870</v>
      </c>
      <c r="E713" s="7"/>
      <c r="G713" s="5" t="str">
        <f t="shared" si="1"/>
        <v>29, 32, HYPNO</v>
      </c>
      <c r="I713" s="5" t="s">
        <v>3043</v>
      </c>
    </row>
    <row r="714" ht="12.75" customHeight="1">
      <c r="A714" s="5" t="s">
        <v>3044</v>
      </c>
      <c r="B714" s="7">
        <v>28.0</v>
      </c>
      <c r="C714" s="7">
        <v>31.0</v>
      </c>
      <c r="D714" s="7" t="s">
        <v>3871</v>
      </c>
      <c r="E714" s="7"/>
      <c r="G714" s="5" t="str">
        <f t="shared" si="1"/>
        <v>28, 31, RATICATE</v>
      </c>
      <c r="I714" s="5" t="s">
        <v>3044</v>
      </c>
    </row>
    <row r="715" ht="12.75" customHeight="1">
      <c r="A715" s="5">
        <v>0.04</v>
      </c>
      <c r="B715" s="5">
        <v>0.04</v>
      </c>
      <c r="C715" s="7"/>
      <c r="D715" s="7"/>
      <c r="E715" s="7"/>
      <c r="G715" s="5">
        <f t="shared" si="1"/>
        <v>0.04</v>
      </c>
      <c r="I715" s="5">
        <v>0.04</v>
      </c>
    </row>
    <row r="716" ht="12.75" customHeight="1">
      <c r="A716" s="5" t="s">
        <v>3045</v>
      </c>
      <c r="B716" s="7">
        <v>29.0</v>
      </c>
      <c r="C716" s="7">
        <v>32.0</v>
      </c>
      <c r="D716" s="7" t="s">
        <v>3872</v>
      </c>
      <c r="E716" s="7"/>
      <c r="G716" s="5" t="str">
        <f t="shared" si="1"/>
        <v>29, 32, MAROWAK</v>
      </c>
      <c r="I716" s="5" t="s">
        <v>3045</v>
      </c>
    </row>
    <row r="717" ht="12.75" customHeight="1">
      <c r="A717" s="5" t="s">
        <v>3046</v>
      </c>
      <c r="B717" s="7">
        <v>28.0</v>
      </c>
      <c r="C717" s="7">
        <v>31.0</v>
      </c>
      <c r="D717" s="7" t="s">
        <v>3774</v>
      </c>
      <c r="E717" s="7"/>
      <c r="G717" s="5" t="str">
        <f t="shared" si="1"/>
        <v>28, 31, RATTCHET</v>
      </c>
      <c r="I717" s="5" t="s">
        <v>3046</v>
      </c>
    </row>
    <row r="718" ht="12.75" customHeight="1">
      <c r="A718" s="5">
        <v>0.01</v>
      </c>
      <c r="B718" s="5">
        <v>0.01</v>
      </c>
      <c r="C718" s="7"/>
      <c r="D718" s="7"/>
      <c r="E718" s="7"/>
      <c r="G718" s="5">
        <f t="shared" si="1"/>
        <v>0.01</v>
      </c>
      <c r="I718" s="5">
        <v>0.01</v>
      </c>
    </row>
    <row r="719" ht="12.75" customHeight="1">
      <c r="A719" s="5" t="s">
        <v>3047</v>
      </c>
      <c r="B719" s="7">
        <v>33.0</v>
      </c>
      <c r="C719" s="7">
        <v>33.0</v>
      </c>
      <c r="D719" s="7" t="s">
        <v>3867</v>
      </c>
      <c r="E719" s="7"/>
      <c r="G719" s="5" t="str">
        <f t="shared" si="1"/>
        <v>33, 33, HAUNTER</v>
      </c>
      <c r="I719" s="5" t="s">
        <v>3047</v>
      </c>
    </row>
    <row r="720" ht="12.75" customHeight="1">
      <c r="A720" s="5" t="s">
        <v>3718</v>
      </c>
      <c r="B720" s="7">
        <v>32.0</v>
      </c>
      <c r="C720" s="7">
        <v>33.0</v>
      </c>
      <c r="D720" s="7" t="s">
        <v>3775</v>
      </c>
      <c r="E720" s="7"/>
      <c r="G720" s="5" t="str">
        <f t="shared" si="1"/>
        <v>32, 33, NINETALES</v>
      </c>
      <c r="I720" s="5" t="s">
        <v>3718</v>
      </c>
    </row>
    <row r="721" ht="12.75" customHeight="1">
      <c r="A721" s="5" t="s">
        <v>2539</v>
      </c>
      <c r="B721" s="7" t="s">
        <v>2539</v>
      </c>
      <c r="C721" s="7"/>
      <c r="D721" s="7"/>
      <c r="E721" s="7"/>
      <c r="G721" s="5" t="str">
        <f t="shared" si="1"/>
        <v>NEW ROUTE</v>
      </c>
      <c r="I721" s="5" t="s">
        <v>2539</v>
      </c>
    </row>
    <row r="722" ht="12.75" customHeight="1">
      <c r="A722" s="5" t="s">
        <v>1814</v>
      </c>
      <c r="B722" s="7" t="s">
        <v>1814</v>
      </c>
      <c r="C722" s="7"/>
      <c r="D722" s="7"/>
      <c r="E722" s="7"/>
      <c r="G722" s="5" t="str">
        <f t="shared" si="1"/>
        <v>Pokémon Tower 6F</v>
      </c>
      <c r="I722" s="5" t="s">
        <v>1814</v>
      </c>
    </row>
    <row r="723" ht="12.75" customHeight="1">
      <c r="A723" s="5">
        <v>0.2</v>
      </c>
      <c r="B723" s="5">
        <v>0.2</v>
      </c>
      <c r="C723" s="7"/>
      <c r="D723" s="7"/>
      <c r="E723" s="7"/>
      <c r="G723" s="5">
        <f t="shared" si="1"/>
        <v>0.2</v>
      </c>
      <c r="I723" s="5">
        <v>0.2</v>
      </c>
    </row>
    <row r="724" ht="12.75" customHeight="1">
      <c r="A724" s="5" t="s">
        <v>614</v>
      </c>
      <c r="B724" s="7">
        <v>28.0</v>
      </c>
      <c r="C724" s="7">
        <v>31.0</v>
      </c>
      <c r="D724" s="7" t="s">
        <v>3864</v>
      </c>
      <c r="E724" s="7"/>
      <c r="G724" s="5" t="str">
        <f t="shared" si="1"/>
        <v>28, 31, GASTLY</v>
      </c>
      <c r="I724" s="5" t="s">
        <v>614</v>
      </c>
    </row>
    <row r="725" ht="12.75" customHeight="1">
      <c r="A725" s="5" t="s">
        <v>3038</v>
      </c>
      <c r="B725" s="7">
        <v>29.0</v>
      </c>
      <c r="C725" s="7">
        <v>32.0</v>
      </c>
      <c r="D725" s="7" t="s">
        <v>3865</v>
      </c>
      <c r="E725" s="7"/>
      <c r="G725" s="5" t="str">
        <f t="shared" si="1"/>
        <v>29, 32, RATTATA</v>
      </c>
      <c r="I725" s="5" t="s">
        <v>3038</v>
      </c>
    </row>
    <row r="726" ht="12.75" customHeight="1">
      <c r="A726" s="5">
        <v>0.1</v>
      </c>
      <c r="B726" s="5">
        <v>0.1</v>
      </c>
      <c r="C726" s="7"/>
      <c r="D726" s="7"/>
      <c r="E726" s="7"/>
      <c r="G726" s="5">
        <f t="shared" si="1"/>
        <v>0.1</v>
      </c>
      <c r="I726" s="5">
        <v>0.1</v>
      </c>
    </row>
    <row r="727" ht="12.75" customHeight="1">
      <c r="A727" s="5" t="s">
        <v>3039</v>
      </c>
      <c r="B727" s="7">
        <v>27.0</v>
      </c>
      <c r="C727" s="7">
        <v>31.0</v>
      </c>
      <c r="D727" s="7" t="s">
        <v>3866</v>
      </c>
      <c r="E727" s="7"/>
      <c r="G727" s="5" t="str">
        <f t="shared" si="1"/>
        <v>27, 31, CUBONE</v>
      </c>
      <c r="I727" s="5" t="s">
        <v>3039</v>
      </c>
    </row>
    <row r="728" ht="12.75" customHeight="1">
      <c r="A728" s="5" t="s">
        <v>3040</v>
      </c>
      <c r="B728" s="7">
        <v>29.0</v>
      </c>
      <c r="C728" s="7">
        <v>32.0</v>
      </c>
      <c r="D728" s="7" t="s">
        <v>3867</v>
      </c>
      <c r="E728" s="7"/>
      <c r="G728" s="5" t="str">
        <f t="shared" si="1"/>
        <v>29, 32, HAUNTER</v>
      </c>
      <c r="I728" s="5" t="s">
        <v>3040</v>
      </c>
    </row>
    <row r="729" ht="12.75" customHeight="1">
      <c r="A729" s="5" t="s">
        <v>3041</v>
      </c>
      <c r="B729" s="7">
        <v>28.0</v>
      </c>
      <c r="C729" s="7">
        <v>31.0</v>
      </c>
      <c r="D729" s="7" t="s">
        <v>3868</v>
      </c>
      <c r="E729" s="7"/>
      <c r="G729" s="5" t="str">
        <f t="shared" si="1"/>
        <v>28, 31, DROWZEE</v>
      </c>
      <c r="I729" s="5" t="s">
        <v>3041</v>
      </c>
    </row>
    <row r="730" ht="12.75" customHeight="1">
      <c r="A730" s="5" t="s">
        <v>3042</v>
      </c>
      <c r="B730" s="7">
        <v>28.0</v>
      </c>
      <c r="C730" s="7">
        <v>31.0</v>
      </c>
      <c r="D730" s="7" t="s">
        <v>3869</v>
      </c>
      <c r="E730" s="7"/>
      <c r="G730" s="5" t="str">
        <f t="shared" si="1"/>
        <v>28, 31, VULPIX</v>
      </c>
      <c r="I730" s="5" t="s">
        <v>3042</v>
      </c>
    </row>
    <row r="731" ht="12.75" customHeight="1">
      <c r="A731" s="5">
        <v>0.05</v>
      </c>
      <c r="B731" s="5">
        <v>0.05</v>
      </c>
      <c r="C731" s="7"/>
      <c r="D731" s="7"/>
      <c r="E731" s="7"/>
      <c r="G731" s="5">
        <f t="shared" si="1"/>
        <v>0.05</v>
      </c>
      <c r="I731" s="5">
        <v>0.05</v>
      </c>
    </row>
    <row r="732" ht="12.75" customHeight="1">
      <c r="A732" s="5" t="s">
        <v>3043</v>
      </c>
      <c r="B732" s="7">
        <v>29.0</v>
      </c>
      <c r="C732" s="7">
        <v>32.0</v>
      </c>
      <c r="D732" s="7" t="s">
        <v>3870</v>
      </c>
      <c r="E732" s="7"/>
      <c r="G732" s="5" t="str">
        <f t="shared" si="1"/>
        <v>29, 32, HYPNO</v>
      </c>
      <c r="I732" s="5" t="s">
        <v>3043</v>
      </c>
    </row>
    <row r="733" ht="12.75" customHeight="1">
      <c r="A733" s="5" t="s">
        <v>3044</v>
      </c>
      <c r="B733" s="7">
        <v>28.0</v>
      </c>
      <c r="C733" s="7">
        <v>31.0</v>
      </c>
      <c r="D733" s="7" t="s">
        <v>3871</v>
      </c>
      <c r="E733" s="7"/>
      <c r="G733" s="5" t="str">
        <f t="shared" si="1"/>
        <v>28, 31, RATICATE</v>
      </c>
      <c r="I733" s="5" t="s">
        <v>3044</v>
      </c>
    </row>
    <row r="734" ht="12.75" customHeight="1">
      <c r="A734" s="5">
        <v>0.04</v>
      </c>
      <c r="B734" s="5">
        <v>0.04</v>
      </c>
      <c r="C734" s="7"/>
      <c r="D734" s="7"/>
      <c r="E734" s="7"/>
      <c r="G734" s="5">
        <f t="shared" si="1"/>
        <v>0.04</v>
      </c>
      <c r="I734" s="5">
        <v>0.04</v>
      </c>
    </row>
    <row r="735" ht="12.75" customHeight="1">
      <c r="A735" s="5" t="s">
        <v>3045</v>
      </c>
      <c r="B735" s="7">
        <v>29.0</v>
      </c>
      <c r="C735" s="7">
        <v>32.0</v>
      </c>
      <c r="D735" s="7" t="s">
        <v>3872</v>
      </c>
      <c r="E735" s="7"/>
      <c r="G735" s="5" t="str">
        <f t="shared" si="1"/>
        <v>29, 32, MAROWAK</v>
      </c>
      <c r="I735" s="5" t="s">
        <v>3045</v>
      </c>
    </row>
    <row r="736" ht="12.75" customHeight="1">
      <c r="A736" s="5" t="s">
        <v>3046</v>
      </c>
      <c r="B736" s="7">
        <v>28.0</v>
      </c>
      <c r="C736" s="7">
        <v>31.0</v>
      </c>
      <c r="D736" s="7" t="s">
        <v>3774</v>
      </c>
      <c r="E736" s="7"/>
      <c r="G736" s="5" t="str">
        <f t="shared" si="1"/>
        <v>28, 31, RATTCHET</v>
      </c>
      <c r="I736" s="5" t="s">
        <v>3046</v>
      </c>
    </row>
    <row r="737" ht="12.75" customHeight="1">
      <c r="A737" s="5">
        <v>0.01</v>
      </c>
      <c r="B737" s="5">
        <v>0.01</v>
      </c>
      <c r="C737" s="7"/>
      <c r="D737" s="7"/>
      <c r="E737" s="7"/>
      <c r="G737" s="5">
        <f t="shared" si="1"/>
        <v>0.01</v>
      </c>
      <c r="I737" s="5">
        <v>0.01</v>
      </c>
    </row>
    <row r="738" ht="12.75" customHeight="1">
      <c r="A738" s="5" t="s">
        <v>3047</v>
      </c>
      <c r="B738" s="7">
        <v>33.0</v>
      </c>
      <c r="C738" s="7">
        <v>33.0</v>
      </c>
      <c r="D738" s="7" t="s">
        <v>3867</v>
      </c>
      <c r="E738" s="7"/>
      <c r="G738" s="5" t="str">
        <f t="shared" si="1"/>
        <v>33, 33, HAUNTER</v>
      </c>
      <c r="I738" s="5" t="s">
        <v>3047</v>
      </c>
    </row>
    <row r="739" ht="12.75" customHeight="1">
      <c r="A739" s="5" t="s">
        <v>3718</v>
      </c>
      <c r="B739" s="7">
        <v>32.0</v>
      </c>
      <c r="C739" s="7">
        <v>33.0</v>
      </c>
      <c r="D739" s="7" t="s">
        <v>3775</v>
      </c>
      <c r="E739" s="7"/>
      <c r="G739" s="5" t="str">
        <f t="shared" si="1"/>
        <v>32, 33, NINETALES</v>
      </c>
      <c r="I739" s="5" t="s">
        <v>3718</v>
      </c>
    </row>
    <row r="740" ht="12.75" customHeight="1">
      <c r="A740" s="5" t="s">
        <v>2539</v>
      </c>
      <c r="B740" s="7" t="s">
        <v>2539</v>
      </c>
      <c r="C740" s="7"/>
      <c r="D740" s="7"/>
      <c r="E740" s="7"/>
      <c r="G740" s="5" t="str">
        <f t="shared" si="1"/>
        <v>NEW ROUTE</v>
      </c>
      <c r="I740" s="5" t="s">
        <v>2539</v>
      </c>
    </row>
    <row r="741" ht="12.75" customHeight="1">
      <c r="A741" s="5" t="s">
        <v>1819</v>
      </c>
      <c r="B741" s="7" t="s">
        <v>1819</v>
      </c>
      <c r="C741" s="7"/>
      <c r="D741" s="7"/>
      <c r="E741" s="7"/>
      <c r="G741" s="5" t="str">
        <f t="shared" si="1"/>
        <v>Pokémon Tower 7F</v>
      </c>
      <c r="I741" s="5" t="s">
        <v>1819</v>
      </c>
    </row>
    <row r="742" ht="12.75" customHeight="1">
      <c r="A742" s="5">
        <v>0.2</v>
      </c>
      <c r="B742" s="5">
        <v>0.2</v>
      </c>
      <c r="C742" s="7"/>
      <c r="D742" s="7"/>
      <c r="E742" s="7"/>
      <c r="G742" s="5">
        <f t="shared" si="1"/>
        <v>0.2</v>
      </c>
      <c r="I742" s="5">
        <v>0.2</v>
      </c>
    </row>
    <row r="743" ht="12.75" customHeight="1">
      <c r="A743" s="5" t="s">
        <v>614</v>
      </c>
      <c r="B743" s="7">
        <v>28.0</v>
      </c>
      <c r="C743" s="7">
        <v>31.0</v>
      </c>
      <c r="D743" s="7" t="s">
        <v>3864</v>
      </c>
      <c r="E743" s="7"/>
      <c r="G743" s="5" t="str">
        <f t="shared" si="1"/>
        <v>28, 31, GASTLY</v>
      </c>
      <c r="I743" s="5" t="s">
        <v>614</v>
      </c>
    </row>
    <row r="744" ht="12.75" customHeight="1">
      <c r="A744" s="5" t="s">
        <v>3038</v>
      </c>
      <c r="B744" s="7">
        <v>29.0</v>
      </c>
      <c r="C744" s="7">
        <v>32.0</v>
      </c>
      <c r="D744" s="7" t="s">
        <v>3865</v>
      </c>
      <c r="E744" s="7"/>
      <c r="G744" s="5" t="str">
        <f t="shared" si="1"/>
        <v>29, 32, RATTATA</v>
      </c>
      <c r="I744" s="5" t="s">
        <v>3038</v>
      </c>
    </row>
    <row r="745" ht="12.75" customHeight="1">
      <c r="A745" s="5">
        <v>0.1</v>
      </c>
      <c r="B745" s="5">
        <v>0.1</v>
      </c>
      <c r="C745" s="7"/>
      <c r="D745" s="7"/>
      <c r="E745" s="7"/>
      <c r="G745" s="5">
        <f t="shared" si="1"/>
        <v>0.1</v>
      </c>
      <c r="I745" s="5">
        <v>0.1</v>
      </c>
    </row>
    <row r="746" ht="12.75" customHeight="1">
      <c r="A746" s="5" t="s">
        <v>3039</v>
      </c>
      <c r="B746" s="7">
        <v>27.0</v>
      </c>
      <c r="C746" s="7">
        <v>31.0</v>
      </c>
      <c r="D746" s="7" t="s">
        <v>3866</v>
      </c>
      <c r="E746" s="7"/>
      <c r="G746" s="5" t="str">
        <f t="shared" si="1"/>
        <v>27, 31, CUBONE</v>
      </c>
      <c r="I746" s="5" t="s">
        <v>3039</v>
      </c>
    </row>
    <row r="747" ht="12.75" customHeight="1">
      <c r="A747" s="5" t="s">
        <v>3040</v>
      </c>
      <c r="B747" s="7">
        <v>29.0</v>
      </c>
      <c r="C747" s="7">
        <v>32.0</v>
      </c>
      <c r="D747" s="7" t="s">
        <v>3867</v>
      </c>
      <c r="E747" s="7"/>
      <c r="G747" s="5" t="str">
        <f t="shared" si="1"/>
        <v>29, 32, HAUNTER</v>
      </c>
      <c r="I747" s="5" t="s">
        <v>3040</v>
      </c>
    </row>
    <row r="748" ht="12.75" customHeight="1">
      <c r="A748" s="5" t="s">
        <v>3041</v>
      </c>
      <c r="B748" s="7">
        <v>28.0</v>
      </c>
      <c r="C748" s="7">
        <v>31.0</v>
      </c>
      <c r="D748" s="7" t="s">
        <v>3868</v>
      </c>
      <c r="E748" s="7"/>
      <c r="G748" s="5" t="str">
        <f t="shared" si="1"/>
        <v>28, 31, DROWZEE</v>
      </c>
      <c r="I748" s="5" t="s">
        <v>3041</v>
      </c>
    </row>
    <row r="749" ht="12.75" customHeight="1">
      <c r="A749" s="5" t="s">
        <v>3042</v>
      </c>
      <c r="B749" s="7">
        <v>28.0</v>
      </c>
      <c r="C749" s="7">
        <v>31.0</v>
      </c>
      <c r="D749" s="7" t="s">
        <v>3869</v>
      </c>
      <c r="E749" s="7"/>
      <c r="G749" s="5" t="str">
        <f t="shared" si="1"/>
        <v>28, 31, VULPIX</v>
      </c>
      <c r="I749" s="5" t="s">
        <v>3042</v>
      </c>
    </row>
    <row r="750" ht="12.75" customHeight="1">
      <c r="A750" s="5">
        <v>0.05</v>
      </c>
      <c r="B750" s="5">
        <v>0.05</v>
      </c>
      <c r="C750" s="7"/>
      <c r="D750" s="7"/>
      <c r="E750" s="7"/>
      <c r="G750" s="5">
        <f t="shared" si="1"/>
        <v>0.05</v>
      </c>
      <c r="I750" s="5">
        <v>0.05</v>
      </c>
    </row>
    <row r="751" ht="12.75" customHeight="1">
      <c r="A751" s="5" t="s">
        <v>3043</v>
      </c>
      <c r="B751" s="7">
        <v>29.0</v>
      </c>
      <c r="C751" s="7">
        <v>32.0</v>
      </c>
      <c r="D751" s="7" t="s">
        <v>3870</v>
      </c>
      <c r="E751" s="7"/>
      <c r="G751" s="5" t="str">
        <f t="shared" si="1"/>
        <v>29, 32, HYPNO</v>
      </c>
      <c r="I751" s="5" t="s">
        <v>3043</v>
      </c>
    </row>
    <row r="752" ht="12.75" customHeight="1">
      <c r="A752" s="5" t="s">
        <v>3044</v>
      </c>
      <c r="B752" s="7">
        <v>28.0</v>
      </c>
      <c r="C752" s="7">
        <v>31.0</v>
      </c>
      <c r="D752" s="7" t="s">
        <v>3871</v>
      </c>
      <c r="E752" s="7"/>
      <c r="G752" s="5" t="str">
        <f t="shared" si="1"/>
        <v>28, 31, RATICATE</v>
      </c>
      <c r="I752" s="5" t="s">
        <v>3044</v>
      </c>
    </row>
    <row r="753" ht="12.75" customHeight="1">
      <c r="A753" s="5">
        <v>0.04</v>
      </c>
      <c r="B753" s="5">
        <v>0.04</v>
      </c>
      <c r="C753" s="7"/>
      <c r="D753" s="7"/>
      <c r="E753" s="7"/>
      <c r="G753" s="5">
        <f t="shared" si="1"/>
        <v>0.04</v>
      </c>
      <c r="I753" s="5">
        <v>0.04</v>
      </c>
    </row>
    <row r="754" ht="12.75" customHeight="1">
      <c r="A754" s="5" t="s">
        <v>3045</v>
      </c>
      <c r="B754" s="7">
        <v>29.0</v>
      </c>
      <c r="C754" s="7">
        <v>32.0</v>
      </c>
      <c r="D754" s="7" t="s">
        <v>3872</v>
      </c>
      <c r="E754" s="7"/>
      <c r="G754" s="5" t="str">
        <f t="shared" si="1"/>
        <v>29, 32, MAROWAK</v>
      </c>
      <c r="I754" s="5" t="s">
        <v>3045</v>
      </c>
    </row>
    <row r="755" ht="12.75" customHeight="1">
      <c r="A755" s="5" t="s">
        <v>3046</v>
      </c>
      <c r="B755" s="7">
        <v>28.0</v>
      </c>
      <c r="C755" s="7">
        <v>31.0</v>
      </c>
      <c r="D755" s="7" t="s">
        <v>3774</v>
      </c>
      <c r="E755" s="7"/>
      <c r="G755" s="5" t="str">
        <f t="shared" si="1"/>
        <v>28, 31, RATTCHET</v>
      </c>
      <c r="I755" s="5" t="s">
        <v>3046</v>
      </c>
    </row>
    <row r="756" ht="12.75" customHeight="1">
      <c r="A756" s="5">
        <v>0.01</v>
      </c>
      <c r="B756" s="5">
        <v>0.01</v>
      </c>
      <c r="C756" s="7"/>
      <c r="D756" s="7"/>
      <c r="E756" s="7"/>
      <c r="G756" s="5">
        <f t="shared" si="1"/>
        <v>0.01</v>
      </c>
      <c r="I756" s="5">
        <v>0.01</v>
      </c>
    </row>
    <row r="757" ht="12.75" customHeight="1">
      <c r="A757" s="5" t="s">
        <v>3057</v>
      </c>
      <c r="B757" s="7">
        <v>32.0</v>
      </c>
      <c r="C757" s="7">
        <v>33.0</v>
      </c>
      <c r="D757" s="7" t="s">
        <v>3873</v>
      </c>
      <c r="E757" s="7"/>
      <c r="G757" s="5" t="str">
        <f t="shared" si="1"/>
        <v>32, 33, GENGAR</v>
      </c>
      <c r="I757" s="5" t="s">
        <v>3057</v>
      </c>
    </row>
    <row r="758" ht="12.75" customHeight="1">
      <c r="A758" s="5" t="s">
        <v>3718</v>
      </c>
      <c r="B758" s="7">
        <v>32.0</v>
      </c>
      <c r="C758" s="7">
        <v>33.0</v>
      </c>
      <c r="D758" s="7" t="s">
        <v>3775</v>
      </c>
      <c r="E758" s="7"/>
      <c r="G758" s="5" t="str">
        <f t="shared" si="1"/>
        <v>32, 33, NINETALES</v>
      </c>
      <c r="I758" s="5" t="s">
        <v>3718</v>
      </c>
    </row>
    <row r="759" ht="12.75" customHeight="1">
      <c r="A759" s="5" t="s">
        <v>2539</v>
      </c>
      <c r="B759" s="7" t="s">
        <v>2539</v>
      </c>
      <c r="C759" s="7"/>
      <c r="D759" s="7"/>
      <c r="E759" s="7"/>
      <c r="G759" s="5" t="str">
        <f t="shared" si="1"/>
        <v>NEW ROUTE</v>
      </c>
      <c r="I759" s="5" t="s">
        <v>2539</v>
      </c>
    </row>
    <row r="760" ht="12.75" customHeight="1">
      <c r="A760" s="5" t="s">
        <v>1822</v>
      </c>
      <c r="B760" s="7" t="s">
        <v>1822</v>
      </c>
      <c r="C760" s="7"/>
      <c r="D760" s="7"/>
      <c r="E760" s="7"/>
      <c r="G760" s="5" t="str">
        <f t="shared" si="1"/>
        <v>Power Plant</v>
      </c>
      <c r="I760" s="5" t="s">
        <v>1822</v>
      </c>
    </row>
    <row r="761" ht="12.75" customHeight="1">
      <c r="A761" s="5">
        <v>0.2</v>
      </c>
      <c r="B761" s="5">
        <v>0.2</v>
      </c>
      <c r="C761" s="7"/>
      <c r="D761" s="7"/>
      <c r="E761" s="7"/>
      <c r="G761" s="5">
        <f t="shared" si="1"/>
        <v>0.2</v>
      </c>
      <c r="I761" s="5">
        <v>0.2</v>
      </c>
    </row>
    <row r="762" ht="12.75" customHeight="1">
      <c r="A762" s="5" t="s">
        <v>632</v>
      </c>
      <c r="B762" s="7">
        <v>39.0</v>
      </c>
      <c r="C762" s="7">
        <v>46.0</v>
      </c>
      <c r="D762" s="7" t="s">
        <v>3874</v>
      </c>
      <c r="E762" s="7"/>
      <c r="G762" s="5" t="str">
        <f t="shared" si="1"/>
        <v>39, 46, MAGNEMITE</v>
      </c>
      <c r="I762" s="5" t="s">
        <v>632</v>
      </c>
    </row>
    <row r="763" ht="12.75" customHeight="1">
      <c r="A763" s="5" t="s">
        <v>3059</v>
      </c>
      <c r="B763" s="7">
        <v>39.0</v>
      </c>
      <c r="C763" s="7">
        <v>46.0</v>
      </c>
      <c r="D763" s="7" t="s">
        <v>3735</v>
      </c>
      <c r="E763" s="7"/>
      <c r="G763" s="5" t="str">
        <f t="shared" si="1"/>
        <v>39, 46, PIKACHU</v>
      </c>
      <c r="I763" s="5" t="s">
        <v>3059</v>
      </c>
    </row>
    <row r="764" ht="12.75" customHeight="1">
      <c r="A764" s="5">
        <v>0.1</v>
      </c>
      <c r="B764" s="5">
        <v>0.1</v>
      </c>
      <c r="C764" s="7"/>
      <c r="D764" s="7"/>
      <c r="E764" s="7"/>
      <c r="G764" s="5">
        <f t="shared" si="1"/>
        <v>0.1</v>
      </c>
      <c r="I764" s="5">
        <v>0.1</v>
      </c>
    </row>
    <row r="765" ht="12.75" customHeight="1">
      <c r="A765" s="5" t="s">
        <v>3060</v>
      </c>
      <c r="B765" s="7">
        <v>41.0</v>
      </c>
      <c r="C765" s="7">
        <v>48.0</v>
      </c>
      <c r="D765" s="7" t="s">
        <v>3875</v>
      </c>
      <c r="E765" s="7"/>
      <c r="G765" s="5" t="str">
        <f t="shared" si="1"/>
        <v>41, 48, VOLTORB</v>
      </c>
      <c r="I765" s="5" t="s">
        <v>3060</v>
      </c>
    </row>
    <row r="766" ht="12.75" customHeight="1">
      <c r="A766" s="5" t="s">
        <v>3061</v>
      </c>
      <c r="B766" s="7">
        <v>41.0</v>
      </c>
      <c r="C766" s="7">
        <v>46.0</v>
      </c>
      <c r="D766" s="7" t="s">
        <v>3818</v>
      </c>
      <c r="E766" s="7"/>
      <c r="G766" s="5" t="str">
        <f t="shared" si="1"/>
        <v>41, 46, ELECTABUZZ</v>
      </c>
      <c r="I766" s="5" t="s">
        <v>3061</v>
      </c>
    </row>
    <row r="767" ht="12.75" customHeight="1">
      <c r="A767" s="5" t="s">
        <v>3062</v>
      </c>
      <c r="B767" s="7">
        <v>41.0</v>
      </c>
      <c r="C767" s="7">
        <v>48.0</v>
      </c>
      <c r="D767" s="7" t="s">
        <v>3876</v>
      </c>
      <c r="E767" s="7"/>
      <c r="G767" s="5" t="str">
        <f t="shared" si="1"/>
        <v>41, 48, PORYGON</v>
      </c>
      <c r="I767" s="5" t="s">
        <v>3062</v>
      </c>
    </row>
    <row r="768" ht="12.75" customHeight="1">
      <c r="A768" s="5" t="s">
        <v>3063</v>
      </c>
      <c r="B768" s="7">
        <v>41.0</v>
      </c>
      <c r="C768" s="7">
        <v>48.0</v>
      </c>
      <c r="D768" s="7" t="s">
        <v>3877</v>
      </c>
      <c r="E768" s="7"/>
      <c r="G768" s="5" t="str">
        <f t="shared" si="1"/>
        <v>41, 48, MAGNETON</v>
      </c>
      <c r="I768" s="5" t="s">
        <v>3063</v>
      </c>
    </row>
    <row r="769" ht="12.75" customHeight="1">
      <c r="A769" s="5">
        <v>0.05</v>
      </c>
      <c r="B769" s="5">
        <v>0.05</v>
      </c>
      <c r="C769" s="7"/>
      <c r="D769" s="7"/>
      <c r="E769" s="7"/>
      <c r="G769" s="5">
        <f t="shared" si="1"/>
        <v>0.05</v>
      </c>
      <c r="I769" s="5">
        <v>0.05</v>
      </c>
    </row>
    <row r="770" ht="12.75" customHeight="1">
      <c r="A770" s="5" t="s">
        <v>3064</v>
      </c>
      <c r="B770" s="7">
        <v>43.0</v>
      </c>
      <c r="C770" s="7">
        <v>50.0</v>
      </c>
      <c r="D770" s="7" t="s">
        <v>3878</v>
      </c>
      <c r="E770" s="7"/>
      <c r="G770" s="5" t="str">
        <f t="shared" si="1"/>
        <v>43, 50, PORYGON2</v>
      </c>
      <c r="I770" s="5" t="s">
        <v>3064</v>
      </c>
    </row>
    <row r="771" ht="12.75" customHeight="1">
      <c r="A771" s="5" t="s">
        <v>3065</v>
      </c>
      <c r="B771" s="7">
        <v>43.0</v>
      </c>
      <c r="C771" s="7">
        <v>50.0</v>
      </c>
      <c r="D771" s="7" t="s">
        <v>3879</v>
      </c>
      <c r="E771" s="7"/>
      <c r="G771" s="5" t="str">
        <f t="shared" si="1"/>
        <v>43, 50, ELECTRODE</v>
      </c>
      <c r="I771" s="5" t="s">
        <v>3065</v>
      </c>
    </row>
    <row r="772" ht="12.75" customHeight="1">
      <c r="A772" s="5">
        <v>0.04</v>
      </c>
      <c r="B772" s="5">
        <v>0.04</v>
      </c>
      <c r="C772" s="7"/>
      <c r="D772" s="7"/>
      <c r="E772" s="7"/>
      <c r="G772" s="5">
        <f t="shared" si="1"/>
        <v>0.04</v>
      </c>
      <c r="I772" s="5">
        <v>0.04</v>
      </c>
    </row>
    <row r="773" ht="12.75" customHeight="1">
      <c r="A773" s="5" t="s">
        <v>3066</v>
      </c>
      <c r="B773" s="7">
        <v>43.0</v>
      </c>
      <c r="C773" s="7">
        <v>50.0</v>
      </c>
      <c r="D773" s="7" t="s">
        <v>3797</v>
      </c>
      <c r="E773" s="7"/>
      <c r="G773" s="5" t="str">
        <f t="shared" si="1"/>
        <v>43, 50, JOLTEON</v>
      </c>
      <c r="I773" s="5" t="s">
        <v>3066</v>
      </c>
    </row>
    <row r="774" ht="12.75" customHeight="1">
      <c r="A774" s="5" t="s">
        <v>3067</v>
      </c>
      <c r="B774" s="7">
        <v>43.0</v>
      </c>
      <c r="C774" s="7">
        <v>50.0</v>
      </c>
      <c r="D774" s="7" t="s">
        <v>3880</v>
      </c>
      <c r="E774" s="7"/>
      <c r="G774" s="5" t="str">
        <f t="shared" si="1"/>
        <v>43, 50, RAICHU</v>
      </c>
      <c r="I774" s="5" t="s">
        <v>3067</v>
      </c>
    </row>
    <row r="775" ht="12.75" customHeight="1">
      <c r="A775" s="5">
        <v>0.01</v>
      </c>
      <c r="B775" s="5">
        <v>0.01</v>
      </c>
      <c r="C775" s="7"/>
      <c r="D775" s="7"/>
      <c r="E775" s="7"/>
      <c r="G775" s="5">
        <f t="shared" si="1"/>
        <v>0.01</v>
      </c>
      <c r="I775" s="5">
        <v>0.01</v>
      </c>
    </row>
    <row r="776" ht="12.75" customHeight="1">
      <c r="A776" s="5" t="s">
        <v>3068</v>
      </c>
      <c r="B776" s="7">
        <v>45.0</v>
      </c>
      <c r="C776" s="7">
        <v>52.0</v>
      </c>
      <c r="D776" s="7" t="s">
        <v>3822</v>
      </c>
      <c r="E776" s="7"/>
      <c r="G776" s="5" t="str">
        <f t="shared" si="1"/>
        <v>45, 52, ELECTIVIRE</v>
      </c>
      <c r="I776" s="5" t="s">
        <v>3068</v>
      </c>
    </row>
    <row r="777" ht="12.75" customHeight="1">
      <c r="A777" s="5" t="s">
        <v>3719</v>
      </c>
      <c r="B777" s="7">
        <v>45.0</v>
      </c>
      <c r="C777" s="7">
        <v>50.0</v>
      </c>
      <c r="D777" s="7" t="s">
        <v>3881</v>
      </c>
      <c r="E777" s="7"/>
      <c r="G777" s="5" t="str">
        <f t="shared" si="1"/>
        <v>45, 50, MAGNEZONE</v>
      </c>
      <c r="I777" s="5" t="s">
        <v>3719</v>
      </c>
    </row>
    <row r="778" ht="12.75" customHeight="1">
      <c r="A778" s="5" t="s">
        <v>2539</v>
      </c>
      <c r="B778" s="7" t="s">
        <v>2539</v>
      </c>
      <c r="C778" s="7"/>
      <c r="D778" s="7"/>
      <c r="E778" s="7"/>
      <c r="G778" s="5" t="str">
        <f t="shared" si="1"/>
        <v>NEW ROUTE</v>
      </c>
      <c r="I778" s="5" t="s">
        <v>2539</v>
      </c>
    </row>
    <row r="779" ht="12.75" customHeight="1">
      <c r="A779" s="5" t="s">
        <v>1829</v>
      </c>
      <c r="B779" s="7" t="s">
        <v>1829</v>
      </c>
      <c r="C779" s="7"/>
      <c r="D779" s="7"/>
      <c r="E779" s="7"/>
      <c r="G779" s="5" t="str">
        <f t="shared" si="1"/>
        <v>Mt. Ember Exterior</v>
      </c>
      <c r="I779" s="5" t="s">
        <v>1829</v>
      </c>
    </row>
    <row r="780" ht="12.75" customHeight="1">
      <c r="A780" s="5">
        <v>0.2</v>
      </c>
      <c r="B780" s="5">
        <v>0.2</v>
      </c>
      <c r="C780" s="7"/>
      <c r="D780" s="7"/>
      <c r="E780" s="7"/>
      <c r="G780" s="5">
        <f t="shared" si="1"/>
        <v>0.2</v>
      </c>
      <c r="I780" s="5">
        <v>0.2</v>
      </c>
    </row>
    <row r="781" ht="12.75" customHeight="1">
      <c r="A781" s="5" t="s">
        <v>645</v>
      </c>
      <c r="B781" s="7">
        <v>30.0</v>
      </c>
      <c r="C781" s="7">
        <v>30.0</v>
      </c>
      <c r="D781" s="7" t="s">
        <v>3882</v>
      </c>
      <c r="E781" s="7"/>
      <c r="G781" s="5" t="str">
        <f t="shared" si="1"/>
        <v>30, 30, PONYTA</v>
      </c>
      <c r="I781" s="5" t="s">
        <v>645</v>
      </c>
    </row>
    <row r="782" ht="12.75" customHeight="1">
      <c r="A782" s="5" t="s">
        <v>3071</v>
      </c>
      <c r="B782" s="7">
        <v>38.0</v>
      </c>
      <c r="C782" s="7">
        <v>38.0</v>
      </c>
      <c r="D782" s="7" t="s">
        <v>3883</v>
      </c>
      <c r="E782" s="7"/>
      <c r="G782" s="5" t="str">
        <f t="shared" si="1"/>
        <v>38, 38, FEAROW</v>
      </c>
      <c r="I782" s="5" t="s">
        <v>3071</v>
      </c>
    </row>
    <row r="783" ht="12.75" customHeight="1">
      <c r="A783" s="5">
        <v>0.1</v>
      </c>
      <c r="B783" s="5">
        <v>0.1</v>
      </c>
      <c r="C783" s="7"/>
      <c r="D783" s="7"/>
      <c r="E783" s="7"/>
      <c r="G783" s="5">
        <f t="shared" si="1"/>
        <v>0.1</v>
      </c>
      <c r="I783" s="5">
        <v>0.1</v>
      </c>
    </row>
    <row r="784" ht="12.75" customHeight="1">
      <c r="A784" s="5" t="s">
        <v>3072</v>
      </c>
      <c r="B784" s="7">
        <v>33.0</v>
      </c>
      <c r="C784" s="7">
        <v>33.0</v>
      </c>
      <c r="D784" s="7" t="s">
        <v>3882</v>
      </c>
      <c r="E784" s="7"/>
      <c r="G784" s="5" t="str">
        <f t="shared" si="1"/>
        <v>33, 33, PONYTA</v>
      </c>
      <c r="I784" s="5" t="s">
        <v>3072</v>
      </c>
    </row>
    <row r="785" ht="12.75" customHeight="1">
      <c r="A785" s="5" t="s">
        <v>817</v>
      </c>
      <c r="B785" s="7">
        <v>32.0</v>
      </c>
      <c r="C785" s="7">
        <v>32.0</v>
      </c>
      <c r="D785" s="7" t="s">
        <v>3884</v>
      </c>
      <c r="E785" s="7"/>
      <c r="G785" s="5" t="str">
        <f t="shared" si="1"/>
        <v>32, 32, SPEAROW</v>
      </c>
      <c r="I785" s="5" t="s">
        <v>817</v>
      </c>
    </row>
    <row r="786" ht="12.75" customHeight="1">
      <c r="A786" s="5" t="s">
        <v>3073</v>
      </c>
      <c r="B786" s="7">
        <v>35.0</v>
      </c>
      <c r="C786" s="7">
        <v>35.0</v>
      </c>
      <c r="D786" s="7" t="s">
        <v>3851</v>
      </c>
      <c r="E786" s="7"/>
      <c r="G786" s="5" t="str">
        <f t="shared" si="1"/>
        <v>35, 35, MACHOP</v>
      </c>
      <c r="I786" s="5" t="s">
        <v>3073</v>
      </c>
    </row>
    <row r="787" ht="12.75" customHeight="1">
      <c r="A787" s="5" t="s">
        <v>658</v>
      </c>
      <c r="B787" s="7">
        <v>33.0</v>
      </c>
      <c r="C787" s="7">
        <v>33.0</v>
      </c>
      <c r="D787" s="7" t="s">
        <v>3741</v>
      </c>
      <c r="E787" s="7"/>
      <c r="G787" s="5" t="str">
        <f t="shared" si="1"/>
        <v>33, 33, GEODUDE</v>
      </c>
      <c r="I787" s="5" t="s">
        <v>658</v>
      </c>
    </row>
    <row r="788" ht="12.75" customHeight="1">
      <c r="A788" s="5">
        <v>0.05</v>
      </c>
      <c r="B788" s="5">
        <v>0.05</v>
      </c>
      <c r="C788" s="7"/>
      <c r="D788" s="7"/>
      <c r="E788" s="7"/>
      <c r="G788" s="5">
        <f t="shared" si="1"/>
        <v>0.05</v>
      </c>
      <c r="I788" s="5">
        <v>0.05</v>
      </c>
    </row>
    <row r="789" ht="12.75" customHeight="1">
      <c r="A789" s="5" t="s">
        <v>3074</v>
      </c>
      <c r="B789" s="7">
        <v>36.0</v>
      </c>
      <c r="C789" s="7">
        <v>36.0</v>
      </c>
      <c r="D789" s="7" t="s">
        <v>3882</v>
      </c>
      <c r="E789" s="7"/>
      <c r="G789" s="5" t="str">
        <f t="shared" si="1"/>
        <v>36, 36, PONYTA</v>
      </c>
      <c r="I789" s="5" t="s">
        <v>3074</v>
      </c>
    </row>
    <row r="790" ht="12.75" customHeight="1">
      <c r="A790" s="5" t="s">
        <v>3075</v>
      </c>
      <c r="B790" s="7">
        <v>40.0</v>
      </c>
      <c r="C790" s="7">
        <v>40.0</v>
      </c>
      <c r="D790" s="7" t="s">
        <v>3883</v>
      </c>
      <c r="E790" s="7"/>
      <c r="G790" s="5" t="str">
        <f t="shared" si="1"/>
        <v>40, 40, FEAROW</v>
      </c>
      <c r="I790" s="5" t="s">
        <v>3075</v>
      </c>
    </row>
    <row r="791" ht="12.75" customHeight="1">
      <c r="A791" s="5">
        <v>0.04</v>
      </c>
      <c r="B791" s="5">
        <v>0.04</v>
      </c>
      <c r="C791" s="7"/>
      <c r="D791" s="7"/>
      <c r="E791" s="7"/>
      <c r="G791" s="5">
        <f t="shared" si="1"/>
        <v>0.04</v>
      </c>
      <c r="I791" s="5">
        <v>0.04</v>
      </c>
    </row>
    <row r="792" ht="12.75" customHeight="1">
      <c r="A792" s="5" t="s">
        <v>3076</v>
      </c>
      <c r="B792" s="7">
        <v>38.0</v>
      </c>
      <c r="C792" s="7">
        <v>38.0</v>
      </c>
      <c r="D792" s="7" t="s">
        <v>3812</v>
      </c>
      <c r="E792" s="7"/>
      <c r="G792" s="5" t="str">
        <f t="shared" si="1"/>
        <v>38, 38, MAGMAR</v>
      </c>
      <c r="I792" s="5" t="s">
        <v>3076</v>
      </c>
    </row>
    <row r="793" ht="12.75" customHeight="1">
      <c r="A793" s="5" t="s">
        <v>3077</v>
      </c>
      <c r="B793" s="7">
        <v>39.0</v>
      </c>
      <c r="C793" s="7">
        <v>39.0</v>
      </c>
      <c r="D793" s="7" t="s">
        <v>3823</v>
      </c>
      <c r="E793" s="7"/>
      <c r="G793" s="5" t="str">
        <f t="shared" si="1"/>
        <v>39, 39, RAPIDASH</v>
      </c>
      <c r="I793" s="5" t="s">
        <v>3077</v>
      </c>
    </row>
    <row r="794" ht="12.75" customHeight="1">
      <c r="A794" s="5">
        <v>0.01</v>
      </c>
      <c r="B794" s="5">
        <v>0.01</v>
      </c>
      <c r="C794" s="7"/>
      <c r="D794" s="7"/>
      <c r="E794" s="7"/>
      <c r="G794" s="5">
        <f t="shared" si="1"/>
        <v>0.01</v>
      </c>
      <c r="I794" s="5">
        <v>0.01</v>
      </c>
    </row>
    <row r="795" ht="12.75" customHeight="1">
      <c r="A795" s="5" t="s">
        <v>3078</v>
      </c>
      <c r="B795" s="7">
        <v>40.0</v>
      </c>
      <c r="C795" s="7">
        <v>40.0</v>
      </c>
      <c r="D795" s="7" t="s">
        <v>3812</v>
      </c>
      <c r="E795" s="7"/>
      <c r="G795" s="5" t="str">
        <f t="shared" si="1"/>
        <v>40, 40, MAGMAR</v>
      </c>
      <c r="I795" s="5" t="s">
        <v>3078</v>
      </c>
    </row>
    <row r="796" ht="12.75" customHeight="1">
      <c r="A796" s="5" t="s">
        <v>3079</v>
      </c>
      <c r="B796" s="7">
        <v>42.0</v>
      </c>
      <c r="C796" s="7">
        <v>42.0</v>
      </c>
      <c r="D796" s="7" t="s">
        <v>3823</v>
      </c>
      <c r="E796" s="7"/>
      <c r="G796" s="5" t="str">
        <f t="shared" si="1"/>
        <v>42, 42, RAPIDASH</v>
      </c>
      <c r="I796" s="5" t="s">
        <v>3079</v>
      </c>
    </row>
    <row r="797" ht="12.75" customHeight="1">
      <c r="A797" s="5" t="s">
        <v>3000</v>
      </c>
      <c r="B797" s="7">
        <v>50.0</v>
      </c>
      <c r="C797" s="7">
        <v>5.0</v>
      </c>
      <c r="D797" s="7">
        <v>20.0</v>
      </c>
      <c r="E797" s="7" t="s">
        <v>3741</v>
      </c>
      <c r="G797" s="5" t="str">
        <f t="shared" si="1"/>
        <v>50, 5, 20, GEODUDE</v>
      </c>
      <c r="I797" s="5" t="s">
        <v>3000</v>
      </c>
    </row>
    <row r="798" ht="12.75" customHeight="1">
      <c r="A798" s="5" t="s">
        <v>3001</v>
      </c>
      <c r="B798" s="7">
        <v>10.0</v>
      </c>
      <c r="C798" s="7">
        <v>20.0</v>
      </c>
      <c r="D798" s="7" t="s">
        <v>3741</v>
      </c>
      <c r="E798" s="7"/>
      <c r="G798" s="5" t="str">
        <f t="shared" si="1"/>
        <v>10, 20, GEODUDE</v>
      </c>
      <c r="I798" s="5" t="s">
        <v>3001</v>
      </c>
    </row>
    <row r="799" ht="12.75" customHeight="1">
      <c r="A799" s="5" t="s">
        <v>3002</v>
      </c>
      <c r="B799" s="7">
        <v>15.0</v>
      </c>
      <c r="C799" s="7">
        <v>30.0</v>
      </c>
      <c r="D799" s="7" t="s">
        <v>3741</v>
      </c>
      <c r="E799" s="7"/>
      <c r="G799" s="5" t="str">
        <f t="shared" si="1"/>
        <v>15, 30, GEODUDE</v>
      </c>
      <c r="I799" s="5" t="s">
        <v>3002</v>
      </c>
    </row>
    <row r="800" ht="12.75" customHeight="1">
      <c r="A800" s="5" t="s">
        <v>3003</v>
      </c>
      <c r="B800" s="7">
        <v>25.0</v>
      </c>
      <c r="C800" s="7">
        <v>40.0</v>
      </c>
      <c r="D800" s="7" t="s">
        <v>3747</v>
      </c>
      <c r="E800" s="7"/>
      <c r="G800" s="5" t="str">
        <f t="shared" si="1"/>
        <v>25, 40, GRAVELER</v>
      </c>
      <c r="I800" s="5" t="s">
        <v>3003</v>
      </c>
    </row>
    <row r="801" ht="12.75" customHeight="1">
      <c r="A801" s="5" t="s">
        <v>3234</v>
      </c>
      <c r="B801" s="7">
        <v>30.0</v>
      </c>
      <c r="C801" s="7">
        <v>40.0</v>
      </c>
      <c r="D801" s="7" t="s">
        <v>3747</v>
      </c>
      <c r="E801" s="7"/>
      <c r="G801" s="5" t="str">
        <f t="shared" si="1"/>
        <v>30, 40, GRAVELER</v>
      </c>
      <c r="I801" s="5" t="s">
        <v>3234</v>
      </c>
    </row>
    <row r="802" ht="12.75" customHeight="1">
      <c r="A802" s="5" t="s">
        <v>2539</v>
      </c>
      <c r="B802" s="7" t="s">
        <v>2539</v>
      </c>
      <c r="C802" s="7"/>
      <c r="D802" s="7"/>
      <c r="E802" s="7"/>
      <c r="G802" s="5" t="str">
        <f t="shared" si="1"/>
        <v>NEW ROUTE</v>
      </c>
      <c r="I802" s="5" t="s">
        <v>2539</v>
      </c>
    </row>
    <row r="803" ht="12.75" customHeight="1">
      <c r="A803" s="5" t="s">
        <v>1833</v>
      </c>
      <c r="B803" s="7" t="s">
        <v>1833</v>
      </c>
      <c r="C803" s="7"/>
      <c r="D803" s="7"/>
      <c r="E803" s="7"/>
      <c r="G803" s="5" t="str">
        <f t="shared" si="1"/>
        <v>Mt. Ember Summit Path 1F</v>
      </c>
      <c r="I803" s="5" t="s">
        <v>1833</v>
      </c>
    </row>
    <row r="804" ht="12.75" customHeight="1">
      <c r="A804" s="5">
        <v>0.2</v>
      </c>
      <c r="B804" s="5">
        <v>0.2</v>
      </c>
      <c r="C804" s="7"/>
      <c r="D804" s="7"/>
      <c r="E804" s="7"/>
      <c r="G804" s="5">
        <f t="shared" si="1"/>
        <v>0.2</v>
      </c>
      <c r="I804" s="5">
        <v>0.2</v>
      </c>
    </row>
    <row r="805" ht="12.75" customHeight="1">
      <c r="A805" s="5" t="s">
        <v>658</v>
      </c>
      <c r="B805" s="7">
        <v>33.0</v>
      </c>
      <c r="C805" s="7">
        <v>33.0</v>
      </c>
      <c r="D805" s="7" t="s">
        <v>3741</v>
      </c>
      <c r="E805" s="7"/>
      <c r="G805" s="5" t="str">
        <f t="shared" si="1"/>
        <v>33, 33, GEODUDE</v>
      </c>
      <c r="I805" s="5" t="s">
        <v>658</v>
      </c>
    </row>
    <row r="806" ht="12.75" customHeight="1">
      <c r="A806" s="5" t="s">
        <v>3073</v>
      </c>
      <c r="B806" s="7">
        <v>35.0</v>
      </c>
      <c r="C806" s="7">
        <v>35.0</v>
      </c>
      <c r="D806" s="7" t="s">
        <v>3851</v>
      </c>
      <c r="E806" s="7"/>
      <c r="G806" s="5" t="str">
        <f t="shared" si="1"/>
        <v>35, 35, MACHOP</v>
      </c>
      <c r="I806" s="5" t="s">
        <v>3073</v>
      </c>
    </row>
    <row r="807" ht="12.75" customHeight="1">
      <c r="A807" s="5">
        <v>0.1</v>
      </c>
      <c r="B807" s="5">
        <v>0.1</v>
      </c>
      <c r="C807" s="7"/>
      <c r="D807" s="7"/>
      <c r="E807" s="7"/>
      <c r="G807" s="5">
        <f t="shared" si="1"/>
        <v>0.1</v>
      </c>
      <c r="I807" s="5">
        <v>0.1</v>
      </c>
    </row>
    <row r="808" ht="12.75" customHeight="1">
      <c r="A808" s="5" t="s">
        <v>3081</v>
      </c>
      <c r="B808" s="7">
        <v>29.0</v>
      </c>
      <c r="C808" s="7">
        <v>29.0</v>
      </c>
      <c r="D808" s="7" t="s">
        <v>3741</v>
      </c>
      <c r="E808" s="7"/>
      <c r="G808" s="5" t="str">
        <f t="shared" si="1"/>
        <v>29, 29, GEODUDE</v>
      </c>
      <c r="I808" s="5" t="s">
        <v>3081</v>
      </c>
    </row>
    <row r="809" ht="12.75" customHeight="1">
      <c r="A809" s="5" t="s">
        <v>3082</v>
      </c>
      <c r="B809" s="7">
        <v>31.0</v>
      </c>
      <c r="C809" s="7">
        <v>31.0</v>
      </c>
      <c r="D809" s="7" t="s">
        <v>3741</v>
      </c>
      <c r="E809" s="7"/>
      <c r="G809" s="5" t="str">
        <f t="shared" si="1"/>
        <v>31, 31, GEODUDE</v>
      </c>
      <c r="I809" s="5" t="s">
        <v>3082</v>
      </c>
    </row>
    <row r="810" ht="12.75" customHeight="1">
      <c r="A810" s="5" t="s">
        <v>3083</v>
      </c>
      <c r="B810" s="7">
        <v>31.0</v>
      </c>
      <c r="C810" s="7">
        <v>31.0</v>
      </c>
      <c r="D810" s="7" t="s">
        <v>3851</v>
      </c>
      <c r="E810" s="7"/>
      <c r="G810" s="5" t="str">
        <f t="shared" si="1"/>
        <v>31, 31, MACHOP</v>
      </c>
      <c r="I810" s="5" t="s">
        <v>3083</v>
      </c>
    </row>
    <row r="811" ht="12.75" customHeight="1">
      <c r="A811" s="5" t="s">
        <v>3084</v>
      </c>
      <c r="B811" s="7">
        <v>33.0</v>
      </c>
      <c r="C811" s="7">
        <v>33.0</v>
      </c>
      <c r="D811" s="7" t="s">
        <v>3851</v>
      </c>
      <c r="E811" s="7"/>
      <c r="G811" s="5" t="str">
        <f t="shared" si="1"/>
        <v>33, 33, MACHOP</v>
      </c>
      <c r="I811" s="5" t="s">
        <v>3084</v>
      </c>
    </row>
    <row r="812" ht="12.75" customHeight="1">
      <c r="A812" s="5">
        <v>0.05</v>
      </c>
      <c r="B812" s="5">
        <v>0.05</v>
      </c>
      <c r="C812" s="7"/>
      <c r="D812" s="7"/>
      <c r="E812" s="7"/>
      <c r="G812" s="5">
        <f t="shared" si="1"/>
        <v>0.05</v>
      </c>
      <c r="I812" s="5">
        <v>0.05</v>
      </c>
    </row>
    <row r="813" ht="12.75" customHeight="1">
      <c r="A813" s="5" t="s">
        <v>3085</v>
      </c>
      <c r="B813" s="7">
        <v>35.0</v>
      </c>
      <c r="C813" s="7">
        <v>35.0</v>
      </c>
      <c r="D813" s="7" t="s">
        <v>3741</v>
      </c>
      <c r="E813" s="7"/>
      <c r="G813" s="5" t="str">
        <f t="shared" si="1"/>
        <v>35, 35, GEODUDE</v>
      </c>
      <c r="I813" s="5" t="s">
        <v>3085</v>
      </c>
    </row>
    <row r="814" ht="12.75" customHeight="1">
      <c r="A814" s="5" t="s">
        <v>3086</v>
      </c>
      <c r="B814" s="7">
        <v>37.0</v>
      </c>
      <c r="C814" s="7">
        <v>37.0</v>
      </c>
      <c r="D814" s="7" t="s">
        <v>3851</v>
      </c>
      <c r="E814" s="7"/>
      <c r="G814" s="5" t="str">
        <f t="shared" si="1"/>
        <v>37, 37, MACHOP</v>
      </c>
      <c r="I814" s="5" t="s">
        <v>3086</v>
      </c>
    </row>
    <row r="815" ht="12.75" customHeight="1">
      <c r="A815" s="5">
        <v>0.04</v>
      </c>
      <c r="B815" s="5">
        <v>0.04</v>
      </c>
      <c r="C815" s="7"/>
      <c r="D815" s="7"/>
      <c r="E815" s="7"/>
      <c r="G815" s="5">
        <f t="shared" si="1"/>
        <v>0.04</v>
      </c>
      <c r="I815" s="5">
        <v>0.04</v>
      </c>
    </row>
    <row r="816" ht="12.75" customHeight="1">
      <c r="A816" s="5" t="s">
        <v>3087</v>
      </c>
      <c r="B816" s="7">
        <v>37.0</v>
      </c>
      <c r="C816" s="7">
        <v>37.0</v>
      </c>
      <c r="D816" s="7" t="s">
        <v>3741</v>
      </c>
      <c r="E816" s="7"/>
      <c r="G816" s="5" t="str">
        <f t="shared" si="1"/>
        <v>37, 37, GEODUDE</v>
      </c>
      <c r="I816" s="5" t="s">
        <v>3087</v>
      </c>
    </row>
    <row r="817" ht="12.75" customHeight="1">
      <c r="A817" s="5" t="s">
        <v>3088</v>
      </c>
      <c r="B817" s="7">
        <v>39.0</v>
      </c>
      <c r="C817" s="7">
        <v>39.0</v>
      </c>
      <c r="D817" s="7" t="s">
        <v>3851</v>
      </c>
      <c r="E817" s="7"/>
      <c r="G817" s="5" t="str">
        <f t="shared" si="1"/>
        <v>39, 39, MACHOP</v>
      </c>
      <c r="I817" s="5" t="s">
        <v>3088</v>
      </c>
    </row>
    <row r="818" ht="12.75" customHeight="1">
      <c r="A818" s="5">
        <v>0.01</v>
      </c>
      <c r="B818" s="5">
        <v>0.01</v>
      </c>
      <c r="C818" s="7"/>
      <c r="D818" s="7"/>
      <c r="E818" s="7"/>
      <c r="G818" s="5">
        <f t="shared" si="1"/>
        <v>0.01</v>
      </c>
      <c r="I818" s="5">
        <v>0.01</v>
      </c>
    </row>
    <row r="819" ht="12.75" customHeight="1">
      <c r="A819" s="5" t="s">
        <v>3087</v>
      </c>
      <c r="B819" s="7">
        <v>37.0</v>
      </c>
      <c r="C819" s="7">
        <v>37.0</v>
      </c>
      <c r="D819" s="7" t="s">
        <v>3741</v>
      </c>
      <c r="E819" s="7"/>
      <c r="G819" s="5" t="str">
        <f t="shared" si="1"/>
        <v>37, 37, GEODUDE</v>
      </c>
      <c r="I819" s="5" t="s">
        <v>3087</v>
      </c>
    </row>
    <row r="820" ht="12.75" customHeight="1">
      <c r="A820" s="5" t="s">
        <v>3088</v>
      </c>
      <c r="B820" s="7">
        <v>39.0</v>
      </c>
      <c r="C820" s="7">
        <v>39.0</v>
      </c>
      <c r="D820" s="7" t="s">
        <v>3851</v>
      </c>
      <c r="E820" s="7"/>
      <c r="G820" s="5" t="str">
        <f t="shared" si="1"/>
        <v>39, 39, MACHOP</v>
      </c>
      <c r="I820" s="5" t="s">
        <v>3088</v>
      </c>
    </row>
    <row r="821" ht="12.75" customHeight="1">
      <c r="A821" s="5" t="s">
        <v>2539</v>
      </c>
      <c r="B821" s="7" t="s">
        <v>2539</v>
      </c>
      <c r="C821" s="7"/>
      <c r="D821" s="7"/>
      <c r="E821" s="7"/>
      <c r="G821" s="5" t="str">
        <f t="shared" si="1"/>
        <v>NEW ROUTE</v>
      </c>
      <c r="I821" s="5" t="s">
        <v>2539</v>
      </c>
    </row>
    <row r="822" ht="12.75" customHeight="1">
      <c r="A822" s="5" t="s">
        <v>1837</v>
      </c>
      <c r="B822" s="7" t="s">
        <v>1837</v>
      </c>
      <c r="C822" s="7"/>
      <c r="D822" s="7"/>
      <c r="E822" s="7"/>
      <c r="G822" s="5" t="str">
        <f t="shared" si="1"/>
        <v>Mt. Ember Summit Path 2F</v>
      </c>
      <c r="I822" s="5" t="s">
        <v>1837</v>
      </c>
    </row>
    <row r="823" ht="12.75" customHeight="1">
      <c r="A823" s="5">
        <v>0.2</v>
      </c>
      <c r="B823" s="5">
        <v>0.2</v>
      </c>
      <c r="C823" s="7"/>
      <c r="D823" s="7"/>
      <c r="E823" s="7"/>
      <c r="G823" s="5">
        <f t="shared" si="1"/>
        <v>0.2</v>
      </c>
      <c r="I823" s="5">
        <v>0.2</v>
      </c>
    </row>
    <row r="824" ht="12.75" customHeight="1">
      <c r="A824" s="5" t="s">
        <v>669</v>
      </c>
      <c r="B824" s="7">
        <v>34.0</v>
      </c>
      <c r="C824" s="7">
        <v>34.0</v>
      </c>
      <c r="D824" s="7" t="s">
        <v>3741</v>
      </c>
      <c r="E824" s="7"/>
      <c r="G824" s="5" t="str">
        <f t="shared" si="1"/>
        <v>34, 34, GEODUDE</v>
      </c>
      <c r="I824" s="5" t="s">
        <v>669</v>
      </c>
    </row>
    <row r="825" ht="12.75" customHeight="1">
      <c r="A825" s="5" t="s">
        <v>3091</v>
      </c>
      <c r="B825" s="7">
        <v>36.0</v>
      </c>
      <c r="C825" s="7">
        <v>36.0</v>
      </c>
      <c r="D825" s="7" t="s">
        <v>3851</v>
      </c>
      <c r="E825" s="7"/>
      <c r="G825" s="5" t="str">
        <f t="shared" si="1"/>
        <v>36, 36, MACHOP</v>
      </c>
      <c r="I825" s="5" t="s">
        <v>3091</v>
      </c>
    </row>
    <row r="826" ht="12.75" customHeight="1">
      <c r="A826" s="5">
        <v>0.1</v>
      </c>
      <c r="B826" s="5">
        <v>0.1</v>
      </c>
      <c r="C826" s="7"/>
      <c r="D826" s="7"/>
      <c r="E826" s="7"/>
      <c r="G826" s="5">
        <f t="shared" si="1"/>
        <v>0.1</v>
      </c>
      <c r="I826" s="5">
        <v>0.1</v>
      </c>
    </row>
    <row r="827" ht="12.75" customHeight="1">
      <c r="A827" s="5" t="s">
        <v>3092</v>
      </c>
      <c r="B827" s="7">
        <v>30.0</v>
      </c>
      <c r="C827" s="7">
        <v>30.0</v>
      </c>
      <c r="D827" s="7" t="s">
        <v>3741</v>
      </c>
      <c r="E827" s="7"/>
      <c r="G827" s="5" t="str">
        <f t="shared" si="1"/>
        <v>30, 30, GEODUDE</v>
      </c>
      <c r="I827" s="5" t="s">
        <v>3092</v>
      </c>
    </row>
    <row r="828" ht="12.75" customHeight="1">
      <c r="A828" s="5" t="s">
        <v>3093</v>
      </c>
      <c r="B828" s="7">
        <v>32.0</v>
      </c>
      <c r="C828" s="7">
        <v>32.0</v>
      </c>
      <c r="D828" s="7" t="s">
        <v>3741</v>
      </c>
      <c r="E828" s="7"/>
      <c r="G828" s="5" t="str">
        <f t="shared" si="1"/>
        <v>32, 32, GEODUDE</v>
      </c>
      <c r="I828" s="5" t="s">
        <v>3093</v>
      </c>
    </row>
    <row r="829" ht="12.75" customHeight="1">
      <c r="A829" s="5" t="s">
        <v>3094</v>
      </c>
      <c r="B829" s="7">
        <v>32.0</v>
      </c>
      <c r="C829" s="7">
        <v>32.0</v>
      </c>
      <c r="D829" s="7" t="s">
        <v>3851</v>
      </c>
      <c r="E829" s="7"/>
      <c r="G829" s="5" t="str">
        <f t="shared" si="1"/>
        <v>32, 32, MACHOP</v>
      </c>
      <c r="I829" s="5" t="s">
        <v>3094</v>
      </c>
    </row>
    <row r="830" ht="12.75" customHeight="1">
      <c r="A830" s="5" t="s">
        <v>3095</v>
      </c>
      <c r="B830" s="7">
        <v>34.0</v>
      </c>
      <c r="C830" s="7">
        <v>34.0</v>
      </c>
      <c r="D830" s="7" t="s">
        <v>3851</v>
      </c>
      <c r="E830" s="7"/>
      <c r="G830" s="5" t="str">
        <f t="shared" si="1"/>
        <v>34, 34, MACHOP</v>
      </c>
      <c r="I830" s="5" t="s">
        <v>3095</v>
      </c>
    </row>
    <row r="831" ht="12.75" customHeight="1">
      <c r="A831" s="5">
        <v>0.05</v>
      </c>
      <c r="B831" s="5">
        <v>0.05</v>
      </c>
      <c r="C831" s="7"/>
      <c r="D831" s="7"/>
      <c r="E831" s="7"/>
      <c r="G831" s="5">
        <f t="shared" si="1"/>
        <v>0.05</v>
      </c>
      <c r="I831" s="5">
        <v>0.05</v>
      </c>
    </row>
    <row r="832" ht="12.75" customHeight="1">
      <c r="A832" s="5" t="s">
        <v>3096</v>
      </c>
      <c r="B832" s="7">
        <v>38.0</v>
      </c>
      <c r="C832" s="7">
        <v>38.0</v>
      </c>
      <c r="D832" s="7" t="s">
        <v>3885</v>
      </c>
      <c r="E832" s="7"/>
      <c r="G832" s="5" t="str">
        <f t="shared" si="1"/>
        <v>38, 38, MACHOKE</v>
      </c>
      <c r="I832" s="5" t="s">
        <v>3096</v>
      </c>
    </row>
    <row r="833" ht="12.75" customHeight="1">
      <c r="A833" s="5" t="s">
        <v>3096</v>
      </c>
      <c r="B833" s="7">
        <v>38.0</v>
      </c>
      <c r="C833" s="7">
        <v>38.0</v>
      </c>
      <c r="D833" s="7" t="s">
        <v>3885</v>
      </c>
      <c r="E833" s="7"/>
      <c r="G833" s="5" t="str">
        <f t="shared" si="1"/>
        <v>38, 38, MACHOKE</v>
      </c>
      <c r="I833" s="5" t="s">
        <v>3096</v>
      </c>
    </row>
    <row r="834" ht="12.75" customHeight="1">
      <c r="A834" s="5">
        <v>0.04</v>
      </c>
      <c r="B834" s="5">
        <v>0.04</v>
      </c>
      <c r="C834" s="7"/>
      <c r="D834" s="7"/>
      <c r="E834" s="7"/>
      <c r="G834" s="5">
        <f t="shared" si="1"/>
        <v>0.04</v>
      </c>
      <c r="I834" s="5">
        <v>0.04</v>
      </c>
    </row>
    <row r="835" ht="12.75" customHeight="1">
      <c r="A835" s="5" t="s">
        <v>3097</v>
      </c>
      <c r="B835" s="7">
        <v>40.0</v>
      </c>
      <c r="C835" s="7">
        <v>40.0</v>
      </c>
      <c r="D835" s="7" t="s">
        <v>3885</v>
      </c>
      <c r="E835" s="7"/>
      <c r="G835" s="5" t="str">
        <f t="shared" si="1"/>
        <v>40, 40, MACHOKE</v>
      </c>
      <c r="I835" s="5" t="s">
        <v>3097</v>
      </c>
    </row>
    <row r="836" ht="12.75" customHeight="1">
      <c r="A836" s="5" t="s">
        <v>3097</v>
      </c>
      <c r="B836" s="7">
        <v>40.0</v>
      </c>
      <c r="C836" s="7">
        <v>40.0</v>
      </c>
      <c r="D836" s="7" t="s">
        <v>3885</v>
      </c>
      <c r="E836" s="7"/>
      <c r="G836" s="5" t="str">
        <f t="shared" si="1"/>
        <v>40, 40, MACHOKE</v>
      </c>
      <c r="I836" s="5" t="s">
        <v>3097</v>
      </c>
    </row>
    <row r="837" ht="12.75" customHeight="1">
      <c r="A837" s="5">
        <v>0.01</v>
      </c>
      <c r="B837" s="5">
        <v>0.01</v>
      </c>
      <c r="C837" s="7"/>
      <c r="D837" s="7"/>
      <c r="E837" s="7"/>
      <c r="G837" s="5">
        <f t="shared" si="1"/>
        <v>0.01</v>
      </c>
      <c r="I837" s="5">
        <v>0.01</v>
      </c>
    </row>
    <row r="838" ht="12.75" customHeight="1">
      <c r="A838" s="5" t="s">
        <v>3097</v>
      </c>
      <c r="B838" s="7">
        <v>40.0</v>
      </c>
      <c r="C838" s="7">
        <v>40.0</v>
      </c>
      <c r="D838" s="7" t="s">
        <v>3885</v>
      </c>
      <c r="E838" s="7"/>
      <c r="G838" s="5" t="str">
        <f t="shared" si="1"/>
        <v>40, 40, MACHOKE</v>
      </c>
      <c r="I838" s="5" t="s">
        <v>3097</v>
      </c>
    </row>
    <row r="839" ht="12.75" customHeight="1">
      <c r="A839" s="5" t="s">
        <v>3097</v>
      </c>
      <c r="B839" s="7">
        <v>40.0</v>
      </c>
      <c r="C839" s="7">
        <v>40.0</v>
      </c>
      <c r="D839" s="7" t="s">
        <v>3885</v>
      </c>
      <c r="E839" s="7"/>
      <c r="G839" s="5" t="str">
        <f t="shared" si="1"/>
        <v>40, 40, MACHOKE</v>
      </c>
      <c r="I839" s="5" t="s">
        <v>3097</v>
      </c>
    </row>
    <row r="840" ht="12.75" customHeight="1">
      <c r="A840" s="5" t="s">
        <v>3000</v>
      </c>
      <c r="B840" s="7">
        <v>50.0</v>
      </c>
      <c r="C840" s="7">
        <v>5.0</v>
      </c>
      <c r="D840" s="7">
        <v>20.0</v>
      </c>
      <c r="E840" s="7" t="s">
        <v>3741</v>
      </c>
      <c r="G840" s="5" t="str">
        <f t="shared" si="1"/>
        <v>50, 5, 20, GEODUDE</v>
      </c>
      <c r="I840" s="5" t="s">
        <v>3000</v>
      </c>
    </row>
    <row r="841" ht="12.75" customHeight="1">
      <c r="A841" s="5" t="s">
        <v>3001</v>
      </c>
      <c r="B841" s="7">
        <v>10.0</v>
      </c>
      <c r="C841" s="7">
        <v>20.0</v>
      </c>
      <c r="D841" s="7" t="s">
        <v>3741</v>
      </c>
      <c r="E841" s="7"/>
      <c r="G841" s="5" t="str">
        <f t="shared" si="1"/>
        <v>10, 20, GEODUDE</v>
      </c>
      <c r="I841" s="5" t="s">
        <v>3001</v>
      </c>
    </row>
    <row r="842" ht="12.75" customHeight="1">
      <c r="A842" s="5" t="s">
        <v>3002</v>
      </c>
      <c r="B842" s="7">
        <v>15.0</v>
      </c>
      <c r="C842" s="7">
        <v>30.0</v>
      </c>
      <c r="D842" s="7" t="s">
        <v>3741</v>
      </c>
      <c r="E842" s="7"/>
      <c r="G842" s="5" t="str">
        <f t="shared" si="1"/>
        <v>15, 30, GEODUDE</v>
      </c>
      <c r="I842" s="5" t="s">
        <v>3002</v>
      </c>
    </row>
    <row r="843" ht="12.75" customHeight="1">
      <c r="A843" s="5" t="s">
        <v>3003</v>
      </c>
      <c r="B843" s="7">
        <v>25.0</v>
      </c>
      <c r="C843" s="7">
        <v>40.0</v>
      </c>
      <c r="D843" s="7" t="s">
        <v>3747</v>
      </c>
      <c r="E843" s="7"/>
      <c r="G843" s="5" t="str">
        <f t="shared" si="1"/>
        <v>25, 40, GRAVELER</v>
      </c>
      <c r="I843" s="5" t="s">
        <v>3003</v>
      </c>
    </row>
    <row r="844" ht="12.75" customHeight="1">
      <c r="A844" s="5" t="s">
        <v>3234</v>
      </c>
      <c r="B844" s="7">
        <v>30.0</v>
      </c>
      <c r="C844" s="7">
        <v>40.0</v>
      </c>
      <c r="D844" s="7" t="s">
        <v>3747</v>
      </c>
      <c r="E844" s="7"/>
      <c r="G844" s="5" t="str">
        <f t="shared" si="1"/>
        <v>30, 40, GRAVELER</v>
      </c>
      <c r="I844" s="5" t="s">
        <v>3234</v>
      </c>
    </row>
    <row r="845" ht="12.75" customHeight="1">
      <c r="A845" s="5" t="s">
        <v>2539</v>
      </c>
      <c r="B845" s="7" t="s">
        <v>2539</v>
      </c>
      <c r="C845" s="7"/>
      <c r="D845" s="7"/>
      <c r="E845" s="7"/>
      <c r="G845" s="5" t="str">
        <f t="shared" si="1"/>
        <v>NEW ROUTE</v>
      </c>
      <c r="I845" s="5" t="s">
        <v>2539</v>
      </c>
    </row>
    <row r="846" ht="12.75" customHeight="1">
      <c r="A846" s="5" t="s">
        <v>1841</v>
      </c>
      <c r="B846" s="7" t="s">
        <v>1841</v>
      </c>
      <c r="C846" s="7"/>
      <c r="D846" s="7"/>
      <c r="E846" s="7"/>
      <c r="G846" s="5" t="str">
        <f t="shared" si="1"/>
        <v>Mt. Ember Summit Path 3F</v>
      </c>
      <c r="I846" s="5" t="s">
        <v>1841</v>
      </c>
    </row>
    <row r="847" ht="12.75" customHeight="1">
      <c r="A847" s="5">
        <v>0.2</v>
      </c>
      <c r="B847" s="5">
        <v>0.2</v>
      </c>
      <c r="C847" s="7"/>
      <c r="D847" s="7"/>
      <c r="E847" s="7"/>
      <c r="G847" s="5">
        <f t="shared" si="1"/>
        <v>0.2</v>
      </c>
      <c r="I847" s="5">
        <v>0.2</v>
      </c>
    </row>
    <row r="848" ht="12.75" customHeight="1">
      <c r="A848" s="5" t="s">
        <v>658</v>
      </c>
      <c r="B848" s="7">
        <v>33.0</v>
      </c>
      <c r="C848" s="7">
        <v>33.0</v>
      </c>
      <c r="D848" s="7" t="s">
        <v>3741</v>
      </c>
      <c r="E848" s="7"/>
      <c r="G848" s="5" t="str">
        <f t="shared" si="1"/>
        <v>33, 33, GEODUDE</v>
      </c>
      <c r="I848" s="5" t="s">
        <v>658</v>
      </c>
    </row>
    <row r="849" ht="12.75" customHeight="1">
      <c r="A849" s="5" t="s">
        <v>3073</v>
      </c>
      <c r="B849" s="7">
        <v>35.0</v>
      </c>
      <c r="C849" s="7">
        <v>35.0</v>
      </c>
      <c r="D849" s="7" t="s">
        <v>3851</v>
      </c>
      <c r="E849" s="7"/>
      <c r="G849" s="5" t="str">
        <f t="shared" si="1"/>
        <v>35, 35, MACHOP</v>
      </c>
      <c r="I849" s="5" t="s">
        <v>3073</v>
      </c>
    </row>
    <row r="850" ht="12.75" customHeight="1">
      <c r="A850" s="5">
        <v>0.1</v>
      </c>
      <c r="B850" s="5">
        <v>0.1</v>
      </c>
      <c r="C850" s="7"/>
      <c r="D850" s="7"/>
      <c r="E850" s="7"/>
      <c r="G850" s="5">
        <f t="shared" si="1"/>
        <v>0.1</v>
      </c>
      <c r="I850" s="5">
        <v>0.1</v>
      </c>
    </row>
    <row r="851" ht="12.75" customHeight="1">
      <c r="A851" s="5" t="s">
        <v>3081</v>
      </c>
      <c r="B851" s="7">
        <v>29.0</v>
      </c>
      <c r="C851" s="7">
        <v>29.0</v>
      </c>
      <c r="D851" s="7" t="s">
        <v>3741</v>
      </c>
      <c r="E851" s="7"/>
      <c r="G851" s="5" t="str">
        <f t="shared" si="1"/>
        <v>29, 29, GEODUDE</v>
      </c>
      <c r="I851" s="5" t="s">
        <v>3081</v>
      </c>
    </row>
    <row r="852" ht="12.75" customHeight="1">
      <c r="A852" s="5" t="s">
        <v>3082</v>
      </c>
      <c r="B852" s="7">
        <v>31.0</v>
      </c>
      <c r="C852" s="7">
        <v>31.0</v>
      </c>
      <c r="D852" s="7" t="s">
        <v>3741</v>
      </c>
      <c r="E852" s="7"/>
      <c r="G852" s="5" t="str">
        <f t="shared" si="1"/>
        <v>31, 31, GEODUDE</v>
      </c>
      <c r="I852" s="5" t="s">
        <v>3082</v>
      </c>
    </row>
    <row r="853" ht="12.75" customHeight="1">
      <c r="A853" s="5" t="s">
        <v>3083</v>
      </c>
      <c r="B853" s="7">
        <v>31.0</v>
      </c>
      <c r="C853" s="7">
        <v>31.0</v>
      </c>
      <c r="D853" s="7" t="s">
        <v>3851</v>
      </c>
      <c r="E853" s="7"/>
      <c r="G853" s="5" t="str">
        <f t="shared" si="1"/>
        <v>31, 31, MACHOP</v>
      </c>
      <c r="I853" s="5" t="s">
        <v>3083</v>
      </c>
    </row>
    <row r="854" ht="12.75" customHeight="1">
      <c r="A854" s="5" t="s">
        <v>3084</v>
      </c>
      <c r="B854" s="7">
        <v>33.0</v>
      </c>
      <c r="C854" s="7">
        <v>33.0</v>
      </c>
      <c r="D854" s="7" t="s">
        <v>3851</v>
      </c>
      <c r="E854" s="7"/>
      <c r="G854" s="5" t="str">
        <f t="shared" si="1"/>
        <v>33, 33, MACHOP</v>
      </c>
      <c r="I854" s="5" t="s">
        <v>3084</v>
      </c>
    </row>
    <row r="855" ht="12.75" customHeight="1">
      <c r="A855" s="5">
        <v>0.05</v>
      </c>
      <c r="B855" s="5">
        <v>0.05</v>
      </c>
      <c r="C855" s="7"/>
      <c r="D855" s="7"/>
      <c r="E855" s="7"/>
      <c r="G855" s="5">
        <f t="shared" si="1"/>
        <v>0.05</v>
      </c>
      <c r="I855" s="5">
        <v>0.05</v>
      </c>
    </row>
    <row r="856" ht="12.75" customHeight="1">
      <c r="A856" s="5" t="s">
        <v>3085</v>
      </c>
      <c r="B856" s="7">
        <v>35.0</v>
      </c>
      <c r="C856" s="7">
        <v>35.0</v>
      </c>
      <c r="D856" s="7" t="s">
        <v>3741</v>
      </c>
      <c r="E856" s="7"/>
      <c r="G856" s="5" t="str">
        <f t="shared" si="1"/>
        <v>35, 35, GEODUDE</v>
      </c>
      <c r="I856" s="5" t="s">
        <v>3085</v>
      </c>
    </row>
    <row r="857" ht="12.75" customHeight="1">
      <c r="A857" s="5" t="s">
        <v>3086</v>
      </c>
      <c r="B857" s="7">
        <v>37.0</v>
      </c>
      <c r="C857" s="7">
        <v>37.0</v>
      </c>
      <c r="D857" s="7" t="s">
        <v>3851</v>
      </c>
      <c r="E857" s="7"/>
      <c r="G857" s="5" t="str">
        <f t="shared" si="1"/>
        <v>37, 37, MACHOP</v>
      </c>
      <c r="I857" s="5" t="s">
        <v>3086</v>
      </c>
    </row>
    <row r="858" ht="12.75" customHeight="1">
      <c r="A858" s="5">
        <v>0.04</v>
      </c>
      <c r="B858" s="5">
        <v>0.04</v>
      </c>
      <c r="C858" s="7"/>
      <c r="D858" s="7"/>
      <c r="E858" s="7"/>
      <c r="G858" s="5">
        <f t="shared" si="1"/>
        <v>0.04</v>
      </c>
      <c r="I858" s="5">
        <v>0.04</v>
      </c>
    </row>
    <row r="859" ht="12.75" customHeight="1">
      <c r="A859" s="5" t="s">
        <v>3087</v>
      </c>
      <c r="B859" s="7">
        <v>37.0</v>
      </c>
      <c r="C859" s="7">
        <v>37.0</v>
      </c>
      <c r="D859" s="7" t="s">
        <v>3741</v>
      </c>
      <c r="E859" s="7"/>
      <c r="G859" s="5" t="str">
        <f t="shared" si="1"/>
        <v>37, 37, GEODUDE</v>
      </c>
      <c r="I859" s="5" t="s">
        <v>3087</v>
      </c>
    </row>
    <row r="860" ht="12.75" customHeight="1">
      <c r="A860" s="5" t="s">
        <v>3088</v>
      </c>
      <c r="B860" s="7">
        <v>39.0</v>
      </c>
      <c r="C860" s="7">
        <v>39.0</v>
      </c>
      <c r="D860" s="7" t="s">
        <v>3851</v>
      </c>
      <c r="E860" s="7"/>
      <c r="G860" s="5" t="str">
        <f t="shared" si="1"/>
        <v>39, 39, MACHOP</v>
      </c>
      <c r="I860" s="5" t="s">
        <v>3088</v>
      </c>
    </row>
    <row r="861" ht="12.75" customHeight="1">
      <c r="A861" s="5">
        <v>0.01</v>
      </c>
      <c r="B861" s="5">
        <v>0.01</v>
      </c>
      <c r="C861" s="7"/>
      <c r="D861" s="7"/>
      <c r="E861" s="7"/>
      <c r="G861" s="5">
        <f t="shared" si="1"/>
        <v>0.01</v>
      </c>
      <c r="I861" s="5">
        <v>0.01</v>
      </c>
    </row>
    <row r="862" ht="12.75" customHeight="1">
      <c r="A862" s="5" t="s">
        <v>3087</v>
      </c>
      <c r="B862" s="7">
        <v>37.0</v>
      </c>
      <c r="C862" s="7">
        <v>37.0</v>
      </c>
      <c r="D862" s="7" t="s">
        <v>3741</v>
      </c>
      <c r="E862" s="7"/>
      <c r="G862" s="5" t="str">
        <f t="shared" si="1"/>
        <v>37, 37, GEODUDE</v>
      </c>
      <c r="I862" s="5" t="s">
        <v>3087</v>
      </c>
    </row>
    <row r="863" ht="12.75" customHeight="1">
      <c r="A863" s="5" t="s">
        <v>3088</v>
      </c>
      <c r="B863" s="7">
        <v>39.0</v>
      </c>
      <c r="C863" s="7">
        <v>39.0</v>
      </c>
      <c r="D863" s="7" t="s">
        <v>3851</v>
      </c>
      <c r="E863" s="7"/>
      <c r="G863" s="5" t="str">
        <f t="shared" si="1"/>
        <v>39, 39, MACHOP</v>
      </c>
      <c r="I863" s="5" t="s">
        <v>3088</v>
      </c>
    </row>
    <row r="864" ht="12.75" customHeight="1">
      <c r="A864" s="5" t="s">
        <v>2539</v>
      </c>
      <c r="B864" s="7" t="s">
        <v>2539</v>
      </c>
      <c r="C864" s="7"/>
      <c r="D864" s="7"/>
      <c r="E864" s="7"/>
      <c r="G864" s="5" t="str">
        <f t="shared" si="1"/>
        <v>NEW ROUTE</v>
      </c>
      <c r="I864" s="5" t="s">
        <v>2539</v>
      </c>
    </row>
    <row r="865" ht="12.75" customHeight="1">
      <c r="A865" s="5" t="s">
        <v>1856</v>
      </c>
      <c r="B865" s="7" t="s">
        <v>1856</v>
      </c>
      <c r="C865" s="7"/>
      <c r="D865" s="7"/>
      <c r="E865" s="7"/>
      <c r="G865" s="5" t="str">
        <f t="shared" si="1"/>
        <v>Mt. Ember Ruby Path 1F</v>
      </c>
      <c r="I865" s="5" t="s">
        <v>1856</v>
      </c>
    </row>
    <row r="866" ht="12.75" customHeight="1">
      <c r="A866" s="5">
        <v>0.2</v>
      </c>
      <c r="B866" s="5">
        <v>0.2</v>
      </c>
      <c r="C866" s="7"/>
      <c r="D866" s="7"/>
      <c r="E866" s="7"/>
      <c r="G866" s="5">
        <f t="shared" si="1"/>
        <v>0.2</v>
      </c>
      <c r="I866" s="5">
        <v>0.2</v>
      </c>
    </row>
    <row r="867" ht="12.75" customHeight="1">
      <c r="A867" s="5" t="s">
        <v>680</v>
      </c>
      <c r="B867" s="7">
        <v>36.0</v>
      </c>
      <c r="C867" s="7">
        <v>36.0</v>
      </c>
      <c r="D867" s="7" t="s">
        <v>3741</v>
      </c>
      <c r="E867" s="7"/>
      <c r="G867" s="5" t="str">
        <f t="shared" si="1"/>
        <v>36, 36, GEODUDE</v>
      </c>
      <c r="I867" s="5" t="s">
        <v>680</v>
      </c>
    </row>
    <row r="868" ht="12.75" customHeight="1">
      <c r="A868" s="5" t="s">
        <v>3100</v>
      </c>
      <c r="B868" s="7">
        <v>38.0</v>
      </c>
      <c r="C868" s="7">
        <v>38.0</v>
      </c>
      <c r="D868" s="7" t="s">
        <v>3851</v>
      </c>
      <c r="E868" s="7"/>
      <c r="G868" s="5" t="str">
        <f t="shared" si="1"/>
        <v>38, 38, MACHOP</v>
      </c>
      <c r="I868" s="5" t="s">
        <v>3100</v>
      </c>
    </row>
    <row r="869" ht="12.75" customHeight="1">
      <c r="A869" s="5">
        <v>0.1</v>
      </c>
      <c r="B869" s="5">
        <v>0.1</v>
      </c>
      <c r="C869" s="7"/>
      <c r="D869" s="7"/>
      <c r="E869" s="7"/>
      <c r="G869" s="5">
        <f t="shared" si="1"/>
        <v>0.1</v>
      </c>
      <c r="I869" s="5">
        <v>0.1</v>
      </c>
    </row>
    <row r="870" ht="12.75" customHeight="1">
      <c r="A870" s="5" t="s">
        <v>3093</v>
      </c>
      <c r="B870" s="7">
        <v>32.0</v>
      </c>
      <c r="C870" s="7">
        <v>32.0</v>
      </c>
      <c r="D870" s="7" t="s">
        <v>3741</v>
      </c>
      <c r="E870" s="7"/>
      <c r="G870" s="5" t="str">
        <f t="shared" si="1"/>
        <v>32, 32, GEODUDE</v>
      </c>
      <c r="I870" s="5" t="s">
        <v>3093</v>
      </c>
    </row>
    <row r="871" ht="12.75" customHeight="1">
      <c r="A871" s="5" t="s">
        <v>669</v>
      </c>
      <c r="B871" s="7">
        <v>34.0</v>
      </c>
      <c r="C871" s="7">
        <v>34.0</v>
      </c>
      <c r="D871" s="7" t="s">
        <v>3741</v>
      </c>
      <c r="E871" s="7"/>
      <c r="G871" s="5" t="str">
        <f t="shared" si="1"/>
        <v>34, 34, GEODUDE</v>
      </c>
      <c r="I871" s="5" t="s">
        <v>669</v>
      </c>
    </row>
    <row r="872" ht="12.75" customHeight="1">
      <c r="A872" s="5" t="s">
        <v>3095</v>
      </c>
      <c r="B872" s="7">
        <v>34.0</v>
      </c>
      <c r="C872" s="7">
        <v>34.0</v>
      </c>
      <c r="D872" s="7" t="s">
        <v>3851</v>
      </c>
      <c r="E872" s="7"/>
      <c r="G872" s="5" t="str">
        <f t="shared" si="1"/>
        <v>34, 34, MACHOP</v>
      </c>
      <c r="I872" s="5" t="s">
        <v>3095</v>
      </c>
    </row>
    <row r="873" ht="12.75" customHeight="1">
      <c r="A873" s="5" t="s">
        <v>3091</v>
      </c>
      <c r="B873" s="7">
        <v>36.0</v>
      </c>
      <c r="C873" s="7">
        <v>36.0</v>
      </c>
      <c r="D873" s="7" t="s">
        <v>3851</v>
      </c>
      <c r="E873" s="7"/>
      <c r="G873" s="5" t="str">
        <f t="shared" si="1"/>
        <v>36, 36, MACHOP</v>
      </c>
      <c r="I873" s="5" t="s">
        <v>3091</v>
      </c>
    </row>
    <row r="874" ht="12.75" customHeight="1">
      <c r="A874" s="5">
        <v>0.05</v>
      </c>
      <c r="B874" s="5">
        <v>0.05</v>
      </c>
      <c r="C874" s="7"/>
      <c r="D874" s="7"/>
      <c r="E874" s="7"/>
      <c r="G874" s="5">
        <f t="shared" si="1"/>
        <v>0.05</v>
      </c>
      <c r="I874" s="5">
        <v>0.05</v>
      </c>
    </row>
    <row r="875" ht="12.75" customHeight="1">
      <c r="A875" s="5" t="s">
        <v>692</v>
      </c>
      <c r="B875" s="7">
        <v>38.0</v>
      </c>
      <c r="C875" s="7">
        <v>38.0</v>
      </c>
      <c r="D875" s="7" t="s">
        <v>3741</v>
      </c>
      <c r="E875" s="7"/>
      <c r="G875" s="5" t="str">
        <f t="shared" si="1"/>
        <v>38, 38, GEODUDE</v>
      </c>
      <c r="I875" s="5" t="s">
        <v>692</v>
      </c>
    </row>
    <row r="876" ht="12.75" customHeight="1">
      <c r="A876" s="5" t="s">
        <v>3097</v>
      </c>
      <c r="B876" s="7">
        <v>40.0</v>
      </c>
      <c r="C876" s="7">
        <v>40.0</v>
      </c>
      <c r="D876" s="7" t="s">
        <v>3885</v>
      </c>
      <c r="E876" s="7"/>
      <c r="G876" s="5" t="str">
        <f t="shared" si="1"/>
        <v>40, 40, MACHOKE</v>
      </c>
      <c r="I876" s="5" t="s">
        <v>3097</v>
      </c>
    </row>
    <row r="877" ht="12.75" customHeight="1">
      <c r="A877" s="5">
        <v>0.04</v>
      </c>
      <c r="B877" s="5">
        <v>0.04</v>
      </c>
      <c r="C877" s="7"/>
      <c r="D877" s="7"/>
      <c r="E877" s="7"/>
      <c r="G877" s="5">
        <f t="shared" si="1"/>
        <v>0.04</v>
      </c>
      <c r="I877" s="5">
        <v>0.04</v>
      </c>
    </row>
    <row r="878" ht="12.75" customHeight="1">
      <c r="A878" s="5" t="s">
        <v>701</v>
      </c>
      <c r="B878" s="7">
        <v>40.0</v>
      </c>
      <c r="C878" s="7">
        <v>40.0</v>
      </c>
      <c r="D878" s="7" t="s">
        <v>3741</v>
      </c>
      <c r="E878" s="7"/>
      <c r="G878" s="5" t="str">
        <f t="shared" si="1"/>
        <v>40, 40, GEODUDE</v>
      </c>
      <c r="I878" s="5" t="s">
        <v>701</v>
      </c>
    </row>
    <row r="879" ht="12.75" customHeight="1">
      <c r="A879" s="5" t="s">
        <v>3101</v>
      </c>
      <c r="B879" s="7">
        <v>42.0</v>
      </c>
      <c r="C879" s="7">
        <v>42.0</v>
      </c>
      <c r="D879" s="7" t="s">
        <v>3885</v>
      </c>
      <c r="E879" s="7"/>
      <c r="G879" s="5" t="str">
        <f t="shared" si="1"/>
        <v>42, 42, MACHOKE</v>
      </c>
      <c r="I879" s="5" t="s">
        <v>3101</v>
      </c>
    </row>
    <row r="880" ht="12.75" customHeight="1">
      <c r="A880" s="5">
        <v>0.01</v>
      </c>
      <c r="B880" s="5">
        <v>0.01</v>
      </c>
      <c r="C880" s="7"/>
      <c r="D880" s="7"/>
      <c r="E880" s="7"/>
      <c r="G880" s="5">
        <f t="shared" si="1"/>
        <v>0.01</v>
      </c>
      <c r="I880" s="5">
        <v>0.01</v>
      </c>
    </row>
    <row r="881" ht="12.75" customHeight="1">
      <c r="A881" s="5" t="s">
        <v>701</v>
      </c>
      <c r="B881" s="7">
        <v>40.0</v>
      </c>
      <c r="C881" s="7">
        <v>40.0</v>
      </c>
      <c r="D881" s="7" t="s">
        <v>3741</v>
      </c>
      <c r="E881" s="7"/>
      <c r="G881" s="5" t="str">
        <f t="shared" si="1"/>
        <v>40, 40, GEODUDE</v>
      </c>
      <c r="I881" s="5" t="s">
        <v>701</v>
      </c>
    </row>
    <row r="882" ht="12.75" customHeight="1">
      <c r="A882" s="5" t="s">
        <v>3101</v>
      </c>
      <c r="B882" s="7">
        <v>42.0</v>
      </c>
      <c r="C882" s="7">
        <v>42.0</v>
      </c>
      <c r="D882" s="7" t="s">
        <v>3885</v>
      </c>
      <c r="E882" s="7"/>
      <c r="G882" s="5" t="str">
        <f t="shared" si="1"/>
        <v>42, 42, MACHOKE</v>
      </c>
      <c r="I882" s="5" t="s">
        <v>3101</v>
      </c>
    </row>
    <row r="883" ht="12.75" customHeight="1">
      <c r="A883" s="5" t="s">
        <v>3102</v>
      </c>
      <c r="B883" s="7">
        <v>50.0</v>
      </c>
      <c r="C883" s="7">
        <v>25.0</v>
      </c>
      <c r="D883" s="7">
        <v>35.0</v>
      </c>
      <c r="E883" s="7" t="s">
        <v>3741</v>
      </c>
      <c r="G883" s="5" t="str">
        <f t="shared" si="1"/>
        <v>50, 25, 35, GEODUDE</v>
      </c>
      <c r="I883" s="5" t="s">
        <v>3102</v>
      </c>
    </row>
    <row r="884" ht="12.75" customHeight="1">
      <c r="A884" s="5" t="s">
        <v>3103</v>
      </c>
      <c r="B884" s="7">
        <v>30.0</v>
      </c>
      <c r="C884" s="7">
        <v>45.0</v>
      </c>
      <c r="D884" s="7" t="s">
        <v>3747</v>
      </c>
      <c r="E884" s="7"/>
      <c r="G884" s="5" t="str">
        <f t="shared" si="1"/>
        <v>30, 45, GRAVELER</v>
      </c>
      <c r="I884" s="5" t="s">
        <v>3103</v>
      </c>
    </row>
    <row r="885" ht="12.75" customHeight="1">
      <c r="A885" s="5" t="s">
        <v>3104</v>
      </c>
      <c r="B885" s="7">
        <v>35.0</v>
      </c>
      <c r="C885" s="7">
        <v>50.0</v>
      </c>
      <c r="D885" s="7" t="s">
        <v>3747</v>
      </c>
      <c r="E885" s="7"/>
      <c r="G885" s="5" t="str">
        <f t="shared" si="1"/>
        <v>35, 50, GRAVELER</v>
      </c>
      <c r="I885" s="5" t="s">
        <v>3104</v>
      </c>
    </row>
    <row r="886" ht="12.75" customHeight="1">
      <c r="A886" s="5" t="s">
        <v>3105</v>
      </c>
      <c r="B886" s="7">
        <v>30.0</v>
      </c>
      <c r="C886" s="7">
        <v>40.0</v>
      </c>
      <c r="D886" s="7" t="s">
        <v>3741</v>
      </c>
      <c r="E886" s="7"/>
      <c r="G886" s="5" t="str">
        <f t="shared" si="1"/>
        <v>30, 40, GEODUDE</v>
      </c>
      <c r="I886" s="5" t="s">
        <v>3105</v>
      </c>
    </row>
    <row r="887" ht="12.75" customHeight="1">
      <c r="A887" s="5" t="s">
        <v>3105</v>
      </c>
      <c r="B887" s="7">
        <v>30.0</v>
      </c>
      <c r="C887" s="7">
        <v>40.0</v>
      </c>
      <c r="D887" s="7" t="s">
        <v>3741</v>
      </c>
      <c r="E887" s="7"/>
      <c r="G887" s="5" t="str">
        <f t="shared" si="1"/>
        <v>30, 40, GEODUDE</v>
      </c>
      <c r="I887" s="5" t="s">
        <v>3105</v>
      </c>
    </row>
    <row r="888" ht="12.75" customHeight="1">
      <c r="A888" s="5" t="s">
        <v>2539</v>
      </c>
      <c r="B888" s="7" t="s">
        <v>2539</v>
      </c>
      <c r="C888" s="7"/>
      <c r="D888" s="7"/>
      <c r="E888" s="7"/>
      <c r="G888" s="5" t="str">
        <f t="shared" si="1"/>
        <v>NEW ROUTE</v>
      </c>
      <c r="I888" s="5" t="s">
        <v>2539</v>
      </c>
    </row>
    <row r="889" ht="12.75" customHeight="1">
      <c r="A889" s="5" t="s">
        <v>1861</v>
      </c>
      <c r="B889" s="7" t="s">
        <v>1861</v>
      </c>
      <c r="C889" s="7"/>
      <c r="D889" s="7"/>
      <c r="E889" s="7"/>
      <c r="G889" s="5" t="str">
        <f t="shared" si="1"/>
        <v>Mt. Ember Ruby Path B1F</v>
      </c>
      <c r="I889" s="5" t="s">
        <v>1861</v>
      </c>
    </row>
    <row r="890" ht="12.75" customHeight="1">
      <c r="A890" s="5">
        <v>0.2</v>
      </c>
      <c r="B890" s="5">
        <v>0.2</v>
      </c>
      <c r="C890" s="7"/>
      <c r="D890" s="7"/>
      <c r="E890" s="7"/>
      <c r="G890" s="5">
        <f t="shared" si="1"/>
        <v>0.2</v>
      </c>
      <c r="I890" s="5">
        <v>0.2</v>
      </c>
    </row>
    <row r="891" ht="12.75" customHeight="1">
      <c r="A891" s="5" t="s">
        <v>692</v>
      </c>
      <c r="B891" s="7">
        <v>38.0</v>
      </c>
      <c r="C891" s="7">
        <v>38.0</v>
      </c>
      <c r="D891" s="7" t="s">
        <v>3741</v>
      </c>
      <c r="E891" s="7"/>
      <c r="G891" s="5" t="str">
        <f t="shared" si="1"/>
        <v>38, 38, GEODUDE</v>
      </c>
      <c r="I891" s="5" t="s">
        <v>692</v>
      </c>
    </row>
    <row r="892" ht="12.75" customHeight="1">
      <c r="A892" s="5" t="s">
        <v>680</v>
      </c>
      <c r="B892" s="7">
        <v>36.0</v>
      </c>
      <c r="C892" s="7">
        <v>36.0</v>
      </c>
      <c r="D892" s="7" t="s">
        <v>3741</v>
      </c>
      <c r="E892" s="7"/>
      <c r="G892" s="5" t="str">
        <f t="shared" si="1"/>
        <v>36, 36, GEODUDE</v>
      </c>
      <c r="I892" s="5" t="s">
        <v>680</v>
      </c>
    </row>
    <row r="893" ht="12.75" customHeight="1">
      <c r="A893" s="5">
        <v>0.1</v>
      </c>
      <c r="B893" s="5">
        <v>0.1</v>
      </c>
      <c r="C893" s="7"/>
      <c r="D893" s="7"/>
      <c r="E893" s="7"/>
      <c r="G893" s="5">
        <f t="shared" si="1"/>
        <v>0.1</v>
      </c>
      <c r="I893" s="5">
        <v>0.1</v>
      </c>
    </row>
    <row r="894" ht="12.75" customHeight="1">
      <c r="A894" s="5" t="s">
        <v>669</v>
      </c>
      <c r="B894" s="7">
        <v>34.0</v>
      </c>
      <c r="C894" s="7">
        <v>34.0</v>
      </c>
      <c r="D894" s="7" t="s">
        <v>3741</v>
      </c>
      <c r="E894" s="7"/>
      <c r="G894" s="5" t="str">
        <f t="shared" si="1"/>
        <v>34, 34, GEODUDE</v>
      </c>
      <c r="I894" s="5" t="s">
        <v>669</v>
      </c>
    </row>
    <row r="895" ht="12.75" customHeight="1">
      <c r="A895" s="5" t="s">
        <v>701</v>
      </c>
      <c r="B895" s="7">
        <v>40.0</v>
      </c>
      <c r="C895" s="7">
        <v>40.0</v>
      </c>
      <c r="D895" s="7" t="s">
        <v>3741</v>
      </c>
      <c r="E895" s="7"/>
      <c r="G895" s="5" t="str">
        <f t="shared" si="1"/>
        <v>40, 40, GEODUDE</v>
      </c>
      <c r="I895" s="5" t="s">
        <v>701</v>
      </c>
    </row>
    <row r="896" ht="12.75" customHeight="1">
      <c r="A896" s="5" t="s">
        <v>3108</v>
      </c>
      <c r="B896" s="7">
        <v>24.0</v>
      </c>
      <c r="C896" s="7">
        <v>24.0</v>
      </c>
      <c r="D896" s="7" t="s">
        <v>3886</v>
      </c>
      <c r="E896" s="7"/>
      <c r="G896" s="5" t="str">
        <f t="shared" si="1"/>
        <v>24, 24, SLUGMA</v>
      </c>
      <c r="I896" s="5" t="s">
        <v>3108</v>
      </c>
    </row>
    <row r="897" ht="12.75" customHeight="1">
      <c r="A897" s="5" t="s">
        <v>707</v>
      </c>
      <c r="B897" s="7">
        <v>26.0</v>
      </c>
      <c r="C897" s="7">
        <v>26.0</v>
      </c>
      <c r="D897" s="7" t="s">
        <v>3886</v>
      </c>
      <c r="E897" s="7"/>
      <c r="G897" s="5" t="str">
        <f t="shared" si="1"/>
        <v>26, 26, SLUGMA</v>
      </c>
      <c r="I897" s="5" t="s">
        <v>707</v>
      </c>
    </row>
    <row r="898" ht="12.75" customHeight="1">
      <c r="A898" s="5">
        <v>0.05</v>
      </c>
      <c r="B898" s="5">
        <v>0.05</v>
      </c>
      <c r="C898" s="7"/>
      <c r="D898" s="7"/>
      <c r="E898" s="7"/>
      <c r="G898" s="5">
        <f t="shared" si="1"/>
        <v>0.05</v>
      </c>
      <c r="I898" s="5">
        <v>0.05</v>
      </c>
    </row>
    <row r="899" ht="12.75" customHeight="1">
      <c r="A899" s="5" t="s">
        <v>3109</v>
      </c>
      <c r="B899" s="7">
        <v>42.0</v>
      </c>
      <c r="C899" s="7">
        <v>42.0</v>
      </c>
      <c r="D899" s="7" t="s">
        <v>3741</v>
      </c>
      <c r="E899" s="7"/>
      <c r="G899" s="5" t="str">
        <f t="shared" si="1"/>
        <v>42, 42, GEODUDE</v>
      </c>
      <c r="I899" s="5" t="s">
        <v>3109</v>
      </c>
    </row>
    <row r="900" ht="12.75" customHeight="1">
      <c r="A900" s="5" t="s">
        <v>3110</v>
      </c>
      <c r="B900" s="7">
        <v>28.0</v>
      </c>
      <c r="C900" s="7">
        <v>28.0</v>
      </c>
      <c r="D900" s="7" t="s">
        <v>3886</v>
      </c>
      <c r="E900" s="7"/>
      <c r="G900" s="5" t="str">
        <f t="shared" si="1"/>
        <v>28, 28, SLUGMA</v>
      </c>
      <c r="I900" s="5" t="s">
        <v>3110</v>
      </c>
    </row>
    <row r="901" ht="12.75" customHeight="1">
      <c r="A901" s="5">
        <v>0.04</v>
      </c>
      <c r="B901" s="5">
        <v>0.04</v>
      </c>
      <c r="C901" s="7"/>
      <c r="D901" s="7"/>
      <c r="E901" s="7"/>
      <c r="G901" s="5">
        <f t="shared" si="1"/>
        <v>0.04</v>
      </c>
      <c r="I901" s="5">
        <v>0.04</v>
      </c>
    </row>
    <row r="902" ht="12.75" customHeight="1">
      <c r="A902" s="5" t="s">
        <v>3109</v>
      </c>
      <c r="B902" s="7">
        <v>42.0</v>
      </c>
      <c r="C902" s="7">
        <v>42.0</v>
      </c>
      <c r="D902" s="7" t="s">
        <v>3741</v>
      </c>
      <c r="E902" s="7"/>
      <c r="G902" s="5" t="str">
        <f t="shared" si="1"/>
        <v>42, 42, GEODUDE</v>
      </c>
      <c r="I902" s="5" t="s">
        <v>3109</v>
      </c>
    </row>
    <row r="903" ht="12.75" customHeight="1">
      <c r="A903" s="5" t="s">
        <v>3111</v>
      </c>
      <c r="B903" s="7">
        <v>30.0</v>
      </c>
      <c r="C903" s="7">
        <v>30.0</v>
      </c>
      <c r="D903" s="7" t="s">
        <v>3886</v>
      </c>
      <c r="E903" s="7"/>
      <c r="G903" s="5" t="str">
        <f t="shared" si="1"/>
        <v>30, 30, SLUGMA</v>
      </c>
      <c r="I903" s="5" t="s">
        <v>3111</v>
      </c>
    </row>
    <row r="904" ht="12.75" customHeight="1">
      <c r="A904" s="5">
        <v>0.01</v>
      </c>
      <c r="B904" s="5">
        <v>0.01</v>
      </c>
      <c r="C904" s="7"/>
      <c r="D904" s="7"/>
      <c r="E904" s="7"/>
      <c r="G904" s="5">
        <f t="shared" si="1"/>
        <v>0.01</v>
      </c>
      <c r="I904" s="5">
        <v>0.01</v>
      </c>
    </row>
    <row r="905" ht="12.75" customHeight="1">
      <c r="A905" s="5" t="s">
        <v>3109</v>
      </c>
      <c r="B905" s="7">
        <v>42.0</v>
      </c>
      <c r="C905" s="7">
        <v>42.0</v>
      </c>
      <c r="D905" s="7" t="s">
        <v>3741</v>
      </c>
      <c r="E905" s="7"/>
      <c r="G905" s="5" t="str">
        <f t="shared" si="1"/>
        <v>42, 42, GEODUDE</v>
      </c>
      <c r="I905" s="5" t="s">
        <v>3109</v>
      </c>
    </row>
    <row r="906" ht="12.75" customHeight="1">
      <c r="A906" s="5" t="s">
        <v>3111</v>
      </c>
      <c r="B906" s="7">
        <v>30.0</v>
      </c>
      <c r="C906" s="7">
        <v>30.0</v>
      </c>
      <c r="D906" s="7" t="s">
        <v>3886</v>
      </c>
      <c r="E906" s="7"/>
      <c r="G906" s="5" t="str">
        <f t="shared" si="1"/>
        <v>30, 30, SLUGMA</v>
      </c>
      <c r="I906" s="5" t="s">
        <v>3111</v>
      </c>
    </row>
    <row r="907" ht="12.75" customHeight="1">
      <c r="A907" s="5" t="s">
        <v>3102</v>
      </c>
      <c r="B907" s="7">
        <v>50.0</v>
      </c>
      <c r="C907" s="7">
        <v>25.0</v>
      </c>
      <c r="D907" s="7">
        <v>35.0</v>
      </c>
      <c r="E907" s="7" t="s">
        <v>3741</v>
      </c>
      <c r="G907" s="5" t="str">
        <f t="shared" si="1"/>
        <v>50, 25, 35, GEODUDE</v>
      </c>
      <c r="I907" s="5" t="s">
        <v>3102</v>
      </c>
    </row>
    <row r="908" ht="12.75" customHeight="1">
      <c r="A908" s="5" t="s">
        <v>3103</v>
      </c>
      <c r="B908" s="7">
        <v>30.0</v>
      </c>
      <c r="C908" s="7">
        <v>45.0</v>
      </c>
      <c r="D908" s="7" t="s">
        <v>3747</v>
      </c>
      <c r="E908" s="7"/>
      <c r="G908" s="5" t="str">
        <f t="shared" si="1"/>
        <v>30, 45, GRAVELER</v>
      </c>
      <c r="I908" s="5" t="s">
        <v>3103</v>
      </c>
    </row>
    <row r="909" ht="12.75" customHeight="1">
      <c r="A909" s="5" t="s">
        <v>3104</v>
      </c>
      <c r="B909" s="7">
        <v>35.0</v>
      </c>
      <c r="C909" s="7">
        <v>50.0</v>
      </c>
      <c r="D909" s="7" t="s">
        <v>3747</v>
      </c>
      <c r="E909" s="7"/>
      <c r="G909" s="5" t="str">
        <f t="shared" si="1"/>
        <v>35, 50, GRAVELER</v>
      </c>
      <c r="I909" s="5" t="s">
        <v>3104</v>
      </c>
    </row>
    <row r="910" ht="12.75" customHeight="1">
      <c r="A910" s="5" t="s">
        <v>3105</v>
      </c>
      <c r="B910" s="7">
        <v>30.0</v>
      </c>
      <c r="C910" s="7">
        <v>40.0</v>
      </c>
      <c r="D910" s="7" t="s">
        <v>3741</v>
      </c>
      <c r="E910" s="7"/>
      <c r="G910" s="5" t="str">
        <f t="shared" si="1"/>
        <v>30, 40, GEODUDE</v>
      </c>
      <c r="I910" s="5" t="s">
        <v>3105</v>
      </c>
    </row>
    <row r="911" ht="12.75" customHeight="1">
      <c r="A911" s="5" t="s">
        <v>3105</v>
      </c>
      <c r="B911" s="7">
        <v>30.0</v>
      </c>
      <c r="C911" s="7">
        <v>40.0</v>
      </c>
      <c r="D911" s="7" t="s">
        <v>3741</v>
      </c>
      <c r="E911" s="7"/>
      <c r="G911" s="5" t="str">
        <f t="shared" si="1"/>
        <v>30, 40, GEODUDE</v>
      </c>
      <c r="I911" s="5" t="s">
        <v>3105</v>
      </c>
    </row>
    <row r="912" ht="12.75" customHeight="1">
      <c r="A912" s="5" t="s">
        <v>2539</v>
      </c>
      <c r="B912" s="7" t="s">
        <v>2539</v>
      </c>
      <c r="C912" s="7"/>
      <c r="D912" s="7"/>
      <c r="E912" s="7"/>
      <c r="G912" s="5" t="str">
        <f t="shared" si="1"/>
        <v>NEW ROUTE</v>
      </c>
      <c r="I912" s="5" t="s">
        <v>2539</v>
      </c>
    </row>
    <row r="913" ht="12.75" customHeight="1">
      <c r="A913" s="5" t="s">
        <v>1867</v>
      </c>
      <c r="B913" s="7" t="s">
        <v>1867</v>
      </c>
      <c r="C913" s="7"/>
      <c r="D913" s="7"/>
      <c r="E913" s="7"/>
      <c r="G913" s="5" t="str">
        <f t="shared" si="1"/>
        <v>Mt. Ember Ruby Path B2F</v>
      </c>
      <c r="I913" s="5" t="s">
        <v>1867</v>
      </c>
    </row>
    <row r="914" ht="12.75" customHeight="1">
      <c r="A914" s="5">
        <v>0.2</v>
      </c>
      <c r="B914" s="5">
        <v>0.2</v>
      </c>
      <c r="C914" s="7"/>
      <c r="D914" s="7"/>
      <c r="E914" s="7"/>
      <c r="G914" s="5">
        <f t="shared" si="1"/>
        <v>0.2</v>
      </c>
      <c r="I914" s="5">
        <v>0.2</v>
      </c>
    </row>
    <row r="915" ht="12.75" customHeight="1">
      <c r="A915" s="5" t="s">
        <v>701</v>
      </c>
      <c r="B915" s="7">
        <v>40.0</v>
      </c>
      <c r="C915" s="7">
        <v>40.0</v>
      </c>
      <c r="D915" s="7" t="s">
        <v>3741</v>
      </c>
      <c r="E915" s="7"/>
      <c r="G915" s="5" t="str">
        <f t="shared" si="1"/>
        <v>40, 40, GEODUDE</v>
      </c>
      <c r="I915" s="5" t="s">
        <v>701</v>
      </c>
    </row>
    <row r="916" ht="12.75" customHeight="1">
      <c r="A916" s="5" t="s">
        <v>707</v>
      </c>
      <c r="B916" s="7">
        <v>26.0</v>
      </c>
      <c r="C916" s="7">
        <v>26.0</v>
      </c>
      <c r="D916" s="7" t="s">
        <v>3886</v>
      </c>
      <c r="E916" s="7"/>
      <c r="G916" s="5" t="str">
        <f t="shared" si="1"/>
        <v>26, 26, SLUGMA</v>
      </c>
      <c r="I916" s="5" t="s">
        <v>707</v>
      </c>
    </row>
    <row r="917" ht="12.75" customHeight="1">
      <c r="A917" s="5">
        <v>0.1</v>
      </c>
      <c r="B917" s="5">
        <v>0.1</v>
      </c>
      <c r="C917" s="7"/>
      <c r="D917" s="7"/>
      <c r="E917" s="7"/>
      <c r="G917" s="5">
        <f t="shared" si="1"/>
        <v>0.1</v>
      </c>
      <c r="I917" s="5">
        <v>0.1</v>
      </c>
    </row>
    <row r="918" ht="12.75" customHeight="1">
      <c r="A918" s="5" t="s">
        <v>3109</v>
      </c>
      <c r="B918" s="7">
        <v>42.0</v>
      </c>
      <c r="C918" s="7">
        <v>42.0</v>
      </c>
      <c r="D918" s="7" t="s">
        <v>3741</v>
      </c>
      <c r="E918" s="7"/>
      <c r="G918" s="5" t="str">
        <f t="shared" si="1"/>
        <v>42, 42, GEODUDE</v>
      </c>
      <c r="I918" s="5" t="s">
        <v>3109</v>
      </c>
    </row>
    <row r="919" ht="12.75" customHeight="1">
      <c r="A919" s="5" t="s">
        <v>3108</v>
      </c>
      <c r="B919" s="7">
        <v>24.0</v>
      </c>
      <c r="C919" s="7">
        <v>24.0</v>
      </c>
      <c r="D919" s="7" t="s">
        <v>3886</v>
      </c>
      <c r="E919" s="7"/>
      <c r="G919" s="5" t="str">
        <f t="shared" si="1"/>
        <v>24, 24, SLUGMA</v>
      </c>
      <c r="I919" s="5" t="s">
        <v>3108</v>
      </c>
    </row>
    <row r="920" ht="12.75" customHeight="1">
      <c r="A920" s="5" t="s">
        <v>3110</v>
      </c>
      <c r="B920" s="7">
        <v>28.0</v>
      </c>
      <c r="C920" s="7">
        <v>28.0</v>
      </c>
      <c r="D920" s="7" t="s">
        <v>3886</v>
      </c>
      <c r="E920" s="7"/>
      <c r="G920" s="5" t="str">
        <f t="shared" si="1"/>
        <v>28, 28, SLUGMA</v>
      </c>
      <c r="I920" s="5" t="s">
        <v>3110</v>
      </c>
    </row>
    <row r="921" ht="12.75" customHeight="1">
      <c r="A921" s="5" t="s">
        <v>3111</v>
      </c>
      <c r="B921" s="7">
        <v>30.0</v>
      </c>
      <c r="C921" s="7">
        <v>30.0</v>
      </c>
      <c r="D921" s="7" t="s">
        <v>3886</v>
      </c>
      <c r="E921" s="7"/>
      <c r="G921" s="5" t="str">
        <f t="shared" si="1"/>
        <v>30, 30, SLUGMA</v>
      </c>
      <c r="I921" s="5" t="s">
        <v>3111</v>
      </c>
    </row>
    <row r="922" ht="12.75" customHeight="1">
      <c r="A922" s="5">
        <v>0.05</v>
      </c>
      <c r="B922" s="5">
        <v>0.05</v>
      </c>
      <c r="C922" s="7"/>
      <c r="D922" s="7"/>
      <c r="E922" s="7"/>
      <c r="G922" s="5">
        <f t="shared" si="1"/>
        <v>0.05</v>
      </c>
      <c r="I922" s="5">
        <v>0.05</v>
      </c>
    </row>
    <row r="923" ht="12.75" customHeight="1">
      <c r="A923" s="5" t="s">
        <v>3113</v>
      </c>
      <c r="B923" s="7">
        <v>44.0</v>
      </c>
      <c r="C923" s="7">
        <v>44.0</v>
      </c>
      <c r="D923" s="7" t="s">
        <v>3741</v>
      </c>
      <c r="E923" s="7"/>
      <c r="G923" s="5" t="str">
        <f t="shared" si="1"/>
        <v>44, 44, GEODUDE</v>
      </c>
      <c r="I923" s="5" t="s">
        <v>3113</v>
      </c>
    </row>
    <row r="924" ht="12.75" customHeight="1">
      <c r="A924" s="5" t="s">
        <v>3114</v>
      </c>
      <c r="B924" s="7">
        <v>32.0</v>
      </c>
      <c r="C924" s="7">
        <v>32.0</v>
      </c>
      <c r="D924" s="7" t="s">
        <v>3886</v>
      </c>
      <c r="E924" s="7"/>
      <c r="G924" s="5" t="str">
        <f t="shared" si="1"/>
        <v>32, 32, SLUGMA</v>
      </c>
      <c r="I924" s="5" t="s">
        <v>3114</v>
      </c>
    </row>
    <row r="925" ht="12.75" customHeight="1">
      <c r="A925" s="5">
        <v>0.04</v>
      </c>
      <c r="B925" s="5">
        <v>0.04</v>
      </c>
      <c r="C925" s="7"/>
      <c r="D925" s="7"/>
      <c r="E925" s="7"/>
      <c r="G925" s="5">
        <f t="shared" si="1"/>
        <v>0.04</v>
      </c>
      <c r="I925" s="5">
        <v>0.04</v>
      </c>
    </row>
    <row r="926" ht="12.75" customHeight="1">
      <c r="A926" s="5" t="s">
        <v>3113</v>
      </c>
      <c r="B926" s="7">
        <v>44.0</v>
      </c>
      <c r="C926" s="7">
        <v>44.0</v>
      </c>
      <c r="D926" s="7" t="s">
        <v>3741</v>
      </c>
      <c r="E926" s="7"/>
      <c r="G926" s="5" t="str">
        <f t="shared" si="1"/>
        <v>44, 44, GEODUDE</v>
      </c>
      <c r="I926" s="5" t="s">
        <v>3113</v>
      </c>
    </row>
    <row r="927" ht="12.75" customHeight="1">
      <c r="A927" s="5" t="s">
        <v>3115</v>
      </c>
      <c r="B927" s="7">
        <v>22.0</v>
      </c>
      <c r="C927" s="7">
        <v>22.0</v>
      </c>
      <c r="D927" s="7" t="s">
        <v>3886</v>
      </c>
      <c r="E927" s="7"/>
      <c r="G927" s="5" t="str">
        <f t="shared" si="1"/>
        <v>22, 22, SLUGMA</v>
      </c>
      <c r="I927" s="5" t="s">
        <v>3115</v>
      </c>
    </row>
    <row r="928" ht="12.75" customHeight="1">
      <c r="A928" s="5">
        <v>0.01</v>
      </c>
      <c r="B928" s="5">
        <v>0.01</v>
      </c>
      <c r="C928" s="7"/>
      <c r="D928" s="7"/>
      <c r="E928" s="7"/>
      <c r="G928" s="5">
        <f t="shared" si="1"/>
        <v>0.01</v>
      </c>
      <c r="I928" s="5">
        <v>0.01</v>
      </c>
    </row>
    <row r="929" ht="12.75" customHeight="1">
      <c r="A929" s="5" t="s">
        <v>3113</v>
      </c>
      <c r="B929" s="7">
        <v>44.0</v>
      </c>
      <c r="C929" s="7">
        <v>44.0</v>
      </c>
      <c r="D929" s="7" t="s">
        <v>3741</v>
      </c>
      <c r="E929" s="7"/>
      <c r="G929" s="5" t="str">
        <f t="shared" si="1"/>
        <v>44, 44, GEODUDE</v>
      </c>
      <c r="I929" s="5" t="s">
        <v>3113</v>
      </c>
    </row>
    <row r="930" ht="12.75" customHeight="1">
      <c r="A930" s="5" t="s">
        <v>3115</v>
      </c>
      <c r="B930" s="7">
        <v>22.0</v>
      </c>
      <c r="C930" s="7">
        <v>22.0</v>
      </c>
      <c r="D930" s="7" t="s">
        <v>3886</v>
      </c>
      <c r="E930" s="7"/>
      <c r="G930" s="5" t="str">
        <f t="shared" si="1"/>
        <v>22, 22, SLUGMA</v>
      </c>
      <c r="I930" s="5" t="s">
        <v>3115</v>
      </c>
    </row>
    <row r="931" ht="12.75" customHeight="1">
      <c r="A931" s="5" t="s">
        <v>3102</v>
      </c>
      <c r="B931" s="7">
        <v>50.0</v>
      </c>
      <c r="C931" s="7">
        <v>25.0</v>
      </c>
      <c r="D931" s="7">
        <v>35.0</v>
      </c>
      <c r="E931" s="7" t="s">
        <v>3741</v>
      </c>
      <c r="G931" s="5" t="str">
        <f t="shared" si="1"/>
        <v>50, 25, 35, GEODUDE</v>
      </c>
      <c r="I931" s="5" t="s">
        <v>3102</v>
      </c>
    </row>
    <row r="932" ht="12.75" customHeight="1">
      <c r="A932" s="5" t="s">
        <v>3103</v>
      </c>
      <c r="B932" s="7">
        <v>30.0</v>
      </c>
      <c r="C932" s="7">
        <v>45.0</v>
      </c>
      <c r="D932" s="7" t="s">
        <v>3747</v>
      </c>
      <c r="E932" s="7"/>
      <c r="G932" s="5" t="str">
        <f t="shared" si="1"/>
        <v>30, 45, GRAVELER</v>
      </c>
      <c r="I932" s="5" t="s">
        <v>3103</v>
      </c>
    </row>
    <row r="933" ht="12.75" customHeight="1">
      <c r="A933" s="5" t="s">
        <v>3104</v>
      </c>
      <c r="B933" s="7">
        <v>35.0</v>
      </c>
      <c r="C933" s="7">
        <v>50.0</v>
      </c>
      <c r="D933" s="7" t="s">
        <v>3747</v>
      </c>
      <c r="E933" s="7"/>
      <c r="G933" s="5" t="str">
        <f t="shared" si="1"/>
        <v>35, 50, GRAVELER</v>
      </c>
      <c r="I933" s="5" t="s">
        <v>3104</v>
      </c>
    </row>
    <row r="934" ht="12.75" customHeight="1">
      <c r="A934" s="5" t="s">
        <v>3105</v>
      </c>
      <c r="B934" s="7">
        <v>30.0</v>
      </c>
      <c r="C934" s="7">
        <v>40.0</v>
      </c>
      <c r="D934" s="7" t="s">
        <v>3741</v>
      </c>
      <c r="E934" s="7"/>
      <c r="G934" s="5" t="str">
        <f t="shared" si="1"/>
        <v>30, 40, GEODUDE</v>
      </c>
      <c r="I934" s="5" t="s">
        <v>3105</v>
      </c>
    </row>
    <row r="935" ht="12.75" customHeight="1">
      <c r="A935" s="5" t="s">
        <v>3105</v>
      </c>
      <c r="B935" s="7">
        <v>30.0</v>
      </c>
      <c r="C935" s="7">
        <v>40.0</v>
      </c>
      <c r="D935" s="7" t="s">
        <v>3741</v>
      </c>
      <c r="E935" s="7"/>
      <c r="G935" s="5" t="str">
        <f t="shared" si="1"/>
        <v>30, 40, GEODUDE</v>
      </c>
      <c r="I935" s="5" t="s">
        <v>3105</v>
      </c>
    </row>
    <row r="936" ht="12.75" customHeight="1">
      <c r="A936" s="5" t="s">
        <v>2539</v>
      </c>
      <c r="B936" s="7" t="s">
        <v>2539</v>
      </c>
      <c r="C936" s="7"/>
      <c r="D936" s="7"/>
      <c r="E936" s="7"/>
      <c r="G936" s="5" t="str">
        <f t="shared" si="1"/>
        <v>NEW ROUTE</v>
      </c>
      <c r="I936" s="5" t="s">
        <v>2539</v>
      </c>
    </row>
    <row r="937" ht="12.75" customHeight="1">
      <c r="A937" s="5" t="s">
        <v>1873</v>
      </c>
      <c r="B937" s="7" t="s">
        <v>1873</v>
      </c>
      <c r="C937" s="7"/>
      <c r="D937" s="7"/>
      <c r="E937" s="7"/>
      <c r="G937" s="5" t="str">
        <f t="shared" si="1"/>
        <v>Mt. Ember Ruby Path B3F</v>
      </c>
      <c r="I937" s="5" t="s">
        <v>1873</v>
      </c>
    </row>
    <row r="938" ht="12.75" customHeight="1">
      <c r="A938" s="5">
        <v>0.2</v>
      </c>
      <c r="B938" s="5">
        <v>0.2</v>
      </c>
      <c r="C938" s="7"/>
      <c r="D938" s="7"/>
      <c r="E938" s="7"/>
      <c r="G938" s="5">
        <f t="shared" si="1"/>
        <v>0.2</v>
      </c>
      <c r="I938" s="5">
        <v>0.2</v>
      </c>
    </row>
    <row r="939" ht="12.75" customHeight="1">
      <c r="A939" s="5" t="s">
        <v>707</v>
      </c>
      <c r="B939" s="7">
        <v>26.0</v>
      </c>
      <c r="C939" s="7">
        <v>26.0</v>
      </c>
      <c r="D939" s="7" t="s">
        <v>3886</v>
      </c>
      <c r="E939" s="7"/>
      <c r="G939" s="5" t="str">
        <f t="shared" si="1"/>
        <v>26, 26, SLUGMA</v>
      </c>
      <c r="I939" s="5" t="s">
        <v>707</v>
      </c>
    </row>
    <row r="940" ht="12.75" customHeight="1">
      <c r="A940" s="5" t="s">
        <v>3110</v>
      </c>
      <c r="B940" s="7">
        <v>28.0</v>
      </c>
      <c r="C940" s="7">
        <v>28.0</v>
      </c>
      <c r="D940" s="7" t="s">
        <v>3886</v>
      </c>
      <c r="E940" s="7"/>
      <c r="G940" s="5" t="str">
        <f t="shared" si="1"/>
        <v>28, 28, SLUGMA</v>
      </c>
      <c r="I940" s="5" t="s">
        <v>3110</v>
      </c>
    </row>
    <row r="941" ht="12.75" customHeight="1">
      <c r="A941" s="5">
        <v>0.1</v>
      </c>
      <c r="B941" s="5">
        <v>0.1</v>
      </c>
      <c r="C941" s="7"/>
      <c r="D941" s="7"/>
      <c r="E941" s="7"/>
      <c r="G941" s="5">
        <f t="shared" si="1"/>
        <v>0.1</v>
      </c>
      <c r="I941" s="5">
        <v>0.1</v>
      </c>
    </row>
    <row r="942" ht="12.75" customHeight="1">
      <c r="A942" s="5" t="s">
        <v>3111</v>
      </c>
      <c r="B942" s="7">
        <v>30.0</v>
      </c>
      <c r="C942" s="7">
        <v>30.0</v>
      </c>
      <c r="D942" s="7" t="s">
        <v>3886</v>
      </c>
      <c r="E942" s="7"/>
      <c r="G942" s="5" t="str">
        <f t="shared" si="1"/>
        <v>30, 30, SLUGMA</v>
      </c>
      <c r="I942" s="5" t="s">
        <v>3111</v>
      </c>
    </row>
    <row r="943" ht="12.75" customHeight="1">
      <c r="A943" s="5" t="s">
        <v>3114</v>
      </c>
      <c r="B943" s="7">
        <v>32.0</v>
      </c>
      <c r="C943" s="7">
        <v>32.0</v>
      </c>
      <c r="D943" s="7" t="s">
        <v>3886</v>
      </c>
      <c r="E943" s="7"/>
      <c r="G943" s="5" t="str">
        <f t="shared" si="1"/>
        <v>32, 32, SLUGMA</v>
      </c>
      <c r="I943" s="5" t="s">
        <v>3114</v>
      </c>
    </row>
    <row r="944" ht="12.75" customHeight="1">
      <c r="A944" s="5" t="s">
        <v>3108</v>
      </c>
      <c r="B944" s="7">
        <v>24.0</v>
      </c>
      <c r="C944" s="7">
        <v>24.0</v>
      </c>
      <c r="D944" s="7" t="s">
        <v>3886</v>
      </c>
      <c r="E944" s="7"/>
      <c r="G944" s="5" t="str">
        <f t="shared" si="1"/>
        <v>24, 24, SLUGMA</v>
      </c>
      <c r="I944" s="5" t="s">
        <v>3108</v>
      </c>
    </row>
    <row r="945" ht="12.75" customHeight="1">
      <c r="A945" s="5" t="s">
        <v>3115</v>
      </c>
      <c r="B945" s="7">
        <v>22.0</v>
      </c>
      <c r="C945" s="7">
        <v>22.0</v>
      </c>
      <c r="D945" s="7" t="s">
        <v>3886</v>
      </c>
      <c r="E945" s="7"/>
      <c r="G945" s="5" t="str">
        <f t="shared" si="1"/>
        <v>22, 22, SLUGMA</v>
      </c>
      <c r="I945" s="5" t="s">
        <v>3115</v>
      </c>
    </row>
    <row r="946" ht="12.75" customHeight="1">
      <c r="A946" s="5">
        <v>0.05</v>
      </c>
      <c r="B946" s="5">
        <v>0.05</v>
      </c>
      <c r="C946" s="7"/>
      <c r="D946" s="7"/>
      <c r="E946" s="7"/>
      <c r="G946" s="5">
        <f t="shared" si="1"/>
        <v>0.05</v>
      </c>
      <c r="I946" s="5">
        <v>0.05</v>
      </c>
    </row>
    <row r="947" ht="12.75" customHeight="1">
      <c r="A947" s="5" t="s">
        <v>3117</v>
      </c>
      <c r="B947" s="7">
        <v>20.0</v>
      </c>
      <c r="C947" s="7">
        <v>20.0</v>
      </c>
      <c r="D947" s="7" t="s">
        <v>3886</v>
      </c>
      <c r="E947" s="7"/>
      <c r="G947" s="5" t="str">
        <f t="shared" si="1"/>
        <v>20, 20, SLUGMA</v>
      </c>
      <c r="I947" s="5" t="s">
        <v>3117</v>
      </c>
    </row>
    <row r="948" ht="12.75" customHeight="1">
      <c r="A948" s="5" t="s">
        <v>3118</v>
      </c>
      <c r="B948" s="7">
        <v>34.0</v>
      </c>
      <c r="C948" s="7">
        <v>34.0</v>
      </c>
      <c r="D948" s="7" t="s">
        <v>3886</v>
      </c>
      <c r="E948" s="7"/>
      <c r="G948" s="5" t="str">
        <f t="shared" si="1"/>
        <v>34, 34, SLUGMA</v>
      </c>
      <c r="I948" s="5" t="s">
        <v>3118</v>
      </c>
    </row>
    <row r="949" ht="12.75" customHeight="1">
      <c r="A949" s="5">
        <v>0.04</v>
      </c>
      <c r="B949" s="5">
        <v>0.04</v>
      </c>
      <c r="C949" s="7"/>
      <c r="D949" s="7"/>
      <c r="E949" s="7"/>
      <c r="G949" s="5">
        <f t="shared" si="1"/>
        <v>0.04</v>
      </c>
      <c r="I949" s="5">
        <v>0.04</v>
      </c>
    </row>
    <row r="950" ht="12.75" customHeight="1">
      <c r="A950" s="5" t="s">
        <v>3119</v>
      </c>
      <c r="B950" s="7">
        <v>36.0</v>
      </c>
      <c r="C950" s="7">
        <v>36.0</v>
      </c>
      <c r="D950" s="7" t="s">
        <v>3886</v>
      </c>
      <c r="E950" s="7"/>
      <c r="G950" s="5" t="str">
        <f t="shared" si="1"/>
        <v>36, 36, SLUGMA</v>
      </c>
      <c r="I950" s="5" t="s">
        <v>3119</v>
      </c>
    </row>
    <row r="951" ht="12.75" customHeight="1">
      <c r="A951" s="5" t="s">
        <v>3120</v>
      </c>
      <c r="B951" s="7">
        <v>18.0</v>
      </c>
      <c r="C951" s="7">
        <v>18.0</v>
      </c>
      <c r="D951" s="7" t="s">
        <v>3886</v>
      </c>
      <c r="E951" s="7"/>
      <c r="G951" s="5" t="str">
        <f t="shared" si="1"/>
        <v>18, 18, SLUGMA</v>
      </c>
      <c r="I951" s="5" t="s">
        <v>3120</v>
      </c>
    </row>
    <row r="952" ht="12.75" customHeight="1">
      <c r="A952" s="5">
        <v>0.01</v>
      </c>
      <c r="B952" s="5">
        <v>0.01</v>
      </c>
      <c r="C952" s="7"/>
      <c r="D952" s="7"/>
      <c r="E952" s="7"/>
      <c r="G952" s="5">
        <f t="shared" si="1"/>
        <v>0.01</v>
      </c>
      <c r="I952" s="5">
        <v>0.01</v>
      </c>
    </row>
    <row r="953" ht="12.75" customHeight="1">
      <c r="A953" s="5" t="s">
        <v>3119</v>
      </c>
      <c r="B953" s="7">
        <v>36.0</v>
      </c>
      <c r="C953" s="7">
        <v>36.0</v>
      </c>
      <c r="D953" s="7" t="s">
        <v>3886</v>
      </c>
      <c r="E953" s="7"/>
      <c r="G953" s="5" t="str">
        <f t="shared" si="1"/>
        <v>36, 36, SLUGMA</v>
      </c>
      <c r="I953" s="5" t="s">
        <v>3119</v>
      </c>
    </row>
    <row r="954" ht="12.75" customHeight="1">
      <c r="A954" s="5" t="s">
        <v>3120</v>
      </c>
      <c r="B954" s="7">
        <v>18.0</v>
      </c>
      <c r="C954" s="7">
        <v>18.0</v>
      </c>
      <c r="D954" s="7" t="s">
        <v>3886</v>
      </c>
      <c r="E954" s="7"/>
      <c r="G954" s="5" t="str">
        <f t="shared" si="1"/>
        <v>18, 18, SLUGMA</v>
      </c>
      <c r="I954" s="5" t="s">
        <v>3120</v>
      </c>
    </row>
    <row r="955" ht="12.75" customHeight="1">
      <c r="A955" s="5" t="s">
        <v>3121</v>
      </c>
      <c r="B955" s="7">
        <v>50.0</v>
      </c>
      <c r="C955" s="7">
        <v>15.0</v>
      </c>
      <c r="D955" s="7">
        <v>25.0</v>
      </c>
      <c r="E955" s="7" t="s">
        <v>3886</v>
      </c>
      <c r="G955" s="5" t="str">
        <f t="shared" si="1"/>
        <v>50, 15, 25, SLUGMA</v>
      </c>
      <c r="I955" s="5" t="s">
        <v>3121</v>
      </c>
    </row>
    <row r="956" ht="12.75" customHeight="1">
      <c r="A956" s="5" t="s">
        <v>3122</v>
      </c>
      <c r="B956" s="7">
        <v>25.0</v>
      </c>
      <c r="C956" s="7">
        <v>35.0</v>
      </c>
      <c r="D956" s="7" t="s">
        <v>3886</v>
      </c>
      <c r="E956" s="7"/>
      <c r="G956" s="5" t="str">
        <f t="shared" si="1"/>
        <v>25, 35, SLUGMA</v>
      </c>
      <c r="I956" s="5" t="s">
        <v>3122</v>
      </c>
    </row>
    <row r="957" ht="12.75" customHeight="1">
      <c r="A957" s="5" t="s">
        <v>3123</v>
      </c>
      <c r="B957" s="7">
        <v>40.0</v>
      </c>
      <c r="C957" s="7">
        <v>45.0</v>
      </c>
      <c r="D957" s="7" t="s">
        <v>3887</v>
      </c>
      <c r="E957" s="7"/>
      <c r="G957" s="5" t="str">
        <f t="shared" si="1"/>
        <v>40, 45, MAGCARGO</v>
      </c>
      <c r="I957" s="5" t="s">
        <v>3123</v>
      </c>
    </row>
    <row r="958" ht="12.75" customHeight="1">
      <c r="A958" s="5" t="s">
        <v>3124</v>
      </c>
      <c r="B958" s="7">
        <v>35.0</v>
      </c>
      <c r="C958" s="7">
        <v>45.0</v>
      </c>
      <c r="D958" s="7" t="s">
        <v>3887</v>
      </c>
      <c r="E958" s="7"/>
      <c r="G958" s="5" t="str">
        <f t="shared" si="1"/>
        <v>35, 45, MAGCARGO</v>
      </c>
      <c r="I958" s="5" t="s">
        <v>3124</v>
      </c>
    </row>
    <row r="959" ht="12.75" customHeight="1">
      <c r="A959" s="5" t="s">
        <v>3720</v>
      </c>
      <c r="B959" s="7">
        <v>25.0</v>
      </c>
      <c r="C959" s="7">
        <v>35.0</v>
      </c>
      <c r="D959" s="7" t="s">
        <v>3887</v>
      </c>
      <c r="E959" s="7"/>
      <c r="G959" s="5" t="str">
        <f t="shared" si="1"/>
        <v>25, 35, MAGCARGO</v>
      </c>
      <c r="I959" s="5" t="s">
        <v>3720</v>
      </c>
    </row>
    <row r="960" ht="12.75" customHeight="1">
      <c r="A960" s="5" t="s">
        <v>2539</v>
      </c>
      <c r="B960" s="7" t="s">
        <v>2539</v>
      </c>
      <c r="C960" s="7"/>
      <c r="D960" s="7"/>
      <c r="E960" s="7"/>
      <c r="G960" s="5" t="str">
        <f t="shared" si="1"/>
        <v>NEW ROUTE</v>
      </c>
      <c r="I960" s="5" t="s">
        <v>2539</v>
      </c>
    </row>
    <row r="961" ht="12.75" customHeight="1">
      <c r="A961" s="5" t="s">
        <v>1879</v>
      </c>
      <c r="B961" s="7" t="s">
        <v>1879</v>
      </c>
      <c r="C961" s="7"/>
      <c r="D961" s="7"/>
      <c r="E961" s="7"/>
      <c r="G961" s="5" t="str">
        <f t="shared" si="1"/>
        <v>Mt. Ember Ruby Path B1F Stairs</v>
      </c>
      <c r="I961" s="5" t="s">
        <v>1879</v>
      </c>
    </row>
    <row r="962" ht="12.75" customHeight="1">
      <c r="A962" s="5">
        <v>0.2</v>
      </c>
      <c r="B962" s="5">
        <v>0.2</v>
      </c>
      <c r="C962" s="7"/>
      <c r="D962" s="7"/>
      <c r="E962" s="7"/>
      <c r="G962" s="5">
        <f t="shared" si="1"/>
        <v>0.2</v>
      </c>
      <c r="I962" s="5">
        <v>0.2</v>
      </c>
    </row>
    <row r="963" ht="12.75" customHeight="1">
      <c r="A963" s="5" t="s">
        <v>701</v>
      </c>
      <c r="B963" s="7">
        <v>40.0</v>
      </c>
      <c r="C963" s="7">
        <v>40.0</v>
      </c>
      <c r="D963" s="7" t="s">
        <v>3741</v>
      </c>
      <c r="E963" s="7"/>
      <c r="G963" s="5" t="str">
        <f t="shared" si="1"/>
        <v>40, 40, GEODUDE</v>
      </c>
      <c r="I963" s="5" t="s">
        <v>701</v>
      </c>
    </row>
    <row r="964" ht="12.75" customHeight="1">
      <c r="A964" s="5" t="s">
        <v>707</v>
      </c>
      <c r="B964" s="7">
        <v>26.0</v>
      </c>
      <c r="C964" s="7">
        <v>26.0</v>
      </c>
      <c r="D964" s="7" t="s">
        <v>3886</v>
      </c>
      <c r="E964" s="7"/>
      <c r="G964" s="5" t="str">
        <f t="shared" si="1"/>
        <v>26, 26, SLUGMA</v>
      </c>
      <c r="I964" s="5" t="s">
        <v>707</v>
      </c>
    </row>
    <row r="965" ht="12.75" customHeight="1">
      <c r="A965" s="5">
        <v>0.1</v>
      </c>
      <c r="B965" s="5">
        <v>0.1</v>
      </c>
      <c r="C965" s="7"/>
      <c r="D965" s="7"/>
      <c r="E965" s="7"/>
      <c r="G965" s="5">
        <f t="shared" si="1"/>
        <v>0.1</v>
      </c>
      <c r="I965" s="5">
        <v>0.1</v>
      </c>
    </row>
    <row r="966" ht="12.75" customHeight="1">
      <c r="A966" s="5" t="s">
        <v>3109</v>
      </c>
      <c r="B966" s="7">
        <v>42.0</v>
      </c>
      <c r="C966" s="7">
        <v>42.0</v>
      </c>
      <c r="D966" s="7" t="s">
        <v>3741</v>
      </c>
      <c r="E966" s="7"/>
      <c r="G966" s="5" t="str">
        <f t="shared" si="1"/>
        <v>42, 42, GEODUDE</v>
      </c>
      <c r="I966" s="5" t="s">
        <v>3109</v>
      </c>
    </row>
    <row r="967" ht="12.75" customHeight="1">
      <c r="A967" s="5" t="s">
        <v>3108</v>
      </c>
      <c r="B967" s="7">
        <v>24.0</v>
      </c>
      <c r="C967" s="7">
        <v>24.0</v>
      </c>
      <c r="D967" s="7" t="s">
        <v>3886</v>
      </c>
      <c r="E967" s="7"/>
      <c r="G967" s="5" t="str">
        <f t="shared" si="1"/>
        <v>24, 24, SLUGMA</v>
      </c>
      <c r="I967" s="5" t="s">
        <v>3108</v>
      </c>
    </row>
    <row r="968" ht="12.75" customHeight="1">
      <c r="A968" s="5" t="s">
        <v>3110</v>
      </c>
      <c r="B968" s="7">
        <v>28.0</v>
      </c>
      <c r="C968" s="7">
        <v>28.0</v>
      </c>
      <c r="D968" s="7" t="s">
        <v>3886</v>
      </c>
      <c r="E968" s="7"/>
      <c r="G968" s="5" t="str">
        <f t="shared" si="1"/>
        <v>28, 28, SLUGMA</v>
      </c>
      <c r="I968" s="5" t="s">
        <v>3110</v>
      </c>
    </row>
    <row r="969" ht="12.75" customHeight="1">
      <c r="A969" s="5" t="s">
        <v>3111</v>
      </c>
      <c r="B969" s="7">
        <v>30.0</v>
      </c>
      <c r="C969" s="7">
        <v>30.0</v>
      </c>
      <c r="D969" s="7" t="s">
        <v>3886</v>
      </c>
      <c r="E969" s="7"/>
      <c r="G969" s="5" t="str">
        <f t="shared" si="1"/>
        <v>30, 30, SLUGMA</v>
      </c>
      <c r="I969" s="5" t="s">
        <v>3111</v>
      </c>
    </row>
    <row r="970" ht="12.75" customHeight="1">
      <c r="A970" s="5">
        <v>0.05</v>
      </c>
      <c r="B970" s="5">
        <v>0.05</v>
      </c>
      <c r="C970" s="7"/>
      <c r="D970" s="7"/>
      <c r="E970" s="7"/>
      <c r="G970" s="5">
        <f t="shared" si="1"/>
        <v>0.05</v>
      </c>
      <c r="I970" s="5">
        <v>0.05</v>
      </c>
    </row>
    <row r="971" ht="12.75" customHeight="1">
      <c r="A971" s="5" t="s">
        <v>3113</v>
      </c>
      <c r="B971" s="7">
        <v>44.0</v>
      </c>
      <c r="C971" s="7">
        <v>44.0</v>
      </c>
      <c r="D971" s="7" t="s">
        <v>3741</v>
      </c>
      <c r="E971" s="7"/>
      <c r="G971" s="5" t="str">
        <f t="shared" si="1"/>
        <v>44, 44, GEODUDE</v>
      </c>
      <c r="I971" s="5" t="s">
        <v>3113</v>
      </c>
    </row>
    <row r="972" ht="12.75" customHeight="1">
      <c r="A972" s="5" t="s">
        <v>3114</v>
      </c>
      <c r="B972" s="7">
        <v>32.0</v>
      </c>
      <c r="C972" s="7">
        <v>32.0</v>
      </c>
      <c r="D972" s="7" t="s">
        <v>3886</v>
      </c>
      <c r="E972" s="7"/>
      <c r="G972" s="5" t="str">
        <f t="shared" si="1"/>
        <v>32, 32, SLUGMA</v>
      </c>
      <c r="I972" s="5" t="s">
        <v>3114</v>
      </c>
    </row>
    <row r="973" ht="12.75" customHeight="1">
      <c r="A973" s="5">
        <v>0.04</v>
      </c>
      <c r="B973" s="5">
        <v>0.04</v>
      </c>
      <c r="C973" s="7"/>
      <c r="D973" s="7"/>
      <c r="E973" s="7"/>
      <c r="G973" s="5">
        <f t="shared" si="1"/>
        <v>0.04</v>
      </c>
      <c r="I973" s="5">
        <v>0.04</v>
      </c>
    </row>
    <row r="974" ht="12.75" customHeight="1">
      <c r="A974" s="5" t="s">
        <v>3113</v>
      </c>
      <c r="B974" s="7">
        <v>44.0</v>
      </c>
      <c r="C974" s="7">
        <v>44.0</v>
      </c>
      <c r="D974" s="7" t="s">
        <v>3741</v>
      </c>
      <c r="E974" s="7"/>
      <c r="G974" s="5" t="str">
        <f t="shared" si="1"/>
        <v>44, 44, GEODUDE</v>
      </c>
      <c r="I974" s="5" t="s">
        <v>3113</v>
      </c>
    </row>
    <row r="975" ht="12.75" customHeight="1">
      <c r="A975" s="5" t="s">
        <v>3115</v>
      </c>
      <c r="B975" s="7">
        <v>22.0</v>
      </c>
      <c r="C975" s="7">
        <v>22.0</v>
      </c>
      <c r="D975" s="7" t="s">
        <v>3886</v>
      </c>
      <c r="E975" s="7"/>
      <c r="G975" s="5" t="str">
        <f t="shared" si="1"/>
        <v>22, 22, SLUGMA</v>
      </c>
      <c r="I975" s="5" t="s">
        <v>3115</v>
      </c>
    </row>
    <row r="976" ht="12.75" customHeight="1">
      <c r="A976" s="5">
        <v>0.01</v>
      </c>
      <c r="B976" s="5">
        <v>0.01</v>
      </c>
      <c r="C976" s="7"/>
      <c r="D976" s="7"/>
      <c r="E976" s="7"/>
      <c r="G976" s="5">
        <f t="shared" si="1"/>
        <v>0.01</v>
      </c>
      <c r="I976" s="5">
        <v>0.01</v>
      </c>
    </row>
    <row r="977" ht="12.75" customHeight="1">
      <c r="A977" s="5" t="s">
        <v>3113</v>
      </c>
      <c r="B977" s="7">
        <v>44.0</v>
      </c>
      <c r="C977" s="7">
        <v>44.0</v>
      </c>
      <c r="D977" s="7" t="s">
        <v>3741</v>
      </c>
      <c r="E977" s="7"/>
      <c r="G977" s="5" t="str">
        <f t="shared" si="1"/>
        <v>44, 44, GEODUDE</v>
      </c>
      <c r="I977" s="5" t="s">
        <v>3113</v>
      </c>
    </row>
    <row r="978" ht="12.75" customHeight="1">
      <c r="A978" s="5" t="s">
        <v>3115</v>
      </c>
      <c r="B978" s="7">
        <v>22.0</v>
      </c>
      <c r="C978" s="7">
        <v>22.0</v>
      </c>
      <c r="D978" s="7" t="s">
        <v>3886</v>
      </c>
      <c r="E978" s="7"/>
      <c r="G978" s="5" t="str">
        <f t="shared" si="1"/>
        <v>22, 22, SLUGMA</v>
      </c>
      <c r="I978" s="5" t="s">
        <v>3115</v>
      </c>
    </row>
    <row r="979" ht="12.75" customHeight="1">
      <c r="A979" s="5" t="s">
        <v>3102</v>
      </c>
      <c r="B979" s="7">
        <v>50.0</v>
      </c>
      <c r="C979" s="7">
        <v>25.0</v>
      </c>
      <c r="D979" s="7">
        <v>35.0</v>
      </c>
      <c r="E979" s="7" t="s">
        <v>3741</v>
      </c>
      <c r="G979" s="5" t="str">
        <f t="shared" si="1"/>
        <v>50, 25, 35, GEODUDE</v>
      </c>
      <c r="I979" s="5" t="s">
        <v>3102</v>
      </c>
    </row>
    <row r="980" ht="12.75" customHeight="1">
      <c r="A980" s="5" t="s">
        <v>3103</v>
      </c>
      <c r="B980" s="7">
        <v>30.0</v>
      </c>
      <c r="C980" s="7">
        <v>45.0</v>
      </c>
      <c r="D980" s="7" t="s">
        <v>3747</v>
      </c>
      <c r="E980" s="7"/>
      <c r="G980" s="5" t="str">
        <f t="shared" si="1"/>
        <v>30, 45, GRAVELER</v>
      </c>
      <c r="I980" s="5" t="s">
        <v>3103</v>
      </c>
    </row>
    <row r="981" ht="12.75" customHeight="1">
      <c r="A981" s="5" t="s">
        <v>3104</v>
      </c>
      <c r="B981" s="7">
        <v>35.0</v>
      </c>
      <c r="C981" s="7">
        <v>50.0</v>
      </c>
      <c r="D981" s="7" t="s">
        <v>3747</v>
      </c>
      <c r="E981" s="7"/>
      <c r="G981" s="5" t="str">
        <f t="shared" si="1"/>
        <v>35, 50, GRAVELER</v>
      </c>
      <c r="I981" s="5" t="s">
        <v>3104</v>
      </c>
    </row>
    <row r="982" ht="12.75" customHeight="1">
      <c r="A982" s="5" t="s">
        <v>3105</v>
      </c>
      <c r="B982" s="7">
        <v>30.0</v>
      </c>
      <c r="C982" s="7">
        <v>40.0</v>
      </c>
      <c r="D982" s="7" t="s">
        <v>3741</v>
      </c>
      <c r="E982" s="7"/>
      <c r="G982" s="5" t="str">
        <f t="shared" si="1"/>
        <v>30, 40, GEODUDE</v>
      </c>
      <c r="I982" s="5" t="s">
        <v>3105</v>
      </c>
    </row>
    <row r="983" ht="12.75" customHeight="1">
      <c r="A983" s="5" t="s">
        <v>3105</v>
      </c>
      <c r="B983" s="7">
        <v>30.0</v>
      </c>
      <c r="C983" s="7">
        <v>40.0</v>
      </c>
      <c r="D983" s="7" t="s">
        <v>3741</v>
      </c>
      <c r="E983" s="7"/>
      <c r="G983" s="5" t="str">
        <f t="shared" si="1"/>
        <v>30, 40, GEODUDE</v>
      </c>
      <c r="I983" s="5" t="s">
        <v>3105</v>
      </c>
    </row>
    <row r="984" ht="12.75" customHeight="1">
      <c r="A984" s="5" t="s">
        <v>2539</v>
      </c>
      <c r="B984" s="7" t="s">
        <v>2539</v>
      </c>
      <c r="C984" s="7"/>
      <c r="D984" s="7"/>
      <c r="E984" s="7"/>
      <c r="G984" s="5" t="str">
        <f t="shared" si="1"/>
        <v>NEW ROUTE</v>
      </c>
      <c r="I984" s="5" t="s">
        <v>2539</v>
      </c>
    </row>
    <row r="985" ht="12.75" customHeight="1">
      <c r="A985" s="5" t="s">
        <v>1883</v>
      </c>
      <c r="B985" s="7" t="s">
        <v>1883</v>
      </c>
      <c r="C985" s="7"/>
      <c r="D985" s="7"/>
      <c r="E985" s="7"/>
      <c r="G985" s="5" t="str">
        <f t="shared" si="1"/>
        <v>Mt. Ember Ruby Path B2F Stairs</v>
      </c>
      <c r="I985" s="5" t="s">
        <v>1883</v>
      </c>
    </row>
    <row r="986" ht="12.75" customHeight="1">
      <c r="A986" s="5">
        <v>0.2</v>
      </c>
      <c r="B986" s="5">
        <v>0.2</v>
      </c>
      <c r="C986" s="7"/>
      <c r="D986" s="7"/>
      <c r="E986" s="7"/>
      <c r="G986" s="5">
        <f t="shared" si="1"/>
        <v>0.2</v>
      </c>
      <c r="I986" s="5">
        <v>0.2</v>
      </c>
    </row>
    <row r="987" ht="12.75" customHeight="1">
      <c r="A987" s="5" t="s">
        <v>692</v>
      </c>
      <c r="B987" s="7">
        <v>38.0</v>
      </c>
      <c r="C987" s="7">
        <v>38.0</v>
      </c>
      <c r="D987" s="7" t="s">
        <v>3741</v>
      </c>
      <c r="E987" s="7"/>
      <c r="G987" s="5" t="str">
        <f t="shared" si="1"/>
        <v>38, 38, GEODUDE</v>
      </c>
      <c r="I987" s="5" t="s">
        <v>692</v>
      </c>
    </row>
    <row r="988" ht="12.75" customHeight="1">
      <c r="A988" s="5" t="s">
        <v>680</v>
      </c>
      <c r="B988" s="7">
        <v>36.0</v>
      </c>
      <c r="C988" s="7">
        <v>36.0</v>
      </c>
      <c r="D988" s="7" t="s">
        <v>3741</v>
      </c>
      <c r="E988" s="7"/>
      <c r="G988" s="5" t="str">
        <f t="shared" si="1"/>
        <v>36, 36, GEODUDE</v>
      </c>
      <c r="I988" s="5" t="s">
        <v>680</v>
      </c>
    </row>
    <row r="989" ht="12.75" customHeight="1">
      <c r="A989" s="5">
        <v>0.1</v>
      </c>
      <c r="B989" s="5">
        <v>0.1</v>
      </c>
      <c r="C989" s="7"/>
      <c r="D989" s="7"/>
      <c r="E989" s="7"/>
      <c r="G989" s="5">
        <f t="shared" si="1"/>
        <v>0.1</v>
      </c>
      <c r="I989" s="5">
        <v>0.1</v>
      </c>
    </row>
    <row r="990" ht="12.75" customHeight="1">
      <c r="A990" s="5" t="s">
        <v>669</v>
      </c>
      <c r="B990" s="7">
        <v>34.0</v>
      </c>
      <c r="C990" s="7">
        <v>34.0</v>
      </c>
      <c r="D990" s="7" t="s">
        <v>3741</v>
      </c>
      <c r="E990" s="7"/>
      <c r="G990" s="5" t="str">
        <f t="shared" si="1"/>
        <v>34, 34, GEODUDE</v>
      </c>
      <c r="I990" s="5" t="s">
        <v>669</v>
      </c>
    </row>
    <row r="991" ht="12.75" customHeight="1">
      <c r="A991" s="5" t="s">
        <v>701</v>
      </c>
      <c r="B991" s="7">
        <v>40.0</v>
      </c>
      <c r="C991" s="7">
        <v>40.0</v>
      </c>
      <c r="D991" s="7" t="s">
        <v>3741</v>
      </c>
      <c r="E991" s="7"/>
      <c r="G991" s="5" t="str">
        <f t="shared" si="1"/>
        <v>40, 40, GEODUDE</v>
      </c>
      <c r="I991" s="5" t="s">
        <v>701</v>
      </c>
    </row>
    <row r="992" ht="12.75" customHeight="1">
      <c r="A992" s="5" t="s">
        <v>3108</v>
      </c>
      <c r="B992" s="7">
        <v>24.0</v>
      </c>
      <c r="C992" s="7">
        <v>24.0</v>
      </c>
      <c r="D992" s="7" t="s">
        <v>3886</v>
      </c>
      <c r="E992" s="7"/>
      <c r="G992" s="5" t="str">
        <f t="shared" si="1"/>
        <v>24, 24, SLUGMA</v>
      </c>
      <c r="I992" s="5" t="s">
        <v>3108</v>
      </c>
    </row>
    <row r="993" ht="12.75" customHeight="1">
      <c r="A993" s="5" t="s">
        <v>707</v>
      </c>
      <c r="B993" s="7">
        <v>26.0</v>
      </c>
      <c r="C993" s="7">
        <v>26.0</v>
      </c>
      <c r="D993" s="7" t="s">
        <v>3886</v>
      </c>
      <c r="E993" s="7"/>
      <c r="G993" s="5" t="str">
        <f t="shared" si="1"/>
        <v>26, 26, SLUGMA</v>
      </c>
      <c r="I993" s="5" t="s">
        <v>707</v>
      </c>
    </row>
    <row r="994" ht="12.75" customHeight="1">
      <c r="A994" s="5">
        <v>0.05</v>
      </c>
      <c r="B994" s="5">
        <v>0.05</v>
      </c>
      <c r="C994" s="7"/>
      <c r="D994" s="7"/>
      <c r="E994" s="7"/>
      <c r="G994" s="5">
        <f t="shared" si="1"/>
        <v>0.05</v>
      </c>
      <c r="I994" s="5">
        <v>0.05</v>
      </c>
    </row>
    <row r="995" ht="12.75" customHeight="1">
      <c r="A995" s="5" t="s">
        <v>3109</v>
      </c>
      <c r="B995" s="7">
        <v>42.0</v>
      </c>
      <c r="C995" s="7">
        <v>42.0</v>
      </c>
      <c r="D995" s="7" t="s">
        <v>3741</v>
      </c>
      <c r="E995" s="7"/>
      <c r="G995" s="5" t="str">
        <f t="shared" si="1"/>
        <v>42, 42, GEODUDE</v>
      </c>
      <c r="I995" s="5" t="s">
        <v>3109</v>
      </c>
    </row>
    <row r="996" ht="12.75" customHeight="1">
      <c r="A996" s="5" t="s">
        <v>3110</v>
      </c>
      <c r="B996" s="7">
        <v>28.0</v>
      </c>
      <c r="C996" s="7">
        <v>28.0</v>
      </c>
      <c r="D996" s="7" t="s">
        <v>3886</v>
      </c>
      <c r="E996" s="7"/>
      <c r="G996" s="5" t="str">
        <f t="shared" si="1"/>
        <v>28, 28, SLUGMA</v>
      </c>
      <c r="I996" s="5" t="s">
        <v>3110</v>
      </c>
    </row>
    <row r="997" ht="12.75" customHeight="1">
      <c r="A997" s="5">
        <v>0.04</v>
      </c>
      <c r="B997" s="5">
        <v>0.04</v>
      </c>
      <c r="C997" s="7"/>
      <c r="D997" s="7"/>
      <c r="E997" s="7"/>
      <c r="G997" s="5">
        <f t="shared" si="1"/>
        <v>0.04</v>
      </c>
      <c r="I997" s="5">
        <v>0.04</v>
      </c>
    </row>
    <row r="998" ht="12.75" customHeight="1">
      <c r="A998" s="5" t="s">
        <v>3109</v>
      </c>
      <c r="B998" s="7">
        <v>42.0</v>
      </c>
      <c r="C998" s="7">
        <v>42.0</v>
      </c>
      <c r="D998" s="7" t="s">
        <v>3741</v>
      </c>
      <c r="E998" s="7"/>
      <c r="G998" s="5" t="str">
        <f t="shared" si="1"/>
        <v>42, 42, GEODUDE</v>
      </c>
      <c r="I998" s="5" t="s">
        <v>3109</v>
      </c>
    </row>
    <row r="999" ht="12.75" customHeight="1">
      <c r="A999" s="5" t="s">
        <v>3111</v>
      </c>
      <c r="B999" s="7">
        <v>30.0</v>
      </c>
      <c r="C999" s="7">
        <v>30.0</v>
      </c>
      <c r="D999" s="7" t="s">
        <v>3886</v>
      </c>
      <c r="E999" s="7"/>
      <c r="G999" s="5" t="str">
        <f t="shared" si="1"/>
        <v>30, 30, SLUGMA</v>
      </c>
      <c r="I999" s="5" t="s">
        <v>3111</v>
      </c>
    </row>
    <row r="1000" ht="12.75" customHeight="1">
      <c r="A1000" s="5">
        <v>0.01</v>
      </c>
      <c r="B1000" s="5">
        <v>0.01</v>
      </c>
      <c r="C1000" s="7"/>
      <c r="D1000" s="7"/>
      <c r="E1000" s="7"/>
      <c r="G1000" s="5">
        <f t="shared" si="1"/>
        <v>0.01</v>
      </c>
      <c r="I1000" s="5">
        <v>0.01</v>
      </c>
    </row>
    <row r="1001" ht="12.75" customHeight="1">
      <c r="A1001" s="5" t="s">
        <v>3109</v>
      </c>
      <c r="B1001" s="7">
        <v>42.0</v>
      </c>
      <c r="C1001" s="7">
        <v>42.0</v>
      </c>
      <c r="D1001" s="7" t="s">
        <v>3741</v>
      </c>
      <c r="E1001" s="7"/>
      <c r="G1001" s="5" t="str">
        <f t="shared" si="1"/>
        <v>42, 42, GEODUDE</v>
      </c>
      <c r="I1001" s="5" t="s">
        <v>3109</v>
      </c>
    </row>
    <row r="1002" ht="12.75" customHeight="1">
      <c r="A1002" s="5" t="s">
        <v>3111</v>
      </c>
      <c r="B1002" s="7">
        <v>30.0</v>
      </c>
      <c r="C1002" s="7">
        <v>30.0</v>
      </c>
      <c r="D1002" s="7" t="s">
        <v>3886</v>
      </c>
      <c r="E1002" s="7"/>
      <c r="G1002" s="5" t="str">
        <f t="shared" si="1"/>
        <v>30, 30, SLUGMA</v>
      </c>
      <c r="I1002" s="5" t="s">
        <v>3111</v>
      </c>
    </row>
    <row r="1003" ht="12.75" customHeight="1">
      <c r="A1003" s="5" t="s">
        <v>3102</v>
      </c>
      <c r="B1003" s="7">
        <v>50.0</v>
      </c>
      <c r="C1003" s="7">
        <v>25.0</v>
      </c>
      <c r="D1003" s="7">
        <v>35.0</v>
      </c>
      <c r="E1003" s="7" t="s">
        <v>3741</v>
      </c>
      <c r="G1003" s="5" t="str">
        <f t="shared" si="1"/>
        <v>50, 25, 35, GEODUDE</v>
      </c>
      <c r="I1003" s="5" t="s">
        <v>3102</v>
      </c>
    </row>
    <row r="1004" ht="12.75" customHeight="1">
      <c r="A1004" s="5" t="s">
        <v>3103</v>
      </c>
      <c r="B1004" s="7">
        <v>30.0</v>
      </c>
      <c r="C1004" s="7">
        <v>45.0</v>
      </c>
      <c r="D1004" s="7" t="s">
        <v>3747</v>
      </c>
      <c r="E1004" s="7"/>
      <c r="G1004" s="5" t="str">
        <f t="shared" si="1"/>
        <v>30, 45, GRAVELER</v>
      </c>
      <c r="I1004" s="5" t="s">
        <v>3103</v>
      </c>
    </row>
    <row r="1005" ht="12.75" customHeight="1">
      <c r="A1005" s="5" t="s">
        <v>3104</v>
      </c>
      <c r="B1005" s="7">
        <v>35.0</v>
      </c>
      <c r="C1005" s="7">
        <v>50.0</v>
      </c>
      <c r="D1005" s="7" t="s">
        <v>3747</v>
      </c>
      <c r="E1005" s="7"/>
      <c r="G1005" s="5" t="str">
        <f t="shared" si="1"/>
        <v>35, 50, GRAVELER</v>
      </c>
      <c r="I1005" s="5" t="s">
        <v>3104</v>
      </c>
    </row>
    <row r="1006" ht="12.75" customHeight="1">
      <c r="A1006" s="5" t="s">
        <v>3105</v>
      </c>
      <c r="B1006" s="7">
        <v>30.0</v>
      </c>
      <c r="C1006" s="7">
        <v>40.0</v>
      </c>
      <c r="D1006" s="7" t="s">
        <v>3741</v>
      </c>
      <c r="E1006" s="7"/>
      <c r="G1006" s="5" t="str">
        <f t="shared" si="1"/>
        <v>30, 40, GEODUDE</v>
      </c>
      <c r="I1006" s="5" t="s">
        <v>3105</v>
      </c>
    </row>
    <row r="1007" ht="12.75" customHeight="1">
      <c r="A1007" s="5" t="s">
        <v>3105</v>
      </c>
      <c r="B1007" s="7">
        <v>30.0</v>
      </c>
      <c r="C1007" s="7">
        <v>40.0</v>
      </c>
      <c r="D1007" s="7" t="s">
        <v>3741</v>
      </c>
      <c r="E1007" s="7"/>
      <c r="G1007" s="5" t="str">
        <f t="shared" si="1"/>
        <v>30, 40, GEODUDE</v>
      </c>
      <c r="I1007" s="5" t="s">
        <v>3105</v>
      </c>
    </row>
    <row r="1008" ht="12.75" customHeight="1">
      <c r="A1008" s="5" t="s">
        <v>2539</v>
      </c>
      <c r="B1008" s="7" t="s">
        <v>2539</v>
      </c>
      <c r="C1008" s="7"/>
      <c r="D1008" s="7"/>
      <c r="E1008" s="7"/>
      <c r="G1008" s="5" t="str">
        <f t="shared" si="1"/>
        <v>NEW ROUTE</v>
      </c>
      <c r="I1008" s="5" t="s">
        <v>2539</v>
      </c>
    </row>
    <row r="1009" ht="12.75" customHeight="1">
      <c r="A1009" s="5" t="s">
        <v>1887</v>
      </c>
      <c r="B1009" s="7" t="s">
        <v>1887</v>
      </c>
      <c r="C1009" s="7"/>
      <c r="D1009" s="7"/>
      <c r="E1009" s="7"/>
      <c r="G1009" s="5" t="str">
        <f t="shared" si="1"/>
        <v>Three Island Berry Forest</v>
      </c>
      <c r="I1009" s="5" t="s">
        <v>1887</v>
      </c>
    </row>
    <row r="1010" ht="12.75" customHeight="1">
      <c r="A1010" s="5">
        <v>0.2</v>
      </c>
      <c r="B1010" s="5">
        <v>0.2</v>
      </c>
      <c r="C1010" s="7"/>
      <c r="D1010" s="7"/>
      <c r="E1010" s="7"/>
      <c r="G1010" s="5">
        <f t="shared" si="1"/>
        <v>0.2</v>
      </c>
      <c r="I1010" s="5">
        <v>0.2</v>
      </c>
    </row>
    <row r="1011" ht="12.75" customHeight="1">
      <c r="A1011" s="5" t="s">
        <v>720</v>
      </c>
      <c r="B1011" s="7">
        <v>37.0</v>
      </c>
      <c r="C1011" s="7">
        <v>37.0</v>
      </c>
      <c r="D1011" s="7" t="s">
        <v>3888</v>
      </c>
      <c r="E1011" s="7"/>
      <c r="G1011" s="5" t="str">
        <f t="shared" si="1"/>
        <v>37, 37, PIDGEOTTO</v>
      </c>
      <c r="I1011" s="5" t="s">
        <v>720</v>
      </c>
    </row>
    <row r="1012" ht="12.75" customHeight="1">
      <c r="A1012" s="5" t="s">
        <v>3129</v>
      </c>
      <c r="B1012" s="7">
        <v>35.0</v>
      </c>
      <c r="C1012" s="7">
        <v>35.0</v>
      </c>
      <c r="D1012" s="7" t="s">
        <v>3889</v>
      </c>
      <c r="E1012" s="7"/>
      <c r="G1012" s="5" t="str">
        <f t="shared" si="1"/>
        <v>35, 35, WEEPINBELL</v>
      </c>
      <c r="I1012" s="5" t="s">
        <v>3129</v>
      </c>
    </row>
    <row r="1013" ht="12.75" customHeight="1">
      <c r="A1013" s="5">
        <v>0.1</v>
      </c>
      <c r="B1013" s="5">
        <v>0.1</v>
      </c>
      <c r="C1013" s="7"/>
      <c r="D1013" s="7"/>
      <c r="E1013" s="7"/>
      <c r="G1013" s="5">
        <f t="shared" si="1"/>
        <v>0.1</v>
      </c>
      <c r="I1013" s="5">
        <v>0.1</v>
      </c>
    </row>
    <row r="1014" ht="12.75" customHeight="1">
      <c r="A1014" s="5" t="s">
        <v>846</v>
      </c>
      <c r="B1014" s="7">
        <v>32.0</v>
      </c>
      <c r="C1014" s="7">
        <v>32.0</v>
      </c>
      <c r="D1014" s="7" t="s">
        <v>3890</v>
      </c>
      <c r="E1014" s="7"/>
      <c r="G1014" s="5" t="str">
        <f t="shared" si="1"/>
        <v>32, 32, PIDGEY</v>
      </c>
      <c r="I1014" s="5" t="s">
        <v>846</v>
      </c>
    </row>
    <row r="1015" ht="12.75" customHeight="1">
      <c r="A1015" s="5" t="s">
        <v>3130</v>
      </c>
      <c r="B1015" s="7">
        <v>30.0</v>
      </c>
      <c r="C1015" s="7">
        <v>30.0</v>
      </c>
      <c r="D1015" s="7" t="s">
        <v>3891</v>
      </c>
      <c r="E1015" s="7"/>
      <c r="G1015" s="5" t="str">
        <f t="shared" si="1"/>
        <v>30, 30, BELLSPROUT</v>
      </c>
      <c r="I1015" s="5" t="s">
        <v>3130</v>
      </c>
    </row>
    <row r="1016" ht="12.75" customHeight="1">
      <c r="A1016" s="5" t="s">
        <v>3131</v>
      </c>
      <c r="B1016" s="7">
        <v>34.0</v>
      </c>
      <c r="C1016" s="7">
        <v>34.0</v>
      </c>
      <c r="D1016" s="7" t="s">
        <v>3892</v>
      </c>
      <c r="E1016" s="7"/>
      <c r="G1016" s="5" t="str">
        <f t="shared" si="1"/>
        <v>34, 34, VENONAT</v>
      </c>
      <c r="I1016" s="5" t="s">
        <v>3131</v>
      </c>
    </row>
    <row r="1017" ht="12.75" customHeight="1">
      <c r="A1017" s="5" t="s">
        <v>3132</v>
      </c>
      <c r="B1017" s="7">
        <v>34.0</v>
      </c>
      <c r="C1017" s="7">
        <v>34.0</v>
      </c>
      <c r="D1017" s="7" t="s">
        <v>3868</v>
      </c>
      <c r="E1017" s="7"/>
      <c r="G1017" s="5" t="str">
        <f t="shared" si="1"/>
        <v>34, 34, DROWZEE</v>
      </c>
      <c r="I1017" s="5" t="s">
        <v>3132</v>
      </c>
    </row>
    <row r="1018" ht="12.75" customHeight="1">
      <c r="A1018" s="5">
        <v>0.05</v>
      </c>
      <c r="B1018" s="5">
        <v>0.05</v>
      </c>
      <c r="C1018" s="7"/>
      <c r="D1018" s="7"/>
      <c r="E1018" s="7"/>
      <c r="G1018" s="5">
        <f t="shared" si="1"/>
        <v>0.05</v>
      </c>
      <c r="I1018" s="5">
        <v>0.05</v>
      </c>
    </row>
    <row r="1019" ht="12.75" customHeight="1">
      <c r="A1019" s="5" t="s">
        <v>3133</v>
      </c>
      <c r="B1019" s="7">
        <v>35.0</v>
      </c>
      <c r="C1019" s="7">
        <v>35.0</v>
      </c>
      <c r="D1019" s="7" t="s">
        <v>3893</v>
      </c>
      <c r="E1019" s="7"/>
      <c r="G1019" s="5" t="str">
        <f t="shared" si="1"/>
        <v>35, 35, EXEGGCUTE</v>
      </c>
      <c r="I1019" s="5" t="s">
        <v>3133</v>
      </c>
    </row>
    <row r="1020" ht="12.75" customHeight="1">
      <c r="A1020" s="5" t="s">
        <v>3134</v>
      </c>
      <c r="B1020" s="7">
        <v>31.0</v>
      </c>
      <c r="C1020" s="7">
        <v>31.0</v>
      </c>
      <c r="D1020" s="7" t="s">
        <v>3756</v>
      </c>
      <c r="E1020" s="7"/>
      <c r="G1020" s="5" t="str">
        <f t="shared" si="1"/>
        <v>31, 31, SLOWPOKE</v>
      </c>
      <c r="I1020" s="5" t="s">
        <v>3134</v>
      </c>
    </row>
    <row r="1021" ht="12.75" customHeight="1">
      <c r="A1021" s="5">
        <v>0.04</v>
      </c>
      <c r="B1021" s="5">
        <v>0.04</v>
      </c>
      <c r="C1021" s="7"/>
      <c r="D1021" s="7"/>
      <c r="E1021" s="7"/>
      <c r="G1021" s="5">
        <f t="shared" si="1"/>
        <v>0.04</v>
      </c>
      <c r="I1021" s="5">
        <v>0.04</v>
      </c>
    </row>
    <row r="1022" ht="12.75" customHeight="1">
      <c r="A1022" s="5" t="s">
        <v>3135</v>
      </c>
      <c r="B1022" s="7">
        <v>37.0</v>
      </c>
      <c r="C1022" s="7">
        <v>37.0</v>
      </c>
      <c r="D1022" s="7" t="s">
        <v>3791</v>
      </c>
      <c r="E1022" s="7"/>
      <c r="G1022" s="5" t="str">
        <f t="shared" si="1"/>
        <v>37, 37, VENOMOTH</v>
      </c>
      <c r="I1022" s="5" t="s">
        <v>3135</v>
      </c>
    </row>
    <row r="1023" ht="12.75" customHeight="1">
      <c r="A1023" s="5" t="s">
        <v>3136</v>
      </c>
      <c r="B1023" s="7">
        <v>37.0</v>
      </c>
      <c r="C1023" s="7">
        <v>37.0</v>
      </c>
      <c r="D1023" s="7" t="s">
        <v>3870</v>
      </c>
      <c r="E1023" s="7"/>
      <c r="G1023" s="5" t="str">
        <f t="shared" si="1"/>
        <v>37, 37, HYPNO</v>
      </c>
      <c r="I1023" s="5" t="s">
        <v>3136</v>
      </c>
    </row>
    <row r="1024" ht="12.75" customHeight="1">
      <c r="A1024" s="5">
        <v>0.01</v>
      </c>
      <c r="B1024" s="5">
        <v>0.01</v>
      </c>
      <c r="C1024" s="7"/>
      <c r="D1024" s="7"/>
      <c r="E1024" s="7"/>
      <c r="G1024" s="5">
        <f t="shared" si="1"/>
        <v>0.01</v>
      </c>
      <c r="I1024" s="5">
        <v>0.01</v>
      </c>
    </row>
    <row r="1025" ht="12.75" customHeight="1">
      <c r="A1025" s="5" t="s">
        <v>3137</v>
      </c>
      <c r="B1025" s="7">
        <v>40.0</v>
      </c>
      <c r="C1025" s="7">
        <v>40.0</v>
      </c>
      <c r="D1025" s="7" t="s">
        <v>3791</v>
      </c>
      <c r="E1025" s="7"/>
      <c r="G1025" s="5" t="str">
        <f t="shared" si="1"/>
        <v>40, 40, VENOMOTH</v>
      </c>
      <c r="I1025" s="5" t="s">
        <v>3137</v>
      </c>
    </row>
    <row r="1026" ht="12.75" customHeight="1">
      <c r="A1026" s="5" t="s">
        <v>3138</v>
      </c>
      <c r="B1026" s="7">
        <v>40.0</v>
      </c>
      <c r="C1026" s="7">
        <v>40.0</v>
      </c>
      <c r="D1026" s="7" t="s">
        <v>3870</v>
      </c>
      <c r="E1026" s="7"/>
      <c r="G1026" s="5" t="str">
        <f t="shared" si="1"/>
        <v>40, 40, HYPNO</v>
      </c>
      <c r="I1026" s="5" t="s">
        <v>3138</v>
      </c>
    </row>
    <row r="1027" ht="12.75" customHeight="1">
      <c r="A1027" s="5" t="s">
        <v>3139</v>
      </c>
      <c r="B1027" s="7">
        <v>2.0</v>
      </c>
      <c r="C1027" s="7">
        <v>5.0</v>
      </c>
      <c r="D1027" s="7">
        <v>20.0</v>
      </c>
      <c r="E1027" s="7" t="s">
        <v>3756</v>
      </c>
      <c r="G1027" s="5" t="str">
        <f t="shared" si="1"/>
        <v>2, 5, 20, SLOWPOKE</v>
      </c>
      <c r="I1027" s="5" t="s">
        <v>3139</v>
      </c>
    </row>
    <row r="1028" ht="12.75" customHeight="1">
      <c r="A1028" s="5" t="s">
        <v>3140</v>
      </c>
      <c r="B1028" s="7">
        <v>20.0</v>
      </c>
      <c r="C1028" s="7">
        <v>35.0</v>
      </c>
      <c r="D1028" s="7" t="s">
        <v>3756</v>
      </c>
      <c r="E1028" s="7"/>
      <c r="G1028" s="5" t="str">
        <f t="shared" si="1"/>
        <v>20, 35, SLOWPOKE</v>
      </c>
      <c r="I1028" s="5" t="s">
        <v>3140</v>
      </c>
    </row>
    <row r="1029" ht="12.75" customHeight="1">
      <c r="A1029" s="5" t="s">
        <v>3141</v>
      </c>
      <c r="B1029" s="7">
        <v>35.0</v>
      </c>
      <c r="C1029" s="7">
        <v>40.0</v>
      </c>
      <c r="D1029" s="7" t="s">
        <v>3756</v>
      </c>
      <c r="E1029" s="7"/>
      <c r="G1029" s="5" t="str">
        <f t="shared" si="1"/>
        <v>35, 40, SLOWPOKE</v>
      </c>
      <c r="I1029" s="5" t="s">
        <v>3141</v>
      </c>
    </row>
    <row r="1030" ht="12.75" customHeight="1">
      <c r="A1030" s="5" t="s">
        <v>3142</v>
      </c>
      <c r="B1030" s="7">
        <v>35.0</v>
      </c>
      <c r="C1030" s="7">
        <v>40.0</v>
      </c>
      <c r="D1030" s="7" t="s">
        <v>3801</v>
      </c>
      <c r="E1030" s="7"/>
      <c r="G1030" s="5" t="str">
        <f t="shared" si="1"/>
        <v>35, 40, SLOWBRO</v>
      </c>
      <c r="I1030" s="5" t="s">
        <v>3142</v>
      </c>
    </row>
    <row r="1031" ht="12.75" customHeight="1">
      <c r="A1031" s="5" t="s">
        <v>3142</v>
      </c>
      <c r="B1031" s="7">
        <v>35.0</v>
      </c>
      <c r="C1031" s="7">
        <v>40.0</v>
      </c>
      <c r="D1031" s="7" t="s">
        <v>3801</v>
      </c>
      <c r="E1031" s="7"/>
      <c r="G1031" s="5" t="str">
        <f t="shared" si="1"/>
        <v>35, 40, SLOWBRO</v>
      </c>
      <c r="I1031" s="5" t="s">
        <v>3142</v>
      </c>
    </row>
    <row r="1032" ht="12.75" customHeight="1">
      <c r="A1032" s="5" t="s">
        <v>2926</v>
      </c>
      <c r="B1032" s="7">
        <v>20.0</v>
      </c>
      <c r="C1032" s="7" t="s">
        <v>3749</v>
      </c>
      <c r="D1032" s="7"/>
      <c r="E1032" s="7"/>
      <c r="G1032" s="5" t="str">
        <f t="shared" si="1"/>
        <v>old rod:</v>
      </c>
      <c r="I1032" s="5" t="s">
        <v>3750</v>
      </c>
    </row>
    <row r="1033" ht="12.75" customHeight="1">
      <c r="A1033" s="5" t="s">
        <v>417</v>
      </c>
      <c r="B1033" s="7">
        <v>5.0</v>
      </c>
      <c r="C1033" s="7">
        <v>5.0</v>
      </c>
      <c r="D1033" s="7" t="s">
        <v>3751</v>
      </c>
      <c r="E1033" s="7"/>
      <c r="G1033" s="5" t="str">
        <f t="shared" si="1"/>
        <v>5, 5, MAGIKARP</v>
      </c>
      <c r="I1033" s="5" t="s">
        <v>417</v>
      </c>
    </row>
    <row r="1034" ht="12.75" customHeight="1">
      <c r="A1034" s="5" t="s">
        <v>417</v>
      </c>
      <c r="B1034" s="7">
        <v>5.0</v>
      </c>
      <c r="C1034" s="7">
        <v>5.0</v>
      </c>
      <c r="D1034" s="7" t="s">
        <v>3751</v>
      </c>
      <c r="E1034" s="7"/>
      <c r="G1034" s="5" t="str">
        <f t="shared" si="1"/>
        <v>5, 5, MAGIKARP</v>
      </c>
      <c r="I1034" s="5" t="s">
        <v>417</v>
      </c>
    </row>
    <row r="1035" ht="12.75" customHeight="1">
      <c r="A1035" s="5" t="s">
        <v>2847</v>
      </c>
      <c r="B1035" s="7" t="s">
        <v>2847</v>
      </c>
      <c r="C1035" s="7"/>
      <c r="D1035" s="7"/>
      <c r="E1035" s="7"/>
      <c r="G1035" s="5" t="str">
        <f t="shared" si="1"/>
        <v>good rod:</v>
      </c>
      <c r="I1035" s="5" t="s">
        <v>2847</v>
      </c>
    </row>
    <row r="1036" ht="12.75" customHeight="1">
      <c r="A1036" s="5" t="s">
        <v>3143</v>
      </c>
      <c r="B1036" s="7">
        <v>5.0</v>
      </c>
      <c r="C1036" s="7">
        <v>15.0</v>
      </c>
      <c r="D1036" s="7" t="s">
        <v>3805</v>
      </c>
      <c r="E1036" s="7"/>
      <c r="G1036" s="5" t="str">
        <f t="shared" si="1"/>
        <v>5, 15, GOLDEEN</v>
      </c>
      <c r="I1036" s="5" t="s">
        <v>3143</v>
      </c>
    </row>
    <row r="1037" ht="12.75" customHeight="1">
      <c r="A1037" s="5" t="s">
        <v>2849</v>
      </c>
      <c r="B1037" s="7">
        <v>5.0</v>
      </c>
      <c r="C1037" s="7">
        <v>15.0</v>
      </c>
      <c r="D1037" s="7" t="s">
        <v>3751</v>
      </c>
      <c r="E1037" s="7"/>
      <c r="G1037" s="5" t="str">
        <f t="shared" si="1"/>
        <v>5, 15, MAGIKARP</v>
      </c>
      <c r="I1037" s="5" t="s">
        <v>2849</v>
      </c>
    </row>
    <row r="1038" ht="12.75" customHeight="1">
      <c r="A1038" s="5" t="s">
        <v>3144</v>
      </c>
      <c r="B1038" s="7">
        <v>5.0</v>
      </c>
      <c r="C1038" s="7">
        <v>15.0</v>
      </c>
      <c r="D1038" s="7" t="s">
        <v>3804</v>
      </c>
      <c r="E1038" s="7"/>
      <c r="G1038" s="5" t="str">
        <f t="shared" si="1"/>
        <v>5, 15, POLIWAG</v>
      </c>
      <c r="I1038" s="5" t="s">
        <v>3144</v>
      </c>
    </row>
    <row r="1039" ht="12.75" customHeight="1">
      <c r="A1039" s="5" t="s">
        <v>2851</v>
      </c>
      <c r="B1039" s="7" t="s">
        <v>2851</v>
      </c>
      <c r="C1039" s="7"/>
      <c r="D1039" s="7"/>
      <c r="E1039" s="7"/>
      <c r="G1039" s="5" t="str">
        <f t="shared" si="1"/>
        <v>super rod:</v>
      </c>
      <c r="I1039" s="5" t="s">
        <v>2851</v>
      </c>
    </row>
    <row r="1040" ht="12.75" customHeight="1">
      <c r="A1040" s="5" t="s">
        <v>3145</v>
      </c>
      <c r="B1040" s="7">
        <v>15.0</v>
      </c>
      <c r="C1040" s="7">
        <v>25.0</v>
      </c>
      <c r="D1040" s="7" t="s">
        <v>3805</v>
      </c>
      <c r="E1040" s="7"/>
      <c r="G1040" s="5" t="str">
        <f t="shared" si="1"/>
        <v>15, 25, GOLDEEN</v>
      </c>
      <c r="I1040" s="5" t="s">
        <v>3145</v>
      </c>
    </row>
    <row r="1041" ht="12.75" customHeight="1">
      <c r="A1041" s="5" t="s">
        <v>3146</v>
      </c>
      <c r="B1041" s="7">
        <v>20.0</v>
      </c>
      <c r="C1041" s="7">
        <v>30.0</v>
      </c>
      <c r="D1041" s="7" t="s">
        <v>3807</v>
      </c>
      <c r="E1041" s="7"/>
      <c r="G1041" s="5" t="str">
        <f t="shared" si="1"/>
        <v>20, 30, SEAKING</v>
      </c>
      <c r="I1041" s="5" t="s">
        <v>3146</v>
      </c>
    </row>
    <row r="1042" ht="12.75" customHeight="1">
      <c r="A1042" s="5" t="s">
        <v>2854</v>
      </c>
      <c r="B1042" s="7">
        <v>15.0</v>
      </c>
      <c r="C1042" s="7">
        <v>25.0</v>
      </c>
      <c r="D1042" s="7" t="s">
        <v>3755</v>
      </c>
      <c r="E1042" s="7"/>
      <c r="G1042" s="5" t="str">
        <f t="shared" si="1"/>
        <v>15, 25, GYARADOS</v>
      </c>
      <c r="I1042" s="5" t="s">
        <v>2854</v>
      </c>
    </row>
    <row r="1043" ht="12.75" customHeight="1">
      <c r="A1043" s="5" t="s">
        <v>3147</v>
      </c>
      <c r="B1043" s="7">
        <v>15.0</v>
      </c>
      <c r="C1043" s="7">
        <v>25.0</v>
      </c>
      <c r="D1043" s="7" t="s">
        <v>3756</v>
      </c>
      <c r="E1043" s="7"/>
      <c r="G1043" s="5" t="str">
        <f t="shared" si="1"/>
        <v>15, 25, SLOWPOKE</v>
      </c>
      <c r="I1043" s="5" t="s">
        <v>3147</v>
      </c>
    </row>
    <row r="1044" ht="12.75" customHeight="1">
      <c r="A1044" s="5" t="s">
        <v>2856</v>
      </c>
      <c r="B1044" s="7">
        <v>25.0</v>
      </c>
      <c r="C1044" s="7">
        <v>35.0</v>
      </c>
      <c r="D1044" s="7" t="s">
        <v>3756</v>
      </c>
      <c r="E1044" s="7"/>
      <c r="G1044" s="5" t="str">
        <f t="shared" si="1"/>
        <v>25, 35, SLOWPOKE</v>
      </c>
      <c r="I1044" s="5" t="s">
        <v>2856</v>
      </c>
    </row>
    <row r="1045" ht="12.75" customHeight="1">
      <c r="A1045" s="5" t="s">
        <v>2539</v>
      </c>
      <c r="B1045" s="7" t="s">
        <v>2539</v>
      </c>
      <c r="C1045" s="7"/>
      <c r="D1045" s="7"/>
      <c r="E1045" s="7"/>
      <c r="G1045" s="5" t="str">
        <f t="shared" si="1"/>
        <v>NEW ROUTE</v>
      </c>
      <c r="I1045" s="5" t="s">
        <v>2539</v>
      </c>
    </row>
    <row r="1046" ht="12.75" customHeight="1">
      <c r="A1046" s="5" t="s">
        <v>1891</v>
      </c>
      <c r="B1046" s="7" t="s">
        <v>1891</v>
      </c>
      <c r="C1046" s="7"/>
      <c r="D1046" s="7"/>
      <c r="E1046" s="7"/>
      <c r="G1046" s="5" t="str">
        <f t="shared" si="1"/>
        <v>Four Island Icefall Cave Entrance</v>
      </c>
      <c r="I1046" s="5" t="s">
        <v>1891</v>
      </c>
    </row>
    <row r="1047" ht="12.75" customHeight="1">
      <c r="A1047" s="5">
        <v>0.2</v>
      </c>
      <c r="B1047" s="5">
        <v>0.2</v>
      </c>
      <c r="C1047" s="7"/>
      <c r="D1047" s="7"/>
      <c r="E1047" s="7"/>
      <c r="G1047" s="5">
        <f t="shared" si="1"/>
        <v>0.2</v>
      </c>
      <c r="I1047" s="5">
        <v>0.2</v>
      </c>
    </row>
    <row r="1048" ht="12.75" customHeight="1">
      <c r="A1048" s="5" t="s">
        <v>742</v>
      </c>
      <c r="B1048" s="7">
        <v>43.0</v>
      </c>
      <c r="C1048" s="7">
        <v>43.0</v>
      </c>
      <c r="D1048" s="7" t="s">
        <v>3894</v>
      </c>
      <c r="E1048" s="7"/>
      <c r="G1048" s="5" t="str">
        <f t="shared" si="1"/>
        <v>43, 43, SEEL</v>
      </c>
      <c r="I1048" s="5" t="s">
        <v>742</v>
      </c>
    </row>
    <row r="1049" ht="12.75" customHeight="1">
      <c r="A1049" s="5" t="s">
        <v>3149</v>
      </c>
      <c r="B1049" s="7">
        <v>45.0</v>
      </c>
      <c r="C1049" s="7">
        <v>45.0</v>
      </c>
      <c r="D1049" s="7" t="s">
        <v>3746</v>
      </c>
      <c r="E1049" s="7"/>
      <c r="G1049" s="5" t="str">
        <f t="shared" si="1"/>
        <v>45, 45, GOLBAT</v>
      </c>
      <c r="I1049" s="5" t="s">
        <v>3149</v>
      </c>
    </row>
    <row r="1050" ht="12.75" customHeight="1">
      <c r="A1050" s="5">
        <v>0.1</v>
      </c>
      <c r="B1050" s="5">
        <v>0.1</v>
      </c>
      <c r="C1050" s="7"/>
      <c r="D1050" s="7"/>
      <c r="E1050" s="7"/>
      <c r="G1050" s="5">
        <f t="shared" si="1"/>
        <v>0.1</v>
      </c>
      <c r="I1050" s="5">
        <v>0.1</v>
      </c>
    </row>
    <row r="1051" ht="12.75" customHeight="1">
      <c r="A1051" s="5" t="s">
        <v>3150</v>
      </c>
      <c r="B1051" s="7">
        <v>45.0</v>
      </c>
      <c r="C1051" s="7">
        <v>45.0</v>
      </c>
      <c r="D1051" s="7" t="s">
        <v>3894</v>
      </c>
      <c r="E1051" s="7"/>
      <c r="G1051" s="5" t="str">
        <f t="shared" si="1"/>
        <v>45, 45, SEEL</v>
      </c>
      <c r="I1051" s="5" t="s">
        <v>3150</v>
      </c>
    </row>
    <row r="1052" ht="12.75" customHeight="1">
      <c r="A1052" s="5" t="s">
        <v>3151</v>
      </c>
      <c r="B1052" s="7">
        <v>47.0</v>
      </c>
      <c r="C1052" s="7">
        <v>47.0</v>
      </c>
      <c r="D1052" s="7" t="s">
        <v>3894</v>
      </c>
      <c r="E1052" s="7"/>
      <c r="G1052" s="5" t="str">
        <f t="shared" si="1"/>
        <v>47, 47, SEEL</v>
      </c>
      <c r="I1052" s="5" t="s">
        <v>3151</v>
      </c>
    </row>
    <row r="1053" ht="12.75" customHeight="1">
      <c r="A1053" s="5" t="s">
        <v>3152</v>
      </c>
      <c r="B1053" s="7">
        <v>40.0</v>
      </c>
      <c r="C1053" s="7">
        <v>40.0</v>
      </c>
      <c r="D1053" s="7" t="s">
        <v>3740</v>
      </c>
      <c r="E1053" s="7"/>
      <c r="G1053" s="5" t="str">
        <f t="shared" si="1"/>
        <v>40, 40, ZUBAT</v>
      </c>
      <c r="I1053" s="5" t="s">
        <v>3152</v>
      </c>
    </row>
    <row r="1054" ht="12.75" customHeight="1">
      <c r="A1054" s="5" t="s">
        <v>3153</v>
      </c>
      <c r="B1054" s="7">
        <v>49.0</v>
      </c>
      <c r="C1054" s="7">
        <v>49.0</v>
      </c>
      <c r="D1054" s="7" t="s">
        <v>3853</v>
      </c>
      <c r="E1054" s="7"/>
      <c r="G1054" s="5" t="str">
        <f t="shared" si="1"/>
        <v>49, 49, DEWGONG</v>
      </c>
      <c r="I1054" s="5" t="s">
        <v>3153</v>
      </c>
    </row>
    <row r="1055" ht="12.75" customHeight="1">
      <c r="A1055" s="5">
        <v>0.05</v>
      </c>
      <c r="B1055" s="5">
        <v>0.05</v>
      </c>
      <c r="C1055" s="7"/>
      <c r="D1055" s="7"/>
      <c r="E1055" s="7"/>
      <c r="G1055" s="5">
        <f t="shared" si="1"/>
        <v>0.05</v>
      </c>
      <c r="I1055" s="5">
        <v>0.05</v>
      </c>
    </row>
    <row r="1056" ht="12.75" customHeight="1">
      <c r="A1056" s="5" t="s">
        <v>3154</v>
      </c>
      <c r="B1056" s="7">
        <v>51.0</v>
      </c>
      <c r="C1056" s="7">
        <v>51.0</v>
      </c>
      <c r="D1056" s="7" t="s">
        <v>3853</v>
      </c>
      <c r="E1056" s="7"/>
      <c r="G1056" s="5" t="str">
        <f t="shared" si="1"/>
        <v>51, 51, DEWGONG</v>
      </c>
      <c r="I1056" s="5" t="s">
        <v>3154</v>
      </c>
    </row>
    <row r="1057" ht="12.75" customHeight="1">
      <c r="A1057" s="5" t="s">
        <v>3155</v>
      </c>
      <c r="B1057" s="7">
        <v>41.0</v>
      </c>
      <c r="C1057" s="7">
        <v>41.0</v>
      </c>
      <c r="D1057" s="7" t="s">
        <v>3756</v>
      </c>
      <c r="E1057" s="7"/>
      <c r="G1057" s="5" t="str">
        <f t="shared" si="1"/>
        <v>41, 41, SLOWPOKE</v>
      </c>
      <c r="I1057" s="5" t="s">
        <v>3155</v>
      </c>
    </row>
    <row r="1058" ht="12.75" customHeight="1">
      <c r="A1058" s="5">
        <v>0.04</v>
      </c>
      <c r="B1058" s="5">
        <v>0.04</v>
      </c>
      <c r="C1058" s="7"/>
      <c r="D1058" s="7"/>
      <c r="E1058" s="7"/>
      <c r="G1058" s="5">
        <f t="shared" si="1"/>
        <v>0.04</v>
      </c>
      <c r="I1058" s="5">
        <v>0.04</v>
      </c>
    </row>
    <row r="1059" ht="12.75" customHeight="1">
      <c r="A1059" s="5" t="s">
        <v>3156</v>
      </c>
      <c r="B1059" s="7">
        <v>48.0</v>
      </c>
      <c r="C1059" s="7">
        <v>48.0</v>
      </c>
      <c r="D1059" s="7" t="s">
        <v>3746</v>
      </c>
      <c r="E1059" s="7"/>
      <c r="G1059" s="5" t="str">
        <f t="shared" si="1"/>
        <v>48, 48, GOLBAT</v>
      </c>
      <c r="I1059" s="5" t="s">
        <v>3156</v>
      </c>
    </row>
    <row r="1060" ht="12.75" customHeight="1">
      <c r="A1060" s="5" t="s">
        <v>3157</v>
      </c>
      <c r="B1060" s="7">
        <v>53.0</v>
      </c>
      <c r="C1060" s="7">
        <v>53.0</v>
      </c>
      <c r="D1060" s="7" t="s">
        <v>3853</v>
      </c>
      <c r="E1060" s="7"/>
      <c r="G1060" s="5" t="str">
        <f t="shared" si="1"/>
        <v>53, 53, DEWGONG</v>
      </c>
      <c r="I1060" s="5" t="s">
        <v>3157</v>
      </c>
    </row>
    <row r="1061" ht="12.75" customHeight="1">
      <c r="A1061" s="5">
        <v>0.01</v>
      </c>
      <c r="B1061" s="5">
        <v>0.01</v>
      </c>
      <c r="C1061" s="7"/>
      <c r="D1061" s="7"/>
      <c r="E1061" s="7"/>
      <c r="G1061" s="5">
        <f t="shared" si="1"/>
        <v>0.01</v>
      </c>
      <c r="I1061" s="5">
        <v>0.01</v>
      </c>
    </row>
    <row r="1062" ht="12.75" customHeight="1">
      <c r="A1062" s="5" t="s">
        <v>3156</v>
      </c>
      <c r="B1062" s="7">
        <v>48.0</v>
      </c>
      <c r="C1062" s="7">
        <v>48.0</v>
      </c>
      <c r="D1062" s="7" t="s">
        <v>3746</v>
      </c>
      <c r="E1062" s="7"/>
      <c r="G1062" s="5" t="str">
        <f t="shared" si="1"/>
        <v>48, 48, GOLBAT</v>
      </c>
      <c r="I1062" s="5" t="s">
        <v>3156</v>
      </c>
    </row>
    <row r="1063" ht="12.75" customHeight="1">
      <c r="A1063" s="5" t="s">
        <v>3157</v>
      </c>
      <c r="B1063" s="7">
        <v>53.0</v>
      </c>
      <c r="C1063" s="7">
        <v>53.0</v>
      </c>
      <c r="D1063" s="7" t="s">
        <v>3853</v>
      </c>
      <c r="E1063" s="7"/>
      <c r="G1063" s="5" t="str">
        <f t="shared" si="1"/>
        <v>53, 53, DEWGONG</v>
      </c>
      <c r="I1063" s="5" t="s">
        <v>3157</v>
      </c>
    </row>
    <row r="1064" ht="12.75" customHeight="1">
      <c r="A1064" s="5" t="s">
        <v>3158</v>
      </c>
      <c r="B1064" s="7">
        <v>2.0</v>
      </c>
      <c r="C1064" s="7">
        <v>5.0</v>
      </c>
      <c r="D1064" s="7">
        <v>35.0</v>
      </c>
      <c r="E1064" s="7" t="s">
        <v>3894</v>
      </c>
      <c r="G1064" s="5" t="str">
        <f t="shared" si="1"/>
        <v>2, 5, 35, SEEL</v>
      </c>
      <c r="I1064" s="5" t="s">
        <v>3158</v>
      </c>
    </row>
    <row r="1065" ht="12.75" customHeight="1">
      <c r="A1065" s="5" t="s">
        <v>3159</v>
      </c>
      <c r="B1065" s="7">
        <v>5.0</v>
      </c>
      <c r="C1065" s="7">
        <v>35.0</v>
      </c>
      <c r="D1065" s="7" t="s">
        <v>3756</v>
      </c>
      <c r="E1065" s="7"/>
      <c r="G1065" s="5" t="str">
        <f t="shared" si="1"/>
        <v>5, 35, SLOWPOKE</v>
      </c>
      <c r="I1065" s="5" t="s">
        <v>3159</v>
      </c>
    </row>
    <row r="1066" ht="12.75" customHeight="1">
      <c r="A1066" s="5" t="s">
        <v>3160</v>
      </c>
      <c r="B1066" s="7">
        <v>35.0</v>
      </c>
      <c r="C1066" s="7">
        <v>40.0</v>
      </c>
      <c r="D1066" s="7" t="s">
        <v>3853</v>
      </c>
      <c r="E1066" s="7"/>
      <c r="G1066" s="5" t="str">
        <f t="shared" si="1"/>
        <v>35, 40, DEWGONG</v>
      </c>
      <c r="I1066" s="5" t="s">
        <v>3160</v>
      </c>
    </row>
    <row r="1067" ht="12.75" customHeight="1">
      <c r="A1067" s="5" t="s">
        <v>3161</v>
      </c>
      <c r="B1067" s="7">
        <v>5.0</v>
      </c>
      <c r="C1067" s="7">
        <v>15.0</v>
      </c>
      <c r="D1067" s="7" t="s">
        <v>3895</v>
      </c>
      <c r="E1067" s="7"/>
      <c r="G1067" s="5" t="str">
        <f t="shared" si="1"/>
        <v>5, 15, MARILL</v>
      </c>
      <c r="I1067" s="5" t="s">
        <v>3161</v>
      </c>
    </row>
    <row r="1068" ht="12.75" customHeight="1">
      <c r="A1068" s="5" t="s">
        <v>3161</v>
      </c>
      <c r="B1068" s="7">
        <v>5.0</v>
      </c>
      <c r="C1068" s="7">
        <v>15.0</v>
      </c>
      <c r="D1068" s="7" t="s">
        <v>3895</v>
      </c>
      <c r="E1068" s="7"/>
      <c r="G1068" s="5" t="str">
        <f t="shared" si="1"/>
        <v>5, 15, MARILL</v>
      </c>
      <c r="I1068" s="5" t="s">
        <v>3161</v>
      </c>
    </row>
    <row r="1069" ht="12.75" customHeight="1">
      <c r="A1069" s="5" t="s">
        <v>2926</v>
      </c>
      <c r="B1069" s="7">
        <v>20.0</v>
      </c>
      <c r="C1069" s="7" t="s">
        <v>3749</v>
      </c>
      <c r="D1069" s="7"/>
      <c r="E1069" s="7"/>
      <c r="G1069" s="5" t="str">
        <f t="shared" si="1"/>
        <v>old rod:</v>
      </c>
      <c r="I1069" s="5" t="s">
        <v>3750</v>
      </c>
    </row>
    <row r="1070" ht="12.75" customHeight="1">
      <c r="A1070" s="5" t="s">
        <v>417</v>
      </c>
      <c r="B1070" s="7">
        <v>5.0</v>
      </c>
      <c r="C1070" s="7">
        <v>5.0</v>
      </c>
      <c r="D1070" s="7" t="s">
        <v>3751</v>
      </c>
      <c r="E1070" s="7"/>
      <c r="G1070" s="5" t="str">
        <f t="shared" si="1"/>
        <v>5, 5, MAGIKARP</v>
      </c>
      <c r="I1070" s="5" t="s">
        <v>417</v>
      </c>
    </row>
    <row r="1071" ht="12.75" customHeight="1">
      <c r="A1071" s="5" t="s">
        <v>417</v>
      </c>
      <c r="B1071" s="7">
        <v>5.0</v>
      </c>
      <c r="C1071" s="7">
        <v>5.0</v>
      </c>
      <c r="D1071" s="7" t="s">
        <v>3751</v>
      </c>
      <c r="E1071" s="7"/>
      <c r="G1071" s="5" t="str">
        <f t="shared" si="1"/>
        <v>5, 5, MAGIKARP</v>
      </c>
      <c r="I1071" s="5" t="s">
        <v>417</v>
      </c>
    </row>
    <row r="1072" ht="12.75" customHeight="1">
      <c r="A1072" s="5" t="s">
        <v>2847</v>
      </c>
      <c r="B1072" s="7" t="s">
        <v>2847</v>
      </c>
      <c r="C1072" s="7"/>
      <c r="D1072" s="7"/>
      <c r="E1072" s="7"/>
      <c r="G1072" s="5" t="str">
        <f t="shared" si="1"/>
        <v>good rod:</v>
      </c>
      <c r="I1072" s="5" t="s">
        <v>2847</v>
      </c>
    </row>
    <row r="1073" ht="12.75" customHeight="1">
      <c r="A1073" s="5" t="s">
        <v>3144</v>
      </c>
      <c r="B1073" s="7">
        <v>5.0</v>
      </c>
      <c r="C1073" s="7">
        <v>15.0</v>
      </c>
      <c r="D1073" s="7" t="s">
        <v>3804</v>
      </c>
      <c r="E1073" s="7"/>
      <c r="G1073" s="5" t="str">
        <f t="shared" si="1"/>
        <v>5, 15, POLIWAG</v>
      </c>
      <c r="I1073" s="5" t="s">
        <v>3144</v>
      </c>
    </row>
    <row r="1074" ht="12.75" customHeight="1">
      <c r="A1074" s="5" t="s">
        <v>2849</v>
      </c>
      <c r="B1074" s="7">
        <v>5.0</v>
      </c>
      <c r="C1074" s="7">
        <v>15.0</v>
      </c>
      <c r="D1074" s="7" t="s">
        <v>3751</v>
      </c>
      <c r="E1074" s="7"/>
      <c r="G1074" s="5" t="str">
        <f t="shared" si="1"/>
        <v>5, 15, MAGIKARP</v>
      </c>
      <c r="I1074" s="5" t="s">
        <v>2849</v>
      </c>
    </row>
    <row r="1075" ht="12.75" customHeight="1">
      <c r="A1075" s="5" t="s">
        <v>3143</v>
      </c>
      <c r="B1075" s="7">
        <v>5.0</v>
      </c>
      <c r="C1075" s="7">
        <v>15.0</v>
      </c>
      <c r="D1075" s="7" t="s">
        <v>3805</v>
      </c>
      <c r="E1075" s="7"/>
      <c r="G1075" s="5" t="str">
        <f t="shared" si="1"/>
        <v>5, 15, GOLDEEN</v>
      </c>
      <c r="I1075" s="5" t="s">
        <v>3143</v>
      </c>
    </row>
    <row r="1076" ht="12.75" customHeight="1">
      <c r="A1076" s="5" t="s">
        <v>2851</v>
      </c>
      <c r="B1076" s="7" t="s">
        <v>2851</v>
      </c>
      <c r="C1076" s="7"/>
      <c r="D1076" s="7"/>
      <c r="E1076" s="7"/>
      <c r="G1076" s="5" t="str">
        <f t="shared" si="1"/>
        <v>super rod:</v>
      </c>
      <c r="I1076" s="5" t="s">
        <v>2851</v>
      </c>
    </row>
    <row r="1077" ht="12.75" customHeight="1">
      <c r="A1077" s="5" t="s">
        <v>3162</v>
      </c>
      <c r="B1077" s="7">
        <v>15.0</v>
      </c>
      <c r="C1077" s="7">
        <v>25.0</v>
      </c>
      <c r="D1077" s="7" t="s">
        <v>3804</v>
      </c>
      <c r="E1077" s="7"/>
      <c r="G1077" s="5" t="str">
        <f t="shared" si="1"/>
        <v>15, 25, POLIWAG</v>
      </c>
      <c r="I1077" s="5" t="s">
        <v>3162</v>
      </c>
    </row>
    <row r="1078" ht="12.75" customHeight="1">
      <c r="A1078" s="5" t="s">
        <v>3163</v>
      </c>
      <c r="B1078" s="7">
        <v>20.0</v>
      </c>
      <c r="C1078" s="7">
        <v>30.0</v>
      </c>
      <c r="D1078" s="7" t="s">
        <v>3806</v>
      </c>
      <c r="E1078" s="7"/>
      <c r="G1078" s="5" t="str">
        <f t="shared" si="1"/>
        <v>20, 30, POLIWHIRL</v>
      </c>
      <c r="I1078" s="5" t="s">
        <v>3163</v>
      </c>
    </row>
    <row r="1079" ht="12.75" customHeight="1">
      <c r="A1079" s="5" t="s">
        <v>2854</v>
      </c>
      <c r="B1079" s="7">
        <v>15.0</v>
      </c>
      <c r="C1079" s="7">
        <v>25.0</v>
      </c>
      <c r="D1079" s="7" t="s">
        <v>3755</v>
      </c>
      <c r="E1079" s="7"/>
      <c r="G1079" s="5" t="str">
        <f t="shared" si="1"/>
        <v>15, 25, GYARADOS</v>
      </c>
      <c r="I1079" s="5" t="s">
        <v>2854</v>
      </c>
    </row>
    <row r="1080" ht="12.75" customHeight="1">
      <c r="A1080" s="5" t="s">
        <v>3147</v>
      </c>
      <c r="B1080" s="7">
        <v>15.0</v>
      </c>
      <c r="C1080" s="7">
        <v>25.0</v>
      </c>
      <c r="D1080" s="7" t="s">
        <v>3756</v>
      </c>
      <c r="E1080" s="7"/>
      <c r="G1080" s="5" t="str">
        <f t="shared" si="1"/>
        <v>15, 25, SLOWPOKE</v>
      </c>
      <c r="I1080" s="5" t="s">
        <v>3147</v>
      </c>
    </row>
    <row r="1081" ht="12.75" customHeight="1">
      <c r="A1081" s="5" t="s">
        <v>2856</v>
      </c>
      <c r="B1081" s="7">
        <v>25.0</v>
      </c>
      <c r="C1081" s="7">
        <v>35.0</v>
      </c>
      <c r="D1081" s="7" t="s">
        <v>3756</v>
      </c>
      <c r="E1081" s="7"/>
      <c r="G1081" s="5" t="str">
        <f t="shared" si="1"/>
        <v>25, 35, SLOWPOKE</v>
      </c>
      <c r="I1081" s="5" t="s">
        <v>2856</v>
      </c>
    </row>
    <row r="1082" ht="12.75" customHeight="1">
      <c r="A1082" s="5" t="s">
        <v>2539</v>
      </c>
      <c r="B1082" s="7" t="s">
        <v>2539</v>
      </c>
      <c r="C1082" s="7"/>
      <c r="D1082" s="7"/>
      <c r="E1082" s="7"/>
      <c r="G1082" s="5" t="str">
        <f t="shared" si="1"/>
        <v>NEW ROUTE</v>
      </c>
      <c r="I1082" s="5" t="s">
        <v>2539</v>
      </c>
    </row>
    <row r="1083" ht="12.75" customHeight="1">
      <c r="A1083" s="5" t="s">
        <v>1896</v>
      </c>
      <c r="B1083" s="7" t="s">
        <v>1896</v>
      </c>
      <c r="C1083" s="7"/>
      <c r="D1083" s="7"/>
      <c r="E1083" s="7"/>
      <c r="G1083" s="5" t="str">
        <f t="shared" si="1"/>
        <v>Four Island Icefall Cave 1F</v>
      </c>
      <c r="I1083" s="5" t="s">
        <v>1896</v>
      </c>
    </row>
    <row r="1084" ht="12.75" customHeight="1">
      <c r="A1084" s="5">
        <v>0.2</v>
      </c>
      <c r="B1084" s="5">
        <v>0.2</v>
      </c>
      <c r="C1084" s="7"/>
      <c r="D1084" s="7"/>
      <c r="E1084" s="7"/>
      <c r="G1084" s="5">
        <f t="shared" si="1"/>
        <v>0.2</v>
      </c>
      <c r="I1084" s="5">
        <v>0.2</v>
      </c>
    </row>
    <row r="1085" ht="12.75" customHeight="1">
      <c r="A1085" s="5" t="s">
        <v>760</v>
      </c>
      <c r="B1085" s="7">
        <v>25.0</v>
      </c>
      <c r="C1085" s="7">
        <v>25.0</v>
      </c>
      <c r="D1085" s="7" t="s">
        <v>3896</v>
      </c>
      <c r="E1085" s="7"/>
      <c r="G1085" s="5" t="str">
        <f t="shared" si="1"/>
        <v>25, 25, SWINUB</v>
      </c>
      <c r="I1085" s="5" t="s">
        <v>760</v>
      </c>
    </row>
    <row r="1086" ht="12.75" customHeight="1">
      <c r="A1086" s="5" t="s">
        <v>3149</v>
      </c>
      <c r="B1086" s="7">
        <v>45.0</v>
      </c>
      <c r="C1086" s="7">
        <v>45.0</v>
      </c>
      <c r="D1086" s="7" t="s">
        <v>3746</v>
      </c>
      <c r="E1086" s="7"/>
      <c r="G1086" s="5" t="str">
        <f t="shared" si="1"/>
        <v>45, 45, GOLBAT</v>
      </c>
      <c r="I1086" s="5" t="s">
        <v>3149</v>
      </c>
    </row>
    <row r="1087" ht="12.75" customHeight="1">
      <c r="A1087" s="5">
        <v>0.1</v>
      </c>
      <c r="B1087" s="5">
        <v>0.1</v>
      </c>
      <c r="C1087" s="7"/>
      <c r="D1087" s="7"/>
      <c r="E1087" s="7"/>
      <c r="G1087" s="5">
        <f t="shared" si="1"/>
        <v>0.1</v>
      </c>
      <c r="I1087" s="5">
        <v>0.1</v>
      </c>
    </row>
    <row r="1088" ht="12.75" customHeight="1">
      <c r="A1088" s="5" t="s">
        <v>3150</v>
      </c>
      <c r="B1088" s="7">
        <v>45.0</v>
      </c>
      <c r="C1088" s="7">
        <v>45.0</v>
      </c>
      <c r="D1088" s="7" t="s">
        <v>3894</v>
      </c>
      <c r="E1088" s="7"/>
      <c r="G1088" s="5" t="str">
        <f t="shared" si="1"/>
        <v>45, 45, SEEL</v>
      </c>
      <c r="I1088" s="5" t="s">
        <v>3150</v>
      </c>
    </row>
    <row r="1089" ht="12.75" customHeight="1">
      <c r="A1089" s="5" t="s">
        <v>3165</v>
      </c>
      <c r="B1089" s="7">
        <v>27.0</v>
      </c>
      <c r="C1089" s="7">
        <v>27.0</v>
      </c>
      <c r="D1089" s="7" t="s">
        <v>3896</v>
      </c>
      <c r="E1089" s="7"/>
      <c r="G1089" s="5" t="str">
        <f t="shared" si="1"/>
        <v>27, 27, SWINUB</v>
      </c>
      <c r="I1089" s="5" t="s">
        <v>3165</v>
      </c>
    </row>
    <row r="1090" ht="12.75" customHeight="1">
      <c r="A1090" s="5" t="s">
        <v>3152</v>
      </c>
      <c r="B1090" s="7">
        <v>40.0</v>
      </c>
      <c r="C1090" s="7">
        <v>40.0</v>
      </c>
      <c r="D1090" s="7" t="s">
        <v>3740</v>
      </c>
      <c r="E1090" s="7"/>
      <c r="G1090" s="5" t="str">
        <f t="shared" si="1"/>
        <v>40, 40, ZUBAT</v>
      </c>
      <c r="I1090" s="5" t="s">
        <v>3152</v>
      </c>
    </row>
    <row r="1091" ht="12.75" customHeight="1">
      <c r="A1091" s="5" t="s">
        <v>3166</v>
      </c>
      <c r="B1091" s="7">
        <v>29.0</v>
      </c>
      <c r="C1091" s="7">
        <v>29.0</v>
      </c>
      <c r="D1091" s="7" t="s">
        <v>3896</v>
      </c>
      <c r="E1091" s="7"/>
      <c r="G1091" s="5" t="str">
        <f t="shared" si="1"/>
        <v>29, 29, SWINUB</v>
      </c>
      <c r="I1091" s="5" t="s">
        <v>3166</v>
      </c>
    </row>
    <row r="1092" ht="12.75" customHeight="1">
      <c r="A1092" s="5">
        <v>0.05</v>
      </c>
      <c r="B1092" s="5">
        <v>0.05</v>
      </c>
      <c r="C1092" s="7"/>
      <c r="D1092" s="7"/>
      <c r="E1092" s="7"/>
      <c r="G1092" s="5">
        <f t="shared" si="1"/>
        <v>0.05</v>
      </c>
      <c r="I1092" s="5">
        <v>0.05</v>
      </c>
    </row>
    <row r="1093" ht="12.75" customHeight="1">
      <c r="A1093" s="5" t="s">
        <v>3167</v>
      </c>
      <c r="B1093" s="7">
        <v>30.0</v>
      </c>
      <c r="C1093" s="7">
        <v>30.0</v>
      </c>
      <c r="D1093" s="7" t="s">
        <v>3897</v>
      </c>
      <c r="E1093" s="7"/>
      <c r="G1093" s="5" t="str">
        <f t="shared" si="1"/>
        <v>30, 30, SNEASEL</v>
      </c>
      <c r="I1093" s="5" t="s">
        <v>3167</v>
      </c>
    </row>
    <row r="1094" ht="12.75" customHeight="1">
      <c r="A1094" s="5" t="s">
        <v>3168</v>
      </c>
      <c r="B1094" s="7">
        <v>31.0</v>
      </c>
      <c r="C1094" s="7">
        <v>31.0</v>
      </c>
      <c r="D1094" s="7" t="s">
        <v>3896</v>
      </c>
      <c r="E1094" s="7"/>
      <c r="G1094" s="5" t="str">
        <f t="shared" si="1"/>
        <v>31, 31, SWINUB</v>
      </c>
      <c r="I1094" s="5" t="s">
        <v>3168</v>
      </c>
    </row>
    <row r="1095" ht="12.75" customHeight="1">
      <c r="A1095" s="5">
        <v>0.04</v>
      </c>
      <c r="B1095" s="5">
        <v>0.04</v>
      </c>
      <c r="C1095" s="7"/>
      <c r="D1095" s="7"/>
      <c r="E1095" s="7"/>
      <c r="G1095" s="5">
        <f t="shared" si="1"/>
        <v>0.04</v>
      </c>
      <c r="I1095" s="5">
        <v>0.04</v>
      </c>
    </row>
    <row r="1096" ht="12.75" customHeight="1">
      <c r="A1096" s="5" t="s">
        <v>3156</v>
      </c>
      <c r="B1096" s="7">
        <v>48.0</v>
      </c>
      <c r="C1096" s="7">
        <v>48.0</v>
      </c>
      <c r="D1096" s="7" t="s">
        <v>3746</v>
      </c>
      <c r="E1096" s="7"/>
      <c r="G1096" s="5" t="str">
        <f t="shared" si="1"/>
        <v>48, 48, GOLBAT</v>
      </c>
      <c r="I1096" s="5" t="s">
        <v>3156</v>
      </c>
    </row>
    <row r="1097" ht="12.75" customHeight="1">
      <c r="A1097" s="5" t="s">
        <v>3169</v>
      </c>
      <c r="B1097" s="7">
        <v>23.0</v>
      </c>
      <c r="C1097" s="7">
        <v>23.0</v>
      </c>
      <c r="D1097" s="7" t="s">
        <v>3896</v>
      </c>
      <c r="E1097" s="7"/>
      <c r="G1097" s="5" t="str">
        <f t="shared" si="1"/>
        <v>23, 23, SWINUB</v>
      </c>
      <c r="I1097" s="5" t="s">
        <v>3169</v>
      </c>
    </row>
    <row r="1098" ht="12.75" customHeight="1">
      <c r="A1098" s="5">
        <v>0.01</v>
      </c>
      <c r="B1098" s="5">
        <v>0.01</v>
      </c>
      <c r="C1098" s="7"/>
      <c r="D1098" s="7"/>
      <c r="E1098" s="7"/>
      <c r="G1098" s="5">
        <f t="shared" si="1"/>
        <v>0.01</v>
      </c>
      <c r="I1098" s="5">
        <v>0.01</v>
      </c>
    </row>
    <row r="1099" ht="12.75" customHeight="1">
      <c r="A1099" s="5" t="s">
        <v>3156</v>
      </c>
      <c r="B1099" s="7">
        <v>48.0</v>
      </c>
      <c r="C1099" s="7">
        <v>48.0</v>
      </c>
      <c r="D1099" s="7" t="s">
        <v>3746</v>
      </c>
      <c r="E1099" s="7"/>
      <c r="G1099" s="5" t="str">
        <f t="shared" si="1"/>
        <v>48, 48, GOLBAT</v>
      </c>
      <c r="I1099" s="5" t="s">
        <v>3156</v>
      </c>
    </row>
    <row r="1100" ht="12.75" customHeight="1">
      <c r="A1100" s="5" t="s">
        <v>3169</v>
      </c>
      <c r="B1100" s="7">
        <v>23.0</v>
      </c>
      <c r="C1100" s="7">
        <v>23.0</v>
      </c>
      <c r="D1100" s="7" t="s">
        <v>3896</v>
      </c>
      <c r="E1100" s="7"/>
      <c r="G1100" s="5" t="str">
        <f t="shared" si="1"/>
        <v>23, 23, SWINUB</v>
      </c>
      <c r="I1100" s="5" t="s">
        <v>3169</v>
      </c>
    </row>
    <row r="1101" ht="12.75" customHeight="1">
      <c r="A1101" s="5" t="s">
        <v>2539</v>
      </c>
      <c r="B1101" s="7" t="s">
        <v>2539</v>
      </c>
      <c r="C1101" s="7"/>
      <c r="D1101" s="7"/>
      <c r="E1101" s="7"/>
      <c r="G1101" s="5" t="str">
        <f t="shared" si="1"/>
        <v>NEW ROUTE</v>
      </c>
      <c r="I1101" s="5" t="s">
        <v>2539</v>
      </c>
    </row>
    <row r="1102" ht="12.75" customHeight="1">
      <c r="A1102" s="5" t="s">
        <v>1901</v>
      </c>
      <c r="B1102" s="7" t="s">
        <v>1901</v>
      </c>
      <c r="C1102" s="7"/>
      <c r="D1102" s="7"/>
      <c r="E1102" s="7"/>
      <c r="G1102" s="5" t="str">
        <f t="shared" si="1"/>
        <v>Four Island Icefall Cave B1F</v>
      </c>
      <c r="I1102" s="5" t="s">
        <v>1901</v>
      </c>
    </row>
    <row r="1103" ht="12.75" customHeight="1">
      <c r="A1103" s="5">
        <v>0.2</v>
      </c>
      <c r="B1103" s="5">
        <v>0.2</v>
      </c>
      <c r="C1103" s="7"/>
      <c r="D1103" s="7"/>
      <c r="E1103" s="7"/>
      <c r="G1103" s="5">
        <f t="shared" si="1"/>
        <v>0.2</v>
      </c>
      <c r="I1103" s="5">
        <v>0.2</v>
      </c>
    </row>
    <row r="1104" ht="12.75" customHeight="1">
      <c r="A1104" s="5" t="s">
        <v>760</v>
      </c>
      <c r="B1104" s="7">
        <v>25.0</v>
      </c>
      <c r="C1104" s="7">
        <v>25.0</v>
      </c>
      <c r="D1104" s="7" t="s">
        <v>3896</v>
      </c>
      <c r="E1104" s="7"/>
      <c r="G1104" s="5" t="str">
        <f t="shared" si="1"/>
        <v>25, 25, SWINUB</v>
      </c>
      <c r="I1104" s="5" t="s">
        <v>760</v>
      </c>
    </row>
    <row r="1105" ht="12.75" customHeight="1">
      <c r="A1105" s="5" t="s">
        <v>3149</v>
      </c>
      <c r="B1105" s="7">
        <v>45.0</v>
      </c>
      <c r="C1105" s="7">
        <v>45.0</v>
      </c>
      <c r="D1105" s="7" t="s">
        <v>3746</v>
      </c>
      <c r="E1105" s="7"/>
      <c r="G1105" s="5" t="str">
        <f t="shared" si="1"/>
        <v>45, 45, GOLBAT</v>
      </c>
      <c r="I1105" s="5" t="s">
        <v>3149</v>
      </c>
    </row>
    <row r="1106" ht="12.75" customHeight="1">
      <c r="A1106" s="5">
        <v>0.1</v>
      </c>
      <c r="B1106" s="5">
        <v>0.1</v>
      </c>
      <c r="C1106" s="7"/>
      <c r="D1106" s="7"/>
      <c r="E1106" s="7"/>
      <c r="G1106" s="5">
        <f t="shared" si="1"/>
        <v>0.1</v>
      </c>
      <c r="I1106" s="5">
        <v>0.1</v>
      </c>
    </row>
    <row r="1107" ht="12.75" customHeight="1">
      <c r="A1107" s="5" t="s">
        <v>3150</v>
      </c>
      <c r="B1107" s="7">
        <v>45.0</v>
      </c>
      <c r="C1107" s="7">
        <v>45.0</v>
      </c>
      <c r="D1107" s="7" t="s">
        <v>3894</v>
      </c>
      <c r="E1107" s="7"/>
      <c r="G1107" s="5" t="str">
        <f t="shared" si="1"/>
        <v>45, 45, SEEL</v>
      </c>
      <c r="I1107" s="5" t="s">
        <v>3150</v>
      </c>
    </row>
    <row r="1108" ht="12.75" customHeight="1">
      <c r="A1108" s="5" t="s">
        <v>3165</v>
      </c>
      <c r="B1108" s="7">
        <v>27.0</v>
      </c>
      <c r="C1108" s="7">
        <v>27.0</v>
      </c>
      <c r="D1108" s="7" t="s">
        <v>3896</v>
      </c>
      <c r="E1108" s="7"/>
      <c r="G1108" s="5" t="str">
        <f t="shared" si="1"/>
        <v>27, 27, SWINUB</v>
      </c>
      <c r="I1108" s="5" t="s">
        <v>3165</v>
      </c>
    </row>
    <row r="1109" ht="12.75" customHeight="1">
      <c r="A1109" s="5" t="s">
        <v>3152</v>
      </c>
      <c r="B1109" s="7">
        <v>40.0</v>
      </c>
      <c r="C1109" s="7">
        <v>40.0</v>
      </c>
      <c r="D1109" s="7" t="s">
        <v>3740</v>
      </c>
      <c r="E1109" s="7"/>
      <c r="G1109" s="5" t="str">
        <f t="shared" si="1"/>
        <v>40, 40, ZUBAT</v>
      </c>
      <c r="I1109" s="5" t="s">
        <v>3152</v>
      </c>
    </row>
    <row r="1110" ht="12.75" customHeight="1">
      <c r="A1110" s="5" t="s">
        <v>3166</v>
      </c>
      <c r="B1110" s="7">
        <v>29.0</v>
      </c>
      <c r="C1110" s="7">
        <v>29.0</v>
      </c>
      <c r="D1110" s="7" t="s">
        <v>3896</v>
      </c>
      <c r="E1110" s="7"/>
      <c r="G1110" s="5" t="str">
        <f t="shared" si="1"/>
        <v>29, 29, SWINUB</v>
      </c>
      <c r="I1110" s="5" t="s">
        <v>3166</v>
      </c>
    </row>
    <row r="1111" ht="12.75" customHeight="1">
      <c r="A1111" s="5">
        <v>0.05</v>
      </c>
      <c r="B1111" s="5">
        <v>0.05</v>
      </c>
      <c r="C1111" s="7"/>
      <c r="D1111" s="7"/>
      <c r="E1111" s="7"/>
      <c r="G1111" s="5">
        <f t="shared" si="1"/>
        <v>0.05</v>
      </c>
      <c r="I1111" s="5">
        <v>0.05</v>
      </c>
    </row>
    <row r="1112" ht="12.75" customHeight="1">
      <c r="A1112" s="5" t="s">
        <v>3167</v>
      </c>
      <c r="B1112" s="7">
        <v>30.0</v>
      </c>
      <c r="C1112" s="7">
        <v>30.0</v>
      </c>
      <c r="D1112" s="7" t="s">
        <v>3897</v>
      </c>
      <c r="E1112" s="7"/>
      <c r="G1112" s="5" t="str">
        <f t="shared" si="1"/>
        <v>30, 30, SNEASEL</v>
      </c>
      <c r="I1112" s="5" t="s">
        <v>3167</v>
      </c>
    </row>
    <row r="1113" ht="12.75" customHeight="1">
      <c r="A1113" s="5" t="s">
        <v>3168</v>
      </c>
      <c r="B1113" s="7">
        <v>31.0</v>
      </c>
      <c r="C1113" s="7">
        <v>31.0</v>
      </c>
      <c r="D1113" s="7" t="s">
        <v>3896</v>
      </c>
      <c r="E1113" s="7"/>
      <c r="G1113" s="5" t="str">
        <f t="shared" si="1"/>
        <v>31, 31, SWINUB</v>
      </c>
      <c r="I1113" s="5" t="s">
        <v>3168</v>
      </c>
    </row>
    <row r="1114" ht="12.75" customHeight="1">
      <c r="A1114" s="5">
        <v>0.04</v>
      </c>
      <c r="B1114" s="5">
        <v>0.04</v>
      </c>
      <c r="C1114" s="7"/>
      <c r="D1114" s="7"/>
      <c r="E1114" s="7"/>
      <c r="G1114" s="5">
        <f t="shared" si="1"/>
        <v>0.04</v>
      </c>
      <c r="I1114" s="5">
        <v>0.04</v>
      </c>
    </row>
    <row r="1115" ht="12.75" customHeight="1">
      <c r="A1115" s="5" t="s">
        <v>3156</v>
      </c>
      <c r="B1115" s="7">
        <v>48.0</v>
      </c>
      <c r="C1115" s="7">
        <v>48.0</v>
      </c>
      <c r="D1115" s="7" t="s">
        <v>3746</v>
      </c>
      <c r="E1115" s="7"/>
      <c r="G1115" s="5" t="str">
        <f t="shared" si="1"/>
        <v>48, 48, GOLBAT</v>
      </c>
      <c r="I1115" s="5" t="s">
        <v>3156</v>
      </c>
    </row>
    <row r="1116" ht="12.75" customHeight="1">
      <c r="A1116" s="5" t="s">
        <v>3169</v>
      </c>
      <c r="B1116" s="7">
        <v>23.0</v>
      </c>
      <c r="C1116" s="7">
        <v>23.0</v>
      </c>
      <c r="D1116" s="7" t="s">
        <v>3896</v>
      </c>
      <c r="E1116" s="7"/>
      <c r="G1116" s="5" t="str">
        <f t="shared" si="1"/>
        <v>23, 23, SWINUB</v>
      </c>
      <c r="I1116" s="5" t="s">
        <v>3169</v>
      </c>
    </row>
    <row r="1117" ht="12.75" customHeight="1">
      <c r="A1117" s="5">
        <v>0.01</v>
      </c>
      <c r="B1117" s="5">
        <v>0.01</v>
      </c>
      <c r="C1117" s="7"/>
      <c r="D1117" s="7"/>
      <c r="E1117" s="7"/>
      <c r="G1117" s="5">
        <f t="shared" si="1"/>
        <v>0.01</v>
      </c>
      <c r="I1117" s="5">
        <v>0.01</v>
      </c>
    </row>
    <row r="1118" ht="12.75" customHeight="1">
      <c r="A1118" s="5" t="s">
        <v>3156</v>
      </c>
      <c r="B1118" s="7">
        <v>48.0</v>
      </c>
      <c r="C1118" s="7">
        <v>48.0</v>
      </c>
      <c r="D1118" s="7" t="s">
        <v>3746</v>
      </c>
      <c r="E1118" s="7"/>
      <c r="G1118" s="5" t="str">
        <f t="shared" si="1"/>
        <v>48, 48, GOLBAT</v>
      </c>
      <c r="I1118" s="5" t="s">
        <v>3156</v>
      </c>
    </row>
    <row r="1119" ht="12.75" customHeight="1">
      <c r="A1119" s="5" t="s">
        <v>3169</v>
      </c>
      <c r="B1119" s="7">
        <v>23.0</v>
      </c>
      <c r="C1119" s="7">
        <v>23.0</v>
      </c>
      <c r="D1119" s="7" t="s">
        <v>3896</v>
      </c>
      <c r="E1119" s="7"/>
      <c r="G1119" s="5" t="str">
        <f t="shared" si="1"/>
        <v>23, 23, SWINUB</v>
      </c>
      <c r="I1119" s="5" t="s">
        <v>3169</v>
      </c>
    </row>
    <row r="1120" ht="12.75" customHeight="1">
      <c r="A1120" s="5" t="s">
        <v>2539</v>
      </c>
      <c r="B1120" s="7" t="s">
        <v>2539</v>
      </c>
      <c r="C1120" s="7"/>
      <c r="D1120" s="7"/>
      <c r="E1120" s="7"/>
      <c r="G1120" s="5" t="str">
        <f t="shared" si="1"/>
        <v>NEW ROUTE</v>
      </c>
      <c r="I1120" s="5" t="s">
        <v>2539</v>
      </c>
    </row>
    <row r="1121" ht="12.75" customHeight="1">
      <c r="A1121" s="5" t="s">
        <v>1906</v>
      </c>
      <c r="B1121" s="7" t="s">
        <v>1906</v>
      </c>
      <c r="C1121" s="7"/>
      <c r="D1121" s="7"/>
      <c r="E1121" s="7"/>
      <c r="G1121" s="5" t="str">
        <f t="shared" si="1"/>
        <v>Four Island Icefall Cave Back</v>
      </c>
      <c r="I1121" s="5" t="s">
        <v>1906</v>
      </c>
    </row>
    <row r="1122" ht="12.75" customHeight="1">
      <c r="A1122" s="5">
        <v>0.2</v>
      </c>
      <c r="B1122" s="5">
        <v>0.2</v>
      </c>
      <c r="C1122" s="7"/>
      <c r="D1122" s="7"/>
      <c r="E1122" s="7"/>
      <c r="G1122" s="5">
        <f t="shared" si="1"/>
        <v>0.2</v>
      </c>
      <c r="I1122" s="5">
        <v>0.2</v>
      </c>
    </row>
    <row r="1123" ht="12.75" customHeight="1">
      <c r="A1123" s="5" t="s">
        <v>742</v>
      </c>
      <c r="B1123" s="7">
        <v>43.0</v>
      </c>
      <c r="C1123" s="7">
        <v>43.0</v>
      </c>
      <c r="D1123" s="7" t="s">
        <v>3894</v>
      </c>
      <c r="E1123" s="7"/>
      <c r="G1123" s="5" t="str">
        <f t="shared" si="1"/>
        <v>43, 43, SEEL</v>
      </c>
      <c r="I1123" s="5" t="s">
        <v>742</v>
      </c>
    </row>
    <row r="1124" ht="12.75" customHeight="1">
      <c r="A1124" s="5" t="s">
        <v>3149</v>
      </c>
      <c r="B1124" s="7">
        <v>45.0</v>
      </c>
      <c r="C1124" s="7">
        <v>45.0</v>
      </c>
      <c r="D1124" s="7" t="s">
        <v>3746</v>
      </c>
      <c r="E1124" s="7"/>
      <c r="G1124" s="5" t="str">
        <f t="shared" si="1"/>
        <v>45, 45, GOLBAT</v>
      </c>
      <c r="I1124" s="5" t="s">
        <v>3149</v>
      </c>
    </row>
    <row r="1125" ht="12.75" customHeight="1">
      <c r="A1125" s="5">
        <v>0.1</v>
      </c>
      <c r="B1125" s="5">
        <v>0.1</v>
      </c>
      <c r="C1125" s="7"/>
      <c r="D1125" s="7"/>
      <c r="E1125" s="7"/>
      <c r="G1125" s="5">
        <f t="shared" si="1"/>
        <v>0.1</v>
      </c>
      <c r="I1125" s="5">
        <v>0.1</v>
      </c>
    </row>
    <row r="1126" ht="12.75" customHeight="1">
      <c r="A1126" s="5" t="s">
        <v>3150</v>
      </c>
      <c r="B1126" s="7">
        <v>45.0</v>
      </c>
      <c r="C1126" s="7">
        <v>45.0</v>
      </c>
      <c r="D1126" s="7" t="s">
        <v>3894</v>
      </c>
      <c r="E1126" s="7"/>
      <c r="G1126" s="5" t="str">
        <f t="shared" si="1"/>
        <v>45, 45, SEEL</v>
      </c>
      <c r="I1126" s="5" t="s">
        <v>3150</v>
      </c>
    </row>
    <row r="1127" ht="12.75" customHeight="1">
      <c r="A1127" s="5" t="s">
        <v>3151</v>
      </c>
      <c r="B1127" s="7">
        <v>47.0</v>
      </c>
      <c r="C1127" s="7">
        <v>47.0</v>
      </c>
      <c r="D1127" s="7" t="s">
        <v>3894</v>
      </c>
      <c r="E1127" s="7"/>
      <c r="G1127" s="5" t="str">
        <f t="shared" si="1"/>
        <v>47, 47, SEEL</v>
      </c>
      <c r="I1127" s="5" t="s">
        <v>3151</v>
      </c>
    </row>
    <row r="1128" ht="12.75" customHeight="1">
      <c r="A1128" s="5" t="s">
        <v>3152</v>
      </c>
      <c r="B1128" s="7">
        <v>40.0</v>
      </c>
      <c r="C1128" s="7">
        <v>40.0</v>
      </c>
      <c r="D1128" s="7" t="s">
        <v>3740</v>
      </c>
      <c r="E1128" s="7"/>
      <c r="G1128" s="5" t="str">
        <f t="shared" si="1"/>
        <v>40, 40, ZUBAT</v>
      </c>
      <c r="I1128" s="5" t="s">
        <v>3152</v>
      </c>
    </row>
    <row r="1129" ht="12.75" customHeight="1">
      <c r="A1129" s="5" t="s">
        <v>3153</v>
      </c>
      <c r="B1129" s="7">
        <v>49.0</v>
      </c>
      <c r="C1129" s="7">
        <v>49.0</v>
      </c>
      <c r="D1129" s="7" t="s">
        <v>3853</v>
      </c>
      <c r="E1129" s="7"/>
      <c r="G1129" s="5" t="str">
        <f t="shared" si="1"/>
        <v>49, 49, DEWGONG</v>
      </c>
      <c r="I1129" s="5" t="s">
        <v>3153</v>
      </c>
    </row>
    <row r="1130" ht="12.75" customHeight="1">
      <c r="A1130" s="5">
        <v>0.05</v>
      </c>
      <c r="B1130" s="5">
        <v>0.05</v>
      </c>
      <c r="C1130" s="7"/>
      <c r="D1130" s="7"/>
      <c r="E1130" s="7"/>
      <c r="G1130" s="5">
        <f t="shared" si="1"/>
        <v>0.05</v>
      </c>
      <c r="I1130" s="5">
        <v>0.05</v>
      </c>
    </row>
    <row r="1131" ht="12.75" customHeight="1">
      <c r="A1131" s="5" t="s">
        <v>3154</v>
      </c>
      <c r="B1131" s="7">
        <v>51.0</v>
      </c>
      <c r="C1131" s="7">
        <v>51.0</v>
      </c>
      <c r="D1131" s="7" t="s">
        <v>3853</v>
      </c>
      <c r="E1131" s="7"/>
      <c r="G1131" s="5" t="str">
        <f t="shared" si="1"/>
        <v>51, 51, DEWGONG</v>
      </c>
      <c r="I1131" s="5" t="s">
        <v>3154</v>
      </c>
    </row>
    <row r="1132" ht="12.75" customHeight="1">
      <c r="A1132" s="5" t="s">
        <v>3155</v>
      </c>
      <c r="B1132" s="7">
        <v>41.0</v>
      </c>
      <c r="C1132" s="7">
        <v>41.0</v>
      </c>
      <c r="D1132" s="7" t="s">
        <v>3756</v>
      </c>
      <c r="E1132" s="7"/>
      <c r="G1132" s="5" t="str">
        <f t="shared" si="1"/>
        <v>41, 41, SLOWPOKE</v>
      </c>
      <c r="I1132" s="5" t="s">
        <v>3155</v>
      </c>
    </row>
    <row r="1133" ht="12.75" customHeight="1">
      <c r="A1133" s="5">
        <v>0.04</v>
      </c>
      <c r="B1133" s="5">
        <v>0.04</v>
      </c>
      <c r="C1133" s="7"/>
      <c r="D1133" s="7"/>
      <c r="E1133" s="7"/>
      <c r="G1133" s="5">
        <f t="shared" si="1"/>
        <v>0.04</v>
      </c>
      <c r="I1133" s="5">
        <v>0.04</v>
      </c>
    </row>
    <row r="1134" ht="12.75" customHeight="1">
      <c r="A1134" s="5" t="s">
        <v>3156</v>
      </c>
      <c r="B1134" s="7">
        <v>48.0</v>
      </c>
      <c r="C1134" s="7">
        <v>48.0</v>
      </c>
      <c r="D1134" s="7" t="s">
        <v>3746</v>
      </c>
      <c r="E1134" s="7"/>
      <c r="G1134" s="5" t="str">
        <f t="shared" si="1"/>
        <v>48, 48, GOLBAT</v>
      </c>
      <c r="I1134" s="5" t="s">
        <v>3156</v>
      </c>
    </row>
    <row r="1135" ht="12.75" customHeight="1">
      <c r="A1135" s="5" t="s">
        <v>3157</v>
      </c>
      <c r="B1135" s="7">
        <v>53.0</v>
      </c>
      <c r="C1135" s="7">
        <v>53.0</v>
      </c>
      <c r="D1135" s="7" t="s">
        <v>3853</v>
      </c>
      <c r="E1135" s="7"/>
      <c r="G1135" s="5" t="str">
        <f t="shared" si="1"/>
        <v>53, 53, DEWGONG</v>
      </c>
      <c r="I1135" s="5" t="s">
        <v>3157</v>
      </c>
    </row>
    <row r="1136" ht="12.75" customHeight="1">
      <c r="A1136" s="5">
        <v>0.01</v>
      </c>
      <c r="B1136" s="5">
        <v>0.01</v>
      </c>
      <c r="C1136" s="7"/>
      <c r="D1136" s="7"/>
      <c r="E1136" s="7"/>
      <c r="G1136" s="5">
        <f t="shared" si="1"/>
        <v>0.01</v>
      </c>
      <c r="I1136" s="5">
        <v>0.01</v>
      </c>
    </row>
    <row r="1137" ht="12.75" customHeight="1">
      <c r="A1137" s="5" t="s">
        <v>3156</v>
      </c>
      <c r="B1137" s="7">
        <v>48.0</v>
      </c>
      <c r="C1137" s="7">
        <v>48.0</v>
      </c>
      <c r="D1137" s="7" t="s">
        <v>3746</v>
      </c>
      <c r="E1137" s="7"/>
      <c r="G1137" s="5" t="str">
        <f t="shared" si="1"/>
        <v>48, 48, GOLBAT</v>
      </c>
      <c r="I1137" s="5" t="s">
        <v>3156</v>
      </c>
    </row>
    <row r="1138" ht="12.75" customHeight="1">
      <c r="A1138" s="5" t="s">
        <v>3157</v>
      </c>
      <c r="B1138" s="7">
        <v>53.0</v>
      </c>
      <c r="C1138" s="7">
        <v>53.0</v>
      </c>
      <c r="D1138" s="7" t="s">
        <v>3853</v>
      </c>
      <c r="E1138" s="7"/>
      <c r="G1138" s="5" t="str">
        <f t="shared" si="1"/>
        <v>53, 53, DEWGONG</v>
      </c>
      <c r="I1138" s="5" t="s">
        <v>3157</v>
      </c>
    </row>
    <row r="1139" ht="12.75" customHeight="1">
      <c r="A1139" s="5" t="s">
        <v>3173</v>
      </c>
      <c r="B1139" s="7">
        <v>2.0</v>
      </c>
      <c r="C1139" s="7">
        <v>5.0</v>
      </c>
      <c r="D1139" s="7">
        <v>20.0</v>
      </c>
      <c r="E1139" s="7" t="s">
        <v>3748</v>
      </c>
      <c r="G1139" s="5" t="str">
        <f t="shared" si="1"/>
        <v>2, 5, 20, TENTACOOL</v>
      </c>
      <c r="I1139" s="5" t="s">
        <v>3173</v>
      </c>
    </row>
    <row r="1140" ht="12.75" customHeight="1">
      <c r="A1140" s="5" t="s">
        <v>3174</v>
      </c>
      <c r="B1140" s="7">
        <v>20.0</v>
      </c>
      <c r="C1140" s="7">
        <v>35.0</v>
      </c>
      <c r="D1140" s="7" t="s">
        <v>3748</v>
      </c>
      <c r="E1140" s="7"/>
      <c r="G1140" s="5" t="str">
        <f t="shared" si="1"/>
        <v>20, 35, TENTACOOL</v>
      </c>
      <c r="I1140" s="5" t="s">
        <v>3174</v>
      </c>
    </row>
    <row r="1141" ht="12.75" customHeight="1">
      <c r="A1141" s="5" t="s">
        <v>3175</v>
      </c>
      <c r="B1141" s="7">
        <v>35.0</v>
      </c>
      <c r="C1141" s="7">
        <v>45.0</v>
      </c>
      <c r="D1141" s="7" t="s">
        <v>3748</v>
      </c>
      <c r="E1141" s="7"/>
      <c r="G1141" s="5" t="str">
        <f t="shared" si="1"/>
        <v>35, 45, TENTACOOL</v>
      </c>
      <c r="I1141" s="5" t="s">
        <v>3175</v>
      </c>
    </row>
    <row r="1142" ht="12.75" customHeight="1">
      <c r="A1142" s="5" t="s">
        <v>3176</v>
      </c>
      <c r="B1142" s="7">
        <v>35.0</v>
      </c>
      <c r="C1142" s="7">
        <v>45.0</v>
      </c>
      <c r="D1142" s="7" t="s">
        <v>3898</v>
      </c>
      <c r="E1142" s="7"/>
      <c r="G1142" s="5" t="str">
        <f t="shared" si="1"/>
        <v>35, 45, TENTACRUEL</v>
      </c>
      <c r="I1142" s="5" t="s">
        <v>3176</v>
      </c>
    </row>
    <row r="1143" ht="12.75" customHeight="1">
      <c r="A1143" s="5" t="s">
        <v>3177</v>
      </c>
      <c r="B1143" s="7">
        <v>30.0</v>
      </c>
      <c r="C1143" s="7">
        <v>45.0</v>
      </c>
      <c r="D1143" s="7" t="s">
        <v>3861</v>
      </c>
      <c r="E1143" s="7"/>
      <c r="G1143" s="5" t="str">
        <f t="shared" si="1"/>
        <v>30, 45, LAPRAS</v>
      </c>
      <c r="I1143" s="5" t="s">
        <v>3177</v>
      </c>
    </row>
    <row r="1144" ht="12.75" customHeight="1">
      <c r="A1144" s="5" t="s">
        <v>2926</v>
      </c>
      <c r="B1144" s="7">
        <v>20.0</v>
      </c>
      <c r="C1144" s="7" t="s">
        <v>3749</v>
      </c>
      <c r="D1144" s="7"/>
      <c r="E1144" s="7"/>
      <c r="G1144" s="5" t="str">
        <f t="shared" si="1"/>
        <v>old rod:</v>
      </c>
      <c r="I1144" s="5" t="s">
        <v>3750</v>
      </c>
    </row>
    <row r="1145" ht="12.75" customHeight="1">
      <c r="A1145" s="5" t="s">
        <v>417</v>
      </c>
      <c r="B1145" s="7">
        <v>5.0</v>
      </c>
      <c r="C1145" s="7">
        <v>5.0</v>
      </c>
      <c r="D1145" s="7" t="s">
        <v>3751</v>
      </c>
      <c r="E1145" s="7"/>
      <c r="G1145" s="5" t="str">
        <f t="shared" si="1"/>
        <v>5, 5, MAGIKARP</v>
      </c>
      <c r="I1145" s="5" t="s">
        <v>417</v>
      </c>
    </row>
    <row r="1146" ht="12.75" customHeight="1">
      <c r="A1146" s="5" t="s">
        <v>417</v>
      </c>
      <c r="B1146" s="7">
        <v>5.0</v>
      </c>
      <c r="C1146" s="7">
        <v>5.0</v>
      </c>
      <c r="D1146" s="7" t="s">
        <v>3751</v>
      </c>
      <c r="E1146" s="7"/>
      <c r="G1146" s="5" t="str">
        <f t="shared" si="1"/>
        <v>5, 5, MAGIKARP</v>
      </c>
      <c r="I1146" s="5" t="s">
        <v>417</v>
      </c>
    </row>
    <row r="1147" ht="12.75" customHeight="1">
      <c r="A1147" s="5" t="s">
        <v>2847</v>
      </c>
      <c r="B1147" s="7" t="s">
        <v>2847</v>
      </c>
      <c r="C1147" s="7"/>
      <c r="D1147" s="7"/>
      <c r="E1147" s="7"/>
      <c r="G1147" s="5" t="str">
        <f t="shared" si="1"/>
        <v>good rod:</v>
      </c>
      <c r="I1147" s="5" t="s">
        <v>2847</v>
      </c>
    </row>
    <row r="1148" ht="12.75" customHeight="1">
      <c r="A1148" s="5" t="s">
        <v>2848</v>
      </c>
      <c r="B1148" s="7">
        <v>5.0</v>
      </c>
      <c r="C1148" s="7">
        <v>15.0</v>
      </c>
      <c r="D1148" s="7" t="s">
        <v>3752</v>
      </c>
      <c r="E1148" s="7"/>
      <c r="G1148" s="5" t="str">
        <f t="shared" si="1"/>
        <v>5, 15, KRABBY</v>
      </c>
      <c r="I1148" s="5" t="s">
        <v>2848</v>
      </c>
    </row>
    <row r="1149" ht="12.75" customHeight="1">
      <c r="A1149" s="5" t="s">
        <v>2849</v>
      </c>
      <c r="B1149" s="7">
        <v>5.0</v>
      </c>
      <c r="C1149" s="7">
        <v>15.0</v>
      </c>
      <c r="D1149" s="7" t="s">
        <v>3751</v>
      </c>
      <c r="E1149" s="7"/>
      <c r="G1149" s="5" t="str">
        <f t="shared" si="1"/>
        <v>5, 15, MAGIKARP</v>
      </c>
      <c r="I1149" s="5" t="s">
        <v>2849</v>
      </c>
    </row>
    <row r="1150" ht="12.75" customHeight="1">
      <c r="A1150" s="5" t="s">
        <v>2848</v>
      </c>
      <c r="B1150" s="7">
        <v>5.0</v>
      </c>
      <c r="C1150" s="7">
        <v>15.0</v>
      </c>
      <c r="D1150" s="7" t="s">
        <v>3752</v>
      </c>
      <c r="E1150" s="7"/>
      <c r="G1150" s="5" t="str">
        <f t="shared" si="1"/>
        <v>5, 15, KRABBY</v>
      </c>
      <c r="I1150" s="5" t="s">
        <v>2848</v>
      </c>
    </row>
    <row r="1151" ht="12.75" customHeight="1">
      <c r="A1151" s="5" t="s">
        <v>2851</v>
      </c>
      <c r="B1151" s="7" t="s">
        <v>2851</v>
      </c>
      <c r="C1151" s="7"/>
      <c r="D1151" s="7"/>
      <c r="E1151" s="7"/>
      <c r="G1151" s="5" t="str">
        <f t="shared" si="1"/>
        <v>super rod:</v>
      </c>
      <c r="I1151" s="5" t="s">
        <v>2851</v>
      </c>
    </row>
    <row r="1152" ht="12.75" customHeight="1">
      <c r="A1152" s="5" t="s">
        <v>2852</v>
      </c>
      <c r="B1152" s="7">
        <v>15.0</v>
      </c>
      <c r="C1152" s="7">
        <v>25.0</v>
      </c>
      <c r="D1152" s="7" t="s">
        <v>3752</v>
      </c>
      <c r="E1152" s="7"/>
      <c r="G1152" s="5" t="str">
        <f t="shared" si="1"/>
        <v>15, 25, KRABBY</v>
      </c>
      <c r="I1152" s="5" t="s">
        <v>2852</v>
      </c>
    </row>
    <row r="1153" ht="12.75" customHeight="1">
      <c r="A1153" s="5" t="s">
        <v>2853</v>
      </c>
      <c r="B1153" s="7">
        <v>15.0</v>
      </c>
      <c r="C1153" s="7">
        <v>25.0</v>
      </c>
      <c r="D1153" s="7" t="s">
        <v>3754</v>
      </c>
      <c r="E1153" s="7"/>
      <c r="G1153" s="5" t="str">
        <f t="shared" si="1"/>
        <v>15, 25, STARYU</v>
      </c>
      <c r="I1153" s="5" t="s">
        <v>2853</v>
      </c>
    </row>
    <row r="1154" ht="12.75" customHeight="1">
      <c r="A1154" s="5" t="s">
        <v>2854</v>
      </c>
      <c r="B1154" s="7">
        <v>15.0</v>
      </c>
      <c r="C1154" s="7">
        <v>25.0</v>
      </c>
      <c r="D1154" s="7" t="s">
        <v>3755</v>
      </c>
      <c r="E1154" s="7"/>
      <c r="G1154" s="5" t="str">
        <f t="shared" si="1"/>
        <v>15, 25, GYARADOS</v>
      </c>
      <c r="I1154" s="5" t="s">
        <v>2854</v>
      </c>
    </row>
    <row r="1155" ht="12.75" customHeight="1">
      <c r="A1155" s="5" t="s">
        <v>3178</v>
      </c>
      <c r="B1155" s="7">
        <v>25.0</v>
      </c>
      <c r="C1155" s="7">
        <v>35.0</v>
      </c>
      <c r="D1155" s="7" t="s">
        <v>3860</v>
      </c>
      <c r="E1155" s="7"/>
      <c r="G1155" s="5" t="str">
        <f t="shared" si="1"/>
        <v>25, 35, KINGLER</v>
      </c>
      <c r="I1155" s="5" t="s">
        <v>3178</v>
      </c>
    </row>
    <row r="1156" ht="12.75" customHeight="1">
      <c r="A1156" s="5" t="s">
        <v>2856</v>
      </c>
      <c r="B1156" s="7">
        <v>25.0</v>
      </c>
      <c r="C1156" s="7">
        <v>35.0</v>
      </c>
      <c r="D1156" s="7" t="s">
        <v>3756</v>
      </c>
      <c r="E1156" s="7"/>
      <c r="G1156" s="5" t="str">
        <f t="shared" si="1"/>
        <v>25, 35, SLOWPOKE</v>
      </c>
      <c r="I1156" s="5" t="s">
        <v>2856</v>
      </c>
    </row>
    <row r="1157" ht="12.75" customHeight="1">
      <c r="A1157" s="5" t="s">
        <v>2539</v>
      </c>
      <c r="B1157" s="7" t="s">
        <v>2539</v>
      </c>
      <c r="C1157" s="7"/>
      <c r="D1157" s="7"/>
      <c r="E1157" s="7"/>
      <c r="G1157" s="5" t="str">
        <f t="shared" si="1"/>
        <v>NEW ROUTE</v>
      </c>
      <c r="I1157" s="5" t="s">
        <v>2539</v>
      </c>
    </row>
    <row r="1158" ht="12.75" customHeight="1">
      <c r="A1158" s="5" t="s">
        <v>1937</v>
      </c>
      <c r="B1158" s="7" t="s">
        <v>1937</v>
      </c>
      <c r="C1158" s="7"/>
      <c r="D1158" s="7"/>
      <c r="E1158" s="7"/>
      <c r="G1158" s="5" t="str">
        <f t="shared" si="1"/>
        <v>Six Island Pattern Bush</v>
      </c>
      <c r="I1158" s="5" t="s">
        <v>1937</v>
      </c>
    </row>
    <row r="1159" ht="12.75" customHeight="1">
      <c r="A1159" s="5">
        <v>0.2</v>
      </c>
      <c r="B1159" s="5">
        <v>0.2</v>
      </c>
      <c r="C1159" s="7"/>
      <c r="D1159" s="7"/>
      <c r="E1159" s="7"/>
      <c r="G1159" s="5">
        <f t="shared" si="1"/>
        <v>0.2</v>
      </c>
      <c r="I1159" s="5">
        <v>0.2</v>
      </c>
    </row>
    <row r="1160" ht="12.75" customHeight="1">
      <c r="A1160" s="5" t="s">
        <v>776</v>
      </c>
      <c r="B1160" s="7">
        <v>9.0</v>
      </c>
      <c r="C1160" s="7">
        <v>9.0</v>
      </c>
      <c r="D1160" s="7" t="s">
        <v>3899</v>
      </c>
      <c r="E1160" s="7"/>
      <c r="G1160" s="5" t="str">
        <f t="shared" si="1"/>
        <v>9, 9, LEDYBA</v>
      </c>
      <c r="I1160" s="5" t="s">
        <v>776</v>
      </c>
    </row>
    <row r="1161" ht="12.75" customHeight="1">
      <c r="A1161" s="5" t="s">
        <v>3180</v>
      </c>
      <c r="B1161" s="7">
        <v>9.0</v>
      </c>
      <c r="C1161" s="7">
        <v>9.0</v>
      </c>
      <c r="D1161" s="7" t="s">
        <v>3734</v>
      </c>
      <c r="E1161" s="7"/>
      <c r="G1161" s="5" t="str">
        <f t="shared" si="1"/>
        <v>9, 9, KAKUNA</v>
      </c>
      <c r="I1161" s="5" t="s">
        <v>3180</v>
      </c>
    </row>
    <row r="1162" ht="12.75" customHeight="1">
      <c r="A1162" s="5">
        <v>0.1</v>
      </c>
      <c r="B1162" s="5">
        <v>0.1</v>
      </c>
      <c r="C1162" s="7"/>
      <c r="D1162" s="7"/>
      <c r="E1162" s="7"/>
      <c r="G1162" s="5">
        <f t="shared" si="1"/>
        <v>0.1</v>
      </c>
      <c r="I1162" s="5">
        <v>0.1</v>
      </c>
    </row>
    <row r="1163" ht="12.75" customHeight="1">
      <c r="A1163" s="5" t="s">
        <v>3181</v>
      </c>
      <c r="B1163" s="7">
        <v>14.0</v>
      </c>
      <c r="C1163" s="7">
        <v>14.0</v>
      </c>
      <c r="D1163" s="7" t="s">
        <v>3899</v>
      </c>
      <c r="E1163" s="7"/>
      <c r="G1163" s="5" t="str">
        <f t="shared" si="1"/>
        <v>14, 14, LEDYBA</v>
      </c>
      <c r="I1163" s="5" t="s">
        <v>3181</v>
      </c>
    </row>
    <row r="1164" ht="12.75" customHeight="1">
      <c r="A1164" s="5" t="s">
        <v>3182</v>
      </c>
      <c r="B1164" s="7">
        <v>6.0</v>
      </c>
      <c r="C1164" s="7">
        <v>6.0</v>
      </c>
      <c r="D1164" s="7" t="s">
        <v>3730</v>
      </c>
      <c r="E1164" s="7"/>
      <c r="G1164" s="5" t="str">
        <f t="shared" si="1"/>
        <v>6, 6, CATERPIE</v>
      </c>
      <c r="I1164" s="5" t="s">
        <v>3182</v>
      </c>
    </row>
    <row r="1165" ht="12.75" customHeight="1">
      <c r="A1165" s="5" t="s">
        <v>3183</v>
      </c>
      <c r="B1165" s="7">
        <v>6.0</v>
      </c>
      <c r="C1165" s="7">
        <v>6.0</v>
      </c>
      <c r="D1165" s="7" t="s">
        <v>3731</v>
      </c>
      <c r="E1165" s="7"/>
      <c r="G1165" s="5" t="str">
        <f t="shared" si="1"/>
        <v>6, 6, WEEDLE</v>
      </c>
      <c r="I1165" s="5" t="s">
        <v>3183</v>
      </c>
    </row>
    <row r="1166" ht="12.75" customHeight="1">
      <c r="A1166" s="5" t="s">
        <v>3184</v>
      </c>
      <c r="B1166" s="7">
        <v>15.0</v>
      </c>
      <c r="C1166" s="7">
        <v>15.0</v>
      </c>
      <c r="D1166" s="7" t="s">
        <v>3900</v>
      </c>
      <c r="E1166" s="7"/>
      <c r="G1166" s="5" t="str">
        <f t="shared" si="1"/>
        <v>15, 15, HERACROSS</v>
      </c>
      <c r="I1166" s="5" t="s">
        <v>3184</v>
      </c>
    </row>
    <row r="1167" ht="12.75" customHeight="1">
      <c r="A1167" s="5">
        <v>0.05</v>
      </c>
      <c r="B1167" s="5">
        <v>0.05</v>
      </c>
      <c r="C1167" s="7"/>
      <c r="D1167" s="7"/>
      <c r="E1167" s="7"/>
      <c r="G1167" s="5">
        <f t="shared" si="1"/>
        <v>0.05</v>
      </c>
      <c r="I1167" s="5">
        <v>0.05</v>
      </c>
    </row>
    <row r="1168" ht="12.75" customHeight="1">
      <c r="A1168" s="5" t="s">
        <v>3185</v>
      </c>
      <c r="B1168" s="7">
        <v>9.0</v>
      </c>
      <c r="C1168" s="7">
        <v>9.0</v>
      </c>
      <c r="D1168" s="7" t="s">
        <v>3733</v>
      </c>
      <c r="E1168" s="7"/>
      <c r="G1168" s="5" t="str">
        <f t="shared" si="1"/>
        <v>9, 9, METAPOD</v>
      </c>
      <c r="I1168" s="5" t="s">
        <v>3185</v>
      </c>
    </row>
    <row r="1169" ht="12.75" customHeight="1">
      <c r="A1169" s="5" t="s">
        <v>3186</v>
      </c>
      <c r="B1169" s="7">
        <v>20.0</v>
      </c>
      <c r="C1169" s="7">
        <v>20.0</v>
      </c>
      <c r="D1169" s="7" t="s">
        <v>3900</v>
      </c>
      <c r="E1169" s="7"/>
      <c r="G1169" s="5" t="str">
        <f t="shared" si="1"/>
        <v>20, 20, HERACROSS</v>
      </c>
      <c r="I1169" s="5" t="s">
        <v>3186</v>
      </c>
    </row>
    <row r="1170" ht="12.75" customHeight="1">
      <c r="A1170" s="5">
        <v>0.04</v>
      </c>
      <c r="B1170" s="5">
        <v>0.04</v>
      </c>
      <c r="C1170" s="7"/>
      <c r="D1170" s="7"/>
      <c r="E1170" s="7"/>
      <c r="G1170" s="5">
        <f t="shared" si="1"/>
        <v>0.04</v>
      </c>
      <c r="I1170" s="5">
        <v>0.04</v>
      </c>
    </row>
    <row r="1171" ht="12.75" customHeight="1">
      <c r="A1171" s="5" t="s">
        <v>3187</v>
      </c>
      <c r="B1171" s="7">
        <v>9.0</v>
      </c>
      <c r="C1171" s="7">
        <v>9.0</v>
      </c>
      <c r="D1171" s="7" t="s">
        <v>3901</v>
      </c>
      <c r="E1171" s="7"/>
      <c r="G1171" s="5" t="str">
        <f t="shared" si="1"/>
        <v>9, 9, SPINARAK</v>
      </c>
      <c r="I1171" s="5" t="s">
        <v>3187</v>
      </c>
    </row>
    <row r="1172" ht="12.75" customHeight="1">
      <c r="A1172" s="5" t="s">
        <v>3188</v>
      </c>
      <c r="B1172" s="7">
        <v>25.0</v>
      </c>
      <c r="C1172" s="7">
        <v>25.0</v>
      </c>
      <c r="D1172" s="7" t="s">
        <v>3900</v>
      </c>
      <c r="E1172" s="7"/>
      <c r="G1172" s="5" t="str">
        <f t="shared" si="1"/>
        <v>25, 25, HERACROSS</v>
      </c>
      <c r="I1172" s="5" t="s">
        <v>3188</v>
      </c>
    </row>
    <row r="1173" ht="12.75" customHeight="1">
      <c r="A1173" s="5">
        <v>0.01</v>
      </c>
      <c r="B1173" s="5">
        <v>0.01</v>
      </c>
      <c r="C1173" s="7"/>
      <c r="D1173" s="7"/>
      <c r="E1173" s="7"/>
      <c r="G1173" s="5">
        <f t="shared" si="1"/>
        <v>0.01</v>
      </c>
      <c r="I1173" s="5">
        <v>0.01</v>
      </c>
    </row>
    <row r="1174" ht="12.75" customHeight="1">
      <c r="A1174" s="5" t="s">
        <v>3189</v>
      </c>
      <c r="B1174" s="7">
        <v>14.0</v>
      </c>
      <c r="C1174" s="7">
        <v>14.0</v>
      </c>
      <c r="D1174" s="7" t="s">
        <v>3901</v>
      </c>
      <c r="E1174" s="7"/>
      <c r="G1174" s="5" t="str">
        <f t="shared" si="1"/>
        <v>14, 14, SPINARAK</v>
      </c>
      <c r="I1174" s="5" t="s">
        <v>3189</v>
      </c>
    </row>
    <row r="1175" ht="12.75" customHeight="1">
      <c r="A1175" s="5" t="s">
        <v>3721</v>
      </c>
      <c r="B1175" s="7">
        <v>30.0</v>
      </c>
      <c r="C1175" s="7">
        <v>30.0</v>
      </c>
      <c r="D1175" s="7" t="s">
        <v>3900</v>
      </c>
      <c r="E1175" s="7"/>
      <c r="G1175" s="5" t="str">
        <f t="shared" si="1"/>
        <v>30, 30, HERACROSS</v>
      </c>
      <c r="I1175" s="5" t="s">
        <v>3721</v>
      </c>
    </row>
    <row r="1176" ht="12.75" customHeight="1">
      <c r="A1176" s="5" t="s">
        <v>2539</v>
      </c>
      <c r="B1176" s="7" t="s">
        <v>2539</v>
      </c>
      <c r="C1176" s="7"/>
      <c r="D1176" s="7"/>
      <c r="E1176" s="7"/>
      <c r="G1176" s="5" t="str">
        <f t="shared" si="1"/>
        <v>NEW ROUTE</v>
      </c>
      <c r="I1176" s="5" t="s">
        <v>2539</v>
      </c>
    </row>
    <row r="1177" ht="12.75" customHeight="1">
      <c r="A1177" s="5" t="s">
        <v>1972</v>
      </c>
      <c r="B1177" s="7" t="s">
        <v>1972</v>
      </c>
      <c r="C1177" s="7"/>
      <c r="D1177" s="7"/>
      <c r="E1177" s="7"/>
      <c r="G1177" s="5" t="str">
        <f t="shared" si="1"/>
        <v>Five Island Lost Cave Room 1</v>
      </c>
      <c r="I1177" s="5" t="s">
        <v>1972</v>
      </c>
    </row>
    <row r="1178" ht="12.75" customHeight="1">
      <c r="A1178" s="5">
        <v>0.2</v>
      </c>
      <c r="B1178" s="5">
        <v>0.2</v>
      </c>
      <c r="C1178" s="7"/>
      <c r="D1178" s="7"/>
      <c r="E1178" s="7"/>
      <c r="G1178" s="5">
        <f t="shared" si="1"/>
        <v>0.2</v>
      </c>
      <c r="I1178" s="5">
        <v>0.2</v>
      </c>
    </row>
    <row r="1179" ht="12.75" customHeight="1">
      <c r="A1179" s="5" t="s">
        <v>789</v>
      </c>
      <c r="B1179" s="7">
        <v>40.0</v>
      </c>
      <c r="C1179" s="7">
        <v>40.0</v>
      </c>
      <c r="D1179" s="7" t="s">
        <v>3864</v>
      </c>
      <c r="E1179" s="7"/>
      <c r="G1179" s="5" t="str">
        <f t="shared" si="1"/>
        <v>40, 40, GASTLY</v>
      </c>
      <c r="I1179" s="5" t="s">
        <v>789</v>
      </c>
    </row>
    <row r="1180" ht="12.75" customHeight="1">
      <c r="A1180" s="5" t="s">
        <v>3193</v>
      </c>
      <c r="B1180" s="7">
        <v>37.0</v>
      </c>
      <c r="C1180" s="7">
        <v>37.0</v>
      </c>
      <c r="D1180" s="7" t="s">
        <v>3740</v>
      </c>
      <c r="E1180" s="7"/>
      <c r="G1180" s="5" t="str">
        <f t="shared" si="1"/>
        <v>37, 37, ZUBAT</v>
      </c>
      <c r="I1180" s="5" t="s">
        <v>3193</v>
      </c>
    </row>
    <row r="1181" ht="12.75" customHeight="1">
      <c r="A1181" s="5">
        <v>0.1</v>
      </c>
      <c r="B1181" s="5">
        <v>0.1</v>
      </c>
      <c r="C1181" s="7"/>
      <c r="D1181" s="7"/>
      <c r="E1181" s="7"/>
      <c r="G1181" s="5">
        <f t="shared" si="1"/>
        <v>0.1</v>
      </c>
      <c r="I1181" s="5">
        <v>0.1</v>
      </c>
    </row>
    <row r="1182" ht="12.75" customHeight="1">
      <c r="A1182" s="5" t="s">
        <v>3194</v>
      </c>
      <c r="B1182" s="7">
        <v>44.0</v>
      </c>
      <c r="C1182" s="7">
        <v>44.0</v>
      </c>
      <c r="D1182" s="7" t="s">
        <v>3867</v>
      </c>
      <c r="E1182" s="7"/>
      <c r="G1182" s="5" t="str">
        <f t="shared" si="1"/>
        <v>44, 44, HAUNTER</v>
      </c>
      <c r="I1182" s="5" t="s">
        <v>3194</v>
      </c>
    </row>
    <row r="1183" ht="12.75" customHeight="1">
      <c r="A1183" s="5" t="s">
        <v>3195</v>
      </c>
      <c r="B1183" s="7">
        <v>46.0</v>
      </c>
      <c r="C1183" s="7">
        <v>46.0</v>
      </c>
      <c r="D1183" s="7" t="s">
        <v>3867</v>
      </c>
      <c r="E1183" s="7"/>
      <c r="G1183" s="5" t="str">
        <f t="shared" si="1"/>
        <v>46, 46, HAUNTER</v>
      </c>
      <c r="I1183" s="5" t="s">
        <v>3195</v>
      </c>
    </row>
    <row r="1184" ht="12.75" customHeight="1">
      <c r="A1184" s="5" t="s">
        <v>3196</v>
      </c>
      <c r="B1184" s="7">
        <v>41.0</v>
      </c>
      <c r="C1184" s="7">
        <v>41.0</v>
      </c>
      <c r="D1184" s="7" t="s">
        <v>3746</v>
      </c>
      <c r="E1184" s="7"/>
      <c r="G1184" s="5" t="str">
        <f t="shared" si="1"/>
        <v>41, 41, GOLBAT</v>
      </c>
      <c r="I1184" s="5" t="s">
        <v>3196</v>
      </c>
    </row>
    <row r="1185" ht="12.75" customHeight="1">
      <c r="A1185" s="5" t="s">
        <v>3197</v>
      </c>
      <c r="B1185" s="7">
        <v>43.0</v>
      </c>
      <c r="C1185" s="7">
        <v>43.0</v>
      </c>
      <c r="D1185" s="7" t="s">
        <v>3746</v>
      </c>
      <c r="E1185" s="7"/>
      <c r="G1185" s="5" t="str">
        <f t="shared" si="1"/>
        <v>43, 43, GOLBAT</v>
      </c>
      <c r="I1185" s="5" t="s">
        <v>3197</v>
      </c>
    </row>
    <row r="1186" ht="12.75" customHeight="1">
      <c r="A1186" s="5">
        <v>0.05</v>
      </c>
      <c r="B1186" s="5">
        <v>0.05</v>
      </c>
      <c r="C1186" s="7"/>
      <c r="D1186" s="7"/>
      <c r="E1186" s="7"/>
      <c r="G1186" s="5">
        <f t="shared" si="1"/>
        <v>0.05</v>
      </c>
      <c r="I1186" s="5">
        <v>0.05</v>
      </c>
    </row>
    <row r="1187" ht="12.75" customHeight="1">
      <c r="A1187" s="5" t="s">
        <v>3198</v>
      </c>
      <c r="B1187" s="7">
        <v>38.0</v>
      </c>
      <c r="C1187" s="7">
        <v>38.0</v>
      </c>
      <c r="D1187" s="7" t="s">
        <v>3864</v>
      </c>
      <c r="E1187" s="7"/>
      <c r="G1187" s="5" t="str">
        <f t="shared" si="1"/>
        <v>38, 38, GASTLY</v>
      </c>
      <c r="I1187" s="5" t="s">
        <v>3198</v>
      </c>
    </row>
    <row r="1188" ht="12.75" customHeight="1">
      <c r="A1188" s="5" t="s">
        <v>3199</v>
      </c>
      <c r="B1188" s="7">
        <v>48.0</v>
      </c>
      <c r="C1188" s="7">
        <v>48.0</v>
      </c>
      <c r="D1188" s="7" t="s">
        <v>3867</v>
      </c>
      <c r="E1188" s="7"/>
      <c r="G1188" s="5" t="str">
        <f t="shared" si="1"/>
        <v>48, 48, HAUNTER</v>
      </c>
      <c r="I1188" s="5" t="s">
        <v>3199</v>
      </c>
    </row>
    <row r="1189" ht="12.75" customHeight="1">
      <c r="A1189" s="5">
        <v>0.04</v>
      </c>
      <c r="B1189" s="5">
        <v>0.04</v>
      </c>
      <c r="C1189" s="7"/>
      <c r="D1189" s="7"/>
      <c r="E1189" s="7"/>
      <c r="G1189" s="5">
        <f t="shared" si="1"/>
        <v>0.04</v>
      </c>
      <c r="I1189" s="5">
        <v>0.04</v>
      </c>
    </row>
    <row r="1190" ht="12.75" customHeight="1">
      <c r="A1190" s="5" t="s">
        <v>3200</v>
      </c>
      <c r="B1190" s="7">
        <v>50.0</v>
      </c>
      <c r="C1190" s="7">
        <v>50.0</v>
      </c>
      <c r="D1190" s="7" t="s">
        <v>3867</v>
      </c>
      <c r="E1190" s="7"/>
      <c r="G1190" s="5" t="str">
        <f t="shared" si="1"/>
        <v>50, 50, HAUNTER</v>
      </c>
      <c r="I1190" s="5" t="s">
        <v>3200</v>
      </c>
    </row>
    <row r="1191" ht="12.75" customHeight="1">
      <c r="A1191" s="5" t="s">
        <v>3201</v>
      </c>
      <c r="B1191" s="7">
        <v>22.0</v>
      </c>
      <c r="C1191" s="7">
        <v>22.0</v>
      </c>
      <c r="D1191" s="7" t="s">
        <v>3902</v>
      </c>
      <c r="E1191" s="7"/>
      <c r="G1191" s="5" t="str">
        <f t="shared" si="1"/>
        <v>22, 22, MISDREAVUS</v>
      </c>
      <c r="I1191" s="5" t="s">
        <v>3201</v>
      </c>
    </row>
    <row r="1192" ht="12.75" customHeight="1">
      <c r="A1192" s="5">
        <v>0.01</v>
      </c>
      <c r="B1192" s="5">
        <v>0.01</v>
      </c>
      <c r="C1192" s="7"/>
      <c r="D1192" s="7"/>
      <c r="E1192" s="7"/>
      <c r="G1192" s="5">
        <f t="shared" si="1"/>
        <v>0.01</v>
      </c>
      <c r="I1192" s="5">
        <v>0.01</v>
      </c>
    </row>
    <row r="1193" ht="12.75" customHeight="1">
      <c r="A1193" s="5" t="s">
        <v>3202</v>
      </c>
      <c r="B1193" s="7">
        <v>52.0</v>
      </c>
      <c r="C1193" s="7">
        <v>52.0</v>
      </c>
      <c r="D1193" s="7" t="s">
        <v>3867</v>
      </c>
      <c r="E1193" s="7"/>
      <c r="G1193" s="5" t="str">
        <f t="shared" si="1"/>
        <v>52, 52, HAUNTER</v>
      </c>
      <c r="I1193" s="5" t="s">
        <v>3202</v>
      </c>
    </row>
    <row r="1194" ht="12.75" customHeight="1">
      <c r="A1194" s="5" t="s">
        <v>3201</v>
      </c>
      <c r="B1194" s="7">
        <v>22.0</v>
      </c>
      <c r="C1194" s="7">
        <v>22.0</v>
      </c>
      <c r="D1194" s="7" t="s">
        <v>3902</v>
      </c>
      <c r="E1194" s="7"/>
      <c r="G1194" s="5" t="str">
        <f t="shared" si="1"/>
        <v>22, 22, MISDREAVUS</v>
      </c>
      <c r="I1194" s="5" t="s">
        <v>3201</v>
      </c>
    </row>
    <row r="1195" ht="12.75" customHeight="1">
      <c r="A1195" s="5" t="s">
        <v>2539</v>
      </c>
      <c r="B1195" s="7" t="s">
        <v>2539</v>
      </c>
      <c r="C1195" s="7"/>
      <c r="D1195" s="7"/>
      <c r="E1195" s="7"/>
      <c r="G1195" s="5" t="str">
        <f t="shared" si="1"/>
        <v>NEW ROUTE</v>
      </c>
      <c r="I1195" s="5" t="s">
        <v>2539</v>
      </c>
    </row>
    <row r="1196" ht="12.75" customHeight="1">
      <c r="A1196" s="5" t="s">
        <v>1974</v>
      </c>
      <c r="B1196" s="7" t="s">
        <v>1974</v>
      </c>
      <c r="C1196" s="7"/>
      <c r="D1196" s="7"/>
      <c r="E1196" s="7"/>
      <c r="G1196" s="5" t="str">
        <f t="shared" si="1"/>
        <v>Five Island Lost Cave Room 2</v>
      </c>
      <c r="I1196" s="5" t="s">
        <v>1974</v>
      </c>
    </row>
    <row r="1197" ht="12.75" customHeight="1">
      <c r="A1197" s="5">
        <v>0.2</v>
      </c>
      <c r="B1197" s="5">
        <v>0.2</v>
      </c>
      <c r="C1197" s="7"/>
      <c r="D1197" s="7"/>
      <c r="E1197" s="7"/>
      <c r="G1197" s="5">
        <f t="shared" si="1"/>
        <v>0.2</v>
      </c>
      <c r="I1197" s="5">
        <v>0.2</v>
      </c>
    </row>
    <row r="1198" ht="12.75" customHeight="1">
      <c r="A1198" s="5" t="s">
        <v>789</v>
      </c>
      <c r="B1198" s="7">
        <v>40.0</v>
      </c>
      <c r="C1198" s="7">
        <v>40.0</v>
      </c>
      <c r="D1198" s="7" t="s">
        <v>3864</v>
      </c>
      <c r="E1198" s="7"/>
      <c r="G1198" s="5" t="str">
        <f t="shared" si="1"/>
        <v>40, 40, GASTLY</v>
      </c>
      <c r="I1198" s="5" t="s">
        <v>789</v>
      </c>
    </row>
    <row r="1199" ht="12.75" customHeight="1">
      <c r="A1199" s="5" t="s">
        <v>3193</v>
      </c>
      <c r="B1199" s="7">
        <v>37.0</v>
      </c>
      <c r="C1199" s="7">
        <v>37.0</v>
      </c>
      <c r="D1199" s="7" t="s">
        <v>3740</v>
      </c>
      <c r="E1199" s="7"/>
      <c r="G1199" s="5" t="str">
        <f t="shared" si="1"/>
        <v>37, 37, ZUBAT</v>
      </c>
      <c r="I1199" s="5" t="s">
        <v>3193</v>
      </c>
    </row>
    <row r="1200" ht="12.75" customHeight="1">
      <c r="A1200" s="5">
        <v>0.1</v>
      </c>
      <c r="B1200" s="5">
        <v>0.1</v>
      </c>
      <c r="C1200" s="7"/>
      <c r="D1200" s="7"/>
      <c r="E1200" s="7"/>
      <c r="G1200" s="5">
        <f t="shared" si="1"/>
        <v>0.1</v>
      </c>
      <c r="I1200" s="5">
        <v>0.1</v>
      </c>
    </row>
    <row r="1201" ht="12.75" customHeight="1">
      <c r="A1201" s="5" t="s">
        <v>3194</v>
      </c>
      <c r="B1201" s="7">
        <v>44.0</v>
      </c>
      <c r="C1201" s="7">
        <v>44.0</v>
      </c>
      <c r="D1201" s="7" t="s">
        <v>3867</v>
      </c>
      <c r="E1201" s="7"/>
      <c r="G1201" s="5" t="str">
        <f t="shared" si="1"/>
        <v>44, 44, HAUNTER</v>
      </c>
      <c r="I1201" s="5" t="s">
        <v>3194</v>
      </c>
    </row>
    <row r="1202" ht="12.75" customHeight="1">
      <c r="A1202" s="5" t="s">
        <v>3195</v>
      </c>
      <c r="B1202" s="7">
        <v>46.0</v>
      </c>
      <c r="C1202" s="7">
        <v>46.0</v>
      </c>
      <c r="D1202" s="7" t="s">
        <v>3867</v>
      </c>
      <c r="E1202" s="7"/>
      <c r="G1202" s="5" t="str">
        <f t="shared" si="1"/>
        <v>46, 46, HAUNTER</v>
      </c>
      <c r="I1202" s="5" t="s">
        <v>3195</v>
      </c>
    </row>
    <row r="1203" ht="12.75" customHeight="1">
      <c r="A1203" s="5" t="s">
        <v>3196</v>
      </c>
      <c r="B1203" s="7">
        <v>41.0</v>
      </c>
      <c r="C1203" s="7">
        <v>41.0</v>
      </c>
      <c r="D1203" s="7" t="s">
        <v>3746</v>
      </c>
      <c r="E1203" s="7"/>
      <c r="G1203" s="5" t="str">
        <f t="shared" si="1"/>
        <v>41, 41, GOLBAT</v>
      </c>
      <c r="I1203" s="5" t="s">
        <v>3196</v>
      </c>
    </row>
    <row r="1204" ht="12.75" customHeight="1">
      <c r="A1204" s="5" t="s">
        <v>3197</v>
      </c>
      <c r="B1204" s="7">
        <v>43.0</v>
      </c>
      <c r="C1204" s="7">
        <v>43.0</v>
      </c>
      <c r="D1204" s="7" t="s">
        <v>3746</v>
      </c>
      <c r="E1204" s="7"/>
      <c r="G1204" s="5" t="str">
        <f t="shared" si="1"/>
        <v>43, 43, GOLBAT</v>
      </c>
      <c r="I1204" s="5" t="s">
        <v>3197</v>
      </c>
    </row>
    <row r="1205" ht="12.75" customHeight="1">
      <c r="A1205" s="5">
        <v>0.05</v>
      </c>
      <c r="B1205" s="5">
        <v>0.05</v>
      </c>
      <c r="C1205" s="7"/>
      <c r="D1205" s="7"/>
      <c r="E1205" s="7"/>
      <c r="G1205" s="5">
        <f t="shared" si="1"/>
        <v>0.05</v>
      </c>
      <c r="I1205" s="5">
        <v>0.05</v>
      </c>
    </row>
    <row r="1206" ht="12.75" customHeight="1">
      <c r="A1206" s="5" t="s">
        <v>3198</v>
      </c>
      <c r="B1206" s="7">
        <v>38.0</v>
      </c>
      <c r="C1206" s="7">
        <v>38.0</v>
      </c>
      <c r="D1206" s="7" t="s">
        <v>3864</v>
      </c>
      <c r="E1206" s="7"/>
      <c r="G1206" s="5" t="str">
        <f t="shared" si="1"/>
        <v>38, 38, GASTLY</v>
      </c>
      <c r="I1206" s="5" t="s">
        <v>3198</v>
      </c>
    </row>
    <row r="1207" ht="12.75" customHeight="1">
      <c r="A1207" s="5" t="s">
        <v>3199</v>
      </c>
      <c r="B1207" s="7">
        <v>48.0</v>
      </c>
      <c r="C1207" s="7">
        <v>48.0</v>
      </c>
      <c r="D1207" s="7" t="s">
        <v>3867</v>
      </c>
      <c r="E1207" s="7"/>
      <c r="G1207" s="5" t="str">
        <f t="shared" si="1"/>
        <v>48, 48, HAUNTER</v>
      </c>
      <c r="I1207" s="5" t="s">
        <v>3199</v>
      </c>
    </row>
    <row r="1208" ht="12.75" customHeight="1">
      <c r="A1208" s="5">
        <v>0.04</v>
      </c>
      <c r="B1208" s="5">
        <v>0.04</v>
      </c>
      <c r="C1208" s="7"/>
      <c r="D1208" s="7"/>
      <c r="E1208" s="7"/>
      <c r="G1208" s="5">
        <f t="shared" si="1"/>
        <v>0.04</v>
      </c>
      <c r="I1208" s="5">
        <v>0.04</v>
      </c>
    </row>
    <row r="1209" ht="12.75" customHeight="1">
      <c r="A1209" s="5" t="s">
        <v>3200</v>
      </c>
      <c r="B1209" s="7">
        <v>50.0</v>
      </c>
      <c r="C1209" s="7">
        <v>50.0</v>
      </c>
      <c r="D1209" s="7" t="s">
        <v>3867</v>
      </c>
      <c r="E1209" s="7"/>
      <c r="G1209" s="5" t="str">
        <f t="shared" si="1"/>
        <v>50, 50, HAUNTER</v>
      </c>
      <c r="I1209" s="5" t="s">
        <v>3200</v>
      </c>
    </row>
    <row r="1210" ht="12.75" customHeight="1">
      <c r="A1210" s="5" t="s">
        <v>3201</v>
      </c>
      <c r="B1210" s="7">
        <v>22.0</v>
      </c>
      <c r="C1210" s="7">
        <v>22.0</v>
      </c>
      <c r="D1210" s="7" t="s">
        <v>3902</v>
      </c>
      <c r="E1210" s="7"/>
      <c r="G1210" s="5" t="str">
        <f t="shared" si="1"/>
        <v>22, 22, MISDREAVUS</v>
      </c>
      <c r="I1210" s="5" t="s">
        <v>3201</v>
      </c>
    </row>
    <row r="1211" ht="12.75" customHeight="1">
      <c r="A1211" s="5">
        <v>0.01</v>
      </c>
      <c r="B1211" s="5">
        <v>0.01</v>
      </c>
      <c r="C1211" s="7"/>
      <c r="D1211" s="7"/>
      <c r="E1211" s="7"/>
      <c r="G1211" s="5">
        <f t="shared" si="1"/>
        <v>0.01</v>
      </c>
      <c r="I1211" s="5">
        <v>0.01</v>
      </c>
    </row>
    <row r="1212" ht="12.75" customHeight="1">
      <c r="A1212" s="5" t="s">
        <v>3202</v>
      </c>
      <c r="B1212" s="7">
        <v>52.0</v>
      </c>
      <c r="C1212" s="7">
        <v>52.0</v>
      </c>
      <c r="D1212" s="7" t="s">
        <v>3867</v>
      </c>
      <c r="E1212" s="7"/>
      <c r="G1212" s="5" t="str">
        <f t="shared" si="1"/>
        <v>52, 52, HAUNTER</v>
      </c>
      <c r="I1212" s="5" t="s">
        <v>3202</v>
      </c>
    </row>
    <row r="1213" ht="12.75" customHeight="1">
      <c r="A1213" s="5" t="s">
        <v>3201</v>
      </c>
      <c r="B1213" s="7">
        <v>22.0</v>
      </c>
      <c r="C1213" s="7">
        <v>22.0</v>
      </c>
      <c r="D1213" s="7" t="s">
        <v>3902</v>
      </c>
      <c r="E1213" s="7"/>
      <c r="G1213" s="5" t="str">
        <f t="shared" si="1"/>
        <v>22, 22, MISDREAVUS</v>
      </c>
      <c r="I1213" s="5" t="s">
        <v>3201</v>
      </c>
    </row>
    <row r="1214" ht="12.75" customHeight="1">
      <c r="A1214" s="5" t="s">
        <v>2539</v>
      </c>
      <c r="B1214" s="7" t="s">
        <v>2539</v>
      </c>
      <c r="C1214" s="7"/>
      <c r="D1214" s="7"/>
      <c r="E1214" s="7"/>
      <c r="G1214" s="5" t="str">
        <f t="shared" si="1"/>
        <v>NEW ROUTE</v>
      </c>
      <c r="I1214" s="5" t="s">
        <v>2539</v>
      </c>
    </row>
    <row r="1215" ht="12.75" customHeight="1">
      <c r="A1215" s="5" t="s">
        <v>1976</v>
      </c>
      <c r="B1215" s="7" t="s">
        <v>1976</v>
      </c>
      <c r="C1215" s="7"/>
      <c r="D1215" s="7"/>
      <c r="E1215" s="7"/>
      <c r="G1215" s="5" t="str">
        <f t="shared" si="1"/>
        <v>Five Island Lost Cave Room 3</v>
      </c>
      <c r="I1215" s="5" t="s">
        <v>1976</v>
      </c>
    </row>
    <row r="1216" ht="12.75" customHeight="1">
      <c r="A1216" s="5">
        <v>0.2</v>
      </c>
      <c r="B1216" s="5">
        <v>0.2</v>
      </c>
      <c r="C1216" s="7"/>
      <c r="D1216" s="7"/>
      <c r="E1216" s="7"/>
      <c r="G1216" s="5">
        <f t="shared" si="1"/>
        <v>0.2</v>
      </c>
      <c r="I1216" s="5">
        <v>0.2</v>
      </c>
    </row>
    <row r="1217" ht="12.75" customHeight="1">
      <c r="A1217" s="5" t="s">
        <v>789</v>
      </c>
      <c r="B1217" s="7">
        <v>40.0</v>
      </c>
      <c r="C1217" s="7">
        <v>40.0</v>
      </c>
      <c r="D1217" s="7" t="s">
        <v>3864</v>
      </c>
      <c r="E1217" s="7"/>
      <c r="G1217" s="5" t="str">
        <f t="shared" si="1"/>
        <v>40, 40, GASTLY</v>
      </c>
      <c r="I1217" s="5" t="s">
        <v>789</v>
      </c>
    </row>
    <row r="1218" ht="12.75" customHeight="1">
      <c r="A1218" s="5" t="s">
        <v>3193</v>
      </c>
      <c r="B1218" s="7">
        <v>37.0</v>
      </c>
      <c r="C1218" s="7">
        <v>37.0</v>
      </c>
      <c r="D1218" s="7" t="s">
        <v>3740</v>
      </c>
      <c r="E1218" s="7"/>
      <c r="G1218" s="5" t="str">
        <f t="shared" si="1"/>
        <v>37, 37, ZUBAT</v>
      </c>
      <c r="I1218" s="5" t="s">
        <v>3193</v>
      </c>
    </row>
    <row r="1219" ht="12.75" customHeight="1">
      <c r="A1219" s="5">
        <v>0.1</v>
      </c>
      <c r="B1219" s="5">
        <v>0.1</v>
      </c>
      <c r="C1219" s="7"/>
      <c r="D1219" s="7"/>
      <c r="E1219" s="7"/>
      <c r="G1219" s="5">
        <f t="shared" si="1"/>
        <v>0.1</v>
      </c>
      <c r="I1219" s="5">
        <v>0.1</v>
      </c>
    </row>
    <row r="1220" ht="12.75" customHeight="1">
      <c r="A1220" s="5" t="s">
        <v>3194</v>
      </c>
      <c r="B1220" s="7">
        <v>44.0</v>
      </c>
      <c r="C1220" s="7">
        <v>44.0</v>
      </c>
      <c r="D1220" s="7" t="s">
        <v>3867</v>
      </c>
      <c r="E1220" s="7"/>
      <c r="G1220" s="5" t="str">
        <f t="shared" si="1"/>
        <v>44, 44, HAUNTER</v>
      </c>
      <c r="I1220" s="5" t="s">
        <v>3194</v>
      </c>
    </row>
    <row r="1221" ht="12.75" customHeight="1">
      <c r="A1221" s="5" t="s">
        <v>3195</v>
      </c>
      <c r="B1221" s="7">
        <v>46.0</v>
      </c>
      <c r="C1221" s="7">
        <v>46.0</v>
      </c>
      <c r="D1221" s="7" t="s">
        <v>3867</v>
      </c>
      <c r="E1221" s="7"/>
      <c r="G1221" s="5" t="str">
        <f t="shared" si="1"/>
        <v>46, 46, HAUNTER</v>
      </c>
      <c r="I1221" s="5" t="s">
        <v>3195</v>
      </c>
    </row>
    <row r="1222" ht="12.75" customHeight="1">
      <c r="A1222" s="5" t="s">
        <v>3196</v>
      </c>
      <c r="B1222" s="7">
        <v>41.0</v>
      </c>
      <c r="C1222" s="7">
        <v>41.0</v>
      </c>
      <c r="D1222" s="7" t="s">
        <v>3746</v>
      </c>
      <c r="E1222" s="7"/>
      <c r="G1222" s="5" t="str">
        <f t="shared" si="1"/>
        <v>41, 41, GOLBAT</v>
      </c>
      <c r="I1222" s="5" t="s">
        <v>3196</v>
      </c>
    </row>
    <row r="1223" ht="12.75" customHeight="1">
      <c r="A1223" s="5" t="s">
        <v>3197</v>
      </c>
      <c r="B1223" s="7">
        <v>43.0</v>
      </c>
      <c r="C1223" s="7">
        <v>43.0</v>
      </c>
      <c r="D1223" s="7" t="s">
        <v>3746</v>
      </c>
      <c r="E1223" s="7"/>
      <c r="G1223" s="5" t="str">
        <f t="shared" si="1"/>
        <v>43, 43, GOLBAT</v>
      </c>
      <c r="I1223" s="5" t="s">
        <v>3197</v>
      </c>
    </row>
    <row r="1224" ht="12.75" customHeight="1">
      <c r="A1224" s="5">
        <v>0.05</v>
      </c>
      <c r="B1224" s="5">
        <v>0.05</v>
      </c>
      <c r="C1224" s="7"/>
      <c r="D1224" s="7"/>
      <c r="E1224" s="7"/>
      <c r="G1224" s="5">
        <f t="shared" si="1"/>
        <v>0.05</v>
      </c>
      <c r="I1224" s="5">
        <v>0.05</v>
      </c>
    </row>
    <row r="1225" ht="12.75" customHeight="1">
      <c r="A1225" s="5" t="s">
        <v>3198</v>
      </c>
      <c r="B1225" s="7">
        <v>38.0</v>
      </c>
      <c r="C1225" s="7">
        <v>38.0</v>
      </c>
      <c r="D1225" s="7" t="s">
        <v>3864</v>
      </c>
      <c r="E1225" s="7"/>
      <c r="G1225" s="5" t="str">
        <f t="shared" si="1"/>
        <v>38, 38, GASTLY</v>
      </c>
      <c r="I1225" s="5" t="s">
        <v>3198</v>
      </c>
    </row>
    <row r="1226" ht="12.75" customHeight="1">
      <c r="A1226" s="5" t="s">
        <v>3199</v>
      </c>
      <c r="B1226" s="7">
        <v>48.0</v>
      </c>
      <c r="C1226" s="7">
        <v>48.0</v>
      </c>
      <c r="D1226" s="7" t="s">
        <v>3867</v>
      </c>
      <c r="E1226" s="7"/>
      <c r="G1226" s="5" t="str">
        <f t="shared" si="1"/>
        <v>48, 48, HAUNTER</v>
      </c>
      <c r="I1226" s="5" t="s">
        <v>3199</v>
      </c>
    </row>
    <row r="1227" ht="12.75" customHeight="1">
      <c r="A1227" s="5">
        <v>0.04</v>
      </c>
      <c r="B1227" s="5">
        <v>0.04</v>
      </c>
      <c r="C1227" s="7"/>
      <c r="D1227" s="7"/>
      <c r="E1227" s="7"/>
      <c r="G1227" s="5">
        <f t="shared" si="1"/>
        <v>0.04</v>
      </c>
      <c r="I1227" s="5">
        <v>0.04</v>
      </c>
    </row>
    <row r="1228" ht="12.75" customHeight="1">
      <c r="A1228" s="5" t="s">
        <v>3200</v>
      </c>
      <c r="B1228" s="7">
        <v>50.0</v>
      </c>
      <c r="C1228" s="7">
        <v>50.0</v>
      </c>
      <c r="D1228" s="7" t="s">
        <v>3867</v>
      </c>
      <c r="E1228" s="7"/>
      <c r="G1228" s="5" t="str">
        <f t="shared" si="1"/>
        <v>50, 50, HAUNTER</v>
      </c>
      <c r="I1228" s="5" t="s">
        <v>3200</v>
      </c>
    </row>
    <row r="1229" ht="12.75" customHeight="1">
      <c r="A1229" s="5" t="s">
        <v>3201</v>
      </c>
      <c r="B1229" s="7">
        <v>22.0</v>
      </c>
      <c r="C1229" s="7">
        <v>22.0</v>
      </c>
      <c r="D1229" s="7" t="s">
        <v>3902</v>
      </c>
      <c r="E1229" s="7"/>
      <c r="G1229" s="5" t="str">
        <f t="shared" si="1"/>
        <v>22, 22, MISDREAVUS</v>
      </c>
      <c r="I1229" s="5" t="s">
        <v>3201</v>
      </c>
    </row>
    <row r="1230" ht="12.75" customHeight="1">
      <c r="A1230" s="5">
        <v>0.01</v>
      </c>
      <c r="B1230" s="5">
        <v>0.01</v>
      </c>
      <c r="C1230" s="7"/>
      <c r="D1230" s="7"/>
      <c r="E1230" s="7"/>
      <c r="G1230" s="5">
        <f t="shared" si="1"/>
        <v>0.01</v>
      </c>
      <c r="I1230" s="5">
        <v>0.01</v>
      </c>
    </row>
    <row r="1231" ht="12.75" customHeight="1">
      <c r="A1231" s="5" t="s">
        <v>3202</v>
      </c>
      <c r="B1231" s="7">
        <v>52.0</v>
      </c>
      <c r="C1231" s="7">
        <v>52.0</v>
      </c>
      <c r="D1231" s="7" t="s">
        <v>3867</v>
      </c>
      <c r="E1231" s="7"/>
      <c r="G1231" s="5" t="str">
        <f t="shared" si="1"/>
        <v>52, 52, HAUNTER</v>
      </c>
      <c r="I1231" s="5" t="s">
        <v>3202</v>
      </c>
    </row>
    <row r="1232" ht="12.75" customHeight="1">
      <c r="A1232" s="5" t="s">
        <v>3201</v>
      </c>
      <c r="B1232" s="7">
        <v>22.0</v>
      </c>
      <c r="C1232" s="7">
        <v>22.0</v>
      </c>
      <c r="D1232" s="7" t="s">
        <v>3902</v>
      </c>
      <c r="E1232" s="7"/>
      <c r="G1232" s="5" t="str">
        <f t="shared" si="1"/>
        <v>22, 22, MISDREAVUS</v>
      </c>
      <c r="I1232" s="5" t="s">
        <v>3201</v>
      </c>
    </row>
    <row r="1233" ht="12.75" customHeight="1">
      <c r="A1233" s="5" t="s">
        <v>2539</v>
      </c>
      <c r="B1233" s="7" t="s">
        <v>2539</v>
      </c>
      <c r="C1233" s="7"/>
      <c r="D1233" s="7"/>
      <c r="E1233" s="7"/>
      <c r="G1233" s="5" t="str">
        <f t="shared" si="1"/>
        <v>NEW ROUTE</v>
      </c>
      <c r="I1233" s="5" t="s">
        <v>2539</v>
      </c>
    </row>
    <row r="1234" ht="12.75" customHeight="1">
      <c r="A1234" s="5" t="s">
        <v>1978</v>
      </c>
      <c r="B1234" s="7" t="s">
        <v>1978</v>
      </c>
      <c r="C1234" s="7"/>
      <c r="D1234" s="7"/>
      <c r="E1234" s="7"/>
      <c r="G1234" s="5" t="str">
        <f t="shared" si="1"/>
        <v>Five Island Lost Cave Room 4</v>
      </c>
      <c r="I1234" s="5" t="s">
        <v>1978</v>
      </c>
    </row>
    <row r="1235" ht="12.75" customHeight="1">
      <c r="A1235" s="5">
        <v>0.2</v>
      </c>
      <c r="B1235" s="5">
        <v>0.2</v>
      </c>
      <c r="C1235" s="7"/>
      <c r="D1235" s="7"/>
      <c r="E1235" s="7"/>
      <c r="G1235" s="5">
        <f t="shared" si="1"/>
        <v>0.2</v>
      </c>
      <c r="I1235" s="5">
        <v>0.2</v>
      </c>
    </row>
    <row r="1236" ht="12.75" customHeight="1">
      <c r="A1236" s="5" t="s">
        <v>789</v>
      </c>
      <c r="B1236" s="7">
        <v>40.0</v>
      </c>
      <c r="C1236" s="7">
        <v>40.0</v>
      </c>
      <c r="D1236" s="7" t="s">
        <v>3864</v>
      </c>
      <c r="E1236" s="7"/>
      <c r="G1236" s="5" t="str">
        <f t="shared" si="1"/>
        <v>40, 40, GASTLY</v>
      </c>
      <c r="I1236" s="5" t="s">
        <v>789</v>
      </c>
    </row>
    <row r="1237" ht="12.75" customHeight="1">
      <c r="A1237" s="5" t="s">
        <v>3193</v>
      </c>
      <c r="B1237" s="7">
        <v>37.0</v>
      </c>
      <c r="C1237" s="7">
        <v>37.0</v>
      </c>
      <c r="D1237" s="7" t="s">
        <v>3740</v>
      </c>
      <c r="E1237" s="7"/>
      <c r="G1237" s="5" t="str">
        <f t="shared" si="1"/>
        <v>37, 37, ZUBAT</v>
      </c>
      <c r="I1237" s="5" t="s">
        <v>3193</v>
      </c>
    </row>
    <row r="1238" ht="12.75" customHeight="1">
      <c r="A1238" s="5">
        <v>0.1</v>
      </c>
      <c r="B1238" s="5">
        <v>0.1</v>
      </c>
      <c r="C1238" s="7"/>
      <c r="D1238" s="7"/>
      <c r="E1238" s="7"/>
      <c r="G1238" s="5">
        <f t="shared" si="1"/>
        <v>0.1</v>
      </c>
      <c r="I1238" s="5">
        <v>0.1</v>
      </c>
    </row>
    <row r="1239" ht="12.75" customHeight="1">
      <c r="A1239" s="5" t="s">
        <v>3194</v>
      </c>
      <c r="B1239" s="7">
        <v>44.0</v>
      </c>
      <c r="C1239" s="7">
        <v>44.0</v>
      </c>
      <c r="D1239" s="7" t="s">
        <v>3867</v>
      </c>
      <c r="E1239" s="7"/>
      <c r="G1239" s="5" t="str">
        <f t="shared" si="1"/>
        <v>44, 44, HAUNTER</v>
      </c>
      <c r="I1239" s="5" t="s">
        <v>3194</v>
      </c>
    </row>
    <row r="1240" ht="12.75" customHeight="1">
      <c r="A1240" s="5" t="s">
        <v>3195</v>
      </c>
      <c r="B1240" s="7">
        <v>46.0</v>
      </c>
      <c r="C1240" s="7">
        <v>46.0</v>
      </c>
      <c r="D1240" s="7" t="s">
        <v>3867</v>
      </c>
      <c r="E1240" s="7"/>
      <c r="G1240" s="5" t="str">
        <f t="shared" si="1"/>
        <v>46, 46, HAUNTER</v>
      </c>
      <c r="I1240" s="5" t="s">
        <v>3195</v>
      </c>
    </row>
    <row r="1241" ht="12.75" customHeight="1">
      <c r="A1241" s="5" t="s">
        <v>3196</v>
      </c>
      <c r="B1241" s="7">
        <v>41.0</v>
      </c>
      <c r="C1241" s="7">
        <v>41.0</v>
      </c>
      <c r="D1241" s="7" t="s">
        <v>3746</v>
      </c>
      <c r="E1241" s="7"/>
      <c r="G1241" s="5" t="str">
        <f t="shared" si="1"/>
        <v>41, 41, GOLBAT</v>
      </c>
      <c r="I1241" s="5" t="s">
        <v>3196</v>
      </c>
    </row>
    <row r="1242" ht="12.75" customHeight="1">
      <c r="A1242" s="5" t="s">
        <v>3197</v>
      </c>
      <c r="B1242" s="7">
        <v>43.0</v>
      </c>
      <c r="C1242" s="7">
        <v>43.0</v>
      </c>
      <c r="D1242" s="7" t="s">
        <v>3746</v>
      </c>
      <c r="E1242" s="7"/>
      <c r="G1242" s="5" t="str">
        <f t="shared" si="1"/>
        <v>43, 43, GOLBAT</v>
      </c>
      <c r="I1242" s="5" t="s">
        <v>3197</v>
      </c>
    </row>
    <row r="1243" ht="12.75" customHeight="1">
      <c r="A1243" s="5">
        <v>0.05</v>
      </c>
      <c r="B1243" s="5">
        <v>0.05</v>
      </c>
      <c r="C1243" s="7"/>
      <c r="D1243" s="7"/>
      <c r="E1243" s="7"/>
      <c r="G1243" s="5">
        <f t="shared" si="1"/>
        <v>0.05</v>
      </c>
      <c r="I1243" s="5">
        <v>0.05</v>
      </c>
    </row>
    <row r="1244" ht="12.75" customHeight="1">
      <c r="A1244" s="5" t="s">
        <v>3198</v>
      </c>
      <c r="B1244" s="7">
        <v>38.0</v>
      </c>
      <c r="C1244" s="7">
        <v>38.0</v>
      </c>
      <c r="D1244" s="7" t="s">
        <v>3864</v>
      </c>
      <c r="E1244" s="7"/>
      <c r="G1244" s="5" t="str">
        <f t="shared" si="1"/>
        <v>38, 38, GASTLY</v>
      </c>
      <c r="I1244" s="5" t="s">
        <v>3198</v>
      </c>
    </row>
    <row r="1245" ht="12.75" customHeight="1">
      <c r="A1245" s="5" t="s">
        <v>3199</v>
      </c>
      <c r="B1245" s="7">
        <v>48.0</v>
      </c>
      <c r="C1245" s="7">
        <v>48.0</v>
      </c>
      <c r="D1245" s="7" t="s">
        <v>3867</v>
      </c>
      <c r="E1245" s="7"/>
      <c r="G1245" s="5" t="str">
        <f t="shared" si="1"/>
        <v>48, 48, HAUNTER</v>
      </c>
      <c r="I1245" s="5" t="s">
        <v>3199</v>
      </c>
    </row>
    <row r="1246" ht="12.75" customHeight="1">
      <c r="A1246" s="5">
        <v>0.04</v>
      </c>
      <c r="B1246" s="5">
        <v>0.04</v>
      </c>
      <c r="C1246" s="7"/>
      <c r="D1246" s="7"/>
      <c r="E1246" s="7"/>
      <c r="G1246" s="5">
        <f t="shared" si="1"/>
        <v>0.04</v>
      </c>
      <c r="I1246" s="5">
        <v>0.04</v>
      </c>
    </row>
    <row r="1247" ht="12.75" customHeight="1">
      <c r="A1247" s="5" t="s">
        <v>3200</v>
      </c>
      <c r="B1247" s="7">
        <v>50.0</v>
      </c>
      <c r="C1247" s="7">
        <v>50.0</v>
      </c>
      <c r="D1247" s="7" t="s">
        <v>3867</v>
      </c>
      <c r="E1247" s="7"/>
      <c r="G1247" s="5" t="str">
        <f t="shared" si="1"/>
        <v>50, 50, HAUNTER</v>
      </c>
      <c r="I1247" s="5" t="s">
        <v>3200</v>
      </c>
    </row>
    <row r="1248" ht="12.75" customHeight="1">
      <c r="A1248" s="5" t="s">
        <v>3201</v>
      </c>
      <c r="B1248" s="7">
        <v>22.0</v>
      </c>
      <c r="C1248" s="7">
        <v>22.0</v>
      </c>
      <c r="D1248" s="7" t="s">
        <v>3902</v>
      </c>
      <c r="E1248" s="7"/>
      <c r="G1248" s="5" t="str">
        <f t="shared" si="1"/>
        <v>22, 22, MISDREAVUS</v>
      </c>
      <c r="I1248" s="5" t="s">
        <v>3201</v>
      </c>
    </row>
    <row r="1249" ht="12.75" customHeight="1">
      <c r="A1249" s="5">
        <v>0.01</v>
      </c>
      <c r="B1249" s="5">
        <v>0.01</v>
      </c>
      <c r="C1249" s="7"/>
      <c r="D1249" s="7"/>
      <c r="E1249" s="7"/>
      <c r="G1249" s="5">
        <f t="shared" si="1"/>
        <v>0.01</v>
      </c>
      <c r="I1249" s="5">
        <v>0.01</v>
      </c>
    </row>
    <row r="1250" ht="12.75" customHeight="1">
      <c r="A1250" s="5" t="s">
        <v>3202</v>
      </c>
      <c r="B1250" s="7">
        <v>52.0</v>
      </c>
      <c r="C1250" s="7">
        <v>52.0</v>
      </c>
      <c r="D1250" s="7" t="s">
        <v>3867</v>
      </c>
      <c r="E1250" s="7"/>
      <c r="G1250" s="5" t="str">
        <f t="shared" si="1"/>
        <v>52, 52, HAUNTER</v>
      </c>
      <c r="I1250" s="5" t="s">
        <v>3202</v>
      </c>
    </row>
    <row r="1251" ht="12.75" customHeight="1">
      <c r="A1251" s="5" t="s">
        <v>3201</v>
      </c>
      <c r="B1251" s="7">
        <v>22.0</v>
      </c>
      <c r="C1251" s="7">
        <v>22.0</v>
      </c>
      <c r="D1251" s="7" t="s">
        <v>3902</v>
      </c>
      <c r="E1251" s="7"/>
      <c r="G1251" s="5" t="str">
        <f t="shared" si="1"/>
        <v>22, 22, MISDREAVUS</v>
      </c>
      <c r="I1251" s="5" t="s">
        <v>3201</v>
      </c>
    </row>
    <row r="1252" ht="12.75" customHeight="1">
      <c r="A1252" s="5" t="s">
        <v>2539</v>
      </c>
      <c r="B1252" s="7" t="s">
        <v>2539</v>
      </c>
      <c r="C1252" s="7"/>
      <c r="D1252" s="7"/>
      <c r="E1252" s="7"/>
      <c r="G1252" s="5" t="str">
        <f t="shared" si="1"/>
        <v>NEW ROUTE</v>
      </c>
      <c r="I1252" s="5" t="s">
        <v>2539</v>
      </c>
    </row>
    <row r="1253" ht="12.75" customHeight="1">
      <c r="A1253" s="5" t="s">
        <v>1980</v>
      </c>
      <c r="B1253" s="7" t="s">
        <v>1980</v>
      </c>
      <c r="C1253" s="7"/>
      <c r="D1253" s="7"/>
      <c r="E1253" s="7"/>
      <c r="G1253" s="5" t="str">
        <f t="shared" si="1"/>
        <v>Five Island Lost Cave Room 5</v>
      </c>
      <c r="I1253" s="5" t="s">
        <v>1980</v>
      </c>
    </row>
    <row r="1254" ht="12.75" customHeight="1">
      <c r="A1254" s="5">
        <v>0.2</v>
      </c>
      <c r="B1254" s="5">
        <v>0.2</v>
      </c>
      <c r="C1254" s="7"/>
      <c r="D1254" s="7"/>
      <c r="E1254" s="7"/>
      <c r="G1254" s="5">
        <f t="shared" si="1"/>
        <v>0.2</v>
      </c>
      <c r="I1254" s="5">
        <v>0.2</v>
      </c>
    </row>
    <row r="1255" ht="12.75" customHeight="1">
      <c r="A1255" s="5" t="s">
        <v>789</v>
      </c>
      <c r="B1255" s="7">
        <v>40.0</v>
      </c>
      <c r="C1255" s="7">
        <v>40.0</v>
      </c>
      <c r="D1255" s="7" t="s">
        <v>3864</v>
      </c>
      <c r="E1255" s="7"/>
      <c r="G1255" s="5" t="str">
        <f t="shared" si="1"/>
        <v>40, 40, GASTLY</v>
      </c>
      <c r="I1255" s="5" t="s">
        <v>789</v>
      </c>
    </row>
    <row r="1256" ht="12.75" customHeight="1">
      <c r="A1256" s="5" t="s">
        <v>3193</v>
      </c>
      <c r="B1256" s="7">
        <v>37.0</v>
      </c>
      <c r="C1256" s="7">
        <v>37.0</v>
      </c>
      <c r="D1256" s="7" t="s">
        <v>3740</v>
      </c>
      <c r="E1256" s="7"/>
      <c r="G1256" s="5" t="str">
        <f t="shared" si="1"/>
        <v>37, 37, ZUBAT</v>
      </c>
      <c r="I1256" s="5" t="s">
        <v>3193</v>
      </c>
    </row>
    <row r="1257" ht="12.75" customHeight="1">
      <c r="A1257" s="5">
        <v>0.1</v>
      </c>
      <c r="B1257" s="5">
        <v>0.1</v>
      </c>
      <c r="C1257" s="7"/>
      <c r="D1257" s="7"/>
      <c r="E1257" s="7"/>
      <c r="G1257" s="5">
        <f t="shared" si="1"/>
        <v>0.1</v>
      </c>
      <c r="I1257" s="5">
        <v>0.1</v>
      </c>
    </row>
    <row r="1258" ht="12.75" customHeight="1">
      <c r="A1258" s="5" t="s">
        <v>3194</v>
      </c>
      <c r="B1258" s="7">
        <v>44.0</v>
      </c>
      <c r="C1258" s="7">
        <v>44.0</v>
      </c>
      <c r="D1258" s="7" t="s">
        <v>3867</v>
      </c>
      <c r="E1258" s="7"/>
      <c r="G1258" s="5" t="str">
        <f t="shared" si="1"/>
        <v>44, 44, HAUNTER</v>
      </c>
      <c r="I1258" s="5" t="s">
        <v>3194</v>
      </c>
    </row>
    <row r="1259" ht="12.75" customHeight="1">
      <c r="A1259" s="5" t="s">
        <v>3195</v>
      </c>
      <c r="B1259" s="7">
        <v>46.0</v>
      </c>
      <c r="C1259" s="7">
        <v>46.0</v>
      </c>
      <c r="D1259" s="7" t="s">
        <v>3867</v>
      </c>
      <c r="E1259" s="7"/>
      <c r="G1259" s="5" t="str">
        <f t="shared" si="1"/>
        <v>46, 46, HAUNTER</v>
      </c>
      <c r="I1259" s="5" t="s">
        <v>3195</v>
      </c>
    </row>
    <row r="1260" ht="12.75" customHeight="1">
      <c r="A1260" s="5" t="s">
        <v>3196</v>
      </c>
      <c r="B1260" s="7">
        <v>41.0</v>
      </c>
      <c r="C1260" s="7">
        <v>41.0</v>
      </c>
      <c r="D1260" s="7" t="s">
        <v>3746</v>
      </c>
      <c r="E1260" s="7"/>
      <c r="G1260" s="5" t="str">
        <f t="shared" si="1"/>
        <v>41, 41, GOLBAT</v>
      </c>
      <c r="I1260" s="5" t="s">
        <v>3196</v>
      </c>
    </row>
    <row r="1261" ht="12.75" customHeight="1">
      <c r="A1261" s="5" t="s">
        <v>3197</v>
      </c>
      <c r="B1261" s="7">
        <v>43.0</v>
      </c>
      <c r="C1261" s="7">
        <v>43.0</v>
      </c>
      <c r="D1261" s="7" t="s">
        <v>3746</v>
      </c>
      <c r="E1261" s="7"/>
      <c r="G1261" s="5" t="str">
        <f t="shared" si="1"/>
        <v>43, 43, GOLBAT</v>
      </c>
      <c r="I1261" s="5" t="s">
        <v>3197</v>
      </c>
    </row>
    <row r="1262" ht="12.75" customHeight="1">
      <c r="A1262" s="5">
        <v>0.05</v>
      </c>
      <c r="B1262" s="5">
        <v>0.05</v>
      </c>
      <c r="C1262" s="7"/>
      <c r="D1262" s="7"/>
      <c r="E1262" s="7"/>
      <c r="G1262" s="5">
        <f t="shared" si="1"/>
        <v>0.05</v>
      </c>
      <c r="I1262" s="5">
        <v>0.05</v>
      </c>
    </row>
    <row r="1263" ht="12.75" customHeight="1">
      <c r="A1263" s="5" t="s">
        <v>3198</v>
      </c>
      <c r="B1263" s="7">
        <v>38.0</v>
      </c>
      <c r="C1263" s="7">
        <v>38.0</v>
      </c>
      <c r="D1263" s="7" t="s">
        <v>3864</v>
      </c>
      <c r="E1263" s="7"/>
      <c r="G1263" s="5" t="str">
        <f t="shared" si="1"/>
        <v>38, 38, GASTLY</v>
      </c>
      <c r="I1263" s="5" t="s">
        <v>3198</v>
      </c>
    </row>
    <row r="1264" ht="12.75" customHeight="1">
      <c r="A1264" s="5" t="s">
        <v>3199</v>
      </c>
      <c r="B1264" s="7">
        <v>48.0</v>
      </c>
      <c r="C1264" s="7">
        <v>48.0</v>
      </c>
      <c r="D1264" s="7" t="s">
        <v>3867</v>
      </c>
      <c r="E1264" s="7"/>
      <c r="G1264" s="5" t="str">
        <f t="shared" si="1"/>
        <v>48, 48, HAUNTER</v>
      </c>
      <c r="I1264" s="5" t="s">
        <v>3199</v>
      </c>
    </row>
    <row r="1265" ht="12.75" customHeight="1">
      <c r="A1265" s="5">
        <v>0.04</v>
      </c>
      <c r="B1265" s="5">
        <v>0.04</v>
      </c>
      <c r="C1265" s="7"/>
      <c r="D1265" s="7"/>
      <c r="E1265" s="7"/>
      <c r="G1265" s="5">
        <f t="shared" si="1"/>
        <v>0.04</v>
      </c>
      <c r="I1265" s="5">
        <v>0.04</v>
      </c>
    </row>
    <row r="1266" ht="12.75" customHeight="1">
      <c r="A1266" s="5" t="s">
        <v>3200</v>
      </c>
      <c r="B1266" s="7">
        <v>50.0</v>
      </c>
      <c r="C1266" s="7">
        <v>50.0</v>
      </c>
      <c r="D1266" s="7" t="s">
        <v>3867</v>
      </c>
      <c r="E1266" s="7"/>
      <c r="G1266" s="5" t="str">
        <f t="shared" si="1"/>
        <v>50, 50, HAUNTER</v>
      </c>
      <c r="I1266" s="5" t="s">
        <v>3200</v>
      </c>
    </row>
    <row r="1267" ht="12.75" customHeight="1">
      <c r="A1267" s="5" t="s">
        <v>3201</v>
      </c>
      <c r="B1267" s="7">
        <v>22.0</v>
      </c>
      <c r="C1267" s="7">
        <v>22.0</v>
      </c>
      <c r="D1267" s="7" t="s">
        <v>3902</v>
      </c>
      <c r="E1267" s="7"/>
      <c r="G1267" s="5" t="str">
        <f t="shared" si="1"/>
        <v>22, 22, MISDREAVUS</v>
      </c>
      <c r="I1267" s="5" t="s">
        <v>3201</v>
      </c>
    </row>
    <row r="1268" ht="12.75" customHeight="1">
      <c r="A1268" s="5">
        <v>0.01</v>
      </c>
      <c r="B1268" s="5">
        <v>0.01</v>
      </c>
      <c r="C1268" s="7"/>
      <c r="D1268" s="7"/>
      <c r="E1268" s="7"/>
      <c r="G1268" s="5">
        <f t="shared" si="1"/>
        <v>0.01</v>
      </c>
      <c r="I1268" s="5">
        <v>0.01</v>
      </c>
    </row>
    <row r="1269" ht="12.75" customHeight="1">
      <c r="A1269" s="5" t="s">
        <v>3202</v>
      </c>
      <c r="B1269" s="7">
        <v>52.0</v>
      </c>
      <c r="C1269" s="7">
        <v>52.0</v>
      </c>
      <c r="D1269" s="7" t="s">
        <v>3867</v>
      </c>
      <c r="E1269" s="7"/>
      <c r="G1269" s="5" t="str">
        <f t="shared" si="1"/>
        <v>52, 52, HAUNTER</v>
      </c>
      <c r="I1269" s="5" t="s">
        <v>3202</v>
      </c>
    </row>
    <row r="1270" ht="12.75" customHeight="1">
      <c r="A1270" s="5" t="s">
        <v>3201</v>
      </c>
      <c r="B1270" s="7">
        <v>22.0</v>
      </c>
      <c r="C1270" s="7">
        <v>22.0</v>
      </c>
      <c r="D1270" s="7" t="s">
        <v>3902</v>
      </c>
      <c r="E1270" s="7"/>
      <c r="G1270" s="5" t="str">
        <f t="shared" si="1"/>
        <v>22, 22, MISDREAVUS</v>
      </c>
      <c r="I1270" s="5" t="s">
        <v>3201</v>
      </c>
    </row>
    <row r="1271" ht="12.75" customHeight="1">
      <c r="A1271" s="5" t="s">
        <v>2539</v>
      </c>
      <c r="B1271" s="7" t="s">
        <v>2539</v>
      </c>
      <c r="C1271" s="7"/>
      <c r="D1271" s="7"/>
      <c r="E1271" s="7"/>
      <c r="G1271" s="5" t="str">
        <f t="shared" si="1"/>
        <v>NEW ROUTE</v>
      </c>
      <c r="I1271" s="5" t="s">
        <v>2539</v>
      </c>
    </row>
    <row r="1272" ht="12.75" customHeight="1">
      <c r="A1272" s="5" t="s">
        <v>1982</v>
      </c>
      <c r="B1272" s="7" t="s">
        <v>1982</v>
      </c>
      <c r="C1272" s="7"/>
      <c r="D1272" s="7"/>
      <c r="E1272" s="7"/>
      <c r="G1272" s="5" t="str">
        <f t="shared" si="1"/>
        <v>Five Island Lost Cave Room 6</v>
      </c>
      <c r="I1272" s="5" t="s">
        <v>1982</v>
      </c>
    </row>
    <row r="1273" ht="12.75" customHeight="1">
      <c r="A1273" s="5">
        <v>0.2</v>
      </c>
      <c r="B1273" s="5">
        <v>0.2</v>
      </c>
      <c r="C1273" s="7"/>
      <c r="D1273" s="7"/>
      <c r="E1273" s="7"/>
      <c r="G1273" s="5">
        <f t="shared" si="1"/>
        <v>0.2</v>
      </c>
      <c r="I1273" s="5">
        <v>0.2</v>
      </c>
    </row>
    <row r="1274" ht="12.75" customHeight="1">
      <c r="A1274" s="5" t="s">
        <v>789</v>
      </c>
      <c r="B1274" s="7">
        <v>40.0</v>
      </c>
      <c r="C1274" s="7">
        <v>40.0</v>
      </c>
      <c r="D1274" s="7" t="s">
        <v>3864</v>
      </c>
      <c r="E1274" s="7"/>
      <c r="G1274" s="5" t="str">
        <f t="shared" si="1"/>
        <v>40, 40, GASTLY</v>
      </c>
      <c r="I1274" s="5" t="s">
        <v>789</v>
      </c>
    </row>
    <row r="1275" ht="12.75" customHeight="1">
      <c r="A1275" s="5" t="s">
        <v>3193</v>
      </c>
      <c r="B1275" s="7">
        <v>37.0</v>
      </c>
      <c r="C1275" s="7">
        <v>37.0</v>
      </c>
      <c r="D1275" s="7" t="s">
        <v>3740</v>
      </c>
      <c r="E1275" s="7"/>
      <c r="G1275" s="5" t="str">
        <f t="shared" si="1"/>
        <v>37, 37, ZUBAT</v>
      </c>
      <c r="I1275" s="5" t="s">
        <v>3193</v>
      </c>
    </row>
    <row r="1276" ht="12.75" customHeight="1">
      <c r="A1276" s="5">
        <v>0.1</v>
      </c>
      <c r="B1276" s="5">
        <v>0.1</v>
      </c>
      <c r="C1276" s="7"/>
      <c r="D1276" s="7"/>
      <c r="E1276" s="7"/>
      <c r="G1276" s="5">
        <f t="shared" si="1"/>
        <v>0.1</v>
      </c>
      <c r="I1276" s="5">
        <v>0.1</v>
      </c>
    </row>
    <row r="1277" ht="12.75" customHeight="1">
      <c r="A1277" s="5" t="s">
        <v>3194</v>
      </c>
      <c r="B1277" s="7">
        <v>44.0</v>
      </c>
      <c r="C1277" s="7">
        <v>44.0</v>
      </c>
      <c r="D1277" s="7" t="s">
        <v>3867</v>
      </c>
      <c r="E1277" s="7"/>
      <c r="G1277" s="5" t="str">
        <f t="shared" si="1"/>
        <v>44, 44, HAUNTER</v>
      </c>
      <c r="I1277" s="5" t="s">
        <v>3194</v>
      </c>
    </row>
    <row r="1278" ht="12.75" customHeight="1">
      <c r="A1278" s="5" t="s">
        <v>3195</v>
      </c>
      <c r="B1278" s="7">
        <v>46.0</v>
      </c>
      <c r="C1278" s="7">
        <v>46.0</v>
      </c>
      <c r="D1278" s="7" t="s">
        <v>3867</v>
      </c>
      <c r="E1278" s="7"/>
      <c r="G1278" s="5" t="str">
        <f t="shared" si="1"/>
        <v>46, 46, HAUNTER</v>
      </c>
      <c r="I1278" s="5" t="s">
        <v>3195</v>
      </c>
    </row>
    <row r="1279" ht="12.75" customHeight="1">
      <c r="A1279" s="5" t="s">
        <v>3196</v>
      </c>
      <c r="B1279" s="7">
        <v>41.0</v>
      </c>
      <c r="C1279" s="7">
        <v>41.0</v>
      </c>
      <c r="D1279" s="7" t="s">
        <v>3746</v>
      </c>
      <c r="E1279" s="7"/>
      <c r="G1279" s="5" t="str">
        <f t="shared" si="1"/>
        <v>41, 41, GOLBAT</v>
      </c>
      <c r="I1279" s="5" t="s">
        <v>3196</v>
      </c>
    </row>
    <row r="1280" ht="12.75" customHeight="1">
      <c r="A1280" s="5" t="s">
        <v>3197</v>
      </c>
      <c r="B1280" s="7">
        <v>43.0</v>
      </c>
      <c r="C1280" s="7">
        <v>43.0</v>
      </c>
      <c r="D1280" s="7" t="s">
        <v>3746</v>
      </c>
      <c r="E1280" s="7"/>
      <c r="G1280" s="5" t="str">
        <f t="shared" si="1"/>
        <v>43, 43, GOLBAT</v>
      </c>
      <c r="I1280" s="5" t="s">
        <v>3197</v>
      </c>
    </row>
    <row r="1281" ht="12.75" customHeight="1">
      <c r="A1281" s="5">
        <v>0.05</v>
      </c>
      <c r="B1281" s="5">
        <v>0.05</v>
      </c>
      <c r="C1281" s="7"/>
      <c r="D1281" s="7"/>
      <c r="E1281" s="7"/>
      <c r="G1281" s="5">
        <f t="shared" si="1"/>
        <v>0.05</v>
      </c>
      <c r="I1281" s="5">
        <v>0.05</v>
      </c>
    </row>
    <row r="1282" ht="12.75" customHeight="1">
      <c r="A1282" s="5" t="s">
        <v>3198</v>
      </c>
      <c r="B1282" s="7">
        <v>38.0</v>
      </c>
      <c r="C1282" s="7">
        <v>38.0</v>
      </c>
      <c r="D1282" s="7" t="s">
        <v>3864</v>
      </c>
      <c r="E1282" s="7"/>
      <c r="G1282" s="5" t="str">
        <f t="shared" si="1"/>
        <v>38, 38, GASTLY</v>
      </c>
      <c r="I1282" s="5" t="s">
        <v>3198</v>
      </c>
    </row>
    <row r="1283" ht="12.75" customHeight="1">
      <c r="A1283" s="5" t="s">
        <v>3199</v>
      </c>
      <c r="B1283" s="7">
        <v>48.0</v>
      </c>
      <c r="C1283" s="7">
        <v>48.0</v>
      </c>
      <c r="D1283" s="7" t="s">
        <v>3867</v>
      </c>
      <c r="E1283" s="7"/>
      <c r="G1283" s="5" t="str">
        <f t="shared" si="1"/>
        <v>48, 48, HAUNTER</v>
      </c>
      <c r="I1283" s="5" t="s">
        <v>3199</v>
      </c>
    </row>
    <row r="1284" ht="12.75" customHeight="1">
      <c r="A1284" s="5">
        <v>0.04</v>
      </c>
      <c r="B1284" s="5">
        <v>0.04</v>
      </c>
      <c r="C1284" s="7"/>
      <c r="D1284" s="7"/>
      <c r="E1284" s="7"/>
      <c r="G1284" s="5">
        <f t="shared" si="1"/>
        <v>0.04</v>
      </c>
      <c r="I1284" s="5">
        <v>0.04</v>
      </c>
    </row>
    <row r="1285" ht="12.75" customHeight="1">
      <c r="A1285" s="5" t="s">
        <v>3200</v>
      </c>
      <c r="B1285" s="7">
        <v>50.0</v>
      </c>
      <c r="C1285" s="7">
        <v>50.0</v>
      </c>
      <c r="D1285" s="7" t="s">
        <v>3867</v>
      </c>
      <c r="E1285" s="7"/>
      <c r="G1285" s="5" t="str">
        <f t="shared" si="1"/>
        <v>50, 50, HAUNTER</v>
      </c>
      <c r="I1285" s="5" t="s">
        <v>3200</v>
      </c>
    </row>
    <row r="1286" ht="12.75" customHeight="1">
      <c r="A1286" s="5" t="s">
        <v>3201</v>
      </c>
      <c r="B1286" s="7">
        <v>22.0</v>
      </c>
      <c r="C1286" s="7">
        <v>22.0</v>
      </c>
      <c r="D1286" s="7" t="s">
        <v>3902</v>
      </c>
      <c r="E1286" s="7"/>
      <c r="G1286" s="5" t="str">
        <f t="shared" si="1"/>
        <v>22, 22, MISDREAVUS</v>
      </c>
      <c r="I1286" s="5" t="s">
        <v>3201</v>
      </c>
    </row>
    <row r="1287" ht="12.75" customHeight="1">
      <c r="A1287" s="5">
        <v>0.01</v>
      </c>
      <c r="B1287" s="5">
        <v>0.01</v>
      </c>
      <c r="C1287" s="7"/>
      <c r="D1287" s="7"/>
      <c r="E1287" s="7"/>
      <c r="G1287" s="5">
        <f t="shared" si="1"/>
        <v>0.01</v>
      </c>
      <c r="I1287" s="5">
        <v>0.01</v>
      </c>
    </row>
    <row r="1288" ht="12.75" customHeight="1">
      <c r="A1288" s="5" t="s">
        <v>3202</v>
      </c>
      <c r="B1288" s="7">
        <v>52.0</v>
      </c>
      <c r="C1288" s="7">
        <v>52.0</v>
      </c>
      <c r="D1288" s="7" t="s">
        <v>3867</v>
      </c>
      <c r="E1288" s="7"/>
      <c r="G1288" s="5" t="str">
        <f t="shared" si="1"/>
        <v>52, 52, HAUNTER</v>
      </c>
      <c r="I1288" s="5" t="s">
        <v>3202</v>
      </c>
    </row>
    <row r="1289" ht="12.75" customHeight="1">
      <c r="A1289" s="5" t="s">
        <v>3201</v>
      </c>
      <c r="B1289" s="7">
        <v>22.0</v>
      </c>
      <c r="C1289" s="7">
        <v>22.0</v>
      </c>
      <c r="D1289" s="7" t="s">
        <v>3902</v>
      </c>
      <c r="E1289" s="7"/>
      <c r="G1289" s="5" t="str">
        <f t="shared" si="1"/>
        <v>22, 22, MISDREAVUS</v>
      </c>
      <c r="I1289" s="5" t="s">
        <v>3201</v>
      </c>
    </row>
    <row r="1290" ht="12.75" customHeight="1">
      <c r="A1290" s="5" t="s">
        <v>2539</v>
      </c>
      <c r="B1290" s="7" t="s">
        <v>2539</v>
      </c>
      <c r="C1290" s="7"/>
      <c r="D1290" s="7"/>
      <c r="E1290" s="7"/>
      <c r="G1290" s="5" t="str">
        <f t="shared" si="1"/>
        <v>NEW ROUTE</v>
      </c>
      <c r="I1290" s="5" t="s">
        <v>2539</v>
      </c>
    </row>
    <row r="1291" ht="12.75" customHeight="1">
      <c r="A1291" s="5" t="s">
        <v>1984</v>
      </c>
      <c r="B1291" s="7" t="s">
        <v>1984</v>
      </c>
      <c r="C1291" s="7"/>
      <c r="D1291" s="7"/>
      <c r="E1291" s="7"/>
      <c r="G1291" s="5" t="str">
        <f t="shared" si="1"/>
        <v>Five Island Lost Cave Room 7</v>
      </c>
      <c r="I1291" s="5" t="s">
        <v>1984</v>
      </c>
    </row>
    <row r="1292" ht="12.75" customHeight="1">
      <c r="A1292" s="5">
        <v>0.2</v>
      </c>
      <c r="B1292" s="5">
        <v>0.2</v>
      </c>
      <c r="C1292" s="7"/>
      <c r="D1292" s="7"/>
      <c r="E1292" s="7"/>
      <c r="G1292" s="5">
        <f t="shared" si="1"/>
        <v>0.2</v>
      </c>
      <c r="I1292" s="5">
        <v>0.2</v>
      </c>
    </row>
    <row r="1293" ht="12.75" customHeight="1">
      <c r="A1293" s="5" t="s">
        <v>789</v>
      </c>
      <c r="B1293" s="7">
        <v>40.0</v>
      </c>
      <c r="C1293" s="7">
        <v>40.0</v>
      </c>
      <c r="D1293" s="7" t="s">
        <v>3864</v>
      </c>
      <c r="E1293" s="7"/>
      <c r="G1293" s="5" t="str">
        <f t="shared" si="1"/>
        <v>40, 40, GASTLY</v>
      </c>
      <c r="I1293" s="5" t="s">
        <v>789</v>
      </c>
    </row>
    <row r="1294" ht="12.75" customHeight="1">
      <c r="A1294" s="5" t="s">
        <v>3193</v>
      </c>
      <c r="B1294" s="7">
        <v>37.0</v>
      </c>
      <c r="C1294" s="7">
        <v>37.0</v>
      </c>
      <c r="D1294" s="7" t="s">
        <v>3740</v>
      </c>
      <c r="E1294" s="7"/>
      <c r="G1294" s="5" t="str">
        <f t="shared" si="1"/>
        <v>37, 37, ZUBAT</v>
      </c>
      <c r="I1294" s="5" t="s">
        <v>3193</v>
      </c>
    </row>
    <row r="1295" ht="12.75" customHeight="1">
      <c r="A1295" s="5">
        <v>0.1</v>
      </c>
      <c r="B1295" s="5">
        <v>0.1</v>
      </c>
      <c r="C1295" s="7"/>
      <c r="D1295" s="7"/>
      <c r="E1295" s="7"/>
      <c r="G1295" s="5">
        <f t="shared" si="1"/>
        <v>0.1</v>
      </c>
      <c r="I1295" s="5">
        <v>0.1</v>
      </c>
    </row>
    <row r="1296" ht="12.75" customHeight="1">
      <c r="A1296" s="5" t="s">
        <v>3194</v>
      </c>
      <c r="B1296" s="7">
        <v>44.0</v>
      </c>
      <c r="C1296" s="7">
        <v>44.0</v>
      </c>
      <c r="D1296" s="7" t="s">
        <v>3867</v>
      </c>
      <c r="E1296" s="7"/>
      <c r="G1296" s="5" t="str">
        <f t="shared" si="1"/>
        <v>44, 44, HAUNTER</v>
      </c>
      <c r="I1296" s="5" t="s">
        <v>3194</v>
      </c>
    </row>
    <row r="1297" ht="12.75" customHeight="1">
      <c r="A1297" s="5" t="s">
        <v>3195</v>
      </c>
      <c r="B1297" s="7">
        <v>46.0</v>
      </c>
      <c r="C1297" s="7">
        <v>46.0</v>
      </c>
      <c r="D1297" s="7" t="s">
        <v>3867</v>
      </c>
      <c r="E1297" s="7"/>
      <c r="G1297" s="5" t="str">
        <f t="shared" si="1"/>
        <v>46, 46, HAUNTER</v>
      </c>
      <c r="I1297" s="5" t="s">
        <v>3195</v>
      </c>
    </row>
    <row r="1298" ht="12.75" customHeight="1">
      <c r="A1298" s="5" t="s">
        <v>3196</v>
      </c>
      <c r="B1298" s="7">
        <v>41.0</v>
      </c>
      <c r="C1298" s="7">
        <v>41.0</v>
      </c>
      <c r="D1298" s="7" t="s">
        <v>3746</v>
      </c>
      <c r="E1298" s="7"/>
      <c r="G1298" s="5" t="str">
        <f t="shared" si="1"/>
        <v>41, 41, GOLBAT</v>
      </c>
      <c r="I1298" s="5" t="s">
        <v>3196</v>
      </c>
    </row>
    <row r="1299" ht="12.75" customHeight="1">
      <c r="A1299" s="5" t="s">
        <v>3197</v>
      </c>
      <c r="B1299" s="7">
        <v>43.0</v>
      </c>
      <c r="C1299" s="7">
        <v>43.0</v>
      </c>
      <c r="D1299" s="7" t="s">
        <v>3746</v>
      </c>
      <c r="E1299" s="7"/>
      <c r="G1299" s="5" t="str">
        <f t="shared" si="1"/>
        <v>43, 43, GOLBAT</v>
      </c>
      <c r="I1299" s="5" t="s">
        <v>3197</v>
      </c>
    </row>
    <row r="1300" ht="12.75" customHeight="1">
      <c r="A1300" s="5">
        <v>0.05</v>
      </c>
      <c r="B1300" s="5">
        <v>0.05</v>
      </c>
      <c r="C1300" s="7"/>
      <c r="D1300" s="7"/>
      <c r="E1300" s="7"/>
      <c r="G1300" s="5">
        <f t="shared" si="1"/>
        <v>0.05</v>
      </c>
      <c r="I1300" s="5">
        <v>0.05</v>
      </c>
    </row>
    <row r="1301" ht="12.75" customHeight="1">
      <c r="A1301" s="5" t="s">
        <v>3198</v>
      </c>
      <c r="B1301" s="7">
        <v>38.0</v>
      </c>
      <c r="C1301" s="7">
        <v>38.0</v>
      </c>
      <c r="D1301" s="7" t="s">
        <v>3864</v>
      </c>
      <c r="E1301" s="7"/>
      <c r="G1301" s="5" t="str">
        <f t="shared" si="1"/>
        <v>38, 38, GASTLY</v>
      </c>
      <c r="I1301" s="5" t="s">
        <v>3198</v>
      </c>
    </row>
    <row r="1302" ht="12.75" customHeight="1">
      <c r="A1302" s="5" t="s">
        <v>3199</v>
      </c>
      <c r="B1302" s="7">
        <v>48.0</v>
      </c>
      <c r="C1302" s="7">
        <v>48.0</v>
      </c>
      <c r="D1302" s="7" t="s">
        <v>3867</v>
      </c>
      <c r="E1302" s="7"/>
      <c r="G1302" s="5" t="str">
        <f t="shared" si="1"/>
        <v>48, 48, HAUNTER</v>
      </c>
      <c r="I1302" s="5" t="s">
        <v>3199</v>
      </c>
    </row>
    <row r="1303" ht="12.75" customHeight="1">
      <c r="A1303" s="5">
        <v>0.04</v>
      </c>
      <c r="B1303" s="5">
        <v>0.04</v>
      </c>
      <c r="C1303" s="7"/>
      <c r="D1303" s="7"/>
      <c r="E1303" s="7"/>
      <c r="G1303" s="5">
        <f t="shared" si="1"/>
        <v>0.04</v>
      </c>
      <c r="I1303" s="5">
        <v>0.04</v>
      </c>
    </row>
    <row r="1304" ht="12.75" customHeight="1">
      <c r="A1304" s="5" t="s">
        <v>3200</v>
      </c>
      <c r="B1304" s="7">
        <v>50.0</v>
      </c>
      <c r="C1304" s="7">
        <v>50.0</v>
      </c>
      <c r="D1304" s="7" t="s">
        <v>3867</v>
      </c>
      <c r="E1304" s="7"/>
      <c r="G1304" s="5" t="str">
        <f t="shared" si="1"/>
        <v>50, 50, HAUNTER</v>
      </c>
      <c r="I1304" s="5" t="s">
        <v>3200</v>
      </c>
    </row>
    <row r="1305" ht="12.75" customHeight="1">
      <c r="A1305" s="5" t="s">
        <v>3201</v>
      </c>
      <c r="B1305" s="7">
        <v>22.0</v>
      </c>
      <c r="C1305" s="7">
        <v>22.0</v>
      </c>
      <c r="D1305" s="7" t="s">
        <v>3902</v>
      </c>
      <c r="E1305" s="7"/>
      <c r="G1305" s="5" t="str">
        <f t="shared" si="1"/>
        <v>22, 22, MISDREAVUS</v>
      </c>
      <c r="I1305" s="5" t="s">
        <v>3201</v>
      </c>
    </row>
    <row r="1306" ht="12.75" customHeight="1">
      <c r="A1306" s="5">
        <v>0.01</v>
      </c>
      <c r="B1306" s="5">
        <v>0.01</v>
      </c>
      <c r="C1306" s="7"/>
      <c r="D1306" s="7"/>
      <c r="E1306" s="7"/>
      <c r="G1306" s="5">
        <f t="shared" si="1"/>
        <v>0.01</v>
      </c>
      <c r="I1306" s="5">
        <v>0.01</v>
      </c>
    </row>
    <row r="1307" ht="12.75" customHeight="1">
      <c r="A1307" s="5" t="s">
        <v>3202</v>
      </c>
      <c r="B1307" s="7">
        <v>52.0</v>
      </c>
      <c r="C1307" s="7">
        <v>52.0</v>
      </c>
      <c r="D1307" s="7" t="s">
        <v>3867</v>
      </c>
      <c r="E1307" s="7"/>
      <c r="G1307" s="5" t="str">
        <f t="shared" si="1"/>
        <v>52, 52, HAUNTER</v>
      </c>
      <c r="I1307" s="5" t="s">
        <v>3202</v>
      </c>
    </row>
    <row r="1308" ht="12.75" customHeight="1">
      <c r="A1308" s="5" t="s">
        <v>3201</v>
      </c>
      <c r="B1308" s="7">
        <v>22.0</v>
      </c>
      <c r="C1308" s="7">
        <v>22.0</v>
      </c>
      <c r="D1308" s="7" t="s">
        <v>3902</v>
      </c>
      <c r="E1308" s="7"/>
      <c r="G1308" s="5" t="str">
        <f t="shared" si="1"/>
        <v>22, 22, MISDREAVUS</v>
      </c>
      <c r="I1308" s="5" t="s">
        <v>3201</v>
      </c>
    </row>
    <row r="1309" ht="12.75" customHeight="1">
      <c r="A1309" s="5" t="s">
        <v>2539</v>
      </c>
      <c r="B1309" s="7" t="s">
        <v>2539</v>
      </c>
      <c r="C1309" s="7"/>
      <c r="D1309" s="7"/>
      <c r="E1309" s="7"/>
      <c r="G1309" s="5" t="str">
        <f t="shared" si="1"/>
        <v>NEW ROUTE</v>
      </c>
      <c r="I1309" s="5" t="s">
        <v>2539</v>
      </c>
    </row>
    <row r="1310" ht="12.75" customHeight="1">
      <c r="A1310" s="5" t="s">
        <v>1986</v>
      </c>
      <c r="B1310" s="7" t="s">
        <v>1986</v>
      </c>
      <c r="C1310" s="7"/>
      <c r="D1310" s="7"/>
      <c r="E1310" s="7"/>
      <c r="G1310" s="5" t="str">
        <f t="shared" si="1"/>
        <v>Five Island Lost Cave Room 8</v>
      </c>
      <c r="I1310" s="5" t="s">
        <v>1986</v>
      </c>
    </row>
    <row r="1311" ht="12.75" customHeight="1">
      <c r="A1311" s="5">
        <v>0.2</v>
      </c>
      <c r="B1311" s="5">
        <v>0.2</v>
      </c>
      <c r="C1311" s="7"/>
      <c r="D1311" s="7"/>
      <c r="E1311" s="7"/>
      <c r="G1311" s="5">
        <f t="shared" si="1"/>
        <v>0.2</v>
      </c>
      <c r="I1311" s="5">
        <v>0.2</v>
      </c>
    </row>
    <row r="1312" ht="12.75" customHeight="1">
      <c r="A1312" s="5" t="s">
        <v>789</v>
      </c>
      <c r="B1312" s="7">
        <v>40.0</v>
      </c>
      <c r="C1312" s="7">
        <v>40.0</v>
      </c>
      <c r="D1312" s="7" t="s">
        <v>3864</v>
      </c>
      <c r="E1312" s="7"/>
      <c r="G1312" s="5" t="str">
        <f t="shared" si="1"/>
        <v>40, 40, GASTLY</v>
      </c>
      <c r="I1312" s="5" t="s">
        <v>789</v>
      </c>
    </row>
    <row r="1313" ht="12.75" customHeight="1">
      <c r="A1313" s="5" t="s">
        <v>3193</v>
      </c>
      <c r="B1313" s="7">
        <v>37.0</v>
      </c>
      <c r="C1313" s="7">
        <v>37.0</v>
      </c>
      <c r="D1313" s="7" t="s">
        <v>3740</v>
      </c>
      <c r="E1313" s="7"/>
      <c r="G1313" s="5" t="str">
        <f t="shared" si="1"/>
        <v>37, 37, ZUBAT</v>
      </c>
      <c r="I1313" s="5" t="s">
        <v>3193</v>
      </c>
    </row>
    <row r="1314" ht="12.75" customHeight="1">
      <c r="A1314" s="5">
        <v>0.1</v>
      </c>
      <c r="B1314" s="5">
        <v>0.1</v>
      </c>
      <c r="C1314" s="7"/>
      <c r="D1314" s="7"/>
      <c r="E1314" s="7"/>
      <c r="G1314" s="5">
        <f t="shared" si="1"/>
        <v>0.1</v>
      </c>
      <c r="I1314" s="5">
        <v>0.1</v>
      </c>
    </row>
    <row r="1315" ht="12.75" customHeight="1">
      <c r="A1315" s="5" t="s">
        <v>3194</v>
      </c>
      <c r="B1315" s="7">
        <v>44.0</v>
      </c>
      <c r="C1315" s="7">
        <v>44.0</v>
      </c>
      <c r="D1315" s="7" t="s">
        <v>3867</v>
      </c>
      <c r="E1315" s="7"/>
      <c r="G1315" s="5" t="str">
        <f t="shared" si="1"/>
        <v>44, 44, HAUNTER</v>
      </c>
      <c r="I1315" s="5" t="s">
        <v>3194</v>
      </c>
    </row>
    <row r="1316" ht="12.75" customHeight="1">
      <c r="A1316" s="5" t="s">
        <v>3195</v>
      </c>
      <c r="B1316" s="7">
        <v>46.0</v>
      </c>
      <c r="C1316" s="7">
        <v>46.0</v>
      </c>
      <c r="D1316" s="7" t="s">
        <v>3867</v>
      </c>
      <c r="E1316" s="7"/>
      <c r="G1316" s="5" t="str">
        <f t="shared" si="1"/>
        <v>46, 46, HAUNTER</v>
      </c>
      <c r="I1316" s="5" t="s">
        <v>3195</v>
      </c>
    </row>
    <row r="1317" ht="12.75" customHeight="1">
      <c r="A1317" s="5" t="s">
        <v>3196</v>
      </c>
      <c r="B1317" s="7">
        <v>41.0</v>
      </c>
      <c r="C1317" s="7">
        <v>41.0</v>
      </c>
      <c r="D1317" s="7" t="s">
        <v>3746</v>
      </c>
      <c r="E1317" s="7"/>
      <c r="G1317" s="5" t="str">
        <f t="shared" si="1"/>
        <v>41, 41, GOLBAT</v>
      </c>
      <c r="I1317" s="5" t="s">
        <v>3196</v>
      </c>
    </row>
    <row r="1318" ht="12.75" customHeight="1">
      <c r="A1318" s="5" t="s">
        <v>3197</v>
      </c>
      <c r="B1318" s="7">
        <v>43.0</v>
      </c>
      <c r="C1318" s="7">
        <v>43.0</v>
      </c>
      <c r="D1318" s="7" t="s">
        <v>3746</v>
      </c>
      <c r="E1318" s="7"/>
      <c r="G1318" s="5" t="str">
        <f t="shared" si="1"/>
        <v>43, 43, GOLBAT</v>
      </c>
      <c r="I1318" s="5" t="s">
        <v>3197</v>
      </c>
    </row>
    <row r="1319" ht="12.75" customHeight="1">
      <c r="A1319" s="5">
        <v>0.05</v>
      </c>
      <c r="B1319" s="5">
        <v>0.05</v>
      </c>
      <c r="C1319" s="7"/>
      <c r="D1319" s="7"/>
      <c r="E1319" s="7"/>
      <c r="G1319" s="5">
        <f t="shared" si="1"/>
        <v>0.05</v>
      </c>
      <c r="I1319" s="5">
        <v>0.05</v>
      </c>
    </row>
    <row r="1320" ht="12.75" customHeight="1">
      <c r="A1320" s="5" t="s">
        <v>3198</v>
      </c>
      <c r="B1320" s="7">
        <v>38.0</v>
      </c>
      <c r="C1320" s="7">
        <v>38.0</v>
      </c>
      <c r="D1320" s="7" t="s">
        <v>3864</v>
      </c>
      <c r="E1320" s="7"/>
      <c r="G1320" s="5" t="str">
        <f t="shared" si="1"/>
        <v>38, 38, GASTLY</v>
      </c>
      <c r="I1320" s="5" t="s">
        <v>3198</v>
      </c>
    </row>
    <row r="1321" ht="12.75" customHeight="1">
      <c r="A1321" s="5" t="s">
        <v>3199</v>
      </c>
      <c r="B1321" s="7">
        <v>48.0</v>
      </c>
      <c r="C1321" s="7">
        <v>48.0</v>
      </c>
      <c r="D1321" s="7" t="s">
        <v>3867</v>
      </c>
      <c r="E1321" s="7"/>
      <c r="G1321" s="5" t="str">
        <f t="shared" si="1"/>
        <v>48, 48, HAUNTER</v>
      </c>
      <c r="I1321" s="5" t="s">
        <v>3199</v>
      </c>
    </row>
    <row r="1322" ht="12.75" customHeight="1">
      <c r="A1322" s="5">
        <v>0.04</v>
      </c>
      <c r="B1322" s="5">
        <v>0.04</v>
      </c>
      <c r="C1322" s="7"/>
      <c r="D1322" s="7"/>
      <c r="E1322" s="7"/>
      <c r="G1322" s="5">
        <f t="shared" si="1"/>
        <v>0.04</v>
      </c>
      <c r="I1322" s="5">
        <v>0.04</v>
      </c>
    </row>
    <row r="1323" ht="12.75" customHeight="1">
      <c r="A1323" s="5" t="s">
        <v>3200</v>
      </c>
      <c r="B1323" s="7">
        <v>50.0</v>
      </c>
      <c r="C1323" s="7">
        <v>50.0</v>
      </c>
      <c r="D1323" s="7" t="s">
        <v>3867</v>
      </c>
      <c r="E1323" s="7"/>
      <c r="G1323" s="5" t="str">
        <f t="shared" si="1"/>
        <v>50, 50, HAUNTER</v>
      </c>
      <c r="I1323" s="5" t="s">
        <v>3200</v>
      </c>
    </row>
    <row r="1324" ht="12.75" customHeight="1">
      <c r="A1324" s="5" t="s">
        <v>3201</v>
      </c>
      <c r="B1324" s="7">
        <v>22.0</v>
      </c>
      <c r="C1324" s="7">
        <v>22.0</v>
      </c>
      <c r="D1324" s="7" t="s">
        <v>3902</v>
      </c>
      <c r="E1324" s="7"/>
      <c r="G1324" s="5" t="str">
        <f t="shared" si="1"/>
        <v>22, 22, MISDREAVUS</v>
      </c>
      <c r="I1324" s="5" t="s">
        <v>3201</v>
      </c>
    </row>
    <row r="1325" ht="12.75" customHeight="1">
      <c r="A1325" s="5">
        <v>0.01</v>
      </c>
      <c r="B1325" s="5">
        <v>0.01</v>
      </c>
      <c r="C1325" s="7"/>
      <c r="D1325" s="7"/>
      <c r="E1325" s="7"/>
      <c r="G1325" s="5">
        <f t="shared" si="1"/>
        <v>0.01</v>
      </c>
      <c r="I1325" s="5">
        <v>0.01</v>
      </c>
    </row>
    <row r="1326" ht="12.75" customHeight="1">
      <c r="A1326" s="5" t="s">
        <v>3202</v>
      </c>
      <c r="B1326" s="7">
        <v>52.0</v>
      </c>
      <c r="C1326" s="7">
        <v>52.0</v>
      </c>
      <c r="D1326" s="7" t="s">
        <v>3867</v>
      </c>
      <c r="E1326" s="7"/>
      <c r="G1326" s="5" t="str">
        <f t="shared" si="1"/>
        <v>52, 52, HAUNTER</v>
      </c>
      <c r="I1326" s="5" t="s">
        <v>3202</v>
      </c>
    </row>
    <row r="1327" ht="12.75" customHeight="1">
      <c r="A1327" s="5" t="s">
        <v>3201</v>
      </c>
      <c r="B1327" s="7">
        <v>22.0</v>
      </c>
      <c r="C1327" s="7">
        <v>22.0</v>
      </c>
      <c r="D1327" s="7" t="s">
        <v>3902</v>
      </c>
      <c r="E1327" s="7"/>
      <c r="G1327" s="5" t="str">
        <f t="shared" si="1"/>
        <v>22, 22, MISDREAVUS</v>
      </c>
      <c r="I1327" s="5" t="s">
        <v>3201</v>
      </c>
    </row>
    <row r="1328" ht="12.75" customHeight="1">
      <c r="A1328" s="5" t="s">
        <v>2539</v>
      </c>
      <c r="B1328" s="7" t="s">
        <v>2539</v>
      </c>
      <c r="C1328" s="7"/>
      <c r="D1328" s="7"/>
      <c r="E1328" s="7"/>
      <c r="G1328" s="5" t="str">
        <f t="shared" si="1"/>
        <v>NEW ROUTE</v>
      </c>
      <c r="I1328" s="5" t="s">
        <v>2539</v>
      </c>
    </row>
    <row r="1329" ht="12.75" customHeight="1">
      <c r="A1329" s="5" t="s">
        <v>1988</v>
      </c>
      <c r="B1329" s="7" t="s">
        <v>1988</v>
      </c>
      <c r="C1329" s="7"/>
      <c r="D1329" s="7"/>
      <c r="E1329" s="7"/>
      <c r="G1329" s="5" t="str">
        <f t="shared" si="1"/>
        <v>Five Island Lost Cave Room 9</v>
      </c>
      <c r="I1329" s="5" t="s">
        <v>1988</v>
      </c>
    </row>
    <row r="1330" ht="12.75" customHeight="1">
      <c r="A1330" s="5">
        <v>0.2</v>
      </c>
      <c r="B1330" s="5">
        <v>0.2</v>
      </c>
      <c r="C1330" s="7"/>
      <c r="D1330" s="7"/>
      <c r="E1330" s="7"/>
      <c r="G1330" s="5">
        <f t="shared" si="1"/>
        <v>0.2</v>
      </c>
      <c r="I1330" s="5">
        <v>0.2</v>
      </c>
    </row>
    <row r="1331" ht="12.75" customHeight="1">
      <c r="A1331" s="5" t="s">
        <v>789</v>
      </c>
      <c r="B1331" s="7">
        <v>40.0</v>
      </c>
      <c r="C1331" s="7">
        <v>40.0</v>
      </c>
      <c r="D1331" s="7" t="s">
        <v>3864</v>
      </c>
      <c r="E1331" s="7"/>
      <c r="G1331" s="5" t="str">
        <f t="shared" si="1"/>
        <v>40, 40, GASTLY</v>
      </c>
      <c r="I1331" s="5" t="s">
        <v>789</v>
      </c>
    </row>
    <row r="1332" ht="12.75" customHeight="1">
      <c r="A1332" s="5" t="s">
        <v>3193</v>
      </c>
      <c r="B1332" s="7">
        <v>37.0</v>
      </c>
      <c r="C1332" s="7">
        <v>37.0</v>
      </c>
      <c r="D1332" s="7" t="s">
        <v>3740</v>
      </c>
      <c r="E1332" s="7"/>
      <c r="G1332" s="5" t="str">
        <f t="shared" si="1"/>
        <v>37, 37, ZUBAT</v>
      </c>
      <c r="I1332" s="5" t="s">
        <v>3193</v>
      </c>
    </row>
    <row r="1333" ht="12.75" customHeight="1">
      <c r="A1333" s="5">
        <v>0.1</v>
      </c>
      <c r="B1333" s="5">
        <v>0.1</v>
      </c>
      <c r="C1333" s="7"/>
      <c r="D1333" s="7"/>
      <c r="E1333" s="7"/>
      <c r="G1333" s="5">
        <f t="shared" si="1"/>
        <v>0.1</v>
      </c>
      <c r="I1333" s="5">
        <v>0.1</v>
      </c>
    </row>
    <row r="1334" ht="12.75" customHeight="1">
      <c r="A1334" s="5" t="s">
        <v>3194</v>
      </c>
      <c r="B1334" s="7">
        <v>44.0</v>
      </c>
      <c r="C1334" s="7">
        <v>44.0</v>
      </c>
      <c r="D1334" s="7" t="s">
        <v>3867</v>
      </c>
      <c r="E1334" s="7"/>
      <c r="G1334" s="5" t="str">
        <f t="shared" si="1"/>
        <v>44, 44, HAUNTER</v>
      </c>
      <c r="I1334" s="5" t="s">
        <v>3194</v>
      </c>
    </row>
    <row r="1335" ht="12.75" customHeight="1">
      <c r="A1335" s="5" t="s">
        <v>3195</v>
      </c>
      <c r="B1335" s="7">
        <v>46.0</v>
      </c>
      <c r="C1335" s="7">
        <v>46.0</v>
      </c>
      <c r="D1335" s="7" t="s">
        <v>3867</v>
      </c>
      <c r="E1335" s="7"/>
      <c r="G1335" s="5" t="str">
        <f t="shared" si="1"/>
        <v>46, 46, HAUNTER</v>
      </c>
      <c r="I1335" s="5" t="s">
        <v>3195</v>
      </c>
    </row>
    <row r="1336" ht="12.75" customHeight="1">
      <c r="A1336" s="5" t="s">
        <v>3196</v>
      </c>
      <c r="B1336" s="7">
        <v>41.0</v>
      </c>
      <c r="C1336" s="7">
        <v>41.0</v>
      </c>
      <c r="D1336" s="7" t="s">
        <v>3746</v>
      </c>
      <c r="E1336" s="7"/>
      <c r="G1336" s="5" t="str">
        <f t="shared" si="1"/>
        <v>41, 41, GOLBAT</v>
      </c>
      <c r="I1336" s="5" t="s">
        <v>3196</v>
      </c>
    </row>
    <row r="1337" ht="12.75" customHeight="1">
      <c r="A1337" s="5" t="s">
        <v>3197</v>
      </c>
      <c r="B1337" s="7">
        <v>43.0</v>
      </c>
      <c r="C1337" s="7">
        <v>43.0</v>
      </c>
      <c r="D1337" s="7" t="s">
        <v>3746</v>
      </c>
      <c r="E1337" s="7"/>
      <c r="G1337" s="5" t="str">
        <f t="shared" si="1"/>
        <v>43, 43, GOLBAT</v>
      </c>
      <c r="I1337" s="5" t="s">
        <v>3197</v>
      </c>
    </row>
    <row r="1338" ht="12.75" customHeight="1">
      <c r="A1338" s="5">
        <v>0.05</v>
      </c>
      <c r="B1338" s="5">
        <v>0.05</v>
      </c>
      <c r="C1338" s="7"/>
      <c r="D1338" s="7"/>
      <c r="E1338" s="7"/>
      <c r="G1338" s="5">
        <f t="shared" si="1"/>
        <v>0.05</v>
      </c>
      <c r="I1338" s="5">
        <v>0.05</v>
      </c>
    </row>
    <row r="1339" ht="12.75" customHeight="1">
      <c r="A1339" s="5" t="s">
        <v>3198</v>
      </c>
      <c r="B1339" s="7">
        <v>38.0</v>
      </c>
      <c r="C1339" s="7">
        <v>38.0</v>
      </c>
      <c r="D1339" s="7" t="s">
        <v>3864</v>
      </c>
      <c r="E1339" s="7"/>
      <c r="G1339" s="5" t="str">
        <f t="shared" si="1"/>
        <v>38, 38, GASTLY</v>
      </c>
      <c r="I1339" s="5" t="s">
        <v>3198</v>
      </c>
    </row>
    <row r="1340" ht="12.75" customHeight="1">
      <c r="A1340" s="5" t="s">
        <v>3199</v>
      </c>
      <c r="B1340" s="7">
        <v>48.0</v>
      </c>
      <c r="C1340" s="7">
        <v>48.0</v>
      </c>
      <c r="D1340" s="7" t="s">
        <v>3867</v>
      </c>
      <c r="E1340" s="7"/>
      <c r="G1340" s="5" t="str">
        <f t="shared" si="1"/>
        <v>48, 48, HAUNTER</v>
      </c>
      <c r="I1340" s="5" t="s">
        <v>3199</v>
      </c>
    </row>
    <row r="1341" ht="12.75" customHeight="1">
      <c r="A1341" s="5">
        <v>0.04</v>
      </c>
      <c r="B1341" s="5">
        <v>0.04</v>
      </c>
      <c r="C1341" s="7"/>
      <c r="D1341" s="7"/>
      <c r="E1341" s="7"/>
      <c r="G1341" s="5">
        <f t="shared" si="1"/>
        <v>0.04</v>
      </c>
      <c r="I1341" s="5">
        <v>0.04</v>
      </c>
    </row>
    <row r="1342" ht="12.75" customHeight="1">
      <c r="A1342" s="5" t="s">
        <v>3200</v>
      </c>
      <c r="B1342" s="7">
        <v>50.0</v>
      </c>
      <c r="C1342" s="7">
        <v>50.0</v>
      </c>
      <c r="D1342" s="7" t="s">
        <v>3867</v>
      </c>
      <c r="E1342" s="7"/>
      <c r="G1342" s="5" t="str">
        <f t="shared" si="1"/>
        <v>50, 50, HAUNTER</v>
      </c>
      <c r="I1342" s="5" t="s">
        <v>3200</v>
      </c>
    </row>
    <row r="1343" ht="12.75" customHeight="1">
      <c r="A1343" s="5" t="s">
        <v>3201</v>
      </c>
      <c r="B1343" s="7">
        <v>22.0</v>
      </c>
      <c r="C1343" s="7">
        <v>22.0</v>
      </c>
      <c r="D1343" s="7" t="s">
        <v>3902</v>
      </c>
      <c r="E1343" s="7"/>
      <c r="G1343" s="5" t="str">
        <f t="shared" si="1"/>
        <v>22, 22, MISDREAVUS</v>
      </c>
      <c r="I1343" s="5" t="s">
        <v>3201</v>
      </c>
    </row>
    <row r="1344" ht="12.75" customHeight="1">
      <c r="A1344" s="5">
        <v>0.01</v>
      </c>
      <c r="B1344" s="5">
        <v>0.01</v>
      </c>
      <c r="C1344" s="7"/>
      <c r="D1344" s="7"/>
      <c r="E1344" s="7"/>
      <c r="G1344" s="5">
        <f t="shared" si="1"/>
        <v>0.01</v>
      </c>
      <c r="I1344" s="5">
        <v>0.01</v>
      </c>
    </row>
    <row r="1345" ht="12.75" customHeight="1">
      <c r="A1345" s="5" t="s">
        <v>3202</v>
      </c>
      <c r="B1345" s="7">
        <v>52.0</v>
      </c>
      <c r="C1345" s="7">
        <v>52.0</v>
      </c>
      <c r="D1345" s="7" t="s">
        <v>3867</v>
      </c>
      <c r="E1345" s="7"/>
      <c r="G1345" s="5" t="str">
        <f t="shared" si="1"/>
        <v>52, 52, HAUNTER</v>
      </c>
      <c r="I1345" s="5" t="s">
        <v>3202</v>
      </c>
    </row>
    <row r="1346" ht="12.75" customHeight="1">
      <c r="A1346" s="5" t="s">
        <v>3201</v>
      </c>
      <c r="B1346" s="7">
        <v>22.0</v>
      </c>
      <c r="C1346" s="7">
        <v>22.0</v>
      </c>
      <c r="D1346" s="7" t="s">
        <v>3902</v>
      </c>
      <c r="E1346" s="7"/>
      <c r="G1346" s="5" t="str">
        <f t="shared" si="1"/>
        <v>22, 22, MISDREAVUS</v>
      </c>
      <c r="I1346" s="5" t="s">
        <v>3201</v>
      </c>
    </row>
    <row r="1347" ht="12.75" customHeight="1">
      <c r="A1347" s="5" t="s">
        <v>2539</v>
      </c>
      <c r="B1347" s="7" t="s">
        <v>2539</v>
      </c>
      <c r="C1347" s="7"/>
      <c r="D1347" s="7"/>
      <c r="E1347" s="7"/>
      <c r="G1347" s="5" t="str">
        <f t="shared" si="1"/>
        <v>NEW ROUTE</v>
      </c>
      <c r="I1347" s="5" t="s">
        <v>2539</v>
      </c>
    </row>
    <row r="1348" ht="12.75" customHeight="1">
      <c r="A1348" s="5" t="s">
        <v>1990</v>
      </c>
      <c r="B1348" s="7" t="s">
        <v>1990</v>
      </c>
      <c r="C1348" s="7"/>
      <c r="D1348" s="7"/>
      <c r="E1348" s="7"/>
      <c r="G1348" s="5" t="str">
        <f t="shared" si="1"/>
        <v>Five Island Lost Cave Room 10</v>
      </c>
      <c r="I1348" s="5" t="s">
        <v>1990</v>
      </c>
    </row>
    <row r="1349" ht="12.75" customHeight="1">
      <c r="A1349" s="5">
        <v>0.2</v>
      </c>
      <c r="B1349" s="5">
        <v>0.2</v>
      </c>
      <c r="C1349" s="7"/>
      <c r="D1349" s="7"/>
      <c r="E1349" s="7"/>
      <c r="G1349" s="5">
        <f t="shared" si="1"/>
        <v>0.2</v>
      </c>
      <c r="I1349" s="5">
        <v>0.2</v>
      </c>
    </row>
    <row r="1350" ht="12.75" customHeight="1">
      <c r="A1350" s="5" t="s">
        <v>789</v>
      </c>
      <c r="B1350" s="7">
        <v>40.0</v>
      </c>
      <c r="C1350" s="7">
        <v>40.0</v>
      </c>
      <c r="D1350" s="7" t="s">
        <v>3864</v>
      </c>
      <c r="E1350" s="7"/>
      <c r="G1350" s="5" t="str">
        <f t="shared" si="1"/>
        <v>40, 40, GASTLY</v>
      </c>
      <c r="I1350" s="5" t="s">
        <v>789</v>
      </c>
    </row>
    <row r="1351" ht="12.75" customHeight="1">
      <c r="A1351" s="5" t="s">
        <v>3193</v>
      </c>
      <c r="B1351" s="7">
        <v>37.0</v>
      </c>
      <c r="C1351" s="7">
        <v>37.0</v>
      </c>
      <c r="D1351" s="7" t="s">
        <v>3740</v>
      </c>
      <c r="E1351" s="7"/>
      <c r="G1351" s="5" t="str">
        <f t="shared" si="1"/>
        <v>37, 37, ZUBAT</v>
      </c>
      <c r="I1351" s="5" t="s">
        <v>3193</v>
      </c>
    </row>
    <row r="1352" ht="12.75" customHeight="1">
      <c r="A1352" s="5">
        <v>0.1</v>
      </c>
      <c r="B1352" s="5">
        <v>0.1</v>
      </c>
      <c r="C1352" s="7"/>
      <c r="D1352" s="7"/>
      <c r="E1352" s="7"/>
      <c r="G1352" s="5">
        <f t="shared" si="1"/>
        <v>0.1</v>
      </c>
      <c r="I1352" s="5">
        <v>0.1</v>
      </c>
    </row>
    <row r="1353" ht="12.75" customHeight="1">
      <c r="A1353" s="5" t="s">
        <v>3194</v>
      </c>
      <c r="B1353" s="7">
        <v>44.0</v>
      </c>
      <c r="C1353" s="7">
        <v>44.0</v>
      </c>
      <c r="D1353" s="7" t="s">
        <v>3867</v>
      </c>
      <c r="E1353" s="7"/>
      <c r="G1353" s="5" t="str">
        <f t="shared" si="1"/>
        <v>44, 44, HAUNTER</v>
      </c>
      <c r="I1353" s="5" t="s">
        <v>3194</v>
      </c>
    </row>
    <row r="1354" ht="12.75" customHeight="1">
      <c r="A1354" s="5" t="s">
        <v>3195</v>
      </c>
      <c r="B1354" s="7">
        <v>46.0</v>
      </c>
      <c r="C1354" s="7">
        <v>46.0</v>
      </c>
      <c r="D1354" s="7" t="s">
        <v>3867</v>
      </c>
      <c r="E1354" s="7"/>
      <c r="G1354" s="5" t="str">
        <f t="shared" si="1"/>
        <v>46, 46, HAUNTER</v>
      </c>
      <c r="I1354" s="5" t="s">
        <v>3195</v>
      </c>
    </row>
    <row r="1355" ht="12.75" customHeight="1">
      <c r="A1355" s="5" t="s">
        <v>3196</v>
      </c>
      <c r="B1355" s="7">
        <v>41.0</v>
      </c>
      <c r="C1355" s="7">
        <v>41.0</v>
      </c>
      <c r="D1355" s="7" t="s">
        <v>3746</v>
      </c>
      <c r="E1355" s="7"/>
      <c r="G1355" s="5" t="str">
        <f t="shared" si="1"/>
        <v>41, 41, GOLBAT</v>
      </c>
      <c r="I1355" s="5" t="s">
        <v>3196</v>
      </c>
    </row>
    <row r="1356" ht="12.75" customHeight="1">
      <c r="A1356" s="5" t="s">
        <v>3197</v>
      </c>
      <c r="B1356" s="7">
        <v>43.0</v>
      </c>
      <c r="C1356" s="7">
        <v>43.0</v>
      </c>
      <c r="D1356" s="7" t="s">
        <v>3746</v>
      </c>
      <c r="E1356" s="7"/>
      <c r="G1356" s="5" t="str">
        <f t="shared" si="1"/>
        <v>43, 43, GOLBAT</v>
      </c>
      <c r="I1356" s="5" t="s">
        <v>3197</v>
      </c>
    </row>
    <row r="1357" ht="12.75" customHeight="1">
      <c r="A1357" s="5">
        <v>0.05</v>
      </c>
      <c r="B1357" s="5">
        <v>0.05</v>
      </c>
      <c r="C1357" s="7"/>
      <c r="D1357" s="7"/>
      <c r="E1357" s="7"/>
      <c r="G1357" s="5">
        <f t="shared" si="1"/>
        <v>0.05</v>
      </c>
      <c r="I1357" s="5">
        <v>0.05</v>
      </c>
    </row>
    <row r="1358" ht="12.75" customHeight="1">
      <c r="A1358" s="5" t="s">
        <v>3198</v>
      </c>
      <c r="B1358" s="7">
        <v>38.0</v>
      </c>
      <c r="C1358" s="7">
        <v>38.0</v>
      </c>
      <c r="D1358" s="7" t="s">
        <v>3864</v>
      </c>
      <c r="E1358" s="7"/>
      <c r="G1358" s="5" t="str">
        <f t="shared" si="1"/>
        <v>38, 38, GASTLY</v>
      </c>
      <c r="I1358" s="5" t="s">
        <v>3198</v>
      </c>
    </row>
    <row r="1359" ht="12.75" customHeight="1">
      <c r="A1359" s="5" t="s">
        <v>3199</v>
      </c>
      <c r="B1359" s="7">
        <v>48.0</v>
      </c>
      <c r="C1359" s="7">
        <v>48.0</v>
      </c>
      <c r="D1359" s="7" t="s">
        <v>3867</v>
      </c>
      <c r="E1359" s="7"/>
      <c r="G1359" s="5" t="str">
        <f t="shared" si="1"/>
        <v>48, 48, HAUNTER</v>
      </c>
      <c r="I1359" s="5" t="s">
        <v>3199</v>
      </c>
    </row>
    <row r="1360" ht="12.75" customHeight="1">
      <c r="A1360" s="5">
        <v>0.04</v>
      </c>
      <c r="B1360" s="5">
        <v>0.04</v>
      </c>
      <c r="C1360" s="7"/>
      <c r="D1360" s="7"/>
      <c r="E1360" s="7"/>
      <c r="G1360" s="5">
        <f t="shared" si="1"/>
        <v>0.04</v>
      </c>
      <c r="I1360" s="5">
        <v>0.04</v>
      </c>
    </row>
    <row r="1361" ht="12.75" customHeight="1">
      <c r="A1361" s="5" t="s">
        <v>3200</v>
      </c>
      <c r="B1361" s="7">
        <v>50.0</v>
      </c>
      <c r="C1361" s="7">
        <v>50.0</v>
      </c>
      <c r="D1361" s="7" t="s">
        <v>3867</v>
      </c>
      <c r="E1361" s="7"/>
      <c r="G1361" s="5" t="str">
        <f t="shared" si="1"/>
        <v>50, 50, HAUNTER</v>
      </c>
      <c r="I1361" s="5" t="s">
        <v>3200</v>
      </c>
    </row>
    <row r="1362" ht="12.75" customHeight="1">
      <c r="A1362" s="5" t="s">
        <v>3201</v>
      </c>
      <c r="B1362" s="7">
        <v>22.0</v>
      </c>
      <c r="C1362" s="7">
        <v>22.0</v>
      </c>
      <c r="D1362" s="7" t="s">
        <v>3902</v>
      </c>
      <c r="E1362" s="7"/>
      <c r="G1362" s="5" t="str">
        <f t="shared" si="1"/>
        <v>22, 22, MISDREAVUS</v>
      </c>
      <c r="I1362" s="5" t="s">
        <v>3201</v>
      </c>
    </row>
    <row r="1363" ht="12.75" customHeight="1">
      <c r="A1363" s="5">
        <v>0.01</v>
      </c>
      <c r="B1363" s="5">
        <v>0.01</v>
      </c>
      <c r="C1363" s="7"/>
      <c r="D1363" s="7"/>
      <c r="E1363" s="7"/>
      <c r="G1363" s="5">
        <f t="shared" si="1"/>
        <v>0.01</v>
      </c>
      <c r="I1363" s="5">
        <v>0.01</v>
      </c>
    </row>
    <row r="1364" ht="12.75" customHeight="1">
      <c r="A1364" s="5" t="s">
        <v>3202</v>
      </c>
      <c r="B1364" s="7">
        <v>52.0</v>
      </c>
      <c r="C1364" s="7">
        <v>52.0</v>
      </c>
      <c r="D1364" s="7" t="s">
        <v>3867</v>
      </c>
      <c r="E1364" s="7"/>
      <c r="G1364" s="5" t="str">
        <f t="shared" si="1"/>
        <v>52, 52, HAUNTER</v>
      </c>
      <c r="I1364" s="5" t="s">
        <v>3202</v>
      </c>
    </row>
    <row r="1365" ht="12.75" customHeight="1">
      <c r="A1365" s="5" t="s">
        <v>3201</v>
      </c>
      <c r="B1365" s="7">
        <v>22.0</v>
      </c>
      <c r="C1365" s="7">
        <v>22.0</v>
      </c>
      <c r="D1365" s="7" t="s">
        <v>3902</v>
      </c>
      <c r="E1365" s="7"/>
      <c r="G1365" s="5" t="str">
        <f t="shared" si="1"/>
        <v>22, 22, MISDREAVUS</v>
      </c>
      <c r="I1365" s="5" t="s">
        <v>3201</v>
      </c>
    </row>
    <row r="1366" ht="12.75" customHeight="1">
      <c r="A1366" s="5" t="s">
        <v>2539</v>
      </c>
      <c r="B1366" s="7" t="s">
        <v>2539</v>
      </c>
      <c r="C1366" s="7"/>
      <c r="D1366" s="7"/>
      <c r="E1366" s="7"/>
      <c r="G1366" s="5" t="str">
        <f t="shared" si="1"/>
        <v>NEW ROUTE</v>
      </c>
      <c r="I1366" s="5" t="s">
        <v>2539</v>
      </c>
    </row>
    <row r="1367" ht="12.75" customHeight="1">
      <c r="A1367" s="5" t="s">
        <v>1992</v>
      </c>
      <c r="B1367" s="7" t="s">
        <v>1992</v>
      </c>
      <c r="C1367" s="7"/>
      <c r="D1367" s="7"/>
      <c r="E1367" s="7"/>
      <c r="G1367" s="5" t="str">
        <f t="shared" si="1"/>
        <v>Five Island Lost Cave Room 11</v>
      </c>
      <c r="I1367" s="5" t="s">
        <v>1992</v>
      </c>
    </row>
    <row r="1368" ht="12.75" customHeight="1">
      <c r="A1368" s="5">
        <v>0.2</v>
      </c>
      <c r="B1368" s="5">
        <v>0.2</v>
      </c>
      <c r="C1368" s="7"/>
      <c r="D1368" s="7"/>
      <c r="E1368" s="7"/>
      <c r="G1368" s="5">
        <f t="shared" si="1"/>
        <v>0.2</v>
      </c>
      <c r="I1368" s="5">
        <v>0.2</v>
      </c>
    </row>
    <row r="1369" ht="12.75" customHeight="1">
      <c r="A1369" s="5" t="s">
        <v>789</v>
      </c>
      <c r="B1369" s="7">
        <v>40.0</v>
      </c>
      <c r="C1369" s="7">
        <v>40.0</v>
      </c>
      <c r="D1369" s="7" t="s">
        <v>3864</v>
      </c>
      <c r="E1369" s="7"/>
      <c r="G1369" s="5" t="str">
        <f t="shared" si="1"/>
        <v>40, 40, GASTLY</v>
      </c>
      <c r="I1369" s="5" t="s">
        <v>789</v>
      </c>
    </row>
    <row r="1370" ht="12.75" customHeight="1">
      <c r="A1370" s="5" t="s">
        <v>3193</v>
      </c>
      <c r="B1370" s="7">
        <v>37.0</v>
      </c>
      <c r="C1370" s="7">
        <v>37.0</v>
      </c>
      <c r="D1370" s="7" t="s">
        <v>3740</v>
      </c>
      <c r="E1370" s="7"/>
      <c r="G1370" s="5" t="str">
        <f t="shared" si="1"/>
        <v>37, 37, ZUBAT</v>
      </c>
      <c r="I1370" s="5" t="s">
        <v>3193</v>
      </c>
    </row>
    <row r="1371" ht="12.75" customHeight="1">
      <c r="A1371" s="5">
        <v>0.1</v>
      </c>
      <c r="B1371" s="5">
        <v>0.1</v>
      </c>
      <c r="C1371" s="7"/>
      <c r="D1371" s="7"/>
      <c r="E1371" s="7"/>
      <c r="G1371" s="5">
        <f t="shared" si="1"/>
        <v>0.1</v>
      </c>
      <c r="I1371" s="5">
        <v>0.1</v>
      </c>
    </row>
    <row r="1372" ht="12.75" customHeight="1">
      <c r="A1372" s="5" t="s">
        <v>3194</v>
      </c>
      <c r="B1372" s="7">
        <v>44.0</v>
      </c>
      <c r="C1372" s="7">
        <v>44.0</v>
      </c>
      <c r="D1372" s="7" t="s">
        <v>3867</v>
      </c>
      <c r="E1372" s="7"/>
      <c r="G1372" s="5" t="str">
        <f t="shared" si="1"/>
        <v>44, 44, HAUNTER</v>
      </c>
      <c r="I1372" s="5" t="s">
        <v>3194</v>
      </c>
    </row>
    <row r="1373" ht="12.75" customHeight="1">
      <c r="A1373" s="5" t="s">
        <v>3195</v>
      </c>
      <c r="B1373" s="7">
        <v>46.0</v>
      </c>
      <c r="C1373" s="7">
        <v>46.0</v>
      </c>
      <c r="D1373" s="7" t="s">
        <v>3867</v>
      </c>
      <c r="E1373" s="7"/>
      <c r="G1373" s="5" t="str">
        <f t="shared" si="1"/>
        <v>46, 46, HAUNTER</v>
      </c>
      <c r="I1373" s="5" t="s">
        <v>3195</v>
      </c>
    </row>
    <row r="1374" ht="12.75" customHeight="1">
      <c r="A1374" s="5" t="s">
        <v>3196</v>
      </c>
      <c r="B1374" s="7">
        <v>41.0</v>
      </c>
      <c r="C1374" s="7">
        <v>41.0</v>
      </c>
      <c r="D1374" s="7" t="s">
        <v>3746</v>
      </c>
      <c r="E1374" s="7"/>
      <c r="G1374" s="5" t="str">
        <f t="shared" si="1"/>
        <v>41, 41, GOLBAT</v>
      </c>
      <c r="I1374" s="5" t="s">
        <v>3196</v>
      </c>
    </row>
    <row r="1375" ht="12.75" customHeight="1">
      <c r="A1375" s="5" t="s">
        <v>3216</v>
      </c>
      <c r="B1375" s="7">
        <v>15.0</v>
      </c>
      <c r="C1375" s="7">
        <v>15.0</v>
      </c>
      <c r="D1375" s="7" t="s">
        <v>3902</v>
      </c>
      <c r="E1375" s="7"/>
      <c r="G1375" s="5" t="str">
        <f t="shared" si="1"/>
        <v>15, 15, MISDREAVUS</v>
      </c>
      <c r="I1375" s="5" t="s">
        <v>3216</v>
      </c>
    </row>
    <row r="1376" ht="12.75" customHeight="1">
      <c r="A1376" s="5">
        <v>0.05</v>
      </c>
      <c r="B1376" s="5">
        <v>0.05</v>
      </c>
      <c r="C1376" s="7"/>
      <c r="D1376" s="7"/>
      <c r="E1376" s="7"/>
      <c r="G1376" s="5">
        <f t="shared" si="1"/>
        <v>0.05</v>
      </c>
      <c r="I1376" s="5">
        <v>0.05</v>
      </c>
    </row>
    <row r="1377" ht="12.75" customHeight="1">
      <c r="A1377" s="5" t="s">
        <v>3217</v>
      </c>
      <c r="B1377" s="7">
        <v>20.0</v>
      </c>
      <c r="C1377" s="7">
        <v>20.0</v>
      </c>
      <c r="D1377" s="7" t="s">
        <v>3902</v>
      </c>
      <c r="E1377" s="7"/>
      <c r="G1377" s="5" t="str">
        <f t="shared" si="1"/>
        <v>20, 20, MISDREAVUS</v>
      </c>
      <c r="I1377" s="5" t="s">
        <v>3217</v>
      </c>
    </row>
    <row r="1378" ht="12.75" customHeight="1">
      <c r="A1378" s="5" t="s">
        <v>3199</v>
      </c>
      <c r="B1378" s="7">
        <v>48.0</v>
      </c>
      <c r="C1378" s="7">
        <v>48.0</v>
      </c>
      <c r="D1378" s="7" t="s">
        <v>3867</v>
      </c>
      <c r="E1378" s="7"/>
      <c r="G1378" s="5" t="str">
        <f t="shared" si="1"/>
        <v>48, 48, HAUNTER</v>
      </c>
      <c r="I1378" s="5" t="s">
        <v>3199</v>
      </c>
    </row>
    <row r="1379" ht="12.75" customHeight="1">
      <c r="A1379" s="5">
        <v>0.04</v>
      </c>
      <c r="B1379" s="5">
        <v>0.04</v>
      </c>
      <c r="C1379" s="7"/>
      <c r="D1379" s="7"/>
      <c r="E1379" s="7"/>
      <c r="G1379" s="5">
        <f t="shared" si="1"/>
        <v>0.04</v>
      </c>
      <c r="I1379" s="5">
        <v>0.04</v>
      </c>
    </row>
    <row r="1380" ht="12.75" customHeight="1">
      <c r="A1380" s="5" t="s">
        <v>3200</v>
      </c>
      <c r="B1380" s="7">
        <v>50.0</v>
      </c>
      <c r="C1380" s="7">
        <v>50.0</v>
      </c>
      <c r="D1380" s="7" t="s">
        <v>3867</v>
      </c>
      <c r="E1380" s="7"/>
      <c r="G1380" s="5" t="str">
        <f t="shared" si="1"/>
        <v>50, 50, HAUNTER</v>
      </c>
      <c r="I1380" s="5" t="s">
        <v>3200</v>
      </c>
    </row>
    <row r="1381" ht="12.75" customHeight="1">
      <c r="A1381" s="5" t="s">
        <v>3201</v>
      </c>
      <c r="B1381" s="7">
        <v>22.0</v>
      </c>
      <c r="C1381" s="7">
        <v>22.0</v>
      </c>
      <c r="D1381" s="7" t="s">
        <v>3902</v>
      </c>
      <c r="E1381" s="7"/>
      <c r="G1381" s="5" t="str">
        <f t="shared" si="1"/>
        <v>22, 22, MISDREAVUS</v>
      </c>
      <c r="I1381" s="5" t="s">
        <v>3201</v>
      </c>
    </row>
    <row r="1382" ht="12.75" customHeight="1">
      <c r="A1382" s="5">
        <v>0.01</v>
      </c>
      <c r="B1382" s="5">
        <v>0.01</v>
      </c>
      <c r="C1382" s="7"/>
      <c r="D1382" s="7"/>
      <c r="E1382" s="7"/>
      <c r="G1382" s="5">
        <f t="shared" si="1"/>
        <v>0.01</v>
      </c>
      <c r="I1382" s="5">
        <v>0.01</v>
      </c>
    </row>
    <row r="1383" ht="12.75" customHeight="1">
      <c r="A1383" s="5" t="s">
        <v>3202</v>
      </c>
      <c r="B1383" s="7">
        <v>52.0</v>
      </c>
      <c r="C1383" s="7">
        <v>52.0</v>
      </c>
      <c r="D1383" s="7" t="s">
        <v>3867</v>
      </c>
      <c r="E1383" s="7"/>
      <c r="G1383" s="5" t="str">
        <f t="shared" si="1"/>
        <v>52, 52, HAUNTER</v>
      </c>
      <c r="I1383" s="5" t="s">
        <v>3202</v>
      </c>
    </row>
    <row r="1384" ht="12.75" customHeight="1">
      <c r="A1384" s="5" t="s">
        <v>3201</v>
      </c>
      <c r="B1384" s="7">
        <v>22.0</v>
      </c>
      <c r="C1384" s="7">
        <v>22.0</v>
      </c>
      <c r="D1384" s="7" t="s">
        <v>3902</v>
      </c>
      <c r="E1384" s="7"/>
      <c r="G1384" s="5" t="str">
        <f t="shared" si="1"/>
        <v>22, 22, MISDREAVUS</v>
      </c>
      <c r="I1384" s="5" t="s">
        <v>3201</v>
      </c>
    </row>
    <row r="1385" ht="12.75" customHeight="1">
      <c r="A1385" s="5" t="s">
        <v>2539</v>
      </c>
      <c r="B1385" s="7" t="s">
        <v>2539</v>
      </c>
      <c r="C1385" s="7"/>
      <c r="D1385" s="7"/>
      <c r="E1385" s="7"/>
      <c r="G1385" s="5" t="str">
        <f t="shared" si="1"/>
        <v>NEW ROUTE</v>
      </c>
      <c r="I1385" s="5" t="s">
        <v>2539</v>
      </c>
    </row>
    <row r="1386" ht="12.75" customHeight="1">
      <c r="A1386" s="5" t="s">
        <v>1994</v>
      </c>
      <c r="B1386" s="7" t="s">
        <v>1994</v>
      </c>
      <c r="C1386" s="7"/>
      <c r="D1386" s="7"/>
      <c r="E1386" s="7"/>
      <c r="G1386" s="5" t="str">
        <f t="shared" si="1"/>
        <v>Five Island Lost Cave Room 12</v>
      </c>
      <c r="I1386" s="5" t="s">
        <v>1994</v>
      </c>
    </row>
    <row r="1387" ht="12.75" customHeight="1">
      <c r="A1387" s="5">
        <v>0.2</v>
      </c>
      <c r="B1387" s="5">
        <v>0.2</v>
      </c>
      <c r="C1387" s="7"/>
      <c r="D1387" s="7"/>
      <c r="E1387" s="7"/>
      <c r="G1387" s="5">
        <f t="shared" si="1"/>
        <v>0.2</v>
      </c>
      <c r="I1387" s="5">
        <v>0.2</v>
      </c>
    </row>
    <row r="1388" ht="12.75" customHeight="1">
      <c r="A1388" s="5" t="s">
        <v>789</v>
      </c>
      <c r="B1388" s="7">
        <v>40.0</v>
      </c>
      <c r="C1388" s="7">
        <v>40.0</v>
      </c>
      <c r="D1388" s="7" t="s">
        <v>3864</v>
      </c>
      <c r="E1388" s="7"/>
      <c r="G1388" s="5" t="str">
        <f t="shared" si="1"/>
        <v>40, 40, GASTLY</v>
      </c>
      <c r="I1388" s="5" t="s">
        <v>789</v>
      </c>
    </row>
    <row r="1389" ht="12.75" customHeight="1">
      <c r="A1389" s="5" t="s">
        <v>3193</v>
      </c>
      <c r="B1389" s="7">
        <v>37.0</v>
      </c>
      <c r="C1389" s="7">
        <v>37.0</v>
      </c>
      <c r="D1389" s="7" t="s">
        <v>3740</v>
      </c>
      <c r="E1389" s="7"/>
      <c r="G1389" s="5" t="str">
        <f t="shared" si="1"/>
        <v>37, 37, ZUBAT</v>
      </c>
      <c r="I1389" s="5" t="s">
        <v>3193</v>
      </c>
    </row>
    <row r="1390" ht="12.75" customHeight="1">
      <c r="A1390" s="5">
        <v>0.1</v>
      </c>
      <c r="B1390" s="5">
        <v>0.1</v>
      </c>
      <c r="C1390" s="7"/>
      <c r="D1390" s="7"/>
      <c r="E1390" s="7"/>
      <c r="G1390" s="5">
        <f t="shared" si="1"/>
        <v>0.1</v>
      </c>
      <c r="I1390" s="5">
        <v>0.1</v>
      </c>
    </row>
    <row r="1391" ht="12.75" customHeight="1">
      <c r="A1391" s="5" t="s">
        <v>3194</v>
      </c>
      <c r="B1391" s="7">
        <v>44.0</v>
      </c>
      <c r="C1391" s="7">
        <v>44.0</v>
      </c>
      <c r="D1391" s="7" t="s">
        <v>3867</v>
      </c>
      <c r="E1391" s="7"/>
      <c r="G1391" s="5" t="str">
        <f t="shared" si="1"/>
        <v>44, 44, HAUNTER</v>
      </c>
      <c r="I1391" s="5" t="s">
        <v>3194</v>
      </c>
    </row>
    <row r="1392" ht="12.75" customHeight="1">
      <c r="A1392" s="5" t="s">
        <v>3195</v>
      </c>
      <c r="B1392" s="7">
        <v>46.0</v>
      </c>
      <c r="C1392" s="7">
        <v>46.0</v>
      </c>
      <c r="D1392" s="7" t="s">
        <v>3867</v>
      </c>
      <c r="E1392" s="7"/>
      <c r="G1392" s="5" t="str">
        <f t="shared" si="1"/>
        <v>46, 46, HAUNTER</v>
      </c>
      <c r="I1392" s="5" t="s">
        <v>3195</v>
      </c>
    </row>
    <row r="1393" ht="12.75" customHeight="1">
      <c r="A1393" s="5" t="s">
        <v>3196</v>
      </c>
      <c r="B1393" s="7">
        <v>41.0</v>
      </c>
      <c r="C1393" s="7">
        <v>41.0</v>
      </c>
      <c r="D1393" s="7" t="s">
        <v>3746</v>
      </c>
      <c r="E1393" s="7"/>
      <c r="G1393" s="5" t="str">
        <f t="shared" si="1"/>
        <v>41, 41, GOLBAT</v>
      </c>
      <c r="I1393" s="5" t="s">
        <v>3196</v>
      </c>
    </row>
    <row r="1394" ht="12.75" customHeight="1">
      <c r="A1394" s="5" t="s">
        <v>3216</v>
      </c>
      <c r="B1394" s="7">
        <v>15.0</v>
      </c>
      <c r="C1394" s="7">
        <v>15.0</v>
      </c>
      <c r="D1394" s="7" t="s">
        <v>3902</v>
      </c>
      <c r="E1394" s="7"/>
      <c r="G1394" s="5" t="str">
        <f t="shared" si="1"/>
        <v>15, 15, MISDREAVUS</v>
      </c>
      <c r="I1394" s="5" t="s">
        <v>3216</v>
      </c>
    </row>
    <row r="1395" ht="12.75" customHeight="1">
      <c r="A1395" s="5">
        <v>0.05</v>
      </c>
      <c r="B1395" s="5">
        <v>0.05</v>
      </c>
      <c r="C1395" s="7"/>
      <c r="D1395" s="7"/>
      <c r="E1395" s="7"/>
      <c r="G1395" s="5">
        <f t="shared" si="1"/>
        <v>0.05</v>
      </c>
      <c r="I1395" s="5">
        <v>0.05</v>
      </c>
    </row>
    <row r="1396" ht="12.75" customHeight="1">
      <c r="A1396" s="5" t="s">
        <v>3217</v>
      </c>
      <c r="B1396" s="7">
        <v>20.0</v>
      </c>
      <c r="C1396" s="7">
        <v>20.0</v>
      </c>
      <c r="D1396" s="7" t="s">
        <v>3902</v>
      </c>
      <c r="E1396" s="7"/>
      <c r="G1396" s="5" t="str">
        <f t="shared" si="1"/>
        <v>20, 20, MISDREAVUS</v>
      </c>
      <c r="I1396" s="5" t="s">
        <v>3217</v>
      </c>
    </row>
    <row r="1397" ht="12.75" customHeight="1">
      <c r="A1397" s="5" t="s">
        <v>3199</v>
      </c>
      <c r="B1397" s="7">
        <v>48.0</v>
      </c>
      <c r="C1397" s="7">
        <v>48.0</v>
      </c>
      <c r="D1397" s="7" t="s">
        <v>3867</v>
      </c>
      <c r="E1397" s="7"/>
      <c r="G1397" s="5" t="str">
        <f t="shared" si="1"/>
        <v>48, 48, HAUNTER</v>
      </c>
      <c r="I1397" s="5" t="s">
        <v>3199</v>
      </c>
    </row>
    <row r="1398" ht="12.75" customHeight="1">
      <c r="A1398" s="5">
        <v>0.04</v>
      </c>
      <c r="B1398" s="5">
        <v>0.04</v>
      </c>
      <c r="C1398" s="7"/>
      <c r="D1398" s="7"/>
      <c r="E1398" s="7"/>
      <c r="G1398" s="5">
        <f t="shared" si="1"/>
        <v>0.04</v>
      </c>
      <c r="I1398" s="5">
        <v>0.04</v>
      </c>
    </row>
    <row r="1399" ht="12.75" customHeight="1">
      <c r="A1399" s="5" t="s">
        <v>3200</v>
      </c>
      <c r="B1399" s="7">
        <v>50.0</v>
      </c>
      <c r="C1399" s="7">
        <v>50.0</v>
      </c>
      <c r="D1399" s="7" t="s">
        <v>3867</v>
      </c>
      <c r="E1399" s="7"/>
      <c r="G1399" s="5" t="str">
        <f t="shared" si="1"/>
        <v>50, 50, HAUNTER</v>
      </c>
      <c r="I1399" s="5" t="s">
        <v>3200</v>
      </c>
    </row>
    <row r="1400" ht="12.75" customHeight="1">
      <c r="A1400" s="5" t="s">
        <v>3201</v>
      </c>
      <c r="B1400" s="7">
        <v>22.0</v>
      </c>
      <c r="C1400" s="7">
        <v>22.0</v>
      </c>
      <c r="D1400" s="7" t="s">
        <v>3902</v>
      </c>
      <c r="E1400" s="7"/>
      <c r="G1400" s="5" t="str">
        <f t="shared" si="1"/>
        <v>22, 22, MISDREAVUS</v>
      </c>
      <c r="I1400" s="5" t="s">
        <v>3201</v>
      </c>
    </row>
    <row r="1401" ht="12.75" customHeight="1">
      <c r="A1401" s="5">
        <v>0.01</v>
      </c>
      <c r="B1401" s="5">
        <v>0.01</v>
      </c>
      <c r="C1401" s="7"/>
      <c r="D1401" s="7"/>
      <c r="E1401" s="7"/>
      <c r="G1401" s="5">
        <f t="shared" si="1"/>
        <v>0.01</v>
      </c>
      <c r="I1401" s="5">
        <v>0.01</v>
      </c>
    </row>
    <row r="1402" ht="12.75" customHeight="1">
      <c r="A1402" s="5" t="s">
        <v>3202</v>
      </c>
      <c r="B1402" s="7">
        <v>52.0</v>
      </c>
      <c r="C1402" s="7">
        <v>52.0</v>
      </c>
      <c r="D1402" s="7" t="s">
        <v>3867</v>
      </c>
      <c r="E1402" s="7"/>
      <c r="G1402" s="5" t="str">
        <f t="shared" si="1"/>
        <v>52, 52, HAUNTER</v>
      </c>
      <c r="I1402" s="5" t="s">
        <v>3202</v>
      </c>
    </row>
    <row r="1403" ht="12.75" customHeight="1">
      <c r="A1403" s="5" t="s">
        <v>3201</v>
      </c>
      <c r="B1403" s="7">
        <v>22.0</v>
      </c>
      <c r="C1403" s="7">
        <v>22.0</v>
      </c>
      <c r="D1403" s="7" t="s">
        <v>3902</v>
      </c>
      <c r="E1403" s="7"/>
      <c r="G1403" s="5" t="str">
        <f t="shared" si="1"/>
        <v>22, 22, MISDREAVUS</v>
      </c>
      <c r="I1403" s="5" t="s">
        <v>3201</v>
      </c>
    </row>
    <row r="1404" ht="12.75" customHeight="1">
      <c r="A1404" s="5" t="s">
        <v>2539</v>
      </c>
      <c r="B1404" s="7" t="s">
        <v>2539</v>
      </c>
      <c r="C1404" s="7"/>
      <c r="D1404" s="7"/>
      <c r="E1404" s="7"/>
      <c r="G1404" s="5" t="str">
        <f t="shared" si="1"/>
        <v>NEW ROUTE</v>
      </c>
      <c r="I1404" s="5" t="s">
        <v>2539</v>
      </c>
    </row>
    <row r="1405" ht="12.75" customHeight="1">
      <c r="A1405" s="5" t="s">
        <v>1996</v>
      </c>
      <c r="B1405" s="7" t="s">
        <v>1996</v>
      </c>
      <c r="C1405" s="7"/>
      <c r="D1405" s="7"/>
      <c r="E1405" s="7"/>
      <c r="G1405" s="5" t="str">
        <f t="shared" si="1"/>
        <v>Five Island Lost Cave Room 13</v>
      </c>
      <c r="I1405" s="5" t="s">
        <v>1996</v>
      </c>
    </row>
    <row r="1406" ht="12.75" customHeight="1">
      <c r="A1406" s="5">
        <v>0.2</v>
      </c>
      <c r="B1406" s="5">
        <v>0.2</v>
      </c>
      <c r="C1406" s="7"/>
      <c r="D1406" s="7"/>
      <c r="E1406" s="7"/>
      <c r="G1406" s="5">
        <f t="shared" si="1"/>
        <v>0.2</v>
      </c>
      <c r="I1406" s="5">
        <v>0.2</v>
      </c>
    </row>
    <row r="1407" ht="12.75" customHeight="1">
      <c r="A1407" s="5" t="s">
        <v>789</v>
      </c>
      <c r="B1407" s="7">
        <v>40.0</v>
      </c>
      <c r="C1407" s="7">
        <v>40.0</v>
      </c>
      <c r="D1407" s="7" t="s">
        <v>3864</v>
      </c>
      <c r="E1407" s="7"/>
      <c r="G1407" s="5" t="str">
        <f t="shared" si="1"/>
        <v>40, 40, GASTLY</v>
      </c>
      <c r="I1407" s="5" t="s">
        <v>789</v>
      </c>
    </row>
    <row r="1408" ht="12.75" customHeight="1">
      <c r="A1408" s="5" t="s">
        <v>3193</v>
      </c>
      <c r="B1408" s="7">
        <v>37.0</v>
      </c>
      <c r="C1408" s="7">
        <v>37.0</v>
      </c>
      <c r="D1408" s="7" t="s">
        <v>3740</v>
      </c>
      <c r="E1408" s="7"/>
      <c r="G1408" s="5" t="str">
        <f t="shared" si="1"/>
        <v>37, 37, ZUBAT</v>
      </c>
      <c r="I1408" s="5" t="s">
        <v>3193</v>
      </c>
    </row>
    <row r="1409" ht="12.75" customHeight="1">
      <c r="A1409" s="5">
        <v>0.1</v>
      </c>
      <c r="B1409" s="5">
        <v>0.1</v>
      </c>
      <c r="C1409" s="7"/>
      <c r="D1409" s="7"/>
      <c r="E1409" s="7"/>
      <c r="G1409" s="5">
        <f t="shared" si="1"/>
        <v>0.1</v>
      </c>
      <c r="I1409" s="5">
        <v>0.1</v>
      </c>
    </row>
    <row r="1410" ht="12.75" customHeight="1">
      <c r="A1410" s="5" t="s">
        <v>3194</v>
      </c>
      <c r="B1410" s="7">
        <v>44.0</v>
      </c>
      <c r="C1410" s="7">
        <v>44.0</v>
      </c>
      <c r="D1410" s="7" t="s">
        <v>3867</v>
      </c>
      <c r="E1410" s="7"/>
      <c r="G1410" s="5" t="str">
        <f t="shared" si="1"/>
        <v>44, 44, HAUNTER</v>
      </c>
      <c r="I1410" s="5" t="s">
        <v>3194</v>
      </c>
    </row>
    <row r="1411" ht="12.75" customHeight="1">
      <c r="A1411" s="5" t="s">
        <v>3195</v>
      </c>
      <c r="B1411" s="7">
        <v>46.0</v>
      </c>
      <c r="C1411" s="7">
        <v>46.0</v>
      </c>
      <c r="D1411" s="7" t="s">
        <v>3867</v>
      </c>
      <c r="E1411" s="7"/>
      <c r="G1411" s="5" t="str">
        <f t="shared" si="1"/>
        <v>46, 46, HAUNTER</v>
      </c>
      <c r="I1411" s="5" t="s">
        <v>3195</v>
      </c>
    </row>
    <row r="1412" ht="12.75" customHeight="1">
      <c r="A1412" s="5" t="s">
        <v>3196</v>
      </c>
      <c r="B1412" s="7">
        <v>41.0</v>
      </c>
      <c r="C1412" s="7">
        <v>41.0</v>
      </c>
      <c r="D1412" s="7" t="s">
        <v>3746</v>
      </c>
      <c r="E1412" s="7"/>
      <c r="G1412" s="5" t="str">
        <f t="shared" si="1"/>
        <v>41, 41, GOLBAT</v>
      </c>
      <c r="I1412" s="5" t="s">
        <v>3196</v>
      </c>
    </row>
    <row r="1413" ht="12.75" customHeight="1">
      <c r="A1413" s="5" t="s">
        <v>3216</v>
      </c>
      <c r="B1413" s="7">
        <v>15.0</v>
      </c>
      <c r="C1413" s="7">
        <v>15.0</v>
      </c>
      <c r="D1413" s="7" t="s">
        <v>3902</v>
      </c>
      <c r="E1413" s="7"/>
      <c r="G1413" s="5" t="str">
        <f t="shared" si="1"/>
        <v>15, 15, MISDREAVUS</v>
      </c>
      <c r="I1413" s="5" t="s">
        <v>3216</v>
      </c>
    </row>
    <row r="1414" ht="12.75" customHeight="1">
      <c r="A1414" s="5">
        <v>0.05</v>
      </c>
      <c r="B1414" s="5">
        <v>0.05</v>
      </c>
      <c r="C1414" s="7"/>
      <c r="D1414" s="7"/>
      <c r="E1414" s="7"/>
      <c r="G1414" s="5">
        <f t="shared" si="1"/>
        <v>0.05</v>
      </c>
      <c r="I1414" s="5">
        <v>0.05</v>
      </c>
    </row>
    <row r="1415" ht="12.75" customHeight="1">
      <c r="A1415" s="5" t="s">
        <v>3217</v>
      </c>
      <c r="B1415" s="7">
        <v>20.0</v>
      </c>
      <c r="C1415" s="7">
        <v>20.0</v>
      </c>
      <c r="D1415" s="7" t="s">
        <v>3902</v>
      </c>
      <c r="E1415" s="7"/>
      <c r="G1415" s="5" t="str">
        <f t="shared" si="1"/>
        <v>20, 20, MISDREAVUS</v>
      </c>
      <c r="I1415" s="5" t="s">
        <v>3217</v>
      </c>
    </row>
    <row r="1416" ht="12.75" customHeight="1">
      <c r="A1416" s="5" t="s">
        <v>3199</v>
      </c>
      <c r="B1416" s="7">
        <v>48.0</v>
      </c>
      <c r="C1416" s="7">
        <v>48.0</v>
      </c>
      <c r="D1416" s="7" t="s">
        <v>3867</v>
      </c>
      <c r="E1416" s="7"/>
      <c r="G1416" s="5" t="str">
        <f t="shared" si="1"/>
        <v>48, 48, HAUNTER</v>
      </c>
      <c r="I1416" s="5" t="s">
        <v>3199</v>
      </c>
    </row>
    <row r="1417" ht="12.75" customHeight="1">
      <c r="A1417" s="5">
        <v>0.04</v>
      </c>
      <c r="B1417" s="5">
        <v>0.04</v>
      </c>
      <c r="C1417" s="7"/>
      <c r="D1417" s="7"/>
      <c r="E1417" s="7"/>
      <c r="G1417" s="5">
        <f t="shared" si="1"/>
        <v>0.04</v>
      </c>
      <c r="I1417" s="5">
        <v>0.04</v>
      </c>
    </row>
    <row r="1418" ht="12.75" customHeight="1">
      <c r="A1418" s="5" t="s">
        <v>3200</v>
      </c>
      <c r="B1418" s="7">
        <v>50.0</v>
      </c>
      <c r="C1418" s="7">
        <v>50.0</v>
      </c>
      <c r="D1418" s="7" t="s">
        <v>3867</v>
      </c>
      <c r="E1418" s="7"/>
      <c r="G1418" s="5" t="str">
        <f t="shared" si="1"/>
        <v>50, 50, HAUNTER</v>
      </c>
      <c r="I1418" s="5" t="s">
        <v>3200</v>
      </c>
    </row>
    <row r="1419" ht="12.75" customHeight="1">
      <c r="A1419" s="5" t="s">
        <v>3201</v>
      </c>
      <c r="B1419" s="7">
        <v>22.0</v>
      </c>
      <c r="C1419" s="7">
        <v>22.0</v>
      </c>
      <c r="D1419" s="7" t="s">
        <v>3902</v>
      </c>
      <c r="E1419" s="7"/>
      <c r="G1419" s="5" t="str">
        <f t="shared" si="1"/>
        <v>22, 22, MISDREAVUS</v>
      </c>
      <c r="I1419" s="5" t="s">
        <v>3201</v>
      </c>
    </row>
    <row r="1420" ht="12.75" customHeight="1">
      <c r="A1420" s="5">
        <v>0.01</v>
      </c>
      <c r="B1420" s="5">
        <v>0.01</v>
      </c>
      <c r="C1420" s="7"/>
      <c r="D1420" s="7"/>
      <c r="E1420" s="7"/>
      <c r="G1420" s="5">
        <f t="shared" si="1"/>
        <v>0.01</v>
      </c>
      <c r="I1420" s="5">
        <v>0.01</v>
      </c>
    </row>
    <row r="1421" ht="12.75" customHeight="1">
      <c r="A1421" s="5" t="s">
        <v>3202</v>
      </c>
      <c r="B1421" s="7">
        <v>52.0</v>
      </c>
      <c r="C1421" s="7">
        <v>52.0</v>
      </c>
      <c r="D1421" s="7" t="s">
        <v>3867</v>
      </c>
      <c r="E1421" s="7"/>
      <c r="G1421" s="5" t="str">
        <f t="shared" si="1"/>
        <v>52, 52, HAUNTER</v>
      </c>
      <c r="I1421" s="5" t="s">
        <v>3202</v>
      </c>
    </row>
    <row r="1422" ht="12.75" customHeight="1">
      <c r="A1422" s="5" t="s">
        <v>3201</v>
      </c>
      <c r="B1422" s="7">
        <v>22.0</v>
      </c>
      <c r="C1422" s="7">
        <v>22.0</v>
      </c>
      <c r="D1422" s="7" t="s">
        <v>3902</v>
      </c>
      <c r="E1422" s="7"/>
      <c r="G1422" s="5" t="str">
        <f t="shared" si="1"/>
        <v>22, 22, MISDREAVUS</v>
      </c>
      <c r="I1422" s="5" t="s">
        <v>3201</v>
      </c>
    </row>
    <row r="1423" ht="12.75" customHeight="1">
      <c r="A1423" s="5" t="s">
        <v>2539</v>
      </c>
      <c r="B1423" s="7" t="s">
        <v>2539</v>
      </c>
      <c r="C1423" s="7"/>
      <c r="D1423" s="7"/>
      <c r="E1423" s="7"/>
      <c r="G1423" s="5" t="str">
        <f t="shared" si="1"/>
        <v>NEW ROUTE</v>
      </c>
      <c r="I1423" s="5" t="s">
        <v>2539</v>
      </c>
    </row>
    <row r="1424" ht="12.75" customHeight="1">
      <c r="A1424" s="5" t="s">
        <v>1998</v>
      </c>
      <c r="B1424" s="7" t="s">
        <v>1998</v>
      </c>
      <c r="C1424" s="7"/>
      <c r="D1424" s="7"/>
      <c r="E1424" s="7"/>
      <c r="G1424" s="5" t="str">
        <f t="shared" si="1"/>
        <v>Five Island Lost Cave Room 14</v>
      </c>
      <c r="I1424" s="5" t="s">
        <v>1998</v>
      </c>
    </row>
    <row r="1425" ht="12.75" customHeight="1">
      <c r="A1425" s="5">
        <v>0.2</v>
      </c>
      <c r="B1425" s="5">
        <v>0.2</v>
      </c>
      <c r="C1425" s="7"/>
      <c r="D1425" s="7"/>
      <c r="E1425" s="7"/>
      <c r="G1425" s="5">
        <f t="shared" si="1"/>
        <v>0.2</v>
      </c>
      <c r="I1425" s="5">
        <v>0.2</v>
      </c>
    </row>
    <row r="1426" ht="12.75" customHeight="1">
      <c r="A1426" s="5" t="s">
        <v>789</v>
      </c>
      <c r="B1426" s="7">
        <v>40.0</v>
      </c>
      <c r="C1426" s="7">
        <v>40.0</v>
      </c>
      <c r="D1426" s="7" t="s">
        <v>3864</v>
      </c>
      <c r="E1426" s="7"/>
      <c r="G1426" s="5" t="str">
        <f t="shared" si="1"/>
        <v>40, 40, GASTLY</v>
      </c>
      <c r="I1426" s="5" t="s">
        <v>789</v>
      </c>
    </row>
    <row r="1427" ht="12.75" customHeight="1">
      <c r="A1427" s="5" t="s">
        <v>3193</v>
      </c>
      <c r="B1427" s="7">
        <v>37.0</v>
      </c>
      <c r="C1427" s="7">
        <v>37.0</v>
      </c>
      <c r="D1427" s="7" t="s">
        <v>3740</v>
      </c>
      <c r="E1427" s="7"/>
      <c r="G1427" s="5" t="str">
        <f t="shared" si="1"/>
        <v>37, 37, ZUBAT</v>
      </c>
      <c r="I1427" s="5" t="s">
        <v>3193</v>
      </c>
    </row>
    <row r="1428" ht="12.75" customHeight="1">
      <c r="A1428" s="5">
        <v>0.1</v>
      </c>
      <c r="B1428" s="5">
        <v>0.1</v>
      </c>
      <c r="C1428" s="7"/>
      <c r="D1428" s="7"/>
      <c r="E1428" s="7"/>
      <c r="G1428" s="5">
        <f t="shared" si="1"/>
        <v>0.1</v>
      </c>
      <c r="I1428" s="5">
        <v>0.1</v>
      </c>
    </row>
    <row r="1429" ht="12.75" customHeight="1">
      <c r="A1429" s="5" t="s">
        <v>3194</v>
      </c>
      <c r="B1429" s="7">
        <v>44.0</v>
      </c>
      <c r="C1429" s="7">
        <v>44.0</v>
      </c>
      <c r="D1429" s="7" t="s">
        <v>3867</v>
      </c>
      <c r="E1429" s="7"/>
      <c r="G1429" s="5" t="str">
        <f t="shared" si="1"/>
        <v>44, 44, HAUNTER</v>
      </c>
      <c r="I1429" s="5" t="s">
        <v>3194</v>
      </c>
    </row>
    <row r="1430" ht="12.75" customHeight="1">
      <c r="A1430" s="5" t="s">
        <v>3195</v>
      </c>
      <c r="B1430" s="7">
        <v>46.0</v>
      </c>
      <c r="C1430" s="7">
        <v>46.0</v>
      </c>
      <c r="D1430" s="7" t="s">
        <v>3867</v>
      </c>
      <c r="E1430" s="7"/>
      <c r="G1430" s="5" t="str">
        <f t="shared" si="1"/>
        <v>46, 46, HAUNTER</v>
      </c>
      <c r="I1430" s="5" t="s">
        <v>3195</v>
      </c>
    </row>
    <row r="1431" ht="12.75" customHeight="1">
      <c r="A1431" s="5" t="s">
        <v>3196</v>
      </c>
      <c r="B1431" s="7">
        <v>41.0</v>
      </c>
      <c r="C1431" s="7">
        <v>41.0</v>
      </c>
      <c r="D1431" s="7" t="s">
        <v>3746</v>
      </c>
      <c r="E1431" s="7"/>
      <c r="G1431" s="5" t="str">
        <f t="shared" si="1"/>
        <v>41, 41, GOLBAT</v>
      </c>
      <c r="I1431" s="5" t="s">
        <v>3196</v>
      </c>
    </row>
    <row r="1432" ht="12.75" customHeight="1">
      <c r="A1432" s="5" t="s">
        <v>3216</v>
      </c>
      <c r="B1432" s="7">
        <v>15.0</v>
      </c>
      <c r="C1432" s="7">
        <v>15.0</v>
      </c>
      <c r="D1432" s="7" t="s">
        <v>3902</v>
      </c>
      <c r="E1432" s="7"/>
      <c r="G1432" s="5" t="str">
        <f t="shared" si="1"/>
        <v>15, 15, MISDREAVUS</v>
      </c>
      <c r="I1432" s="5" t="s">
        <v>3216</v>
      </c>
    </row>
    <row r="1433" ht="12.75" customHeight="1">
      <c r="A1433" s="5">
        <v>0.05</v>
      </c>
      <c r="B1433" s="5">
        <v>0.05</v>
      </c>
      <c r="C1433" s="7"/>
      <c r="D1433" s="7"/>
      <c r="E1433" s="7"/>
      <c r="G1433" s="5">
        <f t="shared" si="1"/>
        <v>0.05</v>
      </c>
      <c r="I1433" s="5">
        <v>0.05</v>
      </c>
    </row>
    <row r="1434" ht="12.75" customHeight="1">
      <c r="A1434" s="5" t="s">
        <v>3217</v>
      </c>
      <c r="B1434" s="7">
        <v>20.0</v>
      </c>
      <c r="C1434" s="7">
        <v>20.0</v>
      </c>
      <c r="D1434" s="7" t="s">
        <v>3902</v>
      </c>
      <c r="E1434" s="7"/>
      <c r="G1434" s="5" t="str">
        <f t="shared" si="1"/>
        <v>20, 20, MISDREAVUS</v>
      </c>
      <c r="I1434" s="5" t="s">
        <v>3217</v>
      </c>
    </row>
    <row r="1435" ht="12.75" customHeight="1">
      <c r="A1435" s="5" t="s">
        <v>3199</v>
      </c>
      <c r="B1435" s="7">
        <v>48.0</v>
      </c>
      <c r="C1435" s="7">
        <v>48.0</v>
      </c>
      <c r="D1435" s="7" t="s">
        <v>3867</v>
      </c>
      <c r="E1435" s="7"/>
      <c r="G1435" s="5" t="str">
        <f t="shared" si="1"/>
        <v>48, 48, HAUNTER</v>
      </c>
      <c r="I1435" s="5" t="s">
        <v>3199</v>
      </c>
    </row>
    <row r="1436" ht="12.75" customHeight="1">
      <c r="A1436" s="5">
        <v>0.04</v>
      </c>
      <c r="B1436" s="5">
        <v>0.04</v>
      </c>
      <c r="C1436" s="7"/>
      <c r="D1436" s="7"/>
      <c r="E1436" s="7"/>
      <c r="G1436" s="5">
        <f t="shared" si="1"/>
        <v>0.04</v>
      </c>
      <c r="I1436" s="5">
        <v>0.04</v>
      </c>
    </row>
    <row r="1437" ht="12.75" customHeight="1">
      <c r="A1437" s="5" t="s">
        <v>3200</v>
      </c>
      <c r="B1437" s="7">
        <v>50.0</v>
      </c>
      <c r="C1437" s="7">
        <v>50.0</v>
      </c>
      <c r="D1437" s="7" t="s">
        <v>3867</v>
      </c>
      <c r="E1437" s="7"/>
      <c r="G1437" s="5" t="str">
        <f t="shared" si="1"/>
        <v>50, 50, HAUNTER</v>
      </c>
      <c r="I1437" s="5" t="s">
        <v>3200</v>
      </c>
    </row>
    <row r="1438" ht="12.75" customHeight="1">
      <c r="A1438" s="5" t="s">
        <v>3201</v>
      </c>
      <c r="B1438" s="7">
        <v>22.0</v>
      </c>
      <c r="C1438" s="7">
        <v>22.0</v>
      </c>
      <c r="D1438" s="7" t="s">
        <v>3902</v>
      </c>
      <c r="E1438" s="7"/>
      <c r="G1438" s="5" t="str">
        <f t="shared" si="1"/>
        <v>22, 22, MISDREAVUS</v>
      </c>
      <c r="I1438" s="5" t="s">
        <v>3201</v>
      </c>
    </row>
    <row r="1439" ht="12.75" customHeight="1">
      <c r="A1439" s="5">
        <v>0.01</v>
      </c>
      <c r="B1439" s="5">
        <v>0.01</v>
      </c>
      <c r="C1439" s="7"/>
      <c r="D1439" s="7"/>
      <c r="E1439" s="7"/>
      <c r="G1439" s="5">
        <f t="shared" si="1"/>
        <v>0.01</v>
      </c>
      <c r="I1439" s="5">
        <v>0.01</v>
      </c>
    </row>
    <row r="1440" ht="12.75" customHeight="1">
      <c r="A1440" s="5" t="s">
        <v>3202</v>
      </c>
      <c r="B1440" s="7">
        <v>52.0</v>
      </c>
      <c r="C1440" s="7">
        <v>52.0</v>
      </c>
      <c r="D1440" s="7" t="s">
        <v>3867</v>
      </c>
      <c r="E1440" s="7"/>
      <c r="G1440" s="5" t="str">
        <f t="shared" si="1"/>
        <v>52, 52, HAUNTER</v>
      </c>
      <c r="I1440" s="5" t="s">
        <v>3202</v>
      </c>
    </row>
    <row r="1441" ht="12.75" customHeight="1">
      <c r="A1441" s="5" t="s">
        <v>3201</v>
      </c>
      <c r="B1441" s="7">
        <v>22.0</v>
      </c>
      <c r="C1441" s="7">
        <v>22.0</v>
      </c>
      <c r="D1441" s="7" t="s">
        <v>3902</v>
      </c>
      <c r="E1441" s="7"/>
      <c r="G1441" s="5" t="str">
        <f t="shared" si="1"/>
        <v>22, 22, MISDREAVUS</v>
      </c>
      <c r="I1441" s="5" t="s">
        <v>3201</v>
      </c>
    </row>
    <row r="1442" ht="12.75" customHeight="1">
      <c r="A1442" s="5" t="s">
        <v>2539</v>
      </c>
      <c r="B1442" s="7" t="s">
        <v>2539</v>
      </c>
      <c r="C1442" s="7"/>
      <c r="D1442" s="7"/>
      <c r="E1442" s="7"/>
      <c r="G1442" s="5" t="str">
        <f t="shared" si="1"/>
        <v>NEW ROUTE</v>
      </c>
      <c r="I1442" s="5" t="s">
        <v>2539</v>
      </c>
    </row>
    <row r="1443" ht="12.75" customHeight="1">
      <c r="A1443" s="5" t="s">
        <v>2156</v>
      </c>
      <c r="B1443" s="7" t="s">
        <v>2156</v>
      </c>
      <c r="C1443" s="7"/>
      <c r="D1443" s="7"/>
      <c r="E1443" s="7"/>
      <c r="G1443" s="5" t="str">
        <f t="shared" si="1"/>
        <v>One Island Kindle Road</v>
      </c>
      <c r="I1443" s="5" t="s">
        <v>2156</v>
      </c>
    </row>
    <row r="1444" ht="12.75" customHeight="1">
      <c r="A1444" s="5">
        <v>0.2</v>
      </c>
      <c r="B1444" s="5">
        <v>0.2</v>
      </c>
      <c r="C1444" s="7"/>
      <c r="D1444" s="7"/>
      <c r="E1444" s="7"/>
      <c r="G1444" s="5">
        <f t="shared" si="1"/>
        <v>0.2</v>
      </c>
      <c r="I1444" s="5">
        <v>0.2</v>
      </c>
    </row>
    <row r="1445" ht="12.75" customHeight="1">
      <c r="A1445" s="5" t="s">
        <v>817</v>
      </c>
      <c r="B1445" s="7">
        <v>32.0</v>
      </c>
      <c r="C1445" s="7">
        <v>32.0</v>
      </c>
      <c r="D1445" s="7" t="s">
        <v>3884</v>
      </c>
      <c r="E1445" s="7"/>
      <c r="G1445" s="5" t="str">
        <f t="shared" si="1"/>
        <v>32, 32, SPEAROW</v>
      </c>
      <c r="I1445" s="5" t="s">
        <v>817</v>
      </c>
    </row>
    <row r="1446" ht="12.75" customHeight="1">
      <c r="A1446" s="5" t="s">
        <v>3222</v>
      </c>
      <c r="B1446" s="7">
        <v>34.0</v>
      </c>
      <c r="C1446" s="7">
        <v>34.0</v>
      </c>
      <c r="D1446" s="7" t="s">
        <v>3882</v>
      </c>
      <c r="E1446" s="7"/>
      <c r="G1446" s="5" t="str">
        <f t="shared" si="1"/>
        <v>34, 34, PONYTA</v>
      </c>
      <c r="I1446" s="5" t="s">
        <v>3222</v>
      </c>
    </row>
    <row r="1447" ht="12.75" customHeight="1">
      <c r="A1447" s="5">
        <v>0.1</v>
      </c>
      <c r="B1447" s="5">
        <v>0.1</v>
      </c>
      <c r="C1447" s="7"/>
      <c r="D1447" s="7"/>
      <c r="E1447" s="7"/>
      <c r="G1447" s="5">
        <f t="shared" si="1"/>
        <v>0.1</v>
      </c>
      <c r="I1447" s="5">
        <v>0.1</v>
      </c>
    </row>
    <row r="1448" ht="12.75" customHeight="1">
      <c r="A1448" s="5" t="s">
        <v>3223</v>
      </c>
      <c r="B1448" s="7">
        <v>36.0</v>
      </c>
      <c r="C1448" s="7">
        <v>36.0</v>
      </c>
      <c r="D1448" s="7" t="s">
        <v>3883</v>
      </c>
      <c r="E1448" s="7"/>
      <c r="G1448" s="5" t="str">
        <f t="shared" si="1"/>
        <v>36, 36, FEAROW</v>
      </c>
      <c r="I1448" s="5" t="s">
        <v>3223</v>
      </c>
    </row>
    <row r="1449" ht="12.75" customHeight="1">
      <c r="A1449" s="5" t="s">
        <v>3224</v>
      </c>
      <c r="B1449" s="7">
        <v>31.0</v>
      </c>
      <c r="C1449" s="7">
        <v>31.0</v>
      </c>
      <c r="D1449" s="7" t="s">
        <v>3882</v>
      </c>
      <c r="E1449" s="7"/>
      <c r="G1449" s="5" t="str">
        <f t="shared" si="1"/>
        <v>31, 31, PONYTA</v>
      </c>
      <c r="I1449" s="5" t="s">
        <v>3224</v>
      </c>
    </row>
    <row r="1450" ht="12.75" customHeight="1">
      <c r="A1450" s="5" t="s">
        <v>3082</v>
      </c>
      <c r="B1450" s="7">
        <v>31.0</v>
      </c>
      <c r="C1450" s="7">
        <v>31.0</v>
      </c>
      <c r="D1450" s="7" t="s">
        <v>3741</v>
      </c>
      <c r="E1450" s="7"/>
      <c r="G1450" s="5" t="str">
        <f t="shared" si="1"/>
        <v>31, 31, GEODUDE</v>
      </c>
      <c r="I1450" s="5" t="s">
        <v>3082</v>
      </c>
    </row>
    <row r="1451" ht="12.75" customHeight="1">
      <c r="A1451" s="5" t="s">
        <v>3225</v>
      </c>
      <c r="B1451" s="7">
        <v>31.0</v>
      </c>
      <c r="C1451" s="7">
        <v>31.0</v>
      </c>
      <c r="D1451" s="7" t="s">
        <v>3903</v>
      </c>
      <c r="E1451" s="7"/>
      <c r="G1451" s="5" t="str">
        <f t="shared" si="1"/>
        <v>31, 31, MEOWTH</v>
      </c>
      <c r="I1451" s="5" t="s">
        <v>3225</v>
      </c>
    </row>
    <row r="1452" ht="12.75" customHeight="1">
      <c r="A1452" s="5">
        <v>0.05</v>
      </c>
      <c r="B1452" s="5">
        <v>0.05</v>
      </c>
      <c r="C1452" s="7"/>
      <c r="D1452" s="7"/>
      <c r="E1452" s="7"/>
      <c r="G1452" s="5">
        <f t="shared" si="1"/>
        <v>0.05</v>
      </c>
      <c r="I1452" s="5">
        <v>0.05</v>
      </c>
    </row>
    <row r="1453" ht="12.75" customHeight="1">
      <c r="A1453" s="5" t="s">
        <v>3226</v>
      </c>
      <c r="B1453" s="7">
        <v>30.0</v>
      </c>
      <c r="C1453" s="7">
        <v>30.0</v>
      </c>
      <c r="D1453" s="7" t="s">
        <v>3884</v>
      </c>
      <c r="E1453" s="7"/>
      <c r="G1453" s="5" t="str">
        <f t="shared" si="1"/>
        <v>30, 30, SPEAROW</v>
      </c>
      <c r="I1453" s="5" t="s">
        <v>3226</v>
      </c>
    </row>
    <row r="1454" ht="12.75" customHeight="1">
      <c r="A1454" s="5" t="s">
        <v>3227</v>
      </c>
      <c r="B1454" s="7">
        <v>34.0</v>
      </c>
      <c r="C1454" s="7">
        <v>34.0</v>
      </c>
      <c r="D1454" s="7" t="s">
        <v>3756</v>
      </c>
      <c r="E1454" s="7"/>
      <c r="G1454" s="5" t="str">
        <f t="shared" si="1"/>
        <v>34, 34, SLOWPOKE</v>
      </c>
      <c r="I1454" s="5" t="s">
        <v>3227</v>
      </c>
    </row>
    <row r="1455" ht="12.75" customHeight="1">
      <c r="A1455" s="5">
        <v>0.04</v>
      </c>
      <c r="B1455" s="5">
        <v>0.04</v>
      </c>
      <c r="C1455" s="7"/>
      <c r="D1455" s="7"/>
      <c r="E1455" s="7"/>
      <c r="G1455" s="5">
        <f t="shared" si="1"/>
        <v>0.04</v>
      </c>
      <c r="I1455" s="5">
        <v>0.04</v>
      </c>
    </row>
    <row r="1456" ht="12.75" customHeight="1">
      <c r="A1456" s="5" t="s">
        <v>3228</v>
      </c>
      <c r="B1456" s="7">
        <v>37.0</v>
      </c>
      <c r="C1456" s="7">
        <v>37.0</v>
      </c>
      <c r="D1456" s="7" t="s">
        <v>3823</v>
      </c>
      <c r="E1456" s="7"/>
      <c r="G1456" s="5" t="str">
        <f t="shared" si="1"/>
        <v>37, 37, RAPIDASH</v>
      </c>
      <c r="I1456" s="5" t="s">
        <v>3228</v>
      </c>
    </row>
    <row r="1457" ht="12.75" customHeight="1">
      <c r="A1457" s="5" t="s">
        <v>3229</v>
      </c>
      <c r="B1457" s="7">
        <v>37.0</v>
      </c>
      <c r="C1457" s="7">
        <v>37.0</v>
      </c>
      <c r="D1457" s="7" t="s">
        <v>3904</v>
      </c>
      <c r="E1457" s="7"/>
      <c r="G1457" s="5" t="str">
        <f t="shared" si="1"/>
        <v>37, 37, PERSIAN</v>
      </c>
      <c r="I1457" s="5" t="s">
        <v>3229</v>
      </c>
    </row>
    <row r="1458" ht="12.75" customHeight="1">
      <c r="A1458" s="5">
        <v>0.01</v>
      </c>
      <c r="B1458" s="5">
        <v>0.01</v>
      </c>
      <c r="C1458" s="7"/>
      <c r="D1458" s="7"/>
      <c r="E1458" s="7"/>
      <c r="G1458" s="5">
        <f t="shared" si="1"/>
        <v>0.01</v>
      </c>
      <c r="I1458" s="5">
        <v>0.01</v>
      </c>
    </row>
    <row r="1459" ht="12.75" customHeight="1">
      <c r="A1459" s="5" t="s">
        <v>3230</v>
      </c>
      <c r="B1459" s="7">
        <v>40.0</v>
      </c>
      <c r="C1459" s="7">
        <v>40.0</v>
      </c>
      <c r="D1459" s="7" t="s">
        <v>3823</v>
      </c>
      <c r="E1459" s="7"/>
      <c r="G1459" s="5" t="str">
        <f t="shared" si="1"/>
        <v>40, 40, RAPIDASH</v>
      </c>
      <c r="I1459" s="5" t="s">
        <v>3230</v>
      </c>
    </row>
    <row r="1460" ht="12.75" customHeight="1">
      <c r="A1460" s="5" t="s">
        <v>3231</v>
      </c>
      <c r="B1460" s="7">
        <v>40.0</v>
      </c>
      <c r="C1460" s="7">
        <v>40.0</v>
      </c>
      <c r="D1460" s="7" t="s">
        <v>3904</v>
      </c>
      <c r="E1460" s="7"/>
      <c r="G1460" s="5" t="str">
        <f t="shared" si="1"/>
        <v>40, 40, PERSIAN</v>
      </c>
      <c r="I1460" s="5" t="s">
        <v>3231</v>
      </c>
    </row>
    <row r="1461" ht="12.75" customHeight="1">
      <c r="A1461" s="5" t="s">
        <v>3173</v>
      </c>
      <c r="B1461" s="7">
        <v>2.0</v>
      </c>
      <c r="C1461" s="7">
        <v>5.0</v>
      </c>
      <c r="D1461" s="7">
        <v>20.0</v>
      </c>
      <c r="E1461" s="7" t="s">
        <v>3748</v>
      </c>
      <c r="G1461" s="5" t="str">
        <f t="shared" si="1"/>
        <v>2, 5, 20, TENTACOOL</v>
      </c>
      <c r="I1461" s="5" t="s">
        <v>3173</v>
      </c>
    </row>
    <row r="1462" ht="12.75" customHeight="1">
      <c r="A1462" s="5" t="s">
        <v>3174</v>
      </c>
      <c r="B1462" s="7">
        <v>20.0</v>
      </c>
      <c r="C1462" s="7">
        <v>35.0</v>
      </c>
      <c r="D1462" s="7" t="s">
        <v>3748</v>
      </c>
      <c r="E1462" s="7"/>
      <c r="G1462" s="5" t="str">
        <f t="shared" si="1"/>
        <v>20, 35, TENTACOOL</v>
      </c>
      <c r="I1462" s="5" t="s">
        <v>3174</v>
      </c>
    </row>
    <row r="1463" ht="12.75" customHeight="1">
      <c r="A1463" s="5" t="s">
        <v>2845</v>
      </c>
      <c r="B1463" s="7">
        <v>35.0</v>
      </c>
      <c r="C1463" s="7">
        <v>40.0</v>
      </c>
      <c r="D1463" s="7" t="s">
        <v>3748</v>
      </c>
      <c r="E1463" s="7"/>
      <c r="G1463" s="5" t="str">
        <f t="shared" si="1"/>
        <v>35, 40, TENTACOOL</v>
      </c>
      <c r="I1463" s="5" t="s">
        <v>2845</v>
      </c>
    </row>
    <row r="1464" ht="12.75" customHeight="1">
      <c r="A1464" s="5" t="s">
        <v>3232</v>
      </c>
      <c r="B1464" s="7">
        <v>35.0</v>
      </c>
      <c r="C1464" s="7">
        <v>40.0</v>
      </c>
      <c r="D1464" s="7" t="s">
        <v>3898</v>
      </c>
      <c r="E1464" s="7"/>
      <c r="G1464" s="5" t="str">
        <f t="shared" si="1"/>
        <v>35, 40, TENTACRUEL</v>
      </c>
      <c r="I1464" s="5" t="s">
        <v>3232</v>
      </c>
    </row>
    <row r="1465" ht="12.75" customHeight="1">
      <c r="A1465" s="5" t="s">
        <v>3232</v>
      </c>
      <c r="B1465" s="7">
        <v>35.0</v>
      </c>
      <c r="C1465" s="7">
        <v>40.0</v>
      </c>
      <c r="D1465" s="7" t="s">
        <v>3898</v>
      </c>
      <c r="E1465" s="7"/>
      <c r="G1465" s="5" t="str">
        <f t="shared" si="1"/>
        <v>35, 40, TENTACRUEL</v>
      </c>
      <c r="I1465" s="5" t="s">
        <v>3232</v>
      </c>
    </row>
    <row r="1466" ht="12.75" customHeight="1">
      <c r="A1466" s="5" t="s">
        <v>3233</v>
      </c>
      <c r="B1466" s="7">
        <v>25.0</v>
      </c>
      <c r="C1466" s="7">
        <v>5.0</v>
      </c>
      <c r="D1466" s="7">
        <v>20.0</v>
      </c>
      <c r="E1466" s="7" t="s">
        <v>3741</v>
      </c>
      <c r="G1466" s="5" t="str">
        <f t="shared" si="1"/>
        <v>25, 5, 20, GEODUDE</v>
      </c>
      <c r="I1466" s="5" t="s">
        <v>3233</v>
      </c>
    </row>
    <row r="1467" ht="12.75" customHeight="1">
      <c r="A1467" s="5" t="s">
        <v>3001</v>
      </c>
      <c r="B1467" s="7">
        <v>10.0</v>
      </c>
      <c r="C1467" s="7">
        <v>20.0</v>
      </c>
      <c r="D1467" s="7" t="s">
        <v>3741</v>
      </c>
      <c r="E1467" s="7"/>
      <c r="G1467" s="5" t="str">
        <f t="shared" si="1"/>
        <v>10, 20, GEODUDE</v>
      </c>
      <c r="I1467" s="5" t="s">
        <v>3001</v>
      </c>
    </row>
    <row r="1468" ht="12.75" customHeight="1">
      <c r="A1468" s="5" t="s">
        <v>3002</v>
      </c>
      <c r="B1468" s="7">
        <v>15.0</v>
      </c>
      <c r="C1468" s="7">
        <v>30.0</v>
      </c>
      <c r="D1468" s="7" t="s">
        <v>3741</v>
      </c>
      <c r="E1468" s="7"/>
      <c r="G1468" s="5" t="str">
        <f t="shared" si="1"/>
        <v>15, 30, GEODUDE</v>
      </c>
      <c r="I1468" s="5" t="s">
        <v>3002</v>
      </c>
    </row>
    <row r="1469" ht="12.75" customHeight="1">
      <c r="A1469" s="5" t="s">
        <v>3003</v>
      </c>
      <c r="B1469" s="7">
        <v>25.0</v>
      </c>
      <c r="C1469" s="7">
        <v>40.0</v>
      </c>
      <c r="D1469" s="7" t="s">
        <v>3747</v>
      </c>
      <c r="E1469" s="7"/>
      <c r="G1469" s="5" t="str">
        <f t="shared" si="1"/>
        <v>25, 40, GRAVELER</v>
      </c>
      <c r="I1469" s="5" t="s">
        <v>3003</v>
      </c>
    </row>
    <row r="1470" ht="12.75" customHeight="1">
      <c r="A1470" s="5" t="s">
        <v>3234</v>
      </c>
      <c r="B1470" s="7">
        <v>30.0</v>
      </c>
      <c r="C1470" s="7">
        <v>40.0</v>
      </c>
      <c r="D1470" s="7" t="s">
        <v>3747</v>
      </c>
      <c r="E1470" s="7"/>
      <c r="G1470" s="5" t="str">
        <f t="shared" si="1"/>
        <v>30, 40, GRAVELER</v>
      </c>
      <c r="I1470" s="5" t="s">
        <v>3234</v>
      </c>
    </row>
    <row r="1471" ht="12.75" customHeight="1">
      <c r="A1471" s="5" t="s">
        <v>2926</v>
      </c>
      <c r="B1471" s="7">
        <v>20.0</v>
      </c>
      <c r="C1471" s="7" t="s">
        <v>3749</v>
      </c>
      <c r="D1471" s="7"/>
      <c r="E1471" s="7"/>
      <c r="G1471" s="5" t="str">
        <f t="shared" si="1"/>
        <v>old rod:</v>
      </c>
      <c r="I1471" s="5" t="s">
        <v>3750</v>
      </c>
    </row>
    <row r="1472" ht="12.75" customHeight="1">
      <c r="A1472" s="5" t="s">
        <v>417</v>
      </c>
      <c r="B1472" s="7">
        <v>5.0</v>
      </c>
      <c r="C1472" s="7">
        <v>5.0</v>
      </c>
      <c r="D1472" s="7" t="s">
        <v>3751</v>
      </c>
      <c r="E1472" s="7"/>
      <c r="G1472" s="5" t="str">
        <f t="shared" si="1"/>
        <v>5, 5, MAGIKARP</v>
      </c>
      <c r="I1472" s="5" t="s">
        <v>417</v>
      </c>
    </row>
    <row r="1473" ht="12.75" customHeight="1">
      <c r="A1473" s="5" t="s">
        <v>417</v>
      </c>
      <c r="B1473" s="7">
        <v>5.0</v>
      </c>
      <c r="C1473" s="7">
        <v>5.0</v>
      </c>
      <c r="D1473" s="7" t="s">
        <v>3751</v>
      </c>
      <c r="E1473" s="7"/>
      <c r="G1473" s="5" t="str">
        <f t="shared" si="1"/>
        <v>5, 5, MAGIKARP</v>
      </c>
      <c r="I1473" s="5" t="s">
        <v>417</v>
      </c>
    </row>
    <row r="1474" ht="12.75" customHeight="1">
      <c r="A1474" s="5" t="s">
        <v>2847</v>
      </c>
      <c r="B1474" s="7" t="s">
        <v>2847</v>
      </c>
      <c r="C1474" s="7"/>
      <c r="D1474" s="7"/>
      <c r="E1474" s="7"/>
      <c r="G1474" s="5" t="str">
        <f t="shared" si="1"/>
        <v>good rod:</v>
      </c>
      <c r="I1474" s="5" t="s">
        <v>2847</v>
      </c>
    </row>
    <row r="1475" ht="12.75" customHeight="1">
      <c r="A1475" s="5" t="s">
        <v>2848</v>
      </c>
      <c r="B1475" s="7">
        <v>5.0</v>
      </c>
      <c r="C1475" s="7">
        <v>15.0</v>
      </c>
      <c r="D1475" s="7" t="s">
        <v>3752</v>
      </c>
      <c r="E1475" s="7"/>
      <c r="G1475" s="5" t="str">
        <f t="shared" si="1"/>
        <v>5, 15, KRABBY</v>
      </c>
      <c r="I1475" s="5" t="s">
        <v>2848</v>
      </c>
    </row>
    <row r="1476" ht="12.75" customHeight="1">
      <c r="A1476" s="5" t="s">
        <v>2849</v>
      </c>
      <c r="B1476" s="7">
        <v>5.0</v>
      </c>
      <c r="C1476" s="7">
        <v>15.0</v>
      </c>
      <c r="D1476" s="7" t="s">
        <v>3751</v>
      </c>
      <c r="E1476" s="7"/>
      <c r="G1476" s="5" t="str">
        <f t="shared" si="1"/>
        <v>5, 15, MAGIKARP</v>
      </c>
      <c r="I1476" s="5" t="s">
        <v>2849</v>
      </c>
    </row>
    <row r="1477" ht="12.75" customHeight="1">
      <c r="A1477" s="5" t="s">
        <v>2848</v>
      </c>
      <c r="B1477" s="7">
        <v>5.0</v>
      </c>
      <c r="C1477" s="7">
        <v>15.0</v>
      </c>
      <c r="D1477" s="7" t="s">
        <v>3752</v>
      </c>
      <c r="E1477" s="7"/>
      <c r="G1477" s="5" t="str">
        <f t="shared" si="1"/>
        <v>5, 15, KRABBY</v>
      </c>
      <c r="I1477" s="5" t="s">
        <v>2848</v>
      </c>
    </row>
    <row r="1478" ht="12.75" customHeight="1">
      <c r="A1478" s="5" t="s">
        <v>2851</v>
      </c>
      <c r="B1478" s="7" t="s">
        <v>2851</v>
      </c>
      <c r="C1478" s="7"/>
      <c r="D1478" s="7"/>
      <c r="E1478" s="7"/>
      <c r="G1478" s="5" t="str">
        <f t="shared" si="1"/>
        <v>super rod:</v>
      </c>
      <c r="I1478" s="5" t="s">
        <v>2851</v>
      </c>
    </row>
    <row r="1479" ht="12.75" customHeight="1">
      <c r="A1479" s="5" t="s">
        <v>2852</v>
      </c>
      <c r="B1479" s="7">
        <v>15.0</v>
      </c>
      <c r="C1479" s="7">
        <v>25.0</v>
      </c>
      <c r="D1479" s="7" t="s">
        <v>3752</v>
      </c>
      <c r="E1479" s="7"/>
      <c r="G1479" s="5" t="str">
        <f t="shared" si="1"/>
        <v>15, 25, KRABBY</v>
      </c>
      <c r="I1479" s="5" t="s">
        <v>2852</v>
      </c>
    </row>
    <row r="1480" ht="12.75" customHeight="1">
      <c r="A1480" s="5" t="s">
        <v>2852</v>
      </c>
      <c r="B1480" s="7">
        <v>15.0</v>
      </c>
      <c r="C1480" s="7">
        <v>25.0</v>
      </c>
      <c r="D1480" s="7" t="s">
        <v>3752</v>
      </c>
      <c r="E1480" s="7"/>
      <c r="G1480" s="5" t="str">
        <f t="shared" si="1"/>
        <v>15, 25, KRABBY</v>
      </c>
      <c r="I1480" s="5" t="s">
        <v>2852</v>
      </c>
    </row>
    <row r="1481" ht="12.75" customHeight="1">
      <c r="A1481" s="5" t="s">
        <v>2854</v>
      </c>
      <c r="B1481" s="7">
        <v>15.0</v>
      </c>
      <c r="C1481" s="7">
        <v>25.0</v>
      </c>
      <c r="D1481" s="7" t="s">
        <v>3755</v>
      </c>
      <c r="E1481" s="7"/>
      <c r="G1481" s="5" t="str">
        <f t="shared" si="1"/>
        <v>15, 25, GYARADOS</v>
      </c>
      <c r="I1481" s="5" t="s">
        <v>2854</v>
      </c>
    </row>
    <row r="1482" ht="12.75" customHeight="1">
      <c r="A1482" s="5" t="s">
        <v>3178</v>
      </c>
      <c r="B1482" s="7">
        <v>25.0</v>
      </c>
      <c r="C1482" s="7">
        <v>35.0</v>
      </c>
      <c r="D1482" s="7" t="s">
        <v>3860</v>
      </c>
      <c r="E1482" s="7"/>
      <c r="G1482" s="5" t="str">
        <f t="shared" si="1"/>
        <v>25, 35, KINGLER</v>
      </c>
      <c r="I1482" s="5" t="s">
        <v>3178</v>
      </c>
    </row>
    <row r="1483" ht="12.75" customHeight="1">
      <c r="A1483" s="5" t="s">
        <v>2856</v>
      </c>
      <c r="B1483" s="7">
        <v>25.0</v>
      </c>
      <c r="C1483" s="7">
        <v>35.0</v>
      </c>
      <c r="D1483" s="7" t="s">
        <v>3756</v>
      </c>
      <c r="E1483" s="7"/>
      <c r="G1483" s="5" t="str">
        <f t="shared" si="1"/>
        <v>25, 35, SLOWPOKE</v>
      </c>
      <c r="I1483" s="5" t="s">
        <v>2856</v>
      </c>
    </row>
    <row r="1484" ht="12.75" customHeight="1">
      <c r="A1484" s="5" t="s">
        <v>2539</v>
      </c>
      <c r="B1484" s="7" t="s">
        <v>2539</v>
      </c>
      <c r="C1484" s="7"/>
      <c r="D1484" s="7"/>
      <c r="E1484" s="7"/>
      <c r="G1484" s="5" t="str">
        <f t="shared" si="1"/>
        <v>NEW ROUTE</v>
      </c>
      <c r="I1484" s="5" t="s">
        <v>2539</v>
      </c>
    </row>
    <row r="1485" ht="12.75" customHeight="1">
      <c r="A1485" s="5" t="s">
        <v>2158</v>
      </c>
      <c r="B1485" s="7" t="s">
        <v>2158</v>
      </c>
      <c r="C1485" s="7"/>
      <c r="D1485" s="7"/>
      <c r="E1485" s="7"/>
      <c r="G1485" s="5" t="str">
        <f t="shared" si="1"/>
        <v>One Island Treasure Beach</v>
      </c>
      <c r="I1485" s="5" t="s">
        <v>2158</v>
      </c>
    </row>
    <row r="1486" ht="12.75" customHeight="1">
      <c r="A1486" s="5">
        <v>0.2</v>
      </c>
      <c r="B1486" s="5">
        <v>0.2</v>
      </c>
      <c r="C1486" s="7"/>
      <c r="D1486" s="7"/>
      <c r="E1486" s="7"/>
      <c r="G1486" s="5">
        <f t="shared" si="1"/>
        <v>0.2</v>
      </c>
      <c r="I1486" s="5">
        <v>0.2</v>
      </c>
    </row>
    <row r="1487" ht="12.75" customHeight="1">
      <c r="A1487" s="5" t="s">
        <v>817</v>
      </c>
      <c r="B1487" s="7">
        <v>32.0</v>
      </c>
      <c r="C1487" s="7">
        <v>32.0</v>
      </c>
      <c r="D1487" s="7" t="s">
        <v>3884</v>
      </c>
      <c r="E1487" s="7"/>
      <c r="G1487" s="5" t="str">
        <f t="shared" si="1"/>
        <v>32, 32, SPEAROW</v>
      </c>
      <c r="I1487" s="5" t="s">
        <v>817</v>
      </c>
    </row>
    <row r="1488" ht="12.75" customHeight="1">
      <c r="A1488" s="5" t="s">
        <v>3236</v>
      </c>
      <c r="B1488" s="7">
        <v>33.0</v>
      </c>
      <c r="C1488" s="7">
        <v>33.0</v>
      </c>
      <c r="D1488" s="7" t="s">
        <v>3739</v>
      </c>
      <c r="E1488" s="7"/>
      <c r="G1488" s="5" t="str">
        <f t="shared" si="1"/>
        <v>33, 33, TANGELA</v>
      </c>
      <c r="I1488" s="5" t="s">
        <v>3236</v>
      </c>
    </row>
    <row r="1489" ht="12.75" customHeight="1">
      <c r="A1489" s="5">
        <v>0.1</v>
      </c>
      <c r="B1489" s="5">
        <v>0.1</v>
      </c>
      <c r="C1489" s="7"/>
      <c r="D1489" s="7"/>
      <c r="E1489" s="7"/>
      <c r="G1489" s="5">
        <f t="shared" si="1"/>
        <v>0.1</v>
      </c>
      <c r="I1489" s="5">
        <v>0.1</v>
      </c>
    </row>
    <row r="1490" ht="12.75" customHeight="1">
      <c r="A1490" s="5" t="s">
        <v>838</v>
      </c>
      <c r="B1490" s="7">
        <v>31.0</v>
      </c>
      <c r="C1490" s="7">
        <v>31.0</v>
      </c>
      <c r="D1490" s="7" t="s">
        <v>3884</v>
      </c>
      <c r="E1490" s="7"/>
      <c r="G1490" s="5" t="str">
        <f t="shared" si="1"/>
        <v>31, 31, SPEAROW</v>
      </c>
      <c r="I1490" s="5" t="s">
        <v>838</v>
      </c>
    </row>
    <row r="1491" ht="12.75" customHeight="1">
      <c r="A1491" s="5" t="s">
        <v>3237</v>
      </c>
      <c r="B1491" s="7">
        <v>35.0</v>
      </c>
      <c r="C1491" s="7">
        <v>35.0</v>
      </c>
      <c r="D1491" s="7" t="s">
        <v>3739</v>
      </c>
      <c r="E1491" s="7"/>
      <c r="G1491" s="5" t="str">
        <f t="shared" si="1"/>
        <v>35, 35, TANGELA</v>
      </c>
      <c r="I1491" s="5" t="s">
        <v>3237</v>
      </c>
    </row>
    <row r="1492" ht="12.75" customHeight="1">
      <c r="A1492" s="5" t="s">
        <v>3223</v>
      </c>
      <c r="B1492" s="7">
        <v>36.0</v>
      </c>
      <c r="C1492" s="7">
        <v>36.0</v>
      </c>
      <c r="D1492" s="7" t="s">
        <v>3883</v>
      </c>
      <c r="E1492" s="7"/>
      <c r="G1492" s="5" t="str">
        <f t="shared" si="1"/>
        <v>36, 36, FEAROW</v>
      </c>
      <c r="I1492" s="5" t="s">
        <v>3223</v>
      </c>
    </row>
    <row r="1493" ht="12.75" customHeight="1">
      <c r="A1493" s="5" t="s">
        <v>3225</v>
      </c>
      <c r="B1493" s="7">
        <v>31.0</v>
      </c>
      <c r="C1493" s="7">
        <v>31.0</v>
      </c>
      <c r="D1493" s="7" t="s">
        <v>3903</v>
      </c>
      <c r="E1493" s="7"/>
      <c r="G1493" s="5" t="str">
        <f t="shared" si="1"/>
        <v>31, 31, MEOWTH</v>
      </c>
      <c r="I1493" s="5" t="s">
        <v>3225</v>
      </c>
    </row>
    <row r="1494" ht="12.75" customHeight="1">
      <c r="A1494" s="5">
        <v>0.05</v>
      </c>
      <c r="B1494" s="5">
        <v>0.05</v>
      </c>
      <c r="C1494" s="7"/>
      <c r="D1494" s="7"/>
      <c r="E1494" s="7"/>
      <c r="G1494" s="5">
        <f t="shared" si="1"/>
        <v>0.05</v>
      </c>
      <c r="I1494" s="5">
        <v>0.05</v>
      </c>
    </row>
    <row r="1495" ht="12.75" customHeight="1">
      <c r="A1495" s="5" t="s">
        <v>3071</v>
      </c>
      <c r="B1495" s="7">
        <v>38.0</v>
      </c>
      <c r="C1495" s="7">
        <v>38.0</v>
      </c>
      <c r="D1495" s="7" t="s">
        <v>3883</v>
      </c>
      <c r="E1495" s="7"/>
      <c r="G1495" s="5" t="str">
        <f t="shared" si="1"/>
        <v>38, 38, FEAROW</v>
      </c>
      <c r="I1495" s="5" t="s">
        <v>3071</v>
      </c>
    </row>
    <row r="1496" ht="12.75" customHeight="1">
      <c r="A1496" s="5" t="s">
        <v>3134</v>
      </c>
      <c r="B1496" s="7">
        <v>31.0</v>
      </c>
      <c r="C1496" s="7">
        <v>31.0</v>
      </c>
      <c r="D1496" s="7" t="s">
        <v>3756</v>
      </c>
      <c r="E1496" s="7"/>
      <c r="G1496" s="5" t="str">
        <f t="shared" si="1"/>
        <v>31, 31, SLOWPOKE</v>
      </c>
      <c r="I1496" s="5" t="s">
        <v>3134</v>
      </c>
    </row>
    <row r="1497" ht="12.75" customHeight="1">
      <c r="A1497" s="5">
        <v>0.04</v>
      </c>
      <c r="B1497" s="5">
        <v>0.04</v>
      </c>
      <c r="C1497" s="7"/>
      <c r="D1497" s="7"/>
      <c r="E1497" s="7"/>
      <c r="G1497" s="5">
        <f t="shared" si="1"/>
        <v>0.04</v>
      </c>
      <c r="I1497" s="5">
        <v>0.04</v>
      </c>
    </row>
    <row r="1498" ht="12.75" customHeight="1">
      <c r="A1498" s="5" t="s">
        <v>3075</v>
      </c>
      <c r="B1498" s="7">
        <v>40.0</v>
      </c>
      <c r="C1498" s="7">
        <v>40.0</v>
      </c>
      <c r="D1498" s="7" t="s">
        <v>3883</v>
      </c>
      <c r="E1498" s="7"/>
      <c r="G1498" s="5" t="str">
        <f t="shared" si="1"/>
        <v>40, 40, FEAROW</v>
      </c>
      <c r="I1498" s="5" t="s">
        <v>3075</v>
      </c>
    </row>
    <row r="1499" ht="12.75" customHeight="1">
      <c r="A1499" s="5" t="s">
        <v>3229</v>
      </c>
      <c r="B1499" s="7">
        <v>37.0</v>
      </c>
      <c r="C1499" s="7">
        <v>37.0</v>
      </c>
      <c r="D1499" s="7" t="s">
        <v>3904</v>
      </c>
      <c r="E1499" s="7"/>
      <c r="G1499" s="5" t="str">
        <f t="shared" si="1"/>
        <v>37, 37, PERSIAN</v>
      </c>
      <c r="I1499" s="5" t="s">
        <v>3229</v>
      </c>
    </row>
    <row r="1500" ht="12.75" customHeight="1">
      <c r="A1500" s="5">
        <v>0.01</v>
      </c>
      <c r="B1500" s="5">
        <v>0.01</v>
      </c>
      <c r="C1500" s="7"/>
      <c r="D1500" s="7"/>
      <c r="E1500" s="7"/>
      <c r="G1500" s="5">
        <f t="shared" si="1"/>
        <v>0.01</v>
      </c>
      <c r="I1500" s="5">
        <v>0.01</v>
      </c>
    </row>
    <row r="1501" ht="12.75" customHeight="1">
      <c r="A1501" s="5" t="s">
        <v>3075</v>
      </c>
      <c r="B1501" s="7">
        <v>40.0</v>
      </c>
      <c r="C1501" s="7">
        <v>40.0</v>
      </c>
      <c r="D1501" s="7" t="s">
        <v>3883</v>
      </c>
      <c r="E1501" s="7"/>
      <c r="G1501" s="5" t="str">
        <f t="shared" si="1"/>
        <v>40, 40, FEAROW</v>
      </c>
      <c r="I1501" s="5" t="s">
        <v>3075</v>
      </c>
    </row>
    <row r="1502" ht="12.75" customHeight="1">
      <c r="A1502" s="5" t="s">
        <v>3231</v>
      </c>
      <c r="B1502" s="7">
        <v>40.0</v>
      </c>
      <c r="C1502" s="7">
        <v>40.0</v>
      </c>
      <c r="D1502" s="7" t="s">
        <v>3904</v>
      </c>
      <c r="E1502" s="7"/>
      <c r="G1502" s="5" t="str">
        <f t="shared" si="1"/>
        <v>40, 40, PERSIAN</v>
      </c>
      <c r="I1502" s="5" t="s">
        <v>3231</v>
      </c>
    </row>
    <row r="1503" ht="12.75" customHeight="1">
      <c r="A1503" s="5" t="s">
        <v>3173</v>
      </c>
      <c r="B1503" s="7">
        <v>2.0</v>
      </c>
      <c r="C1503" s="7">
        <v>5.0</v>
      </c>
      <c r="D1503" s="7">
        <v>20.0</v>
      </c>
      <c r="E1503" s="7" t="s">
        <v>3748</v>
      </c>
      <c r="G1503" s="5" t="str">
        <f t="shared" si="1"/>
        <v>2, 5, 20, TENTACOOL</v>
      </c>
      <c r="I1503" s="5" t="s">
        <v>3173</v>
      </c>
    </row>
    <row r="1504" ht="12.75" customHeight="1">
      <c r="A1504" s="5" t="s">
        <v>3174</v>
      </c>
      <c r="B1504" s="7">
        <v>20.0</v>
      </c>
      <c r="C1504" s="7">
        <v>35.0</v>
      </c>
      <c r="D1504" s="7" t="s">
        <v>3748</v>
      </c>
      <c r="E1504" s="7"/>
      <c r="G1504" s="5" t="str">
        <f t="shared" si="1"/>
        <v>20, 35, TENTACOOL</v>
      </c>
      <c r="I1504" s="5" t="s">
        <v>3174</v>
      </c>
    </row>
    <row r="1505" ht="12.75" customHeight="1">
      <c r="A1505" s="5" t="s">
        <v>2845</v>
      </c>
      <c r="B1505" s="7">
        <v>35.0</v>
      </c>
      <c r="C1505" s="7">
        <v>40.0</v>
      </c>
      <c r="D1505" s="7" t="s">
        <v>3748</v>
      </c>
      <c r="E1505" s="7"/>
      <c r="G1505" s="5" t="str">
        <f t="shared" si="1"/>
        <v>35, 40, TENTACOOL</v>
      </c>
      <c r="I1505" s="5" t="s">
        <v>2845</v>
      </c>
    </row>
    <row r="1506" ht="12.75" customHeight="1">
      <c r="A1506" s="5" t="s">
        <v>3232</v>
      </c>
      <c r="B1506" s="7">
        <v>35.0</v>
      </c>
      <c r="C1506" s="7">
        <v>40.0</v>
      </c>
      <c r="D1506" s="7" t="s">
        <v>3898</v>
      </c>
      <c r="E1506" s="7"/>
      <c r="G1506" s="5" t="str">
        <f t="shared" si="1"/>
        <v>35, 40, TENTACRUEL</v>
      </c>
      <c r="I1506" s="5" t="s">
        <v>3232</v>
      </c>
    </row>
    <row r="1507" ht="12.75" customHeight="1">
      <c r="A1507" s="5" t="s">
        <v>3232</v>
      </c>
      <c r="B1507" s="7">
        <v>35.0</v>
      </c>
      <c r="C1507" s="7">
        <v>40.0</v>
      </c>
      <c r="D1507" s="7" t="s">
        <v>3898</v>
      </c>
      <c r="E1507" s="7"/>
      <c r="G1507" s="5" t="str">
        <f t="shared" si="1"/>
        <v>35, 40, TENTACRUEL</v>
      </c>
      <c r="I1507" s="5" t="s">
        <v>3232</v>
      </c>
    </row>
    <row r="1508" ht="12.75" customHeight="1">
      <c r="A1508" s="5" t="s">
        <v>2926</v>
      </c>
      <c r="B1508" s="7">
        <v>20.0</v>
      </c>
      <c r="C1508" s="7" t="s">
        <v>3749</v>
      </c>
      <c r="D1508" s="7"/>
      <c r="E1508" s="7"/>
      <c r="G1508" s="5" t="str">
        <f t="shared" si="1"/>
        <v>old rod:</v>
      </c>
      <c r="I1508" s="5" t="s">
        <v>3750</v>
      </c>
    </row>
    <row r="1509" ht="12.75" customHeight="1">
      <c r="A1509" s="5" t="s">
        <v>417</v>
      </c>
      <c r="B1509" s="7">
        <v>5.0</v>
      </c>
      <c r="C1509" s="7">
        <v>5.0</v>
      </c>
      <c r="D1509" s="7" t="s">
        <v>3751</v>
      </c>
      <c r="E1509" s="7"/>
      <c r="G1509" s="5" t="str">
        <f t="shared" si="1"/>
        <v>5, 5, MAGIKARP</v>
      </c>
      <c r="I1509" s="5" t="s">
        <v>417</v>
      </c>
    </row>
    <row r="1510" ht="12.75" customHeight="1">
      <c r="A1510" s="5" t="s">
        <v>417</v>
      </c>
      <c r="B1510" s="7">
        <v>5.0</v>
      </c>
      <c r="C1510" s="7">
        <v>5.0</v>
      </c>
      <c r="D1510" s="7" t="s">
        <v>3751</v>
      </c>
      <c r="E1510" s="7"/>
      <c r="G1510" s="5" t="str">
        <f t="shared" si="1"/>
        <v>5, 5, MAGIKARP</v>
      </c>
      <c r="I1510" s="5" t="s">
        <v>417</v>
      </c>
    </row>
    <row r="1511" ht="12.75" customHeight="1">
      <c r="A1511" s="5" t="s">
        <v>2847</v>
      </c>
      <c r="B1511" s="7" t="s">
        <v>2847</v>
      </c>
      <c r="C1511" s="7"/>
      <c r="D1511" s="7"/>
      <c r="E1511" s="7"/>
      <c r="G1511" s="5" t="str">
        <f t="shared" si="1"/>
        <v>good rod:</v>
      </c>
      <c r="I1511" s="5" t="s">
        <v>2847</v>
      </c>
    </row>
    <row r="1512" ht="12.75" customHeight="1">
      <c r="A1512" s="5" t="s">
        <v>2848</v>
      </c>
      <c r="B1512" s="7">
        <v>5.0</v>
      </c>
      <c r="C1512" s="7">
        <v>15.0</v>
      </c>
      <c r="D1512" s="7" t="s">
        <v>3752</v>
      </c>
      <c r="E1512" s="7"/>
      <c r="G1512" s="5" t="str">
        <f t="shared" si="1"/>
        <v>5, 15, KRABBY</v>
      </c>
      <c r="I1512" s="5" t="s">
        <v>2848</v>
      </c>
    </row>
    <row r="1513" ht="12.75" customHeight="1">
      <c r="A1513" s="5" t="s">
        <v>2849</v>
      </c>
      <c r="B1513" s="7">
        <v>5.0</v>
      </c>
      <c r="C1513" s="7">
        <v>15.0</v>
      </c>
      <c r="D1513" s="7" t="s">
        <v>3751</v>
      </c>
      <c r="E1513" s="7"/>
      <c r="G1513" s="5" t="str">
        <f t="shared" si="1"/>
        <v>5, 15, MAGIKARP</v>
      </c>
      <c r="I1513" s="5" t="s">
        <v>2849</v>
      </c>
    </row>
    <row r="1514" ht="12.75" customHeight="1">
      <c r="A1514" s="5" t="s">
        <v>2848</v>
      </c>
      <c r="B1514" s="7">
        <v>5.0</v>
      </c>
      <c r="C1514" s="7">
        <v>15.0</v>
      </c>
      <c r="D1514" s="7" t="s">
        <v>3752</v>
      </c>
      <c r="E1514" s="7"/>
      <c r="G1514" s="5" t="str">
        <f t="shared" si="1"/>
        <v>5, 15, KRABBY</v>
      </c>
      <c r="I1514" s="5" t="s">
        <v>2848</v>
      </c>
    </row>
    <row r="1515" ht="12.75" customHeight="1">
      <c r="A1515" s="5" t="s">
        <v>2851</v>
      </c>
      <c r="B1515" s="7" t="s">
        <v>2851</v>
      </c>
      <c r="C1515" s="7"/>
      <c r="D1515" s="7"/>
      <c r="E1515" s="7"/>
      <c r="G1515" s="5" t="str">
        <f t="shared" si="1"/>
        <v>super rod:</v>
      </c>
      <c r="I1515" s="5" t="s">
        <v>2851</v>
      </c>
    </row>
    <row r="1516" ht="12.75" customHeight="1">
      <c r="A1516" s="5" t="s">
        <v>2852</v>
      </c>
      <c r="B1516" s="7">
        <v>15.0</v>
      </c>
      <c r="C1516" s="7">
        <v>25.0</v>
      </c>
      <c r="D1516" s="7" t="s">
        <v>3752</v>
      </c>
      <c r="E1516" s="7"/>
      <c r="G1516" s="5" t="str">
        <f t="shared" si="1"/>
        <v>15, 25, KRABBY</v>
      </c>
      <c r="I1516" s="5" t="s">
        <v>2852</v>
      </c>
    </row>
    <row r="1517" ht="12.75" customHeight="1">
      <c r="A1517" s="5" t="s">
        <v>2852</v>
      </c>
      <c r="B1517" s="7">
        <v>15.0</v>
      </c>
      <c r="C1517" s="7">
        <v>25.0</v>
      </c>
      <c r="D1517" s="7" t="s">
        <v>3752</v>
      </c>
      <c r="E1517" s="7"/>
      <c r="G1517" s="5" t="str">
        <f t="shared" si="1"/>
        <v>15, 25, KRABBY</v>
      </c>
      <c r="I1517" s="5" t="s">
        <v>2852</v>
      </c>
    </row>
    <row r="1518" ht="12.75" customHeight="1">
      <c r="A1518" s="5" t="s">
        <v>2854</v>
      </c>
      <c r="B1518" s="7">
        <v>15.0</v>
      </c>
      <c r="C1518" s="7">
        <v>25.0</v>
      </c>
      <c r="D1518" s="7" t="s">
        <v>3755</v>
      </c>
      <c r="E1518" s="7"/>
      <c r="G1518" s="5" t="str">
        <f t="shared" si="1"/>
        <v>15, 25, GYARADOS</v>
      </c>
      <c r="I1518" s="5" t="s">
        <v>2854</v>
      </c>
    </row>
    <row r="1519" ht="12.75" customHeight="1">
      <c r="A1519" s="5" t="s">
        <v>3178</v>
      </c>
      <c r="B1519" s="7">
        <v>25.0</v>
      </c>
      <c r="C1519" s="7">
        <v>35.0</v>
      </c>
      <c r="D1519" s="7" t="s">
        <v>3860</v>
      </c>
      <c r="E1519" s="7"/>
      <c r="G1519" s="5" t="str">
        <f t="shared" si="1"/>
        <v>25, 35, KINGLER</v>
      </c>
      <c r="I1519" s="5" t="s">
        <v>3178</v>
      </c>
    </row>
    <row r="1520" ht="12.75" customHeight="1">
      <c r="A1520" s="5" t="s">
        <v>2856</v>
      </c>
      <c r="B1520" s="7">
        <v>25.0</v>
      </c>
      <c r="C1520" s="7">
        <v>35.0</v>
      </c>
      <c r="D1520" s="7" t="s">
        <v>3756</v>
      </c>
      <c r="E1520" s="7"/>
      <c r="G1520" s="5" t="str">
        <f t="shared" si="1"/>
        <v>25, 35, SLOWPOKE</v>
      </c>
      <c r="I1520" s="5" t="s">
        <v>2856</v>
      </c>
    </row>
    <row r="1521" ht="12.75" customHeight="1">
      <c r="A1521" s="5" t="s">
        <v>2539</v>
      </c>
      <c r="B1521" s="7" t="s">
        <v>2539</v>
      </c>
      <c r="C1521" s="7"/>
      <c r="D1521" s="7"/>
      <c r="E1521" s="7"/>
      <c r="G1521" s="5" t="str">
        <f t="shared" si="1"/>
        <v>NEW ROUTE</v>
      </c>
      <c r="I1521" s="5" t="s">
        <v>2539</v>
      </c>
    </row>
    <row r="1522" ht="12.75" customHeight="1">
      <c r="A1522" s="5" t="s">
        <v>2160</v>
      </c>
      <c r="B1522" s="7" t="s">
        <v>2160</v>
      </c>
      <c r="C1522" s="7"/>
      <c r="D1522" s="7"/>
      <c r="E1522" s="7"/>
      <c r="G1522" s="5" t="str">
        <f t="shared" si="1"/>
        <v>Two Island Cape Brink</v>
      </c>
      <c r="I1522" s="5" t="s">
        <v>2160</v>
      </c>
    </row>
    <row r="1523" ht="12.75" customHeight="1">
      <c r="A1523" s="5">
        <v>0.2</v>
      </c>
      <c r="B1523" s="5">
        <v>0.2</v>
      </c>
      <c r="C1523" s="7"/>
      <c r="D1523" s="7"/>
      <c r="E1523" s="7"/>
      <c r="G1523" s="5">
        <f t="shared" si="1"/>
        <v>0.2</v>
      </c>
      <c r="I1523" s="5">
        <v>0.2</v>
      </c>
    </row>
    <row r="1524" ht="12.75" customHeight="1">
      <c r="A1524" s="5" t="s">
        <v>838</v>
      </c>
      <c r="B1524" s="7">
        <v>31.0</v>
      </c>
      <c r="C1524" s="7">
        <v>31.0</v>
      </c>
      <c r="D1524" s="7" t="s">
        <v>3884</v>
      </c>
      <c r="E1524" s="7"/>
      <c r="G1524" s="5" t="str">
        <f t="shared" si="1"/>
        <v>31, 31, SPEAROW</v>
      </c>
      <c r="I1524" s="5" t="s">
        <v>838</v>
      </c>
    </row>
    <row r="1525" ht="12.75" customHeight="1">
      <c r="A1525" s="5" t="s">
        <v>3130</v>
      </c>
      <c r="B1525" s="7">
        <v>30.0</v>
      </c>
      <c r="C1525" s="7">
        <v>30.0</v>
      </c>
      <c r="D1525" s="7" t="s">
        <v>3891</v>
      </c>
      <c r="E1525" s="7"/>
      <c r="G1525" s="5" t="str">
        <f t="shared" si="1"/>
        <v>30, 30, BELLSPROUT</v>
      </c>
      <c r="I1525" s="5" t="s">
        <v>3130</v>
      </c>
    </row>
    <row r="1526" ht="12.75" customHeight="1">
      <c r="A1526" s="5">
        <v>0.1</v>
      </c>
      <c r="B1526" s="5">
        <v>0.1</v>
      </c>
      <c r="C1526" s="7"/>
      <c r="D1526" s="7"/>
      <c r="E1526" s="7"/>
      <c r="G1526" s="5">
        <f t="shared" si="1"/>
        <v>0.1</v>
      </c>
      <c r="I1526" s="5">
        <v>0.1</v>
      </c>
    </row>
    <row r="1527" ht="12.75" customHeight="1">
      <c r="A1527" s="5" t="s">
        <v>3239</v>
      </c>
      <c r="B1527" s="7">
        <v>32.0</v>
      </c>
      <c r="C1527" s="7">
        <v>32.0</v>
      </c>
      <c r="D1527" s="7" t="s">
        <v>3891</v>
      </c>
      <c r="E1527" s="7"/>
      <c r="G1527" s="5" t="str">
        <f t="shared" si="1"/>
        <v>32, 32, BELLSPROUT</v>
      </c>
      <c r="I1527" s="5" t="s">
        <v>3239</v>
      </c>
    </row>
    <row r="1528" ht="12.75" customHeight="1">
      <c r="A1528" s="5" t="s">
        <v>3240</v>
      </c>
      <c r="B1528" s="7">
        <v>36.0</v>
      </c>
      <c r="C1528" s="7">
        <v>36.0</v>
      </c>
      <c r="D1528" s="7" t="s">
        <v>3889</v>
      </c>
      <c r="E1528" s="7"/>
      <c r="G1528" s="5" t="str">
        <f t="shared" si="1"/>
        <v>36, 36, WEEPINBELL</v>
      </c>
      <c r="I1528" s="5" t="s">
        <v>3240</v>
      </c>
    </row>
    <row r="1529" ht="12.75" customHeight="1">
      <c r="A1529" s="5" t="s">
        <v>3223</v>
      </c>
      <c r="B1529" s="7">
        <v>36.0</v>
      </c>
      <c r="C1529" s="7">
        <v>36.0</v>
      </c>
      <c r="D1529" s="7" t="s">
        <v>3883</v>
      </c>
      <c r="E1529" s="7"/>
      <c r="G1529" s="5" t="str">
        <f t="shared" si="1"/>
        <v>36, 36, FEAROW</v>
      </c>
      <c r="I1529" s="5" t="s">
        <v>3223</v>
      </c>
    </row>
    <row r="1530" ht="12.75" customHeight="1">
      <c r="A1530" s="5" t="s">
        <v>3225</v>
      </c>
      <c r="B1530" s="7">
        <v>31.0</v>
      </c>
      <c r="C1530" s="7">
        <v>31.0</v>
      </c>
      <c r="D1530" s="7" t="s">
        <v>3903</v>
      </c>
      <c r="E1530" s="7"/>
      <c r="G1530" s="5" t="str">
        <f t="shared" si="1"/>
        <v>31, 31, MEOWTH</v>
      </c>
      <c r="I1530" s="5" t="s">
        <v>3225</v>
      </c>
    </row>
    <row r="1531" ht="12.75" customHeight="1">
      <c r="A1531" s="5">
        <v>0.05</v>
      </c>
      <c r="B1531" s="5">
        <v>0.05</v>
      </c>
      <c r="C1531" s="7"/>
      <c r="D1531" s="7"/>
      <c r="E1531" s="7"/>
      <c r="G1531" s="5">
        <f t="shared" si="1"/>
        <v>0.05</v>
      </c>
      <c r="I1531" s="5">
        <v>0.05</v>
      </c>
    </row>
    <row r="1532" ht="12.75" customHeight="1">
      <c r="A1532" s="5" t="s">
        <v>3241</v>
      </c>
      <c r="B1532" s="7">
        <v>38.0</v>
      </c>
      <c r="C1532" s="7">
        <v>38.0</v>
      </c>
      <c r="D1532" s="7" t="s">
        <v>3889</v>
      </c>
      <c r="E1532" s="7"/>
      <c r="G1532" s="5" t="str">
        <f t="shared" si="1"/>
        <v>38, 38, WEEPINBELL</v>
      </c>
      <c r="I1532" s="5" t="s">
        <v>3241</v>
      </c>
    </row>
    <row r="1533" ht="12.75" customHeight="1">
      <c r="A1533" s="5" t="s">
        <v>3134</v>
      </c>
      <c r="B1533" s="7">
        <v>31.0</v>
      </c>
      <c r="C1533" s="7">
        <v>31.0</v>
      </c>
      <c r="D1533" s="7" t="s">
        <v>3756</v>
      </c>
      <c r="E1533" s="7"/>
      <c r="G1533" s="5" t="str">
        <f t="shared" si="1"/>
        <v>31, 31, SLOWPOKE</v>
      </c>
      <c r="I1533" s="5" t="s">
        <v>3134</v>
      </c>
    </row>
    <row r="1534" ht="12.75" customHeight="1">
      <c r="A1534" s="5">
        <v>0.04</v>
      </c>
      <c r="B1534" s="5">
        <v>0.04</v>
      </c>
      <c r="C1534" s="7"/>
      <c r="D1534" s="7"/>
      <c r="E1534" s="7"/>
      <c r="G1534" s="5">
        <f t="shared" si="1"/>
        <v>0.04</v>
      </c>
      <c r="I1534" s="5">
        <v>0.04</v>
      </c>
    </row>
    <row r="1535" ht="12.75" customHeight="1">
      <c r="A1535" s="5" t="s">
        <v>3242</v>
      </c>
      <c r="B1535" s="7">
        <v>37.0</v>
      </c>
      <c r="C1535" s="7">
        <v>37.0</v>
      </c>
      <c r="D1535" s="7" t="s">
        <v>3801</v>
      </c>
      <c r="E1535" s="7"/>
      <c r="G1535" s="5" t="str">
        <f t="shared" si="1"/>
        <v>37, 37, SLOWBRO</v>
      </c>
      <c r="I1535" s="5" t="s">
        <v>3242</v>
      </c>
    </row>
    <row r="1536" ht="12.75" customHeight="1">
      <c r="A1536" s="5" t="s">
        <v>3229</v>
      </c>
      <c r="B1536" s="7">
        <v>37.0</v>
      </c>
      <c r="C1536" s="7">
        <v>37.0</v>
      </c>
      <c r="D1536" s="7" t="s">
        <v>3904</v>
      </c>
      <c r="E1536" s="7"/>
      <c r="G1536" s="5" t="str">
        <f t="shared" si="1"/>
        <v>37, 37, PERSIAN</v>
      </c>
      <c r="I1536" s="5" t="s">
        <v>3229</v>
      </c>
    </row>
    <row r="1537" ht="12.75" customHeight="1">
      <c r="A1537" s="5">
        <v>0.01</v>
      </c>
      <c r="B1537" s="5">
        <v>0.01</v>
      </c>
      <c r="C1537" s="7"/>
      <c r="D1537" s="7"/>
      <c r="E1537" s="7"/>
      <c r="G1537" s="5">
        <f t="shared" si="1"/>
        <v>0.01</v>
      </c>
      <c r="I1537" s="5">
        <v>0.01</v>
      </c>
    </row>
    <row r="1538" ht="12.75" customHeight="1">
      <c r="A1538" s="5" t="s">
        <v>3243</v>
      </c>
      <c r="B1538" s="7">
        <v>40.0</v>
      </c>
      <c r="C1538" s="7">
        <v>40.0</v>
      </c>
      <c r="D1538" s="7" t="s">
        <v>3801</v>
      </c>
      <c r="E1538" s="7"/>
      <c r="G1538" s="5" t="str">
        <f t="shared" si="1"/>
        <v>40, 40, SLOWBRO</v>
      </c>
      <c r="I1538" s="5" t="s">
        <v>3243</v>
      </c>
    </row>
    <row r="1539" ht="12.75" customHeight="1">
      <c r="A1539" s="5" t="s">
        <v>3231</v>
      </c>
      <c r="B1539" s="7">
        <v>40.0</v>
      </c>
      <c r="C1539" s="7">
        <v>40.0</v>
      </c>
      <c r="D1539" s="7" t="s">
        <v>3904</v>
      </c>
      <c r="E1539" s="7"/>
      <c r="G1539" s="5" t="str">
        <f t="shared" si="1"/>
        <v>40, 40, PERSIAN</v>
      </c>
      <c r="I1539" s="5" t="s">
        <v>3231</v>
      </c>
    </row>
    <row r="1540" ht="12.75" customHeight="1">
      <c r="A1540" s="5" t="s">
        <v>3139</v>
      </c>
      <c r="B1540" s="7">
        <v>2.0</v>
      </c>
      <c r="C1540" s="7">
        <v>5.0</v>
      </c>
      <c r="D1540" s="7">
        <v>20.0</v>
      </c>
      <c r="E1540" s="7" t="s">
        <v>3756</v>
      </c>
      <c r="G1540" s="5" t="str">
        <f t="shared" si="1"/>
        <v>2, 5, 20, SLOWPOKE</v>
      </c>
      <c r="I1540" s="5" t="s">
        <v>3139</v>
      </c>
    </row>
    <row r="1541" ht="12.75" customHeight="1">
      <c r="A1541" s="5" t="s">
        <v>3140</v>
      </c>
      <c r="B1541" s="7">
        <v>20.0</v>
      </c>
      <c r="C1541" s="7">
        <v>35.0</v>
      </c>
      <c r="D1541" s="7" t="s">
        <v>3756</v>
      </c>
      <c r="E1541" s="7"/>
      <c r="G1541" s="5" t="str">
        <f t="shared" si="1"/>
        <v>20, 35, SLOWPOKE</v>
      </c>
      <c r="I1541" s="5" t="s">
        <v>3140</v>
      </c>
    </row>
    <row r="1542" ht="12.75" customHeight="1">
      <c r="A1542" s="5" t="s">
        <v>3141</v>
      </c>
      <c r="B1542" s="7">
        <v>35.0</v>
      </c>
      <c r="C1542" s="7">
        <v>40.0</v>
      </c>
      <c r="D1542" s="7" t="s">
        <v>3756</v>
      </c>
      <c r="E1542" s="7"/>
      <c r="G1542" s="5" t="str">
        <f t="shared" si="1"/>
        <v>35, 40, SLOWPOKE</v>
      </c>
      <c r="I1542" s="5" t="s">
        <v>3141</v>
      </c>
    </row>
    <row r="1543" ht="12.75" customHeight="1">
      <c r="A1543" s="5" t="s">
        <v>3142</v>
      </c>
      <c r="B1543" s="7">
        <v>35.0</v>
      </c>
      <c r="C1543" s="7">
        <v>40.0</v>
      </c>
      <c r="D1543" s="7" t="s">
        <v>3801</v>
      </c>
      <c r="E1543" s="7"/>
      <c r="G1543" s="5" t="str">
        <f t="shared" si="1"/>
        <v>35, 40, SLOWBRO</v>
      </c>
      <c r="I1543" s="5" t="s">
        <v>3142</v>
      </c>
    </row>
    <row r="1544" ht="12.75" customHeight="1">
      <c r="A1544" s="5" t="s">
        <v>3142</v>
      </c>
      <c r="B1544" s="7">
        <v>35.0</v>
      </c>
      <c r="C1544" s="7">
        <v>40.0</v>
      </c>
      <c r="D1544" s="7" t="s">
        <v>3801</v>
      </c>
      <c r="E1544" s="7"/>
      <c r="G1544" s="5" t="str">
        <f t="shared" si="1"/>
        <v>35, 40, SLOWBRO</v>
      </c>
      <c r="I1544" s="5" t="s">
        <v>3142</v>
      </c>
    </row>
    <row r="1545" ht="12.75" customHeight="1">
      <c r="A1545" s="5" t="s">
        <v>2926</v>
      </c>
      <c r="B1545" s="7">
        <v>20.0</v>
      </c>
      <c r="C1545" s="7" t="s">
        <v>3749</v>
      </c>
      <c r="D1545" s="7"/>
      <c r="E1545" s="7"/>
      <c r="G1545" s="5" t="str">
        <f t="shared" si="1"/>
        <v>old rod:</v>
      </c>
      <c r="I1545" s="5" t="s">
        <v>3750</v>
      </c>
    </row>
    <row r="1546" ht="12.75" customHeight="1">
      <c r="A1546" s="5" t="s">
        <v>417</v>
      </c>
      <c r="B1546" s="7">
        <v>5.0</v>
      </c>
      <c r="C1546" s="7">
        <v>5.0</v>
      </c>
      <c r="D1546" s="7" t="s">
        <v>3751</v>
      </c>
      <c r="E1546" s="7"/>
      <c r="G1546" s="5" t="str">
        <f t="shared" si="1"/>
        <v>5, 5, MAGIKARP</v>
      </c>
      <c r="I1546" s="5" t="s">
        <v>417</v>
      </c>
    </row>
    <row r="1547" ht="12.75" customHeight="1">
      <c r="A1547" s="5" t="s">
        <v>417</v>
      </c>
      <c r="B1547" s="7">
        <v>5.0</v>
      </c>
      <c r="C1547" s="7">
        <v>5.0</v>
      </c>
      <c r="D1547" s="7" t="s">
        <v>3751</v>
      </c>
      <c r="E1547" s="7"/>
      <c r="G1547" s="5" t="str">
        <f t="shared" si="1"/>
        <v>5, 5, MAGIKARP</v>
      </c>
      <c r="I1547" s="5" t="s">
        <v>417</v>
      </c>
    </row>
    <row r="1548" ht="12.75" customHeight="1">
      <c r="A1548" s="5" t="s">
        <v>2847</v>
      </c>
      <c r="B1548" s="7" t="s">
        <v>2847</v>
      </c>
      <c r="C1548" s="7"/>
      <c r="D1548" s="7"/>
      <c r="E1548" s="7"/>
      <c r="G1548" s="5" t="str">
        <f t="shared" si="1"/>
        <v>good rod:</v>
      </c>
      <c r="I1548" s="5" t="s">
        <v>2847</v>
      </c>
    </row>
    <row r="1549" ht="12.75" customHeight="1">
      <c r="A1549" s="5" t="s">
        <v>3144</v>
      </c>
      <c r="B1549" s="7">
        <v>5.0</v>
      </c>
      <c r="C1549" s="7">
        <v>15.0</v>
      </c>
      <c r="D1549" s="7" t="s">
        <v>3804</v>
      </c>
      <c r="E1549" s="7"/>
      <c r="G1549" s="5" t="str">
        <f t="shared" si="1"/>
        <v>5, 15, POLIWAG</v>
      </c>
      <c r="I1549" s="5" t="s">
        <v>3144</v>
      </c>
    </row>
    <row r="1550" ht="12.75" customHeight="1">
      <c r="A1550" s="5" t="s">
        <v>2849</v>
      </c>
      <c r="B1550" s="7">
        <v>5.0</v>
      </c>
      <c r="C1550" s="7">
        <v>15.0</v>
      </c>
      <c r="D1550" s="7" t="s">
        <v>3751</v>
      </c>
      <c r="E1550" s="7"/>
      <c r="G1550" s="5" t="str">
        <f t="shared" si="1"/>
        <v>5, 15, MAGIKARP</v>
      </c>
      <c r="I1550" s="5" t="s">
        <v>2849</v>
      </c>
    </row>
    <row r="1551" ht="12.75" customHeight="1">
      <c r="A1551" s="5" t="s">
        <v>3143</v>
      </c>
      <c r="B1551" s="7">
        <v>5.0</v>
      </c>
      <c r="C1551" s="7">
        <v>15.0</v>
      </c>
      <c r="D1551" s="7" t="s">
        <v>3805</v>
      </c>
      <c r="E1551" s="7"/>
      <c r="G1551" s="5" t="str">
        <f t="shared" si="1"/>
        <v>5, 15, GOLDEEN</v>
      </c>
      <c r="I1551" s="5" t="s">
        <v>3143</v>
      </c>
    </row>
    <row r="1552" ht="12.75" customHeight="1">
      <c r="A1552" s="5" t="s">
        <v>2851</v>
      </c>
      <c r="B1552" s="7" t="s">
        <v>2851</v>
      </c>
      <c r="C1552" s="7"/>
      <c r="D1552" s="7"/>
      <c r="E1552" s="7"/>
      <c r="G1552" s="5" t="str">
        <f t="shared" si="1"/>
        <v>super rod:</v>
      </c>
      <c r="I1552" s="5" t="s">
        <v>2851</v>
      </c>
    </row>
    <row r="1553" ht="12.75" customHeight="1">
      <c r="A1553" s="5" t="s">
        <v>3162</v>
      </c>
      <c r="B1553" s="7">
        <v>15.0</v>
      </c>
      <c r="C1553" s="7">
        <v>25.0</v>
      </c>
      <c r="D1553" s="7" t="s">
        <v>3804</v>
      </c>
      <c r="E1553" s="7"/>
      <c r="G1553" s="5" t="str">
        <f t="shared" si="1"/>
        <v>15, 25, POLIWAG</v>
      </c>
      <c r="I1553" s="5" t="s">
        <v>3162</v>
      </c>
    </row>
    <row r="1554" ht="12.75" customHeight="1">
      <c r="A1554" s="5" t="s">
        <v>3163</v>
      </c>
      <c r="B1554" s="7">
        <v>20.0</v>
      </c>
      <c r="C1554" s="7">
        <v>30.0</v>
      </c>
      <c r="D1554" s="7" t="s">
        <v>3806</v>
      </c>
      <c r="E1554" s="7"/>
      <c r="G1554" s="5" t="str">
        <f t="shared" si="1"/>
        <v>20, 30, POLIWHIRL</v>
      </c>
      <c r="I1554" s="5" t="s">
        <v>3163</v>
      </c>
    </row>
    <row r="1555" ht="12.75" customHeight="1">
      <c r="A1555" s="5" t="s">
        <v>2854</v>
      </c>
      <c r="B1555" s="7">
        <v>15.0</v>
      </c>
      <c r="C1555" s="7">
        <v>25.0</v>
      </c>
      <c r="D1555" s="7" t="s">
        <v>3755</v>
      </c>
      <c r="E1555" s="7"/>
      <c r="G1555" s="5" t="str">
        <f t="shared" si="1"/>
        <v>15, 25, GYARADOS</v>
      </c>
      <c r="I1555" s="5" t="s">
        <v>2854</v>
      </c>
    </row>
    <row r="1556" ht="12.75" customHeight="1">
      <c r="A1556" s="5" t="s">
        <v>3147</v>
      </c>
      <c r="B1556" s="7">
        <v>15.0</v>
      </c>
      <c r="C1556" s="7">
        <v>25.0</v>
      </c>
      <c r="D1556" s="7" t="s">
        <v>3756</v>
      </c>
      <c r="E1556" s="7"/>
      <c r="G1556" s="5" t="str">
        <f t="shared" si="1"/>
        <v>15, 25, SLOWPOKE</v>
      </c>
      <c r="I1556" s="5" t="s">
        <v>3147</v>
      </c>
    </row>
    <row r="1557" ht="12.75" customHeight="1">
      <c r="A1557" s="5" t="s">
        <v>2856</v>
      </c>
      <c r="B1557" s="7">
        <v>25.0</v>
      </c>
      <c r="C1557" s="7">
        <v>35.0</v>
      </c>
      <c r="D1557" s="7" t="s">
        <v>3756</v>
      </c>
      <c r="E1557" s="7"/>
      <c r="G1557" s="5" t="str">
        <f t="shared" si="1"/>
        <v>25, 35, SLOWPOKE</v>
      </c>
      <c r="I1557" s="5" t="s">
        <v>2856</v>
      </c>
    </row>
    <row r="1558" ht="12.75" customHeight="1">
      <c r="A1558" s="5" t="s">
        <v>2539</v>
      </c>
      <c r="B1558" s="7" t="s">
        <v>2539</v>
      </c>
      <c r="C1558" s="7"/>
      <c r="D1558" s="7"/>
      <c r="E1558" s="7"/>
      <c r="G1558" s="5" t="str">
        <f t="shared" si="1"/>
        <v>NEW ROUTE</v>
      </c>
      <c r="I1558" s="5" t="s">
        <v>2539</v>
      </c>
    </row>
    <row r="1559" ht="12.75" customHeight="1">
      <c r="A1559" s="5" t="s">
        <v>2162</v>
      </c>
      <c r="B1559" s="7" t="s">
        <v>2162</v>
      </c>
      <c r="C1559" s="7"/>
      <c r="D1559" s="7"/>
      <c r="E1559" s="7"/>
      <c r="G1559" s="5" t="str">
        <f t="shared" si="1"/>
        <v>Three Island Bond Bridge</v>
      </c>
      <c r="I1559" s="5" t="s">
        <v>2162</v>
      </c>
    </row>
    <row r="1560" ht="12.75" customHeight="1">
      <c r="A1560" s="5">
        <v>0.2</v>
      </c>
      <c r="B1560" s="5">
        <v>0.2</v>
      </c>
      <c r="C1560" s="7"/>
      <c r="D1560" s="7"/>
      <c r="E1560" s="7"/>
      <c r="G1560" s="5">
        <f t="shared" si="1"/>
        <v>0.2</v>
      </c>
      <c r="I1560" s="5">
        <v>0.2</v>
      </c>
    </row>
    <row r="1561" ht="12.75" customHeight="1">
      <c r="A1561" s="5" t="s">
        <v>846</v>
      </c>
      <c r="B1561" s="7">
        <v>32.0</v>
      </c>
      <c r="C1561" s="7">
        <v>32.0</v>
      </c>
      <c r="D1561" s="7" t="s">
        <v>3890</v>
      </c>
      <c r="E1561" s="7"/>
      <c r="G1561" s="5" t="str">
        <f t="shared" si="1"/>
        <v>32, 32, PIDGEY</v>
      </c>
      <c r="I1561" s="5" t="s">
        <v>846</v>
      </c>
    </row>
    <row r="1562" ht="12.75" customHeight="1">
      <c r="A1562" s="5" t="s">
        <v>3245</v>
      </c>
      <c r="B1562" s="7">
        <v>31.0</v>
      </c>
      <c r="C1562" s="7">
        <v>31.0</v>
      </c>
      <c r="D1562" s="7" t="s">
        <v>3891</v>
      </c>
      <c r="E1562" s="7"/>
      <c r="G1562" s="5" t="str">
        <f t="shared" si="1"/>
        <v>31, 31, BELLSPROUT</v>
      </c>
      <c r="I1562" s="5" t="s">
        <v>3245</v>
      </c>
    </row>
    <row r="1563" ht="12.75" customHeight="1">
      <c r="A1563" s="5">
        <v>0.1</v>
      </c>
      <c r="B1563" s="5">
        <v>0.1</v>
      </c>
      <c r="C1563" s="7"/>
      <c r="D1563" s="7"/>
      <c r="E1563" s="7"/>
      <c r="G1563" s="5">
        <f t="shared" si="1"/>
        <v>0.1</v>
      </c>
      <c r="I1563" s="5">
        <v>0.1</v>
      </c>
    </row>
    <row r="1564" ht="12.75" customHeight="1">
      <c r="A1564" s="5" t="s">
        <v>3246</v>
      </c>
      <c r="B1564" s="7">
        <v>29.0</v>
      </c>
      <c r="C1564" s="7">
        <v>29.0</v>
      </c>
      <c r="D1564" s="7" t="s">
        <v>3890</v>
      </c>
      <c r="E1564" s="7"/>
      <c r="G1564" s="5" t="str">
        <f t="shared" si="1"/>
        <v>29, 29, PIDGEY</v>
      </c>
      <c r="I1564" s="5" t="s">
        <v>3246</v>
      </c>
    </row>
    <row r="1565" ht="12.75" customHeight="1">
      <c r="A1565" s="5" t="s">
        <v>3240</v>
      </c>
      <c r="B1565" s="7">
        <v>36.0</v>
      </c>
      <c r="C1565" s="7">
        <v>36.0</v>
      </c>
      <c r="D1565" s="7" t="s">
        <v>3889</v>
      </c>
      <c r="E1565" s="7"/>
      <c r="G1565" s="5" t="str">
        <f t="shared" si="1"/>
        <v>36, 36, WEEPINBELL</v>
      </c>
      <c r="I1565" s="5" t="s">
        <v>3240</v>
      </c>
    </row>
    <row r="1566" ht="12.75" customHeight="1">
      <c r="A1566" s="5" t="s">
        <v>3247</v>
      </c>
      <c r="B1566" s="7">
        <v>34.0</v>
      </c>
      <c r="C1566" s="7">
        <v>34.0</v>
      </c>
      <c r="D1566" s="7" t="s">
        <v>3888</v>
      </c>
      <c r="E1566" s="7"/>
      <c r="G1566" s="5" t="str">
        <f t="shared" si="1"/>
        <v>34, 34, PIDGEOTTO</v>
      </c>
      <c r="I1566" s="5" t="s">
        <v>3247</v>
      </c>
    </row>
    <row r="1567" ht="12.75" customHeight="1">
      <c r="A1567" s="5" t="s">
        <v>3225</v>
      </c>
      <c r="B1567" s="7">
        <v>31.0</v>
      </c>
      <c r="C1567" s="7">
        <v>31.0</v>
      </c>
      <c r="D1567" s="7" t="s">
        <v>3903</v>
      </c>
      <c r="E1567" s="7"/>
      <c r="G1567" s="5" t="str">
        <f t="shared" si="1"/>
        <v>31, 31, MEOWTH</v>
      </c>
      <c r="I1567" s="5" t="s">
        <v>3225</v>
      </c>
    </row>
    <row r="1568" ht="12.75" customHeight="1">
      <c r="A1568" s="5">
        <v>0.05</v>
      </c>
      <c r="B1568" s="5">
        <v>0.05</v>
      </c>
      <c r="C1568" s="7"/>
      <c r="D1568" s="7"/>
      <c r="E1568" s="7"/>
      <c r="G1568" s="5">
        <f t="shared" si="1"/>
        <v>0.05</v>
      </c>
      <c r="I1568" s="5">
        <v>0.05</v>
      </c>
    </row>
    <row r="1569" ht="12.75" customHeight="1">
      <c r="A1569" s="5" t="s">
        <v>3131</v>
      </c>
      <c r="B1569" s="7">
        <v>34.0</v>
      </c>
      <c r="C1569" s="7">
        <v>34.0</v>
      </c>
      <c r="D1569" s="7" t="s">
        <v>3892</v>
      </c>
      <c r="E1569" s="7"/>
      <c r="G1569" s="5" t="str">
        <f t="shared" si="1"/>
        <v>34, 34, VENONAT</v>
      </c>
      <c r="I1569" s="5" t="s">
        <v>3131</v>
      </c>
    </row>
    <row r="1570" ht="12.75" customHeight="1">
      <c r="A1570" s="5" t="s">
        <v>3134</v>
      </c>
      <c r="B1570" s="7">
        <v>31.0</v>
      </c>
      <c r="C1570" s="7">
        <v>31.0</v>
      </c>
      <c r="D1570" s="7" t="s">
        <v>3756</v>
      </c>
      <c r="E1570" s="7"/>
      <c r="G1570" s="5" t="str">
        <f t="shared" si="1"/>
        <v>31, 31, SLOWPOKE</v>
      </c>
      <c r="I1570" s="5" t="s">
        <v>3134</v>
      </c>
    </row>
    <row r="1571" ht="12.75" customHeight="1">
      <c r="A1571" s="5">
        <v>0.04</v>
      </c>
      <c r="B1571" s="5">
        <v>0.04</v>
      </c>
      <c r="C1571" s="7"/>
      <c r="D1571" s="7"/>
      <c r="E1571" s="7"/>
      <c r="G1571" s="5">
        <f t="shared" si="1"/>
        <v>0.04</v>
      </c>
      <c r="I1571" s="5">
        <v>0.04</v>
      </c>
    </row>
    <row r="1572" ht="12.75" customHeight="1">
      <c r="A1572" s="5" t="s">
        <v>720</v>
      </c>
      <c r="B1572" s="7">
        <v>37.0</v>
      </c>
      <c r="C1572" s="7">
        <v>37.0</v>
      </c>
      <c r="D1572" s="7" t="s">
        <v>3888</v>
      </c>
      <c r="E1572" s="7"/>
      <c r="G1572" s="5" t="str">
        <f t="shared" si="1"/>
        <v>37, 37, PIDGEOTTO</v>
      </c>
      <c r="I1572" s="5" t="s">
        <v>720</v>
      </c>
    </row>
    <row r="1573" ht="12.75" customHeight="1">
      <c r="A1573" s="5" t="s">
        <v>3229</v>
      </c>
      <c r="B1573" s="7">
        <v>37.0</v>
      </c>
      <c r="C1573" s="7">
        <v>37.0</v>
      </c>
      <c r="D1573" s="7" t="s">
        <v>3904</v>
      </c>
      <c r="E1573" s="7"/>
      <c r="G1573" s="5" t="str">
        <f t="shared" si="1"/>
        <v>37, 37, PERSIAN</v>
      </c>
      <c r="I1573" s="5" t="s">
        <v>3229</v>
      </c>
    </row>
    <row r="1574" ht="12.75" customHeight="1">
      <c r="A1574" s="5">
        <v>0.01</v>
      </c>
      <c r="B1574" s="5">
        <v>0.01</v>
      </c>
      <c r="C1574" s="7"/>
      <c r="D1574" s="7"/>
      <c r="E1574" s="7"/>
      <c r="G1574" s="5">
        <f t="shared" si="1"/>
        <v>0.01</v>
      </c>
      <c r="I1574" s="5">
        <v>0.01</v>
      </c>
    </row>
    <row r="1575" ht="12.75" customHeight="1">
      <c r="A1575" s="5" t="s">
        <v>3248</v>
      </c>
      <c r="B1575" s="7">
        <v>40.0</v>
      </c>
      <c r="C1575" s="7">
        <v>40.0</v>
      </c>
      <c r="D1575" s="7" t="s">
        <v>3888</v>
      </c>
      <c r="E1575" s="7"/>
      <c r="G1575" s="5" t="str">
        <f t="shared" si="1"/>
        <v>40, 40, PIDGEOTTO</v>
      </c>
      <c r="I1575" s="5" t="s">
        <v>3248</v>
      </c>
    </row>
    <row r="1576" ht="12.75" customHeight="1">
      <c r="A1576" s="5" t="s">
        <v>3231</v>
      </c>
      <c r="B1576" s="7">
        <v>40.0</v>
      </c>
      <c r="C1576" s="7">
        <v>40.0</v>
      </c>
      <c r="D1576" s="7" t="s">
        <v>3904</v>
      </c>
      <c r="E1576" s="7"/>
      <c r="G1576" s="5" t="str">
        <f t="shared" si="1"/>
        <v>40, 40, PERSIAN</v>
      </c>
      <c r="I1576" s="5" t="s">
        <v>3231</v>
      </c>
    </row>
    <row r="1577" ht="12.75" customHeight="1">
      <c r="A1577" s="5" t="s">
        <v>3173</v>
      </c>
      <c r="B1577" s="7">
        <v>2.0</v>
      </c>
      <c r="C1577" s="7">
        <v>5.0</v>
      </c>
      <c r="D1577" s="7">
        <v>20.0</v>
      </c>
      <c r="E1577" s="7" t="s">
        <v>3748</v>
      </c>
      <c r="G1577" s="5" t="str">
        <f t="shared" si="1"/>
        <v>2, 5, 20, TENTACOOL</v>
      </c>
      <c r="I1577" s="5" t="s">
        <v>3173</v>
      </c>
    </row>
    <row r="1578" ht="12.75" customHeight="1">
      <c r="A1578" s="5" t="s">
        <v>3174</v>
      </c>
      <c r="B1578" s="7">
        <v>20.0</v>
      </c>
      <c r="C1578" s="7">
        <v>35.0</v>
      </c>
      <c r="D1578" s="7" t="s">
        <v>3748</v>
      </c>
      <c r="E1578" s="7"/>
      <c r="G1578" s="5" t="str">
        <f t="shared" si="1"/>
        <v>20, 35, TENTACOOL</v>
      </c>
      <c r="I1578" s="5" t="s">
        <v>3174</v>
      </c>
    </row>
    <row r="1579" ht="12.75" customHeight="1">
      <c r="A1579" s="5" t="s">
        <v>2845</v>
      </c>
      <c r="B1579" s="7">
        <v>35.0</v>
      </c>
      <c r="C1579" s="7">
        <v>40.0</v>
      </c>
      <c r="D1579" s="7" t="s">
        <v>3748</v>
      </c>
      <c r="E1579" s="7"/>
      <c r="G1579" s="5" t="str">
        <f t="shared" si="1"/>
        <v>35, 40, TENTACOOL</v>
      </c>
      <c r="I1579" s="5" t="s">
        <v>2845</v>
      </c>
    </row>
    <row r="1580" ht="12.75" customHeight="1">
      <c r="A1580" s="5" t="s">
        <v>3232</v>
      </c>
      <c r="B1580" s="7">
        <v>35.0</v>
      </c>
      <c r="C1580" s="7">
        <v>40.0</v>
      </c>
      <c r="D1580" s="7" t="s">
        <v>3898</v>
      </c>
      <c r="E1580" s="7"/>
      <c r="G1580" s="5" t="str">
        <f t="shared" si="1"/>
        <v>35, 40, TENTACRUEL</v>
      </c>
      <c r="I1580" s="5" t="s">
        <v>3232</v>
      </c>
    </row>
    <row r="1581" ht="12.75" customHeight="1">
      <c r="A1581" s="5" t="s">
        <v>3232</v>
      </c>
      <c r="B1581" s="7">
        <v>35.0</v>
      </c>
      <c r="C1581" s="7">
        <v>40.0</v>
      </c>
      <c r="D1581" s="7" t="s">
        <v>3898</v>
      </c>
      <c r="E1581" s="7"/>
      <c r="G1581" s="5" t="str">
        <f t="shared" si="1"/>
        <v>35, 40, TENTACRUEL</v>
      </c>
      <c r="I1581" s="5" t="s">
        <v>3232</v>
      </c>
    </row>
    <row r="1582" ht="12.75" customHeight="1">
      <c r="A1582" s="5" t="s">
        <v>2926</v>
      </c>
      <c r="B1582" s="7">
        <v>20.0</v>
      </c>
      <c r="C1582" s="7" t="s">
        <v>3749</v>
      </c>
      <c r="D1582" s="7"/>
      <c r="E1582" s="7"/>
      <c r="G1582" s="5" t="str">
        <f t="shared" si="1"/>
        <v>old rod:</v>
      </c>
      <c r="I1582" s="5" t="s">
        <v>3750</v>
      </c>
    </row>
    <row r="1583" ht="12.75" customHeight="1">
      <c r="A1583" s="5" t="s">
        <v>417</v>
      </c>
      <c r="B1583" s="7">
        <v>5.0</v>
      </c>
      <c r="C1583" s="7">
        <v>5.0</v>
      </c>
      <c r="D1583" s="7" t="s">
        <v>3751</v>
      </c>
      <c r="E1583" s="7"/>
      <c r="G1583" s="5" t="str">
        <f t="shared" si="1"/>
        <v>5, 5, MAGIKARP</v>
      </c>
      <c r="I1583" s="5" t="s">
        <v>417</v>
      </c>
    </row>
    <row r="1584" ht="12.75" customHeight="1">
      <c r="A1584" s="5" t="s">
        <v>417</v>
      </c>
      <c r="B1584" s="7">
        <v>5.0</v>
      </c>
      <c r="C1584" s="7">
        <v>5.0</v>
      </c>
      <c r="D1584" s="7" t="s">
        <v>3751</v>
      </c>
      <c r="E1584" s="7"/>
      <c r="G1584" s="5" t="str">
        <f t="shared" si="1"/>
        <v>5, 5, MAGIKARP</v>
      </c>
      <c r="I1584" s="5" t="s">
        <v>417</v>
      </c>
    </row>
    <row r="1585" ht="12.75" customHeight="1">
      <c r="A1585" s="5" t="s">
        <v>2847</v>
      </c>
      <c r="B1585" s="7" t="s">
        <v>2847</v>
      </c>
      <c r="C1585" s="7"/>
      <c r="D1585" s="7"/>
      <c r="E1585" s="7"/>
      <c r="G1585" s="5" t="str">
        <f t="shared" si="1"/>
        <v>good rod:</v>
      </c>
      <c r="I1585" s="5" t="s">
        <v>2847</v>
      </c>
    </row>
    <row r="1586" ht="12.75" customHeight="1">
      <c r="A1586" s="5" t="s">
        <v>2848</v>
      </c>
      <c r="B1586" s="7">
        <v>5.0</v>
      </c>
      <c r="C1586" s="7">
        <v>15.0</v>
      </c>
      <c r="D1586" s="7" t="s">
        <v>3752</v>
      </c>
      <c r="E1586" s="7"/>
      <c r="G1586" s="5" t="str">
        <f t="shared" si="1"/>
        <v>5, 15, KRABBY</v>
      </c>
      <c r="I1586" s="5" t="s">
        <v>2848</v>
      </c>
    </row>
    <row r="1587" ht="12.75" customHeight="1">
      <c r="A1587" s="5" t="s">
        <v>2849</v>
      </c>
      <c r="B1587" s="7">
        <v>5.0</v>
      </c>
      <c r="C1587" s="7">
        <v>15.0</v>
      </c>
      <c r="D1587" s="7" t="s">
        <v>3751</v>
      </c>
      <c r="E1587" s="7"/>
      <c r="G1587" s="5" t="str">
        <f t="shared" si="1"/>
        <v>5, 15, MAGIKARP</v>
      </c>
      <c r="I1587" s="5" t="s">
        <v>2849</v>
      </c>
    </row>
    <row r="1588" ht="12.75" customHeight="1">
      <c r="A1588" s="5" t="s">
        <v>2848</v>
      </c>
      <c r="B1588" s="7">
        <v>5.0</v>
      </c>
      <c r="C1588" s="7">
        <v>15.0</v>
      </c>
      <c r="D1588" s="7" t="s">
        <v>3752</v>
      </c>
      <c r="E1588" s="7"/>
      <c r="G1588" s="5" t="str">
        <f t="shared" si="1"/>
        <v>5, 15, KRABBY</v>
      </c>
      <c r="I1588" s="5" t="s">
        <v>2848</v>
      </c>
    </row>
    <row r="1589" ht="12.75" customHeight="1">
      <c r="A1589" s="5" t="s">
        <v>2851</v>
      </c>
      <c r="B1589" s="7" t="s">
        <v>2851</v>
      </c>
      <c r="C1589" s="7"/>
      <c r="D1589" s="7"/>
      <c r="E1589" s="7"/>
      <c r="G1589" s="5" t="str">
        <f t="shared" si="1"/>
        <v>super rod:</v>
      </c>
      <c r="I1589" s="5" t="s">
        <v>2851</v>
      </c>
    </row>
    <row r="1590" ht="12.75" customHeight="1">
      <c r="A1590" s="5" t="s">
        <v>2852</v>
      </c>
      <c r="B1590" s="7">
        <v>15.0</v>
      </c>
      <c r="C1590" s="7">
        <v>25.0</v>
      </c>
      <c r="D1590" s="7" t="s">
        <v>3752</v>
      </c>
      <c r="E1590" s="7"/>
      <c r="G1590" s="5" t="str">
        <f t="shared" si="1"/>
        <v>15, 25, KRABBY</v>
      </c>
      <c r="I1590" s="5" t="s">
        <v>2852</v>
      </c>
    </row>
    <row r="1591" ht="12.75" customHeight="1">
      <c r="A1591" s="5" t="s">
        <v>2852</v>
      </c>
      <c r="B1591" s="7">
        <v>15.0</v>
      </c>
      <c r="C1591" s="7">
        <v>25.0</v>
      </c>
      <c r="D1591" s="7" t="s">
        <v>3752</v>
      </c>
      <c r="E1591" s="7"/>
      <c r="G1591" s="5" t="str">
        <f t="shared" si="1"/>
        <v>15, 25, KRABBY</v>
      </c>
      <c r="I1591" s="5" t="s">
        <v>2852</v>
      </c>
    </row>
    <row r="1592" ht="12.75" customHeight="1">
      <c r="A1592" s="5" t="s">
        <v>2854</v>
      </c>
      <c r="B1592" s="7">
        <v>15.0</v>
      </c>
      <c r="C1592" s="7">
        <v>25.0</v>
      </c>
      <c r="D1592" s="7" t="s">
        <v>3755</v>
      </c>
      <c r="E1592" s="7"/>
      <c r="G1592" s="5" t="str">
        <f t="shared" si="1"/>
        <v>15, 25, GYARADOS</v>
      </c>
      <c r="I1592" s="5" t="s">
        <v>2854</v>
      </c>
    </row>
    <row r="1593" ht="12.75" customHeight="1">
      <c r="A1593" s="5" t="s">
        <v>3178</v>
      </c>
      <c r="B1593" s="7">
        <v>25.0</v>
      </c>
      <c r="C1593" s="7">
        <v>35.0</v>
      </c>
      <c r="D1593" s="7" t="s">
        <v>3860</v>
      </c>
      <c r="E1593" s="7"/>
      <c r="G1593" s="5" t="str">
        <f t="shared" si="1"/>
        <v>25, 35, KINGLER</v>
      </c>
      <c r="I1593" s="5" t="s">
        <v>3178</v>
      </c>
    </row>
    <row r="1594" ht="12.75" customHeight="1">
      <c r="A1594" s="5" t="s">
        <v>2856</v>
      </c>
      <c r="B1594" s="7">
        <v>25.0</v>
      </c>
      <c r="C1594" s="7">
        <v>35.0</v>
      </c>
      <c r="D1594" s="7" t="s">
        <v>3756</v>
      </c>
      <c r="E1594" s="7"/>
      <c r="G1594" s="5" t="str">
        <f t="shared" si="1"/>
        <v>25, 35, SLOWPOKE</v>
      </c>
      <c r="I1594" s="5" t="s">
        <v>2856</v>
      </c>
    </row>
    <row r="1595" ht="12.75" customHeight="1">
      <c r="A1595" s="5" t="s">
        <v>2539</v>
      </c>
      <c r="B1595" s="7" t="s">
        <v>2539</v>
      </c>
      <c r="C1595" s="7"/>
      <c r="D1595" s="7"/>
      <c r="E1595" s="7"/>
      <c r="G1595" s="5" t="str">
        <f t="shared" si="1"/>
        <v>NEW ROUTE</v>
      </c>
      <c r="I1595" s="5" t="s">
        <v>2539</v>
      </c>
    </row>
    <row r="1596" ht="12.75" customHeight="1">
      <c r="A1596" s="5" t="s">
        <v>2164</v>
      </c>
      <c r="B1596" s="7" t="s">
        <v>2164</v>
      </c>
      <c r="C1596" s="7"/>
      <c r="D1596" s="7"/>
      <c r="E1596" s="7"/>
      <c r="G1596" s="5" t="str">
        <f t="shared" si="1"/>
        <v>Three Island Port</v>
      </c>
      <c r="I1596" s="5" t="s">
        <v>2164</v>
      </c>
    </row>
    <row r="1597" ht="12.75" customHeight="1">
      <c r="A1597" s="5">
        <v>0.2</v>
      </c>
      <c r="B1597" s="5">
        <v>0.2</v>
      </c>
      <c r="C1597" s="7"/>
      <c r="D1597" s="7"/>
      <c r="E1597" s="7"/>
      <c r="G1597" s="5">
        <f t="shared" si="1"/>
        <v>0.2</v>
      </c>
      <c r="I1597" s="5">
        <v>0.2</v>
      </c>
    </row>
    <row r="1598" ht="12.75" customHeight="1">
      <c r="A1598" s="5" t="s">
        <v>853</v>
      </c>
      <c r="B1598" s="7">
        <v>15.0</v>
      </c>
      <c r="C1598" s="7">
        <v>15.0</v>
      </c>
      <c r="D1598" s="7" t="s">
        <v>3905</v>
      </c>
      <c r="E1598" s="7"/>
      <c r="G1598" s="5" t="str">
        <f t="shared" si="1"/>
        <v>15, 15, DUNSPARCE</v>
      </c>
      <c r="I1598" s="5" t="s">
        <v>853</v>
      </c>
    </row>
    <row r="1599" ht="12.75" customHeight="1">
      <c r="A1599" s="5" t="s">
        <v>853</v>
      </c>
      <c r="B1599" s="7">
        <v>15.0</v>
      </c>
      <c r="C1599" s="7">
        <v>15.0</v>
      </c>
      <c r="D1599" s="7" t="s">
        <v>3905</v>
      </c>
      <c r="E1599" s="7"/>
      <c r="G1599" s="5" t="str">
        <f t="shared" si="1"/>
        <v>15, 15, DUNSPARCE</v>
      </c>
      <c r="I1599" s="5" t="s">
        <v>853</v>
      </c>
    </row>
    <row r="1600" ht="12.75" customHeight="1">
      <c r="A1600" s="5">
        <v>0.1</v>
      </c>
      <c r="B1600" s="5">
        <v>0.1</v>
      </c>
      <c r="C1600" s="7"/>
      <c r="D1600" s="7"/>
      <c r="E1600" s="7"/>
      <c r="G1600" s="5">
        <f t="shared" si="1"/>
        <v>0.1</v>
      </c>
      <c r="I1600" s="5">
        <v>0.1</v>
      </c>
    </row>
    <row r="1601" ht="12.75" customHeight="1">
      <c r="A1601" s="5" t="s">
        <v>3250</v>
      </c>
      <c r="B1601" s="7">
        <v>10.0</v>
      </c>
      <c r="C1601" s="7">
        <v>10.0</v>
      </c>
      <c r="D1601" s="7" t="s">
        <v>3905</v>
      </c>
      <c r="E1601" s="7"/>
      <c r="G1601" s="5" t="str">
        <f t="shared" si="1"/>
        <v>10, 10, DUNSPARCE</v>
      </c>
      <c r="I1601" s="5" t="s">
        <v>3250</v>
      </c>
    </row>
    <row r="1602" ht="12.75" customHeight="1">
      <c r="A1602" s="5" t="s">
        <v>3250</v>
      </c>
      <c r="B1602" s="7">
        <v>10.0</v>
      </c>
      <c r="C1602" s="7">
        <v>10.0</v>
      </c>
      <c r="D1602" s="7" t="s">
        <v>3905</v>
      </c>
      <c r="E1602" s="7"/>
      <c r="G1602" s="5" t="str">
        <f t="shared" si="1"/>
        <v>10, 10, DUNSPARCE</v>
      </c>
      <c r="I1602" s="5" t="s">
        <v>3250</v>
      </c>
    </row>
    <row r="1603" ht="12.75" customHeight="1">
      <c r="A1603" s="5" t="s">
        <v>3251</v>
      </c>
      <c r="B1603" s="7">
        <v>20.0</v>
      </c>
      <c r="C1603" s="7">
        <v>20.0</v>
      </c>
      <c r="D1603" s="7" t="s">
        <v>3905</v>
      </c>
      <c r="E1603" s="7"/>
      <c r="G1603" s="5" t="str">
        <f t="shared" si="1"/>
        <v>20, 20, DUNSPARCE</v>
      </c>
      <c r="I1603" s="5" t="s">
        <v>3251</v>
      </c>
    </row>
    <row r="1604" ht="12.75" customHeight="1">
      <c r="A1604" s="5" t="s">
        <v>3251</v>
      </c>
      <c r="B1604" s="7">
        <v>20.0</v>
      </c>
      <c r="C1604" s="7">
        <v>20.0</v>
      </c>
      <c r="D1604" s="7" t="s">
        <v>3905</v>
      </c>
      <c r="E1604" s="7"/>
      <c r="G1604" s="5" t="str">
        <f t="shared" si="1"/>
        <v>20, 20, DUNSPARCE</v>
      </c>
      <c r="I1604" s="5" t="s">
        <v>3251</v>
      </c>
    </row>
    <row r="1605" ht="12.75" customHeight="1">
      <c r="A1605" s="5">
        <v>0.05</v>
      </c>
      <c r="B1605" s="5">
        <v>0.05</v>
      </c>
      <c r="C1605" s="7"/>
      <c r="D1605" s="7"/>
      <c r="E1605" s="7"/>
      <c r="G1605" s="5">
        <f t="shared" si="1"/>
        <v>0.05</v>
      </c>
      <c r="I1605" s="5">
        <v>0.05</v>
      </c>
    </row>
    <row r="1606" ht="12.75" customHeight="1">
      <c r="A1606" s="5" t="s">
        <v>3252</v>
      </c>
      <c r="B1606" s="7">
        <v>25.0</v>
      </c>
      <c r="C1606" s="7">
        <v>25.0</v>
      </c>
      <c r="D1606" s="7" t="s">
        <v>3905</v>
      </c>
      <c r="E1606" s="7"/>
      <c r="G1606" s="5" t="str">
        <f t="shared" si="1"/>
        <v>25, 25, DUNSPARCE</v>
      </c>
      <c r="I1606" s="5" t="s">
        <v>3252</v>
      </c>
    </row>
    <row r="1607" ht="12.75" customHeight="1">
      <c r="A1607" s="5" t="s">
        <v>3253</v>
      </c>
      <c r="B1607" s="7">
        <v>30.0</v>
      </c>
      <c r="C1607" s="7">
        <v>30.0</v>
      </c>
      <c r="D1607" s="7" t="s">
        <v>3905</v>
      </c>
      <c r="E1607" s="7"/>
      <c r="G1607" s="5" t="str">
        <f t="shared" si="1"/>
        <v>30, 30, DUNSPARCE</v>
      </c>
      <c r="I1607" s="5" t="s">
        <v>3253</v>
      </c>
    </row>
    <row r="1608" ht="12.75" customHeight="1">
      <c r="A1608" s="5">
        <v>0.04</v>
      </c>
      <c r="B1608" s="5">
        <v>0.04</v>
      </c>
      <c r="C1608" s="7"/>
      <c r="D1608" s="7"/>
      <c r="E1608" s="7"/>
      <c r="G1608" s="5">
        <f t="shared" si="1"/>
        <v>0.04</v>
      </c>
      <c r="I1608" s="5">
        <v>0.04</v>
      </c>
    </row>
    <row r="1609" ht="12.75" customHeight="1">
      <c r="A1609" s="5" t="s">
        <v>3252</v>
      </c>
      <c r="B1609" s="7">
        <v>25.0</v>
      </c>
      <c r="C1609" s="7">
        <v>25.0</v>
      </c>
      <c r="D1609" s="7" t="s">
        <v>3905</v>
      </c>
      <c r="E1609" s="7"/>
      <c r="G1609" s="5" t="str">
        <f t="shared" si="1"/>
        <v>25, 25, DUNSPARCE</v>
      </c>
      <c r="I1609" s="5" t="s">
        <v>3252</v>
      </c>
    </row>
    <row r="1610" ht="12.75" customHeight="1">
      <c r="A1610" s="5" t="s">
        <v>3253</v>
      </c>
      <c r="B1610" s="7">
        <v>30.0</v>
      </c>
      <c r="C1610" s="7">
        <v>30.0</v>
      </c>
      <c r="D1610" s="7" t="s">
        <v>3905</v>
      </c>
      <c r="E1610" s="7"/>
      <c r="G1610" s="5" t="str">
        <f t="shared" si="1"/>
        <v>30, 30, DUNSPARCE</v>
      </c>
      <c r="I1610" s="5" t="s">
        <v>3253</v>
      </c>
    </row>
    <row r="1611" ht="12.75" customHeight="1">
      <c r="A1611" s="5">
        <v>0.01</v>
      </c>
      <c r="B1611" s="5">
        <v>0.01</v>
      </c>
      <c r="C1611" s="7"/>
      <c r="D1611" s="7"/>
      <c r="E1611" s="7"/>
      <c r="G1611" s="5">
        <f t="shared" si="1"/>
        <v>0.01</v>
      </c>
      <c r="I1611" s="5">
        <v>0.01</v>
      </c>
    </row>
    <row r="1612" ht="12.75" customHeight="1">
      <c r="A1612" s="5" t="s">
        <v>3254</v>
      </c>
      <c r="B1612" s="7">
        <v>5.0</v>
      </c>
      <c r="C1612" s="7">
        <v>5.0</v>
      </c>
      <c r="D1612" s="7" t="s">
        <v>3905</v>
      </c>
      <c r="E1612" s="7"/>
      <c r="G1612" s="5" t="str">
        <f t="shared" si="1"/>
        <v>5, 5, DUNSPARCE</v>
      </c>
      <c r="I1612" s="5" t="s">
        <v>3254</v>
      </c>
    </row>
    <row r="1613" ht="12.75" customHeight="1">
      <c r="A1613" s="5" t="s">
        <v>3722</v>
      </c>
      <c r="B1613" s="7">
        <v>35.0</v>
      </c>
      <c r="C1613" s="7">
        <v>35.0</v>
      </c>
      <c r="D1613" s="7" t="s">
        <v>3905</v>
      </c>
      <c r="E1613" s="7"/>
      <c r="G1613" s="5" t="str">
        <f t="shared" si="1"/>
        <v>35, 35, DUNSPARCE</v>
      </c>
      <c r="I1613" s="5" t="s">
        <v>3722</v>
      </c>
    </row>
    <row r="1614" ht="12.75" customHeight="1">
      <c r="A1614" s="5" t="s">
        <v>2539</v>
      </c>
      <c r="B1614" s="7" t="s">
        <v>2539</v>
      </c>
      <c r="C1614" s="7"/>
      <c r="D1614" s="7"/>
      <c r="E1614" s="7"/>
      <c r="G1614" s="5" t="str">
        <f t="shared" si="1"/>
        <v>NEW ROUTE</v>
      </c>
      <c r="I1614" s="5" t="s">
        <v>2539</v>
      </c>
    </row>
    <row r="1615" ht="12.75" customHeight="1">
      <c r="A1615" s="5" t="s">
        <v>2174</v>
      </c>
      <c r="B1615" s="7" t="s">
        <v>2174</v>
      </c>
      <c r="C1615" s="7"/>
      <c r="D1615" s="7"/>
      <c r="E1615" s="7"/>
      <c r="G1615" s="5" t="str">
        <f t="shared" si="1"/>
        <v>Five Island Resort Gorgeous</v>
      </c>
      <c r="I1615" s="5" t="s">
        <v>2174</v>
      </c>
    </row>
    <row r="1616" ht="12.75" customHeight="1">
      <c r="A1616" s="5" t="s">
        <v>3257</v>
      </c>
      <c r="B1616" s="7">
        <v>2.0</v>
      </c>
      <c r="C1616" s="7">
        <v>5.0</v>
      </c>
      <c r="D1616" s="7">
        <v>35.0</v>
      </c>
      <c r="E1616" s="7" t="s">
        <v>3748</v>
      </c>
      <c r="G1616" s="5" t="str">
        <f t="shared" si="1"/>
        <v>2, 5, 35, TENTACOOL</v>
      </c>
      <c r="I1616" s="5" t="s">
        <v>3257</v>
      </c>
    </row>
    <row r="1617" ht="12.75" customHeight="1">
      <c r="A1617" s="5" t="s">
        <v>3258</v>
      </c>
      <c r="B1617" s="7">
        <v>5.0</v>
      </c>
      <c r="C1617" s="7">
        <v>15.0</v>
      </c>
      <c r="D1617" s="7" t="s">
        <v>3906</v>
      </c>
      <c r="E1617" s="7"/>
      <c r="G1617" s="5" t="str">
        <f t="shared" si="1"/>
        <v>5, 15, HOPPIP</v>
      </c>
      <c r="I1617" s="5" t="s">
        <v>3258</v>
      </c>
    </row>
    <row r="1618" ht="12.75" customHeight="1">
      <c r="A1618" s="5" t="s">
        <v>2845</v>
      </c>
      <c r="B1618" s="7">
        <v>35.0</v>
      </c>
      <c r="C1618" s="7">
        <v>40.0</v>
      </c>
      <c r="D1618" s="7" t="s">
        <v>3748</v>
      </c>
      <c r="E1618" s="7"/>
      <c r="G1618" s="5" t="str">
        <f t="shared" si="1"/>
        <v>35, 40, TENTACOOL</v>
      </c>
      <c r="I1618" s="5" t="s">
        <v>2845</v>
      </c>
    </row>
    <row r="1619" ht="12.75" customHeight="1">
      <c r="A1619" s="5" t="s">
        <v>3232</v>
      </c>
      <c r="B1619" s="7">
        <v>35.0</v>
      </c>
      <c r="C1619" s="7">
        <v>40.0</v>
      </c>
      <c r="D1619" s="7" t="s">
        <v>3898</v>
      </c>
      <c r="E1619" s="7"/>
      <c r="G1619" s="5" t="str">
        <f t="shared" si="1"/>
        <v>35, 40, TENTACRUEL</v>
      </c>
      <c r="I1619" s="5" t="s">
        <v>3232</v>
      </c>
    </row>
    <row r="1620" ht="12.75" customHeight="1">
      <c r="A1620" s="5" t="s">
        <v>3232</v>
      </c>
      <c r="B1620" s="7">
        <v>35.0</v>
      </c>
      <c r="C1620" s="7">
        <v>40.0</v>
      </c>
      <c r="D1620" s="7" t="s">
        <v>3898</v>
      </c>
      <c r="E1620" s="7"/>
      <c r="G1620" s="5" t="str">
        <f t="shared" si="1"/>
        <v>35, 40, TENTACRUEL</v>
      </c>
      <c r="I1620" s="5" t="s">
        <v>3232</v>
      </c>
    </row>
    <row r="1621" ht="12.75" customHeight="1">
      <c r="A1621" s="5" t="s">
        <v>2926</v>
      </c>
      <c r="B1621" s="7">
        <v>20.0</v>
      </c>
      <c r="C1621" s="7" t="s">
        <v>3749</v>
      </c>
      <c r="D1621" s="7"/>
      <c r="E1621" s="7"/>
      <c r="G1621" s="5" t="str">
        <f t="shared" si="1"/>
        <v>old rod:</v>
      </c>
      <c r="I1621" s="5" t="s">
        <v>3750</v>
      </c>
    </row>
    <row r="1622" ht="12.75" customHeight="1">
      <c r="A1622" s="5" t="s">
        <v>417</v>
      </c>
      <c r="B1622" s="7">
        <v>5.0</v>
      </c>
      <c r="C1622" s="7">
        <v>5.0</v>
      </c>
      <c r="D1622" s="7" t="s">
        <v>3751</v>
      </c>
      <c r="E1622" s="7"/>
      <c r="G1622" s="5" t="str">
        <f t="shared" si="1"/>
        <v>5, 5, MAGIKARP</v>
      </c>
      <c r="I1622" s="5" t="s">
        <v>417</v>
      </c>
    </row>
    <row r="1623" ht="12.75" customHeight="1">
      <c r="A1623" s="5" t="s">
        <v>417</v>
      </c>
      <c r="B1623" s="7">
        <v>5.0</v>
      </c>
      <c r="C1623" s="7">
        <v>5.0</v>
      </c>
      <c r="D1623" s="7" t="s">
        <v>3751</v>
      </c>
      <c r="E1623" s="7"/>
      <c r="G1623" s="5" t="str">
        <f t="shared" si="1"/>
        <v>5, 5, MAGIKARP</v>
      </c>
      <c r="I1623" s="5" t="s">
        <v>417</v>
      </c>
    </row>
    <row r="1624" ht="12.75" customHeight="1">
      <c r="A1624" s="5" t="s">
        <v>2847</v>
      </c>
      <c r="B1624" s="7" t="s">
        <v>2847</v>
      </c>
      <c r="C1624" s="7"/>
      <c r="D1624" s="7"/>
      <c r="E1624" s="7"/>
      <c r="G1624" s="5" t="str">
        <f t="shared" si="1"/>
        <v>good rod:</v>
      </c>
      <c r="I1624" s="5" t="s">
        <v>2847</v>
      </c>
    </row>
    <row r="1625" ht="12.75" customHeight="1">
      <c r="A1625" s="5" t="s">
        <v>2848</v>
      </c>
      <c r="B1625" s="7">
        <v>5.0</v>
      </c>
      <c r="C1625" s="7">
        <v>15.0</v>
      </c>
      <c r="D1625" s="7" t="s">
        <v>3752</v>
      </c>
      <c r="E1625" s="7"/>
      <c r="G1625" s="5" t="str">
        <f t="shared" si="1"/>
        <v>5, 15, KRABBY</v>
      </c>
      <c r="I1625" s="5" t="s">
        <v>2848</v>
      </c>
    </row>
    <row r="1626" ht="12.75" customHeight="1">
      <c r="A1626" s="5" t="s">
        <v>2849</v>
      </c>
      <c r="B1626" s="7">
        <v>5.0</v>
      </c>
      <c r="C1626" s="7">
        <v>15.0</v>
      </c>
      <c r="D1626" s="7" t="s">
        <v>3751</v>
      </c>
      <c r="E1626" s="7"/>
      <c r="G1626" s="5" t="str">
        <f t="shared" si="1"/>
        <v>5, 15, MAGIKARP</v>
      </c>
      <c r="I1626" s="5" t="s">
        <v>2849</v>
      </c>
    </row>
    <row r="1627" ht="12.75" customHeight="1">
      <c r="A1627" s="5" t="s">
        <v>2848</v>
      </c>
      <c r="B1627" s="7">
        <v>5.0</v>
      </c>
      <c r="C1627" s="7">
        <v>15.0</v>
      </c>
      <c r="D1627" s="7" t="s">
        <v>3752</v>
      </c>
      <c r="E1627" s="7"/>
      <c r="G1627" s="5" t="str">
        <f t="shared" si="1"/>
        <v>5, 15, KRABBY</v>
      </c>
      <c r="I1627" s="5" t="s">
        <v>2848</v>
      </c>
    </row>
    <row r="1628" ht="12.75" customHeight="1">
      <c r="A1628" s="5" t="s">
        <v>2851</v>
      </c>
      <c r="B1628" s="7" t="s">
        <v>2851</v>
      </c>
      <c r="C1628" s="7"/>
      <c r="D1628" s="7"/>
      <c r="E1628" s="7"/>
      <c r="G1628" s="5" t="str">
        <f t="shared" si="1"/>
        <v>super rod:</v>
      </c>
      <c r="I1628" s="5" t="s">
        <v>2851</v>
      </c>
    </row>
    <row r="1629" ht="12.75" customHeight="1">
      <c r="A1629" s="5" t="s">
        <v>2852</v>
      </c>
      <c r="B1629" s="7">
        <v>15.0</v>
      </c>
      <c r="C1629" s="7">
        <v>25.0</v>
      </c>
      <c r="D1629" s="7" t="s">
        <v>3752</v>
      </c>
      <c r="E1629" s="7"/>
      <c r="G1629" s="5" t="str">
        <f t="shared" si="1"/>
        <v>15, 25, KRABBY</v>
      </c>
      <c r="I1629" s="5" t="s">
        <v>2852</v>
      </c>
    </row>
    <row r="1630" ht="12.75" customHeight="1">
      <c r="A1630" s="5" t="s">
        <v>3259</v>
      </c>
      <c r="B1630" s="7">
        <v>15.0</v>
      </c>
      <c r="C1630" s="7">
        <v>25.0</v>
      </c>
      <c r="D1630" s="7" t="s">
        <v>3907</v>
      </c>
      <c r="E1630" s="7"/>
      <c r="G1630" s="5" t="str">
        <f t="shared" si="1"/>
        <v>15, 25, REMORAID</v>
      </c>
      <c r="I1630" s="5" t="s">
        <v>3259</v>
      </c>
    </row>
    <row r="1631" ht="12.75" customHeight="1">
      <c r="A1631" s="5" t="s">
        <v>2854</v>
      </c>
      <c r="B1631" s="7">
        <v>15.0</v>
      </c>
      <c r="C1631" s="7">
        <v>25.0</v>
      </c>
      <c r="D1631" s="7" t="s">
        <v>3755</v>
      </c>
      <c r="E1631" s="7"/>
      <c r="G1631" s="5" t="str">
        <f t="shared" si="1"/>
        <v>15, 25, GYARADOS</v>
      </c>
      <c r="I1631" s="5" t="s">
        <v>2854</v>
      </c>
    </row>
    <row r="1632" ht="12.75" customHeight="1">
      <c r="A1632" s="5" t="s">
        <v>3178</v>
      </c>
      <c r="B1632" s="7">
        <v>25.0</v>
      </c>
      <c r="C1632" s="7">
        <v>35.0</v>
      </c>
      <c r="D1632" s="7" t="s">
        <v>3860</v>
      </c>
      <c r="E1632" s="7"/>
      <c r="G1632" s="5" t="str">
        <f t="shared" si="1"/>
        <v>25, 35, KINGLER</v>
      </c>
      <c r="I1632" s="5" t="s">
        <v>3178</v>
      </c>
    </row>
    <row r="1633" ht="12.75" customHeight="1">
      <c r="A1633" s="5" t="s">
        <v>2856</v>
      </c>
      <c r="B1633" s="7">
        <v>25.0</v>
      </c>
      <c r="C1633" s="7">
        <v>35.0</v>
      </c>
      <c r="D1633" s="7" t="s">
        <v>3756</v>
      </c>
      <c r="E1633" s="7"/>
      <c r="G1633" s="5" t="str">
        <f t="shared" si="1"/>
        <v>25, 35, SLOWPOKE</v>
      </c>
      <c r="I1633" s="5" t="s">
        <v>2856</v>
      </c>
    </row>
    <row r="1634" ht="12.75" customHeight="1">
      <c r="A1634" s="5" t="s">
        <v>2539</v>
      </c>
      <c r="B1634" s="7" t="s">
        <v>2539</v>
      </c>
      <c r="C1634" s="7"/>
      <c r="D1634" s="7"/>
      <c r="E1634" s="7"/>
      <c r="G1634" s="5" t="str">
        <f t="shared" si="1"/>
        <v>NEW ROUTE</v>
      </c>
      <c r="I1634" s="5" t="s">
        <v>2539</v>
      </c>
    </row>
    <row r="1635" ht="12.75" customHeight="1">
      <c r="A1635" s="5" t="s">
        <v>2176</v>
      </c>
      <c r="B1635" s="7" t="s">
        <v>2176</v>
      </c>
      <c r="C1635" s="7"/>
      <c r="D1635" s="7"/>
      <c r="E1635" s="7"/>
      <c r="G1635" s="5" t="str">
        <f t="shared" si="1"/>
        <v>Five Island Water Labyrinth</v>
      </c>
      <c r="I1635" s="5" t="s">
        <v>2176</v>
      </c>
    </row>
    <row r="1636" ht="12.75" customHeight="1">
      <c r="A1636" s="5" t="s">
        <v>3257</v>
      </c>
      <c r="B1636" s="7">
        <v>2.0</v>
      </c>
      <c r="C1636" s="7">
        <v>5.0</v>
      </c>
      <c r="D1636" s="7">
        <v>35.0</v>
      </c>
      <c r="E1636" s="7" t="s">
        <v>3748</v>
      </c>
      <c r="G1636" s="5" t="str">
        <f t="shared" si="1"/>
        <v>2, 5, 35, TENTACOOL</v>
      </c>
      <c r="I1636" s="5" t="s">
        <v>3257</v>
      </c>
    </row>
    <row r="1637" ht="12.75" customHeight="1">
      <c r="A1637" s="5" t="s">
        <v>3258</v>
      </c>
      <c r="B1637" s="7">
        <v>5.0</v>
      </c>
      <c r="C1637" s="7">
        <v>15.0</v>
      </c>
      <c r="D1637" s="7" t="s">
        <v>3906</v>
      </c>
      <c r="E1637" s="7"/>
      <c r="G1637" s="5" t="str">
        <f t="shared" si="1"/>
        <v>5, 15, HOPPIP</v>
      </c>
      <c r="I1637" s="5" t="s">
        <v>3258</v>
      </c>
    </row>
    <row r="1638" ht="12.75" customHeight="1">
      <c r="A1638" s="5" t="s">
        <v>2845</v>
      </c>
      <c r="B1638" s="7">
        <v>35.0</v>
      </c>
      <c r="C1638" s="7">
        <v>40.0</v>
      </c>
      <c r="D1638" s="7" t="s">
        <v>3748</v>
      </c>
      <c r="E1638" s="7"/>
      <c r="G1638" s="5" t="str">
        <f t="shared" si="1"/>
        <v>35, 40, TENTACOOL</v>
      </c>
      <c r="I1638" s="5" t="s">
        <v>2845</v>
      </c>
    </row>
    <row r="1639" ht="12.75" customHeight="1">
      <c r="A1639" s="5" t="s">
        <v>3232</v>
      </c>
      <c r="B1639" s="7">
        <v>35.0</v>
      </c>
      <c r="C1639" s="7">
        <v>40.0</v>
      </c>
      <c r="D1639" s="7" t="s">
        <v>3898</v>
      </c>
      <c r="E1639" s="7"/>
      <c r="G1639" s="5" t="str">
        <f t="shared" si="1"/>
        <v>35, 40, TENTACRUEL</v>
      </c>
      <c r="I1639" s="5" t="s">
        <v>3232</v>
      </c>
    </row>
    <row r="1640" ht="12.75" customHeight="1">
      <c r="A1640" s="5" t="s">
        <v>3232</v>
      </c>
      <c r="B1640" s="7">
        <v>35.0</v>
      </c>
      <c r="C1640" s="7">
        <v>40.0</v>
      </c>
      <c r="D1640" s="7" t="s">
        <v>3898</v>
      </c>
      <c r="E1640" s="7"/>
      <c r="G1640" s="5" t="str">
        <f t="shared" si="1"/>
        <v>35, 40, TENTACRUEL</v>
      </c>
      <c r="I1640" s="5" t="s">
        <v>3232</v>
      </c>
    </row>
    <row r="1641" ht="12.75" customHeight="1">
      <c r="A1641" s="5" t="s">
        <v>2926</v>
      </c>
      <c r="B1641" s="7">
        <v>20.0</v>
      </c>
      <c r="C1641" s="7" t="s">
        <v>3749</v>
      </c>
      <c r="D1641" s="7"/>
      <c r="E1641" s="7"/>
      <c r="G1641" s="5" t="str">
        <f t="shared" si="1"/>
        <v>old rod:</v>
      </c>
      <c r="I1641" s="5" t="s">
        <v>3750</v>
      </c>
    </row>
    <row r="1642" ht="12.75" customHeight="1">
      <c r="A1642" s="5" t="s">
        <v>417</v>
      </c>
      <c r="B1642" s="7">
        <v>5.0</v>
      </c>
      <c r="C1642" s="7">
        <v>5.0</v>
      </c>
      <c r="D1642" s="7" t="s">
        <v>3751</v>
      </c>
      <c r="E1642" s="7"/>
      <c r="G1642" s="5" t="str">
        <f t="shared" si="1"/>
        <v>5, 5, MAGIKARP</v>
      </c>
      <c r="I1642" s="5" t="s">
        <v>417</v>
      </c>
    </row>
    <row r="1643" ht="12.75" customHeight="1">
      <c r="A1643" s="5" t="s">
        <v>417</v>
      </c>
      <c r="B1643" s="7">
        <v>5.0</v>
      </c>
      <c r="C1643" s="7">
        <v>5.0</v>
      </c>
      <c r="D1643" s="7" t="s">
        <v>3751</v>
      </c>
      <c r="E1643" s="7"/>
      <c r="G1643" s="5" t="str">
        <f t="shared" si="1"/>
        <v>5, 5, MAGIKARP</v>
      </c>
      <c r="I1643" s="5" t="s">
        <v>417</v>
      </c>
    </row>
    <row r="1644" ht="12.75" customHeight="1">
      <c r="A1644" s="5" t="s">
        <v>2847</v>
      </c>
      <c r="B1644" s="7" t="s">
        <v>2847</v>
      </c>
      <c r="C1644" s="7"/>
      <c r="D1644" s="7"/>
      <c r="E1644" s="7"/>
      <c r="G1644" s="5" t="str">
        <f t="shared" si="1"/>
        <v>good rod:</v>
      </c>
      <c r="I1644" s="5" t="s">
        <v>2847</v>
      </c>
    </row>
    <row r="1645" ht="12.75" customHeight="1">
      <c r="A1645" s="5" t="s">
        <v>2848</v>
      </c>
      <c r="B1645" s="7">
        <v>5.0</v>
      </c>
      <c r="C1645" s="7">
        <v>15.0</v>
      </c>
      <c r="D1645" s="7" t="s">
        <v>3752</v>
      </c>
      <c r="E1645" s="7"/>
      <c r="G1645" s="5" t="str">
        <f t="shared" si="1"/>
        <v>5, 15, KRABBY</v>
      </c>
      <c r="I1645" s="5" t="s">
        <v>2848</v>
      </c>
    </row>
    <row r="1646" ht="12.75" customHeight="1">
      <c r="A1646" s="5" t="s">
        <v>2849</v>
      </c>
      <c r="B1646" s="7">
        <v>5.0</v>
      </c>
      <c r="C1646" s="7">
        <v>15.0</v>
      </c>
      <c r="D1646" s="7" t="s">
        <v>3751</v>
      </c>
      <c r="E1646" s="7"/>
      <c r="G1646" s="5" t="str">
        <f t="shared" si="1"/>
        <v>5, 15, MAGIKARP</v>
      </c>
      <c r="I1646" s="5" t="s">
        <v>2849</v>
      </c>
    </row>
    <row r="1647" ht="12.75" customHeight="1">
      <c r="A1647" s="5" t="s">
        <v>2848</v>
      </c>
      <c r="B1647" s="7">
        <v>5.0</v>
      </c>
      <c r="C1647" s="7">
        <v>15.0</v>
      </c>
      <c r="D1647" s="7" t="s">
        <v>3752</v>
      </c>
      <c r="E1647" s="7"/>
      <c r="G1647" s="5" t="str">
        <f t="shared" si="1"/>
        <v>5, 15, KRABBY</v>
      </c>
      <c r="I1647" s="5" t="s">
        <v>2848</v>
      </c>
    </row>
    <row r="1648" ht="12.75" customHeight="1">
      <c r="A1648" s="5" t="s">
        <v>2851</v>
      </c>
      <c r="B1648" s="7" t="s">
        <v>2851</v>
      </c>
      <c r="C1648" s="7"/>
      <c r="D1648" s="7"/>
      <c r="E1648" s="7"/>
      <c r="G1648" s="5" t="str">
        <f t="shared" si="1"/>
        <v>super rod:</v>
      </c>
      <c r="I1648" s="5" t="s">
        <v>2851</v>
      </c>
    </row>
    <row r="1649" ht="12.75" customHeight="1">
      <c r="A1649" s="5" t="s">
        <v>2852</v>
      </c>
      <c r="B1649" s="7">
        <v>15.0</v>
      </c>
      <c r="C1649" s="7">
        <v>25.0</v>
      </c>
      <c r="D1649" s="7" t="s">
        <v>3752</v>
      </c>
      <c r="E1649" s="7"/>
      <c r="G1649" s="5" t="str">
        <f t="shared" si="1"/>
        <v>15, 25, KRABBY</v>
      </c>
      <c r="I1649" s="5" t="s">
        <v>2852</v>
      </c>
    </row>
    <row r="1650" ht="12.75" customHeight="1">
      <c r="A1650" s="5" t="s">
        <v>3259</v>
      </c>
      <c r="B1650" s="7">
        <v>15.0</v>
      </c>
      <c r="C1650" s="7">
        <v>25.0</v>
      </c>
      <c r="D1650" s="7" t="s">
        <v>3907</v>
      </c>
      <c r="E1650" s="7"/>
      <c r="G1650" s="5" t="str">
        <f t="shared" si="1"/>
        <v>15, 25, REMORAID</v>
      </c>
      <c r="I1650" s="5" t="s">
        <v>3259</v>
      </c>
    </row>
    <row r="1651" ht="12.75" customHeight="1">
      <c r="A1651" s="5" t="s">
        <v>2854</v>
      </c>
      <c r="B1651" s="7">
        <v>15.0</v>
      </c>
      <c r="C1651" s="7">
        <v>25.0</v>
      </c>
      <c r="D1651" s="7" t="s">
        <v>3755</v>
      </c>
      <c r="E1651" s="7"/>
      <c r="G1651" s="5" t="str">
        <f t="shared" si="1"/>
        <v>15, 25, GYARADOS</v>
      </c>
      <c r="I1651" s="5" t="s">
        <v>2854</v>
      </c>
    </row>
    <row r="1652" ht="12.75" customHeight="1">
      <c r="A1652" s="5" t="s">
        <v>3178</v>
      </c>
      <c r="B1652" s="7">
        <v>25.0</v>
      </c>
      <c r="C1652" s="7">
        <v>35.0</v>
      </c>
      <c r="D1652" s="7" t="s">
        <v>3860</v>
      </c>
      <c r="E1652" s="7"/>
      <c r="G1652" s="5" t="str">
        <f t="shared" si="1"/>
        <v>25, 35, KINGLER</v>
      </c>
      <c r="I1652" s="5" t="s">
        <v>3178</v>
      </c>
    </row>
    <row r="1653" ht="12.75" customHeight="1">
      <c r="A1653" s="5" t="s">
        <v>2856</v>
      </c>
      <c r="B1653" s="7">
        <v>25.0</v>
      </c>
      <c r="C1653" s="7">
        <v>35.0</v>
      </c>
      <c r="D1653" s="7" t="s">
        <v>3756</v>
      </c>
      <c r="E1653" s="7"/>
      <c r="G1653" s="5" t="str">
        <f t="shared" si="1"/>
        <v>25, 35, SLOWPOKE</v>
      </c>
      <c r="I1653" s="5" t="s">
        <v>2856</v>
      </c>
    </row>
    <row r="1654" ht="12.75" customHeight="1">
      <c r="A1654" s="5" t="s">
        <v>2539</v>
      </c>
      <c r="B1654" s="7" t="s">
        <v>2539</v>
      </c>
      <c r="C1654" s="7"/>
      <c r="D1654" s="7"/>
      <c r="E1654" s="7"/>
      <c r="G1654" s="5" t="str">
        <f t="shared" si="1"/>
        <v>NEW ROUTE</v>
      </c>
      <c r="I1654" s="5" t="s">
        <v>2539</v>
      </c>
    </row>
    <row r="1655" ht="12.75" customHeight="1">
      <c r="A1655" s="5" t="s">
        <v>2178</v>
      </c>
      <c r="B1655" s="7" t="s">
        <v>2178</v>
      </c>
      <c r="C1655" s="7"/>
      <c r="D1655" s="7"/>
      <c r="E1655" s="7"/>
      <c r="G1655" s="5" t="str">
        <f t="shared" si="1"/>
        <v>Five Island Meadow</v>
      </c>
      <c r="I1655" s="5" t="s">
        <v>2178</v>
      </c>
    </row>
    <row r="1656" ht="12.75" customHeight="1">
      <c r="A1656" s="5">
        <v>0.2</v>
      </c>
      <c r="B1656" s="5">
        <v>0.2</v>
      </c>
      <c r="C1656" s="7"/>
      <c r="D1656" s="7"/>
      <c r="E1656" s="7"/>
      <c r="G1656" s="5">
        <f t="shared" si="1"/>
        <v>0.2</v>
      </c>
      <c r="I1656" s="5">
        <v>0.2</v>
      </c>
    </row>
    <row r="1657" ht="12.75" customHeight="1">
      <c r="A1657" s="5" t="s">
        <v>866</v>
      </c>
      <c r="B1657" s="7">
        <v>44.0</v>
      </c>
      <c r="C1657" s="7">
        <v>44.0</v>
      </c>
      <c r="D1657" s="7" t="s">
        <v>3890</v>
      </c>
      <c r="E1657" s="7"/>
      <c r="G1657" s="5" t="str">
        <f t="shared" si="1"/>
        <v>44, 44, PIDGEY</v>
      </c>
      <c r="I1657" s="5" t="s">
        <v>866</v>
      </c>
    </row>
    <row r="1658" ht="12.75" customHeight="1">
      <c r="A1658" s="5" t="s">
        <v>3262</v>
      </c>
      <c r="B1658" s="7">
        <v>10.0</v>
      </c>
      <c r="C1658" s="7">
        <v>10.0</v>
      </c>
      <c r="D1658" s="7" t="s">
        <v>3908</v>
      </c>
      <c r="E1658" s="7"/>
      <c r="G1658" s="5" t="str">
        <f t="shared" si="1"/>
        <v>10, 10, SENTRET</v>
      </c>
      <c r="I1658" s="5" t="s">
        <v>3262</v>
      </c>
    </row>
    <row r="1659" ht="12.75" customHeight="1">
      <c r="A1659" s="5">
        <v>0.1</v>
      </c>
      <c r="B1659" s="5">
        <v>0.1</v>
      </c>
      <c r="C1659" s="7"/>
      <c r="D1659" s="7"/>
      <c r="E1659" s="7"/>
      <c r="G1659" s="5">
        <f t="shared" si="1"/>
        <v>0.1</v>
      </c>
      <c r="I1659" s="5">
        <v>0.1</v>
      </c>
    </row>
    <row r="1660" ht="12.75" customHeight="1">
      <c r="A1660" s="5" t="s">
        <v>3263</v>
      </c>
      <c r="B1660" s="7">
        <v>48.0</v>
      </c>
      <c r="C1660" s="7">
        <v>48.0</v>
      </c>
      <c r="D1660" s="7" t="s">
        <v>3888</v>
      </c>
      <c r="E1660" s="7"/>
      <c r="G1660" s="5" t="str">
        <f t="shared" si="1"/>
        <v>48, 48, PIDGEOTTO</v>
      </c>
      <c r="I1660" s="5" t="s">
        <v>3263</v>
      </c>
    </row>
    <row r="1661" ht="12.75" customHeight="1">
      <c r="A1661" s="5" t="s">
        <v>877</v>
      </c>
      <c r="B1661" s="7">
        <v>10.0</v>
      </c>
      <c r="C1661" s="7">
        <v>10.0</v>
      </c>
      <c r="D1661" s="7" t="s">
        <v>3906</v>
      </c>
      <c r="E1661" s="7"/>
      <c r="G1661" s="5" t="str">
        <f t="shared" si="1"/>
        <v>10, 10, HOPPIP</v>
      </c>
      <c r="I1661" s="5" t="s">
        <v>877</v>
      </c>
    </row>
    <row r="1662" ht="12.75" customHeight="1">
      <c r="A1662" s="5" t="s">
        <v>3264</v>
      </c>
      <c r="B1662" s="7">
        <v>15.0</v>
      </c>
      <c r="C1662" s="7">
        <v>15.0</v>
      </c>
      <c r="D1662" s="7" t="s">
        <v>3908</v>
      </c>
      <c r="E1662" s="7"/>
      <c r="G1662" s="5" t="str">
        <f t="shared" si="1"/>
        <v>15, 15, SENTRET</v>
      </c>
      <c r="I1662" s="5" t="s">
        <v>3264</v>
      </c>
    </row>
    <row r="1663" ht="12.75" customHeight="1">
      <c r="A1663" s="5" t="s">
        <v>3265</v>
      </c>
      <c r="B1663" s="7">
        <v>41.0</v>
      </c>
      <c r="C1663" s="7">
        <v>41.0</v>
      </c>
      <c r="D1663" s="7" t="s">
        <v>3903</v>
      </c>
      <c r="E1663" s="7"/>
      <c r="G1663" s="5" t="str">
        <f t="shared" si="1"/>
        <v>41, 41, MEOWTH</v>
      </c>
      <c r="I1663" s="5" t="s">
        <v>3265</v>
      </c>
    </row>
    <row r="1664" ht="12.75" customHeight="1">
      <c r="A1664" s="5">
        <v>0.05</v>
      </c>
      <c r="B1664" s="5">
        <v>0.05</v>
      </c>
      <c r="C1664" s="7"/>
      <c r="D1664" s="7"/>
      <c r="E1664" s="7"/>
      <c r="G1664" s="5">
        <f t="shared" si="1"/>
        <v>0.05</v>
      </c>
      <c r="I1664" s="5">
        <v>0.05</v>
      </c>
    </row>
    <row r="1665" ht="12.75" customHeight="1">
      <c r="A1665" s="5" t="s">
        <v>3266</v>
      </c>
      <c r="B1665" s="7">
        <v>15.0</v>
      </c>
      <c r="C1665" s="7">
        <v>15.0</v>
      </c>
      <c r="D1665" s="7" t="s">
        <v>3906</v>
      </c>
      <c r="E1665" s="7"/>
      <c r="G1665" s="5" t="str">
        <f t="shared" si="1"/>
        <v>15, 15, HOPPIP</v>
      </c>
      <c r="I1665" s="5" t="s">
        <v>3266</v>
      </c>
    </row>
    <row r="1666" ht="12.75" customHeight="1">
      <c r="A1666" s="5" t="s">
        <v>3155</v>
      </c>
      <c r="B1666" s="7">
        <v>41.0</v>
      </c>
      <c r="C1666" s="7">
        <v>41.0</v>
      </c>
      <c r="D1666" s="7" t="s">
        <v>3756</v>
      </c>
      <c r="E1666" s="7"/>
      <c r="G1666" s="5" t="str">
        <f t="shared" si="1"/>
        <v>41, 41, SLOWPOKE</v>
      </c>
      <c r="I1666" s="5" t="s">
        <v>3155</v>
      </c>
    </row>
    <row r="1667" ht="12.75" customHeight="1">
      <c r="A1667" s="5">
        <v>0.04</v>
      </c>
      <c r="B1667" s="5">
        <v>0.04</v>
      </c>
      <c r="C1667" s="7"/>
      <c r="D1667" s="7"/>
      <c r="E1667" s="7"/>
      <c r="G1667" s="5">
        <f t="shared" si="1"/>
        <v>0.04</v>
      </c>
      <c r="I1667" s="5">
        <v>0.04</v>
      </c>
    </row>
    <row r="1668" ht="12.75" customHeight="1">
      <c r="A1668" s="5" t="s">
        <v>3267</v>
      </c>
      <c r="B1668" s="7">
        <v>50.0</v>
      </c>
      <c r="C1668" s="7">
        <v>50.0</v>
      </c>
      <c r="D1668" s="7" t="s">
        <v>3888</v>
      </c>
      <c r="E1668" s="7"/>
      <c r="G1668" s="5" t="str">
        <f t="shared" si="1"/>
        <v>50, 50, PIDGEOTTO</v>
      </c>
      <c r="I1668" s="5" t="s">
        <v>3267</v>
      </c>
    </row>
    <row r="1669" ht="12.75" customHeight="1">
      <c r="A1669" s="5" t="s">
        <v>3268</v>
      </c>
      <c r="B1669" s="7">
        <v>47.0</v>
      </c>
      <c r="C1669" s="7">
        <v>47.0</v>
      </c>
      <c r="D1669" s="7" t="s">
        <v>3904</v>
      </c>
      <c r="E1669" s="7"/>
      <c r="G1669" s="5" t="str">
        <f t="shared" si="1"/>
        <v>47, 47, PERSIAN</v>
      </c>
      <c r="I1669" s="5" t="s">
        <v>3268</v>
      </c>
    </row>
    <row r="1670" ht="12.75" customHeight="1">
      <c r="A1670" s="5">
        <v>0.01</v>
      </c>
      <c r="B1670" s="5">
        <v>0.01</v>
      </c>
      <c r="C1670" s="7"/>
      <c r="D1670" s="7"/>
      <c r="E1670" s="7"/>
      <c r="G1670" s="5">
        <f t="shared" si="1"/>
        <v>0.01</v>
      </c>
      <c r="I1670" s="5">
        <v>0.01</v>
      </c>
    </row>
    <row r="1671" ht="12.75" customHeight="1">
      <c r="A1671" s="5" t="s">
        <v>3267</v>
      </c>
      <c r="B1671" s="7">
        <v>50.0</v>
      </c>
      <c r="C1671" s="7">
        <v>50.0</v>
      </c>
      <c r="D1671" s="7" t="s">
        <v>3888</v>
      </c>
      <c r="E1671" s="7"/>
      <c r="G1671" s="5" t="str">
        <f t="shared" si="1"/>
        <v>50, 50, PIDGEOTTO</v>
      </c>
      <c r="I1671" s="5" t="s">
        <v>3267</v>
      </c>
    </row>
    <row r="1672" ht="12.75" customHeight="1">
      <c r="A1672" s="5" t="s">
        <v>3269</v>
      </c>
      <c r="B1672" s="7">
        <v>50.0</v>
      </c>
      <c r="C1672" s="7">
        <v>50.0</v>
      </c>
      <c r="D1672" s="7" t="s">
        <v>3904</v>
      </c>
      <c r="E1672" s="7"/>
      <c r="G1672" s="5" t="str">
        <f t="shared" si="1"/>
        <v>50, 50, PERSIAN</v>
      </c>
      <c r="I1672" s="5" t="s">
        <v>3269</v>
      </c>
    </row>
    <row r="1673" ht="12.75" customHeight="1">
      <c r="A1673" s="5" t="s">
        <v>3257</v>
      </c>
      <c r="B1673" s="7">
        <v>2.0</v>
      </c>
      <c r="C1673" s="7">
        <v>5.0</v>
      </c>
      <c r="D1673" s="7">
        <v>35.0</v>
      </c>
      <c r="E1673" s="7" t="s">
        <v>3748</v>
      </c>
      <c r="G1673" s="5" t="str">
        <f t="shared" si="1"/>
        <v>2, 5, 35, TENTACOOL</v>
      </c>
      <c r="I1673" s="5" t="s">
        <v>3257</v>
      </c>
    </row>
    <row r="1674" ht="12.75" customHeight="1">
      <c r="A1674" s="5" t="s">
        <v>3258</v>
      </c>
      <c r="B1674" s="7">
        <v>5.0</v>
      </c>
      <c r="C1674" s="7">
        <v>15.0</v>
      </c>
      <c r="D1674" s="7" t="s">
        <v>3906</v>
      </c>
      <c r="E1674" s="7"/>
      <c r="G1674" s="5" t="str">
        <f t="shared" si="1"/>
        <v>5, 15, HOPPIP</v>
      </c>
      <c r="I1674" s="5" t="s">
        <v>3258</v>
      </c>
    </row>
    <row r="1675" ht="12.75" customHeight="1">
      <c r="A1675" s="5" t="s">
        <v>2845</v>
      </c>
      <c r="B1675" s="7">
        <v>35.0</v>
      </c>
      <c r="C1675" s="7">
        <v>40.0</v>
      </c>
      <c r="D1675" s="7" t="s">
        <v>3748</v>
      </c>
      <c r="E1675" s="7"/>
      <c r="G1675" s="5" t="str">
        <f t="shared" si="1"/>
        <v>35, 40, TENTACOOL</v>
      </c>
      <c r="I1675" s="5" t="s">
        <v>2845</v>
      </c>
    </row>
    <row r="1676" ht="12.75" customHeight="1">
      <c r="A1676" s="5" t="s">
        <v>3232</v>
      </c>
      <c r="B1676" s="7">
        <v>35.0</v>
      </c>
      <c r="C1676" s="7">
        <v>40.0</v>
      </c>
      <c r="D1676" s="7" t="s">
        <v>3898</v>
      </c>
      <c r="E1676" s="7"/>
      <c r="G1676" s="5" t="str">
        <f t="shared" si="1"/>
        <v>35, 40, TENTACRUEL</v>
      </c>
      <c r="I1676" s="5" t="s">
        <v>3232</v>
      </c>
    </row>
    <row r="1677" ht="12.75" customHeight="1">
      <c r="A1677" s="5" t="s">
        <v>3232</v>
      </c>
      <c r="B1677" s="7">
        <v>35.0</v>
      </c>
      <c r="C1677" s="7">
        <v>40.0</v>
      </c>
      <c r="D1677" s="7" t="s">
        <v>3898</v>
      </c>
      <c r="E1677" s="7"/>
      <c r="G1677" s="5" t="str">
        <f t="shared" si="1"/>
        <v>35, 40, TENTACRUEL</v>
      </c>
      <c r="I1677" s="5" t="s">
        <v>3232</v>
      </c>
    </row>
    <row r="1678" ht="12.75" customHeight="1">
      <c r="A1678" s="5" t="s">
        <v>2926</v>
      </c>
      <c r="B1678" s="7">
        <v>20.0</v>
      </c>
      <c r="C1678" s="7" t="s">
        <v>3749</v>
      </c>
      <c r="D1678" s="7"/>
      <c r="E1678" s="7"/>
      <c r="G1678" s="5" t="str">
        <f t="shared" si="1"/>
        <v>old rod:</v>
      </c>
      <c r="I1678" s="5" t="s">
        <v>3750</v>
      </c>
    </row>
    <row r="1679" ht="12.75" customHeight="1">
      <c r="A1679" s="5" t="s">
        <v>417</v>
      </c>
      <c r="B1679" s="7">
        <v>5.0</v>
      </c>
      <c r="C1679" s="7">
        <v>5.0</v>
      </c>
      <c r="D1679" s="7" t="s">
        <v>3751</v>
      </c>
      <c r="E1679" s="7"/>
      <c r="G1679" s="5" t="str">
        <f t="shared" si="1"/>
        <v>5, 5, MAGIKARP</v>
      </c>
      <c r="I1679" s="5" t="s">
        <v>417</v>
      </c>
    </row>
    <row r="1680" ht="12.75" customHeight="1">
      <c r="A1680" s="5" t="s">
        <v>417</v>
      </c>
      <c r="B1680" s="7">
        <v>5.0</v>
      </c>
      <c r="C1680" s="7">
        <v>5.0</v>
      </c>
      <c r="D1680" s="7" t="s">
        <v>3751</v>
      </c>
      <c r="E1680" s="7"/>
      <c r="G1680" s="5" t="str">
        <f t="shared" si="1"/>
        <v>5, 5, MAGIKARP</v>
      </c>
      <c r="I1680" s="5" t="s">
        <v>417</v>
      </c>
    </row>
    <row r="1681" ht="12.75" customHeight="1">
      <c r="A1681" s="5" t="s">
        <v>2847</v>
      </c>
      <c r="B1681" s="7" t="s">
        <v>2847</v>
      </c>
      <c r="C1681" s="7"/>
      <c r="D1681" s="7"/>
      <c r="E1681" s="7"/>
      <c r="G1681" s="5" t="str">
        <f t="shared" si="1"/>
        <v>good rod:</v>
      </c>
      <c r="I1681" s="5" t="s">
        <v>2847</v>
      </c>
    </row>
    <row r="1682" ht="12.75" customHeight="1">
      <c r="A1682" s="5" t="s">
        <v>2848</v>
      </c>
      <c r="B1682" s="7">
        <v>5.0</v>
      </c>
      <c r="C1682" s="7">
        <v>15.0</v>
      </c>
      <c r="D1682" s="7" t="s">
        <v>3752</v>
      </c>
      <c r="E1682" s="7"/>
      <c r="G1682" s="5" t="str">
        <f t="shared" si="1"/>
        <v>5, 15, KRABBY</v>
      </c>
      <c r="I1682" s="5" t="s">
        <v>2848</v>
      </c>
    </row>
    <row r="1683" ht="12.75" customHeight="1">
      <c r="A1683" s="5" t="s">
        <v>2849</v>
      </c>
      <c r="B1683" s="7">
        <v>5.0</v>
      </c>
      <c r="C1683" s="7">
        <v>15.0</v>
      </c>
      <c r="D1683" s="7" t="s">
        <v>3751</v>
      </c>
      <c r="E1683" s="7"/>
      <c r="G1683" s="5" t="str">
        <f t="shared" si="1"/>
        <v>5, 15, MAGIKARP</v>
      </c>
      <c r="I1683" s="5" t="s">
        <v>2849</v>
      </c>
    </row>
    <row r="1684" ht="12.75" customHeight="1">
      <c r="A1684" s="5" t="s">
        <v>2848</v>
      </c>
      <c r="B1684" s="7">
        <v>5.0</v>
      </c>
      <c r="C1684" s="7">
        <v>15.0</v>
      </c>
      <c r="D1684" s="7" t="s">
        <v>3752</v>
      </c>
      <c r="E1684" s="7"/>
      <c r="G1684" s="5" t="str">
        <f t="shared" si="1"/>
        <v>5, 15, KRABBY</v>
      </c>
      <c r="I1684" s="5" t="s">
        <v>2848</v>
      </c>
    </row>
    <row r="1685" ht="12.75" customHeight="1">
      <c r="A1685" s="5" t="s">
        <v>2851</v>
      </c>
      <c r="B1685" s="7" t="s">
        <v>2851</v>
      </c>
      <c r="C1685" s="7"/>
      <c r="D1685" s="7"/>
      <c r="E1685" s="7"/>
      <c r="G1685" s="5" t="str">
        <f t="shared" si="1"/>
        <v>super rod:</v>
      </c>
      <c r="I1685" s="5" t="s">
        <v>2851</v>
      </c>
    </row>
    <row r="1686" ht="12.75" customHeight="1">
      <c r="A1686" s="5" t="s">
        <v>2852</v>
      </c>
      <c r="B1686" s="7">
        <v>15.0</v>
      </c>
      <c r="C1686" s="7">
        <v>25.0</v>
      </c>
      <c r="D1686" s="7" t="s">
        <v>3752</v>
      </c>
      <c r="E1686" s="7"/>
      <c r="G1686" s="5" t="str">
        <f t="shared" si="1"/>
        <v>15, 25, KRABBY</v>
      </c>
      <c r="I1686" s="5" t="s">
        <v>2852</v>
      </c>
    </row>
    <row r="1687" ht="12.75" customHeight="1">
      <c r="A1687" s="5" t="s">
        <v>3259</v>
      </c>
      <c r="B1687" s="7">
        <v>15.0</v>
      </c>
      <c r="C1687" s="7">
        <v>25.0</v>
      </c>
      <c r="D1687" s="7" t="s">
        <v>3907</v>
      </c>
      <c r="E1687" s="7"/>
      <c r="G1687" s="5" t="str">
        <f t="shared" si="1"/>
        <v>15, 25, REMORAID</v>
      </c>
      <c r="I1687" s="5" t="s">
        <v>3259</v>
      </c>
    </row>
    <row r="1688" ht="12.75" customHeight="1">
      <c r="A1688" s="5" t="s">
        <v>2854</v>
      </c>
      <c r="B1688" s="7">
        <v>15.0</v>
      </c>
      <c r="C1688" s="7">
        <v>25.0</v>
      </c>
      <c r="D1688" s="7" t="s">
        <v>3755</v>
      </c>
      <c r="E1688" s="7"/>
      <c r="G1688" s="5" t="str">
        <f t="shared" si="1"/>
        <v>15, 25, GYARADOS</v>
      </c>
      <c r="I1688" s="5" t="s">
        <v>2854</v>
      </c>
    </row>
    <row r="1689" ht="12.75" customHeight="1">
      <c r="A1689" s="5" t="s">
        <v>3178</v>
      </c>
      <c r="B1689" s="7">
        <v>25.0</v>
      </c>
      <c r="C1689" s="7">
        <v>35.0</v>
      </c>
      <c r="D1689" s="7" t="s">
        <v>3860</v>
      </c>
      <c r="E1689" s="7"/>
      <c r="G1689" s="5" t="str">
        <f t="shared" si="1"/>
        <v>25, 35, KINGLER</v>
      </c>
      <c r="I1689" s="5" t="s">
        <v>3178</v>
      </c>
    </row>
    <row r="1690" ht="12.75" customHeight="1">
      <c r="A1690" s="5" t="s">
        <v>2856</v>
      </c>
      <c r="B1690" s="7">
        <v>25.0</v>
      </c>
      <c r="C1690" s="7">
        <v>35.0</v>
      </c>
      <c r="D1690" s="7" t="s">
        <v>3756</v>
      </c>
      <c r="E1690" s="7"/>
      <c r="G1690" s="5" t="str">
        <f t="shared" si="1"/>
        <v>25, 35, SLOWPOKE</v>
      </c>
      <c r="I1690" s="5" t="s">
        <v>2856</v>
      </c>
    </row>
    <row r="1691" ht="12.75" customHeight="1">
      <c r="A1691" s="5" t="s">
        <v>2539</v>
      </c>
      <c r="B1691" s="7" t="s">
        <v>2539</v>
      </c>
      <c r="C1691" s="7"/>
      <c r="D1691" s="7"/>
      <c r="E1691" s="7"/>
      <c r="G1691" s="5" t="str">
        <f t="shared" si="1"/>
        <v>NEW ROUTE</v>
      </c>
      <c r="I1691" s="5" t="s">
        <v>2539</v>
      </c>
    </row>
    <row r="1692" ht="12.75" customHeight="1">
      <c r="A1692" s="5" t="s">
        <v>2180</v>
      </c>
      <c r="B1692" s="7" t="s">
        <v>2180</v>
      </c>
      <c r="C1692" s="7"/>
      <c r="D1692" s="7"/>
      <c r="E1692" s="7"/>
      <c r="G1692" s="5" t="str">
        <f t="shared" si="1"/>
        <v>Five Island Memorial Pillar</v>
      </c>
      <c r="I1692" s="5" t="s">
        <v>2180</v>
      </c>
    </row>
    <row r="1693" ht="12.75" customHeight="1">
      <c r="A1693" s="5">
        <v>0.2</v>
      </c>
      <c r="B1693" s="5">
        <v>0.2</v>
      </c>
      <c r="C1693" s="7"/>
      <c r="D1693" s="7"/>
      <c r="E1693" s="7"/>
      <c r="G1693" s="5">
        <f t="shared" si="1"/>
        <v>0.2</v>
      </c>
      <c r="I1693" s="5">
        <v>0.2</v>
      </c>
    </row>
    <row r="1694" ht="12.75" customHeight="1">
      <c r="A1694" s="5" t="s">
        <v>877</v>
      </c>
      <c r="B1694" s="7">
        <v>10.0</v>
      </c>
      <c r="C1694" s="7">
        <v>10.0</v>
      </c>
      <c r="D1694" s="7" t="s">
        <v>3906</v>
      </c>
      <c r="E1694" s="7"/>
      <c r="G1694" s="5" t="str">
        <f t="shared" si="1"/>
        <v>10, 10, HOPPIP</v>
      </c>
      <c r="I1694" s="5" t="s">
        <v>877</v>
      </c>
    </row>
    <row r="1695" ht="12.75" customHeight="1">
      <c r="A1695" s="5" t="s">
        <v>3271</v>
      </c>
      <c r="B1695" s="7">
        <v>12.0</v>
      </c>
      <c r="C1695" s="7">
        <v>12.0</v>
      </c>
      <c r="D1695" s="7" t="s">
        <v>3906</v>
      </c>
      <c r="E1695" s="7"/>
      <c r="G1695" s="5" t="str">
        <f t="shared" si="1"/>
        <v>12, 12, HOPPIP</v>
      </c>
      <c r="I1695" s="5" t="s">
        <v>3271</v>
      </c>
    </row>
    <row r="1696" ht="12.75" customHeight="1">
      <c r="A1696" s="5">
        <v>0.1</v>
      </c>
      <c r="B1696" s="5">
        <v>0.1</v>
      </c>
      <c r="C1696" s="7"/>
      <c r="D1696" s="7"/>
      <c r="E1696" s="7"/>
      <c r="G1696" s="5">
        <f t="shared" si="1"/>
        <v>0.1</v>
      </c>
      <c r="I1696" s="5">
        <v>0.1</v>
      </c>
    </row>
    <row r="1697" ht="12.75" customHeight="1">
      <c r="A1697" s="5" t="s">
        <v>3272</v>
      </c>
      <c r="B1697" s="7">
        <v>8.0</v>
      </c>
      <c r="C1697" s="7">
        <v>8.0</v>
      </c>
      <c r="D1697" s="7" t="s">
        <v>3906</v>
      </c>
      <c r="E1697" s="7"/>
      <c r="G1697" s="5" t="str">
        <f t="shared" si="1"/>
        <v>8, 8, HOPPIP</v>
      </c>
      <c r="I1697" s="5" t="s">
        <v>3272</v>
      </c>
    </row>
    <row r="1698" ht="12.75" customHeight="1">
      <c r="A1698" s="5" t="s">
        <v>3273</v>
      </c>
      <c r="B1698" s="7">
        <v>14.0</v>
      </c>
      <c r="C1698" s="7">
        <v>14.0</v>
      </c>
      <c r="D1698" s="7" t="s">
        <v>3906</v>
      </c>
      <c r="E1698" s="7"/>
      <c r="G1698" s="5" t="str">
        <f t="shared" si="1"/>
        <v>14, 14, HOPPIP</v>
      </c>
      <c r="I1698" s="5" t="s">
        <v>3273</v>
      </c>
    </row>
    <row r="1699" ht="12.75" customHeight="1">
      <c r="A1699" s="5" t="s">
        <v>877</v>
      </c>
      <c r="B1699" s="7">
        <v>10.0</v>
      </c>
      <c r="C1699" s="7">
        <v>10.0</v>
      </c>
      <c r="D1699" s="7" t="s">
        <v>3906</v>
      </c>
      <c r="E1699" s="7"/>
      <c r="G1699" s="5" t="str">
        <f t="shared" si="1"/>
        <v>10, 10, HOPPIP</v>
      </c>
      <c r="I1699" s="5" t="s">
        <v>877</v>
      </c>
    </row>
    <row r="1700" ht="12.75" customHeight="1">
      <c r="A1700" s="5" t="s">
        <v>3271</v>
      </c>
      <c r="B1700" s="7">
        <v>12.0</v>
      </c>
      <c r="C1700" s="7">
        <v>12.0</v>
      </c>
      <c r="D1700" s="7" t="s">
        <v>3906</v>
      </c>
      <c r="E1700" s="7"/>
      <c r="G1700" s="5" t="str">
        <f t="shared" si="1"/>
        <v>12, 12, HOPPIP</v>
      </c>
      <c r="I1700" s="5" t="s">
        <v>3271</v>
      </c>
    </row>
    <row r="1701" ht="12.75" customHeight="1">
      <c r="A1701" s="5">
        <v>0.05</v>
      </c>
      <c r="B1701" s="5">
        <v>0.05</v>
      </c>
      <c r="C1701" s="7"/>
      <c r="D1701" s="7"/>
      <c r="E1701" s="7"/>
      <c r="G1701" s="5">
        <f t="shared" si="1"/>
        <v>0.05</v>
      </c>
      <c r="I1701" s="5">
        <v>0.05</v>
      </c>
    </row>
    <row r="1702" ht="12.75" customHeight="1">
      <c r="A1702" s="5" t="s">
        <v>3274</v>
      </c>
      <c r="B1702" s="7">
        <v>16.0</v>
      </c>
      <c r="C1702" s="7">
        <v>16.0</v>
      </c>
      <c r="D1702" s="7" t="s">
        <v>3906</v>
      </c>
      <c r="E1702" s="7"/>
      <c r="G1702" s="5" t="str">
        <f t="shared" si="1"/>
        <v>16, 16, HOPPIP</v>
      </c>
      <c r="I1702" s="5" t="s">
        <v>3274</v>
      </c>
    </row>
    <row r="1703" ht="12.75" customHeight="1">
      <c r="A1703" s="5" t="s">
        <v>3275</v>
      </c>
      <c r="B1703" s="7">
        <v>6.0</v>
      </c>
      <c r="C1703" s="7">
        <v>6.0</v>
      </c>
      <c r="D1703" s="7" t="s">
        <v>3906</v>
      </c>
      <c r="E1703" s="7"/>
      <c r="G1703" s="5" t="str">
        <f t="shared" si="1"/>
        <v>6, 6, HOPPIP</v>
      </c>
      <c r="I1703" s="5" t="s">
        <v>3275</v>
      </c>
    </row>
    <row r="1704" ht="12.75" customHeight="1">
      <c r="A1704" s="5">
        <v>0.04</v>
      </c>
      <c r="B1704" s="5">
        <v>0.04</v>
      </c>
      <c r="C1704" s="7"/>
      <c r="D1704" s="7"/>
      <c r="E1704" s="7"/>
      <c r="G1704" s="5">
        <f t="shared" si="1"/>
        <v>0.04</v>
      </c>
      <c r="I1704" s="5">
        <v>0.04</v>
      </c>
    </row>
    <row r="1705" ht="12.75" customHeight="1">
      <c r="A1705" s="5" t="s">
        <v>3272</v>
      </c>
      <c r="B1705" s="7">
        <v>8.0</v>
      </c>
      <c r="C1705" s="7">
        <v>8.0</v>
      </c>
      <c r="D1705" s="7" t="s">
        <v>3906</v>
      </c>
      <c r="E1705" s="7"/>
      <c r="G1705" s="5" t="str">
        <f t="shared" si="1"/>
        <v>8, 8, HOPPIP</v>
      </c>
      <c r="I1705" s="5" t="s">
        <v>3272</v>
      </c>
    </row>
    <row r="1706" ht="12.75" customHeight="1">
      <c r="A1706" s="5" t="s">
        <v>3273</v>
      </c>
      <c r="B1706" s="7">
        <v>14.0</v>
      </c>
      <c r="C1706" s="7">
        <v>14.0</v>
      </c>
      <c r="D1706" s="7" t="s">
        <v>3906</v>
      </c>
      <c r="E1706" s="7"/>
      <c r="G1706" s="5" t="str">
        <f t="shared" si="1"/>
        <v>14, 14, HOPPIP</v>
      </c>
      <c r="I1706" s="5" t="s">
        <v>3273</v>
      </c>
    </row>
    <row r="1707" ht="12.75" customHeight="1">
      <c r="A1707" s="5">
        <v>0.01</v>
      </c>
      <c r="B1707" s="5">
        <v>0.01</v>
      </c>
      <c r="C1707" s="7"/>
      <c r="D1707" s="7"/>
      <c r="E1707" s="7"/>
      <c r="G1707" s="5">
        <f t="shared" si="1"/>
        <v>0.01</v>
      </c>
      <c r="I1707" s="5">
        <v>0.01</v>
      </c>
    </row>
    <row r="1708" ht="12.75" customHeight="1">
      <c r="A1708" s="5" t="s">
        <v>3272</v>
      </c>
      <c r="B1708" s="7">
        <v>8.0</v>
      </c>
      <c r="C1708" s="7">
        <v>8.0</v>
      </c>
      <c r="D1708" s="7" t="s">
        <v>3906</v>
      </c>
      <c r="E1708" s="7"/>
      <c r="G1708" s="5" t="str">
        <f t="shared" si="1"/>
        <v>8, 8, HOPPIP</v>
      </c>
      <c r="I1708" s="5" t="s">
        <v>3272</v>
      </c>
    </row>
    <row r="1709" ht="12.75" customHeight="1">
      <c r="A1709" s="5" t="s">
        <v>3273</v>
      </c>
      <c r="B1709" s="7">
        <v>14.0</v>
      </c>
      <c r="C1709" s="7">
        <v>14.0</v>
      </c>
      <c r="D1709" s="7" t="s">
        <v>3906</v>
      </c>
      <c r="E1709" s="7"/>
      <c r="G1709" s="5" t="str">
        <f t="shared" si="1"/>
        <v>14, 14, HOPPIP</v>
      </c>
      <c r="I1709" s="5" t="s">
        <v>3273</v>
      </c>
    </row>
    <row r="1710" ht="12.75" customHeight="1">
      <c r="A1710" s="5" t="s">
        <v>3257</v>
      </c>
      <c r="B1710" s="7">
        <v>2.0</v>
      </c>
      <c r="C1710" s="7">
        <v>5.0</v>
      </c>
      <c r="D1710" s="7">
        <v>35.0</v>
      </c>
      <c r="E1710" s="7" t="s">
        <v>3748</v>
      </c>
      <c r="G1710" s="5" t="str">
        <f t="shared" si="1"/>
        <v>2, 5, 35, TENTACOOL</v>
      </c>
      <c r="I1710" s="5" t="s">
        <v>3257</v>
      </c>
    </row>
    <row r="1711" ht="12.75" customHeight="1">
      <c r="A1711" s="5" t="s">
        <v>3258</v>
      </c>
      <c r="B1711" s="7">
        <v>5.0</v>
      </c>
      <c r="C1711" s="7">
        <v>15.0</v>
      </c>
      <c r="D1711" s="7" t="s">
        <v>3906</v>
      </c>
      <c r="E1711" s="7"/>
      <c r="G1711" s="5" t="str">
        <f t="shared" si="1"/>
        <v>5, 15, HOPPIP</v>
      </c>
      <c r="I1711" s="5" t="s">
        <v>3258</v>
      </c>
    </row>
    <row r="1712" ht="12.75" customHeight="1">
      <c r="A1712" s="5" t="s">
        <v>2845</v>
      </c>
      <c r="B1712" s="7">
        <v>35.0</v>
      </c>
      <c r="C1712" s="7">
        <v>40.0</v>
      </c>
      <c r="D1712" s="7" t="s">
        <v>3748</v>
      </c>
      <c r="E1712" s="7"/>
      <c r="G1712" s="5" t="str">
        <f t="shared" si="1"/>
        <v>35, 40, TENTACOOL</v>
      </c>
      <c r="I1712" s="5" t="s">
        <v>2845</v>
      </c>
    </row>
    <row r="1713" ht="12.75" customHeight="1">
      <c r="A1713" s="5" t="s">
        <v>3232</v>
      </c>
      <c r="B1713" s="7">
        <v>35.0</v>
      </c>
      <c r="C1713" s="7">
        <v>40.0</v>
      </c>
      <c r="D1713" s="7" t="s">
        <v>3898</v>
      </c>
      <c r="E1713" s="7"/>
      <c r="G1713" s="5" t="str">
        <f t="shared" si="1"/>
        <v>35, 40, TENTACRUEL</v>
      </c>
      <c r="I1713" s="5" t="s">
        <v>3232</v>
      </c>
    </row>
    <row r="1714" ht="12.75" customHeight="1">
      <c r="A1714" s="5" t="s">
        <v>3232</v>
      </c>
      <c r="B1714" s="7">
        <v>35.0</v>
      </c>
      <c r="C1714" s="7">
        <v>40.0</v>
      </c>
      <c r="D1714" s="7" t="s">
        <v>3898</v>
      </c>
      <c r="E1714" s="7"/>
      <c r="G1714" s="5" t="str">
        <f t="shared" si="1"/>
        <v>35, 40, TENTACRUEL</v>
      </c>
      <c r="I1714" s="5" t="s">
        <v>3232</v>
      </c>
    </row>
    <row r="1715" ht="12.75" customHeight="1">
      <c r="A1715" s="5" t="s">
        <v>2926</v>
      </c>
      <c r="B1715" s="7">
        <v>20.0</v>
      </c>
      <c r="C1715" s="7" t="s">
        <v>3749</v>
      </c>
      <c r="D1715" s="7"/>
      <c r="E1715" s="7"/>
      <c r="G1715" s="5" t="str">
        <f t="shared" si="1"/>
        <v>old rod:</v>
      </c>
      <c r="I1715" s="5" t="s">
        <v>3750</v>
      </c>
    </row>
    <row r="1716" ht="12.75" customHeight="1">
      <c r="A1716" s="5" t="s">
        <v>417</v>
      </c>
      <c r="B1716" s="7">
        <v>5.0</v>
      </c>
      <c r="C1716" s="7">
        <v>5.0</v>
      </c>
      <c r="D1716" s="7" t="s">
        <v>3751</v>
      </c>
      <c r="E1716" s="7"/>
      <c r="G1716" s="5" t="str">
        <f t="shared" si="1"/>
        <v>5, 5, MAGIKARP</v>
      </c>
      <c r="I1716" s="5" t="s">
        <v>417</v>
      </c>
    </row>
    <row r="1717" ht="12.75" customHeight="1">
      <c r="A1717" s="5" t="s">
        <v>417</v>
      </c>
      <c r="B1717" s="7">
        <v>5.0</v>
      </c>
      <c r="C1717" s="7">
        <v>5.0</v>
      </c>
      <c r="D1717" s="7" t="s">
        <v>3751</v>
      </c>
      <c r="E1717" s="7"/>
      <c r="G1717" s="5" t="str">
        <f t="shared" si="1"/>
        <v>5, 5, MAGIKARP</v>
      </c>
      <c r="I1717" s="5" t="s">
        <v>417</v>
      </c>
    </row>
    <row r="1718" ht="12.75" customHeight="1">
      <c r="A1718" s="5" t="s">
        <v>2847</v>
      </c>
      <c r="B1718" s="7" t="s">
        <v>2847</v>
      </c>
      <c r="C1718" s="7"/>
      <c r="D1718" s="7"/>
      <c r="E1718" s="7"/>
      <c r="G1718" s="5" t="str">
        <f t="shared" si="1"/>
        <v>good rod:</v>
      </c>
      <c r="I1718" s="5" t="s">
        <v>2847</v>
      </c>
    </row>
    <row r="1719" ht="12.75" customHeight="1">
      <c r="A1719" s="5" t="s">
        <v>2848</v>
      </c>
      <c r="B1719" s="7">
        <v>5.0</v>
      </c>
      <c r="C1719" s="7">
        <v>15.0</v>
      </c>
      <c r="D1719" s="7" t="s">
        <v>3752</v>
      </c>
      <c r="E1719" s="7"/>
      <c r="G1719" s="5" t="str">
        <f t="shared" si="1"/>
        <v>5, 15, KRABBY</v>
      </c>
      <c r="I1719" s="5" t="s">
        <v>2848</v>
      </c>
    </row>
    <row r="1720" ht="12.75" customHeight="1">
      <c r="A1720" s="5" t="s">
        <v>2849</v>
      </c>
      <c r="B1720" s="7">
        <v>5.0</v>
      </c>
      <c r="C1720" s="7">
        <v>15.0</v>
      </c>
      <c r="D1720" s="7" t="s">
        <v>3751</v>
      </c>
      <c r="E1720" s="7"/>
      <c r="G1720" s="5" t="str">
        <f t="shared" si="1"/>
        <v>5, 15, MAGIKARP</v>
      </c>
      <c r="I1720" s="5" t="s">
        <v>2849</v>
      </c>
    </row>
    <row r="1721" ht="12.75" customHeight="1">
      <c r="A1721" s="5" t="s">
        <v>2848</v>
      </c>
      <c r="B1721" s="7">
        <v>5.0</v>
      </c>
      <c r="C1721" s="7">
        <v>15.0</v>
      </c>
      <c r="D1721" s="7" t="s">
        <v>3752</v>
      </c>
      <c r="E1721" s="7"/>
      <c r="G1721" s="5" t="str">
        <f t="shared" si="1"/>
        <v>5, 15, KRABBY</v>
      </c>
      <c r="I1721" s="5" t="s">
        <v>2848</v>
      </c>
    </row>
    <row r="1722" ht="12.75" customHeight="1">
      <c r="A1722" s="5" t="s">
        <v>2851</v>
      </c>
      <c r="B1722" s="7" t="s">
        <v>2851</v>
      </c>
      <c r="C1722" s="7"/>
      <c r="D1722" s="7"/>
      <c r="E1722" s="7"/>
      <c r="G1722" s="5" t="str">
        <f t="shared" si="1"/>
        <v>super rod:</v>
      </c>
      <c r="I1722" s="5" t="s">
        <v>2851</v>
      </c>
    </row>
    <row r="1723" ht="12.75" customHeight="1">
      <c r="A1723" s="5" t="s">
        <v>2852</v>
      </c>
      <c r="B1723" s="7">
        <v>15.0</v>
      </c>
      <c r="C1723" s="7">
        <v>25.0</v>
      </c>
      <c r="D1723" s="7" t="s">
        <v>3752</v>
      </c>
      <c r="E1723" s="7"/>
      <c r="G1723" s="5" t="str">
        <f t="shared" si="1"/>
        <v>15, 25, KRABBY</v>
      </c>
      <c r="I1723" s="5" t="s">
        <v>2852</v>
      </c>
    </row>
    <row r="1724" ht="12.75" customHeight="1">
      <c r="A1724" s="5" t="s">
        <v>3259</v>
      </c>
      <c r="B1724" s="7">
        <v>15.0</v>
      </c>
      <c r="C1724" s="7">
        <v>25.0</v>
      </c>
      <c r="D1724" s="7" t="s">
        <v>3907</v>
      </c>
      <c r="E1724" s="7"/>
      <c r="G1724" s="5" t="str">
        <f t="shared" si="1"/>
        <v>15, 25, REMORAID</v>
      </c>
      <c r="I1724" s="5" t="s">
        <v>3259</v>
      </c>
    </row>
    <row r="1725" ht="12.75" customHeight="1">
      <c r="A1725" s="5" t="s">
        <v>2854</v>
      </c>
      <c r="B1725" s="7">
        <v>15.0</v>
      </c>
      <c r="C1725" s="7">
        <v>25.0</v>
      </c>
      <c r="D1725" s="7" t="s">
        <v>3755</v>
      </c>
      <c r="E1725" s="7"/>
      <c r="G1725" s="5" t="str">
        <f t="shared" si="1"/>
        <v>15, 25, GYARADOS</v>
      </c>
      <c r="I1725" s="5" t="s">
        <v>2854</v>
      </c>
    </row>
    <row r="1726" ht="12.75" customHeight="1">
      <c r="A1726" s="5" t="s">
        <v>3178</v>
      </c>
      <c r="B1726" s="7">
        <v>25.0</v>
      </c>
      <c r="C1726" s="7">
        <v>35.0</v>
      </c>
      <c r="D1726" s="7" t="s">
        <v>3860</v>
      </c>
      <c r="E1726" s="7"/>
      <c r="G1726" s="5" t="str">
        <f t="shared" si="1"/>
        <v>25, 35, KINGLER</v>
      </c>
      <c r="I1726" s="5" t="s">
        <v>3178</v>
      </c>
    </row>
    <row r="1727" ht="12.75" customHeight="1">
      <c r="A1727" s="5" t="s">
        <v>2856</v>
      </c>
      <c r="B1727" s="7">
        <v>25.0</v>
      </c>
      <c r="C1727" s="7">
        <v>35.0</v>
      </c>
      <c r="D1727" s="7" t="s">
        <v>3756</v>
      </c>
      <c r="E1727" s="7"/>
      <c r="G1727" s="5" t="str">
        <f t="shared" si="1"/>
        <v>25, 35, SLOWPOKE</v>
      </c>
      <c r="I1727" s="5" t="s">
        <v>2856</v>
      </c>
    </row>
    <row r="1728" ht="12.75" customHeight="1">
      <c r="A1728" s="5" t="s">
        <v>2539</v>
      </c>
      <c r="B1728" s="7" t="s">
        <v>2539</v>
      </c>
      <c r="C1728" s="7"/>
      <c r="D1728" s="7"/>
      <c r="E1728" s="7"/>
      <c r="G1728" s="5" t="str">
        <f t="shared" si="1"/>
        <v>NEW ROUTE</v>
      </c>
      <c r="I1728" s="5" t="s">
        <v>2539</v>
      </c>
    </row>
    <row r="1729" ht="12.75" customHeight="1">
      <c r="A1729" s="5" t="s">
        <v>2182</v>
      </c>
      <c r="B1729" s="7" t="s">
        <v>2182</v>
      </c>
      <c r="C1729" s="7"/>
      <c r="D1729" s="7"/>
      <c r="E1729" s="7"/>
      <c r="G1729" s="5" t="str">
        <f t="shared" si="1"/>
        <v>Six Island Outcast Island</v>
      </c>
      <c r="I1729" s="5" t="s">
        <v>2182</v>
      </c>
    </row>
    <row r="1730" ht="12.75" customHeight="1">
      <c r="A1730" s="5" t="s">
        <v>3173</v>
      </c>
      <c r="B1730" s="7">
        <v>2.0</v>
      </c>
      <c r="C1730" s="7">
        <v>5.0</v>
      </c>
      <c r="D1730" s="7">
        <v>20.0</v>
      </c>
      <c r="E1730" s="7" t="s">
        <v>3748</v>
      </c>
      <c r="G1730" s="5" t="str">
        <f t="shared" si="1"/>
        <v>2, 5, 20, TENTACOOL</v>
      </c>
      <c r="I1730" s="5" t="s">
        <v>3173</v>
      </c>
    </row>
    <row r="1731" ht="12.75" customHeight="1">
      <c r="A1731" s="5" t="s">
        <v>3174</v>
      </c>
      <c r="B1731" s="7">
        <v>20.0</v>
      </c>
      <c r="C1731" s="7">
        <v>35.0</v>
      </c>
      <c r="D1731" s="7" t="s">
        <v>3748</v>
      </c>
      <c r="E1731" s="7"/>
      <c r="G1731" s="5" t="str">
        <f t="shared" si="1"/>
        <v>20, 35, TENTACOOL</v>
      </c>
      <c r="I1731" s="5" t="s">
        <v>3174</v>
      </c>
    </row>
    <row r="1732" ht="12.75" customHeight="1">
      <c r="A1732" s="5" t="s">
        <v>2845</v>
      </c>
      <c r="B1732" s="7">
        <v>35.0</v>
      </c>
      <c r="C1732" s="7">
        <v>40.0</v>
      </c>
      <c r="D1732" s="7" t="s">
        <v>3748</v>
      </c>
      <c r="E1732" s="7"/>
      <c r="G1732" s="5" t="str">
        <f t="shared" si="1"/>
        <v>35, 40, TENTACOOL</v>
      </c>
      <c r="I1732" s="5" t="s">
        <v>2845</v>
      </c>
    </row>
    <row r="1733" ht="12.75" customHeight="1">
      <c r="A1733" s="5" t="s">
        <v>3232</v>
      </c>
      <c r="B1733" s="7">
        <v>35.0</v>
      </c>
      <c r="C1733" s="7">
        <v>40.0</v>
      </c>
      <c r="D1733" s="7" t="s">
        <v>3898</v>
      </c>
      <c r="E1733" s="7"/>
      <c r="G1733" s="5" t="str">
        <f t="shared" si="1"/>
        <v>35, 40, TENTACRUEL</v>
      </c>
      <c r="I1733" s="5" t="s">
        <v>3232</v>
      </c>
    </row>
    <row r="1734" ht="12.75" customHeight="1">
      <c r="A1734" s="5" t="s">
        <v>3232</v>
      </c>
      <c r="B1734" s="7">
        <v>35.0</v>
      </c>
      <c r="C1734" s="7">
        <v>40.0</v>
      </c>
      <c r="D1734" s="7" t="s">
        <v>3898</v>
      </c>
      <c r="E1734" s="7"/>
      <c r="G1734" s="5" t="str">
        <f t="shared" si="1"/>
        <v>35, 40, TENTACRUEL</v>
      </c>
      <c r="I1734" s="5" t="s">
        <v>3232</v>
      </c>
    </row>
    <row r="1735" ht="12.75" customHeight="1">
      <c r="A1735" s="5" t="s">
        <v>2926</v>
      </c>
      <c r="B1735" s="7">
        <v>20.0</v>
      </c>
      <c r="C1735" s="7" t="s">
        <v>3749</v>
      </c>
      <c r="D1735" s="7"/>
      <c r="E1735" s="7"/>
      <c r="G1735" s="5" t="str">
        <f t="shared" si="1"/>
        <v>old rod:</v>
      </c>
      <c r="I1735" s="5" t="s">
        <v>3750</v>
      </c>
    </row>
    <row r="1736" ht="12.75" customHeight="1">
      <c r="A1736" s="5" t="s">
        <v>417</v>
      </c>
      <c r="B1736" s="7">
        <v>5.0</v>
      </c>
      <c r="C1736" s="7">
        <v>5.0</v>
      </c>
      <c r="D1736" s="7" t="s">
        <v>3751</v>
      </c>
      <c r="E1736" s="7"/>
      <c r="G1736" s="5" t="str">
        <f t="shared" si="1"/>
        <v>5, 5, MAGIKARP</v>
      </c>
      <c r="I1736" s="5" t="s">
        <v>417</v>
      </c>
    </row>
    <row r="1737" ht="12.75" customHeight="1">
      <c r="A1737" s="5" t="s">
        <v>417</v>
      </c>
      <c r="B1737" s="7">
        <v>5.0</v>
      </c>
      <c r="C1737" s="7">
        <v>5.0</v>
      </c>
      <c r="D1737" s="7" t="s">
        <v>3751</v>
      </c>
      <c r="E1737" s="7"/>
      <c r="G1737" s="5" t="str">
        <f t="shared" si="1"/>
        <v>5, 5, MAGIKARP</v>
      </c>
      <c r="I1737" s="5" t="s">
        <v>417</v>
      </c>
    </row>
    <row r="1738" ht="12.75" customHeight="1">
      <c r="A1738" s="5" t="s">
        <v>2847</v>
      </c>
      <c r="B1738" s="7" t="s">
        <v>2847</v>
      </c>
      <c r="C1738" s="7"/>
      <c r="D1738" s="7"/>
      <c r="E1738" s="7"/>
      <c r="G1738" s="5" t="str">
        <f t="shared" si="1"/>
        <v>good rod:</v>
      </c>
      <c r="I1738" s="5" t="s">
        <v>2847</v>
      </c>
    </row>
    <row r="1739" ht="12.75" customHeight="1">
      <c r="A1739" s="5" t="s">
        <v>2848</v>
      </c>
      <c r="B1739" s="7">
        <v>5.0</v>
      </c>
      <c r="C1739" s="7">
        <v>15.0</v>
      </c>
      <c r="D1739" s="7" t="s">
        <v>3752</v>
      </c>
      <c r="E1739" s="7"/>
      <c r="G1739" s="5" t="str">
        <f t="shared" si="1"/>
        <v>5, 15, KRABBY</v>
      </c>
      <c r="I1739" s="5" t="s">
        <v>2848</v>
      </c>
    </row>
    <row r="1740" ht="12.75" customHeight="1">
      <c r="A1740" s="5" t="s">
        <v>2849</v>
      </c>
      <c r="B1740" s="7">
        <v>5.0</v>
      </c>
      <c r="C1740" s="7">
        <v>15.0</v>
      </c>
      <c r="D1740" s="7" t="s">
        <v>3751</v>
      </c>
      <c r="E1740" s="7"/>
      <c r="G1740" s="5" t="str">
        <f t="shared" si="1"/>
        <v>5, 15, MAGIKARP</v>
      </c>
      <c r="I1740" s="5" t="s">
        <v>2849</v>
      </c>
    </row>
    <row r="1741" ht="12.75" customHeight="1">
      <c r="A1741" s="5" t="s">
        <v>2848</v>
      </c>
      <c r="B1741" s="7">
        <v>5.0</v>
      </c>
      <c r="C1741" s="7">
        <v>15.0</v>
      </c>
      <c r="D1741" s="7" t="s">
        <v>3752</v>
      </c>
      <c r="E1741" s="7"/>
      <c r="G1741" s="5" t="str">
        <f t="shared" si="1"/>
        <v>5, 15, KRABBY</v>
      </c>
      <c r="I1741" s="5" t="s">
        <v>2848</v>
      </c>
    </row>
    <row r="1742" ht="12.75" customHeight="1">
      <c r="A1742" s="5" t="s">
        <v>2851</v>
      </c>
      <c r="B1742" s="7" t="s">
        <v>2851</v>
      </c>
      <c r="C1742" s="7"/>
      <c r="D1742" s="7"/>
      <c r="E1742" s="7"/>
      <c r="G1742" s="5" t="str">
        <f t="shared" si="1"/>
        <v>super rod:</v>
      </c>
      <c r="I1742" s="5" t="s">
        <v>2851</v>
      </c>
    </row>
    <row r="1743" ht="12.75" customHeight="1">
      <c r="A1743" s="5" t="s">
        <v>2852</v>
      </c>
      <c r="B1743" s="7">
        <v>15.0</v>
      </c>
      <c r="C1743" s="7">
        <v>25.0</v>
      </c>
      <c r="D1743" s="7" t="s">
        <v>3752</v>
      </c>
      <c r="E1743" s="7"/>
      <c r="G1743" s="5" t="str">
        <f t="shared" si="1"/>
        <v>15, 25, KRABBY</v>
      </c>
      <c r="I1743" s="5" t="s">
        <v>2852</v>
      </c>
    </row>
    <row r="1744" ht="12.75" customHeight="1">
      <c r="A1744" s="5" t="s">
        <v>3259</v>
      </c>
      <c r="B1744" s="7">
        <v>15.0</v>
      </c>
      <c r="C1744" s="7">
        <v>25.0</v>
      </c>
      <c r="D1744" s="7" t="s">
        <v>3907</v>
      </c>
      <c r="E1744" s="7"/>
      <c r="G1744" s="5" t="str">
        <f t="shared" si="1"/>
        <v>15, 25, REMORAID</v>
      </c>
      <c r="I1744" s="5" t="s">
        <v>3259</v>
      </c>
    </row>
    <row r="1745" ht="12.75" customHeight="1">
      <c r="A1745" s="5" t="s">
        <v>2854</v>
      </c>
      <c r="B1745" s="7">
        <v>15.0</v>
      </c>
      <c r="C1745" s="7">
        <v>25.0</v>
      </c>
      <c r="D1745" s="7" t="s">
        <v>3755</v>
      </c>
      <c r="E1745" s="7"/>
      <c r="G1745" s="5" t="str">
        <f t="shared" si="1"/>
        <v>15, 25, GYARADOS</v>
      </c>
      <c r="I1745" s="5" t="s">
        <v>2854</v>
      </c>
    </row>
    <row r="1746" ht="12.75" customHeight="1">
      <c r="A1746" s="5" t="s">
        <v>3178</v>
      </c>
      <c r="B1746" s="7">
        <v>25.0</v>
      </c>
      <c r="C1746" s="7">
        <v>35.0</v>
      </c>
      <c r="D1746" s="7" t="s">
        <v>3860</v>
      </c>
      <c r="E1746" s="7"/>
      <c r="G1746" s="5" t="str">
        <f t="shared" si="1"/>
        <v>25, 35, KINGLER</v>
      </c>
      <c r="I1746" s="5" t="s">
        <v>3178</v>
      </c>
    </row>
    <row r="1747" ht="12.75" customHeight="1">
      <c r="A1747" s="5" t="s">
        <v>2856</v>
      </c>
      <c r="B1747" s="7">
        <v>25.0</v>
      </c>
      <c r="C1747" s="7">
        <v>35.0</v>
      </c>
      <c r="D1747" s="7" t="s">
        <v>3756</v>
      </c>
      <c r="E1747" s="7"/>
      <c r="G1747" s="5" t="str">
        <f t="shared" si="1"/>
        <v>25, 35, SLOWPOKE</v>
      </c>
      <c r="I1747" s="5" t="s">
        <v>2856</v>
      </c>
    </row>
    <row r="1748" ht="12.75" customHeight="1">
      <c r="A1748" s="5" t="s">
        <v>2539</v>
      </c>
      <c r="B1748" s="7" t="s">
        <v>2539</v>
      </c>
      <c r="C1748" s="7"/>
      <c r="D1748" s="7"/>
      <c r="E1748" s="7"/>
      <c r="G1748" s="5" t="str">
        <f t="shared" si="1"/>
        <v>NEW ROUTE</v>
      </c>
      <c r="I1748" s="5" t="s">
        <v>2539</v>
      </c>
    </row>
    <row r="1749" ht="12.75" customHeight="1">
      <c r="A1749" s="5" t="s">
        <v>2184</v>
      </c>
      <c r="B1749" s="7" t="s">
        <v>2184</v>
      </c>
      <c r="C1749" s="7"/>
      <c r="D1749" s="7"/>
      <c r="E1749" s="7"/>
      <c r="G1749" s="5" t="str">
        <f t="shared" si="1"/>
        <v>Six Island Green Path</v>
      </c>
      <c r="I1749" s="5" t="s">
        <v>2184</v>
      </c>
    </row>
    <row r="1750" ht="12.75" customHeight="1">
      <c r="A1750" s="5" t="s">
        <v>3173</v>
      </c>
      <c r="B1750" s="7">
        <v>2.0</v>
      </c>
      <c r="C1750" s="7">
        <v>5.0</v>
      </c>
      <c r="D1750" s="7">
        <v>20.0</v>
      </c>
      <c r="E1750" s="7" t="s">
        <v>3748</v>
      </c>
      <c r="G1750" s="5" t="str">
        <f t="shared" si="1"/>
        <v>2, 5, 20, TENTACOOL</v>
      </c>
      <c r="I1750" s="5" t="s">
        <v>3173</v>
      </c>
    </row>
    <row r="1751" ht="12.75" customHeight="1">
      <c r="A1751" s="5" t="s">
        <v>3174</v>
      </c>
      <c r="B1751" s="7">
        <v>20.0</v>
      </c>
      <c r="C1751" s="7">
        <v>35.0</v>
      </c>
      <c r="D1751" s="7" t="s">
        <v>3748</v>
      </c>
      <c r="E1751" s="7"/>
      <c r="G1751" s="5" t="str">
        <f t="shared" si="1"/>
        <v>20, 35, TENTACOOL</v>
      </c>
      <c r="I1751" s="5" t="s">
        <v>3174</v>
      </c>
    </row>
    <row r="1752" ht="12.75" customHeight="1">
      <c r="A1752" s="5" t="s">
        <v>2845</v>
      </c>
      <c r="B1752" s="7">
        <v>35.0</v>
      </c>
      <c r="C1752" s="7">
        <v>40.0</v>
      </c>
      <c r="D1752" s="7" t="s">
        <v>3748</v>
      </c>
      <c r="E1752" s="7"/>
      <c r="G1752" s="5" t="str">
        <f t="shared" si="1"/>
        <v>35, 40, TENTACOOL</v>
      </c>
      <c r="I1752" s="5" t="s">
        <v>2845</v>
      </c>
    </row>
    <row r="1753" ht="12.75" customHeight="1">
      <c r="A1753" s="5" t="s">
        <v>3232</v>
      </c>
      <c r="B1753" s="7">
        <v>35.0</v>
      </c>
      <c r="C1753" s="7">
        <v>40.0</v>
      </c>
      <c r="D1753" s="7" t="s">
        <v>3898</v>
      </c>
      <c r="E1753" s="7"/>
      <c r="G1753" s="5" t="str">
        <f t="shared" si="1"/>
        <v>35, 40, TENTACRUEL</v>
      </c>
      <c r="I1753" s="5" t="s">
        <v>3232</v>
      </c>
    </row>
    <row r="1754" ht="12.75" customHeight="1">
      <c r="A1754" s="5" t="s">
        <v>3232</v>
      </c>
      <c r="B1754" s="7">
        <v>35.0</v>
      </c>
      <c r="C1754" s="7">
        <v>40.0</v>
      </c>
      <c r="D1754" s="7" t="s">
        <v>3898</v>
      </c>
      <c r="E1754" s="7"/>
      <c r="G1754" s="5" t="str">
        <f t="shared" si="1"/>
        <v>35, 40, TENTACRUEL</v>
      </c>
      <c r="I1754" s="5" t="s">
        <v>3232</v>
      </c>
    </row>
    <row r="1755" ht="12.75" customHeight="1">
      <c r="A1755" s="5" t="s">
        <v>2926</v>
      </c>
      <c r="B1755" s="7">
        <v>20.0</v>
      </c>
      <c r="C1755" s="7" t="s">
        <v>3749</v>
      </c>
      <c r="D1755" s="7"/>
      <c r="E1755" s="7"/>
      <c r="G1755" s="5" t="str">
        <f t="shared" si="1"/>
        <v>old rod:</v>
      </c>
      <c r="I1755" s="5" t="s">
        <v>3750</v>
      </c>
    </row>
    <row r="1756" ht="12.75" customHeight="1">
      <c r="A1756" s="5" t="s">
        <v>417</v>
      </c>
      <c r="B1756" s="7">
        <v>5.0</v>
      </c>
      <c r="C1756" s="7">
        <v>5.0</v>
      </c>
      <c r="D1756" s="7" t="s">
        <v>3751</v>
      </c>
      <c r="E1756" s="7"/>
      <c r="G1756" s="5" t="str">
        <f t="shared" si="1"/>
        <v>5, 5, MAGIKARP</v>
      </c>
      <c r="I1756" s="5" t="s">
        <v>417</v>
      </c>
    </row>
    <row r="1757" ht="12.75" customHeight="1">
      <c r="A1757" s="5" t="s">
        <v>417</v>
      </c>
      <c r="B1757" s="7">
        <v>5.0</v>
      </c>
      <c r="C1757" s="7">
        <v>5.0</v>
      </c>
      <c r="D1757" s="7" t="s">
        <v>3751</v>
      </c>
      <c r="E1757" s="7"/>
      <c r="G1757" s="5" t="str">
        <f t="shared" si="1"/>
        <v>5, 5, MAGIKARP</v>
      </c>
      <c r="I1757" s="5" t="s">
        <v>417</v>
      </c>
    </row>
    <row r="1758" ht="12.75" customHeight="1">
      <c r="A1758" s="5" t="s">
        <v>2847</v>
      </c>
      <c r="B1758" s="7" t="s">
        <v>2847</v>
      </c>
      <c r="C1758" s="7"/>
      <c r="D1758" s="7"/>
      <c r="E1758" s="7"/>
      <c r="G1758" s="5" t="str">
        <f t="shared" si="1"/>
        <v>good rod:</v>
      </c>
      <c r="I1758" s="5" t="s">
        <v>2847</v>
      </c>
    </row>
    <row r="1759" ht="12.75" customHeight="1">
      <c r="A1759" s="5" t="s">
        <v>2848</v>
      </c>
      <c r="B1759" s="7">
        <v>5.0</v>
      </c>
      <c r="C1759" s="7">
        <v>15.0</v>
      </c>
      <c r="D1759" s="7" t="s">
        <v>3752</v>
      </c>
      <c r="E1759" s="7"/>
      <c r="G1759" s="5" t="str">
        <f t="shared" si="1"/>
        <v>5, 15, KRABBY</v>
      </c>
      <c r="I1759" s="5" t="s">
        <v>2848</v>
      </c>
    </row>
    <row r="1760" ht="12.75" customHeight="1">
      <c r="A1760" s="5" t="s">
        <v>2849</v>
      </c>
      <c r="B1760" s="7">
        <v>5.0</v>
      </c>
      <c r="C1760" s="7">
        <v>15.0</v>
      </c>
      <c r="D1760" s="7" t="s">
        <v>3751</v>
      </c>
      <c r="E1760" s="7"/>
      <c r="G1760" s="5" t="str">
        <f t="shared" si="1"/>
        <v>5, 15, MAGIKARP</v>
      </c>
      <c r="I1760" s="5" t="s">
        <v>2849</v>
      </c>
    </row>
    <row r="1761" ht="12.75" customHeight="1">
      <c r="A1761" s="5" t="s">
        <v>2848</v>
      </c>
      <c r="B1761" s="7">
        <v>5.0</v>
      </c>
      <c r="C1761" s="7">
        <v>15.0</v>
      </c>
      <c r="D1761" s="7" t="s">
        <v>3752</v>
      </c>
      <c r="E1761" s="7"/>
      <c r="G1761" s="5" t="str">
        <f t="shared" si="1"/>
        <v>5, 15, KRABBY</v>
      </c>
      <c r="I1761" s="5" t="s">
        <v>2848</v>
      </c>
    </row>
    <row r="1762" ht="12.75" customHeight="1">
      <c r="A1762" s="5" t="s">
        <v>2851</v>
      </c>
      <c r="B1762" s="7" t="s">
        <v>2851</v>
      </c>
      <c r="C1762" s="7"/>
      <c r="D1762" s="7"/>
      <c r="E1762" s="7"/>
      <c r="G1762" s="5" t="str">
        <f t="shared" si="1"/>
        <v>super rod:</v>
      </c>
      <c r="I1762" s="5" t="s">
        <v>2851</v>
      </c>
    </row>
    <row r="1763" ht="12.75" customHeight="1">
      <c r="A1763" s="5" t="s">
        <v>2852</v>
      </c>
      <c r="B1763" s="7">
        <v>15.0</v>
      </c>
      <c r="C1763" s="7">
        <v>25.0</v>
      </c>
      <c r="D1763" s="7" t="s">
        <v>3752</v>
      </c>
      <c r="E1763" s="7"/>
      <c r="G1763" s="5" t="str">
        <f t="shared" si="1"/>
        <v>15, 25, KRABBY</v>
      </c>
      <c r="I1763" s="5" t="s">
        <v>2852</v>
      </c>
    </row>
    <row r="1764" ht="12.75" customHeight="1">
      <c r="A1764" s="5" t="s">
        <v>3259</v>
      </c>
      <c r="B1764" s="7">
        <v>15.0</v>
      </c>
      <c r="C1764" s="7">
        <v>25.0</v>
      </c>
      <c r="D1764" s="7" t="s">
        <v>3907</v>
      </c>
      <c r="E1764" s="7"/>
      <c r="G1764" s="5" t="str">
        <f t="shared" si="1"/>
        <v>15, 25, REMORAID</v>
      </c>
      <c r="I1764" s="5" t="s">
        <v>3259</v>
      </c>
    </row>
    <row r="1765" ht="12.75" customHeight="1">
      <c r="A1765" s="5" t="s">
        <v>2854</v>
      </c>
      <c r="B1765" s="7">
        <v>15.0</v>
      </c>
      <c r="C1765" s="7">
        <v>25.0</v>
      </c>
      <c r="D1765" s="7" t="s">
        <v>3755</v>
      </c>
      <c r="E1765" s="7"/>
      <c r="G1765" s="5" t="str">
        <f t="shared" si="1"/>
        <v>15, 25, GYARADOS</v>
      </c>
      <c r="I1765" s="5" t="s">
        <v>2854</v>
      </c>
    </row>
    <row r="1766" ht="12.75" customHeight="1">
      <c r="A1766" s="5" t="s">
        <v>3178</v>
      </c>
      <c r="B1766" s="7">
        <v>25.0</v>
      </c>
      <c r="C1766" s="7">
        <v>35.0</v>
      </c>
      <c r="D1766" s="7" t="s">
        <v>3860</v>
      </c>
      <c r="E1766" s="7"/>
      <c r="G1766" s="5" t="str">
        <f t="shared" si="1"/>
        <v>25, 35, KINGLER</v>
      </c>
      <c r="I1766" s="5" t="s">
        <v>3178</v>
      </c>
    </row>
    <row r="1767" ht="12.75" customHeight="1">
      <c r="A1767" s="5" t="s">
        <v>2856</v>
      </c>
      <c r="B1767" s="7">
        <v>25.0</v>
      </c>
      <c r="C1767" s="7">
        <v>35.0</v>
      </c>
      <c r="D1767" s="7" t="s">
        <v>3756</v>
      </c>
      <c r="E1767" s="7"/>
      <c r="G1767" s="5" t="str">
        <f t="shared" si="1"/>
        <v>25, 35, SLOWPOKE</v>
      </c>
      <c r="I1767" s="5" t="s">
        <v>2856</v>
      </c>
    </row>
    <row r="1768" ht="12.75" customHeight="1">
      <c r="A1768" s="5" t="s">
        <v>2539</v>
      </c>
      <c r="B1768" s="7" t="s">
        <v>2539</v>
      </c>
      <c r="C1768" s="7"/>
      <c r="D1768" s="7"/>
      <c r="E1768" s="7"/>
      <c r="G1768" s="5" t="str">
        <f t="shared" si="1"/>
        <v>NEW ROUTE</v>
      </c>
      <c r="I1768" s="5" t="s">
        <v>2539</v>
      </c>
    </row>
    <row r="1769" ht="12.75" customHeight="1">
      <c r="A1769" s="5" t="s">
        <v>2186</v>
      </c>
      <c r="B1769" s="7" t="s">
        <v>2186</v>
      </c>
      <c r="C1769" s="7"/>
      <c r="D1769" s="7"/>
      <c r="E1769" s="7"/>
      <c r="G1769" s="5" t="str">
        <f t="shared" si="1"/>
        <v>Six Island Water Path</v>
      </c>
      <c r="I1769" s="5" t="s">
        <v>2186</v>
      </c>
    </row>
    <row r="1770" ht="12.75" customHeight="1">
      <c r="A1770" s="5">
        <v>0.2</v>
      </c>
      <c r="B1770" s="5">
        <v>0.2</v>
      </c>
      <c r="C1770" s="7"/>
      <c r="D1770" s="7"/>
      <c r="E1770" s="7"/>
      <c r="G1770" s="5">
        <f t="shared" si="1"/>
        <v>0.2</v>
      </c>
      <c r="I1770" s="5">
        <v>0.2</v>
      </c>
    </row>
    <row r="1771" ht="12.75" customHeight="1">
      <c r="A1771" s="5" t="s">
        <v>887</v>
      </c>
      <c r="B1771" s="7">
        <v>44.0</v>
      </c>
      <c r="C1771" s="7">
        <v>44.0</v>
      </c>
      <c r="D1771" s="7" t="s">
        <v>3884</v>
      </c>
      <c r="E1771" s="7"/>
      <c r="G1771" s="5" t="str">
        <f t="shared" si="1"/>
        <v>44, 44, SPEAROW</v>
      </c>
      <c r="I1771" s="5" t="s">
        <v>887</v>
      </c>
    </row>
    <row r="1772" ht="12.75" customHeight="1">
      <c r="A1772" s="5" t="s">
        <v>3262</v>
      </c>
      <c r="B1772" s="7">
        <v>10.0</v>
      </c>
      <c r="C1772" s="7">
        <v>10.0</v>
      </c>
      <c r="D1772" s="7" t="s">
        <v>3908</v>
      </c>
      <c r="E1772" s="7"/>
      <c r="G1772" s="5" t="str">
        <f t="shared" si="1"/>
        <v>10, 10, SENTRET</v>
      </c>
      <c r="I1772" s="5" t="s">
        <v>3262</v>
      </c>
    </row>
    <row r="1773" ht="12.75" customHeight="1">
      <c r="A1773" s="5">
        <v>0.1</v>
      </c>
      <c r="B1773" s="5">
        <v>0.1</v>
      </c>
      <c r="C1773" s="7"/>
      <c r="D1773" s="7"/>
      <c r="E1773" s="7"/>
      <c r="G1773" s="5">
        <f t="shared" si="1"/>
        <v>0.1</v>
      </c>
      <c r="I1773" s="5">
        <v>0.1</v>
      </c>
    </row>
    <row r="1774" ht="12.75" customHeight="1">
      <c r="A1774" s="5" t="s">
        <v>3279</v>
      </c>
      <c r="B1774" s="7">
        <v>44.0</v>
      </c>
      <c r="C1774" s="7">
        <v>44.0</v>
      </c>
      <c r="D1774" s="7" t="s">
        <v>3891</v>
      </c>
      <c r="E1774" s="7"/>
      <c r="G1774" s="5" t="str">
        <f t="shared" si="1"/>
        <v>44, 44, BELLSPROUT</v>
      </c>
      <c r="I1774" s="5" t="s">
        <v>3279</v>
      </c>
    </row>
    <row r="1775" ht="12.75" customHeight="1">
      <c r="A1775" s="5" t="s">
        <v>3280</v>
      </c>
      <c r="B1775" s="7">
        <v>48.0</v>
      </c>
      <c r="C1775" s="7">
        <v>48.0</v>
      </c>
      <c r="D1775" s="7" t="s">
        <v>3883</v>
      </c>
      <c r="E1775" s="7"/>
      <c r="G1775" s="5" t="str">
        <f t="shared" si="1"/>
        <v>48, 48, FEAROW</v>
      </c>
      <c r="I1775" s="5" t="s">
        <v>3280</v>
      </c>
    </row>
    <row r="1776" ht="12.75" customHeight="1">
      <c r="A1776" s="5" t="s">
        <v>3264</v>
      </c>
      <c r="B1776" s="7">
        <v>15.0</v>
      </c>
      <c r="C1776" s="7">
        <v>15.0</v>
      </c>
      <c r="D1776" s="7" t="s">
        <v>3908</v>
      </c>
      <c r="E1776" s="7"/>
      <c r="G1776" s="5" t="str">
        <f t="shared" si="1"/>
        <v>15, 15, SENTRET</v>
      </c>
      <c r="I1776" s="5" t="s">
        <v>3264</v>
      </c>
    </row>
    <row r="1777" ht="12.75" customHeight="1">
      <c r="A1777" s="5" t="s">
        <v>3265</v>
      </c>
      <c r="B1777" s="7">
        <v>41.0</v>
      </c>
      <c r="C1777" s="7">
        <v>41.0</v>
      </c>
      <c r="D1777" s="7" t="s">
        <v>3903</v>
      </c>
      <c r="E1777" s="7"/>
      <c r="G1777" s="5" t="str">
        <f t="shared" si="1"/>
        <v>41, 41, MEOWTH</v>
      </c>
      <c r="I1777" s="5" t="s">
        <v>3265</v>
      </c>
    </row>
    <row r="1778" ht="12.75" customHeight="1">
      <c r="A1778" s="5">
        <v>0.05</v>
      </c>
      <c r="B1778" s="5">
        <v>0.05</v>
      </c>
      <c r="C1778" s="7"/>
      <c r="D1778" s="7"/>
      <c r="E1778" s="7"/>
      <c r="G1778" s="5">
        <f t="shared" si="1"/>
        <v>0.05</v>
      </c>
      <c r="I1778" s="5">
        <v>0.05</v>
      </c>
    </row>
    <row r="1779" ht="12.75" customHeight="1">
      <c r="A1779" s="5" t="s">
        <v>3281</v>
      </c>
      <c r="B1779" s="7">
        <v>48.0</v>
      </c>
      <c r="C1779" s="7">
        <v>48.0</v>
      </c>
      <c r="D1779" s="7" t="s">
        <v>3889</v>
      </c>
      <c r="E1779" s="7"/>
      <c r="G1779" s="5" t="str">
        <f t="shared" si="1"/>
        <v>48, 48, WEEPINBELL</v>
      </c>
      <c r="I1779" s="5" t="s">
        <v>3281</v>
      </c>
    </row>
    <row r="1780" ht="12.75" customHeight="1">
      <c r="A1780" s="5" t="s">
        <v>3155</v>
      </c>
      <c r="B1780" s="7">
        <v>41.0</v>
      </c>
      <c r="C1780" s="7">
        <v>41.0</v>
      </c>
      <c r="D1780" s="7" t="s">
        <v>3756</v>
      </c>
      <c r="E1780" s="7"/>
      <c r="G1780" s="5" t="str">
        <f t="shared" si="1"/>
        <v>41, 41, SLOWPOKE</v>
      </c>
      <c r="I1780" s="5" t="s">
        <v>3155</v>
      </c>
    </row>
    <row r="1781" ht="12.75" customHeight="1">
      <c r="A1781" s="5">
        <v>0.04</v>
      </c>
      <c r="B1781" s="5">
        <v>0.04</v>
      </c>
      <c r="C1781" s="7"/>
      <c r="D1781" s="7"/>
      <c r="E1781" s="7"/>
      <c r="G1781" s="5">
        <f t="shared" si="1"/>
        <v>0.04</v>
      </c>
      <c r="I1781" s="5">
        <v>0.04</v>
      </c>
    </row>
    <row r="1782" ht="12.75" customHeight="1">
      <c r="A1782" s="5" t="s">
        <v>3282</v>
      </c>
      <c r="B1782" s="7">
        <v>50.0</v>
      </c>
      <c r="C1782" s="7">
        <v>50.0</v>
      </c>
      <c r="D1782" s="7" t="s">
        <v>3883</v>
      </c>
      <c r="E1782" s="7"/>
      <c r="G1782" s="5" t="str">
        <f t="shared" si="1"/>
        <v>50, 50, FEAROW</v>
      </c>
      <c r="I1782" s="5" t="s">
        <v>3282</v>
      </c>
    </row>
    <row r="1783" ht="12.75" customHeight="1">
      <c r="A1783" s="5" t="s">
        <v>3268</v>
      </c>
      <c r="B1783" s="7">
        <v>47.0</v>
      </c>
      <c r="C1783" s="7">
        <v>47.0</v>
      </c>
      <c r="D1783" s="7" t="s">
        <v>3904</v>
      </c>
      <c r="E1783" s="7"/>
      <c r="G1783" s="5" t="str">
        <f t="shared" si="1"/>
        <v>47, 47, PERSIAN</v>
      </c>
      <c r="I1783" s="5" t="s">
        <v>3268</v>
      </c>
    </row>
    <row r="1784" ht="12.75" customHeight="1">
      <c r="A1784" s="5">
        <v>0.01</v>
      </c>
      <c r="B1784" s="5">
        <v>0.01</v>
      </c>
      <c r="C1784" s="7"/>
      <c r="D1784" s="7"/>
      <c r="E1784" s="7"/>
      <c r="G1784" s="5">
        <f t="shared" si="1"/>
        <v>0.01</v>
      </c>
      <c r="I1784" s="5">
        <v>0.01</v>
      </c>
    </row>
    <row r="1785" ht="12.75" customHeight="1">
      <c r="A1785" s="5" t="s">
        <v>3282</v>
      </c>
      <c r="B1785" s="7">
        <v>50.0</v>
      </c>
      <c r="C1785" s="7">
        <v>50.0</v>
      </c>
      <c r="D1785" s="7" t="s">
        <v>3883</v>
      </c>
      <c r="E1785" s="7"/>
      <c r="G1785" s="5" t="str">
        <f t="shared" si="1"/>
        <v>50, 50, FEAROW</v>
      </c>
      <c r="I1785" s="5" t="s">
        <v>3282</v>
      </c>
    </row>
    <row r="1786" ht="12.75" customHeight="1">
      <c r="A1786" s="5" t="s">
        <v>3269</v>
      </c>
      <c r="B1786" s="7">
        <v>50.0</v>
      </c>
      <c r="C1786" s="7">
        <v>50.0</v>
      </c>
      <c r="D1786" s="7" t="s">
        <v>3904</v>
      </c>
      <c r="E1786" s="7"/>
      <c r="G1786" s="5" t="str">
        <f t="shared" si="1"/>
        <v>50, 50, PERSIAN</v>
      </c>
      <c r="I1786" s="5" t="s">
        <v>3269</v>
      </c>
    </row>
    <row r="1787" ht="12.75" customHeight="1">
      <c r="A1787" s="5" t="s">
        <v>3173</v>
      </c>
      <c r="B1787" s="7">
        <v>2.0</v>
      </c>
      <c r="C1787" s="7">
        <v>5.0</v>
      </c>
      <c r="D1787" s="7">
        <v>20.0</v>
      </c>
      <c r="E1787" s="7" t="s">
        <v>3748</v>
      </c>
      <c r="G1787" s="5" t="str">
        <f t="shared" si="1"/>
        <v>2, 5, 20, TENTACOOL</v>
      </c>
      <c r="I1787" s="5" t="s">
        <v>3173</v>
      </c>
    </row>
    <row r="1788" ht="12.75" customHeight="1">
      <c r="A1788" s="5" t="s">
        <v>3174</v>
      </c>
      <c r="B1788" s="7">
        <v>20.0</v>
      </c>
      <c r="C1788" s="7">
        <v>35.0</v>
      </c>
      <c r="D1788" s="7" t="s">
        <v>3748</v>
      </c>
      <c r="E1788" s="7"/>
      <c r="G1788" s="5" t="str">
        <f t="shared" si="1"/>
        <v>20, 35, TENTACOOL</v>
      </c>
      <c r="I1788" s="5" t="s">
        <v>3174</v>
      </c>
    </row>
    <row r="1789" ht="12.75" customHeight="1">
      <c r="A1789" s="5" t="s">
        <v>2845</v>
      </c>
      <c r="B1789" s="7">
        <v>35.0</v>
      </c>
      <c r="C1789" s="7">
        <v>40.0</v>
      </c>
      <c r="D1789" s="7" t="s">
        <v>3748</v>
      </c>
      <c r="E1789" s="7"/>
      <c r="G1789" s="5" t="str">
        <f t="shared" si="1"/>
        <v>35, 40, TENTACOOL</v>
      </c>
      <c r="I1789" s="5" t="s">
        <v>2845</v>
      </c>
    </row>
    <row r="1790" ht="12.75" customHeight="1">
      <c r="A1790" s="5" t="s">
        <v>3232</v>
      </c>
      <c r="B1790" s="7">
        <v>35.0</v>
      </c>
      <c r="C1790" s="7">
        <v>40.0</v>
      </c>
      <c r="D1790" s="7" t="s">
        <v>3898</v>
      </c>
      <c r="E1790" s="7"/>
      <c r="G1790" s="5" t="str">
        <f t="shared" si="1"/>
        <v>35, 40, TENTACRUEL</v>
      </c>
      <c r="I1790" s="5" t="s">
        <v>3232</v>
      </c>
    </row>
    <row r="1791" ht="12.75" customHeight="1">
      <c r="A1791" s="5" t="s">
        <v>3232</v>
      </c>
      <c r="B1791" s="7">
        <v>35.0</v>
      </c>
      <c r="C1791" s="7">
        <v>40.0</v>
      </c>
      <c r="D1791" s="7" t="s">
        <v>3898</v>
      </c>
      <c r="E1791" s="7"/>
      <c r="G1791" s="5" t="str">
        <f t="shared" si="1"/>
        <v>35, 40, TENTACRUEL</v>
      </c>
      <c r="I1791" s="5" t="s">
        <v>3232</v>
      </c>
    </row>
    <row r="1792" ht="12.75" customHeight="1">
      <c r="A1792" s="5" t="s">
        <v>2926</v>
      </c>
      <c r="B1792" s="7">
        <v>20.0</v>
      </c>
      <c r="C1792" s="7" t="s">
        <v>3749</v>
      </c>
      <c r="D1792" s="7"/>
      <c r="E1792" s="7"/>
      <c r="G1792" s="5" t="str">
        <f t="shared" si="1"/>
        <v>old rod:</v>
      </c>
      <c r="I1792" s="5" t="s">
        <v>3750</v>
      </c>
    </row>
    <row r="1793" ht="12.75" customHeight="1">
      <c r="A1793" s="5" t="s">
        <v>417</v>
      </c>
      <c r="B1793" s="7">
        <v>5.0</v>
      </c>
      <c r="C1793" s="7">
        <v>5.0</v>
      </c>
      <c r="D1793" s="7" t="s">
        <v>3751</v>
      </c>
      <c r="E1793" s="7"/>
      <c r="G1793" s="5" t="str">
        <f t="shared" si="1"/>
        <v>5, 5, MAGIKARP</v>
      </c>
      <c r="I1793" s="5" t="s">
        <v>417</v>
      </c>
    </row>
    <row r="1794" ht="12.75" customHeight="1">
      <c r="A1794" s="5" t="s">
        <v>417</v>
      </c>
      <c r="B1794" s="7">
        <v>5.0</v>
      </c>
      <c r="C1794" s="7">
        <v>5.0</v>
      </c>
      <c r="D1794" s="7" t="s">
        <v>3751</v>
      </c>
      <c r="E1794" s="7"/>
      <c r="G1794" s="5" t="str">
        <f t="shared" si="1"/>
        <v>5, 5, MAGIKARP</v>
      </c>
      <c r="I1794" s="5" t="s">
        <v>417</v>
      </c>
    </row>
    <row r="1795" ht="12.75" customHeight="1">
      <c r="A1795" s="5" t="s">
        <v>2847</v>
      </c>
      <c r="B1795" s="7" t="s">
        <v>2847</v>
      </c>
      <c r="C1795" s="7"/>
      <c r="D1795" s="7"/>
      <c r="E1795" s="7"/>
      <c r="G1795" s="5" t="str">
        <f t="shared" si="1"/>
        <v>good rod:</v>
      </c>
      <c r="I1795" s="5" t="s">
        <v>2847</v>
      </c>
    </row>
    <row r="1796" ht="12.75" customHeight="1">
      <c r="A1796" s="5" t="s">
        <v>2848</v>
      </c>
      <c r="B1796" s="7">
        <v>5.0</v>
      </c>
      <c r="C1796" s="7">
        <v>15.0</v>
      </c>
      <c r="D1796" s="7" t="s">
        <v>3752</v>
      </c>
      <c r="E1796" s="7"/>
      <c r="G1796" s="5" t="str">
        <f t="shared" si="1"/>
        <v>5, 15, KRABBY</v>
      </c>
      <c r="I1796" s="5" t="s">
        <v>2848</v>
      </c>
    </row>
    <row r="1797" ht="12.75" customHeight="1">
      <c r="A1797" s="5" t="s">
        <v>2849</v>
      </c>
      <c r="B1797" s="7">
        <v>5.0</v>
      </c>
      <c r="C1797" s="7">
        <v>15.0</v>
      </c>
      <c r="D1797" s="7" t="s">
        <v>3751</v>
      </c>
      <c r="E1797" s="7"/>
      <c r="G1797" s="5" t="str">
        <f t="shared" si="1"/>
        <v>5, 15, MAGIKARP</v>
      </c>
      <c r="I1797" s="5" t="s">
        <v>2849</v>
      </c>
    </row>
    <row r="1798" ht="12.75" customHeight="1">
      <c r="A1798" s="5" t="s">
        <v>2848</v>
      </c>
      <c r="B1798" s="7">
        <v>5.0</v>
      </c>
      <c r="C1798" s="7">
        <v>15.0</v>
      </c>
      <c r="D1798" s="7" t="s">
        <v>3752</v>
      </c>
      <c r="E1798" s="7"/>
      <c r="G1798" s="5" t="str">
        <f t="shared" si="1"/>
        <v>5, 15, KRABBY</v>
      </c>
      <c r="I1798" s="5" t="s">
        <v>2848</v>
      </c>
    </row>
    <row r="1799" ht="12.75" customHeight="1">
      <c r="A1799" s="5" t="s">
        <v>2851</v>
      </c>
      <c r="B1799" s="7" t="s">
        <v>2851</v>
      </c>
      <c r="C1799" s="7"/>
      <c r="D1799" s="7"/>
      <c r="E1799" s="7"/>
      <c r="G1799" s="5" t="str">
        <f t="shared" si="1"/>
        <v>super rod:</v>
      </c>
      <c r="I1799" s="5" t="s">
        <v>2851</v>
      </c>
    </row>
    <row r="1800" ht="12.75" customHeight="1">
      <c r="A1800" s="5" t="s">
        <v>2852</v>
      </c>
      <c r="B1800" s="7">
        <v>15.0</v>
      </c>
      <c r="C1800" s="7">
        <v>25.0</v>
      </c>
      <c r="D1800" s="7" t="s">
        <v>3752</v>
      </c>
      <c r="E1800" s="7"/>
      <c r="G1800" s="5" t="str">
        <f t="shared" si="1"/>
        <v>15, 25, KRABBY</v>
      </c>
      <c r="I1800" s="5" t="s">
        <v>2852</v>
      </c>
    </row>
    <row r="1801" ht="12.75" customHeight="1">
      <c r="A1801" s="5" t="s">
        <v>3259</v>
      </c>
      <c r="B1801" s="7">
        <v>15.0</v>
      </c>
      <c r="C1801" s="7">
        <v>25.0</v>
      </c>
      <c r="D1801" s="7" t="s">
        <v>3907</v>
      </c>
      <c r="E1801" s="7"/>
      <c r="G1801" s="5" t="str">
        <f t="shared" si="1"/>
        <v>15, 25, REMORAID</v>
      </c>
      <c r="I1801" s="5" t="s">
        <v>3259</v>
      </c>
    </row>
    <row r="1802" ht="12.75" customHeight="1">
      <c r="A1802" s="5" t="s">
        <v>2854</v>
      </c>
      <c r="B1802" s="7">
        <v>15.0</v>
      </c>
      <c r="C1802" s="7">
        <v>25.0</v>
      </c>
      <c r="D1802" s="7" t="s">
        <v>3755</v>
      </c>
      <c r="E1802" s="7"/>
      <c r="G1802" s="5" t="str">
        <f t="shared" si="1"/>
        <v>15, 25, GYARADOS</v>
      </c>
      <c r="I1802" s="5" t="s">
        <v>2854</v>
      </c>
    </row>
    <row r="1803" ht="12.75" customHeight="1">
      <c r="A1803" s="5" t="s">
        <v>3178</v>
      </c>
      <c r="B1803" s="7">
        <v>25.0</v>
      </c>
      <c r="C1803" s="7">
        <v>35.0</v>
      </c>
      <c r="D1803" s="7" t="s">
        <v>3860</v>
      </c>
      <c r="E1803" s="7"/>
      <c r="G1803" s="5" t="str">
        <f t="shared" si="1"/>
        <v>25, 35, KINGLER</v>
      </c>
      <c r="I1803" s="5" t="s">
        <v>3178</v>
      </c>
    </row>
    <row r="1804" ht="12.75" customHeight="1">
      <c r="A1804" s="5" t="s">
        <v>2856</v>
      </c>
      <c r="B1804" s="7">
        <v>25.0</v>
      </c>
      <c r="C1804" s="7">
        <v>35.0</v>
      </c>
      <c r="D1804" s="7" t="s">
        <v>3756</v>
      </c>
      <c r="E1804" s="7"/>
      <c r="G1804" s="5" t="str">
        <f t="shared" si="1"/>
        <v>25, 35, SLOWPOKE</v>
      </c>
      <c r="I1804" s="5" t="s">
        <v>2856</v>
      </c>
    </row>
    <row r="1805" ht="12.75" customHeight="1">
      <c r="A1805" s="5" t="s">
        <v>2539</v>
      </c>
      <c r="B1805" s="7" t="s">
        <v>2539</v>
      </c>
      <c r="C1805" s="7"/>
      <c r="D1805" s="7"/>
      <c r="E1805" s="7"/>
      <c r="G1805" s="5" t="str">
        <f t="shared" si="1"/>
        <v>NEW ROUTE</v>
      </c>
      <c r="I1805" s="5" t="s">
        <v>2539</v>
      </c>
    </row>
    <row r="1806" ht="12.75" customHeight="1">
      <c r="A1806" s="5" t="s">
        <v>2188</v>
      </c>
      <c r="B1806" s="7" t="s">
        <v>2188</v>
      </c>
      <c r="C1806" s="7"/>
      <c r="D1806" s="7"/>
      <c r="E1806" s="7"/>
      <c r="G1806" s="5" t="str">
        <f t="shared" si="1"/>
        <v>Six Island Ruin Valley</v>
      </c>
      <c r="I1806" s="5" t="s">
        <v>2188</v>
      </c>
    </row>
    <row r="1807" ht="12.75" customHeight="1">
      <c r="A1807" s="5">
        <v>0.2</v>
      </c>
      <c r="B1807" s="5">
        <v>0.2</v>
      </c>
      <c r="C1807" s="7"/>
      <c r="D1807" s="7"/>
      <c r="E1807" s="7"/>
      <c r="G1807" s="5">
        <f t="shared" si="1"/>
        <v>0.2</v>
      </c>
      <c r="I1807" s="5">
        <v>0.2</v>
      </c>
    </row>
    <row r="1808" ht="12.75" customHeight="1">
      <c r="A1808" s="5" t="s">
        <v>894</v>
      </c>
      <c r="B1808" s="7">
        <v>15.0</v>
      </c>
      <c r="C1808" s="7">
        <v>15.0</v>
      </c>
      <c r="D1808" s="7" t="s">
        <v>3909</v>
      </c>
      <c r="E1808" s="7"/>
      <c r="G1808" s="5" t="str">
        <f t="shared" si="1"/>
        <v>15, 15, NATU</v>
      </c>
      <c r="I1808" s="5" t="s">
        <v>894</v>
      </c>
    </row>
    <row r="1809" ht="12.75" customHeight="1">
      <c r="A1809" s="5" t="s">
        <v>887</v>
      </c>
      <c r="B1809" s="7">
        <v>44.0</v>
      </c>
      <c r="C1809" s="7">
        <v>44.0</v>
      </c>
      <c r="D1809" s="7" t="s">
        <v>3884</v>
      </c>
      <c r="E1809" s="7"/>
      <c r="G1809" s="5" t="str">
        <f t="shared" si="1"/>
        <v>44, 44, SPEAROW</v>
      </c>
      <c r="I1809" s="5" t="s">
        <v>887</v>
      </c>
    </row>
    <row r="1810" ht="12.75" customHeight="1">
      <c r="A1810" s="5">
        <v>0.1</v>
      </c>
      <c r="B1810" s="5">
        <v>0.1</v>
      </c>
      <c r="C1810" s="7"/>
      <c r="D1810" s="7"/>
      <c r="E1810" s="7"/>
      <c r="G1810" s="5">
        <f t="shared" si="1"/>
        <v>0.1</v>
      </c>
      <c r="I1810" s="5">
        <v>0.1</v>
      </c>
    </row>
    <row r="1811" ht="12.75" customHeight="1">
      <c r="A1811" s="5" t="s">
        <v>3284</v>
      </c>
      <c r="B1811" s="7">
        <v>18.0</v>
      </c>
      <c r="C1811" s="7">
        <v>18.0</v>
      </c>
      <c r="D1811" s="7" t="s">
        <v>3910</v>
      </c>
      <c r="E1811" s="7"/>
      <c r="G1811" s="5" t="str">
        <f t="shared" si="1"/>
        <v>18, 18, YANMA</v>
      </c>
      <c r="I1811" s="5" t="s">
        <v>3284</v>
      </c>
    </row>
    <row r="1812" ht="12.75" customHeight="1">
      <c r="A1812" s="5" t="s">
        <v>3285</v>
      </c>
      <c r="B1812" s="7">
        <v>15.0</v>
      </c>
      <c r="C1812" s="7">
        <v>15.0</v>
      </c>
      <c r="D1812" s="7" t="s">
        <v>3895</v>
      </c>
      <c r="E1812" s="7"/>
      <c r="G1812" s="5" t="str">
        <f t="shared" si="1"/>
        <v>15, 15, MARILL</v>
      </c>
      <c r="I1812" s="5" t="s">
        <v>3285</v>
      </c>
    </row>
    <row r="1813" ht="12.75" customHeight="1">
      <c r="A1813" s="5" t="s">
        <v>3286</v>
      </c>
      <c r="B1813" s="7">
        <v>49.0</v>
      </c>
      <c r="C1813" s="7">
        <v>49.0</v>
      </c>
      <c r="D1813" s="7" t="s">
        <v>3883</v>
      </c>
      <c r="E1813" s="7"/>
      <c r="G1813" s="5" t="str">
        <f t="shared" si="1"/>
        <v>49, 49, FEAROW</v>
      </c>
      <c r="I1813" s="5" t="s">
        <v>3286</v>
      </c>
    </row>
    <row r="1814" ht="12.75" customHeight="1">
      <c r="A1814" s="5" t="s">
        <v>3287</v>
      </c>
      <c r="B1814" s="7">
        <v>43.0</v>
      </c>
      <c r="C1814" s="7">
        <v>43.0</v>
      </c>
      <c r="D1814" s="7" t="s">
        <v>3903</v>
      </c>
      <c r="E1814" s="7"/>
      <c r="G1814" s="5" t="str">
        <f t="shared" si="1"/>
        <v>43, 43, MEOWTH</v>
      </c>
      <c r="I1814" s="5" t="s">
        <v>3287</v>
      </c>
    </row>
    <row r="1815" ht="12.75" customHeight="1">
      <c r="A1815" s="5">
        <v>0.05</v>
      </c>
      <c r="B1815" s="5">
        <v>0.05</v>
      </c>
      <c r="C1815" s="7"/>
      <c r="D1815" s="7"/>
      <c r="E1815" s="7"/>
      <c r="G1815" s="5">
        <f t="shared" si="1"/>
        <v>0.05</v>
      </c>
      <c r="I1815" s="5">
        <v>0.05</v>
      </c>
    </row>
    <row r="1816" ht="12.75" customHeight="1">
      <c r="A1816" s="5" t="s">
        <v>3288</v>
      </c>
      <c r="B1816" s="7">
        <v>25.0</v>
      </c>
      <c r="C1816" s="7">
        <v>25.0</v>
      </c>
      <c r="D1816" s="7" t="s">
        <v>3911</v>
      </c>
      <c r="E1816" s="7"/>
      <c r="G1816" s="5" t="str">
        <f t="shared" si="1"/>
        <v>25, 25, WOBBUFFET</v>
      </c>
      <c r="I1816" s="5" t="s">
        <v>3288</v>
      </c>
    </row>
    <row r="1817" ht="12.75" customHeight="1">
      <c r="A1817" s="5" t="s">
        <v>3155</v>
      </c>
      <c r="B1817" s="7">
        <v>41.0</v>
      </c>
      <c r="C1817" s="7">
        <v>41.0</v>
      </c>
      <c r="D1817" s="7" t="s">
        <v>3756</v>
      </c>
      <c r="E1817" s="7"/>
      <c r="G1817" s="5" t="str">
        <f t="shared" si="1"/>
        <v>41, 41, SLOWPOKE</v>
      </c>
      <c r="I1817" s="5" t="s">
        <v>3155</v>
      </c>
    </row>
    <row r="1818" ht="12.75" customHeight="1">
      <c r="A1818" s="5">
        <v>0.04</v>
      </c>
      <c r="B1818" s="5">
        <v>0.04</v>
      </c>
      <c r="C1818" s="7"/>
      <c r="D1818" s="7"/>
      <c r="E1818" s="7"/>
      <c r="G1818" s="5">
        <f t="shared" si="1"/>
        <v>0.04</v>
      </c>
      <c r="I1818" s="5">
        <v>0.04</v>
      </c>
    </row>
    <row r="1819" ht="12.75" customHeight="1">
      <c r="A1819" s="5" t="s">
        <v>3289</v>
      </c>
      <c r="B1819" s="7">
        <v>20.0</v>
      </c>
      <c r="C1819" s="7">
        <v>20.0</v>
      </c>
      <c r="D1819" s="7" t="s">
        <v>3909</v>
      </c>
      <c r="E1819" s="7"/>
      <c r="G1819" s="5" t="str">
        <f t="shared" si="1"/>
        <v>20, 20, NATU</v>
      </c>
      <c r="I1819" s="5" t="s">
        <v>3289</v>
      </c>
    </row>
    <row r="1820" ht="12.75" customHeight="1">
      <c r="A1820" s="5" t="s">
        <v>3290</v>
      </c>
      <c r="B1820" s="7">
        <v>49.0</v>
      </c>
      <c r="C1820" s="7">
        <v>49.0</v>
      </c>
      <c r="D1820" s="7" t="s">
        <v>3904</v>
      </c>
      <c r="E1820" s="7"/>
      <c r="G1820" s="5" t="str">
        <f t="shared" si="1"/>
        <v>49, 49, PERSIAN</v>
      </c>
      <c r="I1820" s="5" t="s">
        <v>3290</v>
      </c>
    </row>
    <row r="1821" ht="12.75" customHeight="1">
      <c r="A1821" s="5">
        <v>0.01</v>
      </c>
      <c r="B1821" s="5">
        <v>0.01</v>
      </c>
      <c r="C1821" s="7"/>
      <c r="D1821" s="7"/>
      <c r="E1821" s="7"/>
      <c r="G1821" s="5">
        <f t="shared" si="1"/>
        <v>0.01</v>
      </c>
      <c r="I1821" s="5">
        <v>0.01</v>
      </c>
    </row>
    <row r="1822" ht="12.75" customHeight="1">
      <c r="A1822" s="5" t="s">
        <v>3289</v>
      </c>
      <c r="B1822" s="7">
        <v>20.0</v>
      </c>
      <c r="C1822" s="7">
        <v>20.0</v>
      </c>
      <c r="D1822" s="7" t="s">
        <v>3909</v>
      </c>
      <c r="E1822" s="7"/>
      <c r="G1822" s="5" t="str">
        <f t="shared" si="1"/>
        <v>20, 20, NATU</v>
      </c>
      <c r="I1822" s="5" t="s">
        <v>3289</v>
      </c>
    </row>
    <row r="1823" ht="12.75" customHeight="1">
      <c r="A1823" s="5" t="s">
        <v>3291</v>
      </c>
      <c r="B1823" s="7">
        <v>52.0</v>
      </c>
      <c r="C1823" s="7">
        <v>52.0</v>
      </c>
      <c r="D1823" s="7" t="s">
        <v>3904</v>
      </c>
      <c r="E1823" s="7"/>
      <c r="G1823" s="5" t="str">
        <f t="shared" si="1"/>
        <v>52, 52, PERSIAN</v>
      </c>
      <c r="I1823" s="5" t="s">
        <v>3291</v>
      </c>
    </row>
    <row r="1824" ht="12.75" customHeight="1">
      <c r="A1824" s="5" t="s">
        <v>3292</v>
      </c>
      <c r="B1824" s="7">
        <v>2.0</v>
      </c>
      <c r="C1824" s="7">
        <v>5.0</v>
      </c>
      <c r="D1824" s="7">
        <v>20.0</v>
      </c>
      <c r="E1824" s="7" t="s">
        <v>3895</v>
      </c>
      <c r="G1824" s="5" t="str">
        <f t="shared" si="1"/>
        <v>2, 5, 20, MARILL</v>
      </c>
      <c r="I1824" s="5" t="s">
        <v>3292</v>
      </c>
    </row>
    <row r="1825" ht="12.75" customHeight="1">
      <c r="A1825" s="5" t="s">
        <v>3293</v>
      </c>
      <c r="B1825" s="7">
        <v>10.0</v>
      </c>
      <c r="C1825" s="7">
        <v>20.0</v>
      </c>
      <c r="D1825" s="7" t="s">
        <v>3895</v>
      </c>
      <c r="E1825" s="7"/>
      <c r="G1825" s="5" t="str">
        <f t="shared" si="1"/>
        <v>10, 20, MARILL</v>
      </c>
      <c r="I1825" s="5" t="s">
        <v>3293</v>
      </c>
    </row>
    <row r="1826" ht="12.75" customHeight="1">
      <c r="A1826" s="5" t="s">
        <v>3294</v>
      </c>
      <c r="B1826" s="7">
        <v>15.0</v>
      </c>
      <c r="C1826" s="7">
        <v>25.0</v>
      </c>
      <c r="D1826" s="7" t="s">
        <v>3895</v>
      </c>
      <c r="E1826" s="7"/>
      <c r="G1826" s="5" t="str">
        <f t="shared" si="1"/>
        <v>15, 25, MARILL</v>
      </c>
      <c r="I1826" s="5" t="s">
        <v>3294</v>
      </c>
    </row>
    <row r="1827" ht="12.75" customHeight="1">
      <c r="A1827" s="5" t="s">
        <v>3295</v>
      </c>
      <c r="B1827" s="7">
        <v>20.0</v>
      </c>
      <c r="C1827" s="7">
        <v>25.0</v>
      </c>
      <c r="D1827" s="7" t="s">
        <v>3895</v>
      </c>
      <c r="E1827" s="7"/>
      <c r="G1827" s="5" t="str">
        <f t="shared" si="1"/>
        <v>20, 25, MARILL</v>
      </c>
      <c r="I1827" s="5" t="s">
        <v>3295</v>
      </c>
    </row>
    <row r="1828" ht="12.75" customHeight="1">
      <c r="A1828" s="5" t="s">
        <v>3295</v>
      </c>
      <c r="B1828" s="7">
        <v>20.0</v>
      </c>
      <c r="C1828" s="7">
        <v>25.0</v>
      </c>
      <c r="D1828" s="7" t="s">
        <v>3895</v>
      </c>
      <c r="E1828" s="7"/>
      <c r="G1828" s="5" t="str">
        <f t="shared" si="1"/>
        <v>20, 25, MARILL</v>
      </c>
      <c r="I1828" s="5" t="s">
        <v>3295</v>
      </c>
    </row>
    <row r="1829" ht="12.75" customHeight="1">
      <c r="A1829" s="5" t="s">
        <v>2926</v>
      </c>
      <c r="B1829" s="7">
        <v>20.0</v>
      </c>
      <c r="C1829" s="7" t="s">
        <v>3749</v>
      </c>
      <c r="D1829" s="7"/>
      <c r="E1829" s="7"/>
      <c r="G1829" s="5" t="str">
        <f t="shared" si="1"/>
        <v>old rod:</v>
      </c>
      <c r="I1829" s="5" t="s">
        <v>3750</v>
      </c>
    </row>
    <row r="1830" ht="12.75" customHeight="1">
      <c r="A1830" s="5" t="s">
        <v>417</v>
      </c>
      <c r="B1830" s="7">
        <v>5.0</v>
      </c>
      <c r="C1830" s="7">
        <v>5.0</v>
      </c>
      <c r="D1830" s="7" t="s">
        <v>3751</v>
      </c>
      <c r="E1830" s="7"/>
      <c r="G1830" s="5" t="str">
        <f t="shared" si="1"/>
        <v>5, 5, MAGIKARP</v>
      </c>
      <c r="I1830" s="5" t="s">
        <v>417</v>
      </c>
    </row>
    <row r="1831" ht="12.75" customHeight="1">
      <c r="A1831" s="5" t="s">
        <v>417</v>
      </c>
      <c r="B1831" s="7">
        <v>5.0</v>
      </c>
      <c r="C1831" s="7">
        <v>5.0</v>
      </c>
      <c r="D1831" s="7" t="s">
        <v>3751</v>
      </c>
      <c r="E1831" s="7"/>
      <c r="G1831" s="5" t="str">
        <f t="shared" si="1"/>
        <v>5, 5, MAGIKARP</v>
      </c>
      <c r="I1831" s="5" t="s">
        <v>417</v>
      </c>
    </row>
    <row r="1832" ht="12.75" customHeight="1">
      <c r="A1832" s="5" t="s">
        <v>2847</v>
      </c>
      <c r="B1832" s="7" t="s">
        <v>2847</v>
      </c>
      <c r="C1832" s="7"/>
      <c r="D1832" s="7"/>
      <c r="E1832" s="7"/>
      <c r="G1832" s="5" t="str">
        <f t="shared" si="1"/>
        <v>good rod:</v>
      </c>
      <c r="I1832" s="5" t="s">
        <v>2847</v>
      </c>
    </row>
    <row r="1833" ht="12.75" customHeight="1">
      <c r="A1833" s="5" t="s">
        <v>3144</v>
      </c>
      <c r="B1833" s="7">
        <v>5.0</v>
      </c>
      <c r="C1833" s="7">
        <v>15.0</v>
      </c>
      <c r="D1833" s="7" t="s">
        <v>3804</v>
      </c>
      <c r="E1833" s="7"/>
      <c r="G1833" s="5" t="str">
        <f t="shared" si="1"/>
        <v>5, 15, POLIWAG</v>
      </c>
      <c r="I1833" s="5" t="s">
        <v>3144</v>
      </c>
    </row>
    <row r="1834" ht="12.75" customHeight="1">
      <c r="A1834" s="5" t="s">
        <v>2849</v>
      </c>
      <c r="B1834" s="7">
        <v>5.0</v>
      </c>
      <c r="C1834" s="7">
        <v>15.0</v>
      </c>
      <c r="D1834" s="7" t="s">
        <v>3751</v>
      </c>
      <c r="E1834" s="7"/>
      <c r="G1834" s="5" t="str">
        <f t="shared" si="1"/>
        <v>5, 15, MAGIKARP</v>
      </c>
      <c r="I1834" s="5" t="s">
        <v>2849</v>
      </c>
    </row>
    <row r="1835" ht="12.75" customHeight="1">
      <c r="A1835" s="5" t="s">
        <v>3143</v>
      </c>
      <c r="B1835" s="7">
        <v>5.0</v>
      </c>
      <c r="C1835" s="7">
        <v>15.0</v>
      </c>
      <c r="D1835" s="7" t="s">
        <v>3805</v>
      </c>
      <c r="E1835" s="7"/>
      <c r="G1835" s="5" t="str">
        <f t="shared" si="1"/>
        <v>5, 15, GOLDEEN</v>
      </c>
      <c r="I1835" s="5" t="s">
        <v>3143</v>
      </c>
    </row>
    <row r="1836" ht="12.75" customHeight="1">
      <c r="A1836" s="5" t="s">
        <v>2851</v>
      </c>
      <c r="B1836" s="7" t="s">
        <v>2851</v>
      </c>
      <c r="C1836" s="7"/>
      <c r="D1836" s="7"/>
      <c r="E1836" s="7"/>
      <c r="G1836" s="5" t="str">
        <f t="shared" si="1"/>
        <v>super rod:</v>
      </c>
      <c r="I1836" s="5" t="s">
        <v>2851</v>
      </c>
    </row>
    <row r="1837" ht="12.75" customHeight="1">
      <c r="A1837" s="5" t="s">
        <v>3162</v>
      </c>
      <c r="B1837" s="7">
        <v>15.0</v>
      </c>
      <c r="C1837" s="7">
        <v>25.0</v>
      </c>
      <c r="D1837" s="7" t="s">
        <v>3804</v>
      </c>
      <c r="E1837" s="7"/>
      <c r="G1837" s="5" t="str">
        <f t="shared" si="1"/>
        <v>15, 25, POLIWAG</v>
      </c>
      <c r="I1837" s="5" t="s">
        <v>3162</v>
      </c>
    </row>
    <row r="1838" ht="12.75" customHeight="1">
      <c r="A1838" s="5" t="s">
        <v>3163</v>
      </c>
      <c r="B1838" s="7">
        <v>20.0</v>
      </c>
      <c r="C1838" s="7">
        <v>30.0</v>
      </c>
      <c r="D1838" s="7" t="s">
        <v>3806</v>
      </c>
      <c r="E1838" s="7"/>
      <c r="G1838" s="5" t="str">
        <f t="shared" si="1"/>
        <v>20, 30, POLIWHIRL</v>
      </c>
      <c r="I1838" s="5" t="s">
        <v>3163</v>
      </c>
    </row>
    <row r="1839" ht="12.75" customHeight="1">
      <c r="A1839" s="5" t="s">
        <v>2854</v>
      </c>
      <c r="B1839" s="7">
        <v>15.0</v>
      </c>
      <c r="C1839" s="7">
        <v>25.0</v>
      </c>
      <c r="D1839" s="7" t="s">
        <v>3755</v>
      </c>
      <c r="E1839" s="7"/>
      <c r="G1839" s="5" t="str">
        <f t="shared" si="1"/>
        <v>15, 25, GYARADOS</v>
      </c>
      <c r="I1839" s="5" t="s">
        <v>2854</v>
      </c>
    </row>
    <row r="1840" ht="12.75" customHeight="1">
      <c r="A1840" s="5" t="s">
        <v>3147</v>
      </c>
      <c r="B1840" s="7">
        <v>15.0</v>
      </c>
      <c r="C1840" s="7">
        <v>25.0</v>
      </c>
      <c r="D1840" s="7" t="s">
        <v>3756</v>
      </c>
      <c r="E1840" s="7"/>
      <c r="G1840" s="5" t="str">
        <f t="shared" si="1"/>
        <v>15, 25, SLOWPOKE</v>
      </c>
      <c r="I1840" s="5" t="s">
        <v>3147</v>
      </c>
    </row>
    <row r="1841" ht="12.75" customHeight="1">
      <c r="A1841" s="5" t="s">
        <v>2856</v>
      </c>
      <c r="B1841" s="7">
        <v>25.0</v>
      </c>
      <c r="C1841" s="7">
        <v>35.0</v>
      </c>
      <c r="D1841" s="7" t="s">
        <v>3756</v>
      </c>
      <c r="E1841" s="7"/>
      <c r="G1841" s="5" t="str">
        <f t="shared" si="1"/>
        <v>25, 35, SLOWPOKE</v>
      </c>
      <c r="I1841" s="5" t="s">
        <v>2856</v>
      </c>
    </row>
    <row r="1842" ht="12.75" customHeight="1">
      <c r="A1842" s="5" t="s">
        <v>2539</v>
      </c>
      <c r="B1842" s="7" t="s">
        <v>2539</v>
      </c>
      <c r="C1842" s="7"/>
      <c r="D1842" s="7"/>
      <c r="E1842" s="7"/>
      <c r="G1842" s="5" t="str">
        <f t="shared" si="1"/>
        <v>NEW ROUTE</v>
      </c>
      <c r="I1842" s="5" t="s">
        <v>2539</v>
      </c>
    </row>
    <row r="1843" ht="12.75" customHeight="1">
      <c r="A1843" s="5" t="s">
        <v>2190</v>
      </c>
      <c r="B1843" s="7" t="s">
        <v>2190</v>
      </c>
      <c r="C1843" s="7"/>
      <c r="D1843" s="7"/>
      <c r="E1843" s="7"/>
      <c r="G1843" s="5" t="str">
        <f t="shared" si="1"/>
        <v>Seven Island Trainer Tower</v>
      </c>
      <c r="I1843" s="5" t="s">
        <v>2190</v>
      </c>
    </row>
    <row r="1844" ht="12.75" customHeight="1">
      <c r="A1844" s="5" t="s">
        <v>3173</v>
      </c>
      <c r="B1844" s="7">
        <v>2.0</v>
      </c>
      <c r="C1844" s="7">
        <v>5.0</v>
      </c>
      <c r="D1844" s="7">
        <v>20.0</v>
      </c>
      <c r="E1844" s="7" t="s">
        <v>3748</v>
      </c>
      <c r="G1844" s="5" t="str">
        <f t="shared" si="1"/>
        <v>2, 5, 20, TENTACOOL</v>
      </c>
      <c r="I1844" s="5" t="s">
        <v>3173</v>
      </c>
    </row>
    <row r="1845" ht="12.75" customHeight="1">
      <c r="A1845" s="5" t="s">
        <v>3174</v>
      </c>
      <c r="B1845" s="7">
        <v>20.0</v>
      </c>
      <c r="C1845" s="7">
        <v>35.0</v>
      </c>
      <c r="D1845" s="7" t="s">
        <v>3748</v>
      </c>
      <c r="E1845" s="7"/>
      <c r="G1845" s="5" t="str">
        <f t="shared" si="1"/>
        <v>20, 35, TENTACOOL</v>
      </c>
      <c r="I1845" s="5" t="s">
        <v>3174</v>
      </c>
    </row>
    <row r="1846" ht="12.75" customHeight="1">
      <c r="A1846" s="5" t="s">
        <v>3297</v>
      </c>
      <c r="B1846" s="7">
        <v>35.0</v>
      </c>
      <c r="C1846" s="7">
        <v>40.0</v>
      </c>
      <c r="D1846" s="7" t="s">
        <v>3912</v>
      </c>
      <c r="E1846" s="7"/>
      <c r="G1846" s="5" t="str">
        <f t="shared" si="1"/>
        <v>35, 40, MANTINE</v>
      </c>
      <c r="I1846" s="5" t="s">
        <v>3297</v>
      </c>
    </row>
    <row r="1847" ht="12.75" customHeight="1">
      <c r="A1847" s="5" t="s">
        <v>3232</v>
      </c>
      <c r="B1847" s="7">
        <v>35.0</v>
      </c>
      <c r="C1847" s="7">
        <v>40.0</v>
      </c>
      <c r="D1847" s="7" t="s">
        <v>3898</v>
      </c>
      <c r="E1847" s="7"/>
      <c r="G1847" s="5" t="str">
        <f t="shared" si="1"/>
        <v>35, 40, TENTACRUEL</v>
      </c>
      <c r="I1847" s="5" t="s">
        <v>3232</v>
      </c>
    </row>
    <row r="1848" ht="12.75" customHeight="1">
      <c r="A1848" s="5" t="s">
        <v>3232</v>
      </c>
      <c r="B1848" s="7">
        <v>35.0</v>
      </c>
      <c r="C1848" s="7">
        <v>40.0</v>
      </c>
      <c r="D1848" s="7" t="s">
        <v>3898</v>
      </c>
      <c r="E1848" s="7"/>
      <c r="G1848" s="5" t="str">
        <f t="shared" si="1"/>
        <v>35, 40, TENTACRUEL</v>
      </c>
      <c r="I1848" s="5" t="s">
        <v>3232</v>
      </c>
    </row>
    <row r="1849" ht="12.75" customHeight="1">
      <c r="A1849" s="5" t="s">
        <v>2926</v>
      </c>
      <c r="B1849" s="7">
        <v>20.0</v>
      </c>
      <c r="C1849" s="7" t="s">
        <v>3749</v>
      </c>
      <c r="D1849" s="7"/>
      <c r="E1849" s="7"/>
      <c r="G1849" s="5" t="str">
        <f t="shared" si="1"/>
        <v>old rod:</v>
      </c>
      <c r="I1849" s="5" t="s">
        <v>3750</v>
      </c>
    </row>
    <row r="1850" ht="12.75" customHeight="1">
      <c r="A1850" s="5" t="s">
        <v>417</v>
      </c>
      <c r="B1850" s="7">
        <v>5.0</v>
      </c>
      <c r="C1850" s="7">
        <v>5.0</v>
      </c>
      <c r="D1850" s="7" t="s">
        <v>3751</v>
      </c>
      <c r="E1850" s="7"/>
      <c r="G1850" s="5" t="str">
        <f t="shared" si="1"/>
        <v>5, 5, MAGIKARP</v>
      </c>
      <c r="I1850" s="5" t="s">
        <v>417</v>
      </c>
    </row>
    <row r="1851" ht="12.75" customHeight="1">
      <c r="A1851" s="5" t="s">
        <v>417</v>
      </c>
      <c r="B1851" s="7">
        <v>5.0</v>
      </c>
      <c r="C1851" s="7">
        <v>5.0</v>
      </c>
      <c r="D1851" s="7" t="s">
        <v>3751</v>
      </c>
      <c r="E1851" s="7"/>
      <c r="G1851" s="5" t="str">
        <f t="shared" si="1"/>
        <v>5, 5, MAGIKARP</v>
      </c>
      <c r="I1851" s="5" t="s">
        <v>417</v>
      </c>
    </row>
    <row r="1852" ht="12.75" customHeight="1">
      <c r="A1852" s="5" t="s">
        <v>2847</v>
      </c>
      <c r="B1852" s="7" t="s">
        <v>2847</v>
      </c>
      <c r="C1852" s="7"/>
      <c r="D1852" s="7"/>
      <c r="E1852" s="7"/>
      <c r="G1852" s="5" t="str">
        <f t="shared" si="1"/>
        <v>good rod:</v>
      </c>
      <c r="I1852" s="5" t="s">
        <v>2847</v>
      </c>
    </row>
    <row r="1853" ht="12.75" customHeight="1">
      <c r="A1853" s="5" t="s">
        <v>2848</v>
      </c>
      <c r="B1853" s="7">
        <v>5.0</v>
      </c>
      <c r="C1853" s="7">
        <v>15.0</v>
      </c>
      <c r="D1853" s="7" t="s">
        <v>3752</v>
      </c>
      <c r="E1853" s="7"/>
      <c r="G1853" s="5" t="str">
        <f t="shared" si="1"/>
        <v>5, 15, KRABBY</v>
      </c>
      <c r="I1853" s="5" t="s">
        <v>2848</v>
      </c>
    </row>
    <row r="1854" ht="12.75" customHeight="1">
      <c r="A1854" s="5" t="s">
        <v>2849</v>
      </c>
      <c r="B1854" s="7">
        <v>5.0</v>
      </c>
      <c r="C1854" s="7">
        <v>15.0</v>
      </c>
      <c r="D1854" s="7" t="s">
        <v>3751</v>
      </c>
      <c r="E1854" s="7"/>
      <c r="G1854" s="5" t="str">
        <f t="shared" si="1"/>
        <v>5, 15, MAGIKARP</v>
      </c>
      <c r="I1854" s="5" t="s">
        <v>2849</v>
      </c>
    </row>
    <row r="1855" ht="12.75" customHeight="1">
      <c r="A1855" s="5" t="s">
        <v>2848</v>
      </c>
      <c r="B1855" s="7">
        <v>5.0</v>
      </c>
      <c r="C1855" s="7">
        <v>15.0</v>
      </c>
      <c r="D1855" s="7" t="s">
        <v>3752</v>
      </c>
      <c r="E1855" s="7"/>
      <c r="G1855" s="5" t="str">
        <f t="shared" si="1"/>
        <v>5, 15, KRABBY</v>
      </c>
      <c r="I1855" s="5" t="s">
        <v>2848</v>
      </c>
    </row>
    <row r="1856" ht="12.75" customHeight="1">
      <c r="A1856" s="5" t="s">
        <v>2851</v>
      </c>
      <c r="B1856" s="7" t="s">
        <v>2851</v>
      </c>
      <c r="C1856" s="7"/>
      <c r="D1856" s="7"/>
      <c r="E1856" s="7"/>
      <c r="G1856" s="5" t="str">
        <f t="shared" si="1"/>
        <v>super rod:</v>
      </c>
      <c r="I1856" s="5" t="s">
        <v>2851</v>
      </c>
    </row>
    <row r="1857" ht="12.75" customHeight="1">
      <c r="A1857" s="5" t="s">
        <v>2852</v>
      </c>
      <c r="B1857" s="7">
        <v>15.0</v>
      </c>
      <c r="C1857" s="7">
        <v>25.0</v>
      </c>
      <c r="D1857" s="7" t="s">
        <v>3752</v>
      </c>
      <c r="E1857" s="7"/>
      <c r="G1857" s="5" t="str">
        <f t="shared" si="1"/>
        <v>15, 25, KRABBY</v>
      </c>
      <c r="I1857" s="5" t="s">
        <v>2852</v>
      </c>
    </row>
    <row r="1858" ht="12.75" customHeight="1">
      <c r="A1858" s="5" t="s">
        <v>3259</v>
      </c>
      <c r="B1858" s="7">
        <v>15.0</v>
      </c>
      <c r="C1858" s="7">
        <v>25.0</v>
      </c>
      <c r="D1858" s="7" t="s">
        <v>3907</v>
      </c>
      <c r="E1858" s="7"/>
      <c r="G1858" s="5" t="str">
        <f t="shared" si="1"/>
        <v>15, 25, REMORAID</v>
      </c>
      <c r="I1858" s="5" t="s">
        <v>3259</v>
      </c>
    </row>
    <row r="1859" ht="12.75" customHeight="1">
      <c r="A1859" s="5" t="s">
        <v>2854</v>
      </c>
      <c r="B1859" s="7">
        <v>15.0</v>
      </c>
      <c r="C1859" s="7">
        <v>25.0</v>
      </c>
      <c r="D1859" s="7" t="s">
        <v>3755</v>
      </c>
      <c r="E1859" s="7"/>
      <c r="G1859" s="5" t="str">
        <f t="shared" si="1"/>
        <v>15, 25, GYARADOS</v>
      </c>
      <c r="I1859" s="5" t="s">
        <v>2854</v>
      </c>
    </row>
    <row r="1860" ht="12.75" customHeight="1">
      <c r="A1860" s="5" t="s">
        <v>3178</v>
      </c>
      <c r="B1860" s="7">
        <v>25.0</v>
      </c>
      <c r="C1860" s="7">
        <v>35.0</v>
      </c>
      <c r="D1860" s="7" t="s">
        <v>3860</v>
      </c>
      <c r="E1860" s="7"/>
      <c r="G1860" s="5" t="str">
        <f t="shared" si="1"/>
        <v>25, 35, KINGLER</v>
      </c>
      <c r="I1860" s="5" t="s">
        <v>3178</v>
      </c>
    </row>
    <row r="1861" ht="12.75" customHeight="1">
      <c r="A1861" s="5" t="s">
        <v>2856</v>
      </c>
      <c r="B1861" s="7">
        <v>25.0</v>
      </c>
      <c r="C1861" s="7">
        <v>35.0</v>
      </c>
      <c r="D1861" s="7" t="s">
        <v>3756</v>
      </c>
      <c r="E1861" s="7"/>
      <c r="G1861" s="5" t="str">
        <f t="shared" si="1"/>
        <v>25, 35, SLOWPOKE</v>
      </c>
      <c r="I1861" s="5" t="s">
        <v>2856</v>
      </c>
    </row>
    <row r="1862" ht="12.75" customHeight="1">
      <c r="A1862" s="5" t="s">
        <v>2539</v>
      </c>
      <c r="B1862" s="7" t="s">
        <v>2539</v>
      </c>
      <c r="C1862" s="7"/>
      <c r="D1862" s="7"/>
      <c r="E1862" s="7"/>
      <c r="G1862" s="5" t="str">
        <f t="shared" si="1"/>
        <v>NEW ROUTE</v>
      </c>
      <c r="I1862" s="5" t="s">
        <v>2539</v>
      </c>
    </row>
    <row r="1863" ht="12.75" customHeight="1">
      <c r="A1863" s="5" t="s">
        <v>2192</v>
      </c>
      <c r="B1863" s="7" t="s">
        <v>2192</v>
      </c>
      <c r="C1863" s="7"/>
      <c r="D1863" s="7"/>
      <c r="E1863" s="7"/>
      <c r="G1863" s="5" t="str">
        <f t="shared" si="1"/>
        <v>Seven Island Sevault Canyon Entrance</v>
      </c>
      <c r="I1863" s="5" t="s">
        <v>2192</v>
      </c>
    </row>
    <row r="1864" ht="12.75" customHeight="1">
      <c r="A1864" s="5">
        <v>0.2</v>
      </c>
      <c r="B1864" s="5">
        <v>0.2</v>
      </c>
      <c r="C1864" s="7"/>
      <c r="D1864" s="7"/>
      <c r="E1864" s="7"/>
      <c r="G1864" s="5">
        <f t="shared" si="1"/>
        <v>0.2</v>
      </c>
      <c r="I1864" s="5">
        <v>0.2</v>
      </c>
    </row>
    <row r="1865" ht="12.75" customHeight="1">
      <c r="A1865" s="5" t="s">
        <v>887</v>
      </c>
      <c r="B1865" s="7">
        <v>44.0</v>
      </c>
      <c r="C1865" s="7">
        <v>44.0</v>
      </c>
      <c r="D1865" s="7" t="s">
        <v>3884</v>
      </c>
      <c r="E1865" s="7"/>
      <c r="G1865" s="5" t="str">
        <f t="shared" si="1"/>
        <v>44, 44, SPEAROW</v>
      </c>
      <c r="I1865" s="5" t="s">
        <v>887</v>
      </c>
    </row>
    <row r="1866" ht="12.75" customHeight="1">
      <c r="A1866" s="5" t="s">
        <v>3262</v>
      </c>
      <c r="B1866" s="7">
        <v>10.0</v>
      </c>
      <c r="C1866" s="7">
        <v>10.0</v>
      </c>
      <c r="D1866" s="7" t="s">
        <v>3908</v>
      </c>
      <c r="E1866" s="7"/>
      <c r="G1866" s="5" t="str">
        <f t="shared" si="1"/>
        <v>10, 10, SENTRET</v>
      </c>
      <c r="I1866" s="5" t="s">
        <v>3262</v>
      </c>
    </row>
    <row r="1867" ht="12.75" customHeight="1">
      <c r="A1867" s="5">
        <v>0.1</v>
      </c>
      <c r="B1867" s="5">
        <v>0.1</v>
      </c>
      <c r="C1867" s="7"/>
      <c r="D1867" s="7"/>
      <c r="E1867" s="7"/>
      <c r="G1867" s="5">
        <f t="shared" si="1"/>
        <v>0.1</v>
      </c>
      <c r="I1867" s="5">
        <v>0.1</v>
      </c>
    </row>
    <row r="1868" ht="12.75" customHeight="1">
      <c r="A1868" s="5" t="s">
        <v>3299</v>
      </c>
      <c r="B1868" s="7">
        <v>10.0</v>
      </c>
      <c r="C1868" s="7">
        <v>10.0</v>
      </c>
      <c r="D1868" s="7" t="s">
        <v>3913</v>
      </c>
      <c r="E1868" s="7"/>
      <c r="G1868" s="5" t="str">
        <f t="shared" si="1"/>
        <v>10, 10, PHANPY</v>
      </c>
      <c r="I1868" s="5" t="s">
        <v>3299</v>
      </c>
    </row>
    <row r="1869" ht="12.75" customHeight="1">
      <c r="A1869" s="5" t="s">
        <v>3280</v>
      </c>
      <c r="B1869" s="7">
        <v>48.0</v>
      </c>
      <c r="C1869" s="7">
        <v>48.0</v>
      </c>
      <c r="D1869" s="7" t="s">
        <v>3883</v>
      </c>
      <c r="E1869" s="7"/>
      <c r="G1869" s="5" t="str">
        <f t="shared" si="1"/>
        <v>48, 48, FEAROW</v>
      </c>
      <c r="I1869" s="5" t="s">
        <v>3280</v>
      </c>
    </row>
    <row r="1870" ht="12.75" customHeight="1">
      <c r="A1870" s="5" t="s">
        <v>3264</v>
      </c>
      <c r="B1870" s="7">
        <v>15.0</v>
      </c>
      <c r="C1870" s="7">
        <v>15.0</v>
      </c>
      <c r="D1870" s="7" t="s">
        <v>3908</v>
      </c>
      <c r="E1870" s="7"/>
      <c r="G1870" s="5" t="str">
        <f t="shared" si="1"/>
        <v>15, 15, SENTRET</v>
      </c>
      <c r="I1870" s="5" t="s">
        <v>3264</v>
      </c>
    </row>
    <row r="1871" ht="12.75" customHeight="1">
      <c r="A1871" s="5" t="s">
        <v>3265</v>
      </c>
      <c r="B1871" s="7">
        <v>41.0</v>
      </c>
      <c r="C1871" s="7">
        <v>41.0</v>
      </c>
      <c r="D1871" s="7" t="s">
        <v>3903</v>
      </c>
      <c r="E1871" s="7"/>
      <c r="G1871" s="5" t="str">
        <f t="shared" si="1"/>
        <v>41, 41, MEOWTH</v>
      </c>
      <c r="I1871" s="5" t="s">
        <v>3265</v>
      </c>
    </row>
    <row r="1872" ht="12.75" customHeight="1">
      <c r="A1872" s="5">
        <v>0.05</v>
      </c>
      <c r="B1872" s="5">
        <v>0.05</v>
      </c>
      <c r="C1872" s="7"/>
      <c r="D1872" s="7"/>
      <c r="E1872" s="7"/>
      <c r="G1872" s="5">
        <f t="shared" si="1"/>
        <v>0.05</v>
      </c>
      <c r="I1872" s="5">
        <v>0.05</v>
      </c>
    </row>
    <row r="1873" ht="12.75" customHeight="1">
      <c r="A1873" s="5" t="s">
        <v>3282</v>
      </c>
      <c r="B1873" s="7">
        <v>50.0</v>
      </c>
      <c r="C1873" s="7">
        <v>50.0</v>
      </c>
      <c r="D1873" s="7" t="s">
        <v>3883</v>
      </c>
      <c r="E1873" s="7"/>
      <c r="G1873" s="5" t="str">
        <f t="shared" si="1"/>
        <v>50, 50, FEAROW</v>
      </c>
      <c r="I1873" s="5" t="s">
        <v>3282</v>
      </c>
    </row>
    <row r="1874" ht="12.75" customHeight="1">
      <c r="A1874" s="5" t="s">
        <v>3155</v>
      </c>
      <c r="B1874" s="7">
        <v>41.0</v>
      </c>
      <c r="C1874" s="7">
        <v>41.0</v>
      </c>
      <c r="D1874" s="7" t="s">
        <v>3756</v>
      </c>
      <c r="E1874" s="7"/>
      <c r="G1874" s="5" t="str">
        <f t="shared" si="1"/>
        <v>41, 41, SLOWPOKE</v>
      </c>
      <c r="I1874" s="5" t="s">
        <v>3155</v>
      </c>
    </row>
    <row r="1875" ht="12.75" customHeight="1">
      <c r="A1875" s="5">
        <v>0.04</v>
      </c>
      <c r="B1875" s="5">
        <v>0.04</v>
      </c>
      <c r="C1875" s="7"/>
      <c r="D1875" s="7"/>
      <c r="E1875" s="7"/>
      <c r="G1875" s="5">
        <f t="shared" si="1"/>
        <v>0.04</v>
      </c>
      <c r="I1875" s="5">
        <v>0.04</v>
      </c>
    </row>
    <row r="1876" ht="12.75" customHeight="1">
      <c r="A1876" s="5" t="s">
        <v>3300</v>
      </c>
      <c r="B1876" s="7">
        <v>15.0</v>
      </c>
      <c r="C1876" s="7">
        <v>15.0</v>
      </c>
      <c r="D1876" s="7" t="s">
        <v>3913</v>
      </c>
      <c r="E1876" s="7"/>
      <c r="G1876" s="5" t="str">
        <f t="shared" si="1"/>
        <v>15, 15, PHANPY</v>
      </c>
      <c r="I1876" s="5" t="s">
        <v>3300</v>
      </c>
    </row>
    <row r="1877" ht="12.75" customHeight="1">
      <c r="A1877" s="5" t="s">
        <v>3268</v>
      </c>
      <c r="B1877" s="7">
        <v>47.0</v>
      </c>
      <c r="C1877" s="7">
        <v>47.0</v>
      </c>
      <c r="D1877" s="7" t="s">
        <v>3904</v>
      </c>
      <c r="E1877" s="7"/>
      <c r="G1877" s="5" t="str">
        <f t="shared" si="1"/>
        <v>47, 47, PERSIAN</v>
      </c>
      <c r="I1877" s="5" t="s">
        <v>3268</v>
      </c>
    </row>
    <row r="1878" ht="12.75" customHeight="1">
      <c r="A1878" s="5">
        <v>0.01</v>
      </c>
      <c r="B1878" s="5">
        <v>0.01</v>
      </c>
      <c r="C1878" s="7"/>
      <c r="D1878" s="7"/>
      <c r="E1878" s="7"/>
      <c r="G1878" s="5">
        <f t="shared" si="1"/>
        <v>0.01</v>
      </c>
      <c r="I1878" s="5">
        <v>0.01</v>
      </c>
    </row>
    <row r="1879" ht="12.75" customHeight="1">
      <c r="A1879" s="5" t="s">
        <v>3300</v>
      </c>
      <c r="B1879" s="7">
        <v>15.0</v>
      </c>
      <c r="C1879" s="7">
        <v>15.0</v>
      </c>
      <c r="D1879" s="7" t="s">
        <v>3913</v>
      </c>
      <c r="E1879" s="7"/>
      <c r="G1879" s="5" t="str">
        <f t="shared" si="1"/>
        <v>15, 15, PHANPY</v>
      </c>
      <c r="I1879" s="5" t="s">
        <v>3300</v>
      </c>
    </row>
    <row r="1880" ht="12.75" customHeight="1">
      <c r="A1880" s="5" t="s">
        <v>3269</v>
      </c>
      <c r="B1880" s="7">
        <v>50.0</v>
      </c>
      <c r="C1880" s="7">
        <v>50.0</v>
      </c>
      <c r="D1880" s="7" t="s">
        <v>3904</v>
      </c>
      <c r="E1880" s="7"/>
      <c r="G1880" s="5" t="str">
        <f t="shared" si="1"/>
        <v>50, 50, PERSIAN</v>
      </c>
      <c r="I1880" s="5" t="s">
        <v>3269</v>
      </c>
    </row>
    <row r="1881" ht="12.75" customHeight="1">
      <c r="A1881" s="5" t="s">
        <v>2539</v>
      </c>
      <c r="B1881" s="7" t="s">
        <v>2539</v>
      </c>
      <c r="C1881" s="7"/>
      <c r="D1881" s="7"/>
      <c r="E1881" s="7"/>
      <c r="G1881" s="5" t="str">
        <f t="shared" si="1"/>
        <v>NEW ROUTE</v>
      </c>
      <c r="I1881" s="5" t="s">
        <v>2539</v>
      </c>
    </row>
    <row r="1882" ht="12.75" customHeight="1">
      <c r="A1882" s="5" t="s">
        <v>2194</v>
      </c>
      <c r="B1882" s="7" t="s">
        <v>2194</v>
      </c>
      <c r="C1882" s="7"/>
      <c r="D1882" s="7"/>
      <c r="E1882" s="7"/>
      <c r="G1882" s="5" t="str">
        <f t="shared" si="1"/>
        <v>Seven Island Sevault Canyon</v>
      </c>
      <c r="I1882" s="5" t="s">
        <v>2194</v>
      </c>
    </row>
    <row r="1883" ht="12.75" customHeight="1">
      <c r="A1883" s="5">
        <v>0.2</v>
      </c>
      <c r="B1883" s="5">
        <v>0.2</v>
      </c>
      <c r="C1883" s="7"/>
      <c r="D1883" s="7"/>
      <c r="E1883" s="7"/>
      <c r="G1883" s="5">
        <f t="shared" si="1"/>
        <v>0.2</v>
      </c>
      <c r="I1883" s="5">
        <v>0.2</v>
      </c>
    </row>
    <row r="1884" ht="12.75" customHeight="1">
      <c r="A1884" s="5" t="s">
        <v>915</v>
      </c>
      <c r="B1884" s="7">
        <v>46.0</v>
      </c>
      <c r="C1884" s="7">
        <v>46.0</v>
      </c>
      <c r="D1884" s="7" t="s">
        <v>3741</v>
      </c>
      <c r="E1884" s="7"/>
      <c r="G1884" s="5" t="str">
        <f t="shared" si="1"/>
        <v>46, 46, GEODUDE</v>
      </c>
      <c r="I1884" s="5" t="s">
        <v>915</v>
      </c>
    </row>
    <row r="1885" ht="12.75" customHeight="1">
      <c r="A1885" s="5" t="s">
        <v>3300</v>
      </c>
      <c r="B1885" s="7">
        <v>15.0</v>
      </c>
      <c r="C1885" s="7">
        <v>15.0</v>
      </c>
      <c r="D1885" s="7" t="s">
        <v>3913</v>
      </c>
      <c r="E1885" s="7"/>
      <c r="G1885" s="5" t="str">
        <f t="shared" si="1"/>
        <v>15, 15, PHANPY</v>
      </c>
      <c r="I1885" s="5" t="s">
        <v>3300</v>
      </c>
    </row>
    <row r="1886" ht="12.75" customHeight="1">
      <c r="A1886" s="5">
        <v>0.1</v>
      </c>
      <c r="B1886" s="5">
        <v>0.1</v>
      </c>
      <c r="C1886" s="7"/>
      <c r="D1886" s="7"/>
      <c r="E1886" s="7"/>
      <c r="G1886" s="5">
        <f t="shared" si="1"/>
        <v>0.1</v>
      </c>
      <c r="I1886" s="5">
        <v>0.1</v>
      </c>
    </row>
    <row r="1887" ht="12.75" customHeight="1">
      <c r="A1887" s="5" t="s">
        <v>3303</v>
      </c>
      <c r="B1887" s="7">
        <v>46.0</v>
      </c>
      <c r="C1887" s="7">
        <v>46.0</v>
      </c>
      <c r="D1887" s="7" t="s">
        <v>3866</v>
      </c>
      <c r="E1887" s="7"/>
      <c r="G1887" s="5" t="str">
        <f t="shared" si="1"/>
        <v>46, 46, CUBONE</v>
      </c>
      <c r="I1887" s="5" t="s">
        <v>3303</v>
      </c>
    </row>
    <row r="1888" ht="12.75" customHeight="1">
      <c r="A1888" s="5" t="s">
        <v>3282</v>
      </c>
      <c r="B1888" s="7">
        <v>50.0</v>
      </c>
      <c r="C1888" s="7">
        <v>50.0</v>
      </c>
      <c r="D1888" s="7" t="s">
        <v>3883</v>
      </c>
      <c r="E1888" s="7"/>
      <c r="G1888" s="5" t="str">
        <f t="shared" si="1"/>
        <v>50, 50, FEAROW</v>
      </c>
      <c r="I1888" s="5" t="s">
        <v>3282</v>
      </c>
    </row>
    <row r="1889" ht="12.75" customHeight="1">
      <c r="A1889" s="5" t="s">
        <v>3304</v>
      </c>
      <c r="B1889" s="7">
        <v>52.0</v>
      </c>
      <c r="C1889" s="7">
        <v>52.0</v>
      </c>
      <c r="D1889" s="7" t="s">
        <v>3872</v>
      </c>
      <c r="E1889" s="7"/>
      <c r="G1889" s="5" t="str">
        <f t="shared" si="1"/>
        <v>52, 52, MAROWAK</v>
      </c>
      <c r="I1889" s="5" t="s">
        <v>3304</v>
      </c>
    </row>
    <row r="1890" ht="12.75" customHeight="1">
      <c r="A1890" s="5" t="s">
        <v>3287</v>
      </c>
      <c r="B1890" s="7">
        <v>43.0</v>
      </c>
      <c r="C1890" s="7">
        <v>43.0</v>
      </c>
      <c r="D1890" s="7" t="s">
        <v>3903</v>
      </c>
      <c r="E1890" s="7"/>
      <c r="G1890" s="5" t="str">
        <f t="shared" si="1"/>
        <v>43, 43, MEOWTH</v>
      </c>
      <c r="I1890" s="5" t="s">
        <v>3287</v>
      </c>
    </row>
    <row r="1891" ht="12.75" customHeight="1">
      <c r="A1891" s="5">
        <v>0.05</v>
      </c>
      <c r="B1891" s="5">
        <v>0.05</v>
      </c>
      <c r="C1891" s="7"/>
      <c r="D1891" s="7"/>
      <c r="E1891" s="7"/>
      <c r="G1891" s="5">
        <f t="shared" si="1"/>
        <v>0.05</v>
      </c>
      <c r="I1891" s="5">
        <v>0.05</v>
      </c>
    </row>
    <row r="1892" ht="12.75" customHeight="1">
      <c r="A1892" s="5" t="s">
        <v>3305</v>
      </c>
      <c r="B1892" s="7">
        <v>54.0</v>
      </c>
      <c r="C1892" s="7">
        <v>54.0</v>
      </c>
      <c r="D1892" s="7" t="s">
        <v>3744</v>
      </c>
      <c r="E1892" s="7"/>
      <c r="G1892" s="5" t="str">
        <f t="shared" si="1"/>
        <v>54, 54, ONIX</v>
      </c>
      <c r="I1892" s="5" t="s">
        <v>3305</v>
      </c>
    </row>
    <row r="1893" ht="12.75" customHeight="1">
      <c r="A1893" s="5" t="s">
        <v>3282</v>
      </c>
      <c r="B1893" s="7">
        <v>50.0</v>
      </c>
      <c r="C1893" s="7">
        <v>50.0</v>
      </c>
      <c r="D1893" s="7" t="s">
        <v>3883</v>
      </c>
      <c r="E1893" s="7"/>
      <c r="G1893" s="5" t="str">
        <f t="shared" si="1"/>
        <v>50, 50, FEAROW</v>
      </c>
      <c r="I1893" s="5" t="s">
        <v>3282</v>
      </c>
    </row>
    <row r="1894" ht="12.75" customHeight="1">
      <c r="A1894" s="5">
        <v>0.04</v>
      </c>
      <c r="B1894" s="5">
        <v>0.04</v>
      </c>
      <c r="C1894" s="7"/>
      <c r="D1894" s="7"/>
      <c r="E1894" s="7"/>
      <c r="G1894" s="5">
        <f t="shared" si="1"/>
        <v>0.04</v>
      </c>
      <c r="I1894" s="5">
        <v>0.04</v>
      </c>
    </row>
    <row r="1895" ht="12.75" customHeight="1">
      <c r="A1895" s="5" t="s">
        <v>3306</v>
      </c>
      <c r="B1895" s="7">
        <v>15.0</v>
      </c>
      <c r="C1895" s="7">
        <v>15.0</v>
      </c>
      <c r="D1895" s="7" t="s">
        <v>3914</v>
      </c>
      <c r="E1895" s="7"/>
      <c r="G1895" s="5" t="str">
        <f t="shared" si="1"/>
        <v>15, 15, LARVITAR</v>
      </c>
      <c r="I1895" s="5" t="s">
        <v>3306</v>
      </c>
    </row>
    <row r="1896" ht="12.75" customHeight="1">
      <c r="A1896" s="5" t="s">
        <v>3290</v>
      </c>
      <c r="B1896" s="7">
        <v>49.0</v>
      </c>
      <c r="C1896" s="7">
        <v>49.0</v>
      </c>
      <c r="D1896" s="7" t="s">
        <v>3904</v>
      </c>
      <c r="E1896" s="7"/>
      <c r="G1896" s="5" t="str">
        <f t="shared" si="1"/>
        <v>49, 49, PERSIAN</v>
      </c>
      <c r="I1896" s="5" t="s">
        <v>3290</v>
      </c>
    </row>
    <row r="1897" ht="12.75" customHeight="1">
      <c r="A1897" s="5">
        <v>0.01</v>
      </c>
      <c r="B1897" s="5">
        <v>0.01</v>
      </c>
      <c r="C1897" s="7"/>
      <c r="D1897" s="7"/>
      <c r="E1897" s="7"/>
      <c r="G1897" s="5">
        <f t="shared" si="1"/>
        <v>0.01</v>
      </c>
      <c r="I1897" s="5">
        <v>0.01</v>
      </c>
    </row>
    <row r="1898" ht="12.75" customHeight="1">
      <c r="A1898" s="5" t="s">
        <v>3307</v>
      </c>
      <c r="B1898" s="7">
        <v>20.0</v>
      </c>
      <c r="C1898" s="7">
        <v>20.0</v>
      </c>
      <c r="D1898" s="7" t="s">
        <v>3914</v>
      </c>
      <c r="E1898" s="7"/>
      <c r="G1898" s="5" t="str">
        <f t="shared" si="1"/>
        <v>20, 20, LARVITAR</v>
      </c>
      <c r="I1898" s="5" t="s">
        <v>3307</v>
      </c>
    </row>
    <row r="1899" ht="12.75" customHeight="1">
      <c r="A1899" s="5" t="s">
        <v>3291</v>
      </c>
      <c r="B1899" s="7">
        <v>52.0</v>
      </c>
      <c r="C1899" s="7">
        <v>52.0</v>
      </c>
      <c r="D1899" s="7" t="s">
        <v>3904</v>
      </c>
      <c r="E1899" s="7"/>
      <c r="G1899" s="5" t="str">
        <f t="shared" si="1"/>
        <v>52, 52, PERSIAN</v>
      </c>
      <c r="I1899" s="5" t="s">
        <v>3291</v>
      </c>
    </row>
    <row r="1900" ht="12.75" customHeight="1">
      <c r="A1900" s="5" t="s">
        <v>3308</v>
      </c>
      <c r="B1900" s="7">
        <v>25.0</v>
      </c>
      <c r="C1900" s="7">
        <v>25.0</v>
      </c>
      <c r="D1900" s="7">
        <v>35.0</v>
      </c>
      <c r="E1900" s="7" t="s">
        <v>3741</v>
      </c>
      <c r="G1900" s="5" t="str">
        <f t="shared" si="1"/>
        <v>25, 25, 35, GEODUDE</v>
      </c>
      <c r="I1900" s="5" t="s">
        <v>3308</v>
      </c>
    </row>
    <row r="1901" ht="12.75" customHeight="1">
      <c r="A1901" s="5" t="s">
        <v>3103</v>
      </c>
      <c r="B1901" s="7">
        <v>30.0</v>
      </c>
      <c r="C1901" s="7">
        <v>45.0</v>
      </c>
      <c r="D1901" s="7" t="s">
        <v>3747</v>
      </c>
      <c r="E1901" s="7"/>
      <c r="G1901" s="5" t="str">
        <f t="shared" si="1"/>
        <v>30, 45, GRAVELER</v>
      </c>
      <c r="I1901" s="5" t="s">
        <v>3103</v>
      </c>
    </row>
    <row r="1902" ht="12.75" customHeight="1">
      <c r="A1902" s="5" t="s">
        <v>3104</v>
      </c>
      <c r="B1902" s="7">
        <v>35.0</v>
      </c>
      <c r="C1902" s="7">
        <v>50.0</v>
      </c>
      <c r="D1902" s="7" t="s">
        <v>3747</v>
      </c>
      <c r="E1902" s="7"/>
      <c r="G1902" s="5" t="str">
        <f t="shared" si="1"/>
        <v>35, 50, GRAVELER</v>
      </c>
      <c r="I1902" s="5" t="s">
        <v>3104</v>
      </c>
    </row>
    <row r="1903" ht="12.75" customHeight="1">
      <c r="A1903" s="5" t="s">
        <v>3105</v>
      </c>
      <c r="B1903" s="7">
        <v>30.0</v>
      </c>
      <c r="C1903" s="7">
        <v>40.0</v>
      </c>
      <c r="D1903" s="7" t="s">
        <v>3741</v>
      </c>
      <c r="E1903" s="7"/>
      <c r="G1903" s="5" t="str">
        <f t="shared" si="1"/>
        <v>30, 40, GEODUDE</v>
      </c>
      <c r="I1903" s="5" t="s">
        <v>3105</v>
      </c>
    </row>
    <row r="1904" ht="12.75" customHeight="1">
      <c r="A1904" s="5" t="s">
        <v>3105</v>
      </c>
      <c r="B1904" s="7">
        <v>30.0</v>
      </c>
      <c r="C1904" s="7">
        <v>40.0</v>
      </c>
      <c r="D1904" s="7" t="s">
        <v>3741</v>
      </c>
      <c r="E1904" s="7"/>
      <c r="G1904" s="5" t="str">
        <f t="shared" si="1"/>
        <v>30, 40, GEODUDE</v>
      </c>
      <c r="I1904" s="5" t="s">
        <v>3105</v>
      </c>
    </row>
    <row r="1905" ht="12.75" customHeight="1">
      <c r="A1905" s="5" t="s">
        <v>2539</v>
      </c>
      <c r="B1905" s="7" t="s">
        <v>2539</v>
      </c>
      <c r="C1905" s="7"/>
      <c r="D1905" s="7"/>
      <c r="E1905" s="7"/>
      <c r="G1905" s="5" t="str">
        <f t="shared" si="1"/>
        <v>NEW ROUTE</v>
      </c>
      <c r="I1905" s="5" t="s">
        <v>2539</v>
      </c>
    </row>
    <row r="1906" ht="12.75" customHeight="1">
      <c r="A1906" s="5" t="s">
        <v>2196</v>
      </c>
      <c r="B1906" s="7" t="s">
        <v>2196</v>
      </c>
      <c r="C1906" s="7"/>
      <c r="D1906" s="7"/>
      <c r="E1906" s="7"/>
      <c r="G1906" s="5" t="str">
        <f t="shared" si="1"/>
        <v>Seven Island Tanoby Ruins</v>
      </c>
      <c r="I1906" s="5" t="s">
        <v>2196</v>
      </c>
    </row>
    <row r="1907" ht="12.75" customHeight="1">
      <c r="A1907" s="5" t="s">
        <v>3173</v>
      </c>
      <c r="B1907" s="7">
        <v>2.0</v>
      </c>
      <c r="C1907" s="7">
        <v>5.0</v>
      </c>
      <c r="D1907" s="7">
        <v>20.0</v>
      </c>
      <c r="E1907" s="7" t="s">
        <v>3748</v>
      </c>
      <c r="G1907" s="5" t="str">
        <f t="shared" si="1"/>
        <v>2, 5, 20, TENTACOOL</v>
      </c>
      <c r="I1907" s="5" t="s">
        <v>3173</v>
      </c>
    </row>
    <row r="1908" ht="12.75" customHeight="1">
      <c r="A1908" s="5" t="s">
        <v>3174</v>
      </c>
      <c r="B1908" s="7">
        <v>20.0</v>
      </c>
      <c r="C1908" s="7">
        <v>35.0</v>
      </c>
      <c r="D1908" s="7" t="s">
        <v>3748</v>
      </c>
      <c r="E1908" s="7"/>
      <c r="G1908" s="5" t="str">
        <f t="shared" si="1"/>
        <v>20, 35, TENTACOOL</v>
      </c>
      <c r="I1908" s="5" t="s">
        <v>3174</v>
      </c>
    </row>
    <row r="1909" ht="12.75" customHeight="1">
      <c r="A1909" s="5" t="s">
        <v>3297</v>
      </c>
      <c r="B1909" s="7">
        <v>35.0</v>
      </c>
      <c r="C1909" s="7">
        <v>40.0</v>
      </c>
      <c r="D1909" s="7" t="s">
        <v>3912</v>
      </c>
      <c r="E1909" s="7"/>
      <c r="G1909" s="5" t="str">
        <f t="shared" si="1"/>
        <v>35, 40, MANTINE</v>
      </c>
      <c r="I1909" s="5" t="s">
        <v>3297</v>
      </c>
    </row>
    <row r="1910" ht="12.75" customHeight="1">
      <c r="A1910" s="5" t="s">
        <v>3232</v>
      </c>
      <c r="B1910" s="7">
        <v>35.0</v>
      </c>
      <c r="C1910" s="7">
        <v>40.0</v>
      </c>
      <c r="D1910" s="7" t="s">
        <v>3898</v>
      </c>
      <c r="E1910" s="7"/>
      <c r="G1910" s="5" t="str">
        <f t="shared" si="1"/>
        <v>35, 40, TENTACRUEL</v>
      </c>
      <c r="I1910" s="5" t="s">
        <v>3232</v>
      </c>
    </row>
    <row r="1911" ht="12.75" customHeight="1">
      <c r="A1911" s="5" t="s">
        <v>3232</v>
      </c>
      <c r="B1911" s="7">
        <v>35.0</v>
      </c>
      <c r="C1911" s="7">
        <v>40.0</v>
      </c>
      <c r="D1911" s="7" t="s">
        <v>3898</v>
      </c>
      <c r="E1911" s="7"/>
      <c r="G1911" s="5" t="str">
        <f t="shared" si="1"/>
        <v>35, 40, TENTACRUEL</v>
      </c>
      <c r="I1911" s="5" t="s">
        <v>3232</v>
      </c>
    </row>
    <row r="1912" ht="12.75" customHeight="1">
      <c r="A1912" s="5" t="s">
        <v>2926</v>
      </c>
      <c r="B1912" s="7">
        <v>20.0</v>
      </c>
      <c r="C1912" s="7" t="s">
        <v>3749</v>
      </c>
      <c r="D1912" s="7"/>
      <c r="E1912" s="7"/>
      <c r="G1912" s="5" t="str">
        <f t="shared" si="1"/>
        <v>old rod:</v>
      </c>
      <c r="I1912" s="5" t="s">
        <v>3750</v>
      </c>
    </row>
    <row r="1913" ht="12.75" customHeight="1">
      <c r="A1913" s="5" t="s">
        <v>417</v>
      </c>
      <c r="B1913" s="7">
        <v>5.0</v>
      </c>
      <c r="C1913" s="7">
        <v>5.0</v>
      </c>
      <c r="D1913" s="7" t="s">
        <v>3751</v>
      </c>
      <c r="E1913" s="7"/>
      <c r="G1913" s="5" t="str">
        <f t="shared" si="1"/>
        <v>5, 5, MAGIKARP</v>
      </c>
      <c r="I1913" s="5" t="s">
        <v>417</v>
      </c>
    </row>
    <row r="1914" ht="12.75" customHeight="1">
      <c r="A1914" s="5" t="s">
        <v>417</v>
      </c>
      <c r="B1914" s="7">
        <v>5.0</v>
      </c>
      <c r="C1914" s="7">
        <v>5.0</v>
      </c>
      <c r="D1914" s="7" t="s">
        <v>3751</v>
      </c>
      <c r="E1914" s="7"/>
      <c r="G1914" s="5" t="str">
        <f t="shared" si="1"/>
        <v>5, 5, MAGIKARP</v>
      </c>
      <c r="I1914" s="5" t="s">
        <v>417</v>
      </c>
    </row>
    <row r="1915" ht="12.75" customHeight="1">
      <c r="A1915" s="5" t="s">
        <v>2847</v>
      </c>
      <c r="B1915" s="7" t="s">
        <v>2847</v>
      </c>
      <c r="C1915" s="7"/>
      <c r="D1915" s="7"/>
      <c r="E1915" s="7"/>
      <c r="G1915" s="5" t="str">
        <f t="shared" si="1"/>
        <v>good rod:</v>
      </c>
      <c r="I1915" s="5" t="s">
        <v>2847</v>
      </c>
    </row>
    <row r="1916" ht="12.75" customHeight="1">
      <c r="A1916" s="5" t="s">
        <v>2848</v>
      </c>
      <c r="B1916" s="7">
        <v>5.0</v>
      </c>
      <c r="C1916" s="7">
        <v>15.0</v>
      </c>
      <c r="D1916" s="7" t="s">
        <v>3752</v>
      </c>
      <c r="E1916" s="7"/>
      <c r="G1916" s="5" t="str">
        <f t="shared" si="1"/>
        <v>5, 15, KRABBY</v>
      </c>
      <c r="I1916" s="5" t="s">
        <v>2848</v>
      </c>
    </row>
    <row r="1917" ht="12.75" customHeight="1">
      <c r="A1917" s="5" t="s">
        <v>2849</v>
      </c>
      <c r="B1917" s="7">
        <v>5.0</v>
      </c>
      <c r="C1917" s="7">
        <v>15.0</v>
      </c>
      <c r="D1917" s="7" t="s">
        <v>3751</v>
      </c>
      <c r="E1917" s="7"/>
      <c r="G1917" s="5" t="str">
        <f t="shared" si="1"/>
        <v>5, 15, MAGIKARP</v>
      </c>
      <c r="I1917" s="5" t="s">
        <v>2849</v>
      </c>
    </row>
    <row r="1918" ht="12.75" customHeight="1">
      <c r="A1918" s="5" t="s">
        <v>2848</v>
      </c>
      <c r="B1918" s="7">
        <v>5.0</v>
      </c>
      <c r="C1918" s="7">
        <v>15.0</v>
      </c>
      <c r="D1918" s="7" t="s">
        <v>3752</v>
      </c>
      <c r="E1918" s="7"/>
      <c r="G1918" s="5" t="str">
        <f t="shared" si="1"/>
        <v>5, 15, KRABBY</v>
      </c>
      <c r="I1918" s="5" t="s">
        <v>2848</v>
      </c>
    </row>
    <row r="1919" ht="12.75" customHeight="1">
      <c r="A1919" s="5" t="s">
        <v>2851</v>
      </c>
      <c r="B1919" s="7" t="s">
        <v>2851</v>
      </c>
      <c r="C1919" s="7"/>
      <c r="D1919" s="7"/>
      <c r="E1919" s="7"/>
      <c r="G1919" s="5" t="str">
        <f t="shared" si="1"/>
        <v>super rod:</v>
      </c>
      <c r="I1919" s="5" t="s">
        <v>2851</v>
      </c>
    </row>
    <row r="1920" ht="12.75" customHeight="1">
      <c r="A1920" s="5" t="s">
        <v>2852</v>
      </c>
      <c r="B1920" s="7">
        <v>15.0</v>
      </c>
      <c r="C1920" s="7">
        <v>25.0</v>
      </c>
      <c r="D1920" s="7" t="s">
        <v>3752</v>
      </c>
      <c r="E1920" s="7"/>
      <c r="G1920" s="5" t="str">
        <f t="shared" si="1"/>
        <v>15, 25, KRABBY</v>
      </c>
      <c r="I1920" s="5" t="s">
        <v>2852</v>
      </c>
    </row>
    <row r="1921" ht="12.75" customHeight="1">
      <c r="A1921" s="5" t="s">
        <v>3259</v>
      </c>
      <c r="B1921" s="7">
        <v>15.0</v>
      </c>
      <c r="C1921" s="7">
        <v>25.0</v>
      </c>
      <c r="D1921" s="7" t="s">
        <v>3907</v>
      </c>
      <c r="E1921" s="7"/>
      <c r="G1921" s="5" t="str">
        <f t="shared" si="1"/>
        <v>15, 25, REMORAID</v>
      </c>
      <c r="I1921" s="5" t="s">
        <v>3259</v>
      </c>
    </row>
    <row r="1922" ht="12.75" customHeight="1">
      <c r="A1922" s="5" t="s">
        <v>2854</v>
      </c>
      <c r="B1922" s="7">
        <v>15.0</v>
      </c>
      <c r="C1922" s="7">
        <v>25.0</v>
      </c>
      <c r="D1922" s="7" t="s">
        <v>3755</v>
      </c>
      <c r="E1922" s="7"/>
      <c r="G1922" s="5" t="str">
        <f t="shared" si="1"/>
        <v>15, 25, GYARADOS</v>
      </c>
      <c r="I1922" s="5" t="s">
        <v>2854</v>
      </c>
    </row>
    <row r="1923" ht="12.75" customHeight="1">
      <c r="A1923" s="5" t="s">
        <v>3178</v>
      </c>
      <c r="B1923" s="7">
        <v>25.0</v>
      </c>
      <c r="C1923" s="7">
        <v>35.0</v>
      </c>
      <c r="D1923" s="7" t="s">
        <v>3860</v>
      </c>
      <c r="E1923" s="7"/>
      <c r="G1923" s="5" t="str">
        <f t="shared" si="1"/>
        <v>25, 35, KINGLER</v>
      </c>
      <c r="I1923" s="5" t="s">
        <v>3178</v>
      </c>
    </row>
    <row r="1924" ht="12.75" customHeight="1">
      <c r="A1924" s="5" t="s">
        <v>2856</v>
      </c>
      <c r="B1924" s="7">
        <v>25.0</v>
      </c>
      <c r="C1924" s="7">
        <v>35.0</v>
      </c>
      <c r="D1924" s="7" t="s">
        <v>3756</v>
      </c>
      <c r="E1924" s="7"/>
      <c r="G1924" s="5" t="str">
        <f t="shared" si="1"/>
        <v>25, 35, SLOWPOKE</v>
      </c>
      <c r="I1924" s="5" t="s">
        <v>2856</v>
      </c>
    </row>
    <row r="1925" ht="12.75" customHeight="1">
      <c r="A1925" s="5" t="s">
        <v>2539</v>
      </c>
      <c r="B1925" s="7" t="s">
        <v>2539</v>
      </c>
      <c r="C1925" s="7"/>
      <c r="D1925" s="7"/>
      <c r="E1925" s="7"/>
      <c r="G1925" s="5" t="str">
        <f t="shared" si="1"/>
        <v>NEW ROUTE</v>
      </c>
      <c r="I1925" s="5" t="s">
        <v>2539</v>
      </c>
    </row>
    <row r="1926" ht="12.75" customHeight="1">
      <c r="A1926" s="5" t="s">
        <v>2104</v>
      </c>
      <c r="B1926" s="7" t="s">
        <v>2104</v>
      </c>
      <c r="C1926" s="7"/>
      <c r="D1926" s="7"/>
      <c r="E1926" s="7"/>
      <c r="G1926" s="5" t="str">
        <f t="shared" si="1"/>
        <v>Route 1</v>
      </c>
      <c r="I1926" s="5" t="s">
        <v>2104</v>
      </c>
    </row>
    <row r="1927" ht="12.75" customHeight="1">
      <c r="A1927" s="5">
        <v>0.2</v>
      </c>
      <c r="B1927" s="5">
        <v>0.2</v>
      </c>
      <c r="C1927" s="7"/>
      <c r="D1927" s="7"/>
      <c r="E1927" s="7"/>
      <c r="G1927" s="5">
        <f t="shared" si="1"/>
        <v>0.2</v>
      </c>
      <c r="I1927" s="5">
        <v>0.2</v>
      </c>
    </row>
    <row r="1928" ht="12.75" customHeight="1">
      <c r="A1928" s="5" t="s">
        <v>924</v>
      </c>
      <c r="B1928" s="7">
        <v>2.0</v>
      </c>
      <c r="C1928" s="7">
        <v>5.0</v>
      </c>
      <c r="D1928" s="7" t="s">
        <v>3890</v>
      </c>
      <c r="E1928" s="7"/>
      <c r="G1928" s="5" t="str">
        <f t="shared" si="1"/>
        <v>2, 5, PIDGEY</v>
      </c>
      <c r="I1928" s="5" t="s">
        <v>924</v>
      </c>
    </row>
    <row r="1929" ht="12.75" customHeight="1">
      <c r="A1929" s="5" t="s">
        <v>924</v>
      </c>
      <c r="B1929" s="7">
        <v>2.0</v>
      </c>
      <c r="C1929" s="7">
        <v>5.0</v>
      </c>
      <c r="D1929" s="7" t="s">
        <v>3890</v>
      </c>
      <c r="E1929" s="7"/>
      <c r="G1929" s="5" t="str">
        <f t="shared" si="1"/>
        <v>2, 5, PIDGEY</v>
      </c>
      <c r="I1929" s="5" t="s">
        <v>924</v>
      </c>
    </row>
    <row r="1930" ht="12.75" customHeight="1">
      <c r="A1930" s="5">
        <v>0.1</v>
      </c>
      <c r="B1930" s="5">
        <v>0.1</v>
      </c>
      <c r="C1930" s="7"/>
      <c r="D1930" s="7"/>
      <c r="E1930" s="7"/>
      <c r="G1930" s="5">
        <f t="shared" si="1"/>
        <v>0.1</v>
      </c>
      <c r="I1930" s="5">
        <v>0.1</v>
      </c>
    </row>
    <row r="1931" ht="12.75" customHeight="1">
      <c r="A1931" s="5" t="s">
        <v>3311</v>
      </c>
      <c r="B1931" s="7">
        <v>2.0</v>
      </c>
      <c r="C1931" s="7">
        <v>4.0</v>
      </c>
      <c r="D1931" s="7" t="s">
        <v>3865</v>
      </c>
      <c r="E1931" s="7"/>
      <c r="G1931" s="5" t="str">
        <f t="shared" si="1"/>
        <v>2, 4, RATTATA</v>
      </c>
      <c r="I1931" s="5" t="s">
        <v>3311</v>
      </c>
    </row>
    <row r="1932" ht="12.75" customHeight="1">
      <c r="A1932" s="5" t="s">
        <v>3311</v>
      </c>
      <c r="B1932" s="7">
        <v>2.0</v>
      </c>
      <c r="C1932" s="7">
        <v>4.0</v>
      </c>
      <c r="D1932" s="7" t="s">
        <v>3865</v>
      </c>
      <c r="E1932" s="7"/>
      <c r="G1932" s="5" t="str">
        <f t="shared" si="1"/>
        <v>2, 4, RATTATA</v>
      </c>
      <c r="I1932" s="5" t="s">
        <v>3311</v>
      </c>
    </row>
    <row r="1933" ht="12.75" customHeight="1">
      <c r="A1933" s="5" t="s">
        <v>3312</v>
      </c>
      <c r="B1933" s="7">
        <v>2.0</v>
      </c>
      <c r="C1933" s="7">
        <v>4.0</v>
      </c>
      <c r="D1933" s="7" t="s">
        <v>3891</v>
      </c>
      <c r="E1933" s="7"/>
      <c r="G1933" s="5" t="str">
        <f t="shared" si="1"/>
        <v>2, 4, BELLSPROUT</v>
      </c>
      <c r="I1933" s="5" t="s">
        <v>3312</v>
      </c>
    </row>
    <row r="1934" ht="12.75" customHeight="1">
      <c r="A1934" s="5" t="s">
        <v>3312</v>
      </c>
      <c r="B1934" s="7">
        <v>2.0</v>
      </c>
      <c r="C1934" s="7">
        <v>4.0</v>
      </c>
      <c r="D1934" s="7" t="s">
        <v>3891</v>
      </c>
      <c r="E1934" s="7"/>
      <c r="G1934" s="5" t="str">
        <f t="shared" si="1"/>
        <v>2, 4, BELLSPROUT</v>
      </c>
      <c r="I1934" s="5" t="s">
        <v>3312</v>
      </c>
    </row>
    <row r="1935" ht="12.75" customHeight="1">
      <c r="A1935" s="5">
        <v>0.05</v>
      </c>
      <c r="B1935" s="5">
        <v>0.05</v>
      </c>
      <c r="C1935" s="7"/>
      <c r="D1935" s="7"/>
      <c r="E1935" s="7"/>
      <c r="G1935" s="5">
        <f t="shared" si="1"/>
        <v>0.05</v>
      </c>
      <c r="I1935" s="5">
        <v>0.05</v>
      </c>
    </row>
    <row r="1936" ht="12.75" customHeight="1">
      <c r="A1936" s="5" t="s">
        <v>3313</v>
      </c>
      <c r="B1936" s="7">
        <v>2.0</v>
      </c>
      <c r="C1936" s="7">
        <v>4.0</v>
      </c>
      <c r="D1936" s="7" t="s">
        <v>3732</v>
      </c>
      <c r="E1936" s="7"/>
      <c r="G1936" s="5" t="str">
        <f t="shared" si="1"/>
        <v>2, 4, ODDISH</v>
      </c>
      <c r="I1936" s="5" t="s">
        <v>3313</v>
      </c>
    </row>
    <row r="1937" ht="12.75" customHeight="1">
      <c r="A1937" s="5" t="s">
        <v>3313</v>
      </c>
      <c r="B1937" s="7">
        <v>2.0</v>
      </c>
      <c r="C1937" s="7">
        <v>4.0</v>
      </c>
      <c r="D1937" s="7" t="s">
        <v>3732</v>
      </c>
      <c r="E1937" s="7"/>
      <c r="G1937" s="5" t="str">
        <f t="shared" si="1"/>
        <v>2, 4, ODDISH</v>
      </c>
      <c r="I1937" s="5" t="s">
        <v>3313</v>
      </c>
    </row>
    <row r="1938" ht="12.75" customHeight="1">
      <c r="A1938" s="5">
        <v>0.04</v>
      </c>
      <c r="B1938" s="5">
        <v>0.04</v>
      </c>
      <c r="C1938" s="7"/>
      <c r="D1938" s="7"/>
      <c r="E1938" s="7"/>
      <c r="G1938" s="5">
        <f t="shared" si="1"/>
        <v>0.04</v>
      </c>
      <c r="I1938" s="5">
        <v>0.04</v>
      </c>
    </row>
    <row r="1939" ht="12.75" customHeight="1">
      <c r="A1939" s="5" t="s">
        <v>3314</v>
      </c>
      <c r="B1939" s="7">
        <v>2.0</v>
      </c>
      <c r="C1939" s="7">
        <v>4.0</v>
      </c>
      <c r="D1939" s="7" t="s">
        <v>3892</v>
      </c>
      <c r="E1939" s="7"/>
      <c r="G1939" s="5" t="str">
        <f t="shared" si="1"/>
        <v>2, 4, VENONAT</v>
      </c>
      <c r="I1939" s="5" t="s">
        <v>3314</v>
      </c>
    </row>
    <row r="1940" ht="12.75" customHeight="1">
      <c r="A1940" s="5" t="s">
        <v>3314</v>
      </c>
      <c r="B1940" s="7">
        <v>2.0</v>
      </c>
      <c r="C1940" s="7">
        <v>4.0</v>
      </c>
      <c r="D1940" s="7" t="s">
        <v>3892</v>
      </c>
      <c r="E1940" s="7"/>
      <c r="G1940" s="5" t="str">
        <f t="shared" si="1"/>
        <v>2, 4, VENONAT</v>
      </c>
      <c r="I1940" s="5" t="s">
        <v>3314</v>
      </c>
    </row>
    <row r="1941" ht="12.75" customHeight="1">
      <c r="A1941" s="5">
        <v>0.01</v>
      </c>
      <c r="B1941" s="5">
        <v>0.01</v>
      </c>
      <c r="C1941" s="7"/>
      <c r="D1941" s="7"/>
      <c r="E1941" s="7"/>
      <c r="G1941" s="5">
        <f t="shared" si="1"/>
        <v>0.01</v>
      </c>
      <c r="I1941" s="5">
        <v>0.01</v>
      </c>
    </row>
    <row r="1942" ht="12.75" customHeight="1">
      <c r="A1942" s="5" t="s">
        <v>3315</v>
      </c>
      <c r="B1942" s="7">
        <v>3.0</v>
      </c>
      <c r="C1942" s="7">
        <v>3.0</v>
      </c>
      <c r="D1942" s="7" t="s">
        <v>3915</v>
      </c>
      <c r="E1942" s="7"/>
      <c r="G1942" s="5" t="str">
        <f t="shared" si="1"/>
        <v>3, 3, EEVEE</v>
      </c>
      <c r="I1942" s="5" t="s">
        <v>3315</v>
      </c>
    </row>
    <row r="1943" ht="12.75" customHeight="1">
      <c r="A1943" s="5" t="s">
        <v>3315</v>
      </c>
      <c r="B1943" s="7">
        <v>3.0</v>
      </c>
      <c r="C1943" s="7">
        <v>3.0</v>
      </c>
      <c r="D1943" s="7" t="s">
        <v>3915</v>
      </c>
      <c r="E1943" s="7"/>
      <c r="G1943" s="5" t="str">
        <f t="shared" si="1"/>
        <v>3, 3, EEVEE</v>
      </c>
      <c r="I1943" s="5" t="s">
        <v>3315</v>
      </c>
    </row>
    <row r="1944" ht="12.75" customHeight="1">
      <c r="A1944" s="5" t="s">
        <v>2539</v>
      </c>
      <c r="B1944" s="7" t="s">
        <v>2539</v>
      </c>
      <c r="C1944" s="7"/>
      <c r="D1944" s="7"/>
      <c r="E1944" s="7"/>
      <c r="G1944" s="5" t="str">
        <f t="shared" si="1"/>
        <v>NEW ROUTE</v>
      </c>
      <c r="I1944" s="5" t="s">
        <v>2539</v>
      </c>
    </row>
    <row r="1945" ht="12.75" customHeight="1">
      <c r="A1945" s="5" t="s">
        <v>2106</v>
      </c>
      <c r="B1945" s="7" t="s">
        <v>2106</v>
      </c>
      <c r="C1945" s="7"/>
      <c r="D1945" s="7"/>
      <c r="E1945" s="7"/>
      <c r="G1945" s="5" t="str">
        <f t="shared" si="1"/>
        <v>Route 2</v>
      </c>
      <c r="I1945" s="5" t="s">
        <v>2106</v>
      </c>
    </row>
    <row r="1946" ht="12.75" customHeight="1">
      <c r="A1946" s="5">
        <v>0.2</v>
      </c>
      <c r="B1946" s="5">
        <v>0.2</v>
      </c>
      <c r="C1946" s="7"/>
      <c r="D1946" s="7"/>
      <c r="E1946" s="7"/>
      <c r="G1946" s="5">
        <f t="shared" si="1"/>
        <v>0.2</v>
      </c>
      <c r="I1946" s="5">
        <v>0.2</v>
      </c>
    </row>
    <row r="1947" ht="12.75" customHeight="1">
      <c r="A1947" s="5" t="s">
        <v>933</v>
      </c>
      <c r="B1947" s="7">
        <v>3.0</v>
      </c>
      <c r="C1947" s="7">
        <v>5.0</v>
      </c>
      <c r="D1947" s="7" t="s">
        <v>3730</v>
      </c>
      <c r="E1947" s="7"/>
      <c r="G1947" s="5" t="str">
        <f t="shared" si="1"/>
        <v>3, 5, CATERPIE</v>
      </c>
      <c r="I1947" s="5" t="s">
        <v>933</v>
      </c>
    </row>
    <row r="1948" ht="12.75" customHeight="1">
      <c r="A1948" s="5" t="s">
        <v>3318</v>
      </c>
      <c r="B1948" s="7">
        <v>3.0</v>
      </c>
      <c r="C1948" s="7">
        <v>5.0</v>
      </c>
      <c r="D1948" s="7" t="s">
        <v>3731</v>
      </c>
      <c r="E1948" s="7"/>
      <c r="G1948" s="5" t="str">
        <f t="shared" si="1"/>
        <v>3, 5, WEEDLE</v>
      </c>
      <c r="I1948" s="5" t="s">
        <v>3318</v>
      </c>
    </row>
    <row r="1949" ht="12.75" customHeight="1">
      <c r="A1949" s="5">
        <v>0.1</v>
      </c>
      <c r="B1949" s="5">
        <v>0.1</v>
      </c>
      <c r="C1949" s="7"/>
      <c r="D1949" s="7"/>
      <c r="E1949" s="7"/>
      <c r="G1949" s="5">
        <f t="shared" si="1"/>
        <v>0.1</v>
      </c>
      <c r="I1949" s="5">
        <v>0.1</v>
      </c>
    </row>
    <row r="1950" ht="12.75" customHeight="1">
      <c r="A1950" s="5" t="s">
        <v>3319</v>
      </c>
      <c r="B1950" s="7">
        <v>4.0</v>
      </c>
      <c r="C1950" s="7">
        <v>6.0</v>
      </c>
      <c r="D1950" s="7" t="s">
        <v>3890</v>
      </c>
      <c r="E1950" s="7"/>
      <c r="G1950" s="5" t="str">
        <f t="shared" si="1"/>
        <v>4, 6, PIDGEY</v>
      </c>
      <c r="I1950" s="5" t="s">
        <v>3319</v>
      </c>
    </row>
    <row r="1951" ht="12.75" customHeight="1">
      <c r="A1951" s="5" t="s">
        <v>3320</v>
      </c>
      <c r="B1951" s="7">
        <v>4.0</v>
      </c>
      <c r="C1951" s="7">
        <v>6.0</v>
      </c>
      <c r="D1951" s="7" t="s">
        <v>3865</v>
      </c>
      <c r="E1951" s="7"/>
      <c r="G1951" s="5" t="str">
        <f t="shared" si="1"/>
        <v>4, 6, RATTATA</v>
      </c>
      <c r="I1951" s="5" t="s">
        <v>3320</v>
      </c>
    </row>
    <row r="1952" ht="12.75" customHeight="1">
      <c r="A1952" s="5" t="s">
        <v>3320</v>
      </c>
      <c r="B1952" s="7">
        <v>4.0</v>
      </c>
      <c r="C1952" s="7">
        <v>6.0</v>
      </c>
      <c r="D1952" s="7" t="s">
        <v>3865</v>
      </c>
      <c r="E1952" s="7"/>
      <c r="G1952" s="5" t="str">
        <f t="shared" si="1"/>
        <v>4, 6, RATTATA</v>
      </c>
      <c r="I1952" s="5" t="s">
        <v>3320</v>
      </c>
    </row>
    <row r="1953" ht="12.75" customHeight="1">
      <c r="A1953" s="5" t="s">
        <v>3319</v>
      </c>
      <c r="B1953" s="7">
        <v>4.0</v>
      </c>
      <c r="C1953" s="7">
        <v>6.0</v>
      </c>
      <c r="D1953" s="7" t="s">
        <v>3890</v>
      </c>
      <c r="E1953" s="7"/>
      <c r="G1953" s="5" t="str">
        <f t="shared" si="1"/>
        <v>4, 6, PIDGEY</v>
      </c>
      <c r="I1953" s="5" t="s">
        <v>3319</v>
      </c>
    </row>
    <row r="1954" ht="12.75" customHeight="1">
      <c r="A1954" s="5">
        <v>0.05</v>
      </c>
      <c r="B1954" s="5">
        <v>0.05</v>
      </c>
      <c r="C1954" s="7"/>
      <c r="D1954" s="7"/>
      <c r="E1954" s="7"/>
      <c r="G1954" s="5">
        <f t="shared" si="1"/>
        <v>0.05</v>
      </c>
      <c r="I1954" s="5">
        <v>0.05</v>
      </c>
    </row>
    <row r="1955" ht="12.75" customHeight="1">
      <c r="A1955" s="5" t="s">
        <v>3321</v>
      </c>
      <c r="B1955" s="7">
        <v>5.0</v>
      </c>
      <c r="C1955" s="7">
        <v>8.0</v>
      </c>
      <c r="D1955" s="7" t="s">
        <v>3903</v>
      </c>
      <c r="E1955" s="7"/>
      <c r="G1955" s="5" t="str">
        <f t="shared" si="1"/>
        <v>5, 8, MEOWTH</v>
      </c>
      <c r="I1955" s="5" t="s">
        <v>3321</v>
      </c>
    </row>
    <row r="1956" ht="12.75" customHeight="1">
      <c r="A1956" s="5" t="s">
        <v>3322</v>
      </c>
      <c r="B1956" s="7">
        <v>5.0</v>
      </c>
      <c r="C1956" s="7">
        <v>8.0</v>
      </c>
      <c r="D1956" s="7" t="s">
        <v>3916</v>
      </c>
      <c r="E1956" s="7"/>
      <c r="G1956" s="5" t="str">
        <f t="shared" si="1"/>
        <v>5, 8, FARFETCH'D</v>
      </c>
      <c r="I1956" s="5" t="s">
        <v>3322</v>
      </c>
    </row>
    <row r="1957" ht="12.75" customHeight="1">
      <c r="A1957" s="5">
        <v>0.04</v>
      </c>
      <c r="B1957" s="5">
        <v>0.04</v>
      </c>
      <c r="C1957" s="7"/>
      <c r="D1957" s="7"/>
      <c r="E1957" s="7"/>
      <c r="G1957" s="5">
        <f t="shared" si="1"/>
        <v>0.04</v>
      </c>
      <c r="I1957" s="5">
        <v>0.04</v>
      </c>
    </row>
    <row r="1958" ht="12.75" customHeight="1">
      <c r="A1958" s="5" t="s">
        <v>3323</v>
      </c>
      <c r="B1958" s="7">
        <v>5.0</v>
      </c>
      <c r="C1958" s="7">
        <v>8.0</v>
      </c>
      <c r="D1958" s="7" t="s">
        <v>3874</v>
      </c>
      <c r="E1958" s="7"/>
      <c r="G1958" s="5" t="str">
        <f t="shared" si="1"/>
        <v>5, 8, MAGNEMITE</v>
      </c>
      <c r="I1958" s="5" t="s">
        <v>3323</v>
      </c>
    </row>
    <row r="1959" ht="12.75" customHeight="1">
      <c r="A1959" s="5" t="s">
        <v>3324</v>
      </c>
      <c r="B1959" s="7">
        <v>5.0</v>
      </c>
      <c r="C1959" s="7">
        <v>8.0</v>
      </c>
      <c r="D1959" s="7" t="s">
        <v>3917</v>
      </c>
      <c r="E1959" s="7"/>
      <c r="G1959" s="5" t="str">
        <f t="shared" si="1"/>
        <v>5, 8, GROWLITHE</v>
      </c>
      <c r="I1959" s="5" t="s">
        <v>3324</v>
      </c>
    </row>
    <row r="1960" ht="12.75" customHeight="1">
      <c r="A1960" s="5">
        <v>0.01</v>
      </c>
      <c r="B1960" s="5">
        <v>0.01</v>
      </c>
      <c r="C1960" s="7"/>
      <c r="D1960" s="7"/>
      <c r="E1960" s="7"/>
      <c r="G1960" s="5">
        <f t="shared" si="1"/>
        <v>0.01</v>
      </c>
      <c r="I1960" s="5">
        <v>0.01</v>
      </c>
    </row>
    <row r="1961" ht="12.75" customHeight="1">
      <c r="A1961" s="5" t="s">
        <v>3325</v>
      </c>
      <c r="B1961" s="7">
        <v>7.0</v>
      </c>
      <c r="C1961" s="7">
        <v>7.0</v>
      </c>
      <c r="D1961" s="7" t="s">
        <v>3874</v>
      </c>
      <c r="E1961" s="7"/>
      <c r="G1961" s="5" t="str">
        <f t="shared" si="1"/>
        <v>7, 7, MAGNEMITE</v>
      </c>
      <c r="I1961" s="5" t="s">
        <v>3325</v>
      </c>
    </row>
    <row r="1962" ht="12.75" customHeight="1">
      <c r="A1962" s="5" t="s">
        <v>3723</v>
      </c>
      <c r="B1962" s="7">
        <v>7.0</v>
      </c>
      <c r="C1962" s="7">
        <v>7.0</v>
      </c>
      <c r="D1962" s="7" t="s">
        <v>3917</v>
      </c>
      <c r="E1962" s="7"/>
      <c r="G1962" s="5" t="str">
        <f t="shared" si="1"/>
        <v>7, 7, GROWLITHE</v>
      </c>
      <c r="I1962" s="5" t="s">
        <v>3723</v>
      </c>
    </row>
    <row r="1963" ht="12.75" customHeight="1">
      <c r="A1963" s="5" t="s">
        <v>2539</v>
      </c>
      <c r="B1963" s="7" t="s">
        <v>2539</v>
      </c>
      <c r="C1963" s="7"/>
      <c r="D1963" s="7"/>
      <c r="E1963" s="7"/>
      <c r="G1963" s="5" t="str">
        <f t="shared" si="1"/>
        <v>NEW ROUTE</v>
      </c>
      <c r="I1963" s="5" t="s">
        <v>2539</v>
      </c>
    </row>
    <row r="1964" ht="12.75" customHeight="1">
      <c r="A1964" s="5" t="s">
        <v>2108</v>
      </c>
      <c r="B1964" s="7" t="s">
        <v>2108</v>
      </c>
      <c r="C1964" s="7"/>
      <c r="D1964" s="7"/>
      <c r="E1964" s="7"/>
      <c r="G1964" s="5" t="str">
        <f t="shared" si="1"/>
        <v>Route 3</v>
      </c>
      <c r="I1964" s="5" t="s">
        <v>2108</v>
      </c>
    </row>
    <row r="1965" ht="12.75" customHeight="1">
      <c r="A1965" s="5">
        <v>0.2</v>
      </c>
      <c r="B1965" s="5">
        <v>0.2</v>
      </c>
      <c r="C1965" s="7"/>
      <c r="D1965" s="7"/>
      <c r="E1965" s="7"/>
      <c r="G1965" s="5">
        <f t="shared" si="1"/>
        <v>0.2</v>
      </c>
      <c r="I1965" s="5">
        <v>0.2</v>
      </c>
    </row>
    <row r="1966" ht="12.75" customHeight="1">
      <c r="A1966" s="5" t="s">
        <v>944</v>
      </c>
      <c r="B1966" s="7">
        <v>7.0</v>
      </c>
      <c r="C1966" s="7">
        <v>9.0</v>
      </c>
      <c r="D1966" s="7" t="s">
        <v>3884</v>
      </c>
      <c r="E1966" s="7"/>
      <c r="G1966" s="5" t="str">
        <f t="shared" si="1"/>
        <v>7, 9, SPEAROW</v>
      </c>
      <c r="I1966" s="5" t="s">
        <v>944</v>
      </c>
    </row>
    <row r="1967" ht="12.75" customHeight="1">
      <c r="A1967" s="5" t="s">
        <v>3328</v>
      </c>
      <c r="B1967" s="7">
        <v>7.0</v>
      </c>
      <c r="C1967" s="7">
        <v>9.0</v>
      </c>
      <c r="D1967" s="7" t="s">
        <v>3890</v>
      </c>
      <c r="E1967" s="7"/>
      <c r="G1967" s="5" t="str">
        <f t="shared" si="1"/>
        <v>7, 9, PIDGEY</v>
      </c>
      <c r="I1967" s="5" t="s">
        <v>3328</v>
      </c>
    </row>
    <row r="1968" ht="12.75" customHeight="1">
      <c r="A1968" s="5">
        <v>0.1</v>
      </c>
      <c r="B1968" s="5">
        <v>0.1</v>
      </c>
      <c r="C1968" s="7"/>
      <c r="D1968" s="7"/>
      <c r="E1968" s="7"/>
      <c r="G1968" s="5">
        <f t="shared" si="1"/>
        <v>0.1</v>
      </c>
      <c r="I1968" s="5">
        <v>0.1</v>
      </c>
    </row>
    <row r="1969" ht="12.75" customHeight="1">
      <c r="A1969" s="5" t="s">
        <v>3329</v>
      </c>
      <c r="B1969" s="7">
        <v>8.0</v>
      </c>
      <c r="C1969" s="7">
        <v>10.0</v>
      </c>
      <c r="D1969" s="7" t="s">
        <v>3918</v>
      </c>
      <c r="E1969" s="7"/>
      <c r="G1969" s="5" t="str">
        <f t="shared" si="1"/>
        <v>8, 10, NIDORAN\sf</v>
      </c>
      <c r="I1969" s="5" t="s">
        <v>3329</v>
      </c>
    </row>
    <row r="1970" ht="12.75" customHeight="1">
      <c r="A1970" s="5" t="s">
        <v>3330</v>
      </c>
      <c r="B1970" s="7">
        <v>8.0</v>
      </c>
      <c r="C1970" s="7">
        <v>10.0</v>
      </c>
      <c r="D1970" s="7" t="s">
        <v>3919</v>
      </c>
      <c r="E1970" s="7"/>
      <c r="G1970" s="5" t="str">
        <f t="shared" si="1"/>
        <v>8, 10, NIDORAN\sm</v>
      </c>
      <c r="I1970" s="5" t="s">
        <v>3330</v>
      </c>
    </row>
    <row r="1971" ht="12.75" customHeight="1">
      <c r="A1971" s="5" t="s">
        <v>3331</v>
      </c>
      <c r="B1971" s="7">
        <v>8.0</v>
      </c>
      <c r="C1971" s="7">
        <v>10.0</v>
      </c>
      <c r="D1971" s="7" t="s">
        <v>3920</v>
      </c>
      <c r="E1971" s="7"/>
      <c r="G1971" s="5" t="str">
        <f t="shared" si="1"/>
        <v>8, 10, EKANS</v>
      </c>
      <c r="I1971" s="5" t="s">
        <v>3331</v>
      </c>
    </row>
    <row r="1972" ht="12.75" customHeight="1">
      <c r="A1972" s="5" t="s">
        <v>3332</v>
      </c>
      <c r="B1972" s="7">
        <v>8.0</v>
      </c>
      <c r="C1972" s="7">
        <v>10.0</v>
      </c>
      <c r="D1972" s="7" t="s">
        <v>3742</v>
      </c>
      <c r="E1972" s="7"/>
      <c r="G1972" s="5" t="str">
        <f t="shared" si="1"/>
        <v>8, 10, SANDSHREW</v>
      </c>
      <c r="I1972" s="5" t="s">
        <v>3332</v>
      </c>
    </row>
    <row r="1973" ht="12.75" customHeight="1">
      <c r="A1973" s="5">
        <v>0.05</v>
      </c>
      <c r="B1973" s="5">
        <v>0.05</v>
      </c>
      <c r="C1973" s="7"/>
      <c r="D1973" s="7"/>
      <c r="E1973" s="7"/>
      <c r="G1973" s="5">
        <f t="shared" si="1"/>
        <v>0.05</v>
      </c>
      <c r="I1973" s="5">
        <v>0.05</v>
      </c>
    </row>
    <row r="1974" ht="12.75" customHeight="1">
      <c r="A1974" s="5" t="s">
        <v>3333</v>
      </c>
      <c r="B1974" s="7">
        <v>9.0</v>
      </c>
      <c r="C1974" s="7">
        <v>10.0</v>
      </c>
      <c r="D1974" s="7" t="s">
        <v>3921</v>
      </c>
      <c r="E1974" s="7"/>
      <c r="G1974" s="5" t="str">
        <f t="shared" si="1"/>
        <v>9, 10, JIGGLYPUFF</v>
      </c>
      <c r="I1974" s="5" t="s">
        <v>3333</v>
      </c>
    </row>
    <row r="1975" ht="12.75" customHeight="1">
      <c r="A1975" s="5" t="s">
        <v>3334</v>
      </c>
      <c r="B1975" s="7">
        <v>9.0</v>
      </c>
      <c r="C1975" s="7">
        <v>10.0</v>
      </c>
      <c r="D1975" s="7" t="s">
        <v>3745</v>
      </c>
      <c r="E1975" s="7"/>
      <c r="G1975" s="5" t="str">
        <f t="shared" si="1"/>
        <v>9, 10, CLEFAIRY</v>
      </c>
      <c r="I1975" s="5" t="s">
        <v>3334</v>
      </c>
    </row>
    <row r="1976" ht="12.75" customHeight="1">
      <c r="A1976" s="5">
        <v>0.04</v>
      </c>
      <c r="B1976" s="5">
        <v>0.04</v>
      </c>
      <c r="C1976" s="7"/>
      <c r="D1976" s="7"/>
      <c r="E1976" s="7"/>
      <c r="G1976" s="5">
        <f t="shared" si="1"/>
        <v>0.04</v>
      </c>
      <c r="I1976" s="5">
        <v>0.04</v>
      </c>
    </row>
    <row r="1977" ht="12.75" customHeight="1">
      <c r="A1977" s="5" t="s">
        <v>3335</v>
      </c>
      <c r="B1977" s="7">
        <v>9.0</v>
      </c>
      <c r="C1977" s="7">
        <v>11.0</v>
      </c>
      <c r="D1977" s="7" t="s">
        <v>3851</v>
      </c>
      <c r="E1977" s="7"/>
      <c r="G1977" s="5" t="str">
        <f t="shared" si="1"/>
        <v>9, 11, MACHOP</v>
      </c>
      <c r="I1977" s="5" t="s">
        <v>3335</v>
      </c>
    </row>
    <row r="1978" ht="12.75" customHeight="1">
      <c r="A1978" s="5" t="s">
        <v>3335</v>
      </c>
      <c r="B1978" s="7">
        <v>9.0</v>
      </c>
      <c r="C1978" s="7">
        <v>11.0</v>
      </c>
      <c r="D1978" s="7" t="s">
        <v>3851</v>
      </c>
      <c r="E1978" s="7"/>
      <c r="G1978" s="5" t="str">
        <f t="shared" si="1"/>
        <v>9, 11, MACHOP</v>
      </c>
      <c r="I1978" s="5" t="s">
        <v>3335</v>
      </c>
    </row>
    <row r="1979" ht="12.75" customHeight="1">
      <c r="A1979" s="5">
        <v>0.01</v>
      </c>
      <c r="B1979" s="5">
        <v>0.01</v>
      </c>
      <c r="C1979" s="7"/>
      <c r="D1979" s="7"/>
      <c r="E1979" s="7"/>
      <c r="G1979" s="5">
        <f t="shared" si="1"/>
        <v>0.01</v>
      </c>
      <c r="I1979" s="5">
        <v>0.01</v>
      </c>
    </row>
    <row r="1980" ht="12.75" customHeight="1">
      <c r="A1980" s="5" t="s">
        <v>3336</v>
      </c>
      <c r="B1980" s="7">
        <v>10.0</v>
      </c>
      <c r="C1980" s="7">
        <v>13.0</v>
      </c>
      <c r="D1980" s="7" t="s">
        <v>3918</v>
      </c>
      <c r="E1980" s="7"/>
      <c r="G1980" s="5" t="str">
        <f t="shared" si="1"/>
        <v>10, 13, NIDORAN\sf</v>
      </c>
      <c r="I1980" s="5" t="s">
        <v>3336</v>
      </c>
    </row>
    <row r="1981" ht="12.75" customHeight="1">
      <c r="A1981" s="5" t="s">
        <v>3724</v>
      </c>
      <c r="B1981" s="7">
        <v>10.0</v>
      </c>
      <c r="C1981" s="7">
        <v>13.0</v>
      </c>
      <c r="D1981" s="7" t="s">
        <v>3919</v>
      </c>
      <c r="E1981" s="7"/>
      <c r="G1981" s="5" t="str">
        <f t="shared" si="1"/>
        <v>10, 13, NIDORAN\sm</v>
      </c>
      <c r="I1981" s="5" t="s">
        <v>3724</v>
      </c>
    </row>
    <row r="1982" ht="12.75" customHeight="1">
      <c r="A1982" s="5" t="s">
        <v>2539</v>
      </c>
      <c r="B1982" s="7" t="s">
        <v>2539</v>
      </c>
      <c r="C1982" s="7"/>
      <c r="D1982" s="7"/>
      <c r="E1982" s="7"/>
      <c r="G1982" s="5" t="str">
        <f t="shared" si="1"/>
        <v>NEW ROUTE</v>
      </c>
      <c r="I1982" s="5" t="s">
        <v>2539</v>
      </c>
    </row>
    <row r="1983" ht="12.75" customHeight="1">
      <c r="A1983" s="5" t="s">
        <v>2110</v>
      </c>
      <c r="B1983" s="7" t="s">
        <v>2110</v>
      </c>
      <c r="C1983" s="7"/>
      <c r="D1983" s="7"/>
      <c r="E1983" s="7"/>
      <c r="G1983" s="5" t="str">
        <f t="shared" si="1"/>
        <v>Route 4</v>
      </c>
      <c r="I1983" s="5" t="s">
        <v>2110</v>
      </c>
    </row>
    <row r="1984" ht="12.75" customHeight="1">
      <c r="A1984" s="5">
        <v>0.2</v>
      </c>
      <c r="B1984" s="5">
        <v>0.2</v>
      </c>
      <c r="C1984" s="7"/>
      <c r="D1984" s="7"/>
      <c r="E1984" s="7"/>
      <c r="G1984" s="5">
        <f t="shared" si="1"/>
        <v>0.2</v>
      </c>
      <c r="I1984" s="5">
        <v>0.2</v>
      </c>
    </row>
    <row r="1985" ht="12.75" customHeight="1">
      <c r="A1985" s="5" t="s">
        <v>956</v>
      </c>
      <c r="B1985" s="7">
        <v>13.0</v>
      </c>
      <c r="C1985" s="7">
        <v>16.0</v>
      </c>
      <c r="D1985" s="7" t="s">
        <v>3865</v>
      </c>
      <c r="E1985" s="7"/>
      <c r="G1985" s="5" t="str">
        <f t="shared" si="1"/>
        <v>13, 16, RATTATA</v>
      </c>
      <c r="I1985" s="5" t="s">
        <v>956</v>
      </c>
    </row>
    <row r="1986" ht="12.75" customHeight="1">
      <c r="A1986" s="5" t="s">
        <v>3339</v>
      </c>
      <c r="B1986" s="7">
        <v>13.0</v>
      </c>
      <c r="C1986" s="7">
        <v>16.0</v>
      </c>
      <c r="D1986" s="7" t="s">
        <v>3884</v>
      </c>
      <c r="E1986" s="7"/>
      <c r="G1986" s="5" t="str">
        <f t="shared" si="1"/>
        <v>13, 16, SPEAROW</v>
      </c>
      <c r="I1986" s="5" t="s">
        <v>3339</v>
      </c>
    </row>
    <row r="1987" ht="12.75" customHeight="1">
      <c r="A1987" s="5">
        <v>0.1</v>
      </c>
      <c r="B1987" s="5">
        <v>0.1</v>
      </c>
      <c r="C1987" s="7"/>
      <c r="D1987" s="7"/>
      <c r="E1987" s="7"/>
      <c r="G1987" s="5">
        <f t="shared" si="1"/>
        <v>0.1</v>
      </c>
      <c r="I1987" s="5">
        <v>0.1</v>
      </c>
    </row>
    <row r="1988" ht="12.75" customHeight="1">
      <c r="A1988" s="5" t="s">
        <v>3340</v>
      </c>
      <c r="B1988" s="7">
        <v>14.0</v>
      </c>
      <c r="C1988" s="7">
        <v>16.0</v>
      </c>
      <c r="D1988" s="7" t="s">
        <v>3800</v>
      </c>
      <c r="E1988" s="7"/>
      <c r="G1988" s="5" t="str">
        <f t="shared" si="1"/>
        <v>14, 16, PSYDUCK</v>
      </c>
      <c r="I1988" s="5" t="s">
        <v>3340</v>
      </c>
    </row>
    <row r="1989" ht="12.75" customHeight="1">
      <c r="A1989" s="5" t="s">
        <v>3341</v>
      </c>
      <c r="B1989" s="7">
        <v>14.0</v>
      </c>
      <c r="C1989" s="7">
        <v>16.0</v>
      </c>
      <c r="D1989" s="7" t="s">
        <v>3919</v>
      </c>
      <c r="E1989" s="7"/>
      <c r="G1989" s="5" t="str">
        <f t="shared" si="1"/>
        <v>14, 16, NIDORAN\sm</v>
      </c>
      <c r="I1989" s="5" t="s">
        <v>3341</v>
      </c>
    </row>
    <row r="1990" ht="12.75" customHeight="1">
      <c r="A1990" s="5" t="s">
        <v>3342</v>
      </c>
      <c r="B1990" s="7">
        <v>14.0</v>
      </c>
      <c r="C1990" s="7">
        <v>16.0</v>
      </c>
      <c r="D1990" s="7" t="s">
        <v>3918</v>
      </c>
      <c r="E1990" s="7"/>
      <c r="G1990" s="5" t="str">
        <f t="shared" si="1"/>
        <v>14, 16, NIDORAN\sf</v>
      </c>
      <c r="I1990" s="5" t="s">
        <v>3342</v>
      </c>
    </row>
    <row r="1991" ht="12.75" customHeight="1">
      <c r="A1991" s="5" t="s">
        <v>3343</v>
      </c>
      <c r="B1991" s="7">
        <v>14.0</v>
      </c>
      <c r="C1991" s="7">
        <v>16.0</v>
      </c>
      <c r="D1991" s="7" t="s">
        <v>3920</v>
      </c>
      <c r="E1991" s="7"/>
      <c r="G1991" s="5" t="str">
        <f t="shared" si="1"/>
        <v>14, 16, EKANS</v>
      </c>
      <c r="I1991" s="5" t="s">
        <v>3343</v>
      </c>
    </row>
    <row r="1992" ht="12.75" customHeight="1">
      <c r="A1992" s="5">
        <v>0.05</v>
      </c>
      <c r="B1992" s="5">
        <v>0.05</v>
      </c>
      <c r="C1992" s="7"/>
      <c r="D1992" s="7"/>
      <c r="E1992" s="7"/>
      <c r="G1992" s="5">
        <f t="shared" si="1"/>
        <v>0.05</v>
      </c>
      <c r="I1992" s="5">
        <v>0.05</v>
      </c>
    </row>
    <row r="1993" ht="12.75" customHeight="1">
      <c r="A1993" s="5" t="s">
        <v>3344</v>
      </c>
      <c r="B1993" s="7">
        <v>15.0</v>
      </c>
      <c r="C1993" s="7">
        <v>15.0</v>
      </c>
      <c r="D1993" s="7" t="s">
        <v>3921</v>
      </c>
      <c r="E1993" s="7"/>
      <c r="G1993" s="5" t="str">
        <f t="shared" si="1"/>
        <v>15, 15, JIGGLYPUFF</v>
      </c>
      <c r="I1993" s="5" t="s">
        <v>3344</v>
      </c>
    </row>
    <row r="1994" ht="12.75" customHeight="1">
      <c r="A1994" s="5" t="s">
        <v>3345</v>
      </c>
      <c r="B1994" s="7">
        <v>15.0</v>
      </c>
      <c r="C1994" s="7">
        <v>15.0</v>
      </c>
      <c r="D1994" s="7" t="s">
        <v>3745</v>
      </c>
      <c r="E1994" s="7"/>
      <c r="G1994" s="5" t="str">
        <f t="shared" si="1"/>
        <v>15, 15, CLEFAIRY</v>
      </c>
      <c r="I1994" s="5" t="s">
        <v>3345</v>
      </c>
    </row>
    <row r="1995" ht="12.75" customHeight="1">
      <c r="A1995" s="5">
        <v>0.04</v>
      </c>
      <c r="B1995" s="5">
        <v>0.04</v>
      </c>
      <c r="C1995" s="7"/>
      <c r="D1995" s="7"/>
      <c r="E1995" s="7"/>
      <c r="G1995" s="5">
        <f t="shared" si="1"/>
        <v>0.04</v>
      </c>
      <c r="I1995" s="5">
        <v>0.04</v>
      </c>
    </row>
    <row r="1996" ht="12.75" customHeight="1">
      <c r="A1996" s="5" t="s">
        <v>3346</v>
      </c>
      <c r="B1996" s="7">
        <v>13.0</v>
      </c>
      <c r="C1996" s="7">
        <v>18.0</v>
      </c>
      <c r="D1996" s="7" t="s">
        <v>3736</v>
      </c>
      <c r="E1996" s="7"/>
      <c r="G1996" s="5" t="str">
        <f t="shared" si="1"/>
        <v>13, 18, MANKEY</v>
      </c>
      <c r="I1996" s="5" t="s">
        <v>3346</v>
      </c>
    </row>
    <row r="1997" ht="12.75" customHeight="1">
      <c r="A1997" s="5" t="s">
        <v>3347</v>
      </c>
      <c r="B1997" s="7">
        <v>13.0</v>
      </c>
      <c r="C1997" s="7">
        <v>18.0</v>
      </c>
      <c r="D1997" s="7" t="s">
        <v>3851</v>
      </c>
      <c r="E1997" s="7"/>
      <c r="G1997" s="5" t="str">
        <f t="shared" si="1"/>
        <v>13, 18, MACHOP</v>
      </c>
      <c r="I1997" s="5" t="s">
        <v>3347</v>
      </c>
    </row>
    <row r="1998" ht="12.75" customHeight="1">
      <c r="A1998" s="5">
        <v>0.01</v>
      </c>
      <c r="B1998" s="5">
        <v>0.01</v>
      </c>
      <c r="C1998" s="7"/>
      <c r="D1998" s="7"/>
      <c r="E1998" s="7"/>
      <c r="G1998" s="5">
        <f t="shared" si="1"/>
        <v>0.01</v>
      </c>
      <c r="I1998" s="5">
        <v>0.01</v>
      </c>
    </row>
    <row r="1999" ht="12.75" customHeight="1">
      <c r="A1999" s="5" t="s">
        <v>3348</v>
      </c>
      <c r="B1999" s="7">
        <v>16.0</v>
      </c>
      <c r="C1999" s="7">
        <v>16.0</v>
      </c>
      <c r="D1999" s="7" t="s">
        <v>3922</v>
      </c>
      <c r="E1999" s="7"/>
      <c r="G1999" s="5" t="str">
        <f t="shared" si="1"/>
        <v>16, 16, NIDORINO</v>
      </c>
      <c r="I1999" s="5" t="s">
        <v>3348</v>
      </c>
    </row>
    <row r="2000" ht="12.75" customHeight="1">
      <c r="A2000" s="5" t="s">
        <v>3349</v>
      </c>
      <c r="B2000" s="7">
        <v>16.0</v>
      </c>
      <c r="C2000" s="7">
        <v>16.0</v>
      </c>
      <c r="D2000" s="7" t="s">
        <v>3923</v>
      </c>
      <c r="E2000" s="7"/>
      <c r="G2000" s="5" t="str">
        <f t="shared" si="1"/>
        <v>16, 16, NIDORINA</v>
      </c>
      <c r="I2000" s="5" t="s">
        <v>3349</v>
      </c>
    </row>
    <row r="2001" ht="12.75" customHeight="1">
      <c r="A2001" s="5" t="s">
        <v>3350</v>
      </c>
      <c r="B2001" s="7">
        <v>2.0</v>
      </c>
      <c r="C2001" s="7">
        <v>38.0</v>
      </c>
      <c r="D2001" s="7">
        <v>42.0</v>
      </c>
      <c r="E2001" s="7" t="s">
        <v>3748</v>
      </c>
      <c r="G2001" s="5" t="str">
        <f t="shared" si="1"/>
        <v>2, 38, 42, TENTACOOL</v>
      </c>
      <c r="I2001" s="5" t="s">
        <v>3350</v>
      </c>
    </row>
    <row r="2002" ht="12.75" customHeight="1">
      <c r="A2002" s="5" t="s">
        <v>3351</v>
      </c>
      <c r="B2002" s="7">
        <v>40.0</v>
      </c>
      <c r="C2002" s="7">
        <v>44.0</v>
      </c>
      <c r="D2002" s="7" t="s">
        <v>3800</v>
      </c>
      <c r="E2002" s="7"/>
      <c r="G2002" s="5" t="str">
        <f t="shared" si="1"/>
        <v>40, 44, PSYDUCK</v>
      </c>
      <c r="I2002" s="5" t="s">
        <v>3351</v>
      </c>
    </row>
    <row r="2003" ht="12.75" customHeight="1">
      <c r="A2003" s="5" t="s">
        <v>3352</v>
      </c>
      <c r="B2003" s="7">
        <v>42.0</v>
      </c>
      <c r="C2003" s="7">
        <v>46.0</v>
      </c>
      <c r="D2003" s="7" t="s">
        <v>3898</v>
      </c>
      <c r="E2003" s="7"/>
      <c r="G2003" s="5" t="str">
        <f t="shared" si="1"/>
        <v>42, 46, TENTACRUEL</v>
      </c>
      <c r="I2003" s="5" t="s">
        <v>3352</v>
      </c>
    </row>
    <row r="2004" ht="12.75" customHeight="1">
      <c r="A2004" s="5" t="s">
        <v>2924</v>
      </c>
      <c r="B2004" s="7">
        <v>42.0</v>
      </c>
      <c r="C2004" s="7">
        <v>46.0</v>
      </c>
      <c r="D2004" s="7" t="s">
        <v>3802</v>
      </c>
      <c r="E2004" s="7"/>
      <c r="G2004" s="5" t="str">
        <f t="shared" si="1"/>
        <v>42, 46, GOLDUCK</v>
      </c>
      <c r="I2004" s="5" t="s">
        <v>2924</v>
      </c>
    </row>
    <row r="2005" ht="12.75" customHeight="1">
      <c r="A2005" s="5" t="s">
        <v>2925</v>
      </c>
      <c r="B2005" s="7">
        <v>44.0</v>
      </c>
      <c r="C2005" s="7">
        <v>48.0</v>
      </c>
      <c r="D2005" s="7" t="s">
        <v>3803</v>
      </c>
      <c r="E2005" s="7"/>
      <c r="G2005" s="5" t="str">
        <f t="shared" si="1"/>
        <v>44, 48, VAPOREON</v>
      </c>
      <c r="I2005" s="5" t="s">
        <v>2925</v>
      </c>
    </row>
    <row r="2006" ht="12.75" customHeight="1">
      <c r="A2006" s="5" t="s">
        <v>2926</v>
      </c>
      <c r="B2006" s="7">
        <v>20.0</v>
      </c>
      <c r="C2006" s="7" t="s">
        <v>3749</v>
      </c>
      <c r="D2006" s="7"/>
      <c r="E2006" s="7"/>
      <c r="G2006" s="5" t="str">
        <f t="shared" si="1"/>
        <v>old rod:</v>
      </c>
      <c r="I2006" s="5" t="s">
        <v>3750</v>
      </c>
    </row>
    <row r="2007" ht="12.75" customHeight="1">
      <c r="A2007" s="5" t="s">
        <v>500</v>
      </c>
      <c r="B2007" s="7">
        <v>19.0</v>
      </c>
      <c r="C2007" s="7">
        <v>26.0</v>
      </c>
      <c r="D2007" s="7" t="s">
        <v>3751</v>
      </c>
      <c r="E2007" s="7"/>
      <c r="G2007" s="5" t="str">
        <f t="shared" si="1"/>
        <v>19, 26, MAGIKARP</v>
      </c>
      <c r="I2007" s="5" t="s">
        <v>500</v>
      </c>
    </row>
    <row r="2008" ht="12.75" customHeight="1">
      <c r="A2008" s="5" t="s">
        <v>3353</v>
      </c>
      <c r="B2008" s="7">
        <v>19.0</v>
      </c>
      <c r="C2008" s="7">
        <v>26.0</v>
      </c>
      <c r="D2008" s="7" t="s">
        <v>3755</v>
      </c>
      <c r="E2008" s="7"/>
      <c r="G2008" s="5" t="str">
        <f t="shared" si="1"/>
        <v>19, 26, GYARADOS</v>
      </c>
      <c r="I2008" s="5" t="s">
        <v>3353</v>
      </c>
    </row>
    <row r="2009" ht="12.75" customHeight="1">
      <c r="A2009" s="5" t="s">
        <v>2847</v>
      </c>
      <c r="B2009" s="7" t="s">
        <v>2847</v>
      </c>
      <c r="C2009" s="7"/>
      <c r="D2009" s="7"/>
      <c r="E2009" s="7"/>
      <c r="G2009" s="5" t="str">
        <f t="shared" si="1"/>
        <v>good rod:</v>
      </c>
      <c r="I2009" s="5" t="s">
        <v>2847</v>
      </c>
    </row>
    <row r="2010" ht="12.75" customHeight="1">
      <c r="A2010" s="5" t="s">
        <v>3354</v>
      </c>
      <c r="B2010" s="7">
        <v>29.0</v>
      </c>
      <c r="C2010" s="7">
        <v>33.0</v>
      </c>
      <c r="D2010" s="7" t="s">
        <v>3756</v>
      </c>
      <c r="E2010" s="7"/>
      <c r="G2010" s="5" t="str">
        <f t="shared" si="1"/>
        <v>29, 33, SLOWPOKE</v>
      </c>
      <c r="I2010" s="5" t="s">
        <v>3354</v>
      </c>
    </row>
    <row r="2011" ht="12.75" customHeight="1">
      <c r="A2011" s="5" t="s">
        <v>3028</v>
      </c>
      <c r="B2011" s="7">
        <v>30.0</v>
      </c>
      <c r="C2011" s="7">
        <v>35.0</v>
      </c>
      <c r="D2011" s="7" t="s">
        <v>3752</v>
      </c>
      <c r="E2011" s="7"/>
      <c r="G2011" s="5" t="str">
        <f t="shared" si="1"/>
        <v>30, 35, KRABBY</v>
      </c>
      <c r="I2011" s="5" t="s">
        <v>3028</v>
      </c>
    </row>
    <row r="2012" ht="12.75" customHeight="1">
      <c r="A2012" s="5" t="s">
        <v>3355</v>
      </c>
      <c r="B2012" s="7">
        <v>30.0</v>
      </c>
      <c r="C2012" s="7">
        <v>35.0</v>
      </c>
      <c r="D2012" s="7" t="s">
        <v>3800</v>
      </c>
      <c r="E2012" s="7"/>
      <c r="G2012" s="5" t="str">
        <f t="shared" si="1"/>
        <v>30, 35, PSYDUCK</v>
      </c>
      <c r="I2012" s="5" t="s">
        <v>3355</v>
      </c>
    </row>
    <row r="2013" ht="12.75" customHeight="1">
      <c r="A2013" s="5" t="s">
        <v>2851</v>
      </c>
      <c r="B2013" s="7" t="s">
        <v>2851</v>
      </c>
      <c r="C2013" s="7"/>
      <c r="D2013" s="7"/>
      <c r="E2013" s="7"/>
      <c r="G2013" s="5" t="str">
        <f t="shared" si="1"/>
        <v>super rod:</v>
      </c>
      <c r="I2013" s="5" t="s">
        <v>2851</v>
      </c>
    </row>
    <row r="2014" ht="12.75" customHeight="1">
      <c r="A2014" s="5" t="s">
        <v>3356</v>
      </c>
      <c r="B2014" s="7">
        <v>36.0</v>
      </c>
      <c r="C2014" s="7">
        <v>40.0</v>
      </c>
      <c r="D2014" s="7" t="s">
        <v>3801</v>
      </c>
      <c r="E2014" s="7"/>
      <c r="G2014" s="5" t="str">
        <f t="shared" si="1"/>
        <v>36, 40, SLOWBRO</v>
      </c>
      <c r="I2014" s="5" t="s">
        <v>3356</v>
      </c>
    </row>
    <row r="2015" ht="12.75" customHeight="1">
      <c r="A2015" s="5" t="s">
        <v>3357</v>
      </c>
      <c r="B2015" s="7">
        <v>36.0</v>
      </c>
      <c r="C2015" s="7">
        <v>40.0</v>
      </c>
      <c r="D2015" s="7" t="s">
        <v>3755</v>
      </c>
      <c r="E2015" s="7"/>
      <c r="G2015" s="5" t="str">
        <f t="shared" si="1"/>
        <v>36, 40, GYARADOS</v>
      </c>
      <c r="I2015" s="5" t="s">
        <v>3357</v>
      </c>
    </row>
    <row r="2016" ht="12.75" customHeight="1">
      <c r="A2016" s="5" t="s">
        <v>3358</v>
      </c>
      <c r="B2016" s="7">
        <v>38.0</v>
      </c>
      <c r="C2016" s="7">
        <v>42.0</v>
      </c>
      <c r="D2016" s="7" t="s">
        <v>3802</v>
      </c>
      <c r="E2016" s="7"/>
      <c r="G2016" s="5" t="str">
        <f t="shared" si="1"/>
        <v>38, 42, GOLDUCK</v>
      </c>
      <c r="I2016" s="5" t="s">
        <v>3358</v>
      </c>
    </row>
    <row r="2017" ht="12.75" customHeight="1">
      <c r="A2017" s="5" t="s">
        <v>3359</v>
      </c>
      <c r="B2017" s="7">
        <v>38.0</v>
      </c>
      <c r="C2017" s="7">
        <v>42.0</v>
      </c>
      <c r="D2017" s="7" t="s">
        <v>3860</v>
      </c>
      <c r="E2017" s="7"/>
      <c r="G2017" s="5" t="str">
        <f t="shared" si="1"/>
        <v>38, 42, KINGLER</v>
      </c>
      <c r="I2017" s="5" t="s">
        <v>3359</v>
      </c>
    </row>
    <row r="2018" ht="12.75" customHeight="1">
      <c r="A2018" s="5" t="s">
        <v>3360</v>
      </c>
      <c r="B2018" s="7">
        <v>40.0</v>
      </c>
      <c r="C2018" s="7">
        <v>44.0</v>
      </c>
      <c r="D2018" s="7" t="s">
        <v>3856</v>
      </c>
      <c r="E2018" s="7"/>
      <c r="G2018" s="5" t="str">
        <f t="shared" si="1"/>
        <v>40, 44, SLOWMATE</v>
      </c>
      <c r="I2018" s="5" t="s">
        <v>3360</v>
      </c>
    </row>
    <row r="2019" ht="12.75" customHeight="1">
      <c r="A2019" s="5" t="s">
        <v>2539</v>
      </c>
      <c r="B2019" s="7" t="s">
        <v>2539</v>
      </c>
      <c r="C2019" s="7"/>
      <c r="D2019" s="7"/>
      <c r="E2019" s="7"/>
      <c r="G2019" s="5" t="str">
        <f t="shared" si="1"/>
        <v>NEW ROUTE</v>
      </c>
      <c r="I2019" s="5" t="s">
        <v>2539</v>
      </c>
    </row>
    <row r="2020" ht="12.75" customHeight="1">
      <c r="A2020" s="5" t="s">
        <v>2112</v>
      </c>
      <c r="B2020" s="7" t="s">
        <v>2112</v>
      </c>
      <c r="C2020" s="7"/>
      <c r="D2020" s="7"/>
      <c r="E2020" s="7"/>
      <c r="G2020" s="5" t="str">
        <f t="shared" si="1"/>
        <v>Route 5</v>
      </c>
      <c r="I2020" s="5" t="s">
        <v>2112</v>
      </c>
    </row>
    <row r="2021" ht="12.75" customHeight="1">
      <c r="A2021" s="5">
        <v>0.2</v>
      </c>
      <c r="B2021" s="5">
        <v>0.2</v>
      </c>
      <c r="C2021" s="7"/>
      <c r="D2021" s="7"/>
      <c r="E2021" s="7"/>
      <c r="G2021" s="5">
        <f t="shared" si="1"/>
        <v>0.2</v>
      </c>
      <c r="I2021" s="5">
        <v>0.2</v>
      </c>
    </row>
    <row r="2022" ht="12.75" customHeight="1">
      <c r="A2022" s="5" t="s">
        <v>979</v>
      </c>
      <c r="B2022" s="7">
        <v>15.0</v>
      </c>
      <c r="C2022" s="7">
        <v>17.0</v>
      </c>
      <c r="D2022" s="7" t="s">
        <v>3890</v>
      </c>
      <c r="E2022" s="7"/>
      <c r="G2022" s="5" t="str">
        <f t="shared" si="1"/>
        <v>15, 17, PIDGEY</v>
      </c>
      <c r="I2022" s="5" t="s">
        <v>979</v>
      </c>
    </row>
    <row r="2023" ht="12.75" customHeight="1">
      <c r="A2023" s="5" t="s">
        <v>3362</v>
      </c>
      <c r="B2023" s="7">
        <v>15.0</v>
      </c>
      <c r="C2023" s="7">
        <v>17.0</v>
      </c>
      <c r="D2023" s="7" t="s">
        <v>3903</v>
      </c>
      <c r="E2023" s="7"/>
      <c r="G2023" s="5" t="str">
        <f t="shared" si="1"/>
        <v>15, 17, MEOWTH</v>
      </c>
      <c r="I2023" s="5" t="s">
        <v>3362</v>
      </c>
    </row>
    <row r="2024" ht="12.75" customHeight="1">
      <c r="A2024" s="5">
        <v>0.1</v>
      </c>
      <c r="B2024" s="5">
        <v>0.1</v>
      </c>
      <c r="C2024" s="7"/>
      <c r="D2024" s="7"/>
      <c r="E2024" s="7"/>
      <c r="G2024" s="5">
        <f t="shared" si="1"/>
        <v>0.1</v>
      </c>
      <c r="I2024" s="5">
        <v>0.1</v>
      </c>
    </row>
    <row r="2025" ht="12.75" customHeight="1">
      <c r="A2025" s="5" t="s">
        <v>3363</v>
      </c>
      <c r="B2025" s="7">
        <v>16.0</v>
      </c>
      <c r="C2025" s="7">
        <v>19.0</v>
      </c>
      <c r="D2025" s="7" t="s">
        <v>3732</v>
      </c>
      <c r="E2025" s="7"/>
      <c r="G2025" s="5" t="str">
        <f t="shared" si="1"/>
        <v>16, 19, ODDISH</v>
      </c>
      <c r="I2025" s="5" t="s">
        <v>3363</v>
      </c>
    </row>
    <row r="2026" ht="12.75" customHeight="1">
      <c r="A2026" s="5" t="s">
        <v>3364</v>
      </c>
      <c r="B2026" s="7">
        <v>16.0</v>
      </c>
      <c r="C2026" s="7">
        <v>19.0</v>
      </c>
      <c r="D2026" s="7" t="s">
        <v>3891</v>
      </c>
      <c r="E2026" s="7"/>
      <c r="G2026" s="5" t="str">
        <f t="shared" si="1"/>
        <v>16, 19, BELLSPROUT</v>
      </c>
      <c r="I2026" s="5" t="s">
        <v>3364</v>
      </c>
    </row>
    <row r="2027" ht="12.75" customHeight="1">
      <c r="A2027" s="5" t="s">
        <v>3365</v>
      </c>
      <c r="B2027" s="7">
        <v>16.0</v>
      </c>
      <c r="C2027" s="7">
        <v>19.0</v>
      </c>
      <c r="D2027" s="7" t="s">
        <v>3920</v>
      </c>
      <c r="E2027" s="7"/>
      <c r="G2027" s="5" t="str">
        <f t="shared" si="1"/>
        <v>16, 19, EKANS</v>
      </c>
      <c r="I2027" s="5" t="s">
        <v>3365</v>
      </c>
    </row>
    <row r="2028" ht="12.75" customHeight="1">
      <c r="A2028" s="5" t="s">
        <v>3366</v>
      </c>
      <c r="B2028" s="7">
        <v>16.0</v>
      </c>
      <c r="C2028" s="7">
        <v>19.0</v>
      </c>
      <c r="D2028" s="7" t="s">
        <v>3743</v>
      </c>
      <c r="E2028" s="7"/>
      <c r="G2028" s="5" t="str">
        <f t="shared" si="1"/>
        <v>16, 19, PARAS</v>
      </c>
      <c r="I2028" s="5" t="s">
        <v>3366</v>
      </c>
    </row>
    <row r="2029" ht="12.75" customHeight="1">
      <c r="A2029" s="5">
        <v>0.05</v>
      </c>
      <c r="B2029" s="5">
        <v>0.05</v>
      </c>
      <c r="C2029" s="7"/>
      <c r="D2029" s="7"/>
      <c r="E2029" s="7"/>
      <c r="G2029" s="5">
        <f t="shared" si="1"/>
        <v>0.05</v>
      </c>
      <c r="I2029" s="5">
        <v>0.05</v>
      </c>
    </row>
    <row r="2030" ht="12.75" customHeight="1">
      <c r="A2030" s="5" t="s">
        <v>3367</v>
      </c>
      <c r="B2030" s="7">
        <v>17.0</v>
      </c>
      <c r="C2030" s="7">
        <v>17.0</v>
      </c>
      <c r="D2030" s="7" t="s">
        <v>3869</v>
      </c>
      <c r="E2030" s="7"/>
      <c r="G2030" s="5" t="str">
        <f t="shared" si="1"/>
        <v>17, 17, VULPIX</v>
      </c>
      <c r="I2030" s="5" t="s">
        <v>3367</v>
      </c>
    </row>
    <row r="2031" ht="12.75" customHeight="1">
      <c r="A2031" s="5" t="s">
        <v>3368</v>
      </c>
      <c r="B2031" s="7">
        <v>17.0</v>
      </c>
      <c r="C2031" s="7">
        <v>17.0</v>
      </c>
      <c r="D2031" s="7" t="s">
        <v>3917</v>
      </c>
      <c r="E2031" s="7"/>
      <c r="G2031" s="5" t="str">
        <f t="shared" si="1"/>
        <v>17, 17, GROWLITHE</v>
      </c>
      <c r="I2031" s="5" t="s">
        <v>3368</v>
      </c>
    </row>
    <row r="2032" ht="12.75" customHeight="1">
      <c r="A2032" s="5">
        <v>0.04</v>
      </c>
      <c r="B2032" s="5">
        <v>0.04</v>
      </c>
      <c r="C2032" s="7"/>
      <c r="D2032" s="7"/>
      <c r="E2032" s="7"/>
      <c r="G2032" s="5">
        <f t="shared" si="1"/>
        <v>0.04</v>
      </c>
      <c r="I2032" s="5">
        <v>0.04</v>
      </c>
    </row>
    <row r="2033" ht="12.75" customHeight="1">
      <c r="A2033" s="5" t="s">
        <v>3369</v>
      </c>
      <c r="B2033" s="7">
        <v>16.0</v>
      </c>
      <c r="C2033" s="7">
        <v>18.0</v>
      </c>
      <c r="D2033" s="7" t="s">
        <v>3735</v>
      </c>
      <c r="E2033" s="7"/>
      <c r="G2033" s="5" t="str">
        <f t="shared" si="1"/>
        <v>16, 18, PIKACHU</v>
      </c>
      <c r="I2033" s="5" t="s">
        <v>3369</v>
      </c>
    </row>
    <row r="2034" ht="12.75" customHeight="1">
      <c r="A2034" s="5" t="s">
        <v>3370</v>
      </c>
      <c r="B2034" s="7">
        <v>16.0</v>
      </c>
      <c r="C2034" s="7">
        <v>18.0</v>
      </c>
      <c r="D2034" s="7" t="s">
        <v>3915</v>
      </c>
      <c r="E2034" s="7"/>
      <c r="G2034" s="5" t="str">
        <f t="shared" si="1"/>
        <v>16, 18, EEVEE</v>
      </c>
      <c r="I2034" s="5" t="s">
        <v>3370</v>
      </c>
    </row>
    <row r="2035" ht="12.75" customHeight="1">
      <c r="A2035" s="5">
        <v>0.01</v>
      </c>
      <c r="B2035" s="5">
        <v>0.01</v>
      </c>
      <c r="C2035" s="7"/>
      <c r="D2035" s="7"/>
      <c r="E2035" s="7"/>
      <c r="G2035" s="5">
        <f t="shared" si="1"/>
        <v>0.01</v>
      </c>
      <c r="I2035" s="5">
        <v>0.01</v>
      </c>
    </row>
    <row r="2036" ht="12.75" customHeight="1">
      <c r="A2036" s="5" t="s">
        <v>3371</v>
      </c>
      <c r="B2036" s="7">
        <v>20.0</v>
      </c>
      <c r="C2036" s="7">
        <v>20.0</v>
      </c>
      <c r="D2036" s="7" t="s">
        <v>3883</v>
      </c>
      <c r="E2036" s="7"/>
      <c r="G2036" s="5" t="str">
        <f t="shared" si="1"/>
        <v>20, 20, FEAROW</v>
      </c>
      <c r="I2036" s="5" t="s">
        <v>3371</v>
      </c>
    </row>
    <row r="2037" ht="12.75" customHeight="1">
      <c r="A2037" s="5" t="s">
        <v>3374</v>
      </c>
      <c r="B2037" s="7">
        <v>20.0</v>
      </c>
      <c r="C2037" s="7">
        <v>20.0</v>
      </c>
      <c r="D2037" s="7" t="s">
        <v>3889</v>
      </c>
      <c r="E2037" s="7"/>
      <c r="G2037" s="5" t="str">
        <f t="shared" si="1"/>
        <v>20, 20, WEEPINBELL</v>
      </c>
      <c r="I2037" s="5" t="s">
        <v>3374</v>
      </c>
    </row>
    <row r="2038" ht="12.75" customHeight="1">
      <c r="A2038" s="5" t="s">
        <v>2539</v>
      </c>
      <c r="B2038" s="7" t="s">
        <v>2539</v>
      </c>
      <c r="C2038" s="7"/>
      <c r="D2038" s="7"/>
      <c r="E2038" s="7"/>
      <c r="G2038" s="5" t="str">
        <f t="shared" si="1"/>
        <v>NEW ROUTE</v>
      </c>
      <c r="I2038" s="5" t="s">
        <v>2539</v>
      </c>
    </row>
    <row r="2039" ht="12.75" customHeight="1">
      <c r="A2039" s="5" t="s">
        <v>2114</v>
      </c>
      <c r="B2039" s="7" t="s">
        <v>2114</v>
      </c>
      <c r="C2039" s="7"/>
      <c r="D2039" s="7"/>
      <c r="E2039" s="7"/>
      <c r="G2039" s="5" t="str">
        <f t="shared" si="1"/>
        <v>Route 6</v>
      </c>
      <c r="I2039" s="5" t="s">
        <v>2114</v>
      </c>
    </row>
    <row r="2040" ht="12.75" customHeight="1">
      <c r="A2040" s="5">
        <v>0.2</v>
      </c>
      <c r="B2040" s="5">
        <v>0.2</v>
      </c>
      <c r="C2040" s="7"/>
      <c r="D2040" s="7"/>
      <c r="E2040" s="7"/>
      <c r="G2040" s="5">
        <f t="shared" si="1"/>
        <v>0.2</v>
      </c>
      <c r="I2040" s="5">
        <v>0.2</v>
      </c>
    </row>
    <row r="2041" ht="12.75" customHeight="1">
      <c r="A2041" s="5" t="s">
        <v>979</v>
      </c>
      <c r="B2041" s="7">
        <v>15.0</v>
      </c>
      <c r="C2041" s="7">
        <v>17.0</v>
      </c>
      <c r="D2041" s="7" t="s">
        <v>3890</v>
      </c>
      <c r="E2041" s="7"/>
      <c r="G2041" s="5" t="str">
        <f t="shared" si="1"/>
        <v>15, 17, PIDGEY</v>
      </c>
      <c r="I2041" s="5" t="s">
        <v>979</v>
      </c>
    </row>
    <row r="2042" ht="12.75" customHeight="1">
      <c r="A2042" s="5" t="s">
        <v>3362</v>
      </c>
      <c r="B2042" s="7">
        <v>15.0</v>
      </c>
      <c r="C2042" s="7">
        <v>17.0</v>
      </c>
      <c r="D2042" s="7" t="s">
        <v>3903</v>
      </c>
      <c r="E2042" s="7"/>
      <c r="G2042" s="5" t="str">
        <f t="shared" si="1"/>
        <v>15, 17, MEOWTH</v>
      </c>
      <c r="I2042" s="5" t="s">
        <v>3362</v>
      </c>
    </row>
    <row r="2043" ht="12.75" customHeight="1">
      <c r="A2043" s="5">
        <v>0.1</v>
      </c>
      <c r="B2043" s="5">
        <v>0.1</v>
      </c>
      <c r="C2043" s="7"/>
      <c r="D2043" s="7"/>
      <c r="E2043" s="7"/>
      <c r="G2043" s="5">
        <f t="shared" si="1"/>
        <v>0.1</v>
      </c>
      <c r="I2043" s="5">
        <v>0.1</v>
      </c>
    </row>
    <row r="2044" ht="12.75" customHeight="1">
      <c r="A2044" s="5" t="s">
        <v>3363</v>
      </c>
      <c r="B2044" s="7">
        <v>16.0</v>
      </c>
      <c r="C2044" s="7">
        <v>19.0</v>
      </c>
      <c r="D2044" s="7" t="s">
        <v>3732</v>
      </c>
      <c r="E2044" s="7"/>
      <c r="G2044" s="5" t="str">
        <f t="shared" si="1"/>
        <v>16, 19, ODDISH</v>
      </c>
      <c r="I2044" s="5" t="s">
        <v>3363</v>
      </c>
    </row>
    <row r="2045" ht="12.75" customHeight="1">
      <c r="A2045" s="5" t="s">
        <v>3364</v>
      </c>
      <c r="B2045" s="7">
        <v>16.0</v>
      </c>
      <c r="C2045" s="7">
        <v>19.0</v>
      </c>
      <c r="D2045" s="7" t="s">
        <v>3891</v>
      </c>
      <c r="E2045" s="7"/>
      <c r="G2045" s="5" t="str">
        <f t="shared" si="1"/>
        <v>16, 19, BELLSPROUT</v>
      </c>
      <c r="I2045" s="5" t="s">
        <v>3364</v>
      </c>
    </row>
    <row r="2046" ht="12.75" customHeight="1">
      <c r="A2046" s="5" t="s">
        <v>3365</v>
      </c>
      <c r="B2046" s="7">
        <v>16.0</v>
      </c>
      <c r="C2046" s="7">
        <v>19.0</v>
      </c>
      <c r="D2046" s="7" t="s">
        <v>3920</v>
      </c>
      <c r="E2046" s="7"/>
      <c r="G2046" s="5" t="str">
        <f t="shared" si="1"/>
        <v>16, 19, EKANS</v>
      </c>
      <c r="I2046" s="5" t="s">
        <v>3365</v>
      </c>
    </row>
    <row r="2047" ht="12.75" customHeight="1">
      <c r="A2047" s="5" t="s">
        <v>3366</v>
      </c>
      <c r="B2047" s="7">
        <v>16.0</v>
      </c>
      <c r="C2047" s="7">
        <v>19.0</v>
      </c>
      <c r="D2047" s="7" t="s">
        <v>3743</v>
      </c>
      <c r="E2047" s="7"/>
      <c r="G2047" s="5" t="str">
        <f t="shared" si="1"/>
        <v>16, 19, PARAS</v>
      </c>
      <c r="I2047" s="5" t="s">
        <v>3366</v>
      </c>
    </row>
    <row r="2048" ht="12.75" customHeight="1">
      <c r="A2048" s="5">
        <v>0.05</v>
      </c>
      <c r="B2048" s="5">
        <v>0.05</v>
      </c>
      <c r="C2048" s="7"/>
      <c r="D2048" s="7"/>
      <c r="E2048" s="7"/>
      <c r="G2048" s="5">
        <f t="shared" si="1"/>
        <v>0.05</v>
      </c>
      <c r="I2048" s="5">
        <v>0.05</v>
      </c>
    </row>
    <row r="2049" ht="12.75" customHeight="1">
      <c r="A2049" s="5" t="s">
        <v>3367</v>
      </c>
      <c r="B2049" s="7">
        <v>17.0</v>
      </c>
      <c r="C2049" s="7">
        <v>17.0</v>
      </c>
      <c r="D2049" s="7" t="s">
        <v>3869</v>
      </c>
      <c r="E2049" s="7"/>
      <c r="G2049" s="5" t="str">
        <f t="shared" si="1"/>
        <v>17, 17, VULPIX</v>
      </c>
      <c r="I2049" s="5" t="s">
        <v>3367</v>
      </c>
    </row>
    <row r="2050" ht="12.75" customHeight="1">
      <c r="A2050" s="5" t="s">
        <v>3368</v>
      </c>
      <c r="B2050" s="7">
        <v>17.0</v>
      </c>
      <c r="C2050" s="7">
        <v>17.0</v>
      </c>
      <c r="D2050" s="7" t="s">
        <v>3917</v>
      </c>
      <c r="E2050" s="7"/>
      <c r="G2050" s="5" t="str">
        <f t="shared" si="1"/>
        <v>17, 17, GROWLITHE</v>
      </c>
      <c r="I2050" s="5" t="s">
        <v>3368</v>
      </c>
    </row>
    <row r="2051" ht="12.75" customHeight="1">
      <c r="A2051" s="5">
        <v>0.04</v>
      </c>
      <c r="B2051" s="5">
        <v>0.04</v>
      </c>
      <c r="C2051" s="7"/>
      <c r="D2051" s="7"/>
      <c r="E2051" s="7"/>
      <c r="G2051" s="5">
        <f t="shared" si="1"/>
        <v>0.04</v>
      </c>
      <c r="I2051" s="5">
        <v>0.04</v>
      </c>
    </row>
    <row r="2052" ht="12.75" customHeight="1">
      <c r="A2052" s="5" t="s">
        <v>3369</v>
      </c>
      <c r="B2052" s="7">
        <v>16.0</v>
      </c>
      <c r="C2052" s="7">
        <v>18.0</v>
      </c>
      <c r="D2052" s="7" t="s">
        <v>3735</v>
      </c>
      <c r="E2052" s="7"/>
      <c r="G2052" s="5" t="str">
        <f t="shared" si="1"/>
        <v>16, 18, PIKACHU</v>
      </c>
      <c r="I2052" s="5" t="s">
        <v>3369</v>
      </c>
    </row>
    <row r="2053" ht="12.75" customHeight="1">
      <c r="A2053" s="5" t="s">
        <v>3370</v>
      </c>
      <c r="B2053" s="7">
        <v>16.0</v>
      </c>
      <c r="C2053" s="7">
        <v>18.0</v>
      </c>
      <c r="D2053" s="7" t="s">
        <v>3915</v>
      </c>
      <c r="E2053" s="7"/>
      <c r="G2053" s="5" t="str">
        <f t="shared" si="1"/>
        <v>16, 18, EEVEE</v>
      </c>
      <c r="I2053" s="5" t="s">
        <v>3370</v>
      </c>
    </row>
    <row r="2054" ht="12.75" customHeight="1">
      <c r="A2054" s="5">
        <v>0.01</v>
      </c>
      <c r="B2054" s="5">
        <v>0.01</v>
      </c>
      <c r="C2054" s="7"/>
      <c r="D2054" s="7"/>
      <c r="E2054" s="7"/>
      <c r="G2054" s="5">
        <f t="shared" si="1"/>
        <v>0.01</v>
      </c>
      <c r="I2054" s="5">
        <v>0.01</v>
      </c>
    </row>
    <row r="2055" ht="12.75" customHeight="1">
      <c r="A2055" s="5" t="s">
        <v>3371</v>
      </c>
      <c r="B2055" s="7">
        <v>20.0</v>
      </c>
      <c r="C2055" s="7">
        <v>20.0</v>
      </c>
      <c r="D2055" s="7" t="s">
        <v>3883</v>
      </c>
      <c r="E2055" s="7"/>
      <c r="G2055" s="5" t="str">
        <f t="shared" si="1"/>
        <v>20, 20, FEAROW</v>
      </c>
      <c r="I2055" s="5" t="s">
        <v>3371</v>
      </c>
    </row>
    <row r="2056" ht="12.75" customHeight="1">
      <c r="A2056" s="5" t="s">
        <v>3374</v>
      </c>
      <c r="B2056" s="7">
        <v>20.0</v>
      </c>
      <c r="C2056" s="7">
        <v>20.0</v>
      </c>
      <c r="D2056" s="7" t="s">
        <v>3889</v>
      </c>
      <c r="E2056" s="7"/>
      <c r="G2056" s="5" t="str">
        <f t="shared" si="1"/>
        <v>20, 20, WEEPINBELL</v>
      </c>
      <c r="I2056" s="5" t="s">
        <v>3374</v>
      </c>
    </row>
    <row r="2057" ht="12.75" customHeight="1">
      <c r="A2057" s="5" t="s">
        <v>3350</v>
      </c>
      <c r="B2057" s="7">
        <v>2.0</v>
      </c>
      <c r="C2057" s="7">
        <v>38.0</v>
      </c>
      <c r="D2057" s="7">
        <v>42.0</v>
      </c>
      <c r="E2057" s="7" t="s">
        <v>3748</v>
      </c>
      <c r="G2057" s="5" t="str">
        <f t="shared" si="1"/>
        <v>2, 38, 42, TENTACOOL</v>
      </c>
      <c r="I2057" s="5" t="s">
        <v>3350</v>
      </c>
    </row>
    <row r="2058" ht="12.75" customHeight="1">
      <c r="A2058" s="5" t="s">
        <v>3375</v>
      </c>
      <c r="B2058" s="7">
        <v>40.0</v>
      </c>
      <c r="C2058" s="7">
        <v>44.0</v>
      </c>
      <c r="D2058" s="7" t="s">
        <v>3756</v>
      </c>
      <c r="E2058" s="7"/>
      <c r="G2058" s="5" t="str">
        <f t="shared" si="1"/>
        <v>40, 44, SLOWPOKE</v>
      </c>
      <c r="I2058" s="5" t="s">
        <v>3375</v>
      </c>
    </row>
    <row r="2059" ht="12.75" customHeight="1">
      <c r="A2059" s="5" t="s">
        <v>3352</v>
      </c>
      <c r="B2059" s="7">
        <v>42.0</v>
      </c>
      <c r="C2059" s="7">
        <v>46.0</v>
      </c>
      <c r="D2059" s="7" t="s">
        <v>3898</v>
      </c>
      <c r="E2059" s="7"/>
      <c r="G2059" s="5" t="str">
        <f t="shared" si="1"/>
        <v>42, 46, TENTACRUEL</v>
      </c>
      <c r="I2059" s="5" t="s">
        <v>3352</v>
      </c>
    </row>
    <row r="2060" ht="12.75" customHeight="1">
      <c r="A2060" s="5" t="s">
        <v>2924</v>
      </c>
      <c r="B2060" s="7">
        <v>42.0</v>
      </c>
      <c r="C2060" s="7">
        <v>46.0</v>
      </c>
      <c r="D2060" s="7" t="s">
        <v>3802</v>
      </c>
      <c r="E2060" s="7"/>
      <c r="G2060" s="5" t="str">
        <f t="shared" si="1"/>
        <v>42, 46, GOLDUCK</v>
      </c>
      <c r="I2060" s="5" t="s">
        <v>2924</v>
      </c>
    </row>
    <row r="2061" ht="12.75" customHeight="1">
      <c r="A2061" s="5" t="s">
        <v>3376</v>
      </c>
      <c r="B2061" s="7">
        <v>44.0</v>
      </c>
      <c r="C2061" s="7">
        <v>48.0</v>
      </c>
      <c r="D2061" s="7" t="s">
        <v>3801</v>
      </c>
      <c r="E2061" s="7"/>
      <c r="G2061" s="5" t="str">
        <f t="shared" si="1"/>
        <v>44, 48, SLOWBRO</v>
      </c>
      <c r="I2061" s="5" t="s">
        <v>3376</v>
      </c>
    </row>
    <row r="2062" ht="12.75" customHeight="1">
      <c r="A2062" s="5" t="s">
        <v>2926</v>
      </c>
      <c r="B2062" s="7">
        <v>20.0</v>
      </c>
      <c r="C2062" s="7" t="s">
        <v>3749</v>
      </c>
      <c r="D2062" s="7"/>
      <c r="E2062" s="7"/>
      <c r="G2062" s="5" t="str">
        <f t="shared" si="1"/>
        <v>old rod:</v>
      </c>
      <c r="I2062" s="5" t="s">
        <v>3750</v>
      </c>
    </row>
    <row r="2063" ht="12.75" customHeight="1">
      <c r="A2063" s="5" t="s">
        <v>500</v>
      </c>
      <c r="B2063" s="7">
        <v>19.0</v>
      </c>
      <c r="C2063" s="7">
        <v>26.0</v>
      </c>
      <c r="D2063" s="7" t="s">
        <v>3751</v>
      </c>
      <c r="E2063" s="7"/>
      <c r="G2063" s="5" t="str">
        <f t="shared" si="1"/>
        <v>19, 26, MAGIKARP</v>
      </c>
      <c r="I2063" s="5" t="s">
        <v>500</v>
      </c>
    </row>
    <row r="2064" ht="12.75" customHeight="1">
      <c r="A2064" s="5" t="s">
        <v>3353</v>
      </c>
      <c r="B2064" s="7">
        <v>19.0</v>
      </c>
      <c r="C2064" s="7">
        <v>26.0</v>
      </c>
      <c r="D2064" s="7" t="s">
        <v>3755</v>
      </c>
      <c r="E2064" s="7"/>
      <c r="G2064" s="5" t="str">
        <f t="shared" si="1"/>
        <v>19, 26, GYARADOS</v>
      </c>
      <c r="I2064" s="5" t="s">
        <v>3353</v>
      </c>
    </row>
    <row r="2065" ht="12.75" customHeight="1">
      <c r="A2065" s="5" t="s">
        <v>2847</v>
      </c>
      <c r="B2065" s="7" t="s">
        <v>2847</v>
      </c>
      <c r="C2065" s="7"/>
      <c r="D2065" s="7"/>
      <c r="E2065" s="7"/>
      <c r="G2065" s="5" t="str">
        <f t="shared" si="1"/>
        <v>good rod:</v>
      </c>
      <c r="I2065" s="5" t="s">
        <v>2847</v>
      </c>
    </row>
    <row r="2066" ht="12.75" customHeight="1">
      <c r="A2066" s="5" t="s">
        <v>3377</v>
      </c>
      <c r="B2066" s="7">
        <v>29.0</v>
      </c>
      <c r="C2066" s="7">
        <v>33.0</v>
      </c>
      <c r="D2066" s="7" t="s">
        <v>3804</v>
      </c>
      <c r="E2066" s="7"/>
      <c r="G2066" s="5" t="str">
        <f t="shared" si="1"/>
        <v>29, 33, POLIWAG</v>
      </c>
      <c r="I2066" s="5" t="s">
        <v>3377</v>
      </c>
    </row>
    <row r="2067" ht="12.75" customHeight="1">
      <c r="A2067" s="5" t="s">
        <v>2930</v>
      </c>
      <c r="B2067" s="7">
        <v>30.0</v>
      </c>
      <c r="C2067" s="7">
        <v>35.0</v>
      </c>
      <c r="D2067" s="7" t="s">
        <v>3805</v>
      </c>
      <c r="E2067" s="7"/>
      <c r="G2067" s="5" t="str">
        <f t="shared" si="1"/>
        <v>30, 35, GOLDEEN</v>
      </c>
      <c r="I2067" s="5" t="s">
        <v>2930</v>
      </c>
    </row>
    <row r="2068" ht="12.75" customHeight="1">
      <c r="A2068" s="5" t="s">
        <v>3355</v>
      </c>
      <c r="B2068" s="7">
        <v>30.0</v>
      </c>
      <c r="C2068" s="7">
        <v>35.0</v>
      </c>
      <c r="D2068" s="7" t="s">
        <v>3800</v>
      </c>
      <c r="E2068" s="7"/>
      <c r="G2068" s="5" t="str">
        <f t="shared" si="1"/>
        <v>30, 35, PSYDUCK</v>
      </c>
      <c r="I2068" s="5" t="s">
        <v>3355</v>
      </c>
    </row>
    <row r="2069" ht="12.75" customHeight="1">
      <c r="A2069" s="5" t="s">
        <v>2851</v>
      </c>
      <c r="B2069" s="7" t="s">
        <v>2851</v>
      </c>
      <c r="C2069" s="7"/>
      <c r="D2069" s="7"/>
      <c r="E2069" s="7"/>
      <c r="G2069" s="5" t="str">
        <f t="shared" si="1"/>
        <v>super rod:</v>
      </c>
      <c r="I2069" s="5" t="s">
        <v>2851</v>
      </c>
    </row>
    <row r="2070" ht="12.75" customHeight="1">
      <c r="A2070" s="5" t="s">
        <v>2931</v>
      </c>
      <c r="B2070" s="7">
        <v>36.0</v>
      </c>
      <c r="C2070" s="7">
        <v>40.0</v>
      </c>
      <c r="D2070" s="7" t="s">
        <v>3806</v>
      </c>
      <c r="E2070" s="7"/>
      <c r="G2070" s="5" t="str">
        <f t="shared" si="1"/>
        <v>36, 40, POLIWHIRL</v>
      </c>
      <c r="I2070" s="5" t="s">
        <v>2931</v>
      </c>
    </row>
    <row r="2071" ht="12.75" customHeight="1">
      <c r="A2071" s="5" t="s">
        <v>2932</v>
      </c>
      <c r="B2071" s="7">
        <v>36.0</v>
      </c>
      <c r="C2071" s="7">
        <v>40.0</v>
      </c>
      <c r="D2071" s="7" t="s">
        <v>3807</v>
      </c>
      <c r="E2071" s="7"/>
      <c r="G2071" s="5" t="str">
        <f t="shared" si="1"/>
        <v>36, 40, SEAKING</v>
      </c>
      <c r="I2071" s="5" t="s">
        <v>2932</v>
      </c>
    </row>
    <row r="2072" ht="12.75" customHeight="1">
      <c r="A2072" s="5" t="s">
        <v>3378</v>
      </c>
      <c r="B2072" s="7">
        <v>38.0</v>
      </c>
      <c r="C2072" s="7">
        <v>42.0</v>
      </c>
      <c r="D2072" s="7" t="s">
        <v>3755</v>
      </c>
      <c r="E2072" s="7"/>
      <c r="G2072" s="5" t="str">
        <f t="shared" si="1"/>
        <v>38, 42, GYARADOS</v>
      </c>
      <c r="I2072" s="5" t="s">
        <v>3378</v>
      </c>
    </row>
    <row r="2073" ht="12.75" customHeight="1">
      <c r="A2073" s="5" t="s">
        <v>3379</v>
      </c>
      <c r="B2073" s="7">
        <v>38.0</v>
      </c>
      <c r="C2073" s="7">
        <v>42.0</v>
      </c>
      <c r="D2073" s="7" t="s">
        <v>3924</v>
      </c>
      <c r="E2073" s="7"/>
      <c r="G2073" s="5" t="str">
        <f t="shared" si="1"/>
        <v>38, 42, POLIWRATH</v>
      </c>
      <c r="I2073" s="5" t="s">
        <v>3379</v>
      </c>
    </row>
    <row r="2074" ht="12.75" customHeight="1">
      <c r="A2074" s="5" t="s">
        <v>3380</v>
      </c>
      <c r="B2074" s="7">
        <v>40.0</v>
      </c>
      <c r="C2074" s="7">
        <v>44.0</v>
      </c>
      <c r="D2074" s="7" t="s">
        <v>3838</v>
      </c>
      <c r="E2074" s="7"/>
      <c r="G2074" s="5" t="str">
        <f t="shared" si="1"/>
        <v>40, 44, POLITOES</v>
      </c>
      <c r="I2074" s="5" t="s">
        <v>3380</v>
      </c>
    </row>
    <row r="2075" ht="12.75" customHeight="1">
      <c r="A2075" s="5" t="s">
        <v>2539</v>
      </c>
      <c r="B2075" s="7" t="s">
        <v>2539</v>
      </c>
      <c r="C2075" s="7"/>
      <c r="D2075" s="7"/>
      <c r="E2075" s="7"/>
      <c r="G2075" s="5" t="str">
        <f t="shared" si="1"/>
        <v>NEW ROUTE</v>
      </c>
      <c r="I2075" s="5" t="s">
        <v>2539</v>
      </c>
    </row>
    <row r="2076" ht="12.75" customHeight="1">
      <c r="A2076" s="5" t="s">
        <v>2116</v>
      </c>
      <c r="B2076" s="7" t="s">
        <v>2116</v>
      </c>
      <c r="C2076" s="7"/>
      <c r="D2076" s="7"/>
      <c r="E2076" s="7"/>
      <c r="G2076" s="5" t="str">
        <f t="shared" si="1"/>
        <v>Route 7</v>
      </c>
      <c r="I2076" s="5" t="s">
        <v>2116</v>
      </c>
    </row>
    <row r="2077" ht="12.75" customHeight="1">
      <c r="A2077" s="5">
        <v>0.2</v>
      </c>
      <c r="B2077" s="5">
        <v>0.2</v>
      </c>
      <c r="C2077" s="7"/>
      <c r="D2077" s="7"/>
      <c r="E2077" s="7"/>
      <c r="G2077" s="5">
        <f t="shared" si="1"/>
        <v>0.2</v>
      </c>
      <c r="I2077" s="5">
        <v>0.2</v>
      </c>
    </row>
    <row r="2078" ht="12.75" customHeight="1">
      <c r="A2078" s="5" t="s">
        <v>1000</v>
      </c>
      <c r="B2078" s="7">
        <v>24.0</v>
      </c>
      <c r="C2078" s="7">
        <v>26.0</v>
      </c>
      <c r="D2078" s="7" t="s">
        <v>3882</v>
      </c>
      <c r="E2078" s="7"/>
      <c r="G2078" s="5" t="str">
        <f t="shared" si="1"/>
        <v>24, 26, PONYTA</v>
      </c>
      <c r="I2078" s="5" t="s">
        <v>1000</v>
      </c>
    </row>
    <row r="2079" ht="12.75" customHeight="1">
      <c r="A2079" s="5" t="s">
        <v>3382</v>
      </c>
      <c r="B2079" s="7">
        <v>24.0</v>
      </c>
      <c r="C2079" s="7">
        <v>26.0</v>
      </c>
      <c r="D2079" s="7" t="s">
        <v>3925</v>
      </c>
      <c r="E2079" s="7"/>
      <c r="G2079" s="5" t="str">
        <f t="shared" si="1"/>
        <v>24, 26, KOFFING</v>
      </c>
      <c r="I2079" s="5" t="s">
        <v>3382</v>
      </c>
    </row>
    <row r="2080" ht="12.75" customHeight="1">
      <c r="A2080" s="5">
        <v>0.1</v>
      </c>
      <c r="B2080" s="5">
        <v>0.1</v>
      </c>
      <c r="C2080" s="7"/>
      <c r="D2080" s="7"/>
      <c r="E2080" s="7"/>
      <c r="G2080" s="5">
        <f t="shared" si="1"/>
        <v>0.1</v>
      </c>
      <c r="I2080" s="5">
        <v>0.1</v>
      </c>
    </row>
    <row r="2081" ht="12.75" customHeight="1">
      <c r="A2081" s="5" t="s">
        <v>3383</v>
      </c>
      <c r="B2081" s="7">
        <v>25.0</v>
      </c>
      <c r="C2081" s="7">
        <v>27.0</v>
      </c>
      <c r="D2081" s="7" t="s">
        <v>3742</v>
      </c>
      <c r="E2081" s="7"/>
      <c r="G2081" s="5" t="str">
        <f t="shared" si="1"/>
        <v>25, 27, SANDSHREW</v>
      </c>
      <c r="I2081" s="5" t="s">
        <v>3383</v>
      </c>
    </row>
    <row r="2082" ht="12.75" customHeight="1">
      <c r="A2082" s="5" t="s">
        <v>3384</v>
      </c>
      <c r="B2082" s="7">
        <v>25.0</v>
      </c>
      <c r="C2082" s="7">
        <v>27.0</v>
      </c>
      <c r="D2082" s="7" t="s">
        <v>3903</v>
      </c>
      <c r="E2082" s="7"/>
      <c r="G2082" s="5" t="str">
        <f t="shared" si="1"/>
        <v>25, 27, MEOWTH</v>
      </c>
      <c r="I2082" s="5" t="s">
        <v>3384</v>
      </c>
    </row>
    <row r="2083" ht="12.75" customHeight="1">
      <c r="A2083" s="5" t="s">
        <v>3385</v>
      </c>
      <c r="B2083" s="7">
        <v>25.0</v>
      </c>
      <c r="C2083" s="7">
        <v>27.0</v>
      </c>
      <c r="D2083" s="7" t="s">
        <v>3743</v>
      </c>
      <c r="E2083" s="7"/>
      <c r="G2083" s="5" t="str">
        <f t="shared" si="1"/>
        <v>25, 27, PARAS</v>
      </c>
      <c r="I2083" s="5" t="s">
        <v>3385</v>
      </c>
    </row>
    <row r="2084" ht="12.75" customHeight="1">
      <c r="A2084" s="5" t="s">
        <v>3386</v>
      </c>
      <c r="B2084" s="7">
        <v>25.0</v>
      </c>
      <c r="C2084" s="7">
        <v>27.0</v>
      </c>
      <c r="D2084" s="7" t="s">
        <v>3869</v>
      </c>
      <c r="E2084" s="7"/>
      <c r="G2084" s="5" t="str">
        <f t="shared" si="1"/>
        <v>25, 27, VULPIX</v>
      </c>
      <c r="I2084" s="5" t="s">
        <v>3386</v>
      </c>
    </row>
    <row r="2085" ht="12.75" customHeight="1">
      <c r="A2085" s="5">
        <v>0.05</v>
      </c>
      <c r="B2085" s="5">
        <v>0.05</v>
      </c>
      <c r="C2085" s="7"/>
      <c r="D2085" s="7"/>
      <c r="E2085" s="7"/>
      <c r="G2085" s="5">
        <f t="shared" si="1"/>
        <v>0.05</v>
      </c>
      <c r="I2085" s="5">
        <v>0.05</v>
      </c>
    </row>
    <row r="2086" ht="12.75" customHeight="1">
      <c r="A2086" s="5" t="s">
        <v>3387</v>
      </c>
      <c r="B2086" s="7">
        <v>24.0</v>
      </c>
      <c r="C2086" s="7">
        <v>28.0</v>
      </c>
      <c r="D2086" s="7" t="s">
        <v>3777</v>
      </c>
      <c r="E2086" s="7"/>
      <c r="G2086" s="5" t="str">
        <f t="shared" si="1"/>
        <v>24, 28, WEEZING</v>
      </c>
      <c r="I2086" s="5" t="s">
        <v>3387</v>
      </c>
    </row>
    <row r="2087" ht="12.75" customHeight="1">
      <c r="A2087" s="5" t="s">
        <v>3388</v>
      </c>
      <c r="B2087" s="7">
        <v>24.0</v>
      </c>
      <c r="C2087" s="7">
        <v>28.0</v>
      </c>
      <c r="D2087" s="7" t="s">
        <v>3926</v>
      </c>
      <c r="E2087" s="7"/>
      <c r="G2087" s="5" t="str">
        <f t="shared" si="1"/>
        <v>24, 28, LICKITUNG</v>
      </c>
      <c r="I2087" s="5" t="s">
        <v>3388</v>
      </c>
    </row>
    <row r="2088" ht="12.75" customHeight="1">
      <c r="A2088" s="5">
        <v>0.04</v>
      </c>
      <c r="B2088" s="5">
        <v>0.04</v>
      </c>
      <c r="C2088" s="7"/>
      <c r="D2088" s="7"/>
      <c r="E2088" s="7"/>
      <c r="G2088" s="5">
        <f t="shared" si="1"/>
        <v>0.04</v>
      </c>
      <c r="I2088" s="5">
        <v>0.04</v>
      </c>
    </row>
    <row r="2089" ht="12.75" customHeight="1">
      <c r="A2089" s="5" t="s">
        <v>3389</v>
      </c>
      <c r="B2089" s="7">
        <v>26.0</v>
      </c>
      <c r="C2089" s="7">
        <v>26.0</v>
      </c>
      <c r="D2089" s="7" t="s">
        <v>3904</v>
      </c>
      <c r="E2089" s="7"/>
      <c r="G2089" s="5" t="str">
        <f t="shared" si="1"/>
        <v>26, 26, PERSIAN</v>
      </c>
      <c r="I2089" s="5" t="s">
        <v>3389</v>
      </c>
    </row>
    <row r="2090" ht="12.75" customHeight="1">
      <c r="A2090" s="5" t="s">
        <v>3390</v>
      </c>
      <c r="B2090" s="7">
        <v>21.0</v>
      </c>
      <c r="C2090" s="7">
        <v>26.0</v>
      </c>
      <c r="D2090" s="7" t="s">
        <v>3915</v>
      </c>
      <c r="E2090" s="7"/>
      <c r="G2090" s="5" t="str">
        <f t="shared" si="1"/>
        <v>21, 26, EEVEE</v>
      </c>
      <c r="I2090" s="5" t="s">
        <v>3390</v>
      </c>
    </row>
    <row r="2091" ht="12.75" customHeight="1">
      <c r="A2091" s="5">
        <v>0.01</v>
      </c>
      <c r="B2091" s="5">
        <v>0.01</v>
      </c>
      <c r="C2091" s="7"/>
      <c r="D2091" s="7"/>
      <c r="E2091" s="7"/>
      <c r="G2091" s="5">
        <f t="shared" si="1"/>
        <v>0.01</v>
      </c>
      <c r="I2091" s="5">
        <v>0.01</v>
      </c>
    </row>
    <row r="2092" ht="12.75" customHeight="1">
      <c r="A2092" s="5" t="s">
        <v>3391</v>
      </c>
      <c r="B2092" s="7">
        <v>24.0</v>
      </c>
      <c r="C2092" s="7">
        <v>28.0</v>
      </c>
      <c r="D2092" s="7" t="s">
        <v>3927</v>
      </c>
      <c r="E2092" s="7"/>
      <c r="G2092" s="5" t="str">
        <f t="shared" si="1"/>
        <v>24, 28, SANDSLASH</v>
      </c>
      <c r="I2092" s="5" t="s">
        <v>3391</v>
      </c>
    </row>
    <row r="2093" ht="12.75" customHeight="1">
      <c r="A2093" s="5" t="s">
        <v>3725</v>
      </c>
      <c r="B2093" s="7">
        <v>24.0</v>
      </c>
      <c r="C2093" s="7">
        <v>28.0</v>
      </c>
      <c r="D2093" s="7" t="s">
        <v>3790</v>
      </c>
      <c r="E2093" s="7"/>
      <c r="G2093" s="5" t="str">
        <f t="shared" si="1"/>
        <v>24, 28, PARASECT</v>
      </c>
      <c r="I2093" s="5" t="s">
        <v>3725</v>
      </c>
    </row>
    <row r="2094" ht="12.75" customHeight="1">
      <c r="A2094" s="5" t="s">
        <v>2539</v>
      </c>
      <c r="B2094" s="7" t="s">
        <v>2539</v>
      </c>
      <c r="C2094" s="7"/>
      <c r="D2094" s="7"/>
      <c r="E2094" s="7"/>
      <c r="G2094" s="5" t="str">
        <f t="shared" si="1"/>
        <v>NEW ROUTE</v>
      </c>
      <c r="I2094" s="5" t="s">
        <v>2539</v>
      </c>
    </row>
    <row r="2095" ht="12.75" customHeight="1">
      <c r="A2095" s="5" t="s">
        <v>2118</v>
      </c>
      <c r="B2095" s="7" t="s">
        <v>2118</v>
      </c>
      <c r="C2095" s="7"/>
      <c r="D2095" s="7"/>
      <c r="E2095" s="7"/>
      <c r="G2095" s="5" t="str">
        <f t="shared" si="1"/>
        <v>Route 8</v>
      </c>
      <c r="I2095" s="5" t="s">
        <v>2118</v>
      </c>
    </row>
    <row r="2096" ht="12.75" customHeight="1">
      <c r="A2096" s="5">
        <v>0.2</v>
      </c>
      <c r="B2096" s="5">
        <v>0.2</v>
      </c>
      <c r="C2096" s="7"/>
      <c r="D2096" s="7"/>
      <c r="E2096" s="7"/>
      <c r="G2096" s="5">
        <f t="shared" si="1"/>
        <v>0.2</v>
      </c>
      <c r="I2096" s="5">
        <v>0.2</v>
      </c>
    </row>
    <row r="2097" ht="12.75" customHeight="1">
      <c r="A2097" s="5" t="s">
        <v>1013</v>
      </c>
      <c r="B2097" s="7">
        <v>23.0</v>
      </c>
      <c r="C2097" s="7">
        <v>25.0</v>
      </c>
      <c r="D2097" s="7" t="s">
        <v>3882</v>
      </c>
      <c r="E2097" s="7"/>
      <c r="G2097" s="5" t="str">
        <f t="shared" si="1"/>
        <v>23, 25, PONYTA</v>
      </c>
      <c r="I2097" s="5" t="s">
        <v>1013</v>
      </c>
    </row>
    <row r="2098" ht="12.75" customHeight="1">
      <c r="A2098" s="5" t="s">
        <v>3394</v>
      </c>
      <c r="B2098" s="7">
        <v>23.0</v>
      </c>
      <c r="C2098" s="7">
        <v>25.0</v>
      </c>
      <c r="D2098" s="7" t="s">
        <v>3920</v>
      </c>
      <c r="E2098" s="7"/>
      <c r="G2098" s="5" t="str">
        <f t="shared" si="1"/>
        <v>23, 25, EKANS</v>
      </c>
      <c r="I2098" s="5" t="s">
        <v>3394</v>
      </c>
    </row>
    <row r="2099" ht="12.75" customHeight="1">
      <c r="A2099" s="5">
        <v>0.1</v>
      </c>
      <c r="B2099" s="5">
        <v>0.1</v>
      </c>
      <c r="C2099" s="7"/>
      <c r="D2099" s="7"/>
      <c r="E2099" s="7"/>
      <c r="G2099" s="5">
        <f t="shared" si="1"/>
        <v>0.1</v>
      </c>
      <c r="I2099" s="5">
        <v>0.1</v>
      </c>
    </row>
    <row r="2100" ht="12.75" customHeight="1">
      <c r="A2100" s="5" t="s">
        <v>3395</v>
      </c>
      <c r="B2100" s="7">
        <v>24.0</v>
      </c>
      <c r="C2100" s="7">
        <v>26.0</v>
      </c>
      <c r="D2100" s="7" t="s">
        <v>3742</v>
      </c>
      <c r="E2100" s="7"/>
      <c r="G2100" s="5" t="str">
        <f t="shared" si="1"/>
        <v>24, 26, SANDSHREW</v>
      </c>
      <c r="I2100" s="5" t="s">
        <v>3395</v>
      </c>
    </row>
    <row r="2101" ht="12.75" customHeight="1">
      <c r="A2101" s="5" t="s">
        <v>3396</v>
      </c>
      <c r="B2101" s="7">
        <v>24.0</v>
      </c>
      <c r="C2101" s="7">
        <v>26.0</v>
      </c>
      <c r="D2101" s="7" t="s">
        <v>3903</v>
      </c>
      <c r="E2101" s="7"/>
      <c r="G2101" s="5" t="str">
        <f t="shared" si="1"/>
        <v>24, 26, MEOWTH</v>
      </c>
      <c r="I2101" s="5" t="s">
        <v>3396</v>
      </c>
    </row>
    <row r="2102" ht="12.75" customHeight="1">
      <c r="A2102" s="5" t="s">
        <v>3397</v>
      </c>
      <c r="B2102" s="7">
        <v>24.0</v>
      </c>
      <c r="C2102" s="7">
        <v>26.0</v>
      </c>
      <c r="D2102" s="7" t="s">
        <v>3892</v>
      </c>
      <c r="E2102" s="7"/>
      <c r="G2102" s="5" t="str">
        <f t="shared" si="1"/>
        <v>24, 26, VENONAT</v>
      </c>
      <c r="I2102" s="5" t="s">
        <v>3397</v>
      </c>
    </row>
    <row r="2103" ht="12.75" customHeight="1">
      <c r="A2103" s="5" t="s">
        <v>3398</v>
      </c>
      <c r="B2103" s="7">
        <v>24.0</v>
      </c>
      <c r="C2103" s="7">
        <v>26.0</v>
      </c>
      <c r="D2103" s="7" t="s">
        <v>3917</v>
      </c>
      <c r="E2103" s="7"/>
      <c r="G2103" s="5" t="str">
        <f t="shared" si="1"/>
        <v>24, 26, GROWLITHE</v>
      </c>
      <c r="I2103" s="5" t="s">
        <v>3398</v>
      </c>
    </row>
    <row r="2104" ht="12.75" customHeight="1">
      <c r="A2104" s="5">
        <v>0.05</v>
      </c>
      <c r="B2104" s="5">
        <v>0.05</v>
      </c>
      <c r="C2104" s="7"/>
      <c r="D2104" s="7"/>
      <c r="E2104" s="7"/>
      <c r="G2104" s="5">
        <f t="shared" si="1"/>
        <v>0.05</v>
      </c>
      <c r="I2104" s="5">
        <v>0.05</v>
      </c>
    </row>
    <row r="2105" ht="12.75" customHeight="1">
      <c r="A2105" s="5" t="s">
        <v>3399</v>
      </c>
      <c r="B2105" s="7">
        <v>23.0</v>
      </c>
      <c r="C2105" s="7">
        <v>27.0</v>
      </c>
      <c r="D2105" s="7" t="s">
        <v>3928</v>
      </c>
      <c r="E2105" s="7"/>
      <c r="G2105" s="5" t="str">
        <f t="shared" si="1"/>
        <v>23, 27, ARBOK</v>
      </c>
      <c r="I2105" s="5" t="s">
        <v>3399</v>
      </c>
    </row>
    <row r="2106" ht="12.75" customHeight="1">
      <c r="A2106" s="5" t="s">
        <v>3400</v>
      </c>
      <c r="B2106" s="7">
        <v>23.0</v>
      </c>
      <c r="C2106" s="7">
        <v>27.0</v>
      </c>
      <c r="D2106" s="7" t="s">
        <v>3926</v>
      </c>
      <c r="E2106" s="7"/>
      <c r="G2106" s="5" t="str">
        <f t="shared" si="1"/>
        <v>23, 27, LICKITUNG</v>
      </c>
      <c r="I2106" s="5" t="s">
        <v>3400</v>
      </c>
    </row>
    <row r="2107" ht="12.75" customHeight="1">
      <c r="A2107" s="5">
        <v>0.04</v>
      </c>
      <c r="B2107" s="5">
        <v>0.04</v>
      </c>
      <c r="C2107" s="7"/>
      <c r="D2107" s="7"/>
      <c r="E2107" s="7"/>
      <c r="G2107" s="5">
        <f t="shared" si="1"/>
        <v>0.04</v>
      </c>
      <c r="I2107" s="5">
        <v>0.04</v>
      </c>
    </row>
    <row r="2108" ht="12.75" customHeight="1">
      <c r="A2108" s="5" t="s">
        <v>3401</v>
      </c>
      <c r="B2108" s="7">
        <v>25.0</v>
      </c>
      <c r="C2108" s="7">
        <v>25.0</v>
      </c>
      <c r="D2108" s="7" t="s">
        <v>3904</v>
      </c>
      <c r="E2108" s="7"/>
      <c r="G2108" s="5" t="str">
        <f t="shared" si="1"/>
        <v>25, 25, PERSIAN</v>
      </c>
      <c r="I2108" s="5" t="s">
        <v>3401</v>
      </c>
    </row>
    <row r="2109" ht="12.75" customHeight="1">
      <c r="A2109" s="5" t="s">
        <v>3402</v>
      </c>
      <c r="B2109" s="7">
        <v>20.0</v>
      </c>
      <c r="C2109" s="7">
        <v>25.0</v>
      </c>
      <c r="D2109" s="7" t="s">
        <v>3915</v>
      </c>
      <c r="E2109" s="7"/>
      <c r="G2109" s="5" t="str">
        <f t="shared" si="1"/>
        <v>20, 25, EEVEE</v>
      </c>
      <c r="I2109" s="5" t="s">
        <v>3402</v>
      </c>
    </row>
    <row r="2110" ht="12.75" customHeight="1">
      <c r="A2110" s="5">
        <v>0.01</v>
      </c>
      <c r="B2110" s="5">
        <v>0.01</v>
      </c>
      <c r="C2110" s="7"/>
      <c r="D2110" s="7"/>
      <c r="E2110" s="7"/>
      <c r="G2110" s="5">
        <f t="shared" si="1"/>
        <v>0.01</v>
      </c>
      <c r="I2110" s="5">
        <v>0.01</v>
      </c>
    </row>
    <row r="2111" ht="12.75" customHeight="1">
      <c r="A2111" s="5" t="s">
        <v>3403</v>
      </c>
      <c r="B2111" s="7">
        <v>23.0</v>
      </c>
      <c r="C2111" s="7">
        <v>27.0</v>
      </c>
      <c r="D2111" s="7" t="s">
        <v>3927</v>
      </c>
      <c r="E2111" s="7"/>
      <c r="G2111" s="5" t="str">
        <f t="shared" si="1"/>
        <v>23, 27, SANDSLASH</v>
      </c>
      <c r="I2111" s="5" t="s">
        <v>3403</v>
      </c>
    </row>
    <row r="2112" ht="12.75" customHeight="1">
      <c r="A2112" s="5" t="s">
        <v>3726</v>
      </c>
      <c r="B2112" s="7">
        <v>23.0</v>
      </c>
      <c r="C2112" s="7">
        <v>27.0</v>
      </c>
      <c r="D2112" s="7" t="s">
        <v>3791</v>
      </c>
      <c r="E2112" s="7"/>
      <c r="G2112" s="5" t="str">
        <f t="shared" si="1"/>
        <v>23, 27, VENOMOTH</v>
      </c>
      <c r="I2112" s="5" t="s">
        <v>3726</v>
      </c>
    </row>
    <row r="2113" ht="12.75" customHeight="1">
      <c r="A2113" s="5" t="s">
        <v>2539</v>
      </c>
      <c r="B2113" s="7" t="s">
        <v>2539</v>
      </c>
      <c r="C2113" s="7"/>
      <c r="D2113" s="7"/>
      <c r="E2113" s="7"/>
      <c r="G2113" s="5" t="str">
        <f t="shared" si="1"/>
        <v>NEW ROUTE</v>
      </c>
      <c r="I2113" s="5" t="s">
        <v>2539</v>
      </c>
    </row>
    <row r="2114" ht="12.75" customHeight="1">
      <c r="A2114" s="5" t="s">
        <v>2120</v>
      </c>
      <c r="B2114" s="7" t="s">
        <v>2120</v>
      </c>
      <c r="C2114" s="7"/>
      <c r="D2114" s="7"/>
      <c r="E2114" s="7"/>
      <c r="G2114" s="5" t="str">
        <f t="shared" si="1"/>
        <v>Route 9</v>
      </c>
      <c r="I2114" s="5" t="s">
        <v>2120</v>
      </c>
    </row>
    <row r="2115" ht="12.75" customHeight="1">
      <c r="A2115" s="5">
        <v>0.2</v>
      </c>
      <c r="B2115" s="5">
        <v>0.2</v>
      </c>
      <c r="C2115" s="7"/>
      <c r="D2115" s="7"/>
      <c r="E2115" s="7"/>
      <c r="G2115" s="5">
        <f t="shared" si="1"/>
        <v>0.2</v>
      </c>
      <c r="I2115" s="5">
        <v>0.2</v>
      </c>
    </row>
    <row r="2116" ht="12.75" customHeight="1">
      <c r="A2116" s="5" t="s">
        <v>1026</v>
      </c>
      <c r="B2116" s="7">
        <v>17.0</v>
      </c>
      <c r="C2116" s="7">
        <v>22.0</v>
      </c>
      <c r="D2116" s="7" t="s">
        <v>3923</v>
      </c>
      <c r="E2116" s="7"/>
      <c r="G2116" s="5" t="str">
        <f t="shared" si="1"/>
        <v>17, 22, NIDORINA</v>
      </c>
      <c r="I2116" s="5" t="s">
        <v>1026</v>
      </c>
    </row>
    <row r="2117" ht="12.75" customHeight="1">
      <c r="A2117" s="5" t="s">
        <v>3406</v>
      </c>
      <c r="B2117" s="7">
        <v>17.0</v>
      </c>
      <c r="C2117" s="7">
        <v>22.0</v>
      </c>
      <c r="D2117" s="7" t="s">
        <v>3922</v>
      </c>
      <c r="E2117" s="7"/>
      <c r="G2117" s="5" t="str">
        <f t="shared" si="1"/>
        <v>17, 22, NIDORINO</v>
      </c>
      <c r="I2117" s="5" t="s">
        <v>3406</v>
      </c>
    </row>
    <row r="2118" ht="12.75" customHeight="1">
      <c r="A2118" s="5">
        <v>0.1</v>
      </c>
      <c r="B2118" s="5">
        <v>0.1</v>
      </c>
      <c r="C2118" s="7"/>
      <c r="D2118" s="7"/>
      <c r="E2118" s="7"/>
      <c r="G2118" s="5">
        <f t="shared" si="1"/>
        <v>0.1</v>
      </c>
      <c r="I2118" s="5">
        <v>0.1</v>
      </c>
    </row>
    <row r="2119" ht="12.75" customHeight="1">
      <c r="A2119" s="5" t="s">
        <v>3407</v>
      </c>
      <c r="B2119" s="7">
        <v>16.0</v>
      </c>
      <c r="C2119" s="7">
        <v>19.0</v>
      </c>
      <c r="D2119" s="7" t="s">
        <v>3884</v>
      </c>
      <c r="E2119" s="7"/>
      <c r="G2119" s="5" t="str">
        <f t="shared" si="1"/>
        <v>16, 19, SPEAROW</v>
      </c>
      <c r="I2119" s="5" t="s">
        <v>3407</v>
      </c>
    </row>
    <row r="2120" ht="12.75" customHeight="1">
      <c r="A2120" s="5" t="s">
        <v>3408</v>
      </c>
      <c r="B2120" s="7">
        <v>16.0</v>
      </c>
      <c r="C2120" s="7">
        <v>19.0</v>
      </c>
      <c r="D2120" s="7" t="s">
        <v>3866</v>
      </c>
      <c r="E2120" s="7"/>
      <c r="G2120" s="5" t="str">
        <f t="shared" si="1"/>
        <v>16, 19, CUBONE</v>
      </c>
      <c r="I2120" s="5" t="s">
        <v>3408</v>
      </c>
    </row>
    <row r="2121" ht="12.75" customHeight="1">
      <c r="A2121" s="5" t="s">
        <v>3409</v>
      </c>
      <c r="B2121" s="7">
        <v>16.0</v>
      </c>
      <c r="C2121" s="7">
        <v>19.0</v>
      </c>
      <c r="D2121" s="7" t="s">
        <v>3851</v>
      </c>
      <c r="E2121" s="7"/>
      <c r="G2121" s="5" t="str">
        <f t="shared" si="1"/>
        <v>16, 19, MACHOP</v>
      </c>
      <c r="I2121" s="5" t="s">
        <v>3409</v>
      </c>
    </row>
    <row r="2122" ht="12.75" customHeight="1">
      <c r="A2122" s="5" t="s">
        <v>3410</v>
      </c>
      <c r="B2122" s="7">
        <v>16.0</v>
      </c>
      <c r="C2122" s="7">
        <v>19.0</v>
      </c>
      <c r="D2122" s="7" t="s">
        <v>3742</v>
      </c>
      <c r="E2122" s="7"/>
      <c r="G2122" s="5" t="str">
        <f t="shared" si="1"/>
        <v>16, 19, SANDSHREW</v>
      </c>
      <c r="I2122" s="5" t="s">
        <v>3410</v>
      </c>
    </row>
    <row r="2123" ht="12.75" customHeight="1">
      <c r="A2123" s="5">
        <v>0.05</v>
      </c>
      <c r="B2123" s="5">
        <v>0.05</v>
      </c>
      <c r="C2123" s="7"/>
      <c r="D2123" s="7"/>
      <c r="E2123" s="7"/>
      <c r="G2123" s="5">
        <f t="shared" si="1"/>
        <v>0.05</v>
      </c>
      <c r="I2123" s="5">
        <v>0.05</v>
      </c>
    </row>
    <row r="2124" ht="12.75" customHeight="1">
      <c r="A2124" s="5" t="s">
        <v>3411</v>
      </c>
      <c r="B2124" s="7">
        <v>17.0</v>
      </c>
      <c r="C2124" s="7">
        <v>18.0</v>
      </c>
      <c r="D2124" s="7" t="s">
        <v>3929</v>
      </c>
      <c r="E2124" s="7"/>
      <c r="G2124" s="5" t="str">
        <f t="shared" si="1"/>
        <v>17, 18, DODUO</v>
      </c>
      <c r="I2124" s="5" t="s">
        <v>3411</v>
      </c>
    </row>
    <row r="2125" ht="12.75" customHeight="1">
      <c r="A2125" s="5" t="s">
        <v>3412</v>
      </c>
      <c r="B2125" s="7">
        <v>17.0</v>
      </c>
      <c r="C2125" s="7">
        <v>18.0</v>
      </c>
      <c r="D2125" s="7" t="s">
        <v>3868</v>
      </c>
      <c r="E2125" s="7"/>
      <c r="G2125" s="5" t="str">
        <f t="shared" si="1"/>
        <v>17, 18, DROWZEE</v>
      </c>
      <c r="I2125" s="5" t="s">
        <v>3412</v>
      </c>
    </row>
    <row r="2126" ht="12.75" customHeight="1">
      <c r="A2126" s="5">
        <v>0.04</v>
      </c>
      <c r="B2126" s="5">
        <v>0.04</v>
      </c>
      <c r="C2126" s="7"/>
      <c r="D2126" s="7"/>
      <c r="E2126" s="7"/>
      <c r="G2126" s="5">
        <f t="shared" si="1"/>
        <v>0.04</v>
      </c>
      <c r="I2126" s="5">
        <v>0.04</v>
      </c>
    </row>
    <row r="2127" ht="12.75" customHeight="1">
      <c r="A2127" s="5" t="s">
        <v>3413</v>
      </c>
      <c r="B2127" s="7">
        <v>16.0</v>
      </c>
      <c r="C2127" s="7">
        <v>25.0</v>
      </c>
      <c r="D2127" s="7" t="s">
        <v>3883</v>
      </c>
      <c r="E2127" s="7"/>
      <c r="G2127" s="5" t="str">
        <f t="shared" si="1"/>
        <v>16, 25, FEAROW</v>
      </c>
      <c r="I2127" s="5" t="s">
        <v>3413</v>
      </c>
    </row>
    <row r="2128" ht="12.75" customHeight="1">
      <c r="A2128" s="5" t="s">
        <v>3414</v>
      </c>
      <c r="B2128" s="7">
        <v>22.0</v>
      </c>
      <c r="C2128" s="7">
        <v>22.0</v>
      </c>
      <c r="D2128" s="7" t="s">
        <v>3927</v>
      </c>
      <c r="E2128" s="7"/>
      <c r="G2128" s="5" t="str">
        <f t="shared" si="1"/>
        <v>22, 22, SANDSLASH</v>
      </c>
      <c r="I2128" s="5" t="s">
        <v>3414</v>
      </c>
    </row>
    <row r="2129" ht="12.75" customHeight="1">
      <c r="A2129" s="5">
        <v>0.01</v>
      </c>
      <c r="B2129" s="5">
        <v>0.01</v>
      </c>
      <c r="C2129" s="7"/>
      <c r="D2129" s="7"/>
      <c r="E2129" s="7"/>
      <c r="G2129" s="5">
        <f t="shared" si="1"/>
        <v>0.01</v>
      </c>
      <c r="I2129" s="5">
        <v>0.01</v>
      </c>
    </row>
    <row r="2130" ht="12.75" customHeight="1">
      <c r="A2130" s="5" t="s">
        <v>3415</v>
      </c>
      <c r="B2130" s="7">
        <v>14.0</v>
      </c>
      <c r="C2130" s="7">
        <v>17.0</v>
      </c>
      <c r="D2130" s="7" t="s">
        <v>3930</v>
      </c>
      <c r="E2130" s="7"/>
      <c r="G2130" s="5" t="str">
        <f t="shared" si="1"/>
        <v>14, 17, KANGAKID</v>
      </c>
      <c r="I2130" s="5" t="s">
        <v>3415</v>
      </c>
    </row>
    <row r="2131" ht="12.75" customHeight="1">
      <c r="A2131" s="5" t="s">
        <v>3727</v>
      </c>
      <c r="B2131" s="7">
        <v>18.0</v>
      </c>
      <c r="C2131" s="7">
        <v>18.0</v>
      </c>
      <c r="D2131" s="7" t="s">
        <v>3930</v>
      </c>
      <c r="E2131" s="7"/>
      <c r="G2131" s="5" t="str">
        <f t="shared" si="1"/>
        <v>18, 18, KANGAKID</v>
      </c>
      <c r="I2131" s="5" t="s">
        <v>3727</v>
      </c>
    </row>
    <row r="2132" ht="12.75" customHeight="1">
      <c r="A2132" s="5" t="s">
        <v>2539</v>
      </c>
      <c r="B2132" s="7" t="s">
        <v>2539</v>
      </c>
      <c r="C2132" s="7"/>
      <c r="D2132" s="7"/>
      <c r="E2132" s="7"/>
      <c r="G2132" s="5" t="str">
        <f t="shared" si="1"/>
        <v>NEW ROUTE</v>
      </c>
      <c r="I2132" s="5" t="s">
        <v>2539</v>
      </c>
    </row>
    <row r="2133" ht="12.75" customHeight="1">
      <c r="A2133" s="5" t="s">
        <v>2122</v>
      </c>
      <c r="B2133" s="7" t="s">
        <v>2122</v>
      </c>
      <c r="C2133" s="7"/>
      <c r="D2133" s="7"/>
      <c r="E2133" s="7"/>
      <c r="G2133" s="5" t="str">
        <f t="shared" si="1"/>
        <v>Route 10</v>
      </c>
      <c r="I2133" s="5" t="s">
        <v>2122</v>
      </c>
    </row>
    <row r="2134" ht="12.75" customHeight="1">
      <c r="A2134" s="5">
        <v>0.2</v>
      </c>
      <c r="B2134" s="5">
        <v>0.2</v>
      </c>
      <c r="C2134" s="7"/>
      <c r="D2134" s="7"/>
      <c r="E2134" s="7"/>
      <c r="G2134" s="5">
        <f t="shared" si="1"/>
        <v>0.2</v>
      </c>
      <c r="I2134" s="5">
        <v>0.2</v>
      </c>
    </row>
    <row r="2135" ht="12.75" customHeight="1">
      <c r="A2135" s="5" t="s">
        <v>1039</v>
      </c>
      <c r="B2135" s="7">
        <v>19.0</v>
      </c>
      <c r="C2135" s="7">
        <v>23.0</v>
      </c>
      <c r="D2135" s="7" t="s">
        <v>3923</v>
      </c>
      <c r="E2135" s="7"/>
      <c r="G2135" s="5" t="str">
        <f t="shared" si="1"/>
        <v>19, 23, NIDORINA</v>
      </c>
      <c r="I2135" s="5" t="s">
        <v>1039</v>
      </c>
    </row>
    <row r="2136" ht="12.75" customHeight="1">
      <c r="A2136" s="5" t="s">
        <v>3418</v>
      </c>
      <c r="B2136" s="7">
        <v>19.0</v>
      </c>
      <c r="C2136" s="7">
        <v>23.0</v>
      </c>
      <c r="D2136" s="7" t="s">
        <v>3922</v>
      </c>
      <c r="E2136" s="7"/>
      <c r="G2136" s="5" t="str">
        <f t="shared" si="1"/>
        <v>19, 23, NIDORINO</v>
      </c>
      <c r="I2136" s="5" t="s">
        <v>3418</v>
      </c>
    </row>
    <row r="2137" ht="12.75" customHeight="1">
      <c r="A2137" s="5">
        <v>0.1</v>
      </c>
      <c r="B2137" s="5">
        <v>0.1</v>
      </c>
      <c r="C2137" s="7"/>
      <c r="D2137" s="7"/>
      <c r="E2137" s="7"/>
      <c r="G2137" s="5">
        <f t="shared" si="1"/>
        <v>0.1</v>
      </c>
      <c r="I2137" s="5">
        <v>0.1</v>
      </c>
    </row>
    <row r="2138" ht="12.75" customHeight="1">
      <c r="A2138" s="5" t="s">
        <v>3419</v>
      </c>
      <c r="B2138" s="7">
        <v>18.0</v>
      </c>
      <c r="C2138" s="7">
        <v>20.0</v>
      </c>
      <c r="D2138" s="7" t="s">
        <v>3884</v>
      </c>
      <c r="E2138" s="7"/>
      <c r="G2138" s="5" t="str">
        <f t="shared" si="1"/>
        <v>18, 20, SPEAROW</v>
      </c>
      <c r="I2138" s="5" t="s">
        <v>3419</v>
      </c>
    </row>
    <row r="2139" ht="12.75" customHeight="1">
      <c r="A2139" s="5" t="s">
        <v>3420</v>
      </c>
      <c r="B2139" s="7">
        <v>18.0</v>
      </c>
      <c r="C2139" s="7">
        <v>20.0</v>
      </c>
      <c r="D2139" s="7" t="s">
        <v>3866</v>
      </c>
      <c r="E2139" s="7"/>
      <c r="G2139" s="5" t="str">
        <f t="shared" si="1"/>
        <v>18, 20, CUBONE</v>
      </c>
      <c r="I2139" s="5" t="s">
        <v>3420</v>
      </c>
    </row>
    <row r="2140" ht="12.75" customHeight="1">
      <c r="A2140" s="5" t="s">
        <v>3421</v>
      </c>
      <c r="B2140" s="7">
        <v>18.0</v>
      </c>
      <c r="C2140" s="7">
        <v>20.0</v>
      </c>
      <c r="D2140" s="7" t="s">
        <v>3874</v>
      </c>
      <c r="E2140" s="7"/>
      <c r="G2140" s="5" t="str">
        <f t="shared" si="1"/>
        <v>18, 20, MAGNEMITE</v>
      </c>
      <c r="I2140" s="5" t="s">
        <v>3421</v>
      </c>
    </row>
    <row r="2141" ht="12.75" customHeight="1">
      <c r="A2141" s="5" t="s">
        <v>3422</v>
      </c>
      <c r="B2141" s="7">
        <v>18.0</v>
      </c>
      <c r="C2141" s="7">
        <v>20.0</v>
      </c>
      <c r="D2141" s="7" t="s">
        <v>3804</v>
      </c>
      <c r="E2141" s="7"/>
      <c r="G2141" s="5" t="str">
        <f t="shared" si="1"/>
        <v>18, 20, POLIWAG</v>
      </c>
      <c r="I2141" s="5" t="s">
        <v>3422</v>
      </c>
    </row>
    <row r="2142" ht="12.75" customHeight="1">
      <c r="A2142" s="5">
        <v>0.05</v>
      </c>
      <c r="B2142" s="5">
        <v>0.05</v>
      </c>
      <c r="C2142" s="7"/>
      <c r="D2142" s="7"/>
      <c r="E2142" s="7"/>
      <c r="G2142" s="5">
        <f t="shared" si="1"/>
        <v>0.05</v>
      </c>
      <c r="I2142" s="5">
        <v>0.05</v>
      </c>
    </row>
    <row r="2143" ht="12.75" customHeight="1">
      <c r="A2143" s="5" t="s">
        <v>3423</v>
      </c>
      <c r="B2143" s="7">
        <v>19.0</v>
      </c>
      <c r="C2143" s="7">
        <v>19.0</v>
      </c>
      <c r="D2143" s="7" t="s">
        <v>3929</v>
      </c>
      <c r="E2143" s="7"/>
      <c r="G2143" s="5" t="str">
        <f t="shared" si="1"/>
        <v>19, 19, DODUO</v>
      </c>
      <c r="I2143" s="5" t="s">
        <v>3423</v>
      </c>
    </row>
    <row r="2144" ht="12.75" customHeight="1">
      <c r="A2144" s="5" t="s">
        <v>3424</v>
      </c>
      <c r="B2144" s="7">
        <v>19.0</v>
      </c>
      <c r="C2144" s="7">
        <v>19.0</v>
      </c>
      <c r="D2144" s="7" t="s">
        <v>3875</v>
      </c>
      <c r="E2144" s="7"/>
      <c r="G2144" s="5" t="str">
        <f t="shared" si="1"/>
        <v>19, 19, VOLTORB</v>
      </c>
      <c r="I2144" s="5" t="s">
        <v>3424</v>
      </c>
    </row>
    <row r="2145" ht="12.75" customHeight="1">
      <c r="A2145" s="5">
        <v>0.04</v>
      </c>
      <c r="B2145" s="5">
        <v>0.04</v>
      </c>
      <c r="C2145" s="7"/>
      <c r="D2145" s="7"/>
      <c r="E2145" s="7"/>
      <c r="G2145" s="5">
        <f t="shared" si="1"/>
        <v>0.04</v>
      </c>
      <c r="I2145" s="5">
        <v>0.04</v>
      </c>
    </row>
    <row r="2146" ht="12.75" customHeight="1">
      <c r="A2146" s="5" t="s">
        <v>3425</v>
      </c>
      <c r="B2146" s="7">
        <v>20.0</v>
      </c>
      <c r="C2146" s="7">
        <v>25.0</v>
      </c>
      <c r="D2146" s="7" t="s">
        <v>3883</v>
      </c>
      <c r="E2146" s="7"/>
      <c r="G2146" s="5" t="str">
        <f t="shared" si="1"/>
        <v>20, 25, FEAROW</v>
      </c>
      <c r="I2146" s="5" t="s">
        <v>3425</v>
      </c>
    </row>
    <row r="2147" ht="12.75" customHeight="1">
      <c r="A2147" s="5" t="s">
        <v>3426</v>
      </c>
      <c r="B2147" s="7">
        <v>22.0</v>
      </c>
      <c r="C2147" s="7">
        <v>22.0</v>
      </c>
      <c r="D2147" s="7" t="s">
        <v>3806</v>
      </c>
      <c r="E2147" s="7"/>
      <c r="G2147" s="5" t="str">
        <f t="shared" si="1"/>
        <v>22, 22, POLIWHIRL</v>
      </c>
      <c r="I2147" s="5" t="s">
        <v>3426</v>
      </c>
    </row>
    <row r="2148" ht="12.75" customHeight="1">
      <c r="A2148" s="5">
        <v>0.01</v>
      </c>
      <c r="B2148" s="5">
        <v>0.01</v>
      </c>
      <c r="C2148" s="7"/>
      <c r="D2148" s="7"/>
      <c r="E2148" s="7"/>
      <c r="G2148" s="5">
        <f t="shared" si="1"/>
        <v>0.01</v>
      </c>
      <c r="I2148" s="5">
        <v>0.01</v>
      </c>
    </row>
    <row r="2149" ht="12.75" customHeight="1">
      <c r="A2149" s="5" t="s">
        <v>3427</v>
      </c>
      <c r="B2149" s="7">
        <v>19.0</v>
      </c>
      <c r="C2149" s="7">
        <v>21.0</v>
      </c>
      <c r="D2149" s="7" t="s">
        <v>3739</v>
      </c>
      <c r="E2149" s="7"/>
      <c r="G2149" s="5" t="str">
        <f t="shared" si="1"/>
        <v>19, 21, TANGELA</v>
      </c>
      <c r="I2149" s="5" t="s">
        <v>3427</v>
      </c>
    </row>
    <row r="2150" ht="12.75" customHeight="1">
      <c r="A2150" s="5" t="s">
        <v>3428</v>
      </c>
      <c r="B2150" s="7">
        <v>19.0</v>
      </c>
      <c r="C2150" s="7">
        <v>21.0</v>
      </c>
      <c r="D2150" s="7" t="s">
        <v>3882</v>
      </c>
      <c r="E2150" s="7"/>
      <c r="G2150" s="5" t="str">
        <f t="shared" si="1"/>
        <v>19, 21, PONYTA</v>
      </c>
      <c r="I2150" s="5" t="s">
        <v>3428</v>
      </c>
    </row>
    <row r="2151" ht="12.75" customHeight="1">
      <c r="A2151" s="5" t="s">
        <v>3350</v>
      </c>
      <c r="B2151" s="7">
        <v>2.0</v>
      </c>
      <c r="C2151" s="7">
        <v>38.0</v>
      </c>
      <c r="D2151" s="7">
        <v>42.0</v>
      </c>
      <c r="E2151" s="7" t="s">
        <v>3748</v>
      </c>
      <c r="G2151" s="5" t="str">
        <f t="shared" si="1"/>
        <v>2, 38, 42, TENTACOOL</v>
      </c>
      <c r="I2151" s="5" t="s">
        <v>3350</v>
      </c>
    </row>
    <row r="2152" ht="12.75" customHeight="1">
      <c r="A2152" s="5" t="s">
        <v>3429</v>
      </c>
      <c r="B2152" s="7">
        <v>40.0</v>
      </c>
      <c r="C2152" s="7">
        <v>44.0</v>
      </c>
      <c r="D2152" s="7" t="s">
        <v>3898</v>
      </c>
      <c r="E2152" s="7"/>
      <c r="G2152" s="5" t="str">
        <f t="shared" si="1"/>
        <v>40, 44, TENTACRUEL</v>
      </c>
      <c r="I2152" s="5" t="s">
        <v>3429</v>
      </c>
    </row>
    <row r="2153" ht="12.75" customHeight="1">
      <c r="A2153" s="5" t="s">
        <v>3025</v>
      </c>
      <c r="B2153" s="7">
        <v>42.0</v>
      </c>
      <c r="C2153" s="7">
        <v>46.0</v>
      </c>
      <c r="D2153" s="7" t="s">
        <v>3861</v>
      </c>
      <c r="E2153" s="7"/>
      <c r="G2153" s="5" t="str">
        <f t="shared" si="1"/>
        <v>42, 46, LAPRAS</v>
      </c>
      <c r="I2153" s="5" t="s">
        <v>3025</v>
      </c>
    </row>
    <row r="2154" ht="12.75" customHeight="1">
      <c r="A2154" s="5" t="s">
        <v>3430</v>
      </c>
      <c r="B2154" s="7">
        <v>42.0</v>
      </c>
      <c r="C2154" s="7">
        <v>46.0</v>
      </c>
      <c r="D2154" s="7" t="s">
        <v>3931</v>
      </c>
      <c r="E2154" s="7"/>
      <c r="G2154" s="5" t="str">
        <f t="shared" si="1"/>
        <v>42, 46, TENTACATE</v>
      </c>
      <c r="I2154" s="5" t="s">
        <v>3430</v>
      </c>
    </row>
    <row r="2155" ht="12.75" customHeight="1">
      <c r="A2155" s="5" t="s">
        <v>2925</v>
      </c>
      <c r="B2155" s="7">
        <v>44.0</v>
      </c>
      <c r="C2155" s="7">
        <v>48.0</v>
      </c>
      <c r="D2155" s="7" t="s">
        <v>3803</v>
      </c>
      <c r="E2155" s="7"/>
      <c r="G2155" s="5" t="str">
        <f t="shared" si="1"/>
        <v>44, 48, VAPOREON</v>
      </c>
      <c r="I2155" s="5" t="s">
        <v>2925</v>
      </c>
    </row>
    <row r="2156" ht="12.75" customHeight="1">
      <c r="A2156" s="5" t="s">
        <v>2926</v>
      </c>
      <c r="B2156" s="7">
        <v>20.0</v>
      </c>
      <c r="C2156" s="7" t="s">
        <v>3749</v>
      </c>
      <c r="D2156" s="7"/>
      <c r="E2156" s="7"/>
      <c r="G2156" s="5" t="str">
        <f t="shared" si="1"/>
        <v>old rod:</v>
      </c>
      <c r="I2156" s="5" t="s">
        <v>3750</v>
      </c>
    </row>
    <row r="2157" ht="12.75" customHeight="1">
      <c r="A2157" s="5" t="s">
        <v>602</v>
      </c>
      <c r="B2157" s="7">
        <v>19.0</v>
      </c>
      <c r="C2157" s="7">
        <v>26.0</v>
      </c>
      <c r="D2157" s="7" t="s">
        <v>3753</v>
      </c>
      <c r="E2157" s="7"/>
      <c r="G2157" s="5" t="str">
        <f t="shared" si="1"/>
        <v>19, 26, HORSEA</v>
      </c>
      <c r="I2157" s="5" t="s">
        <v>602</v>
      </c>
    </row>
    <row r="2158" ht="12.75" customHeight="1">
      <c r="A2158" s="5" t="s">
        <v>1159</v>
      </c>
      <c r="B2158" s="7">
        <v>19.0</v>
      </c>
      <c r="C2158" s="7">
        <v>26.0</v>
      </c>
      <c r="D2158" s="7" t="s">
        <v>3800</v>
      </c>
      <c r="E2158" s="7"/>
      <c r="G2158" s="5" t="str">
        <f t="shared" si="1"/>
        <v>19, 26, PSYDUCK</v>
      </c>
      <c r="I2158" s="5" t="s">
        <v>1159</v>
      </c>
    </row>
    <row r="2159" ht="12.75" customHeight="1">
      <c r="A2159" s="5" t="s">
        <v>2847</v>
      </c>
      <c r="B2159" s="7" t="s">
        <v>2847</v>
      </c>
      <c r="C2159" s="7"/>
      <c r="D2159" s="7"/>
      <c r="E2159" s="7"/>
      <c r="G2159" s="5" t="str">
        <f t="shared" si="1"/>
        <v>good rod:</v>
      </c>
      <c r="I2159" s="5" t="s">
        <v>2847</v>
      </c>
    </row>
    <row r="2160" ht="12.75" customHeight="1">
      <c r="A2160" s="5" t="s">
        <v>3431</v>
      </c>
      <c r="B2160" s="7">
        <v>29.0</v>
      </c>
      <c r="C2160" s="7">
        <v>33.0</v>
      </c>
      <c r="D2160" s="7" t="s">
        <v>3753</v>
      </c>
      <c r="E2160" s="7"/>
      <c r="G2160" s="5" t="str">
        <f t="shared" si="1"/>
        <v>29, 33, HORSEA</v>
      </c>
      <c r="I2160" s="5" t="s">
        <v>3431</v>
      </c>
    </row>
    <row r="2161" ht="12.75" customHeight="1">
      <c r="A2161" s="5" t="s">
        <v>3432</v>
      </c>
      <c r="B2161" s="7">
        <v>30.0</v>
      </c>
      <c r="C2161" s="7">
        <v>35.0</v>
      </c>
      <c r="D2161" s="7" t="s">
        <v>3756</v>
      </c>
      <c r="E2161" s="7"/>
      <c r="G2161" s="5" t="str">
        <f t="shared" si="1"/>
        <v>30, 35, SLOWPOKE</v>
      </c>
      <c r="I2161" s="5" t="s">
        <v>3432</v>
      </c>
    </row>
    <row r="2162" ht="12.75" customHeight="1">
      <c r="A2162" s="5" t="s">
        <v>3355</v>
      </c>
      <c r="B2162" s="7">
        <v>30.0</v>
      </c>
      <c r="C2162" s="7">
        <v>35.0</v>
      </c>
      <c r="D2162" s="7" t="s">
        <v>3800</v>
      </c>
      <c r="E2162" s="7"/>
      <c r="G2162" s="5" t="str">
        <f t="shared" si="1"/>
        <v>30, 35, PSYDUCK</v>
      </c>
      <c r="I2162" s="5" t="s">
        <v>3355</v>
      </c>
    </row>
    <row r="2163" ht="12.75" customHeight="1">
      <c r="A2163" s="5" t="s">
        <v>2851</v>
      </c>
      <c r="B2163" s="7" t="s">
        <v>2851</v>
      </c>
      <c r="C2163" s="7"/>
      <c r="D2163" s="7"/>
      <c r="E2163" s="7"/>
      <c r="G2163" s="5" t="str">
        <f t="shared" si="1"/>
        <v>super rod:</v>
      </c>
      <c r="I2163" s="5" t="s">
        <v>2851</v>
      </c>
    </row>
    <row r="2164" ht="12.75" customHeight="1">
      <c r="A2164" s="5" t="s">
        <v>3433</v>
      </c>
      <c r="B2164" s="7">
        <v>36.0</v>
      </c>
      <c r="C2164" s="7">
        <v>40.0</v>
      </c>
      <c r="D2164" s="7" t="s">
        <v>3859</v>
      </c>
      <c r="E2164" s="7"/>
      <c r="G2164" s="5" t="str">
        <f t="shared" si="1"/>
        <v>36, 40, SEADRA</v>
      </c>
      <c r="I2164" s="5" t="s">
        <v>3433</v>
      </c>
    </row>
    <row r="2165" ht="12.75" customHeight="1">
      <c r="A2165" s="5" t="s">
        <v>3434</v>
      </c>
      <c r="B2165" s="7">
        <v>36.0</v>
      </c>
      <c r="C2165" s="7">
        <v>40.0</v>
      </c>
      <c r="D2165" s="7" t="s">
        <v>3802</v>
      </c>
      <c r="E2165" s="7"/>
      <c r="G2165" s="5" t="str">
        <f t="shared" si="1"/>
        <v>36, 40, GOLDUCK</v>
      </c>
      <c r="I2165" s="5" t="s">
        <v>3434</v>
      </c>
    </row>
    <row r="2166" ht="12.75" customHeight="1">
      <c r="A2166" s="5" t="s">
        <v>3435</v>
      </c>
      <c r="B2166" s="7">
        <v>38.0</v>
      </c>
      <c r="C2166" s="7">
        <v>42.0</v>
      </c>
      <c r="D2166" s="7" t="s">
        <v>3801</v>
      </c>
      <c r="E2166" s="7"/>
      <c r="G2166" s="5" t="str">
        <f t="shared" si="1"/>
        <v>38, 42, SLOWBRO</v>
      </c>
      <c r="I2166" s="5" t="s">
        <v>3435</v>
      </c>
    </row>
    <row r="2167" ht="12.75" customHeight="1">
      <c r="A2167" s="5" t="s">
        <v>3436</v>
      </c>
      <c r="B2167" s="7">
        <v>38.0</v>
      </c>
      <c r="C2167" s="7">
        <v>42.0</v>
      </c>
      <c r="D2167" s="7" t="s">
        <v>3843</v>
      </c>
      <c r="E2167" s="7"/>
      <c r="G2167" s="5" t="str">
        <f t="shared" si="1"/>
        <v>38, 42, KINGDRA</v>
      </c>
      <c r="I2167" s="5" t="s">
        <v>3436</v>
      </c>
    </row>
    <row r="2168" ht="12.75" customHeight="1">
      <c r="A2168" s="5" t="s">
        <v>3437</v>
      </c>
      <c r="B2168" s="7">
        <v>40.0</v>
      </c>
      <c r="C2168" s="7">
        <v>44.0</v>
      </c>
      <c r="D2168" s="7" t="s">
        <v>3855</v>
      </c>
      <c r="E2168" s="7"/>
      <c r="G2168" s="5" t="str">
        <f t="shared" si="1"/>
        <v>40, 44, GILDUCK</v>
      </c>
      <c r="I2168" s="5" t="s">
        <v>3437</v>
      </c>
    </row>
    <row r="2169" ht="12.75" customHeight="1">
      <c r="A2169" s="5" t="s">
        <v>2539</v>
      </c>
      <c r="B2169" s="7" t="s">
        <v>2539</v>
      </c>
      <c r="C2169" s="7"/>
      <c r="D2169" s="7"/>
      <c r="E2169" s="7"/>
      <c r="G2169" s="5" t="str">
        <f t="shared" si="1"/>
        <v>NEW ROUTE</v>
      </c>
      <c r="I2169" s="5" t="s">
        <v>2539</v>
      </c>
    </row>
    <row r="2170" ht="12.75" customHeight="1">
      <c r="A2170" s="5" t="s">
        <v>2124</v>
      </c>
      <c r="B2170" s="7" t="s">
        <v>2124</v>
      </c>
      <c r="C2170" s="7"/>
      <c r="D2170" s="7"/>
      <c r="E2170" s="7"/>
      <c r="G2170" s="5" t="str">
        <f t="shared" si="1"/>
        <v>Route 11</v>
      </c>
      <c r="I2170" s="5" t="s">
        <v>2124</v>
      </c>
    </row>
    <row r="2171" ht="12.75" customHeight="1">
      <c r="A2171" s="5">
        <v>0.2</v>
      </c>
      <c r="B2171" s="5">
        <v>0.2</v>
      </c>
      <c r="C2171" s="7"/>
      <c r="D2171" s="7"/>
      <c r="E2171" s="7"/>
      <c r="G2171" s="5">
        <f t="shared" si="1"/>
        <v>0.2</v>
      </c>
      <c r="I2171" s="5">
        <v>0.2</v>
      </c>
    </row>
    <row r="2172" ht="12.75" customHeight="1">
      <c r="A2172" s="5" t="s">
        <v>1062</v>
      </c>
      <c r="B2172" s="7">
        <v>16.0</v>
      </c>
      <c r="C2172" s="7">
        <v>18.0</v>
      </c>
      <c r="D2172" s="7" t="s">
        <v>3920</v>
      </c>
      <c r="E2172" s="7"/>
      <c r="G2172" s="5" t="str">
        <f t="shared" si="1"/>
        <v>16, 18, EKANS</v>
      </c>
      <c r="I2172" s="5" t="s">
        <v>1062</v>
      </c>
    </row>
    <row r="2173" ht="12.75" customHeight="1">
      <c r="A2173" s="5" t="s">
        <v>3439</v>
      </c>
      <c r="B2173" s="7">
        <v>16.0</v>
      </c>
      <c r="C2173" s="7">
        <v>18.0</v>
      </c>
      <c r="D2173" s="7" t="s">
        <v>3884</v>
      </c>
      <c r="E2173" s="7"/>
      <c r="G2173" s="5" t="str">
        <f t="shared" si="1"/>
        <v>16, 18, SPEAROW</v>
      </c>
      <c r="I2173" s="5" t="s">
        <v>3439</v>
      </c>
    </row>
    <row r="2174" ht="12.75" customHeight="1">
      <c r="A2174" s="5">
        <v>0.1</v>
      </c>
      <c r="B2174" s="5">
        <v>0.1</v>
      </c>
      <c r="C2174" s="7"/>
      <c r="D2174" s="7"/>
      <c r="E2174" s="7"/>
      <c r="G2174" s="5">
        <f t="shared" si="1"/>
        <v>0.1</v>
      </c>
      <c r="I2174" s="5">
        <v>0.1</v>
      </c>
    </row>
    <row r="2175" ht="12.75" customHeight="1">
      <c r="A2175" s="5" t="s">
        <v>3440</v>
      </c>
      <c r="B2175" s="7">
        <v>17.0</v>
      </c>
      <c r="C2175" s="7">
        <v>20.0</v>
      </c>
      <c r="D2175" s="7" t="s">
        <v>3742</v>
      </c>
      <c r="E2175" s="7"/>
      <c r="G2175" s="5" t="str">
        <f t="shared" si="1"/>
        <v>17, 20, SANDSHREW</v>
      </c>
      <c r="I2175" s="5" t="s">
        <v>3440</v>
      </c>
    </row>
    <row r="2176" ht="12.75" customHeight="1">
      <c r="A2176" s="5" t="s">
        <v>3441</v>
      </c>
      <c r="B2176" s="7">
        <v>17.0</v>
      </c>
      <c r="C2176" s="7">
        <v>20.0</v>
      </c>
      <c r="D2176" s="7" t="s">
        <v>3868</v>
      </c>
      <c r="E2176" s="7"/>
      <c r="G2176" s="5" t="str">
        <f t="shared" si="1"/>
        <v>17, 20, DROWZEE</v>
      </c>
      <c r="I2176" s="5" t="s">
        <v>3441</v>
      </c>
    </row>
    <row r="2177" ht="12.75" customHeight="1">
      <c r="A2177" s="5" t="s">
        <v>3442</v>
      </c>
      <c r="B2177" s="7">
        <v>17.0</v>
      </c>
      <c r="C2177" s="7">
        <v>20.0</v>
      </c>
      <c r="D2177" s="7" t="s">
        <v>3874</v>
      </c>
      <c r="E2177" s="7"/>
      <c r="G2177" s="5" t="str">
        <f t="shared" si="1"/>
        <v>17, 20, MAGNEMITE</v>
      </c>
      <c r="I2177" s="5" t="s">
        <v>3442</v>
      </c>
    </row>
    <row r="2178" ht="12.75" customHeight="1">
      <c r="A2178" s="5" t="s">
        <v>3443</v>
      </c>
      <c r="B2178" s="7">
        <v>17.0</v>
      </c>
      <c r="C2178" s="7">
        <v>20.0</v>
      </c>
      <c r="D2178" s="7" t="s">
        <v>3875</v>
      </c>
      <c r="E2178" s="7"/>
      <c r="G2178" s="5" t="str">
        <f t="shared" si="1"/>
        <v>17, 20, VOLTORB</v>
      </c>
      <c r="I2178" s="5" t="s">
        <v>3443</v>
      </c>
    </row>
    <row r="2179" ht="12.75" customHeight="1">
      <c r="A2179" s="5">
        <v>0.05</v>
      </c>
      <c r="B2179" s="5">
        <v>0.05</v>
      </c>
      <c r="C2179" s="7"/>
      <c r="D2179" s="7"/>
      <c r="E2179" s="7"/>
      <c r="G2179" s="5">
        <f t="shared" si="1"/>
        <v>0.05</v>
      </c>
      <c r="I2179" s="5">
        <v>0.05</v>
      </c>
    </row>
    <row r="2180" ht="12.75" customHeight="1">
      <c r="A2180" s="5" t="s">
        <v>3444</v>
      </c>
      <c r="B2180" s="7">
        <v>18.0</v>
      </c>
      <c r="C2180" s="7">
        <v>18.0</v>
      </c>
      <c r="D2180" s="7" t="s">
        <v>3916</v>
      </c>
      <c r="E2180" s="7"/>
      <c r="G2180" s="5" t="str">
        <f t="shared" si="1"/>
        <v>18, 18, FARFETCH'D</v>
      </c>
      <c r="I2180" s="5" t="s">
        <v>3444</v>
      </c>
    </row>
    <row r="2181" ht="12.75" customHeight="1">
      <c r="A2181" s="5" t="s">
        <v>3445</v>
      </c>
      <c r="B2181" s="7">
        <v>18.0</v>
      </c>
      <c r="C2181" s="7">
        <v>18.0</v>
      </c>
      <c r="D2181" s="7" t="s">
        <v>3932</v>
      </c>
      <c r="E2181" s="7"/>
      <c r="G2181" s="5" t="str">
        <f t="shared" si="1"/>
        <v>18, 18, ABRA</v>
      </c>
      <c r="I2181" s="5" t="s">
        <v>3445</v>
      </c>
    </row>
    <row r="2182" ht="12.75" customHeight="1">
      <c r="A2182" s="5">
        <v>0.04</v>
      </c>
      <c r="B2182" s="5">
        <v>0.04</v>
      </c>
      <c r="C2182" s="7"/>
      <c r="D2182" s="7"/>
      <c r="E2182" s="7"/>
      <c r="G2182" s="5">
        <f t="shared" si="1"/>
        <v>0.04</v>
      </c>
      <c r="I2182" s="5">
        <v>0.04</v>
      </c>
    </row>
    <row r="2183" ht="12.75" customHeight="1">
      <c r="A2183" s="5" t="s">
        <v>3446</v>
      </c>
      <c r="B2183" s="7">
        <v>15.0</v>
      </c>
      <c r="C2183" s="7">
        <v>19.0</v>
      </c>
      <c r="D2183" s="7" t="s">
        <v>3735</v>
      </c>
      <c r="E2183" s="7"/>
      <c r="G2183" s="5" t="str">
        <f t="shared" si="1"/>
        <v>15, 19, PIKACHU</v>
      </c>
      <c r="I2183" s="5" t="s">
        <v>3446</v>
      </c>
    </row>
    <row r="2184" ht="12.75" customHeight="1">
      <c r="A2184" s="5" t="s">
        <v>3447</v>
      </c>
      <c r="B2184" s="7">
        <v>15.0</v>
      </c>
      <c r="C2184" s="7">
        <v>19.0</v>
      </c>
      <c r="D2184" s="7" t="s">
        <v>3933</v>
      </c>
      <c r="E2184" s="7"/>
      <c r="G2184" s="5" t="str">
        <f t="shared" si="1"/>
        <v>15, 19, KADABRA</v>
      </c>
      <c r="I2184" s="5" t="s">
        <v>3447</v>
      </c>
    </row>
    <row r="2185" ht="12.75" customHeight="1">
      <c r="A2185" s="5">
        <v>0.01</v>
      </c>
      <c r="B2185" s="5">
        <v>0.01</v>
      </c>
      <c r="C2185" s="7"/>
      <c r="D2185" s="7"/>
      <c r="E2185" s="7"/>
      <c r="G2185" s="5">
        <f t="shared" si="1"/>
        <v>0.01</v>
      </c>
      <c r="I2185" s="5">
        <v>0.01</v>
      </c>
    </row>
    <row r="2186" ht="12.75" customHeight="1">
      <c r="A2186" s="5" t="s">
        <v>3448</v>
      </c>
      <c r="B2186" s="7">
        <v>22.0</v>
      </c>
      <c r="C2186" s="7">
        <v>22.0</v>
      </c>
      <c r="D2186" s="7" t="s">
        <v>3928</v>
      </c>
      <c r="E2186" s="7"/>
      <c r="G2186" s="5" t="str">
        <f t="shared" si="1"/>
        <v>22, 22, ARBOK</v>
      </c>
      <c r="I2186" s="5" t="s">
        <v>3448</v>
      </c>
    </row>
    <row r="2187" ht="12.75" customHeight="1">
      <c r="A2187" s="5" t="s">
        <v>3449</v>
      </c>
      <c r="B2187" s="7">
        <v>22.0</v>
      </c>
      <c r="C2187" s="7">
        <v>22.0</v>
      </c>
      <c r="D2187" s="7" t="s">
        <v>3926</v>
      </c>
      <c r="E2187" s="7"/>
      <c r="G2187" s="5" t="str">
        <f t="shared" si="1"/>
        <v>22, 22, LICKITUNG</v>
      </c>
      <c r="I2187" s="5" t="s">
        <v>3449</v>
      </c>
    </row>
    <row r="2188" ht="12.75" customHeight="1">
      <c r="A2188" s="5" t="s">
        <v>3350</v>
      </c>
      <c r="B2188" s="7">
        <v>2.0</v>
      </c>
      <c r="C2188" s="7">
        <v>38.0</v>
      </c>
      <c r="D2188" s="7">
        <v>42.0</v>
      </c>
      <c r="E2188" s="7" t="s">
        <v>3748</v>
      </c>
      <c r="G2188" s="5" t="str">
        <f t="shared" si="1"/>
        <v>2, 38, 42, TENTACOOL</v>
      </c>
      <c r="I2188" s="5" t="s">
        <v>3350</v>
      </c>
    </row>
    <row r="2189" ht="12.75" customHeight="1">
      <c r="A2189" s="5" t="s">
        <v>3429</v>
      </c>
      <c r="B2189" s="7">
        <v>40.0</v>
      </c>
      <c r="C2189" s="7">
        <v>44.0</v>
      </c>
      <c r="D2189" s="7" t="s">
        <v>3898</v>
      </c>
      <c r="E2189" s="7"/>
      <c r="G2189" s="5" t="str">
        <f t="shared" si="1"/>
        <v>40, 44, TENTACRUEL</v>
      </c>
      <c r="I2189" s="5" t="s">
        <v>3429</v>
      </c>
    </row>
    <row r="2190" ht="12.75" customHeight="1">
      <c r="A2190" s="5" t="s">
        <v>3025</v>
      </c>
      <c r="B2190" s="7">
        <v>42.0</v>
      </c>
      <c r="C2190" s="7">
        <v>46.0</v>
      </c>
      <c r="D2190" s="7" t="s">
        <v>3861</v>
      </c>
      <c r="E2190" s="7"/>
      <c r="G2190" s="5" t="str">
        <f t="shared" si="1"/>
        <v>42, 46, LAPRAS</v>
      </c>
      <c r="I2190" s="5" t="s">
        <v>3025</v>
      </c>
    </row>
    <row r="2191" ht="12.75" customHeight="1">
      <c r="A2191" s="5" t="s">
        <v>3430</v>
      </c>
      <c r="B2191" s="7">
        <v>42.0</v>
      </c>
      <c r="C2191" s="7">
        <v>46.0</v>
      </c>
      <c r="D2191" s="7" t="s">
        <v>3931</v>
      </c>
      <c r="E2191" s="7"/>
      <c r="G2191" s="5" t="str">
        <f t="shared" si="1"/>
        <v>42, 46, TENTACATE</v>
      </c>
      <c r="I2191" s="5" t="s">
        <v>3430</v>
      </c>
    </row>
    <row r="2192" ht="12.75" customHeight="1">
      <c r="A2192" s="5" t="s">
        <v>3450</v>
      </c>
      <c r="B2192" s="7">
        <v>44.0</v>
      </c>
      <c r="C2192" s="7">
        <v>48.0</v>
      </c>
      <c r="D2192" s="7" t="s">
        <v>3934</v>
      </c>
      <c r="E2192" s="7"/>
      <c r="G2192" s="5" t="str">
        <f t="shared" si="1"/>
        <v>44, 48, LOCHLASS</v>
      </c>
      <c r="I2192" s="5" t="s">
        <v>3450</v>
      </c>
    </row>
    <row r="2193" ht="12.75" customHeight="1">
      <c r="A2193" s="5" t="s">
        <v>2926</v>
      </c>
      <c r="B2193" s="7">
        <v>20.0</v>
      </c>
      <c r="C2193" s="7" t="s">
        <v>3749</v>
      </c>
      <c r="D2193" s="7"/>
      <c r="E2193" s="7"/>
      <c r="G2193" s="5" t="str">
        <f t="shared" si="1"/>
        <v>old rod:</v>
      </c>
      <c r="I2193" s="5" t="s">
        <v>3750</v>
      </c>
    </row>
    <row r="2194" ht="12.75" customHeight="1">
      <c r="A2194" s="5" t="s">
        <v>500</v>
      </c>
      <c r="B2194" s="7">
        <v>19.0</v>
      </c>
      <c r="C2194" s="7">
        <v>26.0</v>
      </c>
      <c r="D2194" s="7" t="s">
        <v>3751</v>
      </c>
      <c r="E2194" s="7"/>
      <c r="G2194" s="5" t="str">
        <f t="shared" si="1"/>
        <v>19, 26, MAGIKARP</v>
      </c>
      <c r="I2194" s="5" t="s">
        <v>500</v>
      </c>
    </row>
    <row r="2195" ht="12.75" customHeight="1">
      <c r="A2195" s="5" t="s">
        <v>3353</v>
      </c>
      <c r="B2195" s="7">
        <v>19.0</v>
      </c>
      <c r="C2195" s="7">
        <v>26.0</v>
      </c>
      <c r="D2195" s="7" t="s">
        <v>3755</v>
      </c>
      <c r="E2195" s="7"/>
      <c r="G2195" s="5" t="str">
        <f t="shared" si="1"/>
        <v>19, 26, GYARADOS</v>
      </c>
      <c r="I2195" s="5" t="s">
        <v>3353</v>
      </c>
    </row>
    <row r="2196" ht="12.75" customHeight="1">
      <c r="A2196" s="5" t="s">
        <v>2847</v>
      </c>
      <c r="B2196" s="7" t="s">
        <v>2847</v>
      </c>
      <c r="C2196" s="7"/>
      <c r="D2196" s="7"/>
      <c r="E2196" s="7"/>
      <c r="G2196" s="5" t="str">
        <f t="shared" si="1"/>
        <v>good rod:</v>
      </c>
      <c r="I2196" s="5" t="s">
        <v>2847</v>
      </c>
    </row>
    <row r="2197" ht="12.75" customHeight="1">
      <c r="A2197" s="5" t="s">
        <v>3431</v>
      </c>
      <c r="B2197" s="7">
        <v>29.0</v>
      </c>
      <c r="C2197" s="7">
        <v>33.0</v>
      </c>
      <c r="D2197" s="7" t="s">
        <v>3753</v>
      </c>
      <c r="E2197" s="7"/>
      <c r="G2197" s="5" t="str">
        <f t="shared" si="1"/>
        <v>29, 33, HORSEA</v>
      </c>
      <c r="I2197" s="5" t="s">
        <v>3431</v>
      </c>
    </row>
    <row r="2198" ht="12.75" customHeight="1">
      <c r="A2198" s="5" t="s">
        <v>3451</v>
      </c>
      <c r="B2198" s="7">
        <v>30.0</v>
      </c>
      <c r="C2198" s="7">
        <v>35.0</v>
      </c>
      <c r="D2198" s="7" t="s">
        <v>3862</v>
      </c>
      <c r="E2198" s="7"/>
      <c r="G2198" s="5" t="str">
        <f t="shared" si="1"/>
        <v>30, 35, SHELLDER</v>
      </c>
      <c r="I2198" s="5" t="s">
        <v>3451</v>
      </c>
    </row>
    <row r="2199" ht="12.75" customHeight="1">
      <c r="A2199" s="5" t="s">
        <v>3452</v>
      </c>
      <c r="B2199" s="7">
        <v>30.0</v>
      </c>
      <c r="C2199" s="7">
        <v>35.0</v>
      </c>
      <c r="D2199" s="7" t="s">
        <v>3754</v>
      </c>
      <c r="E2199" s="7"/>
      <c r="G2199" s="5" t="str">
        <f t="shared" si="1"/>
        <v>30, 35, STARYU</v>
      </c>
      <c r="I2199" s="5" t="s">
        <v>3452</v>
      </c>
    </row>
    <row r="2200" ht="12.75" customHeight="1">
      <c r="A2200" s="5" t="s">
        <v>2851</v>
      </c>
      <c r="B2200" s="7" t="s">
        <v>2851</v>
      </c>
      <c r="C2200" s="7"/>
      <c r="D2200" s="7"/>
      <c r="E2200" s="7"/>
      <c r="G2200" s="5" t="str">
        <f t="shared" si="1"/>
        <v>super rod:</v>
      </c>
      <c r="I2200" s="5" t="s">
        <v>2851</v>
      </c>
    </row>
    <row r="2201" ht="12.75" customHeight="1">
      <c r="A2201" s="5" t="s">
        <v>3027</v>
      </c>
      <c r="B2201" s="7">
        <v>29.0</v>
      </c>
      <c r="C2201" s="7">
        <v>33.0</v>
      </c>
      <c r="D2201" s="7" t="s">
        <v>3859</v>
      </c>
      <c r="E2201" s="7"/>
      <c r="G2201" s="5" t="str">
        <f t="shared" si="1"/>
        <v>29, 33, SEADRA</v>
      </c>
      <c r="I2201" s="5" t="s">
        <v>3027</v>
      </c>
    </row>
    <row r="2202" ht="12.75" customHeight="1">
      <c r="A2202" s="5" t="s">
        <v>3357</v>
      </c>
      <c r="B2202" s="7">
        <v>36.0</v>
      </c>
      <c r="C2202" s="7">
        <v>40.0</v>
      </c>
      <c r="D2202" s="7" t="s">
        <v>3755</v>
      </c>
      <c r="E2202" s="7"/>
      <c r="G2202" s="5" t="str">
        <f t="shared" si="1"/>
        <v>36, 40, GYARADOS</v>
      </c>
      <c r="I2202" s="5" t="s">
        <v>3357</v>
      </c>
    </row>
    <row r="2203" ht="12.75" customHeight="1">
      <c r="A2203" s="5" t="s">
        <v>3453</v>
      </c>
      <c r="B2203" s="7">
        <v>38.0</v>
      </c>
      <c r="C2203" s="7">
        <v>42.0</v>
      </c>
      <c r="D2203" s="7" t="s">
        <v>3935</v>
      </c>
      <c r="E2203" s="7"/>
      <c r="G2203" s="5" t="str">
        <f t="shared" si="1"/>
        <v>38, 42, STARMIE</v>
      </c>
      <c r="I2203" s="5" t="s">
        <v>3453</v>
      </c>
    </row>
    <row r="2204" ht="12.75" customHeight="1">
      <c r="A2204" s="5" t="s">
        <v>3454</v>
      </c>
      <c r="B2204" s="7">
        <v>38.0</v>
      </c>
      <c r="C2204" s="7">
        <v>42.0</v>
      </c>
      <c r="D2204" s="7" t="s">
        <v>3842</v>
      </c>
      <c r="E2204" s="7"/>
      <c r="G2204" s="5" t="str">
        <f t="shared" si="1"/>
        <v>38, 42, CLOYSTER</v>
      </c>
      <c r="I2204" s="5" t="s">
        <v>3454</v>
      </c>
    </row>
    <row r="2205" ht="12.75" customHeight="1">
      <c r="A2205" s="5" t="s">
        <v>3455</v>
      </c>
      <c r="B2205" s="7">
        <v>38.0</v>
      </c>
      <c r="C2205" s="7">
        <v>42.0</v>
      </c>
      <c r="D2205" s="7" t="s">
        <v>3936</v>
      </c>
      <c r="E2205" s="7"/>
      <c r="G2205" s="5" t="str">
        <f t="shared" si="1"/>
        <v>38, 42, STARUS</v>
      </c>
      <c r="I2205" s="5" t="s">
        <v>3455</v>
      </c>
    </row>
    <row r="2206" ht="12.75" customHeight="1">
      <c r="A2206" s="5" t="s">
        <v>2539</v>
      </c>
      <c r="B2206" s="7" t="s">
        <v>2539</v>
      </c>
      <c r="C2206" s="7"/>
      <c r="D2206" s="7"/>
      <c r="E2206" s="7"/>
      <c r="G2206" s="5" t="str">
        <f t="shared" si="1"/>
        <v>NEW ROUTE</v>
      </c>
      <c r="I2206" s="5" t="s">
        <v>2539</v>
      </c>
    </row>
    <row r="2207" ht="12.75" customHeight="1">
      <c r="A2207" s="5" t="s">
        <v>2126</v>
      </c>
      <c r="B2207" s="7" t="s">
        <v>2126</v>
      </c>
      <c r="C2207" s="7"/>
      <c r="D2207" s="7"/>
      <c r="E2207" s="7"/>
      <c r="G2207" s="5" t="str">
        <f t="shared" si="1"/>
        <v>Route 12</v>
      </c>
      <c r="I2207" s="5" t="s">
        <v>2126</v>
      </c>
    </row>
    <row r="2208" ht="12.75" customHeight="1">
      <c r="A2208" s="5">
        <v>0.2</v>
      </c>
      <c r="B2208" s="5">
        <v>0.2</v>
      </c>
      <c r="C2208" s="7"/>
      <c r="D2208" s="7"/>
      <c r="E2208" s="7"/>
      <c r="G2208" s="5">
        <f t="shared" si="1"/>
        <v>0.2</v>
      </c>
      <c r="I2208" s="5">
        <v>0.2</v>
      </c>
    </row>
    <row r="2209" ht="12.75" customHeight="1">
      <c r="A2209" s="5" t="s">
        <v>1081</v>
      </c>
      <c r="B2209" s="7">
        <v>29.0</v>
      </c>
      <c r="C2209" s="7">
        <v>34.0</v>
      </c>
      <c r="D2209" s="7" t="s">
        <v>3891</v>
      </c>
      <c r="E2209" s="7"/>
      <c r="G2209" s="5" t="str">
        <f t="shared" si="1"/>
        <v>29, 34, BELLSPROUT</v>
      </c>
      <c r="I2209" s="5" t="s">
        <v>1081</v>
      </c>
    </row>
    <row r="2210" ht="12.75" customHeight="1">
      <c r="A2210" s="5" t="s">
        <v>3457</v>
      </c>
      <c r="B2210" s="7">
        <v>29.0</v>
      </c>
      <c r="C2210" s="7">
        <v>34.0</v>
      </c>
      <c r="D2210" s="7" t="s">
        <v>3888</v>
      </c>
      <c r="E2210" s="7"/>
      <c r="G2210" s="5" t="str">
        <f t="shared" si="1"/>
        <v>29, 34, PIDGEOTTO</v>
      </c>
      <c r="I2210" s="5" t="s">
        <v>3457</v>
      </c>
    </row>
    <row r="2211" ht="12.75" customHeight="1">
      <c r="A2211" s="5">
        <v>0.1</v>
      </c>
      <c r="B2211" s="5">
        <v>0.1</v>
      </c>
      <c r="C2211" s="7"/>
      <c r="D2211" s="7"/>
      <c r="E2211" s="7"/>
      <c r="G2211" s="5">
        <f t="shared" si="1"/>
        <v>0.1</v>
      </c>
      <c r="I2211" s="5">
        <v>0.1</v>
      </c>
    </row>
    <row r="2212" ht="12.75" customHeight="1">
      <c r="A2212" s="5" t="s">
        <v>3458</v>
      </c>
      <c r="B2212" s="7">
        <v>29.0</v>
      </c>
      <c r="C2212" s="7">
        <v>31.0</v>
      </c>
      <c r="D2212" s="7" t="s">
        <v>3889</v>
      </c>
      <c r="E2212" s="7"/>
      <c r="G2212" s="5" t="str">
        <f t="shared" si="1"/>
        <v>29, 31, WEEPINBELL</v>
      </c>
      <c r="I2212" s="5" t="s">
        <v>3458</v>
      </c>
    </row>
    <row r="2213" ht="12.75" customHeight="1">
      <c r="A2213" s="5" t="s">
        <v>3459</v>
      </c>
      <c r="B2213" s="7">
        <v>29.0</v>
      </c>
      <c r="C2213" s="7">
        <v>31.0</v>
      </c>
      <c r="D2213" s="7" t="s">
        <v>3929</v>
      </c>
      <c r="E2213" s="7"/>
      <c r="G2213" s="5" t="str">
        <f t="shared" si="1"/>
        <v>29, 31, DODUO</v>
      </c>
      <c r="I2213" s="5" t="s">
        <v>3459</v>
      </c>
    </row>
    <row r="2214" ht="12.75" customHeight="1">
      <c r="A2214" s="5" t="s">
        <v>3460</v>
      </c>
      <c r="B2214" s="7">
        <v>31.0</v>
      </c>
      <c r="C2214" s="7">
        <v>31.0</v>
      </c>
      <c r="D2214" s="7" t="s">
        <v>3937</v>
      </c>
      <c r="E2214" s="7"/>
      <c r="G2214" s="5" t="str">
        <f t="shared" si="1"/>
        <v>31, 31, PIDGEOT</v>
      </c>
      <c r="I2214" s="5" t="s">
        <v>3460</v>
      </c>
    </row>
    <row r="2215" ht="12.75" customHeight="1">
      <c r="A2215" s="5" t="s">
        <v>3461</v>
      </c>
      <c r="B2215" s="7">
        <v>29.0</v>
      </c>
      <c r="C2215" s="7">
        <v>31.0</v>
      </c>
      <c r="D2215" s="7" t="s">
        <v>3893</v>
      </c>
      <c r="E2215" s="7"/>
      <c r="G2215" s="5" t="str">
        <f t="shared" si="1"/>
        <v>29, 31, EXEGGCUTE</v>
      </c>
      <c r="I2215" s="5" t="s">
        <v>3461</v>
      </c>
    </row>
    <row r="2216" ht="12.75" customHeight="1">
      <c r="A2216" s="5">
        <v>0.05</v>
      </c>
      <c r="B2216" s="5">
        <v>0.05</v>
      </c>
      <c r="C2216" s="7"/>
      <c r="D2216" s="7"/>
      <c r="E2216" s="7"/>
      <c r="G2216" s="5">
        <f t="shared" si="1"/>
        <v>0.05</v>
      </c>
      <c r="I2216" s="5">
        <v>0.05</v>
      </c>
    </row>
    <row r="2217" ht="12.75" customHeight="1">
      <c r="A2217" s="5" t="s">
        <v>3462</v>
      </c>
      <c r="B2217" s="7">
        <v>30.0</v>
      </c>
      <c r="C2217" s="7">
        <v>34.0</v>
      </c>
      <c r="D2217" s="7" t="s">
        <v>3938</v>
      </c>
      <c r="E2217" s="7"/>
      <c r="G2217" s="5" t="str">
        <f t="shared" si="1"/>
        <v>30, 34, SCYTHER</v>
      </c>
      <c r="I2217" s="5" t="s">
        <v>3462</v>
      </c>
    </row>
    <row r="2218" ht="12.75" customHeight="1">
      <c r="A2218" s="5" t="s">
        <v>3463</v>
      </c>
      <c r="B2218" s="7">
        <v>30.0</v>
      </c>
      <c r="C2218" s="7">
        <v>34.0</v>
      </c>
      <c r="D2218" s="7" t="s">
        <v>3939</v>
      </c>
      <c r="E2218" s="7"/>
      <c r="G2218" s="5" t="str">
        <f t="shared" si="1"/>
        <v>30, 34, JYNX</v>
      </c>
      <c r="I2218" s="5" t="s">
        <v>3463</v>
      </c>
    </row>
    <row r="2219" ht="12.75" customHeight="1">
      <c r="A2219" s="5">
        <v>0.04</v>
      </c>
      <c r="B2219" s="5">
        <v>0.04</v>
      </c>
      <c r="C2219" s="7"/>
      <c r="D2219" s="7"/>
      <c r="E2219" s="7"/>
      <c r="G2219" s="5">
        <f t="shared" si="1"/>
        <v>0.04</v>
      </c>
      <c r="I2219" s="5">
        <v>0.04</v>
      </c>
    </row>
    <row r="2220" ht="12.75" customHeight="1">
      <c r="A2220" s="5" t="s">
        <v>3464</v>
      </c>
      <c r="B2220" s="7">
        <v>31.0</v>
      </c>
      <c r="C2220" s="7">
        <v>31.0</v>
      </c>
      <c r="D2220" s="7" t="s">
        <v>3811</v>
      </c>
      <c r="E2220" s="7"/>
      <c r="G2220" s="5" t="str">
        <f t="shared" si="1"/>
        <v>31, 31, DODRIO</v>
      </c>
      <c r="I2220" s="5" t="s">
        <v>3464</v>
      </c>
    </row>
    <row r="2221" ht="12.75" customHeight="1">
      <c r="A2221" s="5" t="s">
        <v>3465</v>
      </c>
      <c r="B2221" s="7">
        <v>31.0</v>
      </c>
      <c r="C2221" s="7">
        <v>31.0</v>
      </c>
      <c r="D2221" s="7" t="s">
        <v>3792</v>
      </c>
      <c r="E2221" s="7"/>
      <c r="G2221" s="5" t="str">
        <f t="shared" si="1"/>
        <v>31, 31, EXEGGUTOR</v>
      </c>
      <c r="I2221" s="5" t="s">
        <v>3465</v>
      </c>
    </row>
    <row r="2222" ht="12.75" customHeight="1">
      <c r="A2222" s="5">
        <v>0.01</v>
      </c>
      <c r="B2222" s="5">
        <v>0.01</v>
      </c>
      <c r="C2222" s="7"/>
      <c r="D2222" s="7"/>
      <c r="E2222" s="7"/>
      <c r="G2222" s="5">
        <f t="shared" si="1"/>
        <v>0.01</v>
      </c>
      <c r="I2222" s="5">
        <v>0.01</v>
      </c>
    </row>
    <row r="2223" ht="12.75" customHeight="1">
      <c r="A2223" s="5" t="s">
        <v>3466</v>
      </c>
      <c r="B2223" s="7">
        <v>29.0</v>
      </c>
      <c r="C2223" s="7">
        <v>34.0</v>
      </c>
      <c r="D2223" s="7" t="s">
        <v>3940</v>
      </c>
      <c r="E2223" s="7"/>
      <c r="G2223" s="5" t="str">
        <f t="shared" si="1"/>
        <v>29, 34, VICTREEBEL</v>
      </c>
      <c r="I2223" s="5" t="s">
        <v>3466</v>
      </c>
    </row>
    <row r="2224" ht="12.75" customHeight="1">
      <c r="A2224" s="5" t="s">
        <v>3467</v>
      </c>
      <c r="B2224" s="7">
        <v>20.0</v>
      </c>
      <c r="C2224" s="7">
        <v>25.0</v>
      </c>
      <c r="D2224" s="7" t="s">
        <v>3941</v>
      </c>
      <c r="E2224" s="7"/>
      <c r="G2224" s="5" t="str">
        <f t="shared" si="1"/>
        <v>20, 25, SQUIRTLE</v>
      </c>
      <c r="I2224" s="5" t="s">
        <v>3467</v>
      </c>
    </row>
    <row r="2225" ht="12.75" customHeight="1">
      <c r="A2225" s="5" t="s">
        <v>3350</v>
      </c>
      <c r="B2225" s="7">
        <v>2.0</v>
      </c>
      <c r="C2225" s="7">
        <v>38.0</v>
      </c>
      <c r="D2225" s="7">
        <v>42.0</v>
      </c>
      <c r="E2225" s="7" t="s">
        <v>3748</v>
      </c>
      <c r="G2225" s="5" t="str">
        <f t="shared" si="1"/>
        <v>2, 38, 42, TENTACOOL</v>
      </c>
      <c r="I2225" s="5" t="s">
        <v>3350</v>
      </c>
    </row>
    <row r="2226" ht="12.75" customHeight="1">
      <c r="A2226" s="5" t="s">
        <v>3429</v>
      </c>
      <c r="B2226" s="7">
        <v>40.0</v>
      </c>
      <c r="C2226" s="7">
        <v>44.0</v>
      </c>
      <c r="D2226" s="7" t="s">
        <v>3898</v>
      </c>
      <c r="E2226" s="7"/>
      <c r="G2226" s="5" t="str">
        <f t="shared" si="1"/>
        <v>40, 44, TENTACRUEL</v>
      </c>
      <c r="I2226" s="5" t="s">
        <v>3429</v>
      </c>
    </row>
    <row r="2227" ht="12.75" customHeight="1">
      <c r="A2227" s="5" t="s">
        <v>3025</v>
      </c>
      <c r="B2227" s="7">
        <v>42.0</v>
      </c>
      <c r="C2227" s="7">
        <v>46.0</v>
      </c>
      <c r="D2227" s="7" t="s">
        <v>3861</v>
      </c>
      <c r="E2227" s="7"/>
      <c r="G2227" s="5" t="str">
        <f t="shared" si="1"/>
        <v>42, 46, LAPRAS</v>
      </c>
      <c r="I2227" s="5" t="s">
        <v>3025</v>
      </c>
    </row>
    <row r="2228" ht="12.75" customHeight="1">
      <c r="A2228" s="5" t="s">
        <v>3430</v>
      </c>
      <c r="B2228" s="7">
        <v>42.0</v>
      </c>
      <c r="C2228" s="7">
        <v>46.0</v>
      </c>
      <c r="D2228" s="7" t="s">
        <v>3931</v>
      </c>
      <c r="E2228" s="7"/>
      <c r="G2228" s="5" t="str">
        <f t="shared" si="1"/>
        <v>42, 46, TENTACATE</v>
      </c>
      <c r="I2228" s="5" t="s">
        <v>3430</v>
      </c>
    </row>
    <row r="2229" ht="12.75" customHeight="1">
      <c r="A2229" s="5" t="s">
        <v>3450</v>
      </c>
      <c r="B2229" s="7">
        <v>44.0</v>
      </c>
      <c r="C2229" s="7">
        <v>48.0</v>
      </c>
      <c r="D2229" s="7" t="s">
        <v>3934</v>
      </c>
      <c r="E2229" s="7"/>
      <c r="G2229" s="5" t="str">
        <f t="shared" si="1"/>
        <v>44, 48, LOCHLASS</v>
      </c>
      <c r="I2229" s="5" t="s">
        <v>3450</v>
      </c>
    </row>
    <row r="2230" ht="12.75" customHeight="1">
      <c r="A2230" s="5" t="s">
        <v>3468</v>
      </c>
      <c r="B2230" s="7">
        <v>60.0</v>
      </c>
      <c r="C2230" s="7" t="s">
        <v>3749</v>
      </c>
      <c r="D2230" s="7"/>
      <c r="E2230" s="7"/>
      <c r="G2230" s="5" t="str">
        <f t="shared" si="1"/>
        <v>old rod:</v>
      </c>
      <c r="I2230" s="5" t="s">
        <v>3750</v>
      </c>
    </row>
    <row r="2231" ht="12.75" customHeight="1">
      <c r="A2231" s="5" t="s">
        <v>500</v>
      </c>
      <c r="B2231" s="7">
        <v>19.0</v>
      </c>
      <c r="C2231" s="7">
        <v>26.0</v>
      </c>
      <c r="D2231" s="7" t="s">
        <v>3751</v>
      </c>
      <c r="E2231" s="7"/>
      <c r="G2231" s="5" t="str">
        <f t="shared" si="1"/>
        <v>19, 26, MAGIKARP</v>
      </c>
      <c r="I2231" s="5" t="s">
        <v>500</v>
      </c>
    </row>
    <row r="2232" ht="12.75" customHeight="1">
      <c r="A2232" s="5" t="s">
        <v>3353</v>
      </c>
      <c r="B2232" s="7">
        <v>19.0</v>
      </c>
      <c r="C2232" s="7">
        <v>26.0</v>
      </c>
      <c r="D2232" s="7" t="s">
        <v>3755</v>
      </c>
      <c r="E2232" s="7"/>
      <c r="G2232" s="5" t="str">
        <f t="shared" si="1"/>
        <v>19, 26, GYARADOS</v>
      </c>
      <c r="I2232" s="5" t="s">
        <v>3353</v>
      </c>
    </row>
    <row r="2233" ht="12.75" customHeight="1">
      <c r="A2233" s="5" t="s">
        <v>2847</v>
      </c>
      <c r="B2233" s="7" t="s">
        <v>2847</v>
      </c>
      <c r="C2233" s="7"/>
      <c r="D2233" s="7"/>
      <c r="E2233" s="7"/>
      <c r="G2233" s="5" t="str">
        <f t="shared" si="1"/>
        <v>good rod:</v>
      </c>
      <c r="I2233" s="5" t="s">
        <v>2847</v>
      </c>
    </row>
    <row r="2234" ht="12.75" customHeight="1">
      <c r="A2234" s="5" t="s">
        <v>3431</v>
      </c>
      <c r="B2234" s="7">
        <v>29.0</v>
      </c>
      <c r="C2234" s="7">
        <v>33.0</v>
      </c>
      <c r="D2234" s="7" t="s">
        <v>3753</v>
      </c>
      <c r="E2234" s="7"/>
      <c r="G2234" s="5" t="str">
        <f t="shared" si="1"/>
        <v>29, 33, HORSEA</v>
      </c>
      <c r="I2234" s="5" t="s">
        <v>3431</v>
      </c>
    </row>
    <row r="2235" ht="12.75" customHeight="1">
      <c r="A2235" s="5" t="s">
        <v>3028</v>
      </c>
      <c r="B2235" s="7">
        <v>30.0</v>
      </c>
      <c r="C2235" s="7">
        <v>35.0</v>
      </c>
      <c r="D2235" s="7" t="s">
        <v>3752</v>
      </c>
      <c r="E2235" s="7"/>
      <c r="G2235" s="5" t="str">
        <f t="shared" si="1"/>
        <v>30, 35, KRABBY</v>
      </c>
      <c r="I2235" s="5" t="s">
        <v>3028</v>
      </c>
    </row>
    <row r="2236" ht="12.75" customHeight="1">
      <c r="A2236" s="5" t="s">
        <v>3355</v>
      </c>
      <c r="B2236" s="7">
        <v>30.0</v>
      </c>
      <c r="C2236" s="7">
        <v>35.0</v>
      </c>
      <c r="D2236" s="7" t="s">
        <v>3800</v>
      </c>
      <c r="E2236" s="7"/>
      <c r="G2236" s="5" t="str">
        <f t="shared" si="1"/>
        <v>30, 35, PSYDUCK</v>
      </c>
      <c r="I2236" s="5" t="s">
        <v>3355</v>
      </c>
    </row>
    <row r="2237" ht="12.75" customHeight="1">
      <c r="A2237" s="5" t="s">
        <v>2851</v>
      </c>
      <c r="B2237" s="7" t="s">
        <v>2851</v>
      </c>
      <c r="C2237" s="7"/>
      <c r="D2237" s="7"/>
      <c r="E2237" s="7"/>
      <c r="G2237" s="5" t="str">
        <f t="shared" si="1"/>
        <v>super rod:</v>
      </c>
      <c r="I2237" s="5" t="s">
        <v>2851</v>
      </c>
    </row>
    <row r="2238" ht="12.75" customHeight="1">
      <c r="A2238" s="5" t="s">
        <v>3433</v>
      </c>
      <c r="B2238" s="7">
        <v>36.0</v>
      </c>
      <c r="C2238" s="7">
        <v>40.0</v>
      </c>
      <c r="D2238" s="7" t="s">
        <v>3859</v>
      </c>
      <c r="E2238" s="7"/>
      <c r="G2238" s="5" t="str">
        <f t="shared" si="1"/>
        <v>36, 40, SEADRA</v>
      </c>
      <c r="I2238" s="5" t="s">
        <v>3433</v>
      </c>
    </row>
    <row r="2239" ht="12.75" customHeight="1">
      <c r="A2239" s="5" t="s">
        <v>3357</v>
      </c>
      <c r="B2239" s="7">
        <v>36.0</v>
      </c>
      <c r="C2239" s="7">
        <v>40.0</v>
      </c>
      <c r="D2239" s="7" t="s">
        <v>3755</v>
      </c>
      <c r="E2239" s="7"/>
      <c r="G2239" s="5" t="str">
        <f t="shared" si="1"/>
        <v>36, 40, GYARADOS</v>
      </c>
      <c r="I2239" s="5" t="s">
        <v>3357</v>
      </c>
    </row>
    <row r="2240" ht="12.75" customHeight="1">
      <c r="A2240" s="5" t="s">
        <v>3358</v>
      </c>
      <c r="B2240" s="7">
        <v>38.0</v>
      </c>
      <c r="C2240" s="7">
        <v>42.0</v>
      </c>
      <c r="D2240" s="7" t="s">
        <v>3802</v>
      </c>
      <c r="E2240" s="7"/>
      <c r="G2240" s="5" t="str">
        <f t="shared" si="1"/>
        <v>38, 42, GOLDUCK</v>
      </c>
      <c r="I2240" s="5" t="s">
        <v>3358</v>
      </c>
    </row>
    <row r="2241" ht="12.75" customHeight="1">
      <c r="A2241" s="5" t="s">
        <v>3359</v>
      </c>
      <c r="B2241" s="7">
        <v>38.0</v>
      </c>
      <c r="C2241" s="7">
        <v>42.0</v>
      </c>
      <c r="D2241" s="7" t="s">
        <v>3860</v>
      </c>
      <c r="E2241" s="7"/>
      <c r="G2241" s="5" t="str">
        <f t="shared" si="1"/>
        <v>38, 42, KINGLER</v>
      </c>
      <c r="I2241" s="5" t="s">
        <v>3359</v>
      </c>
    </row>
    <row r="2242" ht="12.75" customHeight="1">
      <c r="A2242" s="5" t="s">
        <v>3437</v>
      </c>
      <c r="B2242" s="7">
        <v>40.0</v>
      </c>
      <c r="C2242" s="7">
        <v>44.0</v>
      </c>
      <c r="D2242" s="7" t="s">
        <v>3855</v>
      </c>
      <c r="E2242" s="7"/>
      <c r="G2242" s="5" t="str">
        <f t="shared" si="1"/>
        <v>40, 44, GILDUCK</v>
      </c>
      <c r="I2242" s="5" t="s">
        <v>3437</v>
      </c>
    </row>
    <row r="2243" ht="12.75" customHeight="1">
      <c r="A2243" s="5" t="s">
        <v>2539</v>
      </c>
      <c r="B2243" s="7" t="s">
        <v>2539</v>
      </c>
      <c r="C2243" s="7"/>
      <c r="D2243" s="7"/>
      <c r="E2243" s="7"/>
      <c r="G2243" s="5" t="str">
        <f t="shared" si="1"/>
        <v>NEW ROUTE</v>
      </c>
      <c r="I2243" s="5" t="s">
        <v>2539</v>
      </c>
    </row>
    <row r="2244" ht="12.75" customHeight="1">
      <c r="A2244" s="5" t="s">
        <v>2128</v>
      </c>
      <c r="B2244" s="7" t="s">
        <v>2128</v>
      </c>
      <c r="C2244" s="7"/>
      <c r="D2244" s="7"/>
      <c r="E2244" s="7"/>
      <c r="G2244" s="5" t="str">
        <f t="shared" si="1"/>
        <v>Route 13</v>
      </c>
      <c r="I2244" s="5" t="s">
        <v>2128</v>
      </c>
    </row>
    <row r="2245" ht="12.75" customHeight="1">
      <c r="A2245" s="5">
        <v>0.2</v>
      </c>
      <c r="B2245" s="5">
        <v>0.2</v>
      </c>
      <c r="C2245" s="7"/>
      <c r="D2245" s="7"/>
      <c r="E2245" s="7"/>
      <c r="G2245" s="5">
        <f t="shared" si="1"/>
        <v>0.2</v>
      </c>
      <c r="I2245" s="5">
        <v>0.2</v>
      </c>
    </row>
    <row r="2246" ht="12.75" customHeight="1">
      <c r="A2246" s="5" t="s">
        <v>1095</v>
      </c>
      <c r="B2246" s="7">
        <v>30.0</v>
      </c>
      <c r="C2246" s="7">
        <v>35.0</v>
      </c>
      <c r="D2246" s="7" t="s">
        <v>3891</v>
      </c>
      <c r="E2246" s="7"/>
      <c r="G2246" s="5" t="str">
        <f t="shared" si="1"/>
        <v>30, 35, BELLSPROUT</v>
      </c>
      <c r="I2246" s="5" t="s">
        <v>1095</v>
      </c>
    </row>
    <row r="2247" ht="12.75" customHeight="1">
      <c r="A2247" s="5" t="s">
        <v>3470</v>
      </c>
      <c r="B2247" s="7">
        <v>30.0</v>
      </c>
      <c r="C2247" s="7">
        <v>35.0</v>
      </c>
      <c r="D2247" s="7" t="s">
        <v>3888</v>
      </c>
      <c r="E2247" s="7"/>
      <c r="G2247" s="5" t="str">
        <f t="shared" si="1"/>
        <v>30, 35, PIDGEOTTO</v>
      </c>
      <c r="I2247" s="5" t="s">
        <v>3470</v>
      </c>
    </row>
    <row r="2248" ht="12.75" customHeight="1">
      <c r="A2248" s="5">
        <v>0.1</v>
      </c>
      <c r="B2248" s="5">
        <v>0.1</v>
      </c>
      <c r="C2248" s="7"/>
      <c r="D2248" s="7"/>
      <c r="E2248" s="7"/>
      <c r="G2248" s="5">
        <f t="shared" si="1"/>
        <v>0.1</v>
      </c>
      <c r="I2248" s="5">
        <v>0.1</v>
      </c>
    </row>
    <row r="2249" ht="12.75" customHeight="1">
      <c r="A2249" s="5" t="s">
        <v>3471</v>
      </c>
      <c r="B2249" s="7">
        <v>30.0</v>
      </c>
      <c r="C2249" s="7">
        <v>32.0</v>
      </c>
      <c r="D2249" s="7" t="s">
        <v>3889</v>
      </c>
      <c r="E2249" s="7"/>
      <c r="G2249" s="5" t="str">
        <f t="shared" si="1"/>
        <v>30, 32, WEEPINBELL</v>
      </c>
      <c r="I2249" s="5" t="s">
        <v>3471</v>
      </c>
    </row>
    <row r="2250" ht="12.75" customHeight="1">
      <c r="A2250" s="5" t="s">
        <v>3472</v>
      </c>
      <c r="B2250" s="7">
        <v>30.0</v>
      </c>
      <c r="C2250" s="7">
        <v>32.0</v>
      </c>
      <c r="D2250" s="7" t="s">
        <v>3929</v>
      </c>
      <c r="E2250" s="7"/>
      <c r="G2250" s="5" t="str">
        <f t="shared" si="1"/>
        <v>30, 32, DODUO</v>
      </c>
      <c r="I2250" s="5" t="s">
        <v>3472</v>
      </c>
    </row>
    <row r="2251" ht="12.75" customHeight="1">
      <c r="A2251" s="5" t="s">
        <v>3473</v>
      </c>
      <c r="B2251" s="7">
        <v>32.0</v>
      </c>
      <c r="C2251" s="7">
        <v>32.0</v>
      </c>
      <c r="D2251" s="7" t="s">
        <v>3937</v>
      </c>
      <c r="E2251" s="7"/>
      <c r="G2251" s="5" t="str">
        <f t="shared" si="1"/>
        <v>32, 32, PIDGEOT</v>
      </c>
      <c r="I2251" s="5" t="s">
        <v>3473</v>
      </c>
    </row>
    <row r="2252" ht="12.75" customHeight="1">
      <c r="A2252" s="5" t="s">
        <v>3474</v>
      </c>
      <c r="B2252" s="7">
        <v>30.0</v>
      </c>
      <c r="C2252" s="7">
        <v>32.0</v>
      </c>
      <c r="D2252" s="7" t="s">
        <v>3893</v>
      </c>
      <c r="E2252" s="7"/>
      <c r="G2252" s="5" t="str">
        <f t="shared" si="1"/>
        <v>30, 32, EXEGGCUTE</v>
      </c>
      <c r="I2252" s="5" t="s">
        <v>3474</v>
      </c>
    </row>
    <row r="2253" ht="12.75" customHeight="1">
      <c r="A2253" s="5">
        <v>0.05</v>
      </c>
      <c r="B2253" s="5">
        <v>0.05</v>
      </c>
      <c r="C2253" s="7"/>
      <c r="D2253" s="7"/>
      <c r="E2253" s="7"/>
      <c r="G2253" s="5">
        <f t="shared" si="1"/>
        <v>0.05</v>
      </c>
      <c r="I2253" s="5">
        <v>0.05</v>
      </c>
    </row>
    <row r="2254" ht="12.75" customHeight="1">
      <c r="A2254" s="5" t="s">
        <v>3475</v>
      </c>
      <c r="B2254" s="7">
        <v>31.0</v>
      </c>
      <c r="C2254" s="7">
        <v>35.0</v>
      </c>
      <c r="D2254" s="7" t="s">
        <v>3938</v>
      </c>
      <c r="E2254" s="7"/>
      <c r="G2254" s="5" t="str">
        <f t="shared" si="1"/>
        <v>31, 35, SCYTHER</v>
      </c>
      <c r="I2254" s="5" t="s">
        <v>3475</v>
      </c>
    </row>
    <row r="2255" ht="12.75" customHeight="1">
      <c r="A2255" s="5" t="s">
        <v>3476</v>
      </c>
      <c r="B2255" s="7">
        <v>31.0</v>
      </c>
      <c r="C2255" s="7">
        <v>35.0</v>
      </c>
      <c r="D2255" s="7" t="s">
        <v>3939</v>
      </c>
      <c r="E2255" s="7"/>
      <c r="G2255" s="5" t="str">
        <f t="shared" si="1"/>
        <v>31, 35, JYNX</v>
      </c>
      <c r="I2255" s="5" t="s">
        <v>3476</v>
      </c>
    </row>
    <row r="2256" ht="12.75" customHeight="1">
      <c r="A2256" s="5">
        <v>0.04</v>
      </c>
      <c r="B2256" s="5">
        <v>0.04</v>
      </c>
      <c r="C2256" s="7"/>
      <c r="D2256" s="7"/>
      <c r="E2256" s="7"/>
      <c r="G2256" s="5">
        <f t="shared" si="1"/>
        <v>0.04</v>
      </c>
      <c r="I2256" s="5">
        <v>0.04</v>
      </c>
    </row>
    <row r="2257" ht="12.75" customHeight="1">
      <c r="A2257" s="5" t="s">
        <v>3477</v>
      </c>
      <c r="B2257" s="7">
        <v>32.0</v>
      </c>
      <c r="C2257" s="7">
        <v>32.0</v>
      </c>
      <c r="D2257" s="7" t="s">
        <v>3811</v>
      </c>
      <c r="E2257" s="7"/>
      <c r="G2257" s="5" t="str">
        <f t="shared" si="1"/>
        <v>32, 32, DODRIO</v>
      </c>
      <c r="I2257" s="5" t="s">
        <v>3477</v>
      </c>
    </row>
    <row r="2258" ht="12.75" customHeight="1">
      <c r="A2258" s="5" t="s">
        <v>3478</v>
      </c>
      <c r="B2258" s="7">
        <v>32.0</v>
      </c>
      <c r="C2258" s="7">
        <v>32.0</v>
      </c>
      <c r="D2258" s="7" t="s">
        <v>3792</v>
      </c>
      <c r="E2258" s="7"/>
      <c r="G2258" s="5" t="str">
        <f t="shared" si="1"/>
        <v>32, 32, EXEGGUTOR</v>
      </c>
      <c r="I2258" s="5" t="s">
        <v>3478</v>
      </c>
    </row>
    <row r="2259" ht="12.75" customHeight="1">
      <c r="A2259" s="5">
        <v>0.01</v>
      </c>
      <c r="B2259" s="5">
        <v>0.01</v>
      </c>
      <c r="C2259" s="7"/>
      <c r="D2259" s="7"/>
      <c r="E2259" s="7"/>
      <c r="G2259" s="5">
        <f t="shared" si="1"/>
        <v>0.01</v>
      </c>
      <c r="I2259" s="5">
        <v>0.01</v>
      </c>
    </row>
    <row r="2260" ht="12.75" customHeight="1">
      <c r="A2260" s="5" t="s">
        <v>3479</v>
      </c>
      <c r="B2260" s="7">
        <v>30.0</v>
      </c>
      <c r="C2260" s="7">
        <v>35.0</v>
      </c>
      <c r="D2260" s="7" t="s">
        <v>3940</v>
      </c>
      <c r="E2260" s="7"/>
      <c r="G2260" s="5" t="str">
        <f t="shared" si="1"/>
        <v>30, 35, VICTREEBEL</v>
      </c>
      <c r="I2260" s="5" t="s">
        <v>3479</v>
      </c>
    </row>
    <row r="2261" ht="12.75" customHeight="1">
      <c r="A2261" s="5" t="s">
        <v>3467</v>
      </c>
      <c r="B2261" s="7">
        <v>20.0</v>
      </c>
      <c r="C2261" s="7">
        <v>25.0</v>
      </c>
      <c r="D2261" s="7" t="s">
        <v>3941</v>
      </c>
      <c r="E2261" s="7"/>
      <c r="G2261" s="5" t="str">
        <f t="shared" si="1"/>
        <v>20, 25, SQUIRTLE</v>
      </c>
      <c r="I2261" s="5" t="s">
        <v>3467</v>
      </c>
    </row>
    <row r="2262" ht="12.75" customHeight="1">
      <c r="A2262" s="5" t="s">
        <v>3350</v>
      </c>
      <c r="B2262" s="7">
        <v>2.0</v>
      </c>
      <c r="C2262" s="7">
        <v>38.0</v>
      </c>
      <c r="D2262" s="7">
        <v>42.0</v>
      </c>
      <c r="E2262" s="7" t="s">
        <v>3748</v>
      </c>
      <c r="G2262" s="5" t="str">
        <f t="shared" si="1"/>
        <v>2, 38, 42, TENTACOOL</v>
      </c>
      <c r="I2262" s="5" t="s">
        <v>3350</v>
      </c>
    </row>
    <row r="2263" ht="12.75" customHeight="1">
      <c r="A2263" s="5" t="s">
        <v>3429</v>
      </c>
      <c r="B2263" s="7">
        <v>40.0</v>
      </c>
      <c r="C2263" s="7">
        <v>44.0</v>
      </c>
      <c r="D2263" s="7" t="s">
        <v>3898</v>
      </c>
      <c r="E2263" s="7"/>
      <c r="G2263" s="5" t="str">
        <f t="shared" si="1"/>
        <v>40, 44, TENTACRUEL</v>
      </c>
      <c r="I2263" s="5" t="s">
        <v>3429</v>
      </c>
    </row>
    <row r="2264" ht="12.75" customHeight="1">
      <c r="A2264" s="5" t="s">
        <v>3025</v>
      </c>
      <c r="B2264" s="7">
        <v>42.0</v>
      </c>
      <c r="C2264" s="7">
        <v>46.0</v>
      </c>
      <c r="D2264" s="7" t="s">
        <v>3861</v>
      </c>
      <c r="E2264" s="7"/>
      <c r="G2264" s="5" t="str">
        <f t="shared" si="1"/>
        <v>42, 46, LAPRAS</v>
      </c>
      <c r="I2264" s="5" t="s">
        <v>3025</v>
      </c>
    </row>
    <row r="2265" ht="12.75" customHeight="1">
      <c r="A2265" s="5" t="s">
        <v>3430</v>
      </c>
      <c r="B2265" s="7">
        <v>42.0</v>
      </c>
      <c r="C2265" s="7">
        <v>46.0</v>
      </c>
      <c r="D2265" s="7" t="s">
        <v>3931</v>
      </c>
      <c r="E2265" s="7"/>
      <c r="G2265" s="5" t="str">
        <f t="shared" si="1"/>
        <v>42, 46, TENTACATE</v>
      </c>
      <c r="I2265" s="5" t="s">
        <v>3430</v>
      </c>
    </row>
    <row r="2266" ht="12.75" customHeight="1">
      <c r="A2266" s="5" t="s">
        <v>3450</v>
      </c>
      <c r="B2266" s="7">
        <v>44.0</v>
      </c>
      <c r="C2266" s="7">
        <v>48.0</v>
      </c>
      <c r="D2266" s="7" t="s">
        <v>3934</v>
      </c>
      <c r="E2266" s="7"/>
      <c r="G2266" s="5" t="str">
        <f t="shared" si="1"/>
        <v>44, 48, LOCHLASS</v>
      </c>
      <c r="I2266" s="5" t="s">
        <v>3450</v>
      </c>
    </row>
    <row r="2267" ht="12.75" customHeight="1">
      <c r="A2267" s="5" t="s">
        <v>2926</v>
      </c>
      <c r="B2267" s="7">
        <v>20.0</v>
      </c>
      <c r="C2267" s="7" t="s">
        <v>3749</v>
      </c>
      <c r="D2267" s="7"/>
      <c r="E2267" s="7"/>
      <c r="G2267" s="5" t="str">
        <f t="shared" si="1"/>
        <v>old rod:</v>
      </c>
      <c r="I2267" s="5" t="s">
        <v>3750</v>
      </c>
    </row>
    <row r="2268" ht="12.75" customHeight="1">
      <c r="A2268" s="5" t="s">
        <v>500</v>
      </c>
      <c r="B2268" s="7">
        <v>19.0</v>
      </c>
      <c r="C2268" s="7">
        <v>26.0</v>
      </c>
      <c r="D2268" s="7" t="s">
        <v>3751</v>
      </c>
      <c r="E2268" s="7"/>
      <c r="G2268" s="5" t="str">
        <f t="shared" si="1"/>
        <v>19, 26, MAGIKARP</v>
      </c>
      <c r="I2268" s="5" t="s">
        <v>500</v>
      </c>
    </row>
    <row r="2269" ht="12.75" customHeight="1">
      <c r="A2269" s="5" t="s">
        <v>3353</v>
      </c>
      <c r="B2269" s="7">
        <v>19.0</v>
      </c>
      <c r="C2269" s="7">
        <v>26.0</v>
      </c>
      <c r="D2269" s="7" t="s">
        <v>3755</v>
      </c>
      <c r="E2269" s="7"/>
      <c r="G2269" s="5" t="str">
        <f t="shared" si="1"/>
        <v>19, 26, GYARADOS</v>
      </c>
      <c r="I2269" s="5" t="s">
        <v>3353</v>
      </c>
    </row>
    <row r="2270" ht="12.75" customHeight="1">
      <c r="A2270" s="5" t="s">
        <v>2847</v>
      </c>
      <c r="B2270" s="7" t="s">
        <v>2847</v>
      </c>
      <c r="C2270" s="7"/>
      <c r="D2270" s="7"/>
      <c r="E2270" s="7"/>
      <c r="G2270" s="5" t="str">
        <f t="shared" si="1"/>
        <v>good rod:</v>
      </c>
      <c r="I2270" s="5" t="s">
        <v>2847</v>
      </c>
    </row>
    <row r="2271" ht="12.75" customHeight="1">
      <c r="A2271" s="5" t="s">
        <v>3431</v>
      </c>
      <c r="B2271" s="7">
        <v>29.0</v>
      </c>
      <c r="C2271" s="7">
        <v>33.0</v>
      </c>
      <c r="D2271" s="7" t="s">
        <v>3753</v>
      </c>
      <c r="E2271" s="7"/>
      <c r="G2271" s="5" t="str">
        <f t="shared" si="1"/>
        <v>29, 33, HORSEA</v>
      </c>
      <c r="I2271" s="5" t="s">
        <v>3431</v>
      </c>
    </row>
    <row r="2272" ht="12.75" customHeight="1">
      <c r="A2272" s="5" t="s">
        <v>3028</v>
      </c>
      <c r="B2272" s="7">
        <v>30.0</v>
      </c>
      <c r="C2272" s="7">
        <v>35.0</v>
      </c>
      <c r="D2272" s="7" t="s">
        <v>3752</v>
      </c>
      <c r="E2272" s="7"/>
      <c r="G2272" s="5" t="str">
        <f t="shared" si="1"/>
        <v>30, 35, KRABBY</v>
      </c>
      <c r="I2272" s="5" t="s">
        <v>3028</v>
      </c>
    </row>
    <row r="2273" ht="12.75" customHeight="1">
      <c r="A2273" s="5" t="s">
        <v>3355</v>
      </c>
      <c r="B2273" s="7">
        <v>30.0</v>
      </c>
      <c r="C2273" s="7">
        <v>35.0</v>
      </c>
      <c r="D2273" s="7" t="s">
        <v>3800</v>
      </c>
      <c r="E2273" s="7"/>
      <c r="G2273" s="5" t="str">
        <f t="shared" si="1"/>
        <v>30, 35, PSYDUCK</v>
      </c>
      <c r="I2273" s="5" t="s">
        <v>3355</v>
      </c>
    </row>
    <row r="2274" ht="12.75" customHeight="1">
      <c r="A2274" s="5" t="s">
        <v>2851</v>
      </c>
      <c r="B2274" s="7" t="s">
        <v>2851</v>
      </c>
      <c r="C2274" s="7"/>
      <c r="D2274" s="7"/>
      <c r="E2274" s="7"/>
      <c r="G2274" s="5" t="str">
        <f t="shared" si="1"/>
        <v>super rod:</v>
      </c>
      <c r="I2274" s="5" t="s">
        <v>2851</v>
      </c>
    </row>
    <row r="2275" ht="12.75" customHeight="1">
      <c r="A2275" s="5" t="s">
        <v>3433</v>
      </c>
      <c r="B2275" s="7">
        <v>36.0</v>
      </c>
      <c r="C2275" s="7">
        <v>40.0</v>
      </c>
      <c r="D2275" s="7" t="s">
        <v>3859</v>
      </c>
      <c r="E2275" s="7"/>
      <c r="G2275" s="5" t="str">
        <f t="shared" si="1"/>
        <v>36, 40, SEADRA</v>
      </c>
      <c r="I2275" s="5" t="s">
        <v>3433</v>
      </c>
    </row>
    <row r="2276" ht="12.75" customHeight="1">
      <c r="A2276" s="5" t="s">
        <v>3357</v>
      </c>
      <c r="B2276" s="7">
        <v>36.0</v>
      </c>
      <c r="C2276" s="7">
        <v>40.0</v>
      </c>
      <c r="D2276" s="7" t="s">
        <v>3755</v>
      </c>
      <c r="E2276" s="7"/>
      <c r="G2276" s="5" t="str">
        <f t="shared" si="1"/>
        <v>36, 40, GYARADOS</v>
      </c>
      <c r="I2276" s="5" t="s">
        <v>3357</v>
      </c>
    </row>
    <row r="2277" ht="12.75" customHeight="1">
      <c r="A2277" s="5" t="s">
        <v>3358</v>
      </c>
      <c r="B2277" s="7">
        <v>38.0</v>
      </c>
      <c r="C2277" s="7">
        <v>42.0</v>
      </c>
      <c r="D2277" s="7" t="s">
        <v>3802</v>
      </c>
      <c r="E2277" s="7"/>
      <c r="G2277" s="5" t="str">
        <f t="shared" si="1"/>
        <v>38, 42, GOLDUCK</v>
      </c>
      <c r="I2277" s="5" t="s">
        <v>3358</v>
      </c>
    </row>
    <row r="2278" ht="12.75" customHeight="1">
      <c r="A2278" s="5" t="s">
        <v>3359</v>
      </c>
      <c r="B2278" s="7">
        <v>38.0</v>
      </c>
      <c r="C2278" s="7">
        <v>42.0</v>
      </c>
      <c r="D2278" s="7" t="s">
        <v>3860</v>
      </c>
      <c r="E2278" s="7"/>
      <c r="G2278" s="5" t="str">
        <f t="shared" si="1"/>
        <v>38, 42, KINGLER</v>
      </c>
      <c r="I2278" s="5" t="s">
        <v>3359</v>
      </c>
    </row>
    <row r="2279" ht="12.75" customHeight="1">
      <c r="A2279" s="5" t="s">
        <v>3437</v>
      </c>
      <c r="B2279" s="7">
        <v>40.0</v>
      </c>
      <c r="C2279" s="7">
        <v>44.0</v>
      </c>
      <c r="D2279" s="7" t="s">
        <v>3855</v>
      </c>
      <c r="E2279" s="7"/>
      <c r="G2279" s="5" t="str">
        <f t="shared" si="1"/>
        <v>40, 44, GILDUCK</v>
      </c>
      <c r="I2279" s="5" t="s">
        <v>3437</v>
      </c>
    </row>
    <row r="2280" ht="12.75" customHeight="1">
      <c r="A2280" s="5" t="s">
        <v>2539</v>
      </c>
      <c r="B2280" s="7" t="s">
        <v>2539</v>
      </c>
      <c r="C2280" s="7"/>
      <c r="D2280" s="7"/>
      <c r="E2280" s="7"/>
      <c r="G2280" s="5" t="str">
        <f t="shared" si="1"/>
        <v>NEW ROUTE</v>
      </c>
      <c r="I2280" s="5" t="s">
        <v>2539</v>
      </c>
    </row>
    <row r="2281" ht="12.75" customHeight="1">
      <c r="A2281" s="5" t="s">
        <v>2130</v>
      </c>
      <c r="B2281" s="7" t="s">
        <v>2130</v>
      </c>
      <c r="C2281" s="7"/>
      <c r="D2281" s="7"/>
      <c r="E2281" s="7"/>
      <c r="G2281" s="5" t="str">
        <f t="shared" si="1"/>
        <v>Route 14</v>
      </c>
      <c r="I2281" s="5" t="s">
        <v>2130</v>
      </c>
    </row>
    <row r="2282" ht="12.75" customHeight="1">
      <c r="A2282" s="5">
        <v>0.2</v>
      </c>
      <c r="B2282" s="5">
        <v>0.2</v>
      </c>
      <c r="C2282" s="7"/>
      <c r="D2282" s="7"/>
      <c r="E2282" s="7"/>
      <c r="G2282" s="5">
        <f t="shared" si="1"/>
        <v>0.2</v>
      </c>
      <c r="I2282" s="5">
        <v>0.2</v>
      </c>
    </row>
    <row r="2283" ht="12.75" customHeight="1">
      <c r="A2283" s="5" t="s">
        <v>1107</v>
      </c>
      <c r="B2283" s="7">
        <v>32.0</v>
      </c>
      <c r="C2283" s="7">
        <v>36.0</v>
      </c>
      <c r="D2283" s="7" t="s">
        <v>3891</v>
      </c>
      <c r="E2283" s="7"/>
      <c r="G2283" s="5" t="str">
        <f t="shared" si="1"/>
        <v>32, 36, BELLSPROUT</v>
      </c>
      <c r="I2283" s="5" t="s">
        <v>1107</v>
      </c>
    </row>
    <row r="2284" ht="12.75" customHeight="1">
      <c r="A2284" s="5" t="s">
        <v>3481</v>
      </c>
      <c r="B2284" s="7">
        <v>32.0</v>
      </c>
      <c r="C2284" s="7">
        <v>36.0</v>
      </c>
      <c r="D2284" s="7" t="s">
        <v>3888</v>
      </c>
      <c r="E2284" s="7"/>
      <c r="G2284" s="5" t="str">
        <f t="shared" si="1"/>
        <v>32, 36, PIDGEOTTO</v>
      </c>
      <c r="I2284" s="5" t="s">
        <v>3481</v>
      </c>
    </row>
    <row r="2285" ht="12.75" customHeight="1">
      <c r="A2285" s="5">
        <v>0.1</v>
      </c>
      <c r="B2285" s="5">
        <v>0.1</v>
      </c>
      <c r="C2285" s="7"/>
      <c r="D2285" s="7"/>
      <c r="E2285" s="7"/>
      <c r="G2285" s="5">
        <f t="shared" si="1"/>
        <v>0.1</v>
      </c>
      <c r="I2285" s="5">
        <v>0.1</v>
      </c>
    </row>
    <row r="2286" ht="12.75" customHeight="1">
      <c r="A2286" s="5" t="s">
        <v>3482</v>
      </c>
      <c r="B2286" s="7">
        <v>31.0</v>
      </c>
      <c r="C2286" s="7">
        <v>33.0</v>
      </c>
      <c r="D2286" s="7" t="s">
        <v>3889</v>
      </c>
      <c r="E2286" s="7"/>
      <c r="G2286" s="5" t="str">
        <f t="shared" si="1"/>
        <v>31, 33, WEEPINBELL</v>
      </c>
      <c r="I2286" s="5" t="s">
        <v>3482</v>
      </c>
    </row>
    <row r="2287" ht="12.75" customHeight="1">
      <c r="A2287" s="5" t="s">
        <v>3483</v>
      </c>
      <c r="B2287" s="7">
        <v>31.0</v>
      </c>
      <c r="C2287" s="7">
        <v>33.0</v>
      </c>
      <c r="D2287" s="7" t="s">
        <v>3929</v>
      </c>
      <c r="E2287" s="7"/>
      <c r="G2287" s="5" t="str">
        <f t="shared" si="1"/>
        <v>31, 33, DODUO</v>
      </c>
      <c r="I2287" s="5" t="s">
        <v>3483</v>
      </c>
    </row>
    <row r="2288" ht="12.75" customHeight="1">
      <c r="A2288" s="5" t="s">
        <v>3484</v>
      </c>
      <c r="B2288" s="7">
        <v>33.0</v>
      </c>
      <c r="C2288" s="7">
        <v>33.0</v>
      </c>
      <c r="D2288" s="7" t="s">
        <v>3937</v>
      </c>
      <c r="E2288" s="7"/>
      <c r="G2288" s="5" t="str">
        <f t="shared" si="1"/>
        <v>33, 33, PIDGEOT</v>
      </c>
      <c r="I2288" s="5" t="s">
        <v>3484</v>
      </c>
    </row>
    <row r="2289" ht="12.75" customHeight="1">
      <c r="A2289" s="5" t="s">
        <v>3485</v>
      </c>
      <c r="B2289" s="7">
        <v>31.0</v>
      </c>
      <c r="C2289" s="7">
        <v>33.0</v>
      </c>
      <c r="D2289" s="7" t="s">
        <v>3893</v>
      </c>
      <c r="E2289" s="7"/>
      <c r="G2289" s="5" t="str">
        <f t="shared" si="1"/>
        <v>31, 33, EXEGGCUTE</v>
      </c>
      <c r="I2289" s="5" t="s">
        <v>3485</v>
      </c>
    </row>
    <row r="2290" ht="12.75" customHeight="1">
      <c r="A2290" s="5">
        <v>0.05</v>
      </c>
      <c r="B2290" s="5">
        <v>0.05</v>
      </c>
      <c r="C2290" s="7"/>
      <c r="D2290" s="7"/>
      <c r="E2290" s="7"/>
      <c r="G2290" s="5">
        <f t="shared" si="1"/>
        <v>0.05</v>
      </c>
      <c r="I2290" s="5">
        <v>0.05</v>
      </c>
    </row>
    <row r="2291" ht="12.75" customHeight="1">
      <c r="A2291" s="5" t="s">
        <v>3486</v>
      </c>
      <c r="B2291" s="7">
        <v>32.0</v>
      </c>
      <c r="C2291" s="7">
        <v>36.0</v>
      </c>
      <c r="D2291" s="7" t="s">
        <v>3938</v>
      </c>
      <c r="E2291" s="7"/>
      <c r="G2291" s="5" t="str">
        <f t="shared" si="1"/>
        <v>32, 36, SCYTHER</v>
      </c>
      <c r="I2291" s="5" t="s">
        <v>3486</v>
      </c>
    </row>
    <row r="2292" ht="12.75" customHeight="1">
      <c r="A2292" s="5" t="s">
        <v>3487</v>
      </c>
      <c r="B2292" s="7">
        <v>32.0</v>
      </c>
      <c r="C2292" s="7">
        <v>36.0</v>
      </c>
      <c r="D2292" s="7" t="s">
        <v>3939</v>
      </c>
      <c r="E2292" s="7"/>
      <c r="G2292" s="5" t="str">
        <f t="shared" si="1"/>
        <v>32, 36, JYNX</v>
      </c>
      <c r="I2292" s="5" t="s">
        <v>3487</v>
      </c>
    </row>
    <row r="2293" ht="12.75" customHeight="1">
      <c r="A2293" s="5">
        <v>0.04</v>
      </c>
      <c r="B2293" s="5">
        <v>0.04</v>
      </c>
      <c r="C2293" s="7"/>
      <c r="D2293" s="7"/>
      <c r="E2293" s="7"/>
      <c r="G2293" s="5">
        <f t="shared" si="1"/>
        <v>0.04</v>
      </c>
      <c r="I2293" s="5">
        <v>0.04</v>
      </c>
    </row>
    <row r="2294" ht="12.75" customHeight="1">
      <c r="A2294" s="5" t="s">
        <v>3488</v>
      </c>
      <c r="B2294" s="7">
        <v>33.0</v>
      </c>
      <c r="C2294" s="7">
        <v>33.0</v>
      </c>
      <c r="D2294" s="7" t="s">
        <v>3811</v>
      </c>
      <c r="E2294" s="7"/>
      <c r="G2294" s="5" t="str">
        <f t="shared" si="1"/>
        <v>33, 33, DODRIO</v>
      </c>
      <c r="I2294" s="5" t="s">
        <v>3488</v>
      </c>
    </row>
    <row r="2295" ht="12.75" customHeight="1">
      <c r="A2295" s="5" t="s">
        <v>3489</v>
      </c>
      <c r="B2295" s="7">
        <v>33.0</v>
      </c>
      <c r="C2295" s="7">
        <v>33.0</v>
      </c>
      <c r="D2295" s="7" t="s">
        <v>3792</v>
      </c>
      <c r="E2295" s="7"/>
      <c r="G2295" s="5" t="str">
        <f t="shared" si="1"/>
        <v>33, 33, EXEGGUTOR</v>
      </c>
      <c r="I2295" s="5" t="s">
        <v>3489</v>
      </c>
    </row>
    <row r="2296" ht="12.75" customHeight="1">
      <c r="A2296" s="5">
        <v>0.01</v>
      </c>
      <c r="B2296" s="5">
        <v>0.01</v>
      </c>
      <c r="C2296" s="7"/>
      <c r="D2296" s="7"/>
      <c r="E2296" s="7"/>
      <c r="G2296" s="5">
        <f t="shared" si="1"/>
        <v>0.01</v>
      </c>
      <c r="I2296" s="5">
        <v>0.01</v>
      </c>
    </row>
    <row r="2297" ht="12.75" customHeight="1">
      <c r="A2297" s="5" t="s">
        <v>3490</v>
      </c>
      <c r="B2297" s="7">
        <v>31.0</v>
      </c>
      <c r="C2297" s="7">
        <v>36.0</v>
      </c>
      <c r="D2297" s="7" t="s">
        <v>3940</v>
      </c>
      <c r="E2297" s="7"/>
      <c r="G2297" s="5" t="str">
        <f t="shared" si="1"/>
        <v>31, 36, VICTREEBEL</v>
      </c>
      <c r="I2297" s="5" t="s">
        <v>3490</v>
      </c>
    </row>
    <row r="2298" ht="12.75" customHeight="1">
      <c r="A2298" s="5" t="s">
        <v>3467</v>
      </c>
      <c r="B2298" s="7">
        <v>20.0</v>
      </c>
      <c r="C2298" s="7">
        <v>25.0</v>
      </c>
      <c r="D2298" s="7" t="s">
        <v>3941</v>
      </c>
      <c r="E2298" s="7"/>
      <c r="G2298" s="5" t="str">
        <f t="shared" si="1"/>
        <v>20, 25, SQUIRTLE</v>
      </c>
      <c r="I2298" s="5" t="s">
        <v>3467</v>
      </c>
    </row>
    <row r="2299" ht="12.75" customHeight="1">
      <c r="A2299" s="5" t="s">
        <v>2539</v>
      </c>
      <c r="B2299" s="7" t="s">
        <v>2539</v>
      </c>
      <c r="C2299" s="7"/>
      <c r="D2299" s="7"/>
      <c r="E2299" s="7"/>
      <c r="G2299" s="5" t="str">
        <f t="shared" si="1"/>
        <v>NEW ROUTE</v>
      </c>
      <c r="I2299" s="5" t="s">
        <v>2539</v>
      </c>
    </row>
    <row r="2300" ht="12.75" customHeight="1">
      <c r="A2300" s="5" t="s">
        <v>2132</v>
      </c>
      <c r="B2300" s="7" t="s">
        <v>2132</v>
      </c>
      <c r="C2300" s="7"/>
      <c r="D2300" s="7"/>
      <c r="E2300" s="7"/>
      <c r="G2300" s="5" t="str">
        <f t="shared" si="1"/>
        <v>Route 15</v>
      </c>
      <c r="I2300" s="5" t="s">
        <v>2132</v>
      </c>
    </row>
    <row r="2301" ht="12.75" customHeight="1">
      <c r="A2301" s="5">
        <v>0.2</v>
      </c>
      <c r="B2301" s="5">
        <v>0.2</v>
      </c>
      <c r="C2301" s="7"/>
      <c r="D2301" s="7"/>
      <c r="E2301" s="7"/>
      <c r="G2301" s="5">
        <f t="shared" si="1"/>
        <v>0.2</v>
      </c>
      <c r="I2301" s="5">
        <v>0.2</v>
      </c>
    </row>
    <row r="2302" ht="12.75" customHeight="1">
      <c r="A2302" s="5" t="s">
        <v>1120</v>
      </c>
      <c r="B2302" s="7">
        <v>33.0</v>
      </c>
      <c r="C2302" s="7">
        <v>37.0</v>
      </c>
      <c r="D2302" s="7" t="s">
        <v>3891</v>
      </c>
      <c r="E2302" s="7"/>
      <c r="G2302" s="5" t="str">
        <f t="shared" si="1"/>
        <v>33, 37, BELLSPROUT</v>
      </c>
      <c r="I2302" s="5" t="s">
        <v>1120</v>
      </c>
    </row>
    <row r="2303" ht="12.75" customHeight="1">
      <c r="A2303" s="5" t="s">
        <v>3493</v>
      </c>
      <c r="B2303" s="7">
        <v>33.0</v>
      </c>
      <c r="C2303" s="7">
        <v>37.0</v>
      </c>
      <c r="D2303" s="7" t="s">
        <v>3888</v>
      </c>
      <c r="E2303" s="7"/>
      <c r="G2303" s="5" t="str">
        <f t="shared" si="1"/>
        <v>33, 37, PIDGEOTTO</v>
      </c>
      <c r="I2303" s="5" t="s">
        <v>3493</v>
      </c>
    </row>
    <row r="2304" ht="12.75" customHeight="1">
      <c r="A2304" s="5">
        <v>0.1</v>
      </c>
      <c r="B2304" s="5">
        <v>0.1</v>
      </c>
      <c r="C2304" s="7"/>
      <c r="D2304" s="7"/>
      <c r="E2304" s="7"/>
      <c r="G2304" s="5">
        <f t="shared" si="1"/>
        <v>0.1</v>
      </c>
      <c r="I2304" s="5">
        <v>0.1</v>
      </c>
    </row>
    <row r="2305" ht="12.75" customHeight="1">
      <c r="A2305" s="5" t="s">
        <v>3494</v>
      </c>
      <c r="B2305" s="7">
        <v>32.0</v>
      </c>
      <c r="C2305" s="7">
        <v>34.0</v>
      </c>
      <c r="D2305" s="7" t="s">
        <v>3889</v>
      </c>
      <c r="E2305" s="7"/>
      <c r="G2305" s="5" t="str">
        <f t="shared" si="1"/>
        <v>32, 34, WEEPINBELL</v>
      </c>
      <c r="I2305" s="5" t="s">
        <v>3494</v>
      </c>
    </row>
    <row r="2306" ht="12.75" customHeight="1">
      <c r="A2306" s="5" t="s">
        <v>3495</v>
      </c>
      <c r="B2306" s="7">
        <v>32.0</v>
      </c>
      <c r="C2306" s="7">
        <v>34.0</v>
      </c>
      <c r="D2306" s="7" t="s">
        <v>3929</v>
      </c>
      <c r="E2306" s="7"/>
      <c r="G2306" s="5" t="str">
        <f t="shared" si="1"/>
        <v>32, 34, DODUO</v>
      </c>
      <c r="I2306" s="5" t="s">
        <v>3495</v>
      </c>
    </row>
    <row r="2307" ht="12.75" customHeight="1">
      <c r="A2307" s="5" t="s">
        <v>3496</v>
      </c>
      <c r="B2307" s="7">
        <v>34.0</v>
      </c>
      <c r="C2307" s="7">
        <v>34.0</v>
      </c>
      <c r="D2307" s="7" t="s">
        <v>3937</v>
      </c>
      <c r="E2307" s="7"/>
      <c r="G2307" s="5" t="str">
        <f t="shared" si="1"/>
        <v>34, 34, PIDGEOT</v>
      </c>
      <c r="I2307" s="5" t="s">
        <v>3496</v>
      </c>
    </row>
    <row r="2308" ht="12.75" customHeight="1">
      <c r="A2308" s="5" t="s">
        <v>3497</v>
      </c>
      <c r="B2308" s="7">
        <v>32.0</v>
      </c>
      <c r="C2308" s="7">
        <v>34.0</v>
      </c>
      <c r="D2308" s="7" t="s">
        <v>3893</v>
      </c>
      <c r="E2308" s="7"/>
      <c r="G2308" s="5" t="str">
        <f t="shared" si="1"/>
        <v>32, 34, EXEGGCUTE</v>
      </c>
      <c r="I2308" s="5" t="s">
        <v>3497</v>
      </c>
    </row>
    <row r="2309" ht="12.75" customHeight="1">
      <c r="A2309" s="5">
        <v>0.05</v>
      </c>
      <c r="B2309" s="5">
        <v>0.05</v>
      </c>
      <c r="C2309" s="7"/>
      <c r="D2309" s="7"/>
      <c r="E2309" s="7"/>
      <c r="G2309" s="5">
        <f t="shared" si="1"/>
        <v>0.05</v>
      </c>
      <c r="I2309" s="5">
        <v>0.05</v>
      </c>
    </row>
    <row r="2310" ht="12.75" customHeight="1">
      <c r="A2310" s="5" t="s">
        <v>3498</v>
      </c>
      <c r="B2310" s="7">
        <v>33.0</v>
      </c>
      <c r="C2310" s="7">
        <v>37.0</v>
      </c>
      <c r="D2310" s="7" t="s">
        <v>3938</v>
      </c>
      <c r="E2310" s="7"/>
      <c r="G2310" s="5" t="str">
        <f t="shared" si="1"/>
        <v>33, 37, SCYTHER</v>
      </c>
      <c r="I2310" s="5" t="s">
        <v>3498</v>
      </c>
    </row>
    <row r="2311" ht="12.75" customHeight="1">
      <c r="A2311" s="5" t="s">
        <v>3499</v>
      </c>
      <c r="B2311" s="7">
        <v>33.0</v>
      </c>
      <c r="C2311" s="7">
        <v>37.0</v>
      </c>
      <c r="D2311" s="7" t="s">
        <v>3939</v>
      </c>
      <c r="E2311" s="7"/>
      <c r="G2311" s="5" t="str">
        <f t="shared" si="1"/>
        <v>33, 37, JYNX</v>
      </c>
      <c r="I2311" s="5" t="s">
        <v>3499</v>
      </c>
    </row>
    <row r="2312" ht="12.75" customHeight="1">
      <c r="A2312" s="5">
        <v>0.04</v>
      </c>
      <c r="B2312" s="5">
        <v>0.04</v>
      </c>
      <c r="C2312" s="7"/>
      <c r="D2312" s="7"/>
      <c r="E2312" s="7"/>
      <c r="G2312" s="5">
        <f t="shared" si="1"/>
        <v>0.04</v>
      </c>
      <c r="I2312" s="5">
        <v>0.04</v>
      </c>
    </row>
    <row r="2313" ht="12.75" customHeight="1">
      <c r="A2313" s="5" t="s">
        <v>3500</v>
      </c>
      <c r="B2313" s="7">
        <v>34.0</v>
      </c>
      <c r="C2313" s="7">
        <v>34.0</v>
      </c>
      <c r="D2313" s="7" t="s">
        <v>3811</v>
      </c>
      <c r="E2313" s="7"/>
      <c r="G2313" s="5" t="str">
        <f t="shared" si="1"/>
        <v>34, 34, DODRIO</v>
      </c>
      <c r="I2313" s="5" t="s">
        <v>3500</v>
      </c>
    </row>
    <row r="2314" ht="12.75" customHeight="1">
      <c r="A2314" s="5" t="s">
        <v>3501</v>
      </c>
      <c r="B2314" s="7">
        <v>34.0</v>
      </c>
      <c r="C2314" s="7">
        <v>34.0</v>
      </c>
      <c r="D2314" s="7" t="s">
        <v>3792</v>
      </c>
      <c r="E2314" s="7"/>
      <c r="G2314" s="5" t="str">
        <f t="shared" si="1"/>
        <v>34, 34, EXEGGUTOR</v>
      </c>
      <c r="I2314" s="5" t="s">
        <v>3501</v>
      </c>
    </row>
    <row r="2315" ht="12.75" customHeight="1">
      <c r="A2315" s="5">
        <v>0.01</v>
      </c>
      <c r="B2315" s="5">
        <v>0.01</v>
      </c>
      <c r="C2315" s="7"/>
      <c r="D2315" s="7"/>
      <c r="E2315" s="7"/>
      <c r="G2315" s="5">
        <f t="shared" si="1"/>
        <v>0.01</v>
      </c>
      <c r="I2315" s="5">
        <v>0.01</v>
      </c>
    </row>
    <row r="2316" ht="12.75" customHeight="1">
      <c r="A2316" s="5" t="s">
        <v>3502</v>
      </c>
      <c r="B2316" s="7">
        <v>32.0</v>
      </c>
      <c r="C2316" s="7">
        <v>37.0</v>
      </c>
      <c r="D2316" s="7" t="s">
        <v>3940</v>
      </c>
      <c r="E2316" s="7"/>
      <c r="G2316" s="5" t="str">
        <f t="shared" si="1"/>
        <v>32, 37, VICTREEBEL</v>
      </c>
      <c r="I2316" s="5" t="s">
        <v>3502</v>
      </c>
    </row>
    <row r="2317" ht="12.75" customHeight="1">
      <c r="A2317" s="5" t="s">
        <v>3467</v>
      </c>
      <c r="B2317" s="7">
        <v>20.0</v>
      </c>
      <c r="C2317" s="7">
        <v>25.0</v>
      </c>
      <c r="D2317" s="7" t="s">
        <v>3941</v>
      </c>
      <c r="E2317" s="7"/>
      <c r="G2317" s="5" t="str">
        <f t="shared" si="1"/>
        <v>20, 25, SQUIRTLE</v>
      </c>
      <c r="I2317" s="5" t="s">
        <v>3467</v>
      </c>
    </row>
    <row r="2318" ht="12.75" customHeight="1">
      <c r="A2318" s="5" t="s">
        <v>2539</v>
      </c>
      <c r="B2318" s="7" t="s">
        <v>2539</v>
      </c>
      <c r="C2318" s="7"/>
      <c r="D2318" s="7"/>
      <c r="E2318" s="7"/>
      <c r="G2318" s="5" t="str">
        <f t="shared" si="1"/>
        <v>NEW ROUTE</v>
      </c>
      <c r="I2318" s="5" t="s">
        <v>2539</v>
      </c>
    </row>
    <row r="2319" ht="12.75" customHeight="1">
      <c r="A2319" s="5" t="s">
        <v>2134</v>
      </c>
      <c r="B2319" s="7" t="s">
        <v>2134</v>
      </c>
      <c r="C2319" s="7"/>
      <c r="D2319" s="7"/>
      <c r="E2319" s="7"/>
      <c r="G2319" s="5" t="str">
        <f t="shared" si="1"/>
        <v>Route 16</v>
      </c>
      <c r="I2319" s="5" t="s">
        <v>2134</v>
      </c>
    </row>
    <row r="2320" ht="12.75" customHeight="1">
      <c r="A2320" s="5">
        <v>0.2</v>
      </c>
      <c r="B2320" s="5">
        <v>0.2</v>
      </c>
      <c r="C2320" s="7"/>
      <c r="D2320" s="7"/>
      <c r="E2320" s="7"/>
      <c r="G2320" s="5">
        <f t="shared" si="1"/>
        <v>0.2</v>
      </c>
      <c r="I2320" s="5">
        <v>0.2</v>
      </c>
    </row>
    <row r="2321" ht="12.75" customHeight="1">
      <c r="A2321" s="5" t="s">
        <v>1132</v>
      </c>
      <c r="B2321" s="7">
        <v>29.0</v>
      </c>
      <c r="C2321" s="7">
        <v>34.0</v>
      </c>
      <c r="D2321" s="7" t="s">
        <v>3732</v>
      </c>
      <c r="E2321" s="7"/>
      <c r="G2321" s="5" t="str">
        <f t="shared" si="1"/>
        <v>29, 34, ODDISH</v>
      </c>
      <c r="I2321" s="5" t="s">
        <v>1132</v>
      </c>
    </row>
    <row r="2322" ht="12.75" customHeight="1">
      <c r="A2322" s="5" t="s">
        <v>3457</v>
      </c>
      <c r="B2322" s="7">
        <v>29.0</v>
      </c>
      <c r="C2322" s="7">
        <v>34.0</v>
      </c>
      <c r="D2322" s="7" t="s">
        <v>3888</v>
      </c>
      <c r="E2322" s="7"/>
      <c r="G2322" s="5" t="str">
        <f t="shared" si="1"/>
        <v>29, 34, PIDGEOTTO</v>
      </c>
      <c r="I2322" s="5" t="s">
        <v>3457</v>
      </c>
    </row>
    <row r="2323" ht="12.75" customHeight="1">
      <c r="A2323" s="5">
        <v>0.1</v>
      </c>
      <c r="B2323" s="5">
        <v>0.1</v>
      </c>
      <c r="C2323" s="7"/>
      <c r="D2323" s="7"/>
      <c r="E2323" s="7"/>
      <c r="G2323" s="5">
        <f t="shared" si="1"/>
        <v>0.1</v>
      </c>
      <c r="I2323" s="5">
        <v>0.1</v>
      </c>
    </row>
    <row r="2324" ht="12.75" customHeight="1">
      <c r="A2324" s="5" t="s">
        <v>3504</v>
      </c>
      <c r="B2324" s="7">
        <v>29.0</v>
      </c>
      <c r="C2324" s="7">
        <v>31.0</v>
      </c>
      <c r="D2324" s="7" t="s">
        <v>3942</v>
      </c>
      <c r="E2324" s="7"/>
      <c r="G2324" s="5" t="str">
        <f t="shared" si="1"/>
        <v>29, 31, GLOOM</v>
      </c>
      <c r="I2324" s="5" t="s">
        <v>3504</v>
      </c>
    </row>
    <row r="2325" ht="12.75" customHeight="1">
      <c r="A2325" s="5" t="s">
        <v>3459</v>
      </c>
      <c r="B2325" s="7">
        <v>29.0</v>
      </c>
      <c r="C2325" s="7">
        <v>31.0</v>
      </c>
      <c r="D2325" s="7" t="s">
        <v>3929</v>
      </c>
      <c r="E2325" s="7"/>
      <c r="G2325" s="5" t="str">
        <f t="shared" si="1"/>
        <v>29, 31, DODUO</v>
      </c>
      <c r="I2325" s="5" t="s">
        <v>3459</v>
      </c>
    </row>
    <row r="2326" ht="12.75" customHeight="1">
      <c r="A2326" s="5" t="s">
        <v>3460</v>
      </c>
      <c r="B2326" s="7">
        <v>31.0</v>
      </c>
      <c r="C2326" s="7">
        <v>31.0</v>
      </c>
      <c r="D2326" s="7" t="s">
        <v>3937</v>
      </c>
      <c r="E2326" s="7"/>
      <c r="G2326" s="5" t="str">
        <f t="shared" si="1"/>
        <v>31, 31, PIDGEOT</v>
      </c>
      <c r="I2326" s="5" t="s">
        <v>3460</v>
      </c>
    </row>
    <row r="2327" ht="12.75" customHeight="1">
      <c r="A2327" s="5" t="s">
        <v>3505</v>
      </c>
      <c r="B2327" s="7">
        <v>29.0</v>
      </c>
      <c r="C2327" s="7">
        <v>31.0</v>
      </c>
      <c r="D2327" s="7" t="s">
        <v>3926</v>
      </c>
      <c r="E2327" s="7"/>
      <c r="G2327" s="5" t="str">
        <f t="shared" si="1"/>
        <v>29, 31, LICKITUNG</v>
      </c>
      <c r="I2327" s="5" t="s">
        <v>3505</v>
      </c>
    </row>
    <row r="2328" ht="12.75" customHeight="1">
      <c r="A2328" s="5">
        <v>0.05</v>
      </c>
      <c r="B2328" s="5">
        <v>0.05</v>
      </c>
      <c r="C2328" s="7"/>
      <c r="D2328" s="7"/>
      <c r="E2328" s="7"/>
      <c r="G2328" s="5">
        <f t="shared" si="1"/>
        <v>0.05</v>
      </c>
      <c r="I2328" s="5">
        <v>0.05</v>
      </c>
    </row>
    <row r="2329" ht="12.75" customHeight="1">
      <c r="A2329" s="5" t="s">
        <v>3506</v>
      </c>
      <c r="B2329" s="7">
        <v>30.0</v>
      </c>
      <c r="C2329" s="7">
        <v>34.0</v>
      </c>
      <c r="D2329" s="7" t="s">
        <v>3819</v>
      </c>
      <c r="E2329" s="7"/>
      <c r="G2329" s="5" t="str">
        <f t="shared" si="1"/>
        <v>30, 34, TAUROS</v>
      </c>
      <c r="I2329" s="5" t="s">
        <v>3506</v>
      </c>
    </row>
    <row r="2330" ht="12.75" customHeight="1">
      <c r="A2330" s="5" t="s">
        <v>3507</v>
      </c>
      <c r="B2330" s="7">
        <v>30.0</v>
      </c>
      <c r="C2330" s="7">
        <v>34.0</v>
      </c>
      <c r="D2330" s="7" t="s">
        <v>3943</v>
      </c>
      <c r="E2330" s="7"/>
      <c r="G2330" s="5" t="str">
        <f t="shared" si="1"/>
        <v>30, 34, "MR. MIME"</v>
      </c>
      <c r="I2330" s="5" t="s">
        <v>3507</v>
      </c>
    </row>
    <row r="2331" ht="12.75" customHeight="1">
      <c r="A2331" s="5">
        <v>0.04</v>
      </c>
      <c r="B2331" s="5">
        <v>0.04</v>
      </c>
      <c r="C2331" s="7"/>
      <c r="D2331" s="7"/>
      <c r="E2331" s="7"/>
      <c r="G2331" s="5">
        <f t="shared" si="1"/>
        <v>0.04</v>
      </c>
      <c r="I2331" s="5">
        <v>0.04</v>
      </c>
    </row>
    <row r="2332" ht="12.75" customHeight="1">
      <c r="A2332" s="5" t="s">
        <v>3464</v>
      </c>
      <c r="B2332" s="7">
        <v>31.0</v>
      </c>
      <c r="C2332" s="7">
        <v>31.0</v>
      </c>
      <c r="D2332" s="7" t="s">
        <v>3811</v>
      </c>
      <c r="E2332" s="7"/>
      <c r="G2332" s="5" t="str">
        <f t="shared" si="1"/>
        <v>31, 31, DODRIO</v>
      </c>
      <c r="I2332" s="5" t="s">
        <v>3464</v>
      </c>
    </row>
    <row r="2333" ht="12.75" customHeight="1">
      <c r="A2333" s="5" t="s">
        <v>3508</v>
      </c>
      <c r="B2333" s="7">
        <v>31.0</v>
      </c>
      <c r="C2333" s="7">
        <v>31.0</v>
      </c>
      <c r="D2333" s="7" t="s">
        <v>3854</v>
      </c>
      <c r="E2333" s="7"/>
      <c r="G2333" s="5" t="str">
        <f t="shared" si="1"/>
        <v>31, 31, LICKILICKY</v>
      </c>
      <c r="I2333" s="5" t="s">
        <v>3508</v>
      </c>
    </row>
    <row r="2334" ht="12.75" customHeight="1">
      <c r="A2334" s="5">
        <v>0.01</v>
      </c>
      <c r="B2334" s="5">
        <v>0.01</v>
      </c>
      <c r="C2334" s="7"/>
      <c r="D2334" s="7"/>
      <c r="E2334" s="7"/>
      <c r="G2334" s="5">
        <f t="shared" si="1"/>
        <v>0.01</v>
      </c>
      <c r="I2334" s="5">
        <v>0.01</v>
      </c>
    </row>
    <row r="2335" ht="12.75" customHeight="1">
      <c r="A2335" s="5" t="s">
        <v>3509</v>
      </c>
      <c r="B2335" s="7">
        <v>29.0</v>
      </c>
      <c r="C2335" s="7">
        <v>34.0</v>
      </c>
      <c r="D2335" s="7" t="s">
        <v>3944</v>
      </c>
      <c r="E2335" s="7"/>
      <c r="G2335" s="5" t="str">
        <f t="shared" si="1"/>
        <v>29, 34, VILEPLUME</v>
      </c>
      <c r="I2335" s="5" t="s">
        <v>3509</v>
      </c>
    </row>
    <row r="2336" ht="12.75" customHeight="1">
      <c r="A2336" s="5" t="s">
        <v>3728</v>
      </c>
      <c r="B2336" s="7">
        <v>20.0</v>
      </c>
      <c r="C2336" s="7">
        <v>25.0</v>
      </c>
      <c r="D2336" s="7" t="s">
        <v>3945</v>
      </c>
      <c r="E2336" s="7"/>
      <c r="G2336" s="5" t="str">
        <f t="shared" si="1"/>
        <v>20, 25, BULBASAUR</v>
      </c>
      <c r="I2336" s="5" t="s">
        <v>3728</v>
      </c>
    </row>
    <row r="2337" ht="12.75" customHeight="1">
      <c r="A2337" s="5" t="s">
        <v>2539</v>
      </c>
      <c r="B2337" s="7" t="s">
        <v>2539</v>
      </c>
      <c r="C2337" s="7"/>
      <c r="D2337" s="7"/>
      <c r="E2337" s="7"/>
      <c r="G2337" s="5" t="str">
        <f t="shared" si="1"/>
        <v>NEW ROUTE</v>
      </c>
      <c r="I2337" s="5" t="s">
        <v>2539</v>
      </c>
    </row>
    <row r="2338" ht="12.75" customHeight="1">
      <c r="A2338" s="5" t="s">
        <v>2136</v>
      </c>
      <c r="B2338" s="7" t="s">
        <v>2136</v>
      </c>
      <c r="C2338" s="7"/>
      <c r="D2338" s="7"/>
      <c r="E2338" s="7"/>
      <c r="G2338" s="5" t="str">
        <f t="shared" si="1"/>
        <v>Route 17</v>
      </c>
      <c r="I2338" s="5" t="s">
        <v>2136</v>
      </c>
    </row>
    <row r="2339" ht="12.75" customHeight="1">
      <c r="A2339" s="5">
        <v>0.2</v>
      </c>
      <c r="B2339" s="5">
        <v>0.2</v>
      </c>
      <c r="C2339" s="7"/>
      <c r="D2339" s="7"/>
      <c r="E2339" s="7"/>
      <c r="G2339" s="5">
        <f t="shared" si="1"/>
        <v>0.2</v>
      </c>
      <c r="I2339" s="5">
        <v>0.2</v>
      </c>
    </row>
    <row r="2340" ht="12.75" customHeight="1">
      <c r="A2340" s="5" t="s">
        <v>1141</v>
      </c>
      <c r="B2340" s="7">
        <v>30.0</v>
      </c>
      <c r="C2340" s="7">
        <v>35.0</v>
      </c>
      <c r="D2340" s="7" t="s">
        <v>3732</v>
      </c>
      <c r="E2340" s="7"/>
      <c r="G2340" s="5" t="str">
        <f t="shared" si="1"/>
        <v>30, 35, ODDISH</v>
      </c>
      <c r="I2340" s="5" t="s">
        <v>1141</v>
      </c>
    </row>
    <row r="2341" ht="12.75" customHeight="1">
      <c r="A2341" s="5" t="s">
        <v>3470</v>
      </c>
      <c r="B2341" s="7">
        <v>30.0</v>
      </c>
      <c r="C2341" s="7">
        <v>35.0</v>
      </c>
      <c r="D2341" s="7" t="s">
        <v>3888</v>
      </c>
      <c r="E2341" s="7"/>
      <c r="G2341" s="5" t="str">
        <f t="shared" si="1"/>
        <v>30, 35, PIDGEOTTO</v>
      </c>
      <c r="I2341" s="5" t="s">
        <v>3470</v>
      </c>
    </row>
    <row r="2342" ht="12.75" customHeight="1">
      <c r="A2342" s="5">
        <v>0.1</v>
      </c>
      <c r="B2342" s="5">
        <v>0.1</v>
      </c>
      <c r="C2342" s="7"/>
      <c r="D2342" s="7"/>
      <c r="E2342" s="7"/>
      <c r="G2342" s="5">
        <f t="shared" si="1"/>
        <v>0.1</v>
      </c>
      <c r="I2342" s="5">
        <v>0.1</v>
      </c>
    </row>
    <row r="2343" ht="12.75" customHeight="1">
      <c r="A2343" s="5" t="s">
        <v>3512</v>
      </c>
      <c r="B2343" s="7">
        <v>30.0</v>
      </c>
      <c r="C2343" s="7">
        <v>35.0</v>
      </c>
      <c r="D2343" s="7" t="s">
        <v>3942</v>
      </c>
      <c r="E2343" s="7"/>
      <c r="G2343" s="5" t="str">
        <f t="shared" si="1"/>
        <v>30, 35, GLOOM</v>
      </c>
      <c r="I2343" s="5" t="s">
        <v>3512</v>
      </c>
    </row>
    <row r="2344" ht="12.75" customHeight="1">
      <c r="A2344" s="5" t="s">
        <v>3513</v>
      </c>
      <c r="B2344" s="7">
        <v>30.0</v>
      </c>
      <c r="C2344" s="7">
        <v>35.0</v>
      </c>
      <c r="D2344" s="7" t="s">
        <v>3929</v>
      </c>
      <c r="E2344" s="7"/>
      <c r="G2344" s="5" t="str">
        <f t="shared" si="1"/>
        <v>30, 35, DODUO</v>
      </c>
      <c r="I2344" s="5" t="s">
        <v>3513</v>
      </c>
    </row>
    <row r="2345" ht="12.75" customHeight="1">
      <c r="A2345" s="5" t="s">
        <v>3473</v>
      </c>
      <c r="B2345" s="7">
        <v>32.0</v>
      </c>
      <c r="C2345" s="7">
        <v>32.0</v>
      </c>
      <c r="D2345" s="7" t="s">
        <v>3937</v>
      </c>
      <c r="E2345" s="7"/>
      <c r="G2345" s="5" t="str">
        <f t="shared" si="1"/>
        <v>32, 32, PIDGEOT</v>
      </c>
      <c r="I2345" s="5" t="s">
        <v>3473</v>
      </c>
    </row>
    <row r="2346" ht="12.75" customHeight="1">
      <c r="A2346" s="5" t="s">
        <v>3514</v>
      </c>
      <c r="B2346" s="7">
        <v>30.0</v>
      </c>
      <c r="C2346" s="7">
        <v>32.0</v>
      </c>
      <c r="D2346" s="7" t="s">
        <v>3926</v>
      </c>
      <c r="E2346" s="7"/>
      <c r="G2346" s="5" t="str">
        <f t="shared" si="1"/>
        <v>30, 32, LICKITUNG</v>
      </c>
      <c r="I2346" s="5" t="s">
        <v>3514</v>
      </c>
    </row>
    <row r="2347" ht="12.75" customHeight="1">
      <c r="A2347" s="5">
        <v>0.05</v>
      </c>
      <c r="B2347" s="5">
        <v>0.05</v>
      </c>
      <c r="C2347" s="7"/>
      <c r="D2347" s="7"/>
      <c r="E2347" s="7"/>
      <c r="G2347" s="5">
        <f t="shared" si="1"/>
        <v>0.05</v>
      </c>
      <c r="I2347" s="5">
        <v>0.05</v>
      </c>
    </row>
    <row r="2348" ht="12.75" customHeight="1">
      <c r="A2348" s="5" t="s">
        <v>3515</v>
      </c>
      <c r="B2348" s="7">
        <v>31.0</v>
      </c>
      <c r="C2348" s="7">
        <v>35.0</v>
      </c>
      <c r="D2348" s="7" t="s">
        <v>3819</v>
      </c>
      <c r="E2348" s="7"/>
      <c r="G2348" s="5" t="str">
        <f t="shared" si="1"/>
        <v>31, 35, TAUROS</v>
      </c>
      <c r="I2348" s="5" t="s">
        <v>3515</v>
      </c>
    </row>
    <row r="2349" ht="12.75" customHeight="1">
      <c r="A2349" s="5" t="s">
        <v>3516</v>
      </c>
      <c r="B2349" s="7">
        <v>31.0</v>
      </c>
      <c r="C2349" s="7">
        <v>35.0</v>
      </c>
      <c r="D2349" s="7" t="s">
        <v>3943</v>
      </c>
      <c r="E2349" s="7"/>
      <c r="G2349" s="5" t="str">
        <f t="shared" si="1"/>
        <v>31, 35, "MR. MIME"</v>
      </c>
      <c r="I2349" s="5" t="s">
        <v>3516</v>
      </c>
    </row>
    <row r="2350" ht="12.75" customHeight="1">
      <c r="A2350" s="5">
        <v>0.04</v>
      </c>
      <c r="B2350" s="5">
        <v>0.04</v>
      </c>
      <c r="C2350" s="7"/>
      <c r="D2350" s="7"/>
      <c r="E2350" s="7"/>
      <c r="G2350" s="5">
        <f t="shared" si="1"/>
        <v>0.04</v>
      </c>
      <c r="I2350" s="5">
        <v>0.04</v>
      </c>
    </row>
    <row r="2351" ht="12.75" customHeight="1">
      <c r="A2351" s="5" t="s">
        <v>3477</v>
      </c>
      <c r="B2351" s="7">
        <v>32.0</v>
      </c>
      <c r="C2351" s="7">
        <v>32.0</v>
      </c>
      <c r="D2351" s="7" t="s">
        <v>3811</v>
      </c>
      <c r="E2351" s="7"/>
      <c r="G2351" s="5" t="str">
        <f t="shared" si="1"/>
        <v>32, 32, DODRIO</v>
      </c>
      <c r="I2351" s="5" t="s">
        <v>3477</v>
      </c>
    </row>
    <row r="2352" ht="12.75" customHeight="1">
      <c r="A2352" s="5" t="s">
        <v>3517</v>
      </c>
      <c r="B2352" s="7">
        <v>32.0</v>
      </c>
      <c r="C2352" s="7">
        <v>32.0</v>
      </c>
      <c r="D2352" s="7" t="s">
        <v>3854</v>
      </c>
      <c r="E2352" s="7"/>
      <c r="G2352" s="5" t="str">
        <f t="shared" si="1"/>
        <v>32, 32, LICKILICKY</v>
      </c>
      <c r="I2352" s="5" t="s">
        <v>3517</v>
      </c>
    </row>
    <row r="2353" ht="12.75" customHeight="1">
      <c r="A2353" s="5">
        <v>0.01</v>
      </c>
      <c r="B2353" s="5">
        <v>0.01</v>
      </c>
      <c r="C2353" s="7"/>
      <c r="D2353" s="7"/>
      <c r="E2353" s="7"/>
      <c r="G2353" s="5">
        <f t="shared" si="1"/>
        <v>0.01</v>
      </c>
      <c r="I2353" s="5">
        <v>0.01</v>
      </c>
    </row>
    <row r="2354" ht="12.75" customHeight="1">
      <c r="A2354" s="5" t="s">
        <v>3518</v>
      </c>
      <c r="B2354" s="7">
        <v>30.0</v>
      </c>
      <c r="C2354" s="7">
        <v>35.0</v>
      </c>
      <c r="D2354" s="7" t="s">
        <v>3944</v>
      </c>
      <c r="E2354" s="7"/>
      <c r="G2354" s="5" t="str">
        <f t="shared" si="1"/>
        <v>30, 35, VILEPLUME</v>
      </c>
      <c r="I2354" s="5" t="s">
        <v>3518</v>
      </c>
    </row>
    <row r="2355" ht="12.75" customHeight="1">
      <c r="A2355" s="5" t="s">
        <v>3728</v>
      </c>
      <c r="B2355" s="7">
        <v>20.0</v>
      </c>
      <c r="C2355" s="7">
        <v>25.0</v>
      </c>
      <c r="D2355" s="7" t="s">
        <v>3945</v>
      </c>
      <c r="E2355" s="7"/>
      <c r="G2355" s="5" t="str">
        <f t="shared" si="1"/>
        <v>20, 25, BULBASAUR</v>
      </c>
      <c r="I2355" s="5" t="s">
        <v>3728</v>
      </c>
    </row>
    <row r="2356" ht="12.75" customHeight="1">
      <c r="A2356" s="5" t="s">
        <v>2539</v>
      </c>
      <c r="B2356" s="7" t="s">
        <v>2539</v>
      </c>
      <c r="C2356" s="7"/>
      <c r="D2356" s="7"/>
      <c r="E2356" s="7"/>
      <c r="G2356" s="5" t="str">
        <f t="shared" si="1"/>
        <v>NEW ROUTE</v>
      </c>
      <c r="I2356" s="5" t="s">
        <v>2539</v>
      </c>
    </row>
    <row r="2357" ht="12.75" customHeight="1">
      <c r="A2357" s="5" t="s">
        <v>2138</v>
      </c>
      <c r="B2357" s="7" t="s">
        <v>2138</v>
      </c>
      <c r="C2357" s="7"/>
      <c r="D2357" s="7"/>
      <c r="E2357" s="7"/>
      <c r="G2357" s="5" t="str">
        <f t="shared" si="1"/>
        <v>Route 18</v>
      </c>
      <c r="I2357" s="5" t="s">
        <v>2138</v>
      </c>
    </row>
    <row r="2358" ht="12.75" customHeight="1">
      <c r="A2358" s="5">
        <v>0.2</v>
      </c>
      <c r="B2358" s="5">
        <v>0.2</v>
      </c>
      <c r="C2358" s="7"/>
      <c r="D2358" s="7"/>
      <c r="E2358" s="7"/>
      <c r="G2358" s="5">
        <f t="shared" si="1"/>
        <v>0.2</v>
      </c>
      <c r="I2358" s="5">
        <v>0.2</v>
      </c>
    </row>
    <row r="2359" ht="12.75" customHeight="1">
      <c r="A2359" s="5" t="s">
        <v>1150</v>
      </c>
      <c r="B2359" s="7">
        <v>32.0</v>
      </c>
      <c r="C2359" s="7">
        <v>36.0</v>
      </c>
      <c r="D2359" s="7" t="s">
        <v>3732</v>
      </c>
      <c r="E2359" s="7"/>
      <c r="G2359" s="5" t="str">
        <f t="shared" si="1"/>
        <v>32, 36, ODDISH</v>
      </c>
      <c r="I2359" s="5" t="s">
        <v>1150</v>
      </c>
    </row>
    <row r="2360" ht="12.75" customHeight="1">
      <c r="A2360" s="5" t="s">
        <v>3481</v>
      </c>
      <c r="B2360" s="7">
        <v>32.0</v>
      </c>
      <c r="C2360" s="7">
        <v>36.0</v>
      </c>
      <c r="D2360" s="7" t="s">
        <v>3888</v>
      </c>
      <c r="E2360" s="7"/>
      <c r="G2360" s="5" t="str">
        <f t="shared" si="1"/>
        <v>32, 36, PIDGEOTTO</v>
      </c>
      <c r="I2360" s="5" t="s">
        <v>3481</v>
      </c>
    </row>
    <row r="2361" ht="12.75" customHeight="1">
      <c r="A2361" s="5">
        <v>0.1</v>
      </c>
      <c r="B2361" s="5">
        <v>0.1</v>
      </c>
      <c r="C2361" s="7"/>
      <c r="D2361" s="7"/>
      <c r="E2361" s="7"/>
      <c r="G2361" s="5">
        <f t="shared" si="1"/>
        <v>0.1</v>
      </c>
      <c r="I2361" s="5">
        <v>0.1</v>
      </c>
    </row>
    <row r="2362" ht="12.75" customHeight="1">
      <c r="A2362" s="5" t="s">
        <v>3520</v>
      </c>
      <c r="B2362" s="7">
        <v>31.0</v>
      </c>
      <c r="C2362" s="7">
        <v>33.0</v>
      </c>
      <c r="D2362" s="7" t="s">
        <v>3942</v>
      </c>
      <c r="E2362" s="7"/>
      <c r="G2362" s="5" t="str">
        <f t="shared" si="1"/>
        <v>31, 33, GLOOM</v>
      </c>
      <c r="I2362" s="5" t="s">
        <v>3520</v>
      </c>
    </row>
    <row r="2363" ht="12.75" customHeight="1">
      <c r="A2363" s="5" t="s">
        <v>3483</v>
      </c>
      <c r="B2363" s="7">
        <v>31.0</v>
      </c>
      <c r="C2363" s="7">
        <v>33.0</v>
      </c>
      <c r="D2363" s="7" t="s">
        <v>3929</v>
      </c>
      <c r="E2363" s="7"/>
      <c r="G2363" s="5" t="str">
        <f t="shared" si="1"/>
        <v>31, 33, DODUO</v>
      </c>
      <c r="I2363" s="5" t="s">
        <v>3483</v>
      </c>
    </row>
    <row r="2364" ht="12.75" customHeight="1">
      <c r="A2364" s="5" t="s">
        <v>3484</v>
      </c>
      <c r="B2364" s="7">
        <v>33.0</v>
      </c>
      <c r="C2364" s="7">
        <v>33.0</v>
      </c>
      <c r="D2364" s="7" t="s">
        <v>3937</v>
      </c>
      <c r="E2364" s="7"/>
      <c r="G2364" s="5" t="str">
        <f t="shared" si="1"/>
        <v>33, 33, PIDGEOT</v>
      </c>
      <c r="I2364" s="5" t="s">
        <v>3484</v>
      </c>
    </row>
    <row r="2365" ht="12.75" customHeight="1">
      <c r="A2365" s="5" t="s">
        <v>3521</v>
      </c>
      <c r="B2365" s="7">
        <v>31.0</v>
      </c>
      <c r="C2365" s="7">
        <v>33.0</v>
      </c>
      <c r="D2365" s="7" t="s">
        <v>3926</v>
      </c>
      <c r="E2365" s="7"/>
      <c r="G2365" s="5" t="str">
        <f t="shared" si="1"/>
        <v>31, 33, LICKITUNG</v>
      </c>
      <c r="I2365" s="5" t="s">
        <v>3521</v>
      </c>
    </row>
    <row r="2366" ht="12.75" customHeight="1">
      <c r="A2366" s="5">
        <v>0.05</v>
      </c>
      <c r="B2366" s="5">
        <v>0.05</v>
      </c>
      <c r="C2366" s="7"/>
      <c r="D2366" s="7"/>
      <c r="E2366" s="7"/>
      <c r="G2366" s="5">
        <f t="shared" si="1"/>
        <v>0.05</v>
      </c>
      <c r="I2366" s="5">
        <v>0.05</v>
      </c>
    </row>
    <row r="2367" ht="12.75" customHeight="1">
      <c r="A2367" s="5" t="s">
        <v>3522</v>
      </c>
      <c r="B2367" s="7">
        <v>32.0</v>
      </c>
      <c r="C2367" s="7">
        <v>36.0</v>
      </c>
      <c r="D2367" s="7" t="s">
        <v>3819</v>
      </c>
      <c r="E2367" s="7"/>
      <c r="G2367" s="5" t="str">
        <f t="shared" si="1"/>
        <v>32, 36, TAUROS</v>
      </c>
      <c r="I2367" s="5" t="s">
        <v>3522</v>
      </c>
    </row>
    <row r="2368" ht="12.75" customHeight="1">
      <c r="A2368" s="5" t="s">
        <v>3523</v>
      </c>
      <c r="B2368" s="7">
        <v>32.0</v>
      </c>
      <c r="C2368" s="7">
        <v>36.0</v>
      </c>
      <c r="D2368" s="7" t="s">
        <v>3943</v>
      </c>
      <c r="E2368" s="7"/>
      <c r="G2368" s="5" t="str">
        <f t="shared" si="1"/>
        <v>32, 36, "MR. MIME"</v>
      </c>
      <c r="I2368" s="5" t="s">
        <v>3523</v>
      </c>
    </row>
    <row r="2369" ht="12.75" customHeight="1">
      <c r="A2369" s="5">
        <v>0.04</v>
      </c>
      <c r="B2369" s="5">
        <v>0.04</v>
      </c>
      <c r="C2369" s="7"/>
      <c r="D2369" s="7"/>
      <c r="E2369" s="7"/>
      <c r="G2369" s="5">
        <f t="shared" si="1"/>
        <v>0.04</v>
      </c>
      <c r="I2369" s="5">
        <v>0.04</v>
      </c>
    </row>
    <row r="2370" ht="12.75" customHeight="1">
      <c r="A2370" s="5" t="s">
        <v>3524</v>
      </c>
      <c r="B2370" s="7">
        <v>34.0</v>
      </c>
      <c r="C2370" s="7">
        <v>36.0</v>
      </c>
      <c r="D2370" s="7" t="s">
        <v>3811</v>
      </c>
      <c r="E2370" s="7"/>
      <c r="G2370" s="5" t="str">
        <f t="shared" si="1"/>
        <v>34, 36, DODRIO</v>
      </c>
      <c r="I2370" s="5" t="s">
        <v>3524</v>
      </c>
    </row>
    <row r="2371" ht="12.75" customHeight="1">
      <c r="A2371" s="5" t="s">
        <v>3525</v>
      </c>
      <c r="B2371" s="7">
        <v>33.0</v>
      </c>
      <c r="C2371" s="7">
        <v>33.0</v>
      </c>
      <c r="D2371" s="7" t="s">
        <v>3854</v>
      </c>
      <c r="E2371" s="7"/>
      <c r="G2371" s="5" t="str">
        <f t="shared" si="1"/>
        <v>33, 33, LICKILICKY</v>
      </c>
      <c r="I2371" s="5" t="s">
        <v>3525</v>
      </c>
    </row>
    <row r="2372" ht="12.75" customHeight="1">
      <c r="A2372" s="5">
        <v>0.01</v>
      </c>
      <c r="B2372" s="5">
        <v>0.01</v>
      </c>
      <c r="C2372" s="7"/>
      <c r="D2372" s="7"/>
      <c r="E2372" s="7"/>
      <c r="G2372" s="5">
        <f t="shared" si="1"/>
        <v>0.01</v>
      </c>
      <c r="I2372" s="5">
        <v>0.01</v>
      </c>
    </row>
    <row r="2373" ht="12.75" customHeight="1">
      <c r="A2373" s="5" t="s">
        <v>3526</v>
      </c>
      <c r="B2373" s="7">
        <v>31.0</v>
      </c>
      <c r="C2373" s="7">
        <v>36.0</v>
      </c>
      <c r="D2373" s="7" t="s">
        <v>3944</v>
      </c>
      <c r="E2373" s="7"/>
      <c r="G2373" s="5" t="str">
        <f t="shared" si="1"/>
        <v>31, 36, VILEPLUME</v>
      </c>
      <c r="I2373" s="5" t="s">
        <v>3526</v>
      </c>
    </row>
    <row r="2374" ht="12.75" customHeight="1">
      <c r="A2374" s="5" t="s">
        <v>3728</v>
      </c>
      <c r="B2374" s="7">
        <v>20.0</v>
      </c>
      <c r="C2374" s="7">
        <v>25.0</v>
      </c>
      <c r="D2374" s="7" t="s">
        <v>3945</v>
      </c>
      <c r="E2374" s="7"/>
      <c r="G2374" s="5" t="str">
        <f t="shared" si="1"/>
        <v>20, 25, BULBASAUR</v>
      </c>
      <c r="I2374" s="5" t="s">
        <v>3728</v>
      </c>
    </row>
    <row r="2375" ht="12.75" customHeight="1">
      <c r="A2375" s="5" t="s">
        <v>2539</v>
      </c>
      <c r="B2375" s="7" t="s">
        <v>2539</v>
      </c>
      <c r="C2375" s="7"/>
      <c r="D2375" s="7"/>
      <c r="E2375" s="7"/>
      <c r="G2375" s="5" t="str">
        <f t="shared" si="1"/>
        <v>NEW ROUTE</v>
      </c>
      <c r="I2375" s="5" t="s">
        <v>2539</v>
      </c>
    </row>
    <row r="2376" ht="12.75" customHeight="1">
      <c r="A2376" s="5" t="s">
        <v>2140</v>
      </c>
      <c r="B2376" s="7" t="s">
        <v>2140</v>
      </c>
      <c r="C2376" s="7"/>
      <c r="D2376" s="7"/>
      <c r="E2376" s="7"/>
      <c r="G2376" s="5" t="str">
        <f t="shared" si="1"/>
        <v>Route 19</v>
      </c>
      <c r="I2376" s="5" t="s">
        <v>2140</v>
      </c>
    </row>
    <row r="2377" ht="12.75" customHeight="1">
      <c r="A2377" s="5" t="s">
        <v>3350</v>
      </c>
      <c r="B2377" s="7">
        <v>2.0</v>
      </c>
      <c r="C2377" s="7">
        <v>38.0</v>
      </c>
      <c r="D2377" s="7">
        <v>42.0</v>
      </c>
      <c r="E2377" s="7" t="s">
        <v>3748</v>
      </c>
      <c r="G2377" s="5" t="str">
        <f t="shared" si="1"/>
        <v>2, 38, 42, TENTACOOL</v>
      </c>
      <c r="I2377" s="5" t="s">
        <v>3350</v>
      </c>
    </row>
    <row r="2378" ht="12.75" customHeight="1">
      <c r="A2378" s="5" t="s">
        <v>3429</v>
      </c>
      <c r="B2378" s="7">
        <v>40.0</v>
      </c>
      <c r="C2378" s="7">
        <v>44.0</v>
      </c>
      <c r="D2378" s="7" t="s">
        <v>3898</v>
      </c>
      <c r="E2378" s="7"/>
      <c r="G2378" s="5" t="str">
        <f t="shared" si="1"/>
        <v>40, 44, TENTACRUEL</v>
      </c>
      <c r="I2378" s="5" t="s">
        <v>3429</v>
      </c>
    </row>
    <row r="2379" ht="12.75" customHeight="1">
      <c r="A2379" s="5" t="s">
        <v>3430</v>
      </c>
      <c r="B2379" s="7">
        <v>42.0</v>
      </c>
      <c r="C2379" s="7">
        <v>46.0</v>
      </c>
      <c r="D2379" s="7" t="s">
        <v>3931</v>
      </c>
      <c r="E2379" s="7"/>
      <c r="G2379" s="5" t="str">
        <f t="shared" si="1"/>
        <v>42, 46, TENTACATE</v>
      </c>
      <c r="I2379" s="5" t="s">
        <v>3430</v>
      </c>
    </row>
    <row r="2380" ht="12.75" customHeight="1">
      <c r="A2380" s="5" t="s">
        <v>3025</v>
      </c>
      <c r="B2380" s="7">
        <v>42.0</v>
      </c>
      <c r="C2380" s="7">
        <v>46.0</v>
      </c>
      <c r="D2380" s="7" t="s">
        <v>3861</v>
      </c>
      <c r="E2380" s="7"/>
      <c r="G2380" s="5" t="str">
        <f t="shared" si="1"/>
        <v>42, 46, LAPRAS</v>
      </c>
      <c r="I2380" s="5" t="s">
        <v>3025</v>
      </c>
    </row>
    <row r="2381" ht="12.75" customHeight="1">
      <c r="A2381" s="5" t="s">
        <v>3450</v>
      </c>
      <c r="B2381" s="7">
        <v>44.0</v>
      </c>
      <c r="C2381" s="7">
        <v>48.0</v>
      </c>
      <c r="D2381" s="7" t="s">
        <v>3934</v>
      </c>
      <c r="E2381" s="7"/>
      <c r="G2381" s="5" t="str">
        <f t="shared" si="1"/>
        <v>44, 48, LOCHLASS</v>
      </c>
      <c r="I2381" s="5" t="s">
        <v>3450</v>
      </c>
    </row>
    <row r="2382" ht="12.75" customHeight="1">
      <c r="A2382" s="5" t="s">
        <v>2926</v>
      </c>
      <c r="B2382" s="7">
        <v>20.0</v>
      </c>
      <c r="C2382" s="7" t="s">
        <v>3749</v>
      </c>
      <c r="D2382" s="7"/>
      <c r="E2382" s="7"/>
      <c r="G2382" s="5" t="str">
        <f t="shared" si="1"/>
        <v>old rod:</v>
      </c>
      <c r="I2382" s="5" t="s">
        <v>3750</v>
      </c>
    </row>
    <row r="2383" ht="12.75" customHeight="1">
      <c r="A2383" s="5" t="s">
        <v>1159</v>
      </c>
      <c r="B2383" s="7">
        <v>19.0</v>
      </c>
      <c r="C2383" s="7">
        <v>26.0</v>
      </c>
      <c r="D2383" s="7" t="s">
        <v>3800</v>
      </c>
      <c r="E2383" s="7"/>
      <c r="G2383" s="5" t="str">
        <f t="shared" si="1"/>
        <v>19, 26, PSYDUCK</v>
      </c>
      <c r="I2383" s="5" t="s">
        <v>1159</v>
      </c>
    </row>
    <row r="2384" ht="12.75" customHeight="1">
      <c r="A2384" s="5" t="s">
        <v>602</v>
      </c>
      <c r="B2384" s="7">
        <v>19.0</v>
      </c>
      <c r="C2384" s="7">
        <v>26.0</v>
      </c>
      <c r="D2384" s="7" t="s">
        <v>3753</v>
      </c>
      <c r="E2384" s="7"/>
      <c r="G2384" s="5" t="str">
        <f t="shared" si="1"/>
        <v>19, 26, HORSEA</v>
      </c>
      <c r="I2384" s="5" t="s">
        <v>602</v>
      </c>
    </row>
    <row r="2385" ht="12.75" customHeight="1">
      <c r="A2385" s="5" t="s">
        <v>2847</v>
      </c>
      <c r="B2385" s="7" t="s">
        <v>2847</v>
      </c>
      <c r="C2385" s="7"/>
      <c r="D2385" s="7"/>
      <c r="E2385" s="7"/>
      <c r="G2385" s="5" t="str">
        <f t="shared" si="1"/>
        <v>good rod:</v>
      </c>
      <c r="I2385" s="5" t="s">
        <v>2847</v>
      </c>
    </row>
    <row r="2386" ht="12.75" customHeight="1">
      <c r="A2386" s="5" t="s">
        <v>3027</v>
      </c>
      <c r="B2386" s="7">
        <v>29.0</v>
      </c>
      <c r="C2386" s="7">
        <v>33.0</v>
      </c>
      <c r="D2386" s="7" t="s">
        <v>3859</v>
      </c>
      <c r="E2386" s="7"/>
      <c r="G2386" s="5" t="str">
        <f t="shared" si="1"/>
        <v>29, 33, SEADRA</v>
      </c>
      <c r="I2386" s="5" t="s">
        <v>3027</v>
      </c>
    </row>
    <row r="2387" ht="12.75" customHeight="1">
      <c r="A2387" s="5" t="s">
        <v>3028</v>
      </c>
      <c r="B2387" s="7">
        <v>30.0</v>
      </c>
      <c r="C2387" s="7">
        <v>35.0</v>
      </c>
      <c r="D2387" s="7" t="s">
        <v>3752</v>
      </c>
      <c r="E2387" s="7"/>
      <c r="G2387" s="5" t="str">
        <f t="shared" si="1"/>
        <v>30, 35, KRABBY</v>
      </c>
      <c r="I2387" s="5" t="s">
        <v>3028</v>
      </c>
    </row>
    <row r="2388" ht="12.75" customHeight="1">
      <c r="A2388" s="5" t="s">
        <v>3029</v>
      </c>
      <c r="B2388" s="7">
        <v>30.0</v>
      </c>
      <c r="C2388" s="7">
        <v>35.0</v>
      </c>
      <c r="D2388" s="7" t="s">
        <v>3802</v>
      </c>
      <c r="E2388" s="7"/>
      <c r="G2388" s="5" t="str">
        <f t="shared" si="1"/>
        <v>30, 35, GOLDUCK</v>
      </c>
      <c r="I2388" s="5" t="s">
        <v>3029</v>
      </c>
    </row>
    <row r="2389" ht="12.75" customHeight="1">
      <c r="A2389" s="5" t="s">
        <v>2851</v>
      </c>
      <c r="B2389" s="7" t="s">
        <v>2851</v>
      </c>
      <c r="C2389" s="7"/>
      <c r="D2389" s="7"/>
      <c r="E2389" s="7"/>
      <c r="G2389" s="5" t="str">
        <f t="shared" si="1"/>
        <v>super rod:</v>
      </c>
      <c r="I2389" s="5" t="s">
        <v>2851</v>
      </c>
    </row>
    <row r="2390" ht="12.75" customHeight="1">
      <c r="A2390" s="5" t="s">
        <v>3030</v>
      </c>
      <c r="B2390" s="7">
        <v>36.0</v>
      </c>
      <c r="C2390" s="7">
        <v>40.0</v>
      </c>
      <c r="D2390" s="7" t="s">
        <v>3843</v>
      </c>
      <c r="E2390" s="7"/>
      <c r="G2390" s="5" t="str">
        <f t="shared" si="1"/>
        <v>36, 40, KINGDRA</v>
      </c>
      <c r="I2390" s="5" t="s">
        <v>3030</v>
      </c>
    </row>
    <row r="2391" ht="12.75" customHeight="1">
      <c r="A2391" s="5" t="s">
        <v>3528</v>
      </c>
      <c r="B2391" s="7">
        <v>36.0</v>
      </c>
      <c r="C2391" s="7">
        <v>40.0</v>
      </c>
      <c r="D2391" s="7" t="s">
        <v>3860</v>
      </c>
      <c r="E2391" s="7"/>
      <c r="G2391" s="5" t="str">
        <f t="shared" si="1"/>
        <v>36, 40, KINGLER</v>
      </c>
      <c r="I2391" s="5" t="s">
        <v>3528</v>
      </c>
    </row>
    <row r="2392" ht="12.75" customHeight="1">
      <c r="A2392" s="5" t="s">
        <v>3032</v>
      </c>
      <c r="B2392" s="7">
        <v>38.0</v>
      </c>
      <c r="C2392" s="7">
        <v>42.0</v>
      </c>
      <c r="D2392" s="7" t="s">
        <v>3855</v>
      </c>
      <c r="E2392" s="7"/>
      <c r="G2392" s="5" t="str">
        <f t="shared" si="1"/>
        <v>38, 42, GILDUCK</v>
      </c>
      <c r="I2392" s="5" t="s">
        <v>3032</v>
      </c>
    </row>
    <row r="2393" ht="12.75" customHeight="1">
      <c r="A2393" s="5" t="s">
        <v>3033</v>
      </c>
      <c r="B2393" s="7">
        <v>38.0</v>
      </c>
      <c r="C2393" s="7">
        <v>42.0</v>
      </c>
      <c r="D2393" s="7" t="s">
        <v>3863</v>
      </c>
      <c r="E2393" s="7"/>
      <c r="G2393" s="5" t="str">
        <f t="shared" si="1"/>
        <v>38, 42, KRAKLAW</v>
      </c>
      <c r="I2393" s="5" t="s">
        <v>3033</v>
      </c>
    </row>
    <row r="2394" ht="12.75" customHeight="1">
      <c r="A2394" s="5" t="s">
        <v>3034</v>
      </c>
      <c r="B2394" s="7">
        <v>40.0</v>
      </c>
      <c r="C2394" s="7">
        <v>44.0</v>
      </c>
      <c r="D2394" s="7" t="s">
        <v>3845</v>
      </c>
      <c r="E2394" s="7"/>
      <c r="G2394" s="5" t="str">
        <f t="shared" si="1"/>
        <v>40, 44, LORDRA</v>
      </c>
      <c r="I2394" s="5" t="s">
        <v>3034</v>
      </c>
    </row>
    <row r="2395" ht="12.75" customHeight="1">
      <c r="A2395" s="5" t="s">
        <v>2539</v>
      </c>
      <c r="B2395" s="7" t="s">
        <v>2539</v>
      </c>
      <c r="C2395" s="7"/>
      <c r="D2395" s="7"/>
      <c r="E2395" s="7"/>
      <c r="G2395" s="5" t="str">
        <f t="shared" si="1"/>
        <v>NEW ROUTE</v>
      </c>
      <c r="I2395" s="5" t="s">
        <v>2539</v>
      </c>
    </row>
    <row r="2396" ht="12.75" customHeight="1">
      <c r="A2396" s="5" t="s">
        <v>2142</v>
      </c>
      <c r="B2396" s="7" t="s">
        <v>2142</v>
      </c>
      <c r="C2396" s="7"/>
      <c r="D2396" s="7"/>
      <c r="E2396" s="7"/>
      <c r="G2396" s="5" t="str">
        <f t="shared" si="1"/>
        <v>Route 20</v>
      </c>
      <c r="I2396" s="5" t="s">
        <v>2142</v>
      </c>
    </row>
    <row r="2397" ht="12.75" customHeight="1">
      <c r="A2397" s="5" t="s">
        <v>3350</v>
      </c>
      <c r="B2397" s="7">
        <v>2.0</v>
      </c>
      <c r="C2397" s="7">
        <v>38.0</v>
      </c>
      <c r="D2397" s="7">
        <v>42.0</v>
      </c>
      <c r="E2397" s="7" t="s">
        <v>3748</v>
      </c>
      <c r="G2397" s="5" t="str">
        <f t="shared" si="1"/>
        <v>2, 38, 42, TENTACOOL</v>
      </c>
      <c r="I2397" s="5" t="s">
        <v>3350</v>
      </c>
    </row>
    <row r="2398" ht="12.75" customHeight="1">
      <c r="A2398" s="5" t="s">
        <v>3429</v>
      </c>
      <c r="B2398" s="7">
        <v>40.0</v>
      </c>
      <c r="C2398" s="7">
        <v>44.0</v>
      </c>
      <c r="D2398" s="7" t="s">
        <v>3898</v>
      </c>
      <c r="E2398" s="7"/>
      <c r="G2398" s="5" t="str">
        <f t="shared" si="1"/>
        <v>40, 44, TENTACRUEL</v>
      </c>
      <c r="I2398" s="5" t="s">
        <v>3429</v>
      </c>
    </row>
    <row r="2399" ht="12.75" customHeight="1">
      <c r="A2399" s="5" t="s">
        <v>3430</v>
      </c>
      <c r="B2399" s="7">
        <v>42.0</v>
      </c>
      <c r="C2399" s="7">
        <v>46.0</v>
      </c>
      <c r="D2399" s="7" t="s">
        <v>3931</v>
      </c>
      <c r="E2399" s="7"/>
      <c r="G2399" s="5" t="str">
        <f t="shared" si="1"/>
        <v>42, 46, TENTACATE</v>
      </c>
      <c r="I2399" s="5" t="s">
        <v>3430</v>
      </c>
    </row>
    <row r="2400" ht="12.75" customHeight="1">
      <c r="A2400" s="5" t="s">
        <v>3025</v>
      </c>
      <c r="B2400" s="7">
        <v>42.0</v>
      </c>
      <c r="C2400" s="7">
        <v>46.0</v>
      </c>
      <c r="D2400" s="7" t="s">
        <v>3861</v>
      </c>
      <c r="E2400" s="7"/>
      <c r="G2400" s="5" t="str">
        <f t="shared" si="1"/>
        <v>42, 46, LAPRAS</v>
      </c>
      <c r="I2400" s="5" t="s">
        <v>3025</v>
      </c>
    </row>
    <row r="2401" ht="12.75" customHeight="1">
      <c r="A2401" s="5" t="s">
        <v>3450</v>
      </c>
      <c r="B2401" s="7">
        <v>44.0</v>
      </c>
      <c r="C2401" s="7">
        <v>48.0</v>
      </c>
      <c r="D2401" s="7" t="s">
        <v>3934</v>
      </c>
      <c r="E2401" s="7"/>
      <c r="G2401" s="5" t="str">
        <f t="shared" si="1"/>
        <v>44, 48, LOCHLASS</v>
      </c>
      <c r="I2401" s="5" t="s">
        <v>3450</v>
      </c>
    </row>
    <row r="2402" ht="12.75" customHeight="1">
      <c r="A2402" s="5" t="s">
        <v>2926</v>
      </c>
      <c r="B2402" s="7">
        <v>20.0</v>
      </c>
      <c r="C2402" s="7" t="s">
        <v>3749</v>
      </c>
      <c r="D2402" s="7"/>
      <c r="E2402" s="7"/>
      <c r="G2402" s="5" t="str">
        <f t="shared" si="1"/>
        <v>old rod:</v>
      </c>
      <c r="I2402" s="5" t="s">
        <v>3750</v>
      </c>
    </row>
    <row r="2403" ht="12.75" customHeight="1">
      <c r="A2403" s="5" t="s">
        <v>1159</v>
      </c>
      <c r="B2403" s="7">
        <v>19.0</v>
      </c>
      <c r="C2403" s="7">
        <v>26.0</v>
      </c>
      <c r="D2403" s="7" t="s">
        <v>3800</v>
      </c>
      <c r="E2403" s="7"/>
      <c r="G2403" s="5" t="str">
        <f t="shared" si="1"/>
        <v>19, 26, PSYDUCK</v>
      </c>
      <c r="I2403" s="5" t="s">
        <v>1159</v>
      </c>
    </row>
    <row r="2404" ht="12.75" customHeight="1">
      <c r="A2404" s="5" t="s">
        <v>602</v>
      </c>
      <c r="B2404" s="7">
        <v>19.0</v>
      </c>
      <c r="C2404" s="7">
        <v>26.0</v>
      </c>
      <c r="D2404" s="7" t="s">
        <v>3753</v>
      </c>
      <c r="E2404" s="7"/>
      <c r="G2404" s="5" t="str">
        <f t="shared" si="1"/>
        <v>19, 26, HORSEA</v>
      </c>
      <c r="I2404" s="5" t="s">
        <v>602</v>
      </c>
    </row>
    <row r="2405" ht="12.75" customHeight="1">
      <c r="A2405" s="5" t="s">
        <v>2847</v>
      </c>
      <c r="B2405" s="7" t="s">
        <v>2847</v>
      </c>
      <c r="C2405" s="7"/>
      <c r="D2405" s="7"/>
      <c r="E2405" s="7"/>
      <c r="G2405" s="5" t="str">
        <f t="shared" si="1"/>
        <v>good rod:</v>
      </c>
      <c r="I2405" s="5" t="s">
        <v>2847</v>
      </c>
    </row>
    <row r="2406" ht="12.75" customHeight="1">
      <c r="A2406" s="5" t="s">
        <v>3027</v>
      </c>
      <c r="B2406" s="7">
        <v>29.0</v>
      </c>
      <c r="C2406" s="7">
        <v>33.0</v>
      </c>
      <c r="D2406" s="7" t="s">
        <v>3859</v>
      </c>
      <c r="E2406" s="7"/>
      <c r="G2406" s="5" t="str">
        <f t="shared" si="1"/>
        <v>29, 33, SEADRA</v>
      </c>
      <c r="I2406" s="5" t="s">
        <v>3027</v>
      </c>
    </row>
    <row r="2407" ht="12.75" customHeight="1">
      <c r="A2407" s="5" t="s">
        <v>3028</v>
      </c>
      <c r="B2407" s="7">
        <v>30.0</v>
      </c>
      <c r="C2407" s="7">
        <v>35.0</v>
      </c>
      <c r="D2407" s="7" t="s">
        <v>3752</v>
      </c>
      <c r="E2407" s="7"/>
      <c r="G2407" s="5" t="str">
        <f t="shared" si="1"/>
        <v>30, 35, KRABBY</v>
      </c>
      <c r="I2407" s="5" t="s">
        <v>3028</v>
      </c>
    </row>
    <row r="2408" ht="12.75" customHeight="1">
      <c r="A2408" s="5" t="s">
        <v>3029</v>
      </c>
      <c r="B2408" s="7">
        <v>30.0</v>
      </c>
      <c r="C2408" s="7">
        <v>35.0</v>
      </c>
      <c r="D2408" s="7" t="s">
        <v>3802</v>
      </c>
      <c r="E2408" s="7"/>
      <c r="G2408" s="5" t="str">
        <f t="shared" si="1"/>
        <v>30, 35, GOLDUCK</v>
      </c>
      <c r="I2408" s="5" t="s">
        <v>3029</v>
      </c>
    </row>
    <row r="2409" ht="12.75" customHeight="1">
      <c r="A2409" s="5" t="s">
        <v>2851</v>
      </c>
      <c r="B2409" s="7" t="s">
        <v>2851</v>
      </c>
      <c r="C2409" s="7"/>
      <c r="D2409" s="7"/>
      <c r="E2409" s="7"/>
      <c r="G2409" s="5" t="str">
        <f t="shared" si="1"/>
        <v>super rod:</v>
      </c>
      <c r="I2409" s="5" t="s">
        <v>2851</v>
      </c>
    </row>
    <row r="2410" ht="12.75" customHeight="1">
      <c r="A2410" s="5" t="s">
        <v>3030</v>
      </c>
      <c r="B2410" s="7">
        <v>36.0</v>
      </c>
      <c r="C2410" s="7">
        <v>40.0</v>
      </c>
      <c r="D2410" s="7" t="s">
        <v>3843</v>
      </c>
      <c r="E2410" s="7"/>
      <c r="G2410" s="5" t="str">
        <f t="shared" si="1"/>
        <v>36, 40, KINGDRA</v>
      </c>
      <c r="I2410" s="5" t="s">
        <v>3030</v>
      </c>
    </row>
    <row r="2411" ht="12.75" customHeight="1">
      <c r="A2411" s="5" t="s">
        <v>3528</v>
      </c>
      <c r="B2411" s="7">
        <v>36.0</v>
      </c>
      <c r="C2411" s="7">
        <v>40.0</v>
      </c>
      <c r="D2411" s="7" t="s">
        <v>3860</v>
      </c>
      <c r="E2411" s="7"/>
      <c r="G2411" s="5" t="str">
        <f t="shared" si="1"/>
        <v>36, 40, KINGLER</v>
      </c>
      <c r="I2411" s="5" t="s">
        <v>3528</v>
      </c>
    </row>
    <row r="2412" ht="12.75" customHeight="1">
      <c r="A2412" s="5" t="s">
        <v>3032</v>
      </c>
      <c r="B2412" s="7">
        <v>38.0</v>
      </c>
      <c r="C2412" s="7">
        <v>42.0</v>
      </c>
      <c r="D2412" s="7" t="s">
        <v>3855</v>
      </c>
      <c r="E2412" s="7"/>
      <c r="G2412" s="5" t="str">
        <f t="shared" si="1"/>
        <v>38, 42, GILDUCK</v>
      </c>
      <c r="I2412" s="5" t="s">
        <v>3032</v>
      </c>
    </row>
    <row r="2413" ht="12.75" customHeight="1">
      <c r="A2413" s="5" t="s">
        <v>3033</v>
      </c>
      <c r="B2413" s="7">
        <v>38.0</v>
      </c>
      <c r="C2413" s="7">
        <v>42.0</v>
      </c>
      <c r="D2413" s="7" t="s">
        <v>3863</v>
      </c>
      <c r="E2413" s="7"/>
      <c r="G2413" s="5" t="str">
        <f t="shared" si="1"/>
        <v>38, 42, KRAKLAW</v>
      </c>
      <c r="I2413" s="5" t="s">
        <v>3033</v>
      </c>
    </row>
    <row r="2414" ht="12.75" customHeight="1">
      <c r="A2414" s="5" t="s">
        <v>3034</v>
      </c>
      <c r="B2414" s="7">
        <v>40.0</v>
      </c>
      <c r="C2414" s="7">
        <v>44.0</v>
      </c>
      <c r="D2414" s="7" t="s">
        <v>3845</v>
      </c>
      <c r="E2414" s="7"/>
      <c r="G2414" s="5" t="str">
        <f t="shared" si="1"/>
        <v>40, 44, LORDRA</v>
      </c>
      <c r="I2414" s="5" t="s">
        <v>3034</v>
      </c>
    </row>
    <row r="2415" ht="12.75" customHeight="1">
      <c r="A2415" s="5" t="s">
        <v>2539</v>
      </c>
      <c r="B2415" s="7" t="s">
        <v>2539</v>
      </c>
      <c r="C2415" s="7"/>
      <c r="D2415" s="7"/>
      <c r="E2415" s="7"/>
      <c r="G2415" s="5" t="str">
        <f t="shared" si="1"/>
        <v>NEW ROUTE</v>
      </c>
      <c r="I2415" s="5" t="s">
        <v>2539</v>
      </c>
    </row>
    <row r="2416" ht="12.75" customHeight="1">
      <c r="A2416" s="5" t="s">
        <v>2144</v>
      </c>
      <c r="B2416" s="7" t="s">
        <v>2144</v>
      </c>
      <c r="C2416" s="7"/>
      <c r="D2416" s="7"/>
      <c r="E2416" s="7"/>
      <c r="G2416" s="5" t="str">
        <f t="shared" si="1"/>
        <v>Route 21 North</v>
      </c>
      <c r="I2416" s="5" t="s">
        <v>2144</v>
      </c>
    </row>
    <row r="2417" ht="12.75" customHeight="1">
      <c r="A2417" s="5">
        <v>0.2</v>
      </c>
      <c r="B2417" s="5">
        <v>0.2</v>
      </c>
      <c r="C2417" s="7"/>
      <c r="D2417" s="7"/>
      <c r="E2417" s="7"/>
      <c r="G2417" s="5">
        <f t="shared" si="1"/>
        <v>0.2</v>
      </c>
      <c r="I2417" s="5">
        <v>0.2</v>
      </c>
    </row>
    <row r="2418" ht="12.75" customHeight="1">
      <c r="A2418" s="5" t="s">
        <v>1164</v>
      </c>
      <c r="B2418" s="7">
        <v>39.0</v>
      </c>
      <c r="C2418" s="7">
        <v>46.0</v>
      </c>
      <c r="D2418" s="7" t="s">
        <v>3827</v>
      </c>
      <c r="E2418" s="7"/>
      <c r="G2418" s="5" t="str">
        <f t="shared" si="1"/>
        <v>39, 46, TANGROWTH</v>
      </c>
      <c r="I2418" s="5" t="s">
        <v>1164</v>
      </c>
    </row>
    <row r="2419" ht="12.75" customHeight="1">
      <c r="A2419" s="5" t="s">
        <v>3531</v>
      </c>
      <c r="B2419" s="7">
        <v>39.0</v>
      </c>
      <c r="C2419" s="7">
        <v>46.0</v>
      </c>
      <c r="D2419" s="7" t="s">
        <v>3792</v>
      </c>
      <c r="E2419" s="7"/>
      <c r="G2419" s="5" t="str">
        <f t="shared" si="1"/>
        <v>39, 46, EXEGGUTOR</v>
      </c>
      <c r="I2419" s="5" t="s">
        <v>3531</v>
      </c>
    </row>
    <row r="2420" ht="12.75" customHeight="1">
      <c r="A2420" s="5">
        <v>0.1</v>
      </c>
      <c r="B2420" s="5">
        <v>0.1</v>
      </c>
      <c r="C2420" s="7"/>
      <c r="D2420" s="7"/>
      <c r="E2420" s="7"/>
      <c r="G2420" s="5">
        <f t="shared" si="1"/>
        <v>0.1</v>
      </c>
      <c r="I2420" s="5">
        <v>0.1</v>
      </c>
    </row>
    <row r="2421" ht="12.75" customHeight="1">
      <c r="A2421" s="5" t="s">
        <v>3532</v>
      </c>
      <c r="B2421" s="7">
        <v>39.0</v>
      </c>
      <c r="C2421" s="7">
        <v>42.0</v>
      </c>
      <c r="D2421" s="7" t="s">
        <v>3811</v>
      </c>
      <c r="E2421" s="7"/>
      <c r="G2421" s="5" t="str">
        <f t="shared" si="1"/>
        <v>39, 42, DODRIO</v>
      </c>
      <c r="I2421" s="5" t="s">
        <v>3532</v>
      </c>
    </row>
    <row r="2422" ht="12.75" customHeight="1">
      <c r="A2422" s="5" t="s">
        <v>3533</v>
      </c>
      <c r="B2422" s="7">
        <v>39.0</v>
      </c>
      <c r="C2422" s="7">
        <v>42.0</v>
      </c>
      <c r="D2422" s="7" t="s">
        <v>3802</v>
      </c>
      <c r="E2422" s="7"/>
      <c r="G2422" s="5" t="str">
        <f t="shared" si="1"/>
        <v>39, 42, GOLDUCK</v>
      </c>
      <c r="I2422" s="5" t="s">
        <v>3533</v>
      </c>
    </row>
    <row r="2423" ht="12.75" customHeight="1">
      <c r="A2423" s="5" t="s">
        <v>3534</v>
      </c>
      <c r="B2423" s="7">
        <v>43.0</v>
      </c>
      <c r="C2423" s="7">
        <v>46.0</v>
      </c>
      <c r="D2423" s="7" t="s">
        <v>3811</v>
      </c>
      <c r="E2423" s="7"/>
      <c r="G2423" s="5" t="str">
        <f t="shared" si="1"/>
        <v>43, 46, DODRIO</v>
      </c>
      <c r="I2423" s="5" t="s">
        <v>3534</v>
      </c>
    </row>
    <row r="2424" ht="12.75" customHeight="1">
      <c r="A2424" s="5" t="s">
        <v>3535</v>
      </c>
      <c r="B2424" s="7">
        <v>43.0</v>
      </c>
      <c r="C2424" s="7">
        <v>46.0</v>
      </c>
      <c r="D2424" s="7" t="s">
        <v>3802</v>
      </c>
      <c r="E2424" s="7"/>
      <c r="G2424" s="5" t="str">
        <f t="shared" si="1"/>
        <v>43, 46, GOLDUCK</v>
      </c>
      <c r="I2424" s="5" t="s">
        <v>3535</v>
      </c>
    </row>
    <row r="2425" ht="12.75" customHeight="1">
      <c r="A2425" s="5">
        <v>0.05</v>
      </c>
      <c r="B2425" s="5">
        <v>0.05</v>
      </c>
      <c r="C2425" s="7"/>
      <c r="D2425" s="7"/>
      <c r="E2425" s="7"/>
      <c r="G2425" s="5">
        <f t="shared" si="1"/>
        <v>0.05</v>
      </c>
      <c r="I2425" s="5">
        <v>0.05</v>
      </c>
    </row>
    <row r="2426" ht="12.75" customHeight="1">
      <c r="A2426" s="5" t="s">
        <v>3536</v>
      </c>
      <c r="B2426" s="7">
        <v>43.0</v>
      </c>
      <c r="C2426" s="7">
        <v>50.0</v>
      </c>
      <c r="D2426" s="7" t="s">
        <v>3946</v>
      </c>
      <c r="E2426" s="7"/>
      <c r="G2426" s="5" t="str">
        <f t="shared" si="1"/>
        <v>43, 50, TANGATHER</v>
      </c>
      <c r="I2426" s="5" t="s">
        <v>3536</v>
      </c>
    </row>
    <row r="2427" ht="12.75" customHeight="1">
      <c r="A2427" s="5" t="s">
        <v>3537</v>
      </c>
      <c r="B2427" s="7">
        <v>43.0</v>
      </c>
      <c r="C2427" s="7">
        <v>50.0</v>
      </c>
      <c r="D2427" s="7" t="s">
        <v>3947</v>
      </c>
      <c r="E2427" s="7"/>
      <c r="G2427" s="5" t="str">
        <f t="shared" si="1"/>
        <v>43, 50, EXEGGITY</v>
      </c>
      <c r="I2427" s="5" t="s">
        <v>3537</v>
      </c>
    </row>
    <row r="2428" ht="12.75" customHeight="1">
      <c r="A2428" s="5">
        <v>0.04</v>
      </c>
      <c r="B2428" s="5">
        <v>0.04</v>
      </c>
      <c r="C2428" s="7"/>
      <c r="D2428" s="7"/>
      <c r="E2428" s="7"/>
      <c r="G2428" s="5">
        <f t="shared" si="1"/>
        <v>0.04</v>
      </c>
      <c r="I2428" s="5">
        <v>0.04</v>
      </c>
    </row>
    <row r="2429" ht="12.75" customHeight="1">
      <c r="A2429" s="5" t="s">
        <v>3538</v>
      </c>
      <c r="B2429" s="7">
        <v>43.0</v>
      </c>
      <c r="C2429" s="7">
        <v>50.0</v>
      </c>
      <c r="D2429" s="7" t="s">
        <v>3855</v>
      </c>
      <c r="E2429" s="7"/>
      <c r="G2429" s="5" t="str">
        <f t="shared" si="1"/>
        <v>43, 50, GILDUCK</v>
      </c>
      <c r="I2429" s="5" t="s">
        <v>3538</v>
      </c>
    </row>
    <row r="2430" ht="12.75" customHeight="1">
      <c r="A2430" s="5" t="s">
        <v>3539</v>
      </c>
      <c r="B2430" s="7">
        <v>43.0</v>
      </c>
      <c r="C2430" s="7">
        <v>50.0</v>
      </c>
      <c r="D2430" s="7" t="s">
        <v>3948</v>
      </c>
      <c r="E2430" s="7"/>
      <c r="G2430" s="5" t="str">
        <f t="shared" si="1"/>
        <v>43, 50, QUADODO</v>
      </c>
      <c r="I2430" s="5" t="s">
        <v>3539</v>
      </c>
    </row>
    <row r="2431" ht="12.75" customHeight="1">
      <c r="A2431" s="5">
        <v>0.01</v>
      </c>
      <c r="B2431" s="5">
        <v>0.01</v>
      </c>
      <c r="C2431" s="7"/>
      <c r="D2431" s="7"/>
      <c r="E2431" s="7"/>
      <c r="G2431" s="5">
        <f t="shared" si="1"/>
        <v>0.01</v>
      </c>
      <c r="I2431" s="5">
        <v>0.01</v>
      </c>
    </row>
    <row r="2432" ht="12.75" customHeight="1">
      <c r="A2432" s="5" t="s">
        <v>3540</v>
      </c>
      <c r="B2432" s="7">
        <v>45.0</v>
      </c>
      <c r="C2432" s="7">
        <v>52.0</v>
      </c>
      <c r="D2432" s="7" t="s">
        <v>3949</v>
      </c>
      <c r="E2432" s="7"/>
      <c r="G2432" s="5" t="str">
        <f t="shared" si="1"/>
        <v>45, 52, TANGOLIATH</v>
      </c>
      <c r="I2432" s="5" t="s">
        <v>3540</v>
      </c>
    </row>
    <row r="2433" ht="12.75" customHeight="1">
      <c r="A2433" s="5" t="s">
        <v>3541</v>
      </c>
      <c r="B2433" s="7">
        <v>44.0</v>
      </c>
      <c r="C2433" s="7">
        <v>44.0</v>
      </c>
      <c r="D2433" s="7" t="s">
        <v>3949</v>
      </c>
      <c r="E2433" s="7"/>
      <c r="G2433" s="5" t="str">
        <f t="shared" si="1"/>
        <v>44, 44, TANGOLIATH</v>
      </c>
      <c r="I2433" s="5" t="s">
        <v>3541</v>
      </c>
    </row>
    <row r="2434" ht="12.75" customHeight="1">
      <c r="A2434" s="5" t="s">
        <v>3350</v>
      </c>
      <c r="B2434" s="7">
        <v>2.0</v>
      </c>
      <c r="C2434" s="7">
        <v>38.0</v>
      </c>
      <c r="D2434" s="7">
        <v>42.0</v>
      </c>
      <c r="E2434" s="7" t="s">
        <v>3748</v>
      </c>
      <c r="G2434" s="5" t="str">
        <f t="shared" si="1"/>
        <v>2, 38, 42, TENTACOOL</v>
      </c>
      <c r="I2434" s="5" t="s">
        <v>3350</v>
      </c>
    </row>
    <row r="2435" ht="12.75" customHeight="1">
      <c r="A2435" s="5" t="s">
        <v>3429</v>
      </c>
      <c r="B2435" s="7">
        <v>40.0</v>
      </c>
      <c r="C2435" s="7">
        <v>44.0</v>
      </c>
      <c r="D2435" s="7" t="s">
        <v>3898</v>
      </c>
      <c r="E2435" s="7"/>
      <c r="G2435" s="5" t="str">
        <f t="shared" si="1"/>
        <v>40, 44, TENTACRUEL</v>
      </c>
      <c r="I2435" s="5" t="s">
        <v>3429</v>
      </c>
    </row>
    <row r="2436" ht="12.75" customHeight="1">
      <c r="A2436" s="5" t="s">
        <v>3430</v>
      </c>
      <c r="B2436" s="7">
        <v>42.0</v>
      </c>
      <c r="C2436" s="7">
        <v>46.0</v>
      </c>
      <c r="D2436" s="7" t="s">
        <v>3931</v>
      </c>
      <c r="E2436" s="7"/>
      <c r="G2436" s="5" t="str">
        <f t="shared" si="1"/>
        <v>42, 46, TENTACATE</v>
      </c>
      <c r="I2436" s="5" t="s">
        <v>3430</v>
      </c>
    </row>
    <row r="2437" ht="12.75" customHeight="1">
      <c r="A2437" s="5" t="s">
        <v>3025</v>
      </c>
      <c r="B2437" s="7">
        <v>42.0</v>
      </c>
      <c r="C2437" s="7">
        <v>46.0</v>
      </c>
      <c r="D2437" s="7" t="s">
        <v>3861</v>
      </c>
      <c r="E2437" s="7"/>
      <c r="G2437" s="5" t="str">
        <f t="shared" si="1"/>
        <v>42, 46, LAPRAS</v>
      </c>
      <c r="I2437" s="5" t="s">
        <v>3025</v>
      </c>
    </row>
    <row r="2438" ht="12.75" customHeight="1">
      <c r="A2438" s="5" t="s">
        <v>3450</v>
      </c>
      <c r="B2438" s="7">
        <v>44.0</v>
      </c>
      <c r="C2438" s="7">
        <v>48.0</v>
      </c>
      <c r="D2438" s="7" t="s">
        <v>3934</v>
      </c>
      <c r="E2438" s="7"/>
      <c r="G2438" s="5" t="str">
        <f t="shared" si="1"/>
        <v>44, 48, LOCHLASS</v>
      </c>
      <c r="I2438" s="5" t="s">
        <v>3450</v>
      </c>
    </row>
    <row r="2439" ht="12.75" customHeight="1">
      <c r="A2439" s="5" t="s">
        <v>2926</v>
      </c>
      <c r="B2439" s="7">
        <v>20.0</v>
      </c>
      <c r="C2439" s="7" t="s">
        <v>3749</v>
      </c>
      <c r="D2439" s="7"/>
      <c r="E2439" s="7"/>
      <c r="G2439" s="5" t="str">
        <f t="shared" si="1"/>
        <v>old rod:</v>
      </c>
      <c r="I2439" s="5" t="s">
        <v>3750</v>
      </c>
    </row>
    <row r="2440" ht="12.75" customHeight="1">
      <c r="A2440" s="5" t="s">
        <v>1159</v>
      </c>
      <c r="B2440" s="7">
        <v>19.0</v>
      </c>
      <c r="C2440" s="7">
        <v>26.0</v>
      </c>
      <c r="D2440" s="7" t="s">
        <v>3800</v>
      </c>
      <c r="E2440" s="7"/>
      <c r="G2440" s="5" t="str">
        <f t="shared" si="1"/>
        <v>19, 26, PSYDUCK</v>
      </c>
      <c r="I2440" s="5" t="s">
        <v>1159</v>
      </c>
    </row>
    <row r="2441" ht="12.75" customHeight="1">
      <c r="A2441" s="5" t="s">
        <v>602</v>
      </c>
      <c r="B2441" s="7">
        <v>19.0</v>
      </c>
      <c r="C2441" s="7">
        <v>26.0</v>
      </c>
      <c r="D2441" s="7" t="s">
        <v>3753</v>
      </c>
      <c r="E2441" s="7"/>
      <c r="G2441" s="5" t="str">
        <f t="shared" si="1"/>
        <v>19, 26, HORSEA</v>
      </c>
      <c r="I2441" s="5" t="s">
        <v>602</v>
      </c>
    </row>
    <row r="2442" ht="12.75" customHeight="1">
      <c r="A2442" s="5" t="s">
        <v>2847</v>
      </c>
      <c r="B2442" s="7" t="s">
        <v>2847</v>
      </c>
      <c r="C2442" s="7"/>
      <c r="D2442" s="7"/>
      <c r="E2442" s="7"/>
      <c r="G2442" s="5" t="str">
        <f t="shared" si="1"/>
        <v>good rod:</v>
      </c>
      <c r="I2442" s="5" t="s">
        <v>2847</v>
      </c>
    </row>
    <row r="2443" ht="12.75" customHeight="1">
      <c r="A2443" s="5" t="s">
        <v>3027</v>
      </c>
      <c r="B2443" s="7">
        <v>29.0</v>
      </c>
      <c r="C2443" s="7">
        <v>33.0</v>
      </c>
      <c r="D2443" s="7" t="s">
        <v>3859</v>
      </c>
      <c r="E2443" s="7"/>
      <c r="G2443" s="5" t="str">
        <f t="shared" si="1"/>
        <v>29, 33, SEADRA</v>
      </c>
      <c r="I2443" s="5" t="s">
        <v>3027</v>
      </c>
    </row>
    <row r="2444" ht="12.75" customHeight="1">
      <c r="A2444" s="5" t="s">
        <v>3028</v>
      </c>
      <c r="B2444" s="7">
        <v>30.0</v>
      </c>
      <c r="C2444" s="7">
        <v>35.0</v>
      </c>
      <c r="D2444" s="7" t="s">
        <v>3752</v>
      </c>
      <c r="E2444" s="7"/>
      <c r="G2444" s="5" t="str">
        <f t="shared" si="1"/>
        <v>30, 35, KRABBY</v>
      </c>
      <c r="I2444" s="5" t="s">
        <v>3028</v>
      </c>
    </row>
    <row r="2445" ht="12.75" customHeight="1">
      <c r="A2445" s="5" t="s">
        <v>3029</v>
      </c>
      <c r="B2445" s="7">
        <v>30.0</v>
      </c>
      <c r="C2445" s="7">
        <v>35.0</v>
      </c>
      <c r="D2445" s="7" t="s">
        <v>3802</v>
      </c>
      <c r="E2445" s="7"/>
      <c r="G2445" s="5" t="str">
        <f t="shared" si="1"/>
        <v>30, 35, GOLDUCK</v>
      </c>
      <c r="I2445" s="5" t="s">
        <v>3029</v>
      </c>
    </row>
    <row r="2446" ht="12.75" customHeight="1">
      <c r="A2446" s="5" t="s">
        <v>2851</v>
      </c>
      <c r="B2446" s="7" t="s">
        <v>2851</v>
      </c>
      <c r="C2446" s="7"/>
      <c r="D2446" s="7"/>
      <c r="E2446" s="7"/>
      <c r="G2446" s="5" t="str">
        <f t="shared" si="1"/>
        <v>super rod:</v>
      </c>
      <c r="I2446" s="5" t="s">
        <v>2851</v>
      </c>
    </row>
    <row r="2447" ht="12.75" customHeight="1">
      <c r="A2447" s="5" t="s">
        <v>3030</v>
      </c>
      <c r="B2447" s="7">
        <v>36.0</v>
      </c>
      <c r="C2447" s="7">
        <v>40.0</v>
      </c>
      <c r="D2447" s="7" t="s">
        <v>3843</v>
      </c>
      <c r="E2447" s="7"/>
      <c r="G2447" s="5" t="str">
        <f t="shared" si="1"/>
        <v>36, 40, KINGDRA</v>
      </c>
      <c r="I2447" s="5" t="s">
        <v>3030</v>
      </c>
    </row>
    <row r="2448" ht="12.75" customHeight="1">
      <c r="A2448" s="5" t="s">
        <v>3528</v>
      </c>
      <c r="B2448" s="7">
        <v>36.0</v>
      </c>
      <c r="C2448" s="7">
        <v>40.0</v>
      </c>
      <c r="D2448" s="7" t="s">
        <v>3860</v>
      </c>
      <c r="E2448" s="7"/>
      <c r="G2448" s="5" t="str">
        <f t="shared" si="1"/>
        <v>36, 40, KINGLER</v>
      </c>
      <c r="I2448" s="5" t="s">
        <v>3528</v>
      </c>
    </row>
    <row r="2449" ht="12.75" customHeight="1">
      <c r="A2449" s="5" t="s">
        <v>3032</v>
      </c>
      <c r="B2449" s="7">
        <v>38.0</v>
      </c>
      <c r="C2449" s="7">
        <v>42.0</v>
      </c>
      <c r="D2449" s="7" t="s">
        <v>3855</v>
      </c>
      <c r="E2449" s="7"/>
      <c r="G2449" s="5" t="str">
        <f t="shared" si="1"/>
        <v>38, 42, GILDUCK</v>
      </c>
      <c r="I2449" s="5" t="s">
        <v>3032</v>
      </c>
    </row>
    <row r="2450" ht="12.75" customHeight="1">
      <c r="A2450" s="5" t="s">
        <v>3033</v>
      </c>
      <c r="B2450" s="7">
        <v>38.0</v>
      </c>
      <c r="C2450" s="7">
        <v>42.0</v>
      </c>
      <c r="D2450" s="7" t="s">
        <v>3863</v>
      </c>
      <c r="E2450" s="7"/>
      <c r="G2450" s="5" t="str">
        <f t="shared" si="1"/>
        <v>38, 42, KRAKLAW</v>
      </c>
      <c r="I2450" s="5" t="s">
        <v>3033</v>
      </c>
    </row>
    <row r="2451" ht="12.75" customHeight="1">
      <c r="A2451" s="5" t="s">
        <v>3034</v>
      </c>
      <c r="B2451" s="7">
        <v>40.0</v>
      </c>
      <c r="C2451" s="7">
        <v>44.0</v>
      </c>
      <c r="D2451" s="7" t="s">
        <v>3845</v>
      </c>
      <c r="E2451" s="7"/>
      <c r="G2451" s="5" t="str">
        <f t="shared" si="1"/>
        <v>40, 44, LORDRA</v>
      </c>
      <c r="I2451" s="5" t="s">
        <v>3034</v>
      </c>
    </row>
    <row r="2452" ht="12.75" customHeight="1">
      <c r="A2452" s="5" t="s">
        <v>2539</v>
      </c>
      <c r="B2452" s="7" t="s">
        <v>2539</v>
      </c>
      <c r="C2452" s="7"/>
      <c r="D2452" s="7"/>
      <c r="E2452" s="7"/>
      <c r="G2452" s="5" t="str">
        <f t="shared" si="1"/>
        <v>NEW ROUTE</v>
      </c>
      <c r="I2452" s="5" t="s">
        <v>2539</v>
      </c>
    </row>
    <row r="2453" ht="12.75" customHeight="1">
      <c r="A2453" s="5" t="s">
        <v>2146</v>
      </c>
      <c r="B2453" s="7" t="s">
        <v>2146</v>
      </c>
      <c r="C2453" s="7"/>
      <c r="D2453" s="7"/>
      <c r="E2453" s="7"/>
      <c r="G2453" s="5" t="str">
        <f t="shared" si="1"/>
        <v>Route 21 South</v>
      </c>
      <c r="I2453" s="5" t="s">
        <v>2146</v>
      </c>
    </row>
    <row r="2454" ht="12.75" customHeight="1">
      <c r="A2454" s="5">
        <v>0.2</v>
      </c>
      <c r="B2454" s="5">
        <v>0.2</v>
      </c>
      <c r="C2454" s="7"/>
      <c r="D2454" s="7"/>
      <c r="E2454" s="7"/>
      <c r="G2454" s="5">
        <f t="shared" si="1"/>
        <v>0.2</v>
      </c>
      <c r="I2454" s="5">
        <v>0.2</v>
      </c>
    </row>
    <row r="2455" ht="12.75" customHeight="1">
      <c r="A2455" s="5" t="s">
        <v>1164</v>
      </c>
      <c r="B2455" s="7">
        <v>39.0</v>
      </c>
      <c r="C2455" s="7">
        <v>46.0</v>
      </c>
      <c r="D2455" s="7" t="s">
        <v>3827</v>
      </c>
      <c r="E2455" s="7"/>
      <c r="G2455" s="5" t="str">
        <f t="shared" si="1"/>
        <v>39, 46, TANGROWTH</v>
      </c>
      <c r="I2455" s="5" t="s">
        <v>1164</v>
      </c>
    </row>
    <row r="2456" ht="12.75" customHeight="1">
      <c r="A2456" s="5" t="s">
        <v>3531</v>
      </c>
      <c r="B2456" s="7">
        <v>39.0</v>
      </c>
      <c r="C2456" s="7">
        <v>46.0</v>
      </c>
      <c r="D2456" s="7" t="s">
        <v>3792</v>
      </c>
      <c r="E2456" s="7"/>
      <c r="G2456" s="5" t="str">
        <f t="shared" si="1"/>
        <v>39, 46, EXEGGUTOR</v>
      </c>
      <c r="I2456" s="5" t="s">
        <v>3531</v>
      </c>
    </row>
    <row r="2457" ht="12.75" customHeight="1">
      <c r="A2457" s="5">
        <v>0.1</v>
      </c>
      <c r="B2457" s="5">
        <v>0.1</v>
      </c>
      <c r="C2457" s="7"/>
      <c r="D2457" s="7"/>
      <c r="E2457" s="7"/>
      <c r="G2457" s="5">
        <f t="shared" si="1"/>
        <v>0.1</v>
      </c>
      <c r="I2457" s="5">
        <v>0.1</v>
      </c>
    </row>
    <row r="2458" ht="12.75" customHeight="1">
      <c r="A2458" s="5" t="s">
        <v>3532</v>
      </c>
      <c r="B2458" s="7">
        <v>39.0</v>
      </c>
      <c r="C2458" s="7">
        <v>42.0</v>
      </c>
      <c r="D2458" s="7" t="s">
        <v>3811</v>
      </c>
      <c r="E2458" s="7"/>
      <c r="G2458" s="5" t="str">
        <f t="shared" si="1"/>
        <v>39, 42, DODRIO</v>
      </c>
      <c r="I2458" s="5" t="s">
        <v>3532</v>
      </c>
    </row>
    <row r="2459" ht="12.75" customHeight="1">
      <c r="A2459" s="5" t="s">
        <v>3533</v>
      </c>
      <c r="B2459" s="7">
        <v>39.0</v>
      </c>
      <c r="C2459" s="7">
        <v>42.0</v>
      </c>
      <c r="D2459" s="7" t="s">
        <v>3802</v>
      </c>
      <c r="E2459" s="7"/>
      <c r="G2459" s="5" t="str">
        <f t="shared" si="1"/>
        <v>39, 42, GOLDUCK</v>
      </c>
      <c r="I2459" s="5" t="s">
        <v>3533</v>
      </c>
    </row>
    <row r="2460" ht="12.75" customHeight="1">
      <c r="A2460" s="5" t="s">
        <v>3534</v>
      </c>
      <c r="B2460" s="7">
        <v>43.0</v>
      </c>
      <c r="C2460" s="7">
        <v>46.0</v>
      </c>
      <c r="D2460" s="7" t="s">
        <v>3811</v>
      </c>
      <c r="E2460" s="7"/>
      <c r="G2460" s="5" t="str">
        <f t="shared" si="1"/>
        <v>43, 46, DODRIO</v>
      </c>
      <c r="I2460" s="5" t="s">
        <v>3534</v>
      </c>
    </row>
    <row r="2461" ht="12.75" customHeight="1">
      <c r="A2461" s="5" t="s">
        <v>3535</v>
      </c>
      <c r="B2461" s="7">
        <v>43.0</v>
      </c>
      <c r="C2461" s="7">
        <v>46.0</v>
      </c>
      <c r="D2461" s="7" t="s">
        <v>3802</v>
      </c>
      <c r="E2461" s="7"/>
      <c r="G2461" s="5" t="str">
        <f t="shared" si="1"/>
        <v>43, 46, GOLDUCK</v>
      </c>
      <c r="I2461" s="5" t="s">
        <v>3535</v>
      </c>
    </row>
    <row r="2462" ht="12.75" customHeight="1">
      <c r="A2462" s="5">
        <v>0.05</v>
      </c>
      <c r="B2462" s="5">
        <v>0.05</v>
      </c>
      <c r="C2462" s="7"/>
      <c r="D2462" s="7"/>
      <c r="E2462" s="7"/>
      <c r="G2462" s="5">
        <f t="shared" si="1"/>
        <v>0.05</v>
      </c>
      <c r="I2462" s="5">
        <v>0.05</v>
      </c>
    </row>
    <row r="2463" ht="12.75" customHeight="1">
      <c r="A2463" s="5" t="s">
        <v>3536</v>
      </c>
      <c r="B2463" s="7">
        <v>43.0</v>
      </c>
      <c r="C2463" s="7">
        <v>50.0</v>
      </c>
      <c r="D2463" s="7" t="s">
        <v>3946</v>
      </c>
      <c r="E2463" s="7"/>
      <c r="G2463" s="5" t="str">
        <f t="shared" si="1"/>
        <v>43, 50, TANGATHER</v>
      </c>
      <c r="I2463" s="5" t="s">
        <v>3536</v>
      </c>
    </row>
    <row r="2464" ht="12.75" customHeight="1">
      <c r="A2464" s="5" t="s">
        <v>3537</v>
      </c>
      <c r="B2464" s="7">
        <v>43.0</v>
      </c>
      <c r="C2464" s="7">
        <v>50.0</v>
      </c>
      <c r="D2464" s="7" t="s">
        <v>3947</v>
      </c>
      <c r="E2464" s="7"/>
      <c r="G2464" s="5" t="str">
        <f t="shared" si="1"/>
        <v>43, 50, EXEGGITY</v>
      </c>
      <c r="I2464" s="5" t="s">
        <v>3537</v>
      </c>
    </row>
    <row r="2465" ht="12.75" customHeight="1">
      <c r="A2465" s="5">
        <v>0.04</v>
      </c>
      <c r="B2465" s="5">
        <v>0.04</v>
      </c>
      <c r="C2465" s="7"/>
      <c r="D2465" s="7"/>
      <c r="E2465" s="7"/>
      <c r="G2465" s="5">
        <f t="shared" si="1"/>
        <v>0.04</v>
      </c>
      <c r="I2465" s="5">
        <v>0.04</v>
      </c>
    </row>
    <row r="2466" ht="12.75" customHeight="1">
      <c r="A2466" s="5" t="s">
        <v>3538</v>
      </c>
      <c r="B2466" s="7">
        <v>43.0</v>
      </c>
      <c r="C2466" s="7">
        <v>50.0</v>
      </c>
      <c r="D2466" s="7" t="s">
        <v>3855</v>
      </c>
      <c r="E2466" s="7"/>
      <c r="G2466" s="5" t="str">
        <f t="shared" si="1"/>
        <v>43, 50, GILDUCK</v>
      </c>
      <c r="I2466" s="5" t="s">
        <v>3538</v>
      </c>
    </row>
    <row r="2467" ht="12.75" customHeight="1">
      <c r="A2467" s="5" t="s">
        <v>3539</v>
      </c>
      <c r="B2467" s="7">
        <v>43.0</v>
      </c>
      <c r="C2467" s="7">
        <v>50.0</v>
      </c>
      <c r="D2467" s="7" t="s">
        <v>3948</v>
      </c>
      <c r="E2467" s="7"/>
      <c r="G2467" s="5" t="str">
        <f t="shared" si="1"/>
        <v>43, 50, QUADODO</v>
      </c>
      <c r="I2467" s="5" t="s">
        <v>3539</v>
      </c>
    </row>
    <row r="2468" ht="12.75" customHeight="1">
      <c r="A2468" s="5">
        <v>0.01</v>
      </c>
      <c r="B2468" s="5">
        <v>0.01</v>
      </c>
      <c r="C2468" s="7"/>
      <c r="D2468" s="7"/>
      <c r="E2468" s="7"/>
      <c r="G2468" s="5">
        <f t="shared" si="1"/>
        <v>0.01</v>
      </c>
      <c r="I2468" s="5">
        <v>0.01</v>
      </c>
    </row>
    <row r="2469" ht="12.75" customHeight="1">
      <c r="A2469" s="5" t="s">
        <v>3540</v>
      </c>
      <c r="B2469" s="7">
        <v>45.0</v>
      </c>
      <c r="C2469" s="7">
        <v>52.0</v>
      </c>
      <c r="D2469" s="7" t="s">
        <v>3949</v>
      </c>
      <c r="E2469" s="7"/>
      <c r="G2469" s="5" t="str">
        <f t="shared" si="1"/>
        <v>45, 52, TANGOLIATH</v>
      </c>
      <c r="I2469" s="5" t="s">
        <v>3540</v>
      </c>
    </row>
    <row r="2470" ht="12.75" customHeight="1">
      <c r="A2470" s="5" t="s">
        <v>3541</v>
      </c>
      <c r="B2470" s="7">
        <v>44.0</v>
      </c>
      <c r="C2470" s="7">
        <v>44.0</v>
      </c>
      <c r="D2470" s="7" t="s">
        <v>3949</v>
      </c>
      <c r="E2470" s="7"/>
      <c r="G2470" s="5" t="str">
        <f t="shared" si="1"/>
        <v>44, 44, TANGOLIATH</v>
      </c>
      <c r="I2470" s="5" t="s">
        <v>3541</v>
      </c>
    </row>
    <row r="2471" ht="12.75" customHeight="1">
      <c r="A2471" s="5" t="s">
        <v>3350</v>
      </c>
      <c r="B2471" s="7">
        <v>2.0</v>
      </c>
      <c r="C2471" s="7">
        <v>38.0</v>
      </c>
      <c r="D2471" s="7">
        <v>42.0</v>
      </c>
      <c r="E2471" s="7" t="s">
        <v>3748</v>
      </c>
      <c r="G2471" s="5" t="str">
        <f t="shared" si="1"/>
        <v>2, 38, 42, TENTACOOL</v>
      </c>
      <c r="I2471" s="5" t="s">
        <v>3350</v>
      </c>
    </row>
    <row r="2472" ht="12.75" customHeight="1">
      <c r="A2472" s="5" t="s">
        <v>3429</v>
      </c>
      <c r="B2472" s="7">
        <v>40.0</v>
      </c>
      <c r="C2472" s="7">
        <v>44.0</v>
      </c>
      <c r="D2472" s="7" t="s">
        <v>3898</v>
      </c>
      <c r="E2472" s="7"/>
      <c r="G2472" s="5" t="str">
        <f t="shared" si="1"/>
        <v>40, 44, TENTACRUEL</v>
      </c>
      <c r="I2472" s="5" t="s">
        <v>3429</v>
      </c>
    </row>
    <row r="2473" ht="12.75" customHeight="1">
      <c r="A2473" s="5" t="s">
        <v>3430</v>
      </c>
      <c r="B2473" s="7">
        <v>42.0</v>
      </c>
      <c r="C2473" s="7">
        <v>46.0</v>
      </c>
      <c r="D2473" s="7" t="s">
        <v>3931</v>
      </c>
      <c r="E2473" s="7"/>
      <c r="G2473" s="5" t="str">
        <f t="shared" si="1"/>
        <v>42, 46, TENTACATE</v>
      </c>
      <c r="I2473" s="5" t="s">
        <v>3430</v>
      </c>
    </row>
    <row r="2474" ht="12.75" customHeight="1">
      <c r="A2474" s="5" t="s">
        <v>3025</v>
      </c>
      <c r="B2474" s="7">
        <v>42.0</v>
      </c>
      <c r="C2474" s="7">
        <v>46.0</v>
      </c>
      <c r="D2474" s="7" t="s">
        <v>3861</v>
      </c>
      <c r="E2474" s="7"/>
      <c r="G2474" s="5" t="str">
        <f t="shared" si="1"/>
        <v>42, 46, LAPRAS</v>
      </c>
      <c r="I2474" s="5" t="s">
        <v>3025</v>
      </c>
    </row>
    <row r="2475" ht="12.75" customHeight="1">
      <c r="A2475" s="5" t="s">
        <v>3450</v>
      </c>
      <c r="B2475" s="7">
        <v>44.0</v>
      </c>
      <c r="C2475" s="7">
        <v>48.0</v>
      </c>
      <c r="D2475" s="7" t="s">
        <v>3934</v>
      </c>
      <c r="E2475" s="7"/>
      <c r="G2475" s="5" t="str">
        <f t="shared" si="1"/>
        <v>44, 48, LOCHLASS</v>
      </c>
      <c r="I2475" s="5" t="s">
        <v>3450</v>
      </c>
    </row>
    <row r="2476" ht="12.75" customHeight="1">
      <c r="A2476" s="5" t="s">
        <v>2926</v>
      </c>
      <c r="B2476" s="7">
        <v>20.0</v>
      </c>
      <c r="C2476" s="7" t="s">
        <v>3749</v>
      </c>
      <c r="D2476" s="7"/>
      <c r="E2476" s="7"/>
      <c r="G2476" s="5" t="str">
        <f t="shared" si="1"/>
        <v>old rod:</v>
      </c>
      <c r="I2476" s="5" t="s">
        <v>3750</v>
      </c>
    </row>
    <row r="2477" ht="12.75" customHeight="1">
      <c r="A2477" s="5" t="s">
        <v>1159</v>
      </c>
      <c r="B2477" s="7">
        <v>19.0</v>
      </c>
      <c r="C2477" s="7">
        <v>26.0</v>
      </c>
      <c r="D2477" s="7" t="s">
        <v>3800</v>
      </c>
      <c r="E2477" s="7"/>
      <c r="G2477" s="5" t="str">
        <f t="shared" si="1"/>
        <v>19, 26, PSYDUCK</v>
      </c>
      <c r="I2477" s="5" t="s">
        <v>1159</v>
      </c>
    </row>
    <row r="2478" ht="12.75" customHeight="1">
      <c r="A2478" s="5" t="s">
        <v>602</v>
      </c>
      <c r="B2478" s="7">
        <v>19.0</v>
      </c>
      <c r="C2478" s="7">
        <v>26.0</v>
      </c>
      <c r="D2478" s="7" t="s">
        <v>3753</v>
      </c>
      <c r="E2478" s="7"/>
      <c r="G2478" s="5" t="str">
        <f t="shared" si="1"/>
        <v>19, 26, HORSEA</v>
      </c>
      <c r="I2478" s="5" t="s">
        <v>602</v>
      </c>
    </row>
    <row r="2479" ht="12.75" customHeight="1">
      <c r="A2479" s="5" t="s">
        <v>2847</v>
      </c>
      <c r="B2479" s="7" t="s">
        <v>2847</v>
      </c>
      <c r="C2479" s="7"/>
      <c r="D2479" s="7"/>
      <c r="E2479" s="7"/>
      <c r="G2479" s="5" t="str">
        <f t="shared" si="1"/>
        <v>good rod:</v>
      </c>
      <c r="I2479" s="5" t="s">
        <v>2847</v>
      </c>
    </row>
    <row r="2480" ht="12.75" customHeight="1">
      <c r="A2480" s="5" t="s">
        <v>3027</v>
      </c>
      <c r="B2480" s="7">
        <v>29.0</v>
      </c>
      <c r="C2480" s="7">
        <v>33.0</v>
      </c>
      <c r="D2480" s="7" t="s">
        <v>3859</v>
      </c>
      <c r="E2480" s="7"/>
      <c r="G2480" s="5" t="str">
        <f t="shared" si="1"/>
        <v>29, 33, SEADRA</v>
      </c>
      <c r="I2480" s="5" t="s">
        <v>3027</v>
      </c>
    </row>
    <row r="2481" ht="12.75" customHeight="1">
      <c r="A2481" s="5" t="s">
        <v>3028</v>
      </c>
      <c r="B2481" s="7">
        <v>30.0</v>
      </c>
      <c r="C2481" s="7">
        <v>35.0</v>
      </c>
      <c r="D2481" s="7" t="s">
        <v>3752</v>
      </c>
      <c r="E2481" s="7"/>
      <c r="G2481" s="5" t="str">
        <f t="shared" si="1"/>
        <v>30, 35, KRABBY</v>
      </c>
      <c r="I2481" s="5" t="s">
        <v>3028</v>
      </c>
    </row>
    <row r="2482" ht="12.75" customHeight="1">
      <c r="A2482" s="5" t="s">
        <v>3029</v>
      </c>
      <c r="B2482" s="7">
        <v>30.0</v>
      </c>
      <c r="C2482" s="7">
        <v>35.0</v>
      </c>
      <c r="D2482" s="7" t="s">
        <v>3802</v>
      </c>
      <c r="E2482" s="7"/>
      <c r="G2482" s="5" t="str">
        <f t="shared" si="1"/>
        <v>30, 35, GOLDUCK</v>
      </c>
      <c r="I2482" s="5" t="s">
        <v>3029</v>
      </c>
    </row>
    <row r="2483" ht="12.75" customHeight="1">
      <c r="A2483" s="5" t="s">
        <v>2851</v>
      </c>
      <c r="B2483" s="7" t="s">
        <v>2851</v>
      </c>
      <c r="C2483" s="7"/>
      <c r="D2483" s="7"/>
      <c r="E2483" s="7"/>
      <c r="G2483" s="5" t="str">
        <f t="shared" si="1"/>
        <v>super rod:</v>
      </c>
      <c r="I2483" s="5" t="s">
        <v>2851</v>
      </c>
    </row>
    <row r="2484" ht="12.75" customHeight="1">
      <c r="A2484" s="5" t="s">
        <v>3030</v>
      </c>
      <c r="B2484" s="7">
        <v>36.0</v>
      </c>
      <c r="C2484" s="7">
        <v>40.0</v>
      </c>
      <c r="D2484" s="7" t="s">
        <v>3843</v>
      </c>
      <c r="E2484" s="7"/>
      <c r="G2484" s="5" t="str">
        <f t="shared" si="1"/>
        <v>36, 40, KINGDRA</v>
      </c>
      <c r="I2484" s="5" t="s">
        <v>3030</v>
      </c>
    </row>
    <row r="2485" ht="12.75" customHeight="1">
      <c r="A2485" s="5" t="s">
        <v>3528</v>
      </c>
      <c r="B2485" s="7">
        <v>36.0</v>
      </c>
      <c r="C2485" s="7">
        <v>40.0</v>
      </c>
      <c r="D2485" s="7" t="s">
        <v>3860</v>
      </c>
      <c r="E2485" s="7"/>
      <c r="G2485" s="5" t="str">
        <f t="shared" si="1"/>
        <v>36, 40, KINGLER</v>
      </c>
      <c r="I2485" s="5" t="s">
        <v>3528</v>
      </c>
    </row>
    <row r="2486" ht="12.75" customHeight="1">
      <c r="A2486" s="5" t="s">
        <v>3032</v>
      </c>
      <c r="B2486" s="7">
        <v>38.0</v>
      </c>
      <c r="C2486" s="7">
        <v>42.0</v>
      </c>
      <c r="D2486" s="7" t="s">
        <v>3855</v>
      </c>
      <c r="E2486" s="7"/>
      <c r="G2486" s="5" t="str">
        <f t="shared" si="1"/>
        <v>38, 42, GILDUCK</v>
      </c>
      <c r="I2486" s="5" t="s">
        <v>3032</v>
      </c>
    </row>
    <row r="2487" ht="12.75" customHeight="1">
      <c r="A2487" s="5" t="s">
        <v>3033</v>
      </c>
      <c r="B2487" s="7">
        <v>38.0</v>
      </c>
      <c r="C2487" s="7">
        <v>42.0</v>
      </c>
      <c r="D2487" s="7" t="s">
        <v>3863</v>
      </c>
      <c r="E2487" s="7"/>
      <c r="G2487" s="5" t="str">
        <f t="shared" si="1"/>
        <v>38, 42, KRAKLAW</v>
      </c>
      <c r="I2487" s="5" t="s">
        <v>3033</v>
      </c>
    </row>
    <row r="2488" ht="12.75" customHeight="1">
      <c r="A2488" s="5" t="s">
        <v>3034</v>
      </c>
      <c r="B2488" s="7">
        <v>40.0</v>
      </c>
      <c r="C2488" s="7">
        <v>44.0</v>
      </c>
      <c r="D2488" s="7" t="s">
        <v>3845</v>
      </c>
      <c r="E2488" s="7"/>
      <c r="G2488" s="5" t="str">
        <f t="shared" si="1"/>
        <v>40, 44, LORDRA</v>
      </c>
      <c r="I2488" s="5" t="s">
        <v>3034</v>
      </c>
    </row>
    <row r="2489" ht="12.75" customHeight="1">
      <c r="A2489" s="5" t="s">
        <v>2539</v>
      </c>
      <c r="B2489" s="7" t="s">
        <v>2539</v>
      </c>
      <c r="C2489" s="7"/>
      <c r="D2489" s="7"/>
      <c r="E2489" s="7"/>
      <c r="G2489" s="5" t="str">
        <f t="shared" si="1"/>
        <v>NEW ROUTE</v>
      </c>
      <c r="I2489" s="5" t="s">
        <v>2539</v>
      </c>
    </row>
    <row r="2490" ht="12.75" customHeight="1">
      <c r="A2490" s="5" t="s">
        <v>2148</v>
      </c>
      <c r="B2490" s="7" t="s">
        <v>2148</v>
      </c>
      <c r="C2490" s="7"/>
      <c r="D2490" s="7"/>
      <c r="E2490" s="7"/>
      <c r="G2490" s="5" t="str">
        <f t="shared" si="1"/>
        <v>Route 22</v>
      </c>
      <c r="I2490" s="5" t="s">
        <v>2148</v>
      </c>
    </row>
    <row r="2491" ht="12.75" customHeight="1">
      <c r="A2491" s="5">
        <v>0.2</v>
      </c>
      <c r="B2491" s="5">
        <v>0.2</v>
      </c>
      <c r="C2491" s="7"/>
      <c r="D2491" s="7"/>
      <c r="E2491" s="7"/>
      <c r="G2491" s="5">
        <f t="shared" si="1"/>
        <v>0.2</v>
      </c>
      <c r="I2491" s="5">
        <v>0.2</v>
      </c>
    </row>
    <row r="2492" ht="12.75" customHeight="1">
      <c r="A2492" s="5" t="s">
        <v>1178</v>
      </c>
      <c r="B2492" s="7">
        <v>2.0</v>
      </c>
      <c r="C2492" s="7">
        <v>3.0</v>
      </c>
      <c r="D2492" s="7" t="s">
        <v>3865</v>
      </c>
      <c r="E2492" s="7"/>
      <c r="G2492" s="5" t="str">
        <f t="shared" si="1"/>
        <v>2, 3, RATTATA</v>
      </c>
      <c r="I2492" s="5" t="s">
        <v>1178</v>
      </c>
    </row>
    <row r="2493" ht="12.75" customHeight="1">
      <c r="A2493" s="5" t="s">
        <v>3544</v>
      </c>
      <c r="B2493" s="7">
        <v>4.0</v>
      </c>
      <c r="C2493" s="7">
        <v>5.0</v>
      </c>
      <c r="D2493" s="7" t="s">
        <v>3865</v>
      </c>
      <c r="E2493" s="7"/>
      <c r="G2493" s="5" t="str">
        <f t="shared" si="1"/>
        <v>4, 5, RATTATA</v>
      </c>
      <c r="I2493" s="5" t="s">
        <v>3544</v>
      </c>
    </row>
    <row r="2494" ht="12.75" customHeight="1">
      <c r="A2494" s="5">
        <v>0.1</v>
      </c>
      <c r="B2494" s="5">
        <v>0.1</v>
      </c>
      <c r="C2494" s="7"/>
      <c r="D2494" s="7"/>
      <c r="E2494" s="7"/>
      <c r="G2494" s="5">
        <f t="shared" si="1"/>
        <v>0.1</v>
      </c>
      <c r="I2494" s="5">
        <v>0.1</v>
      </c>
    </row>
    <row r="2495" ht="12.75" customHeight="1">
      <c r="A2495" s="5" t="s">
        <v>3545</v>
      </c>
      <c r="B2495" s="7">
        <v>2.0</v>
      </c>
      <c r="C2495" s="7">
        <v>3.0</v>
      </c>
      <c r="D2495" s="7" t="s">
        <v>3903</v>
      </c>
      <c r="E2495" s="7"/>
      <c r="G2495" s="5" t="str">
        <f t="shared" si="1"/>
        <v>2, 3, MEOWTH</v>
      </c>
      <c r="I2495" s="5" t="s">
        <v>3545</v>
      </c>
    </row>
    <row r="2496" ht="12.75" customHeight="1">
      <c r="A2496" s="5" t="s">
        <v>3546</v>
      </c>
      <c r="B2496" s="7">
        <v>4.0</v>
      </c>
      <c r="C2496" s="7">
        <v>5.0</v>
      </c>
      <c r="D2496" s="7" t="s">
        <v>3903</v>
      </c>
      <c r="E2496" s="7"/>
      <c r="G2496" s="5" t="str">
        <f t="shared" si="1"/>
        <v>4, 5, MEOWTH</v>
      </c>
      <c r="I2496" s="5" t="s">
        <v>3546</v>
      </c>
    </row>
    <row r="2497" ht="12.75" customHeight="1">
      <c r="A2497" s="5" t="s">
        <v>3547</v>
      </c>
      <c r="B2497" s="7">
        <v>2.0</v>
      </c>
      <c r="C2497" s="7">
        <v>3.0</v>
      </c>
      <c r="D2497" s="7" t="s">
        <v>3884</v>
      </c>
      <c r="E2497" s="7"/>
      <c r="G2497" s="5" t="str">
        <f t="shared" si="1"/>
        <v>2, 3, SPEAROW</v>
      </c>
      <c r="I2497" s="5" t="s">
        <v>3547</v>
      </c>
    </row>
    <row r="2498" ht="12.75" customHeight="1">
      <c r="A2498" s="5" t="s">
        <v>3548</v>
      </c>
      <c r="B2498" s="7">
        <v>4.0</v>
      </c>
      <c r="C2498" s="7">
        <v>5.0</v>
      </c>
      <c r="D2498" s="7" t="s">
        <v>3884</v>
      </c>
      <c r="E2498" s="7"/>
      <c r="G2498" s="5" t="str">
        <f t="shared" si="1"/>
        <v>4, 5, SPEAROW</v>
      </c>
      <c r="I2498" s="5" t="s">
        <v>3548</v>
      </c>
    </row>
    <row r="2499" ht="12.75" customHeight="1">
      <c r="A2499" s="5">
        <v>0.05</v>
      </c>
      <c r="B2499" s="5">
        <v>0.05</v>
      </c>
      <c r="C2499" s="7"/>
      <c r="D2499" s="7"/>
      <c r="E2499" s="7"/>
      <c r="G2499" s="5">
        <f t="shared" si="1"/>
        <v>0.05</v>
      </c>
      <c r="I2499" s="5">
        <v>0.05</v>
      </c>
    </row>
    <row r="2500" ht="12.75" customHeight="1">
      <c r="A2500" s="5" t="s">
        <v>3549</v>
      </c>
      <c r="B2500" s="7">
        <v>2.0</v>
      </c>
      <c r="C2500" s="7">
        <v>3.0</v>
      </c>
      <c r="D2500" s="7" t="s">
        <v>3917</v>
      </c>
      <c r="E2500" s="7"/>
      <c r="G2500" s="5" t="str">
        <f t="shared" si="1"/>
        <v>2, 3, GROWLITHE</v>
      </c>
      <c r="I2500" s="5" t="s">
        <v>3549</v>
      </c>
    </row>
    <row r="2501" ht="12.75" customHeight="1">
      <c r="A2501" s="5" t="s">
        <v>3550</v>
      </c>
      <c r="B2501" s="7">
        <v>4.0</v>
      </c>
      <c r="C2501" s="7">
        <v>5.0</v>
      </c>
      <c r="D2501" s="7" t="s">
        <v>3917</v>
      </c>
      <c r="E2501" s="7"/>
      <c r="G2501" s="5" t="str">
        <f t="shared" si="1"/>
        <v>4, 5, GROWLITHE</v>
      </c>
      <c r="I2501" s="5" t="s">
        <v>3550</v>
      </c>
    </row>
    <row r="2502" ht="12.75" customHeight="1">
      <c r="A2502" s="5">
        <v>0.04</v>
      </c>
      <c r="B2502" s="5">
        <v>0.04</v>
      </c>
      <c r="C2502" s="7"/>
      <c r="D2502" s="7"/>
      <c r="E2502" s="7"/>
      <c r="G2502" s="5">
        <f t="shared" si="1"/>
        <v>0.04</v>
      </c>
      <c r="I2502" s="5">
        <v>0.04</v>
      </c>
    </row>
    <row r="2503" ht="12.75" customHeight="1">
      <c r="A2503" s="5" t="s">
        <v>3551</v>
      </c>
      <c r="B2503" s="7">
        <v>2.0</v>
      </c>
      <c r="C2503" s="7">
        <v>5.0</v>
      </c>
      <c r="D2503" s="7" t="s">
        <v>3932</v>
      </c>
      <c r="E2503" s="7"/>
      <c r="G2503" s="5" t="str">
        <f t="shared" si="1"/>
        <v>2, 5, ABRA</v>
      </c>
      <c r="I2503" s="5" t="s">
        <v>3551</v>
      </c>
    </row>
    <row r="2504" ht="12.75" customHeight="1">
      <c r="A2504" s="5" t="s">
        <v>3552</v>
      </c>
      <c r="B2504" s="7">
        <v>2.0</v>
      </c>
      <c r="C2504" s="7">
        <v>5.0</v>
      </c>
      <c r="D2504" s="7" t="s">
        <v>3930</v>
      </c>
      <c r="E2504" s="7"/>
      <c r="G2504" s="5" t="str">
        <f t="shared" si="1"/>
        <v>2, 5, KANGAKID</v>
      </c>
      <c r="I2504" s="5" t="s">
        <v>3552</v>
      </c>
    </row>
    <row r="2505" ht="12.75" customHeight="1">
      <c r="A2505" s="5">
        <v>0.01</v>
      </c>
      <c r="B2505" s="5">
        <v>0.01</v>
      </c>
      <c r="C2505" s="7"/>
      <c r="D2505" s="7"/>
      <c r="E2505" s="7"/>
      <c r="G2505" s="5">
        <f t="shared" si="1"/>
        <v>0.01</v>
      </c>
      <c r="I2505" s="5">
        <v>0.01</v>
      </c>
    </row>
    <row r="2506" ht="12.75" customHeight="1">
      <c r="A2506" s="5" t="s">
        <v>3553</v>
      </c>
      <c r="B2506" s="7">
        <v>2.0</v>
      </c>
      <c r="C2506" s="7">
        <v>5.0</v>
      </c>
      <c r="D2506" s="7" t="s">
        <v>3915</v>
      </c>
      <c r="E2506" s="7"/>
      <c r="G2506" s="5" t="str">
        <f t="shared" si="1"/>
        <v>2, 5, EEVEE</v>
      </c>
      <c r="I2506" s="5" t="s">
        <v>3553</v>
      </c>
    </row>
    <row r="2507" ht="12.75" customHeight="1">
      <c r="A2507" s="5" t="s">
        <v>3554</v>
      </c>
      <c r="B2507" s="7">
        <v>2.0</v>
      </c>
      <c r="C2507" s="7">
        <v>5.0</v>
      </c>
      <c r="D2507" s="7" t="s">
        <v>3938</v>
      </c>
      <c r="E2507" s="7"/>
      <c r="G2507" s="5" t="str">
        <f t="shared" si="1"/>
        <v>2, 5, SCYTHER</v>
      </c>
      <c r="I2507" s="5" t="s">
        <v>3554</v>
      </c>
    </row>
    <row r="2508" ht="12.75" customHeight="1">
      <c r="A2508" s="5" t="s">
        <v>3555</v>
      </c>
      <c r="B2508" s="7">
        <v>2.0</v>
      </c>
      <c r="C2508" s="7">
        <v>40.0</v>
      </c>
      <c r="D2508" s="7">
        <v>44.0</v>
      </c>
      <c r="E2508" s="7" t="s">
        <v>3800</v>
      </c>
      <c r="G2508" s="5" t="str">
        <f t="shared" si="1"/>
        <v>2, 40, 44, PSYDUCK</v>
      </c>
      <c r="I2508" s="5" t="s">
        <v>3555</v>
      </c>
    </row>
    <row r="2509" ht="12.75" customHeight="1">
      <c r="A2509" s="5" t="s">
        <v>3556</v>
      </c>
      <c r="B2509" s="7">
        <v>42.0</v>
      </c>
      <c r="C2509" s="7">
        <v>46.0</v>
      </c>
      <c r="D2509" s="7" t="s">
        <v>3756</v>
      </c>
      <c r="E2509" s="7"/>
      <c r="G2509" s="5" t="str">
        <f t="shared" si="1"/>
        <v>42, 46, SLOWPOKE</v>
      </c>
      <c r="I2509" s="5" t="s">
        <v>3556</v>
      </c>
    </row>
    <row r="2510" ht="12.75" customHeight="1">
      <c r="A2510" s="5" t="s">
        <v>3557</v>
      </c>
      <c r="B2510" s="7">
        <v>44.0</v>
      </c>
      <c r="C2510" s="7">
        <v>47.0</v>
      </c>
      <c r="D2510" s="7" t="s">
        <v>3802</v>
      </c>
      <c r="E2510" s="7"/>
      <c r="G2510" s="5" t="str">
        <f t="shared" si="1"/>
        <v>44, 47, GOLDUCK</v>
      </c>
      <c r="I2510" s="5" t="s">
        <v>3557</v>
      </c>
    </row>
    <row r="2511" ht="12.75" customHeight="1">
      <c r="A2511" s="5" t="s">
        <v>3558</v>
      </c>
      <c r="B2511" s="7">
        <v>44.0</v>
      </c>
      <c r="C2511" s="7">
        <v>47.0</v>
      </c>
      <c r="D2511" s="7" t="s">
        <v>3801</v>
      </c>
      <c r="E2511" s="7"/>
      <c r="G2511" s="5" t="str">
        <f t="shared" si="1"/>
        <v>44, 47, SLOWBRO</v>
      </c>
      <c r="I2511" s="5" t="s">
        <v>3558</v>
      </c>
    </row>
    <row r="2512" ht="12.75" customHeight="1">
      <c r="A2512" s="5" t="s">
        <v>3559</v>
      </c>
      <c r="B2512" s="7">
        <v>45.0</v>
      </c>
      <c r="C2512" s="7">
        <v>50.0</v>
      </c>
      <c r="D2512" s="7" t="s">
        <v>3855</v>
      </c>
      <c r="E2512" s="7"/>
      <c r="G2512" s="5" t="str">
        <f t="shared" si="1"/>
        <v>45, 50, GILDUCK</v>
      </c>
      <c r="I2512" s="5" t="s">
        <v>3559</v>
      </c>
    </row>
    <row r="2513" ht="12.75" customHeight="1">
      <c r="A2513" s="5" t="s">
        <v>2926</v>
      </c>
      <c r="B2513" s="7">
        <v>20.0</v>
      </c>
      <c r="C2513" s="7" t="s">
        <v>3749</v>
      </c>
      <c r="D2513" s="7"/>
      <c r="E2513" s="7"/>
      <c r="G2513" s="5" t="str">
        <f t="shared" si="1"/>
        <v>old rod:</v>
      </c>
      <c r="I2513" s="5" t="s">
        <v>3750</v>
      </c>
    </row>
    <row r="2514" ht="12.75" customHeight="1">
      <c r="A2514" s="5" t="s">
        <v>500</v>
      </c>
      <c r="B2514" s="7">
        <v>19.0</v>
      </c>
      <c r="C2514" s="7">
        <v>26.0</v>
      </c>
      <c r="D2514" s="7" t="s">
        <v>3751</v>
      </c>
      <c r="E2514" s="7"/>
      <c r="G2514" s="5" t="str">
        <f t="shared" si="1"/>
        <v>19, 26, MAGIKARP</v>
      </c>
      <c r="I2514" s="5" t="s">
        <v>500</v>
      </c>
    </row>
    <row r="2515" ht="12.75" customHeight="1">
      <c r="A2515" s="5" t="s">
        <v>2927</v>
      </c>
      <c r="B2515" s="7">
        <v>19.0</v>
      </c>
      <c r="C2515" s="7">
        <v>26.0</v>
      </c>
      <c r="D2515" s="7" t="s">
        <v>3804</v>
      </c>
      <c r="E2515" s="7"/>
      <c r="G2515" s="5" t="str">
        <f t="shared" si="1"/>
        <v>19, 26, POLIWAG</v>
      </c>
      <c r="I2515" s="5" t="s">
        <v>2927</v>
      </c>
    </row>
    <row r="2516" ht="12.75" customHeight="1">
      <c r="A2516" s="5" t="s">
        <v>2847</v>
      </c>
      <c r="B2516" s="7" t="s">
        <v>2847</v>
      </c>
      <c r="C2516" s="7"/>
      <c r="D2516" s="7"/>
      <c r="E2516" s="7"/>
      <c r="G2516" s="5" t="str">
        <f t="shared" si="1"/>
        <v>good rod:</v>
      </c>
      <c r="I2516" s="5" t="s">
        <v>2847</v>
      </c>
    </row>
    <row r="2517" ht="12.75" customHeight="1">
      <c r="A2517" s="5" t="s">
        <v>3560</v>
      </c>
      <c r="B2517" s="7">
        <v>29.0</v>
      </c>
      <c r="C2517" s="7">
        <v>33.0</v>
      </c>
      <c r="D2517" s="7" t="s">
        <v>3751</v>
      </c>
      <c r="E2517" s="7"/>
      <c r="G2517" s="5" t="str">
        <f t="shared" si="1"/>
        <v>29, 33, MAGIKARP</v>
      </c>
      <c r="I2517" s="5" t="s">
        <v>3560</v>
      </c>
    </row>
    <row r="2518" ht="12.75" customHeight="1">
      <c r="A2518" s="5" t="s">
        <v>3561</v>
      </c>
      <c r="B2518" s="7">
        <v>30.0</v>
      </c>
      <c r="C2518" s="7">
        <v>35.0</v>
      </c>
      <c r="D2518" s="7" t="s">
        <v>3755</v>
      </c>
      <c r="E2518" s="7"/>
      <c r="G2518" s="5" t="str">
        <f t="shared" si="1"/>
        <v>30, 35, GYARADOS</v>
      </c>
      <c r="I2518" s="5" t="s">
        <v>3561</v>
      </c>
    </row>
    <row r="2519" ht="12.75" customHeight="1">
      <c r="A2519" s="5" t="s">
        <v>3562</v>
      </c>
      <c r="B2519" s="7">
        <v>30.0</v>
      </c>
      <c r="C2519" s="7">
        <v>35.0</v>
      </c>
      <c r="D2519" s="7" t="s">
        <v>3806</v>
      </c>
      <c r="E2519" s="7"/>
      <c r="G2519" s="5" t="str">
        <f t="shared" si="1"/>
        <v>30, 35, POLIWHIRL</v>
      </c>
      <c r="I2519" s="5" t="s">
        <v>3562</v>
      </c>
    </row>
    <row r="2520" ht="12.75" customHeight="1">
      <c r="A2520" s="5" t="s">
        <v>2851</v>
      </c>
      <c r="B2520" s="7" t="s">
        <v>2851</v>
      </c>
      <c r="C2520" s="7"/>
      <c r="D2520" s="7"/>
      <c r="E2520" s="7"/>
      <c r="G2520" s="5" t="str">
        <f t="shared" si="1"/>
        <v>super rod:</v>
      </c>
      <c r="I2520" s="5" t="s">
        <v>2851</v>
      </c>
    </row>
    <row r="2521" ht="12.75" customHeight="1">
      <c r="A2521" s="5" t="s">
        <v>3563</v>
      </c>
      <c r="B2521" s="7">
        <v>36.0</v>
      </c>
      <c r="C2521" s="7">
        <v>40.0</v>
      </c>
      <c r="D2521" s="7" t="s">
        <v>3751</v>
      </c>
      <c r="E2521" s="7"/>
      <c r="G2521" s="5" t="str">
        <f t="shared" si="1"/>
        <v>36, 40, MAGIKARP</v>
      </c>
      <c r="I2521" s="5" t="s">
        <v>3563</v>
      </c>
    </row>
    <row r="2522" ht="12.75" customHeight="1">
      <c r="A2522" s="5" t="s">
        <v>3357</v>
      </c>
      <c r="B2522" s="7">
        <v>36.0</v>
      </c>
      <c r="C2522" s="7">
        <v>40.0</v>
      </c>
      <c r="D2522" s="7" t="s">
        <v>3755</v>
      </c>
      <c r="E2522" s="7"/>
      <c r="G2522" s="5" t="str">
        <f t="shared" si="1"/>
        <v>36, 40, GYARADOS</v>
      </c>
      <c r="I2522" s="5" t="s">
        <v>3357</v>
      </c>
    </row>
    <row r="2523" ht="12.75" customHeight="1">
      <c r="A2523" s="5" t="s">
        <v>3564</v>
      </c>
      <c r="B2523" s="7">
        <v>38.0</v>
      </c>
      <c r="C2523" s="7">
        <v>42.0</v>
      </c>
      <c r="D2523" s="7" t="s">
        <v>3806</v>
      </c>
      <c r="E2523" s="7"/>
      <c r="G2523" s="5" t="str">
        <f t="shared" si="1"/>
        <v>38, 42, POLIWHIRL</v>
      </c>
      <c r="I2523" s="5" t="s">
        <v>3564</v>
      </c>
    </row>
    <row r="2524" ht="12.75" customHeight="1">
      <c r="A2524" s="5" t="s">
        <v>3379</v>
      </c>
      <c r="B2524" s="7">
        <v>38.0</v>
      </c>
      <c r="C2524" s="7">
        <v>42.0</v>
      </c>
      <c r="D2524" s="7" t="s">
        <v>3924</v>
      </c>
      <c r="E2524" s="7"/>
      <c r="G2524" s="5" t="str">
        <f t="shared" si="1"/>
        <v>38, 42, POLIWRATH</v>
      </c>
      <c r="I2524" s="5" t="s">
        <v>3379</v>
      </c>
    </row>
    <row r="2525" ht="12.75" customHeight="1">
      <c r="A2525" s="5" t="s">
        <v>3380</v>
      </c>
      <c r="B2525" s="7">
        <v>40.0</v>
      </c>
      <c r="C2525" s="7">
        <v>44.0</v>
      </c>
      <c r="D2525" s="7" t="s">
        <v>3838</v>
      </c>
      <c r="E2525" s="7"/>
      <c r="G2525" s="5" t="str">
        <f t="shared" si="1"/>
        <v>40, 44, POLITOES</v>
      </c>
      <c r="I2525" s="5" t="s">
        <v>3380</v>
      </c>
    </row>
    <row r="2526" ht="12.75" customHeight="1">
      <c r="A2526" s="5" t="s">
        <v>2539</v>
      </c>
      <c r="B2526" s="7" t="s">
        <v>2539</v>
      </c>
      <c r="C2526" s="7"/>
      <c r="D2526" s="7"/>
      <c r="E2526" s="7"/>
      <c r="G2526" s="5" t="str">
        <f t="shared" si="1"/>
        <v>NEW ROUTE</v>
      </c>
      <c r="I2526" s="5" t="s">
        <v>2539</v>
      </c>
    </row>
    <row r="2527" ht="12.75" customHeight="1">
      <c r="A2527" s="5" t="s">
        <v>2150</v>
      </c>
      <c r="B2527" s="7" t="s">
        <v>2150</v>
      </c>
      <c r="C2527" s="7"/>
      <c r="D2527" s="7"/>
      <c r="E2527" s="7"/>
      <c r="G2527" s="5" t="str">
        <f t="shared" si="1"/>
        <v>Route 23</v>
      </c>
      <c r="I2527" s="5" t="s">
        <v>2150</v>
      </c>
    </row>
    <row r="2528" ht="12.75" customHeight="1">
      <c r="A2528" s="5">
        <v>0.2</v>
      </c>
      <c r="B2528" s="5">
        <v>0.2</v>
      </c>
      <c r="C2528" s="7"/>
      <c r="D2528" s="7"/>
      <c r="E2528" s="7"/>
      <c r="G2528" s="5">
        <f t="shared" si="1"/>
        <v>0.2</v>
      </c>
      <c r="I2528" s="5">
        <v>0.2</v>
      </c>
    </row>
    <row r="2529" ht="12.75" customHeight="1">
      <c r="A2529" s="5" t="s">
        <v>1200</v>
      </c>
      <c r="B2529" s="7">
        <v>51.0</v>
      </c>
      <c r="C2529" s="7">
        <v>56.0</v>
      </c>
      <c r="D2529" s="7" t="s">
        <v>3950</v>
      </c>
      <c r="E2529" s="7"/>
      <c r="G2529" s="5" t="str">
        <f t="shared" si="1"/>
        <v>51, 56, PRIMEAPE</v>
      </c>
      <c r="I2529" s="5" t="s">
        <v>1200</v>
      </c>
    </row>
    <row r="2530" ht="12.75" customHeight="1">
      <c r="A2530" s="5" t="s">
        <v>3566</v>
      </c>
      <c r="B2530" s="7">
        <v>51.0</v>
      </c>
      <c r="C2530" s="7">
        <v>56.0</v>
      </c>
      <c r="D2530" s="7" t="s">
        <v>3951</v>
      </c>
      <c r="E2530" s="7"/>
      <c r="G2530" s="5" t="str">
        <f t="shared" si="1"/>
        <v>51, 56, SNEEROW</v>
      </c>
      <c r="I2530" s="5" t="s">
        <v>3566</v>
      </c>
    </row>
    <row r="2531" ht="12.75" customHeight="1">
      <c r="A2531" s="5">
        <v>0.1</v>
      </c>
      <c r="B2531" s="5">
        <v>0.1</v>
      </c>
      <c r="C2531" s="7"/>
      <c r="D2531" s="7"/>
      <c r="E2531" s="7"/>
      <c r="G2531" s="5">
        <f t="shared" si="1"/>
        <v>0.1</v>
      </c>
      <c r="I2531" s="5">
        <v>0.1</v>
      </c>
    </row>
    <row r="2532" ht="12.75" customHeight="1">
      <c r="A2532" s="5" t="s">
        <v>3567</v>
      </c>
      <c r="B2532" s="7">
        <v>53.0</v>
      </c>
      <c r="C2532" s="7">
        <v>57.0</v>
      </c>
      <c r="D2532" s="7" t="s">
        <v>3952</v>
      </c>
      <c r="E2532" s="7"/>
      <c r="G2532" s="5" t="str">
        <f t="shared" si="1"/>
        <v>53, 57, GORILLASH</v>
      </c>
      <c r="I2532" s="5" t="s">
        <v>3567</v>
      </c>
    </row>
    <row r="2533" ht="12.75" customHeight="1">
      <c r="A2533" s="5" t="s">
        <v>3568</v>
      </c>
      <c r="B2533" s="7">
        <v>53.0</v>
      </c>
      <c r="C2533" s="7">
        <v>57.0</v>
      </c>
      <c r="D2533" s="7" t="s">
        <v>3953</v>
      </c>
      <c r="E2533" s="7"/>
      <c r="G2533" s="5" t="str">
        <f t="shared" si="1"/>
        <v>53, 57, ORNITHOW</v>
      </c>
      <c r="I2533" s="5" t="s">
        <v>3568</v>
      </c>
    </row>
    <row r="2534" ht="12.75" customHeight="1">
      <c r="A2534" s="5" t="s">
        <v>2873</v>
      </c>
      <c r="B2534" s="7">
        <v>53.0</v>
      </c>
      <c r="C2534" s="7">
        <v>57.0</v>
      </c>
      <c r="D2534" s="7" t="s">
        <v>3764</v>
      </c>
      <c r="E2534" s="7"/>
      <c r="G2534" s="5" t="str">
        <f t="shared" si="1"/>
        <v>53, 57, ADNOKANA</v>
      </c>
      <c r="I2534" s="5" t="s">
        <v>2873</v>
      </c>
    </row>
    <row r="2535" ht="12.75" customHeight="1">
      <c r="A2535" s="5" t="s">
        <v>3569</v>
      </c>
      <c r="B2535" s="7">
        <v>53.0</v>
      </c>
      <c r="C2535" s="7">
        <v>57.0</v>
      </c>
      <c r="D2535" s="7" t="s">
        <v>3954</v>
      </c>
      <c r="E2535" s="7"/>
      <c r="G2535" s="5" t="str">
        <f t="shared" si="1"/>
        <v>53, 57, SANDSLAM</v>
      </c>
      <c r="I2535" s="5" t="s">
        <v>3569</v>
      </c>
    </row>
    <row r="2536" ht="12.75" customHeight="1">
      <c r="A2536" s="5">
        <v>0.05</v>
      </c>
      <c r="B2536" s="5">
        <v>0.05</v>
      </c>
      <c r="C2536" s="7"/>
      <c r="D2536" s="7"/>
      <c r="E2536" s="7"/>
      <c r="G2536" s="5">
        <f t="shared" si="1"/>
        <v>0.05</v>
      </c>
      <c r="I2536" s="5">
        <v>0.05</v>
      </c>
    </row>
    <row r="2537" ht="12.75" customHeight="1">
      <c r="A2537" s="5" t="s">
        <v>3570</v>
      </c>
      <c r="B2537" s="7">
        <v>54.0</v>
      </c>
      <c r="C2537" s="7">
        <v>56.0</v>
      </c>
      <c r="D2537" s="7" t="s">
        <v>3829</v>
      </c>
      <c r="E2537" s="7"/>
      <c r="G2537" s="5" t="str">
        <f t="shared" si="1"/>
        <v>54, 56, "MR. JEST"</v>
      </c>
      <c r="I2537" s="5" t="s">
        <v>3570</v>
      </c>
    </row>
    <row r="2538" ht="12.75" customHeight="1">
      <c r="A2538" s="5" t="s">
        <v>3571</v>
      </c>
      <c r="B2538" s="7">
        <v>54.0</v>
      </c>
      <c r="C2538" s="7">
        <v>56.0</v>
      </c>
      <c r="D2538" s="7" t="s">
        <v>3955</v>
      </c>
      <c r="E2538" s="7"/>
      <c r="G2538" s="5" t="str">
        <f t="shared" si="1"/>
        <v>54, 56, ELECTIVINE</v>
      </c>
      <c r="I2538" s="5" t="s">
        <v>3571</v>
      </c>
    </row>
    <row r="2539" ht="12.75" customHeight="1">
      <c r="A2539" s="5">
        <v>0.04</v>
      </c>
      <c r="B2539" s="5">
        <v>0.04</v>
      </c>
      <c r="C2539" s="7"/>
      <c r="D2539" s="7"/>
      <c r="E2539" s="7"/>
      <c r="G2539" s="5">
        <f t="shared" si="1"/>
        <v>0.04</v>
      </c>
      <c r="I2539" s="5">
        <v>0.04</v>
      </c>
    </row>
    <row r="2540" ht="12.75" customHeight="1">
      <c r="A2540" s="5" t="s">
        <v>3572</v>
      </c>
      <c r="B2540" s="7">
        <v>54.0</v>
      </c>
      <c r="C2540" s="7">
        <v>55.0</v>
      </c>
      <c r="D2540" s="7" t="s">
        <v>3956</v>
      </c>
      <c r="E2540" s="7"/>
      <c r="G2540" s="5" t="str">
        <f t="shared" si="1"/>
        <v>54, 55, FELANKH</v>
      </c>
      <c r="I2540" s="5" t="s">
        <v>3572</v>
      </c>
    </row>
    <row r="2541" ht="12.75" customHeight="1">
      <c r="A2541" s="5" t="s">
        <v>3573</v>
      </c>
      <c r="B2541" s="7">
        <v>56.0</v>
      </c>
      <c r="C2541" s="7">
        <v>57.0</v>
      </c>
      <c r="D2541" s="7" t="s">
        <v>3956</v>
      </c>
      <c r="E2541" s="7"/>
      <c r="G2541" s="5" t="str">
        <f t="shared" si="1"/>
        <v>56, 57, FELANKH</v>
      </c>
      <c r="I2541" s="5" t="s">
        <v>3573</v>
      </c>
    </row>
    <row r="2542" ht="12.75" customHeight="1">
      <c r="A2542" s="5">
        <v>0.01</v>
      </c>
      <c r="B2542" s="5">
        <v>0.01</v>
      </c>
      <c r="C2542" s="7"/>
      <c r="D2542" s="7"/>
      <c r="E2542" s="7"/>
      <c r="G2542" s="5">
        <f t="shared" si="1"/>
        <v>0.01</v>
      </c>
      <c r="I2542" s="5">
        <v>0.01</v>
      </c>
    </row>
    <row r="2543" ht="12.75" customHeight="1">
      <c r="A2543" s="5" t="s">
        <v>3574</v>
      </c>
      <c r="B2543" s="7">
        <v>40.0</v>
      </c>
      <c r="C2543" s="7">
        <v>50.0</v>
      </c>
      <c r="D2543" s="7" t="s">
        <v>3957</v>
      </c>
      <c r="E2543" s="7"/>
      <c r="G2543" s="5" t="str">
        <f t="shared" si="1"/>
        <v>40, 50, AERODACTYL</v>
      </c>
      <c r="I2543" s="5" t="s">
        <v>3574</v>
      </c>
    </row>
    <row r="2544" ht="12.75" customHeight="1">
      <c r="A2544" s="5" t="s">
        <v>3575</v>
      </c>
      <c r="B2544" s="7">
        <v>57.0</v>
      </c>
      <c r="C2544" s="7">
        <v>59.0</v>
      </c>
      <c r="D2544" s="7" t="s">
        <v>3958</v>
      </c>
      <c r="E2544" s="7"/>
      <c r="G2544" s="5" t="str">
        <f t="shared" si="1"/>
        <v>57, 59, LUKKEY</v>
      </c>
      <c r="I2544" s="5" t="s">
        <v>3575</v>
      </c>
    </row>
    <row r="2545" ht="12.75" customHeight="1">
      <c r="A2545" s="5" t="s">
        <v>3576</v>
      </c>
      <c r="B2545" s="7">
        <v>2.0</v>
      </c>
      <c r="C2545" s="7">
        <v>50.0</v>
      </c>
      <c r="D2545" s="7">
        <v>55.0</v>
      </c>
      <c r="E2545" s="7" t="s">
        <v>3855</v>
      </c>
      <c r="G2545" s="5" t="str">
        <f t="shared" si="1"/>
        <v>2, 50, 55, GILDUCK</v>
      </c>
      <c r="I2545" s="5" t="s">
        <v>3576</v>
      </c>
    </row>
    <row r="2546" ht="12.75" customHeight="1">
      <c r="A2546" s="5" t="s">
        <v>3577</v>
      </c>
      <c r="B2546" s="7">
        <v>50.0</v>
      </c>
      <c r="C2546" s="7">
        <v>55.0</v>
      </c>
      <c r="D2546" s="7" t="s">
        <v>3838</v>
      </c>
      <c r="E2546" s="7"/>
      <c r="G2546" s="5" t="str">
        <f t="shared" si="1"/>
        <v>50, 55, POLITOES</v>
      </c>
      <c r="I2546" s="5" t="s">
        <v>3577</v>
      </c>
    </row>
    <row r="2547" ht="12.75" customHeight="1">
      <c r="A2547" s="5" t="s">
        <v>3578</v>
      </c>
      <c r="B2547" s="7">
        <v>52.0</v>
      </c>
      <c r="C2547" s="7">
        <v>57.0</v>
      </c>
      <c r="D2547" s="7" t="s">
        <v>3856</v>
      </c>
      <c r="E2547" s="7"/>
      <c r="G2547" s="5" t="str">
        <f t="shared" si="1"/>
        <v>52, 57, SLOWMATE</v>
      </c>
      <c r="I2547" s="5" t="s">
        <v>3578</v>
      </c>
    </row>
    <row r="2548" ht="12.75" customHeight="1">
      <c r="A2548" s="5" t="s">
        <v>2971</v>
      </c>
      <c r="B2548" s="7">
        <v>52.0</v>
      </c>
      <c r="C2548" s="7">
        <v>57.0</v>
      </c>
      <c r="D2548" s="7" t="s">
        <v>3839</v>
      </c>
      <c r="E2548" s="7"/>
      <c r="G2548" s="5" t="str">
        <f t="shared" si="1"/>
        <v>52, 57, POLIWISE</v>
      </c>
      <c r="I2548" s="5" t="s">
        <v>2971</v>
      </c>
    </row>
    <row r="2549" ht="12.75" customHeight="1">
      <c r="A2549" s="5" t="s">
        <v>3579</v>
      </c>
      <c r="B2549" s="7">
        <v>53.0</v>
      </c>
      <c r="C2549" s="7">
        <v>58.0</v>
      </c>
      <c r="D2549" s="7" t="s">
        <v>3959</v>
      </c>
      <c r="E2549" s="7"/>
      <c r="G2549" s="5" t="str">
        <f t="shared" si="1"/>
        <v>53, 58, PLATINUPUS</v>
      </c>
      <c r="I2549" s="5" t="s">
        <v>3579</v>
      </c>
    </row>
    <row r="2550" ht="12.75" customHeight="1">
      <c r="A2550" s="5" t="s">
        <v>2926</v>
      </c>
      <c r="B2550" s="7">
        <v>20.0</v>
      </c>
      <c r="C2550" s="7" t="s">
        <v>3749</v>
      </c>
      <c r="D2550" s="7"/>
      <c r="E2550" s="7"/>
      <c r="G2550" s="5" t="str">
        <f t="shared" si="1"/>
        <v>old rod:</v>
      </c>
      <c r="I2550" s="5" t="s">
        <v>3750</v>
      </c>
    </row>
    <row r="2551" ht="12.75" customHeight="1">
      <c r="A2551" s="5" t="s">
        <v>1214</v>
      </c>
      <c r="B2551" s="7">
        <v>24.0</v>
      </c>
      <c r="C2551" s="7">
        <v>36.0</v>
      </c>
      <c r="D2551" s="7" t="s">
        <v>3805</v>
      </c>
      <c r="E2551" s="7"/>
      <c r="G2551" s="5" t="str">
        <f t="shared" si="1"/>
        <v>24, 36, GOLDEEN</v>
      </c>
      <c r="I2551" s="5" t="s">
        <v>1214</v>
      </c>
    </row>
    <row r="2552" ht="12.75" customHeight="1">
      <c r="A2552" s="5" t="s">
        <v>3580</v>
      </c>
      <c r="B2552" s="7">
        <v>23.0</v>
      </c>
      <c r="C2552" s="7">
        <v>36.0</v>
      </c>
      <c r="D2552" s="7" t="s">
        <v>3752</v>
      </c>
      <c r="E2552" s="7"/>
      <c r="G2552" s="5" t="str">
        <f t="shared" si="1"/>
        <v>23, 36, KRABBY</v>
      </c>
      <c r="I2552" s="5" t="s">
        <v>3580</v>
      </c>
    </row>
    <row r="2553" ht="12.75" customHeight="1">
      <c r="A2553" s="5" t="s">
        <v>2847</v>
      </c>
      <c r="B2553" s="7" t="s">
        <v>2847</v>
      </c>
      <c r="C2553" s="7"/>
      <c r="D2553" s="7"/>
      <c r="E2553" s="7"/>
      <c r="G2553" s="5" t="str">
        <f t="shared" si="1"/>
        <v>good rod:</v>
      </c>
      <c r="I2553" s="5" t="s">
        <v>2847</v>
      </c>
    </row>
    <row r="2554" ht="12.75" customHeight="1">
      <c r="A2554" s="5" t="s">
        <v>3581</v>
      </c>
      <c r="B2554" s="7">
        <v>30.0</v>
      </c>
      <c r="C2554" s="7">
        <v>38.0</v>
      </c>
      <c r="D2554" s="7" t="s">
        <v>3807</v>
      </c>
      <c r="E2554" s="7"/>
      <c r="G2554" s="5" t="str">
        <f t="shared" si="1"/>
        <v>30, 38, SEAKING</v>
      </c>
      <c r="I2554" s="5" t="s">
        <v>3581</v>
      </c>
    </row>
    <row r="2555" ht="12.75" customHeight="1">
      <c r="A2555" s="5" t="s">
        <v>3582</v>
      </c>
      <c r="B2555" s="7">
        <v>32.0</v>
      </c>
      <c r="C2555" s="7">
        <v>40.0</v>
      </c>
      <c r="D2555" s="7" t="s">
        <v>3860</v>
      </c>
      <c r="E2555" s="7"/>
      <c r="G2555" s="5" t="str">
        <f t="shared" si="1"/>
        <v>32, 40, KINGLER</v>
      </c>
      <c r="I2555" s="5" t="s">
        <v>3582</v>
      </c>
    </row>
    <row r="2556" ht="12.75" customHeight="1">
      <c r="A2556" s="5" t="s">
        <v>3583</v>
      </c>
      <c r="B2556" s="7">
        <v>32.0</v>
      </c>
      <c r="C2556" s="7">
        <v>40.0</v>
      </c>
      <c r="D2556" s="7" t="s">
        <v>3809</v>
      </c>
      <c r="E2556" s="7"/>
      <c r="G2556" s="5" t="str">
        <f t="shared" si="1"/>
        <v>32, 40, DRAGONAIR</v>
      </c>
      <c r="I2556" s="5" t="s">
        <v>3583</v>
      </c>
    </row>
    <row r="2557" ht="12.75" customHeight="1">
      <c r="A2557" s="5" t="s">
        <v>2851</v>
      </c>
      <c r="B2557" s="7" t="s">
        <v>2851</v>
      </c>
      <c r="C2557" s="7"/>
      <c r="D2557" s="7"/>
      <c r="E2557" s="7"/>
      <c r="G2557" s="5" t="str">
        <f t="shared" si="1"/>
        <v>super rod:</v>
      </c>
      <c r="I2557" s="5" t="s">
        <v>2851</v>
      </c>
    </row>
    <row r="2558" ht="12.75" customHeight="1">
      <c r="A2558" s="5" t="s">
        <v>3584</v>
      </c>
      <c r="B2558" s="7">
        <v>50.0</v>
      </c>
      <c r="C2558" s="7">
        <v>55.0</v>
      </c>
      <c r="D2558" s="7" t="s">
        <v>3960</v>
      </c>
      <c r="E2558" s="7"/>
      <c r="G2558" s="5" t="str">
        <f t="shared" si="1"/>
        <v>50, 55, SEAREX</v>
      </c>
      <c r="I2558" s="5" t="s">
        <v>3584</v>
      </c>
    </row>
    <row r="2559" ht="12.75" customHeight="1">
      <c r="A2559" s="5" t="s">
        <v>2970</v>
      </c>
      <c r="B2559" s="7">
        <v>50.0</v>
      </c>
      <c r="C2559" s="7">
        <v>55.0</v>
      </c>
      <c r="D2559" s="7" t="s">
        <v>3810</v>
      </c>
      <c r="E2559" s="7"/>
      <c r="G2559" s="5" t="str">
        <f t="shared" si="1"/>
        <v>50, 55, DRAGONITE</v>
      </c>
      <c r="I2559" s="5" t="s">
        <v>2970</v>
      </c>
    </row>
    <row r="2560" ht="12.75" customHeight="1">
      <c r="A2560" s="5" t="s">
        <v>3585</v>
      </c>
      <c r="B2560" s="7">
        <v>52.0</v>
      </c>
      <c r="C2560" s="7">
        <v>57.0</v>
      </c>
      <c r="D2560" s="7" t="s">
        <v>3863</v>
      </c>
      <c r="E2560" s="7"/>
      <c r="G2560" s="5" t="str">
        <f t="shared" si="1"/>
        <v>52, 57, KRAKLAW</v>
      </c>
      <c r="I2560" s="5" t="s">
        <v>3585</v>
      </c>
    </row>
    <row r="2561" ht="12.75" customHeight="1">
      <c r="A2561" s="5" t="s">
        <v>3586</v>
      </c>
      <c r="B2561" s="7">
        <v>52.0</v>
      </c>
      <c r="C2561" s="7">
        <v>57.0</v>
      </c>
      <c r="D2561" s="7" t="s">
        <v>3961</v>
      </c>
      <c r="E2561" s="7"/>
      <c r="G2561" s="5" t="str">
        <f t="shared" si="1"/>
        <v>52, 57, CAPRISEA</v>
      </c>
      <c r="I2561" s="5" t="s">
        <v>3586</v>
      </c>
    </row>
    <row r="2562" ht="12.75" customHeight="1">
      <c r="A2562" s="5" t="s">
        <v>3587</v>
      </c>
      <c r="B2562" s="7">
        <v>53.0</v>
      </c>
      <c r="C2562" s="7">
        <v>58.0</v>
      </c>
      <c r="D2562" s="7" t="s">
        <v>3840</v>
      </c>
      <c r="E2562" s="7"/>
      <c r="G2562" s="5" t="str">
        <f t="shared" si="1"/>
        <v>53, 58, DRAGONIER</v>
      </c>
      <c r="I2562" s="5" t="s">
        <v>3587</v>
      </c>
    </row>
    <row r="2563" ht="12.75" customHeight="1">
      <c r="A2563" s="5" t="s">
        <v>2539</v>
      </c>
      <c r="B2563" s="7" t="s">
        <v>2539</v>
      </c>
      <c r="C2563" s="7"/>
      <c r="D2563" s="7"/>
      <c r="E2563" s="7"/>
      <c r="G2563" s="5" t="str">
        <f t="shared" si="1"/>
        <v>NEW ROUTE</v>
      </c>
      <c r="I2563" s="5" t="s">
        <v>2539</v>
      </c>
    </row>
    <row r="2564" ht="12.75" customHeight="1">
      <c r="A2564" s="5" t="s">
        <v>2152</v>
      </c>
      <c r="B2564" s="7" t="s">
        <v>2152</v>
      </c>
      <c r="C2564" s="7"/>
      <c r="D2564" s="7"/>
      <c r="E2564" s="7"/>
      <c r="G2564" s="5" t="str">
        <f t="shared" si="1"/>
        <v>Route 24</v>
      </c>
      <c r="I2564" s="5" t="s">
        <v>2152</v>
      </c>
    </row>
    <row r="2565" ht="12.75" customHeight="1">
      <c r="A2565" s="5">
        <v>0.2</v>
      </c>
      <c r="B2565" s="5">
        <v>0.2</v>
      </c>
      <c r="C2565" s="7"/>
      <c r="D2565" s="7"/>
      <c r="E2565" s="7"/>
      <c r="G2565" s="5">
        <f t="shared" si="1"/>
        <v>0.2</v>
      </c>
      <c r="I2565" s="5">
        <v>0.2</v>
      </c>
    </row>
    <row r="2566" ht="12.75" customHeight="1">
      <c r="A2566" s="5" t="s">
        <v>1224</v>
      </c>
      <c r="B2566" s="7">
        <v>13.0</v>
      </c>
      <c r="C2566" s="7">
        <v>17.0</v>
      </c>
      <c r="D2566" s="7" t="s">
        <v>3890</v>
      </c>
      <c r="E2566" s="7"/>
      <c r="G2566" s="5" t="str">
        <f t="shared" si="1"/>
        <v>13, 17, PIDGEY</v>
      </c>
      <c r="I2566" s="5" t="s">
        <v>1224</v>
      </c>
    </row>
    <row r="2567" ht="12.75" customHeight="1">
      <c r="A2567" s="5" t="s">
        <v>3589</v>
      </c>
      <c r="B2567" s="7">
        <v>13.0</v>
      </c>
      <c r="C2567" s="7">
        <v>17.0</v>
      </c>
      <c r="D2567" s="7" t="s">
        <v>3732</v>
      </c>
      <c r="E2567" s="7"/>
      <c r="G2567" s="5" t="str">
        <f t="shared" si="1"/>
        <v>13, 17, ODDISH</v>
      </c>
      <c r="I2567" s="5" t="s">
        <v>3589</v>
      </c>
    </row>
    <row r="2568" ht="12.75" customHeight="1">
      <c r="A2568" s="5">
        <v>0.1</v>
      </c>
      <c r="B2568" s="5">
        <v>0.1</v>
      </c>
      <c r="C2568" s="7"/>
      <c r="D2568" s="7"/>
      <c r="E2568" s="7"/>
      <c r="G2568" s="5">
        <f t="shared" si="1"/>
        <v>0.1</v>
      </c>
      <c r="I2568" s="5">
        <v>0.1</v>
      </c>
    </row>
    <row r="2569" ht="12.75" customHeight="1">
      <c r="A2569" s="5" t="s">
        <v>3590</v>
      </c>
      <c r="B2569" s="7">
        <v>14.0</v>
      </c>
      <c r="C2569" s="7">
        <v>17.0</v>
      </c>
      <c r="D2569" s="7" t="s">
        <v>3891</v>
      </c>
      <c r="E2569" s="7"/>
      <c r="G2569" s="5" t="str">
        <f t="shared" si="1"/>
        <v>14, 17, BELLSPROUT</v>
      </c>
      <c r="I2569" s="5" t="s">
        <v>3590</v>
      </c>
    </row>
    <row r="2570" ht="12.75" customHeight="1">
      <c r="A2570" s="5" t="s">
        <v>3591</v>
      </c>
      <c r="B2570" s="7">
        <v>14.0</v>
      </c>
      <c r="C2570" s="7">
        <v>17.0</v>
      </c>
      <c r="D2570" s="7" t="s">
        <v>3903</v>
      </c>
      <c r="E2570" s="7"/>
      <c r="G2570" s="5" t="str">
        <f t="shared" si="1"/>
        <v>14, 17, MEOWTH</v>
      </c>
      <c r="I2570" s="5" t="s">
        <v>3591</v>
      </c>
    </row>
    <row r="2571" ht="12.75" customHeight="1">
      <c r="A2571" s="5" t="s">
        <v>3592</v>
      </c>
      <c r="B2571" s="7">
        <v>14.0</v>
      </c>
      <c r="C2571" s="7">
        <v>17.0</v>
      </c>
      <c r="D2571" s="7" t="s">
        <v>3800</v>
      </c>
      <c r="E2571" s="7"/>
      <c r="G2571" s="5" t="str">
        <f t="shared" si="1"/>
        <v>14, 17, PSYDUCK</v>
      </c>
      <c r="I2571" s="5" t="s">
        <v>3592</v>
      </c>
    </row>
    <row r="2572" ht="12.75" customHeight="1">
      <c r="A2572" s="5" t="s">
        <v>3593</v>
      </c>
      <c r="B2572" s="7">
        <v>14.0</v>
      </c>
      <c r="C2572" s="7">
        <v>17.0</v>
      </c>
      <c r="D2572" s="7" t="s">
        <v>3888</v>
      </c>
      <c r="E2572" s="7"/>
      <c r="G2572" s="5" t="str">
        <f t="shared" si="1"/>
        <v>14, 17, PIDGEOTTO</v>
      </c>
      <c r="I2572" s="5" t="s">
        <v>3593</v>
      </c>
    </row>
    <row r="2573" ht="12.75" customHeight="1">
      <c r="A2573" s="5">
        <v>0.05</v>
      </c>
      <c r="B2573" s="5">
        <v>0.05</v>
      </c>
      <c r="C2573" s="7"/>
      <c r="D2573" s="7"/>
      <c r="E2573" s="7"/>
      <c r="G2573" s="5">
        <f t="shared" si="1"/>
        <v>0.05</v>
      </c>
      <c r="I2573" s="5">
        <v>0.05</v>
      </c>
    </row>
    <row r="2574" ht="12.75" customHeight="1">
      <c r="A2574" s="5" t="s">
        <v>3594</v>
      </c>
      <c r="B2574" s="7">
        <v>16.0</v>
      </c>
      <c r="C2574" s="7">
        <v>16.0</v>
      </c>
      <c r="D2574" s="7" t="s">
        <v>3735</v>
      </c>
      <c r="E2574" s="7"/>
      <c r="G2574" s="5" t="str">
        <f t="shared" si="1"/>
        <v>16, 16, PIKACHU</v>
      </c>
      <c r="I2574" s="5" t="s">
        <v>3594</v>
      </c>
    </row>
    <row r="2575" ht="12.75" customHeight="1">
      <c r="A2575" s="5" t="s">
        <v>3595</v>
      </c>
      <c r="B2575" s="7">
        <v>16.0</v>
      </c>
      <c r="C2575" s="7">
        <v>16.0</v>
      </c>
      <c r="D2575" s="7" t="s">
        <v>3932</v>
      </c>
      <c r="E2575" s="7"/>
      <c r="G2575" s="5" t="str">
        <f t="shared" si="1"/>
        <v>16, 16, ABRA</v>
      </c>
      <c r="I2575" s="5" t="s">
        <v>3595</v>
      </c>
    </row>
    <row r="2576" ht="12.75" customHeight="1">
      <c r="A2576" s="5">
        <v>0.04</v>
      </c>
      <c r="B2576" s="5">
        <v>0.04</v>
      </c>
      <c r="C2576" s="7"/>
      <c r="D2576" s="7"/>
      <c r="E2576" s="7"/>
      <c r="G2576" s="5">
        <f t="shared" si="1"/>
        <v>0.04</v>
      </c>
      <c r="I2576" s="5">
        <v>0.04</v>
      </c>
    </row>
    <row r="2577" ht="12.75" customHeight="1">
      <c r="A2577" s="5" t="s">
        <v>3596</v>
      </c>
      <c r="B2577" s="7">
        <v>15.0</v>
      </c>
      <c r="C2577" s="7">
        <v>18.0</v>
      </c>
      <c r="D2577" s="7" t="s">
        <v>3892</v>
      </c>
      <c r="E2577" s="7"/>
      <c r="G2577" s="5" t="str">
        <f t="shared" si="1"/>
        <v>15, 18, VENONAT</v>
      </c>
      <c r="I2577" s="5" t="s">
        <v>3596</v>
      </c>
    </row>
    <row r="2578" ht="12.75" customHeight="1">
      <c r="A2578" s="5" t="s">
        <v>3597</v>
      </c>
      <c r="B2578" s="7">
        <v>15.0</v>
      </c>
      <c r="C2578" s="7">
        <v>18.0</v>
      </c>
      <c r="D2578" s="7" t="s">
        <v>3942</v>
      </c>
      <c r="E2578" s="7"/>
      <c r="G2578" s="5" t="str">
        <f t="shared" si="1"/>
        <v>15, 18, GLOOM</v>
      </c>
      <c r="I2578" s="5" t="s">
        <v>3597</v>
      </c>
    </row>
    <row r="2579" ht="12.75" customHeight="1">
      <c r="A2579" s="5">
        <v>0.01</v>
      </c>
      <c r="B2579" s="5">
        <v>0.01</v>
      </c>
      <c r="C2579" s="7"/>
      <c r="D2579" s="7"/>
      <c r="E2579" s="7"/>
      <c r="G2579" s="5">
        <f t="shared" si="1"/>
        <v>0.01</v>
      </c>
      <c r="I2579" s="5">
        <v>0.01</v>
      </c>
    </row>
    <row r="2580" ht="12.75" customHeight="1">
      <c r="A2580" s="5" t="s">
        <v>3598</v>
      </c>
      <c r="B2580" s="7">
        <v>17.0</v>
      </c>
      <c r="C2580" s="7">
        <v>17.0</v>
      </c>
      <c r="D2580" s="7" t="s">
        <v>3933</v>
      </c>
      <c r="E2580" s="7"/>
      <c r="G2580" s="5" t="str">
        <f t="shared" si="1"/>
        <v>17, 17, KADABRA</v>
      </c>
      <c r="I2580" s="5" t="s">
        <v>3598</v>
      </c>
    </row>
    <row r="2581" ht="12.75" customHeight="1">
      <c r="A2581" s="5" t="s">
        <v>3598</v>
      </c>
      <c r="B2581" s="7">
        <v>17.0</v>
      </c>
      <c r="C2581" s="7">
        <v>17.0</v>
      </c>
      <c r="D2581" s="7" t="s">
        <v>3933</v>
      </c>
      <c r="E2581" s="7"/>
      <c r="G2581" s="5" t="str">
        <f t="shared" si="1"/>
        <v>17, 17, KADABRA</v>
      </c>
      <c r="I2581" s="5" t="s">
        <v>3598</v>
      </c>
    </row>
    <row r="2582" ht="12.75" customHeight="1">
      <c r="A2582" s="5" t="s">
        <v>3599</v>
      </c>
      <c r="B2582" s="7">
        <v>2.0</v>
      </c>
      <c r="C2582" s="7">
        <v>34.0</v>
      </c>
      <c r="D2582" s="7">
        <v>40.0</v>
      </c>
      <c r="E2582" s="7" t="s">
        <v>3748</v>
      </c>
      <c r="G2582" s="5" t="str">
        <f t="shared" si="1"/>
        <v>2, 34, 40, TENTACOOL</v>
      </c>
      <c r="I2582" s="5" t="s">
        <v>3599</v>
      </c>
    </row>
    <row r="2583" ht="12.75" customHeight="1">
      <c r="A2583" s="5" t="s">
        <v>3600</v>
      </c>
      <c r="B2583" s="7">
        <v>34.0</v>
      </c>
      <c r="C2583" s="7">
        <v>40.0</v>
      </c>
      <c r="D2583" s="7" t="s">
        <v>3800</v>
      </c>
      <c r="E2583" s="7"/>
      <c r="G2583" s="5" t="str">
        <f t="shared" si="1"/>
        <v>34, 40, PSYDUCK</v>
      </c>
      <c r="I2583" s="5" t="s">
        <v>3600</v>
      </c>
    </row>
    <row r="2584" ht="12.75" customHeight="1">
      <c r="A2584" s="5" t="s">
        <v>3601</v>
      </c>
      <c r="B2584" s="7">
        <v>36.0</v>
      </c>
      <c r="C2584" s="7">
        <v>42.0</v>
      </c>
      <c r="D2584" s="7" t="s">
        <v>3898</v>
      </c>
      <c r="E2584" s="7"/>
      <c r="G2584" s="5" t="str">
        <f t="shared" si="1"/>
        <v>36, 42, TENTACRUEL</v>
      </c>
      <c r="I2584" s="5" t="s">
        <v>3601</v>
      </c>
    </row>
    <row r="2585" ht="12.75" customHeight="1">
      <c r="A2585" s="5" t="s">
        <v>3533</v>
      </c>
      <c r="B2585" s="7">
        <v>39.0</v>
      </c>
      <c r="C2585" s="7">
        <v>42.0</v>
      </c>
      <c r="D2585" s="7" t="s">
        <v>3802</v>
      </c>
      <c r="E2585" s="7"/>
      <c r="G2585" s="5" t="str">
        <f t="shared" si="1"/>
        <v>39, 42, GOLDUCK</v>
      </c>
      <c r="I2585" s="5" t="s">
        <v>3533</v>
      </c>
    </row>
    <row r="2586" ht="12.75" customHeight="1">
      <c r="A2586" s="5" t="s">
        <v>3602</v>
      </c>
      <c r="B2586" s="7">
        <v>39.0</v>
      </c>
      <c r="C2586" s="7">
        <v>42.0</v>
      </c>
      <c r="D2586" s="7" t="s">
        <v>3803</v>
      </c>
      <c r="E2586" s="7"/>
      <c r="G2586" s="5" t="str">
        <f t="shared" si="1"/>
        <v>39, 42, VAPOREON</v>
      </c>
      <c r="I2586" s="5" t="s">
        <v>3602</v>
      </c>
    </row>
    <row r="2587" ht="12.75" customHeight="1">
      <c r="A2587" s="5" t="s">
        <v>2926</v>
      </c>
      <c r="B2587" s="7">
        <v>20.0</v>
      </c>
      <c r="C2587" s="7" t="s">
        <v>3749</v>
      </c>
      <c r="D2587" s="7"/>
      <c r="E2587" s="7"/>
      <c r="G2587" s="5" t="str">
        <f t="shared" si="1"/>
        <v>old rod:</v>
      </c>
      <c r="I2587" s="5" t="s">
        <v>3750</v>
      </c>
    </row>
    <row r="2588" ht="12.75" customHeight="1">
      <c r="A2588" s="5" t="s">
        <v>500</v>
      </c>
      <c r="B2588" s="7">
        <v>19.0</v>
      </c>
      <c r="C2588" s="7">
        <v>26.0</v>
      </c>
      <c r="D2588" s="7" t="s">
        <v>3751</v>
      </c>
      <c r="E2588" s="7"/>
      <c r="G2588" s="5" t="str">
        <f t="shared" si="1"/>
        <v>19, 26, MAGIKARP</v>
      </c>
      <c r="I2588" s="5" t="s">
        <v>500</v>
      </c>
    </row>
    <row r="2589" ht="12.75" customHeight="1">
      <c r="A2589" s="5" t="s">
        <v>3353</v>
      </c>
      <c r="B2589" s="7">
        <v>19.0</v>
      </c>
      <c r="C2589" s="7">
        <v>26.0</v>
      </c>
      <c r="D2589" s="7" t="s">
        <v>3755</v>
      </c>
      <c r="E2589" s="7"/>
      <c r="G2589" s="5" t="str">
        <f t="shared" si="1"/>
        <v>19, 26, GYARADOS</v>
      </c>
      <c r="I2589" s="5" t="s">
        <v>3353</v>
      </c>
    </row>
    <row r="2590" ht="12.75" customHeight="1">
      <c r="A2590" s="5" t="s">
        <v>2847</v>
      </c>
      <c r="B2590" s="7" t="s">
        <v>2847</v>
      </c>
      <c r="C2590" s="7"/>
      <c r="D2590" s="7"/>
      <c r="E2590" s="7"/>
      <c r="G2590" s="5" t="str">
        <f t="shared" si="1"/>
        <v>good rod:</v>
      </c>
      <c r="I2590" s="5" t="s">
        <v>2847</v>
      </c>
    </row>
    <row r="2591" ht="12.75" customHeight="1">
      <c r="A2591" s="5" t="s">
        <v>3354</v>
      </c>
      <c r="B2591" s="7">
        <v>29.0</v>
      </c>
      <c r="C2591" s="7">
        <v>33.0</v>
      </c>
      <c r="D2591" s="7" t="s">
        <v>3756</v>
      </c>
      <c r="E2591" s="7"/>
      <c r="G2591" s="5" t="str">
        <f t="shared" si="1"/>
        <v>29, 33, SLOWPOKE</v>
      </c>
      <c r="I2591" s="5" t="s">
        <v>3354</v>
      </c>
    </row>
    <row r="2592" ht="12.75" customHeight="1">
      <c r="A2592" s="5" t="s">
        <v>3028</v>
      </c>
      <c r="B2592" s="7">
        <v>30.0</v>
      </c>
      <c r="C2592" s="7">
        <v>35.0</v>
      </c>
      <c r="D2592" s="7" t="s">
        <v>3752</v>
      </c>
      <c r="E2592" s="7"/>
      <c r="G2592" s="5" t="str">
        <f t="shared" si="1"/>
        <v>30, 35, KRABBY</v>
      </c>
      <c r="I2592" s="5" t="s">
        <v>3028</v>
      </c>
    </row>
    <row r="2593" ht="12.75" customHeight="1">
      <c r="A2593" s="5" t="s">
        <v>3355</v>
      </c>
      <c r="B2593" s="7">
        <v>30.0</v>
      </c>
      <c r="C2593" s="7">
        <v>35.0</v>
      </c>
      <c r="D2593" s="7" t="s">
        <v>3800</v>
      </c>
      <c r="E2593" s="7"/>
      <c r="G2593" s="5" t="str">
        <f t="shared" si="1"/>
        <v>30, 35, PSYDUCK</v>
      </c>
      <c r="I2593" s="5" t="s">
        <v>3355</v>
      </c>
    </row>
    <row r="2594" ht="12.75" customHeight="1">
      <c r="A2594" s="5" t="s">
        <v>2851</v>
      </c>
      <c r="B2594" s="7" t="s">
        <v>2851</v>
      </c>
      <c r="C2594" s="7"/>
      <c r="D2594" s="7"/>
      <c r="E2594" s="7"/>
      <c r="G2594" s="5" t="str">
        <f t="shared" si="1"/>
        <v>super rod:</v>
      </c>
      <c r="I2594" s="5" t="s">
        <v>2851</v>
      </c>
    </row>
    <row r="2595" ht="12.75" customHeight="1">
      <c r="A2595" s="5" t="s">
        <v>3356</v>
      </c>
      <c r="B2595" s="7">
        <v>36.0</v>
      </c>
      <c r="C2595" s="7">
        <v>40.0</v>
      </c>
      <c r="D2595" s="7" t="s">
        <v>3801</v>
      </c>
      <c r="E2595" s="7"/>
      <c r="G2595" s="5" t="str">
        <f t="shared" si="1"/>
        <v>36, 40, SLOWBRO</v>
      </c>
      <c r="I2595" s="5" t="s">
        <v>3356</v>
      </c>
    </row>
    <row r="2596" ht="12.75" customHeight="1">
      <c r="A2596" s="5" t="s">
        <v>3357</v>
      </c>
      <c r="B2596" s="7">
        <v>36.0</v>
      </c>
      <c r="C2596" s="7">
        <v>40.0</v>
      </c>
      <c r="D2596" s="7" t="s">
        <v>3755</v>
      </c>
      <c r="E2596" s="7"/>
      <c r="G2596" s="5" t="str">
        <f t="shared" si="1"/>
        <v>36, 40, GYARADOS</v>
      </c>
      <c r="I2596" s="5" t="s">
        <v>3357</v>
      </c>
    </row>
    <row r="2597" ht="12.75" customHeight="1">
      <c r="A2597" s="5" t="s">
        <v>3358</v>
      </c>
      <c r="B2597" s="7">
        <v>38.0</v>
      </c>
      <c r="C2597" s="7">
        <v>42.0</v>
      </c>
      <c r="D2597" s="7" t="s">
        <v>3802</v>
      </c>
      <c r="E2597" s="7"/>
      <c r="G2597" s="5" t="str">
        <f t="shared" si="1"/>
        <v>38, 42, GOLDUCK</v>
      </c>
      <c r="I2597" s="5" t="s">
        <v>3358</v>
      </c>
    </row>
    <row r="2598" ht="12.75" customHeight="1">
      <c r="A2598" s="5" t="s">
        <v>3359</v>
      </c>
      <c r="B2598" s="7">
        <v>38.0</v>
      </c>
      <c r="C2598" s="7">
        <v>42.0</v>
      </c>
      <c r="D2598" s="7" t="s">
        <v>3860</v>
      </c>
      <c r="E2598" s="7"/>
      <c r="G2598" s="5" t="str">
        <f t="shared" si="1"/>
        <v>38, 42, KINGLER</v>
      </c>
      <c r="I2598" s="5" t="s">
        <v>3359</v>
      </c>
    </row>
    <row r="2599" ht="12.75" customHeight="1">
      <c r="A2599" s="5" t="s">
        <v>3360</v>
      </c>
      <c r="B2599" s="7">
        <v>40.0</v>
      </c>
      <c r="C2599" s="7">
        <v>44.0</v>
      </c>
      <c r="D2599" s="7" t="s">
        <v>3856</v>
      </c>
      <c r="E2599" s="7"/>
      <c r="G2599" s="5" t="str">
        <f t="shared" si="1"/>
        <v>40, 44, SLOWMATE</v>
      </c>
      <c r="I2599" s="5" t="s">
        <v>3360</v>
      </c>
    </row>
    <row r="2600" ht="12.75" customHeight="1">
      <c r="A2600" s="5" t="s">
        <v>2539</v>
      </c>
      <c r="B2600" s="7" t="s">
        <v>2539</v>
      </c>
      <c r="C2600" s="7"/>
      <c r="D2600" s="7"/>
      <c r="E2600" s="7"/>
      <c r="G2600" s="5" t="str">
        <f t="shared" si="1"/>
        <v>NEW ROUTE</v>
      </c>
      <c r="I2600" s="5" t="s">
        <v>2539</v>
      </c>
    </row>
    <row r="2601" ht="12.75" customHeight="1">
      <c r="A2601" s="5" t="s">
        <v>2154</v>
      </c>
      <c r="B2601" s="7" t="s">
        <v>2154</v>
      </c>
      <c r="C2601" s="7"/>
      <c r="D2601" s="7"/>
      <c r="E2601" s="7"/>
      <c r="G2601" s="5" t="str">
        <f t="shared" si="1"/>
        <v>Route 25</v>
      </c>
      <c r="I2601" s="5" t="s">
        <v>2154</v>
      </c>
    </row>
    <row r="2602" ht="12.75" customHeight="1">
      <c r="A2602" s="5">
        <v>0.2</v>
      </c>
      <c r="B2602" s="5">
        <v>0.2</v>
      </c>
      <c r="C2602" s="7"/>
      <c r="D2602" s="7"/>
      <c r="E2602" s="7"/>
      <c r="G2602" s="5">
        <f t="shared" si="1"/>
        <v>0.2</v>
      </c>
      <c r="I2602" s="5">
        <v>0.2</v>
      </c>
    </row>
    <row r="2603" ht="12.75" customHeight="1">
      <c r="A2603" s="5" t="s">
        <v>1240</v>
      </c>
      <c r="B2603" s="7">
        <v>14.0</v>
      </c>
      <c r="C2603" s="7">
        <v>17.0</v>
      </c>
      <c r="D2603" s="7" t="s">
        <v>3890</v>
      </c>
      <c r="E2603" s="7"/>
      <c r="G2603" s="5" t="str">
        <f t="shared" si="1"/>
        <v>14, 17, PIDGEY</v>
      </c>
      <c r="I2603" s="5" t="s">
        <v>1240</v>
      </c>
    </row>
    <row r="2604" ht="12.75" customHeight="1">
      <c r="A2604" s="5" t="s">
        <v>3604</v>
      </c>
      <c r="B2604" s="7">
        <v>14.0</v>
      </c>
      <c r="C2604" s="7">
        <v>17.0</v>
      </c>
      <c r="D2604" s="7" t="s">
        <v>3732</v>
      </c>
      <c r="E2604" s="7"/>
      <c r="G2604" s="5" t="str">
        <f t="shared" si="1"/>
        <v>14, 17, ODDISH</v>
      </c>
      <c r="I2604" s="5" t="s">
        <v>3604</v>
      </c>
    </row>
    <row r="2605" ht="12.75" customHeight="1">
      <c r="A2605" s="5">
        <v>0.1</v>
      </c>
      <c r="B2605" s="5">
        <v>0.1</v>
      </c>
      <c r="C2605" s="7"/>
      <c r="D2605" s="7"/>
      <c r="E2605" s="7"/>
      <c r="G2605" s="5">
        <f t="shared" si="1"/>
        <v>0.1</v>
      </c>
      <c r="I2605" s="5">
        <v>0.1</v>
      </c>
    </row>
    <row r="2606" ht="12.75" customHeight="1">
      <c r="A2606" s="5" t="s">
        <v>3605</v>
      </c>
      <c r="B2606" s="7">
        <v>15.0</v>
      </c>
      <c r="C2606" s="7">
        <v>17.0</v>
      </c>
      <c r="D2606" s="7" t="s">
        <v>3891</v>
      </c>
      <c r="E2606" s="7"/>
      <c r="G2606" s="5" t="str">
        <f t="shared" si="1"/>
        <v>15, 17, BELLSPROUT</v>
      </c>
      <c r="I2606" s="5" t="s">
        <v>3605</v>
      </c>
    </row>
    <row r="2607" ht="12.75" customHeight="1">
      <c r="A2607" s="5" t="s">
        <v>3362</v>
      </c>
      <c r="B2607" s="7">
        <v>15.0</v>
      </c>
      <c r="C2607" s="7">
        <v>17.0</v>
      </c>
      <c r="D2607" s="7" t="s">
        <v>3903</v>
      </c>
      <c r="E2607" s="7"/>
      <c r="G2607" s="5" t="str">
        <f t="shared" si="1"/>
        <v>15, 17, MEOWTH</v>
      </c>
      <c r="I2607" s="5" t="s">
        <v>3362</v>
      </c>
    </row>
    <row r="2608" ht="12.75" customHeight="1">
      <c r="A2608" s="5" t="s">
        <v>3606</v>
      </c>
      <c r="B2608" s="7">
        <v>15.0</v>
      </c>
      <c r="C2608" s="7">
        <v>17.0</v>
      </c>
      <c r="D2608" s="7" t="s">
        <v>3800</v>
      </c>
      <c r="E2608" s="7"/>
      <c r="G2608" s="5" t="str">
        <f t="shared" si="1"/>
        <v>15, 17, PSYDUCK</v>
      </c>
      <c r="I2608" s="5" t="s">
        <v>3606</v>
      </c>
    </row>
    <row r="2609" ht="12.75" customHeight="1">
      <c r="A2609" s="5" t="s">
        <v>3607</v>
      </c>
      <c r="B2609" s="7">
        <v>15.0</v>
      </c>
      <c r="C2609" s="7">
        <v>17.0</v>
      </c>
      <c r="D2609" s="7" t="s">
        <v>3888</v>
      </c>
      <c r="E2609" s="7"/>
      <c r="G2609" s="5" t="str">
        <f t="shared" si="1"/>
        <v>15, 17, PIDGEOTTO</v>
      </c>
      <c r="I2609" s="5" t="s">
        <v>3607</v>
      </c>
    </row>
    <row r="2610" ht="12.75" customHeight="1">
      <c r="A2610" s="5">
        <v>0.05</v>
      </c>
      <c r="B2610" s="5">
        <v>0.05</v>
      </c>
      <c r="C2610" s="7"/>
      <c r="D2610" s="7"/>
      <c r="E2610" s="7"/>
      <c r="G2610" s="5">
        <f t="shared" si="1"/>
        <v>0.05</v>
      </c>
      <c r="I2610" s="5">
        <v>0.05</v>
      </c>
    </row>
    <row r="2611" ht="12.75" customHeight="1">
      <c r="A2611" s="5" t="s">
        <v>3594</v>
      </c>
      <c r="B2611" s="7">
        <v>16.0</v>
      </c>
      <c r="C2611" s="7">
        <v>16.0</v>
      </c>
      <c r="D2611" s="7" t="s">
        <v>3735</v>
      </c>
      <c r="E2611" s="7"/>
      <c r="G2611" s="5" t="str">
        <f t="shared" si="1"/>
        <v>16, 16, PIKACHU</v>
      </c>
      <c r="I2611" s="5" t="s">
        <v>3594</v>
      </c>
    </row>
    <row r="2612" ht="12.75" customHeight="1">
      <c r="A2612" s="5" t="s">
        <v>3595</v>
      </c>
      <c r="B2612" s="7">
        <v>16.0</v>
      </c>
      <c r="C2612" s="7">
        <v>16.0</v>
      </c>
      <c r="D2612" s="7" t="s">
        <v>3932</v>
      </c>
      <c r="E2612" s="7"/>
      <c r="G2612" s="5" t="str">
        <f t="shared" si="1"/>
        <v>16, 16, ABRA</v>
      </c>
      <c r="I2612" s="5" t="s">
        <v>3595</v>
      </c>
    </row>
    <row r="2613" ht="12.75" customHeight="1">
      <c r="A2613" s="5">
        <v>0.04</v>
      </c>
      <c r="B2613" s="5">
        <v>0.04</v>
      </c>
      <c r="C2613" s="7"/>
      <c r="D2613" s="7"/>
      <c r="E2613" s="7"/>
      <c r="G2613" s="5">
        <f t="shared" si="1"/>
        <v>0.04</v>
      </c>
      <c r="I2613" s="5">
        <v>0.04</v>
      </c>
    </row>
    <row r="2614" ht="12.75" customHeight="1">
      <c r="A2614" s="5" t="s">
        <v>3596</v>
      </c>
      <c r="B2614" s="7">
        <v>15.0</v>
      </c>
      <c r="C2614" s="7">
        <v>18.0</v>
      </c>
      <c r="D2614" s="7" t="s">
        <v>3892</v>
      </c>
      <c r="E2614" s="7"/>
      <c r="G2614" s="5" t="str">
        <f t="shared" si="1"/>
        <v>15, 18, VENONAT</v>
      </c>
      <c r="I2614" s="5" t="s">
        <v>3596</v>
      </c>
    </row>
    <row r="2615" ht="12.75" customHeight="1">
      <c r="A2615" s="5" t="s">
        <v>3597</v>
      </c>
      <c r="B2615" s="7">
        <v>15.0</v>
      </c>
      <c r="C2615" s="7">
        <v>18.0</v>
      </c>
      <c r="D2615" s="7" t="s">
        <v>3942</v>
      </c>
      <c r="E2615" s="7"/>
      <c r="G2615" s="5" t="str">
        <f t="shared" si="1"/>
        <v>15, 18, GLOOM</v>
      </c>
      <c r="I2615" s="5" t="s">
        <v>3597</v>
      </c>
    </row>
    <row r="2616" ht="12.75" customHeight="1">
      <c r="A2616" s="5">
        <v>0.01</v>
      </c>
      <c r="B2616" s="5">
        <v>0.01</v>
      </c>
      <c r="C2616" s="7"/>
      <c r="D2616" s="7"/>
      <c r="E2616" s="7"/>
      <c r="G2616" s="5">
        <f t="shared" si="1"/>
        <v>0.01</v>
      </c>
      <c r="I2616" s="5">
        <v>0.01</v>
      </c>
    </row>
    <row r="2617" ht="12.75" customHeight="1">
      <c r="A2617" s="5" t="s">
        <v>3608</v>
      </c>
      <c r="B2617" s="7">
        <v>18.0</v>
      </c>
      <c r="C2617" s="7">
        <v>18.0</v>
      </c>
      <c r="D2617" s="7" t="s">
        <v>3933</v>
      </c>
      <c r="E2617" s="7"/>
      <c r="G2617" s="5" t="str">
        <f t="shared" si="1"/>
        <v>18, 18, KADABRA</v>
      </c>
      <c r="I2617" s="5" t="s">
        <v>3608</v>
      </c>
    </row>
    <row r="2618" ht="12.75" customHeight="1">
      <c r="A2618" s="5" t="s">
        <v>3608</v>
      </c>
      <c r="B2618" s="7">
        <v>18.0</v>
      </c>
      <c r="C2618" s="7">
        <v>18.0</v>
      </c>
      <c r="D2618" s="7" t="s">
        <v>3933</v>
      </c>
      <c r="E2618" s="7"/>
      <c r="G2618" s="5" t="str">
        <f t="shared" si="1"/>
        <v>18, 18, KADABRA</v>
      </c>
      <c r="I2618" s="5" t="s">
        <v>3608</v>
      </c>
    </row>
    <row r="2619" ht="12.75" customHeight="1">
      <c r="A2619" s="5" t="s">
        <v>3599</v>
      </c>
      <c r="B2619" s="7">
        <v>2.0</v>
      </c>
      <c r="C2619" s="7">
        <v>34.0</v>
      </c>
      <c r="D2619" s="7">
        <v>40.0</v>
      </c>
      <c r="E2619" s="7" t="s">
        <v>3748</v>
      </c>
      <c r="G2619" s="5" t="str">
        <f t="shared" si="1"/>
        <v>2, 34, 40, TENTACOOL</v>
      </c>
      <c r="I2619" s="5" t="s">
        <v>3599</v>
      </c>
    </row>
    <row r="2620" ht="12.75" customHeight="1">
      <c r="A2620" s="5" t="s">
        <v>3600</v>
      </c>
      <c r="B2620" s="7">
        <v>34.0</v>
      </c>
      <c r="C2620" s="7">
        <v>40.0</v>
      </c>
      <c r="D2620" s="7" t="s">
        <v>3800</v>
      </c>
      <c r="E2620" s="7"/>
      <c r="G2620" s="5" t="str">
        <f t="shared" si="1"/>
        <v>34, 40, PSYDUCK</v>
      </c>
      <c r="I2620" s="5" t="s">
        <v>3600</v>
      </c>
    </row>
    <row r="2621" ht="12.75" customHeight="1">
      <c r="A2621" s="5" t="s">
        <v>3601</v>
      </c>
      <c r="B2621" s="7">
        <v>36.0</v>
      </c>
      <c r="C2621" s="7">
        <v>42.0</v>
      </c>
      <c r="D2621" s="7" t="s">
        <v>3898</v>
      </c>
      <c r="E2621" s="7"/>
      <c r="G2621" s="5" t="str">
        <f t="shared" si="1"/>
        <v>36, 42, TENTACRUEL</v>
      </c>
      <c r="I2621" s="5" t="s">
        <v>3601</v>
      </c>
    </row>
    <row r="2622" ht="12.75" customHeight="1">
      <c r="A2622" s="5" t="s">
        <v>3533</v>
      </c>
      <c r="B2622" s="7">
        <v>39.0</v>
      </c>
      <c r="C2622" s="7">
        <v>42.0</v>
      </c>
      <c r="D2622" s="7" t="s">
        <v>3802</v>
      </c>
      <c r="E2622" s="7"/>
      <c r="G2622" s="5" t="str">
        <f t="shared" si="1"/>
        <v>39, 42, GOLDUCK</v>
      </c>
      <c r="I2622" s="5" t="s">
        <v>3533</v>
      </c>
    </row>
    <row r="2623" ht="12.75" customHeight="1">
      <c r="A2623" s="5" t="s">
        <v>3602</v>
      </c>
      <c r="B2623" s="7">
        <v>39.0</v>
      </c>
      <c r="C2623" s="7">
        <v>42.0</v>
      </c>
      <c r="D2623" s="7" t="s">
        <v>3803</v>
      </c>
      <c r="E2623" s="7"/>
      <c r="G2623" s="5" t="str">
        <f t="shared" si="1"/>
        <v>39, 42, VAPOREON</v>
      </c>
      <c r="I2623" s="5" t="s">
        <v>3602</v>
      </c>
    </row>
    <row r="2624" ht="12.75" customHeight="1">
      <c r="A2624" s="5" t="s">
        <v>2926</v>
      </c>
      <c r="B2624" s="7">
        <v>20.0</v>
      </c>
      <c r="C2624" s="7" t="s">
        <v>3749</v>
      </c>
      <c r="D2624" s="7"/>
      <c r="E2624" s="7"/>
      <c r="G2624" s="5" t="str">
        <f t="shared" si="1"/>
        <v>old rod:</v>
      </c>
      <c r="I2624" s="5" t="s">
        <v>3750</v>
      </c>
    </row>
    <row r="2625" ht="12.75" customHeight="1">
      <c r="A2625" s="5" t="s">
        <v>500</v>
      </c>
      <c r="B2625" s="7">
        <v>19.0</v>
      </c>
      <c r="C2625" s="7">
        <v>26.0</v>
      </c>
      <c r="D2625" s="7" t="s">
        <v>3751</v>
      </c>
      <c r="E2625" s="7"/>
      <c r="G2625" s="5" t="str">
        <f t="shared" si="1"/>
        <v>19, 26, MAGIKARP</v>
      </c>
      <c r="I2625" s="5" t="s">
        <v>500</v>
      </c>
    </row>
    <row r="2626" ht="12.75" customHeight="1">
      <c r="A2626" s="5" t="s">
        <v>3353</v>
      </c>
      <c r="B2626" s="7">
        <v>19.0</v>
      </c>
      <c r="C2626" s="7">
        <v>26.0</v>
      </c>
      <c r="D2626" s="7" t="s">
        <v>3755</v>
      </c>
      <c r="E2626" s="7"/>
      <c r="G2626" s="5" t="str">
        <f t="shared" si="1"/>
        <v>19, 26, GYARADOS</v>
      </c>
      <c r="I2626" s="5" t="s">
        <v>3353</v>
      </c>
    </row>
    <row r="2627" ht="12.75" customHeight="1">
      <c r="A2627" s="5" t="s">
        <v>2847</v>
      </c>
      <c r="B2627" s="7" t="s">
        <v>2847</v>
      </c>
      <c r="C2627" s="7"/>
      <c r="D2627" s="7"/>
      <c r="E2627" s="7"/>
      <c r="G2627" s="5" t="str">
        <f t="shared" si="1"/>
        <v>good rod:</v>
      </c>
      <c r="I2627" s="5" t="s">
        <v>2847</v>
      </c>
    </row>
    <row r="2628" ht="12.75" customHeight="1">
      <c r="A2628" s="5" t="s">
        <v>3354</v>
      </c>
      <c r="B2628" s="7">
        <v>29.0</v>
      </c>
      <c r="C2628" s="7">
        <v>33.0</v>
      </c>
      <c r="D2628" s="7" t="s">
        <v>3756</v>
      </c>
      <c r="E2628" s="7"/>
      <c r="G2628" s="5" t="str">
        <f t="shared" si="1"/>
        <v>29, 33, SLOWPOKE</v>
      </c>
      <c r="I2628" s="5" t="s">
        <v>3354</v>
      </c>
    </row>
    <row r="2629" ht="12.75" customHeight="1">
      <c r="A2629" s="5" t="s">
        <v>3028</v>
      </c>
      <c r="B2629" s="7">
        <v>30.0</v>
      </c>
      <c r="C2629" s="7">
        <v>35.0</v>
      </c>
      <c r="D2629" s="7" t="s">
        <v>3752</v>
      </c>
      <c r="E2629" s="7"/>
      <c r="G2629" s="5" t="str">
        <f t="shared" si="1"/>
        <v>30, 35, KRABBY</v>
      </c>
      <c r="I2629" s="5" t="s">
        <v>3028</v>
      </c>
    </row>
    <row r="2630" ht="12.75" customHeight="1">
      <c r="A2630" s="5" t="s">
        <v>3355</v>
      </c>
      <c r="B2630" s="7">
        <v>30.0</v>
      </c>
      <c r="C2630" s="7">
        <v>35.0</v>
      </c>
      <c r="D2630" s="7" t="s">
        <v>3800</v>
      </c>
      <c r="E2630" s="7"/>
      <c r="G2630" s="5" t="str">
        <f t="shared" si="1"/>
        <v>30, 35, PSYDUCK</v>
      </c>
      <c r="I2630" s="5" t="s">
        <v>3355</v>
      </c>
    </row>
    <row r="2631" ht="12.75" customHeight="1">
      <c r="A2631" s="5" t="s">
        <v>2851</v>
      </c>
      <c r="B2631" s="7" t="s">
        <v>2851</v>
      </c>
      <c r="C2631" s="7"/>
      <c r="D2631" s="7"/>
      <c r="E2631" s="7"/>
      <c r="G2631" s="5" t="str">
        <f t="shared" si="1"/>
        <v>super rod:</v>
      </c>
      <c r="I2631" s="5" t="s">
        <v>2851</v>
      </c>
    </row>
    <row r="2632" ht="12.75" customHeight="1">
      <c r="A2632" s="5" t="s">
        <v>3356</v>
      </c>
      <c r="B2632" s="7">
        <v>36.0</v>
      </c>
      <c r="C2632" s="7">
        <v>40.0</v>
      </c>
      <c r="D2632" s="7" t="s">
        <v>3801</v>
      </c>
      <c r="E2632" s="7"/>
      <c r="G2632" s="5" t="str">
        <f t="shared" si="1"/>
        <v>36, 40, SLOWBRO</v>
      </c>
      <c r="I2632" s="5" t="s">
        <v>3356</v>
      </c>
    </row>
    <row r="2633" ht="12.75" customHeight="1">
      <c r="A2633" s="5" t="s">
        <v>3357</v>
      </c>
      <c r="B2633" s="7">
        <v>36.0</v>
      </c>
      <c r="C2633" s="7">
        <v>40.0</v>
      </c>
      <c r="D2633" s="7" t="s">
        <v>3755</v>
      </c>
      <c r="E2633" s="7"/>
      <c r="G2633" s="5" t="str">
        <f t="shared" si="1"/>
        <v>36, 40, GYARADOS</v>
      </c>
      <c r="I2633" s="5" t="s">
        <v>3357</v>
      </c>
    </row>
    <row r="2634" ht="12.75" customHeight="1">
      <c r="A2634" s="5" t="s">
        <v>3358</v>
      </c>
      <c r="B2634" s="7">
        <v>38.0</v>
      </c>
      <c r="C2634" s="7">
        <v>42.0</v>
      </c>
      <c r="D2634" s="7" t="s">
        <v>3802</v>
      </c>
      <c r="E2634" s="7"/>
      <c r="G2634" s="5" t="str">
        <f t="shared" si="1"/>
        <v>38, 42, GOLDUCK</v>
      </c>
      <c r="I2634" s="5" t="s">
        <v>3358</v>
      </c>
    </row>
    <row r="2635" ht="12.75" customHeight="1">
      <c r="A2635" s="5" t="s">
        <v>3359</v>
      </c>
      <c r="B2635" s="7">
        <v>38.0</v>
      </c>
      <c r="C2635" s="7">
        <v>42.0</v>
      </c>
      <c r="D2635" s="7" t="s">
        <v>3860</v>
      </c>
      <c r="E2635" s="7"/>
      <c r="G2635" s="5" t="str">
        <f t="shared" si="1"/>
        <v>38, 42, KINGLER</v>
      </c>
      <c r="I2635" s="5" t="s">
        <v>3359</v>
      </c>
    </row>
    <row r="2636" ht="12.75" customHeight="1">
      <c r="A2636" s="5" t="s">
        <v>3360</v>
      </c>
      <c r="B2636" s="7">
        <v>40.0</v>
      </c>
      <c r="C2636" s="7">
        <v>44.0</v>
      </c>
      <c r="D2636" s="7" t="s">
        <v>3856</v>
      </c>
      <c r="E2636" s="7"/>
      <c r="G2636" s="5" t="str">
        <f t="shared" si="1"/>
        <v>40, 44, SLOWMATE</v>
      </c>
      <c r="I2636" s="5" t="s">
        <v>3360</v>
      </c>
    </row>
    <row r="2637" ht="12.75" customHeight="1">
      <c r="A2637" s="5" t="s">
        <v>2539</v>
      </c>
      <c r="B2637" s="7" t="s">
        <v>2539</v>
      </c>
      <c r="C2637" s="7"/>
      <c r="D2637" s="7"/>
      <c r="E2637" s="7"/>
      <c r="G2637" s="5" t="str">
        <f t="shared" si="1"/>
        <v>NEW ROUTE</v>
      </c>
      <c r="I2637" s="5" t="s">
        <v>2539</v>
      </c>
    </row>
    <row r="2638" ht="12.75" customHeight="1">
      <c r="A2638" s="5" t="s">
        <v>2066</v>
      </c>
      <c r="B2638" s="7" t="s">
        <v>2066</v>
      </c>
      <c r="C2638" s="7"/>
      <c r="D2638" s="7"/>
      <c r="E2638" s="7"/>
      <c r="G2638" s="5" t="str">
        <f t="shared" si="1"/>
        <v>Pallet Town</v>
      </c>
      <c r="I2638" s="5" t="s">
        <v>2066</v>
      </c>
    </row>
    <row r="2639" ht="12.75" customHeight="1">
      <c r="A2639" s="5" t="s">
        <v>3610</v>
      </c>
      <c r="B2639" s="7">
        <v>1.0</v>
      </c>
      <c r="C2639" s="7">
        <v>38.0</v>
      </c>
      <c r="D2639" s="7">
        <v>42.0</v>
      </c>
      <c r="E2639" s="7" t="s">
        <v>3748</v>
      </c>
      <c r="G2639" s="5" t="str">
        <f t="shared" si="1"/>
        <v>1, 38, 42, TENTACOOL</v>
      </c>
      <c r="I2639" s="5" t="s">
        <v>3610</v>
      </c>
    </row>
    <row r="2640" ht="12.75" customHeight="1">
      <c r="A2640" s="5" t="s">
        <v>3429</v>
      </c>
      <c r="B2640" s="7">
        <v>40.0</v>
      </c>
      <c r="C2640" s="7">
        <v>44.0</v>
      </c>
      <c r="D2640" s="7" t="s">
        <v>3898</v>
      </c>
      <c r="E2640" s="7"/>
      <c r="G2640" s="5" t="str">
        <f t="shared" si="1"/>
        <v>40, 44, TENTACRUEL</v>
      </c>
      <c r="I2640" s="5" t="s">
        <v>3429</v>
      </c>
    </row>
    <row r="2641" ht="12.75" customHeight="1">
      <c r="A2641" s="5" t="s">
        <v>3025</v>
      </c>
      <c r="B2641" s="7">
        <v>42.0</v>
      </c>
      <c r="C2641" s="7">
        <v>46.0</v>
      </c>
      <c r="D2641" s="7" t="s">
        <v>3861</v>
      </c>
      <c r="E2641" s="7"/>
      <c r="G2641" s="5" t="str">
        <f t="shared" si="1"/>
        <v>42, 46, LAPRAS</v>
      </c>
      <c r="I2641" s="5" t="s">
        <v>3025</v>
      </c>
    </row>
    <row r="2642" ht="12.75" customHeight="1">
      <c r="A2642" s="5" t="s">
        <v>3430</v>
      </c>
      <c r="B2642" s="7">
        <v>42.0</v>
      </c>
      <c r="C2642" s="7">
        <v>46.0</v>
      </c>
      <c r="D2642" s="7" t="s">
        <v>3931</v>
      </c>
      <c r="E2642" s="7"/>
      <c r="G2642" s="5" t="str">
        <f t="shared" si="1"/>
        <v>42, 46, TENTACATE</v>
      </c>
      <c r="I2642" s="5" t="s">
        <v>3430</v>
      </c>
    </row>
    <row r="2643" ht="12.75" customHeight="1">
      <c r="A2643" s="5" t="s">
        <v>3450</v>
      </c>
      <c r="B2643" s="7">
        <v>44.0</v>
      </c>
      <c r="C2643" s="7">
        <v>48.0</v>
      </c>
      <c r="D2643" s="7" t="s">
        <v>3934</v>
      </c>
      <c r="E2643" s="7"/>
      <c r="G2643" s="5" t="str">
        <f t="shared" si="1"/>
        <v>44, 48, LOCHLASS</v>
      </c>
      <c r="I2643" s="5" t="s">
        <v>3450</v>
      </c>
    </row>
    <row r="2644" ht="12.75" customHeight="1">
      <c r="A2644" s="5" t="s">
        <v>2846</v>
      </c>
      <c r="B2644" s="7">
        <v>10.0</v>
      </c>
      <c r="C2644" s="7" t="s">
        <v>3749</v>
      </c>
      <c r="D2644" s="7"/>
      <c r="E2644" s="7"/>
      <c r="G2644" s="5" t="str">
        <f t="shared" si="1"/>
        <v>old rod:</v>
      </c>
      <c r="I2644" s="5" t="s">
        <v>3750</v>
      </c>
    </row>
    <row r="2645" ht="12.75" customHeight="1">
      <c r="A2645" s="5" t="s">
        <v>500</v>
      </c>
      <c r="B2645" s="7">
        <v>19.0</v>
      </c>
      <c r="C2645" s="7">
        <v>26.0</v>
      </c>
      <c r="D2645" s="7" t="s">
        <v>3751</v>
      </c>
      <c r="E2645" s="7"/>
      <c r="G2645" s="5" t="str">
        <f t="shared" si="1"/>
        <v>19, 26, MAGIKARP</v>
      </c>
      <c r="I2645" s="5" t="s">
        <v>500</v>
      </c>
    </row>
    <row r="2646" ht="12.75" customHeight="1">
      <c r="A2646" s="5" t="s">
        <v>3353</v>
      </c>
      <c r="B2646" s="7">
        <v>19.0</v>
      </c>
      <c r="C2646" s="7">
        <v>26.0</v>
      </c>
      <c r="D2646" s="7" t="s">
        <v>3755</v>
      </c>
      <c r="E2646" s="7"/>
      <c r="G2646" s="5" t="str">
        <f t="shared" si="1"/>
        <v>19, 26, GYARADOS</v>
      </c>
      <c r="I2646" s="5" t="s">
        <v>3353</v>
      </c>
    </row>
    <row r="2647" ht="12.75" customHeight="1">
      <c r="A2647" s="5" t="s">
        <v>2847</v>
      </c>
      <c r="B2647" s="7" t="s">
        <v>2847</v>
      </c>
      <c r="C2647" s="7"/>
      <c r="D2647" s="7"/>
      <c r="E2647" s="7"/>
      <c r="G2647" s="5" t="str">
        <f t="shared" si="1"/>
        <v>good rod:</v>
      </c>
      <c r="I2647" s="5" t="s">
        <v>2847</v>
      </c>
    </row>
    <row r="2648" ht="12.75" customHeight="1">
      <c r="A2648" s="5" t="s">
        <v>3431</v>
      </c>
      <c r="B2648" s="7">
        <v>29.0</v>
      </c>
      <c r="C2648" s="7">
        <v>33.0</v>
      </c>
      <c r="D2648" s="7" t="s">
        <v>3753</v>
      </c>
      <c r="E2648" s="7"/>
      <c r="G2648" s="5" t="str">
        <f t="shared" si="1"/>
        <v>29, 33, HORSEA</v>
      </c>
      <c r="I2648" s="5" t="s">
        <v>3431</v>
      </c>
    </row>
    <row r="2649" ht="12.75" customHeight="1">
      <c r="A2649" s="5" t="s">
        <v>3028</v>
      </c>
      <c r="B2649" s="7">
        <v>30.0</v>
      </c>
      <c r="C2649" s="7">
        <v>35.0</v>
      </c>
      <c r="D2649" s="7" t="s">
        <v>3752</v>
      </c>
      <c r="E2649" s="7"/>
      <c r="G2649" s="5" t="str">
        <f t="shared" si="1"/>
        <v>30, 35, KRABBY</v>
      </c>
      <c r="I2649" s="5" t="s">
        <v>3028</v>
      </c>
    </row>
    <row r="2650" ht="12.75" customHeight="1">
      <c r="A2650" s="5" t="s">
        <v>3452</v>
      </c>
      <c r="B2650" s="7">
        <v>30.0</v>
      </c>
      <c r="C2650" s="7">
        <v>35.0</v>
      </c>
      <c r="D2650" s="7" t="s">
        <v>3754</v>
      </c>
      <c r="E2650" s="7"/>
      <c r="G2650" s="5" t="str">
        <f t="shared" si="1"/>
        <v>30, 35, STARYU</v>
      </c>
      <c r="I2650" s="5" t="s">
        <v>3452</v>
      </c>
    </row>
    <row r="2651" ht="12.75" customHeight="1">
      <c r="A2651" s="5" t="s">
        <v>2851</v>
      </c>
      <c r="B2651" s="7" t="s">
        <v>2851</v>
      </c>
      <c r="C2651" s="7"/>
      <c r="D2651" s="7"/>
      <c r="E2651" s="7"/>
      <c r="G2651" s="5" t="str">
        <f t="shared" si="1"/>
        <v>super rod:</v>
      </c>
      <c r="I2651" s="5" t="s">
        <v>2851</v>
      </c>
    </row>
    <row r="2652" ht="12.75" customHeight="1">
      <c r="A2652" s="5" t="s">
        <v>3433</v>
      </c>
      <c r="B2652" s="7">
        <v>36.0</v>
      </c>
      <c r="C2652" s="7">
        <v>40.0</v>
      </c>
      <c r="D2652" s="7" t="s">
        <v>3859</v>
      </c>
      <c r="E2652" s="7"/>
      <c r="G2652" s="5" t="str">
        <f t="shared" si="1"/>
        <v>36, 40, SEADRA</v>
      </c>
      <c r="I2652" s="5" t="s">
        <v>3433</v>
      </c>
    </row>
    <row r="2653" ht="12.75" customHeight="1">
      <c r="A2653" s="5" t="s">
        <v>3357</v>
      </c>
      <c r="B2653" s="7">
        <v>36.0</v>
      </c>
      <c r="C2653" s="7">
        <v>40.0</v>
      </c>
      <c r="D2653" s="7" t="s">
        <v>3755</v>
      </c>
      <c r="E2653" s="7"/>
      <c r="G2653" s="5" t="str">
        <f t="shared" si="1"/>
        <v>36, 40, GYARADOS</v>
      </c>
      <c r="I2653" s="5" t="s">
        <v>3357</v>
      </c>
    </row>
    <row r="2654" ht="12.75" customHeight="1">
      <c r="A2654" s="5" t="s">
        <v>3453</v>
      </c>
      <c r="B2654" s="7">
        <v>38.0</v>
      </c>
      <c r="C2654" s="7">
        <v>42.0</v>
      </c>
      <c r="D2654" s="7" t="s">
        <v>3935</v>
      </c>
      <c r="E2654" s="7"/>
      <c r="G2654" s="5" t="str">
        <f t="shared" si="1"/>
        <v>38, 42, STARMIE</v>
      </c>
      <c r="I2654" s="5" t="s">
        <v>3453</v>
      </c>
    </row>
    <row r="2655" ht="12.75" customHeight="1">
      <c r="A2655" s="5" t="s">
        <v>3359</v>
      </c>
      <c r="B2655" s="7">
        <v>38.0</v>
      </c>
      <c r="C2655" s="7">
        <v>42.0</v>
      </c>
      <c r="D2655" s="7" t="s">
        <v>3860</v>
      </c>
      <c r="E2655" s="7"/>
      <c r="G2655" s="5" t="str">
        <f t="shared" si="1"/>
        <v>38, 42, KINGLER</v>
      </c>
      <c r="I2655" s="5" t="s">
        <v>3359</v>
      </c>
    </row>
    <row r="2656" ht="12.75" customHeight="1">
      <c r="A2656" s="5" t="s">
        <v>3611</v>
      </c>
      <c r="B2656" s="7">
        <v>40.0</v>
      </c>
      <c r="C2656" s="7">
        <v>44.0</v>
      </c>
      <c r="D2656" s="7" t="s">
        <v>3936</v>
      </c>
      <c r="E2656" s="7"/>
      <c r="G2656" s="5" t="str">
        <f t="shared" si="1"/>
        <v>40, 44, STARUS</v>
      </c>
      <c r="I2656" s="5" t="s">
        <v>3611</v>
      </c>
    </row>
    <row r="2657" ht="12.75" customHeight="1">
      <c r="A2657" s="5" t="s">
        <v>2539</v>
      </c>
      <c r="B2657" s="7" t="s">
        <v>2539</v>
      </c>
      <c r="C2657" s="7"/>
      <c r="D2657" s="7"/>
      <c r="E2657" s="7"/>
      <c r="G2657" s="5" t="str">
        <f t="shared" si="1"/>
        <v>NEW ROUTE</v>
      </c>
      <c r="I2657" s="5" t="s">
        <v>2539</v>
      </c>
    </row>
    <row r="2658" ht="12.75" customHeight="1">
      <c r="A2658" s="5" t="s">
        <v>2068</v>
      </c>
      <c r="B2658" s="7" t="s">
        <v>2068</v>
      </c>
      <c r="C2658" s="7"/>
      <c r="D2658" s="7"/>
      <c r="E2658" s="7"/>
      <c r="G2658" s="5" t="str">
        <f t="shared" si="1"/>
        <v>Viridian City</v>
      </c>
      <c r="I2658" s="5" t="s">
        <v>2068</v>
      </c>
    </row>
    <row r="2659" ht="12.75" customHeight="1">
      <c r="A2659" s="5" t="s">
        <v>3613</v>
      </c>
      <c r="B2659" s="7">
        <v>1.0</v>
      </c>
      <c r="C2659" s="7">
        <v>38.0</v>
      </c>
      <c r="D2659" s="7">
        <v>42.0</v>
      </c>
      <c r="E2659" s="7" t="s">
        <v>3800</v>
      </c>
      <c r="G2659" s="5" t="str">
        <f t="shared" si="1"/>
        <v>1, 38, 42, PSYDUCK</v>
      </c>
      <c r="I2659" s="5" t="s">
        <v>3613</v>
      </c>
    </row>
    <row r="2660" ht="12.75" customHeight="1">
      <c r="A2660" s="5" t="s">
        <v>3375</v>
      </c>
      <c r="B2660" s="7">
        <v>40.0</v>
      </c>
      <c r="C2660" s="7">
        <v>44.0</v>
      </c>
      <c r="D2660" s="7" t="s">
        <v>3756</v>
      </c>
      <c r="E2660" s="7"/>
      <c r="G2660" s="5" t="str">
        <f t="shared" si="1"/>
        <v>40, 44, SLOWPOKE</v>
      </c>
      <c r="I2660" s="5" t="s">
        <v>3375</v>
      </c>
    </row>
    <row r="2661" ht="12.75" customHeight="1">
      <c r="A2661" s="5" t="s">
        <v>2924</v>
      </c>
      <c r="B2661" s="7">
        <v>42.0</v>
      </c>
      <c r="C2661" s="7">
        <v>46.0</v>
      </c>
      <c r="D2661" s="7" t="s">
        <v>3802</v>
      </c>
      <c r="E2661" s="7"/>
      <c r="G2661" s="5" t="str">
        <f t="shared" si="1"/>
        <v>42, 46, GOLDUCK</v>
      </c>
      <c r="I2661" s="5" t="s">
        <v>2924</v>
      </c>
    </row>
    <row r="2662" ht="12.75" customHeight="1">
      <c r="A2662" s="5" t="s">
        <v>2923</v>
      </c>
      <c r="B2662" s="7">
        <v>42.0</v>
      </c>
      <c r="C2662" s="7">
        <v>46.0</v>
      </c>
      <c r="D2662" s="7" t="s">
        <v>3801</v>
      </c>
      <c r="E2662" s="7"/>
      <c r="G2662" s="5" t="str">
        <f t="shared" si="1"/>
        <v>42, 46, SLOWBRO</v>
      </c>
      <c r="I2662" s="5" t="s">
        <v>2923</v>
      </c>
    </row>
    <row r="2663" ht="12.75" customHeight="1">
      <c r="A2663" s="5" t="s">
        <v>3614</v>
      </c>
      <c r="B2663" s="7">
        <v>44.0</v>
      </c>
      <c r="C2663" s="7">
        <v>48.0</v>
      </c>
      <c r="D2663" s="7" t="s">
        <v>3855</v>
      </c>
      <c r="E2663" s="7"/>
      <c r="G2663" s="5" t="str">
        <f t="shared" si="1"/>
        <v>44, 48, GILDUCK</v>
      </c>
      <c r="I2663" s="5" t="s">
        <v>3614</v>
      </c>
    </row>
    <row r="2664" ht="12.75" customHeight="1">
      <c r="A2664" s="5" t="s">
        <v>2846</v>
      </c>
      <c r="B2664" s="7">
        <v>10.0</v>
      </c>
      <c r="C2664" s="7" t="s">
        <v>3749</v>
      </c>
      <c r="D2664" s="7"/>
      <c r="E2664" s="7"/>
      <c r="G2664" s="5" t="str">
        <f t="shared" si="1"/>
        <v>old rod:</v>
      </c>
      <c r="I2664" s="5" t="s">
        <v>3750</v>
      </c>
    </row>
    <row r="2665" ht="12.75" customHeight="1">
      <c r="A2665" s="5" t="s">
        <v>500</v>
      </c>
      <c r="B2665" s="7">
        <v>19.0</v>
      </c>
      <c r="C2665" s="7">
        <v>26.0</v>
      </c>
      <c r="D2665" s="7" t="s">
        <v>3751</v>
      </c>
      <c r="E2665" s="7"/>
      <c r="G2665" s="5" t="str">
        <f t="shared" si="1"/>
        <v>19, 26, MAGIKARP</v>
      </c>
      <c r="I2665" s="5" t="s">
        <v>500</v>
      </c>
    </row>
    <row r="2666" ht="12.75" customHeight="1">
      <c r="A2666" s="5" t="s">
        <v>2927</v>
      </c>
      <c r="B2666" s="7">
        <v>19.0</v>
      </c>
      <c r="C2666" s="7">
        <v>26.0</v>
      </c>
      <c r="D2666" s="7" t="s">
        <v>3804</v>
      </c>
      <c r="E2666" s="7"/>
      <c r="G2666" s="5" t="str">
        <f t="shared" si="1"/>
        <v>19, 26, POLIWAG</v>
      </c>
      <c r="I2666" s="5" t="s">
        <v>2927</v>
      </c>
    </row>
    <row r="2667" ht="12.75" customHeight="1">
      <c r="A2667" s="5" t="s">
        <v>2847</v>
      </c>
      <c r="B2667" s="7" t="s">
        <v>2847</v>
      </c>
      <c r="C2667" s="7"/>
      <c r="D2667" s="7"/>
      <c r="E2667" s="7"/>
      <c r="G2667" s="5" t="str">
        <f t="shared" si="1"/>
        <v>good rod:</v>
      </c>
      <c r="I2667" s="5" t="s">
        <v>2847</v>
      </c>
    </row>
    <row r="2668" ht="12.75" customHeight="1">
      <c r="A2668" s="5" t="s">
        <v>3560</v>
      </c>
      <c r="B2668" s="7">
        <v>29.0</v>
      </c>
      <c r="C2668" s="7">
        <v>33.0</v>
      </c>
      <c r="D2668" s="7" t="s">
        <v>3751</v>
      </c>
      <c r="E2668" s="7"/>
      <c r="G2668" s="5" t="str">
        <f t="shared" si="1"/>
        <v>29, 33, MAGIKARP</v>
      </c>
      <c r="I2668" s="5" t="s">
        <v>3560</v>
      </c>
    </row>
    <row r="2669" ht="12.75" customHeight="1">
      <c r="A2669" s="5" t="s">
        <v>3561</v>
      </c>
      <c r="B2669" s="7">
        <v>30.0</v>
      </c>
      <c r="C2669" s="7">
        <v>35.0</v>
      </c>
      <c r="D2669" s="7" t="s">
        <v>3755</v>
      </c>
      <c r="E2669" s="7"/>
      <c r="G2669" s="5" t="str">
        <f t="shared" si="1"/>
        <v>30, 35, GYARADOS</v>
      </c>
      <c r="I2669" s="5" t="s">
        <v>3561</v>
      </c>
    </row>
    <row r="2670" ht="12.75" customHeight="1">
      <c r="A2670" s="5" t="s">
        <v>3562</v>
      </c>
      <c r="B2670" s="7">
        <v>30.0</v>
      </c>
      <c r="C2670" s="7">
        <v>35.0</v>
      </c>
      <c r="D2670" s="7" t="s">
        <v>3806</v>
      </c>
      <c r="E2670" s="7"/>
      <c r="G2670" s="5" t="str">
        <f t="shared" si="1"/>
        <v>30, 35, POLIWHIRL</v>
      </c>
      <c r="I2670" s="5" t="s">
        <v>3562</v>
      </c>
    </row>
    <row r="2671" ht="12.75" customHeight="1">
      <c r="A2671" s="5" t="s">
        <v>2851</v>
      </c>
      <c r="B2671" s="7" t="s">
        <v>2851</v>
      </c>
      <c r="C2671" s="7"/>
      <c r="D2671" s="7"/>
      <c r="E2671" s="7"/>
      <c r="G2671" s="5" t="str">
        <f t="shared" si="1"/>
        <v>super rod:</v>
      </c>
      <c r="I2671" s="5" t="s">
        <v>2851</v>
      </c>
    </row>
    <row r="2672" ht="12.75" customHeight="1">
      <c r="A2672" s="5" t="s">
        <v>3563</v>
      </c>
      <c r="B2672" s="7">
        <v>36.0</v>
      </c>
      <c r="C2672" s="7">
        <v>40.0</v>
      </c>
      <c r="D2672" s="7" t="s">
        <v>3751</v>
      </c>
      <c r="E2672" s="7"/>
      <c r="G2672" s="5" t="str">
        <f t="shared" si="1"/>
        <v>36, 40, MAGIKARP</v>
      </c>
      <c r="I2672" s="5" t="s">
        <v>3563</v>
      </c>
    </row>
    <row r="2673" ht="12.75" customHeight="1">
      <c r="A2673" s="5" t="s">
        <v>3357</v>
      </c>
      <c r="B2673" s="7">
        <v>36.0</v>
      </c>
      <c r="C2673" s="7">
        <v>40.0</v>
      </c>
      <c r="D2673" s="7" t="s">
        <v>3755</v>
      </c>
      <c r="E2673" s="7"/>
      <c r="G2673" s="5" t="str">
        <f t="shared" si="1"/>
        <v>36, 40, GYARADOS</v>
      </c>
      <c r="I2673" s="5" t="s">
        <v>3357</v>
      </c>
    </row>
    <row r="2674" ht="12.75" customHeight="1">
      <c r="A2674" s="5" t="s">
        <v>3564</v>
      </c>
      <c r="B2674" s="7">
        <v>38.0</v>
      </c>
      <c r="C2674" s="7">
        <v>42.0</v>
      </c>
      <c r="D2674" s="7" t="s">
        <v>3806</v>
      </c>
      <c r="E2674" s="7"/>
      <c r="G2674" s="5" t="str">
        <f t="shared" si="1"/>
        <v>38, 42, POLIWHIRL</v>
      </c>
      <c r="I2674" s="5" t="s">
        <v>3564</v>
      </c>
    </row>
    <row r="2675" ht="12.75" customHeight="1">
      <c r="A2675" s="5" t="s">
        <v>3379</v>
      </c>
      <c r="B2675" s="7">
        <v>38.0</v>
      </c>
      <c r="C2675" s="7">
        <v>42.0</v>
      </c>
      <c r="D2675" s="7" t="s">
        <v>3924</v>
      </c>
      <c r="E2675" s="7"/>
      <c r="G2675" s="5" t="str">
        <f t="shared" si="1"/>
        <v>38, 42, POLIWRATH</v>
      </c>
      <c r="I2675" s="5" t="s">
        <v>3379</v>
      </c>
    </row>
    <row r="2676" ht="12.75" customHeight="1">
      <c r="A2676" s="5" t="s">
        <v>3380</v>
      </c>
      <c r="B2676" s="7">
        <v>40.0</v>
      </c>
      <c r="C2676" s="7">
        <v>44.0</v>
      </c>
      <c r="D2676" s="7" t="s">
        <v>3838</v>
      </c>
      <c r="E2676" s="7"/>
      <c r="G2676" s="5" t="str">
        <f t="shared" si="1"/>
        <v>40, 44, POLITOES</v>
      </c>
      <c r="I2676" s="5" t="s">
        <v>3380</v>
      </c>
    </row>
    <row r="2677" ht="12.75" customHeight="1">
      <c r="A2677" s="5" t="s">
        <v>2539</v>
      </c>
      <c r="B2677" s="7" t="s">
        <v>2539</v>
      </c>
      <c r="C2677" s="7"/>
      <c r="D2677" s="7"/>
      <c r="E2677" s="7"/>
      <c r="G2677" s="5" t="str">
        <f t="shared" si="1"/>
        <v>NEW ROUTE</v>
      </c>
      <c r="I2677" s="5" t="s">
        <v>2539</v>
      </c>
    </row>
    <row r="2678" ht="12.75" customHeight="1">
      <c r="A2678" s="5" t="s">
        <v>2072</v>
      </c>
      <c r="B2678" s="7" t="s">
        <v>2072</v>
      </c>
      <c r="C2678" s="7"/>
      <c r="D2678" s="7"/>
      <c r="E2678" s="7"/>
      <c r="G2678" s="5" t="str">
        <f t="shared" si="1"/>
        <v>Celurean City</v>
      </c>
      <c r="I2678" s="5" t="s">
        <v>2072</v>
      </c>
    </row>
    <row r="2679" ht="12.75" customHeight="1">
      <c r="A2679" s="5" t="s">
        <v>3610</v>
      </c>
      <c r="B2679" s="7">
        <v>1.0</v>
      </c>
      <c r="C2679" s="7">
        <v>38.0</v>
      </c>
      <c r="D2679" s="7">
        <v>42.0</v>
      </c>
      <c r="E2679" s="7" t="s">
        <v>3748</v>
      </c>
      <c r="G2679" s="5" t="str">
        <f t="shared" si="1"/>
        <v>1, 38, 42, TENTACOOL</v>
      </c>
      <c r="I2679" s="5" t="s">
        <v>3610</v>
      </c>
    </row>
    <row r="2680" ht="12.75" customHeight="1">
      <c r="A2680" s="5" t="s">
        <v>3351</v>
      </c>
      <c r="B2680" s="7">
        <v>40.0</v>
      </c>
      <c r="C2680" s="7">
        <v>44.0</v>
      </c>
      <c r="D2680" s="7" t="s">
        <v>3800</v>
      </c>
      <c r="E2680" s="7"/>
      <c r="G2680" s="5" t="str">
        <f t="shared" si="1"/>
        <v>40, 44, PSYDUCK</v>
      </c>
      <c r="I2680" s="5" t="s">
        <v>3351</v>
      </c>
    </row>
    <row r="2681" ht="12.75" customHeight="1">
      <c r="A2681" s="5" t="s">
        <v>3352</v>
      </c>
      <c r="B2681" s="7">
        <v>42.0</v>
      </c>
      <c r="C2681" s="7">
        <v>46.0</v>
      </c>
      <c r="D2681" s="7" t="s">
        <v>3898</v>
      </c>
      <c r="E2681" s="7"/>
      <c r="G2681" s="5" t="str">
        <f t="shared" si="1"/>
        <v>42, 46, TENTACRUEL</v>
      </c>
      <c r="I2681" s="5" t="s">
        <v>3352</v>
      </c>
    </row>
    <row r="2682" ht="12.75" customHeight="1">
      <c r="A2682" s="5" t="s">
        <v>2924</v>
      </c>
      <c r="B2682" s="7">
        <v>42.0</v>
      </c>
      <c r="C2682" s="7">
        <v>46.0</v>
      </c>
      <c r="D2682" s="7" t="s">
        <v>3802</v>
      </c>
      <c r="E2682" s="7"/>
      <c r="G2682" s="5" t="str">
        <f t="shared" si="1"/>
        <v>42, 46, GOLDUCK</v>
      </c>
      <c r="I2682" s="5" t="s">
        <v>2924</v>
      </c>
    </row>
    <row r="2683" ht="12.75" customHeight="1">
      <c r="A2683" s="5" t="s">
        <v>2925</v>
      </c>
      <c r="B2683" s="7">
        <v>44.0</v>
      </c>
      <c r="C2683" s="7">
        <v>48.0</v>
      </c>
      <c r="D2683" s="7" t="s">
        <v>3803</v>
      </c>
      <c r="E2683" s="7"/>
      <c r="G2683" s="5" t="str">
        <f t="shared" si="1"/>
        <v>44, 48, VAPOREON</v>
      </c>
      <c r="I2683" s="5" t="s">
        <v>2925</v>
      </c>
    </row>
    <row r="2684" ht="12.75" customHeight="1">
      <c r="A2684" s="5" t="s">
        <v>2846</v>
      </c>
      <c r="B2684" s="7">
        <v>10.0</v>
      </c>
      <c r="C2684" s="7" t="s">
        <v>3749</v>
      </c>
      <c r="D2684" s="7"/>
      <c r="E2684" s="7"/>
      <c r="G2684" s="5" t="str">
        <f t="shared" si="1"/>
        <v>old rod:</v>
      </c>
      <c r="I2684" s="5" t="s">
        <v>3750</v>
      </c>
    </row>
    <row r="2685" ht="12.75" customHeight="1">
      <c r="A2685" s="5" t="s">
        <v>500</v>
      </c>
      <c r="B2685" s="7">
        <v>19.0</v>
      </c>
      <c r="C2685" s="7">
        <v>26.0</v>
      </c>
      <c r="D2685" s="7" t="s">
        <v>3751</v>
      </c>
      <c r="E2685" s="7"/>
      <c r="G2685" s="5" t="str">
        <f t="shared" si="1"/>
        <v>19, 26, MAGIKARP</v>
      </c>
      <c r="I2685" s="5" t="s">
        <v>500</v>
      </c>
    </row>
    <row r="2686" ht="12.75" customHeight="1">
      <c r="A2686" s="5" t="s">
        <v>3353</v>
      </c>
      <c r="B2686" s="7">
        <v>19.0</v>
      </c>
      <c r="C2686" s="7">
        <v>26.0</v>
      </c>
      <c r="D2686" s="7" t="s">
        <v>3755</v>
      </c>
      <c r="E2686" s="7"/>
      <c r="G2686" s="5" t="str">
        <f t="shared" si="1"/>
        <v>19, 26, GYARADOS</v>
      </c>
      <c r="I2686" s="5" t="s">
        <v>3353</v>
      </c>
    </row>
    <row r="2687" ht="12.75" customHeight="1">
      <c r="A2687" s="5" t="s">
        <v>2847</v>
      </c>
      <c r="B2687" s="7" t="s">
        <v>2847</v>
      </c>
      <c r="C2687" s="7"/>
      <c r="D2687" s="7"/>
      <c r="E2687" s="7"/>
      <c r="G2687" s="5" t="str">
        <f t="shared" si="1"/>
        <v>good rod:</v>
      </c>
      <c r="I2687" s="5" t="s">
        <v>2847</v>
      </c>
    </row>
    <row r="2688" ht="12.75" customHeight="1">
      <c r="A2688" s="5" t="s">
        <v>3354</v>
      </c>
      <c r="B2688" s="7">
        <v>29.0</v>
      </c>
      <c r="C2688" s="7">
        <v>33.0</v>
      </c>
      <c r="D2688" s="7" t="s">
        <v>3756</v>
      </c>
      <c r="E2688" s="7"/>
      <c r="G2688" s="5" t="str">
        <f t="shared" si="1"/>
        <v>29, 33, SLOWPOKE</v>
      </c>
      <c r="I2688" s="5" t="s">
        <v>3354</v>
      </c>
    </row>
    <row r="2689" ht="12.75" customHeight="1">
      <c r="A2689" s="5" t="s">
        <v>3028</v>
      </c>
      <c r="B2689" s="7">
        <v>30.0</v>
      </c>
      <c r="C2689" s="7">
        <v>35.0</v>
      </c>
      <c r="D2689" s="7" t="s">
        <v>3752</v>
      </c>
      <c r="E2689" s="7"/>
      <c r="G2689" s="5" t="str">
        <f t="shared" si="1"/>
        <v>30, 35, KRABBY</v>
      </c>
      <c r="I2689" s="5" t="s">
        <v>3028</v>
      </c>
    </row>
    <row r="2690" ht="12.75" customHeight="1">
      <c r="A2690" s="5" t="s">
        <v>3355</v>
      </c>
      <c r="B2690" s="7">
        <v>30.0</v>
      </c>
      <c r="C2690" s="7">
        <v>35.0</v>
      </c>
      <c r="D2690" s="7" t="s">
        <v>3800</v>
      </c>
      <c r="E2690" s="7"/>
      <c r="G2690" s="5" t="str">
        <f t="shared" si="1"/>
        <v>30, 35, PSYDUCK</v>
      </c>
      <c r="I2690" s="5" t="s">
        <v>3355</v>
      </c>
    </row>
    <row r="2691" ht="12.75" customHeight="1">
      <c r="A2691" s="5" t="s">
        <v>2851</v>
      </c>
      <c r="B2691" s="7" t="s">
        <v>2851</v>
      </c>
      <c r="C2691" s="7"/>
      <c r="D2691" s="7"/>
      <c r="E2691" s="7"/>
      <c r="G2691" s="5" t="str">
        <f t="shared" si="1"/>
        <v>super rod:</v>
      </c>
      <c r="I2691" s="5" t="s">
        <v>2851</v>
      </c>
    </row>
    <row r="2692" ht="12.75" customHeight="1">
      <c r="A2692" s="5" t="s">
        <v>3356</v>
      </c>
      <c r="B2692" s="7">
        <v>36.0</v>
      </c>
      <c r="C2692" s="7">
        <v>40.0</v>
      </c>
      <c r="D2692" s="7" t="s">
        <v>3801</v>
      </c>
      <c r="E2692" s="7"/>
      <c r="G2692" s="5" t="str">
        <f t="shared" si="1"/>
        <v>36, 40, SLOWBRO</v>
      </c>
      <c r="I2692" s="5" t="s">
        <v>3356</v>
      </c>
    </row>
    <row r="2693" ht="12.75" customHeight="1">
      <c r="A2693" s="5" t="s">
        <v>3357</v>
      </c>
      <c r="B2693" s="7">
        <v>36.0</v>
      </c>
      <c r="C2693" s="7">
        <v>40.0</v>
      </c>
      <c r="D2693" s="7" t="s">
        <v>3755</v>
      </c>
      <c r="E2693" s="7"/>
      <c r="G2693" s="5" t="str">
        <f t="shared" si="1"/>
        <v>36, 40, GYARADOS</v>
      </c>
      <c r="I2693" s="5" t="s">
        <v>3357</v>
      </c>
    </row>
    <row r="2694" ht="12.75" customHeight="1">
      <c r="A2694" s="5" t="s">
        <v>3358</v>
      </c>
      <c r="B2694" s="7">
        <v>38.0</v>
      </c>
      <c r="C2694" s="7">
        <v>42.0</v>
      </c>
      <c r="D2694" s="7" t="s">
        <v>3802</v>
      </c>
      <c r="E2694" s="7"/>
      <c r="G2694" s="5" t="str">
        <f t="shared" si="1"/>
        <v>38, 42, GOLDUCK</v>
      </c>
      <c r="I2694" s="5" t="s">
        <v>3358</v>
      </c>
    </row>
    <row r="2695" ht="12.75" customHeight="1">
      <c r="A2695" s="5" t="s">
        <v>3359</v>
      </c>
      <c r="B2695" s="7">
        <v>38.0</v>
      </c>
      <c r="C2695" s="7">
        <v>42.0</v>
      </c>
      <c r="D2695" s="7" t="s">
        <v>3860</v>
      </c>
      <c r="E2695" s="7"/>
      <c r="G2695" s="5" t="str">
        <f t="shared" si="1"/>
        <v>38, 42, KINGLER</v>
      </c>
      <c r="I2695" s="5" t="s">
        <v>3359</v>
      </c>
    </row>
    <row r="2696" ht="12.75" customHeight="1">
      <c r="A2696" s="5" t="s">
        <v>3360</v>
      </c>
      <c r="B2696" s="7">
        <v>40.0</v>
      </c>
      <c r="C2696" s="7">
        <v>44.0</v>
      </c>
      <c r="D2696" s="7" t="s">
        <v>3856</v>
      </c>
      <c r="E2696" s="7"/>
      <c r="G2696" s="5" t="str">
        <f t="shared" si="1"/>
        <v>40, 44, SLOWMATE</v>
      </c>
      <c r="I2696" s="5" t="s">
        <v>3360</v>
      </c>
    </row>
    <row r="2697" ht="12.75" customHeight="1">
      <c r="A2697" s="5" t="s">
        <v>2539</v>
      </c>
      <c r="B2697" s="7" t="s">
        <v>2539</v>
      </c>
      <c r="C2697" s="7"/>
      <c r="D2697" s="7"/>
      <c r="E2697" s="7"/>
      <c r="G2697" s="5" t="str">
        <f t="shared" si="1"/>
        <v>NEW ROUTE</v>
      </c>
      <c r="I2697" s="5" t="s">
        <v>2539</v>
      </c>
    </row>
    <row r="2698" ht="12.75" customHeight="1">
      <c r="A2698" s="5" t="s">
        <v>2076</v>
      </c>
      <c r="B2698" s="7" t="s">
        <v>2076</v>
      </c>
      <c r="C2698" s="7"/>
      <c r="D2698" s="7"/>
      <c r="E2698" s="7"/>
      <c r="G2698" s="5" t="str">
        <f t="shared" si="1"/>
        <v>Vermilion City</v>
      </c>
      <c r="I2698" s="5" t="s">
        <v>2076</v>
      </c>
    </row>
    <row r="2699" ht="12.75" customHeight="1">
      <c r="A2699" s="5" t="s">
        <v>3610</v>
      </c>
      <c r="B2699" s="7">
        <v>1.0</v>
      </c>
      <c r="C2699" s="7">
        <v>38.0</v>
      </c>
      <c r="D2699" s="7">
        <v>42.0</v>
      </c>
      <c r="E2699" s="7" t="s">
        <v>3748</v>
      </c>
      <c r="G2699" s="5" t="str">
        <f t="shared" si="1"/>
        <v>1, 38, 42, TENTACOOL</v>
      </c>
      <c r="I2699" s="5" t="s">
        <v>3610</v>
      </c>
    </row>
    <row r="2700" ht="12.75" customHeight="1">
      <c r="A2700" s="5" t="s">
        <v>3429</v>
      </c>
      <c r="B2700" s="7">
        <v>40.0</v>
      </c>
      <c r="C2700" s="7">
        <v>44.0</v>
      </c>
      <c r="D2700" s="7" t="s">
        <v>3898</v>
      </c>
      <c r="E2700" s="7"/>
      <c r="G2700" s="5" t="str">
        <f t="shared" si="1"/>
        <v>40, 44, TENTACRUEL</v>
      </c>
      <c r="I2700" s="5" t="s">
        <v>3429</v>
      </c>
    </row>
    <row r="2701" ht="12.75" customHeight="1">
      <c r="A2701" s="5" t="s">
        <v>3025</v>
      </c>
      <c r="B2701" s="7">
        <v>42.0</v>
      </c>
      <c r="C2701" s="7">
        <v>46.0</v>
      </c>
      <c r="D2701" s="7" t="s">
        <v>3861</v>
      </c>
      <c r="E2701" s="7"/>
      <c r="G2701" s="5" t="str">
        <f t="shared" si="1"/>
        <v>42, 46, LAPRAS</v>
      </c>
      <c r="I2701" s="5" t="s">
        <v>3025</v>
      </c>
    </row>
    <row r="2702" ht="12.75" customHeight="1">
      <c r="A2702" s="5" t="s">
        <v>3430</v>
      </c>
      <c r="B2702" s="7">
        <v>42.0</v>
      </c>
      <c r="C2702" s="7">
        <v>46.0</v>
      </c>
      <c r="D2702" s="7" t="s">
        <v>3931</v>
      </c>
      <c r="E2702" s="7"/>
      <c r="G2702" s="5" t="str">
        <f t="shared" si="1"/>
        <v>42, 46, TENTACATE</v>
      </c>
      <c r="I2702" s="5" t="s">
        <v>3430</v>
      </c>
    </row>
    <row r="2703" ht="12.75" customHeight="1">
      <c r="A2703" s="5" t="s">
        <v>3450</v>
      </c>
      <c r="B2703" s="7">
        <v>44.0</v>
      </c>
      <c r="C2703" s="7">
        <v>48.0</v>
      </c>
      <c r="D2703" s="7" t="s">
        <v>3934</v>
      </c>
      <c r="E2703" s="7"/>
      <c r="G2703" s="5" t="str">
        <f t="shared" si="1"/>
        <v>44, 48, LOCHLASS</v>
      </c>
      <c r="I2703" s="5" t="s">
        <v>3450</v>
      </c>
    </row>
    <row r="2704" ht="12.75" customHeight="1">
      <c r="A2704" s="5" t="s">
        <v>2846</v>
      </c>
      <c r="B2704" s="7">
        <v>10.0</v>
      </c>
      <c r="C2704" s="7" t="s">
        <v>3749</v>
      </c>
      <c r="D2704" s="7"/>
      <c r="E2704" s="7"/>
      <c r="G2704" s="5" t="str">
        <f t="shared" si="1"/>
        <v>old rod:</v>
      </c>
      <c r="I2704" s="5" t="s">
        <v>3750</v>
      </c>
    </row>
    <row r="2705" ht="12.75" customHeight="1">
      <c r="A2705" s="5" t="s">
        <v>500</v>
      </c>
      <c r="B2705" s="7">
        <v>19.0</v>
      </c>
      <c r="C2705" s="7">
        <v>26.0</v>
      </c>
      <c r="D2705" s="7" t="s">
        <v>3751</v>
      </c>
      <c r="E2705" s="7"/>
      <c r="G2705" s="5" t="str">
        <f t="shared" si="1"/>
        <v>19, 26, MAGIKARP</v>
      </c>
      <c r="I2705" s="5" t="s">
        <v>500</v>
      </c>
    </row>
    <row r="2706" ht="12.75" customHeight="1">
      <c r="A2706" s="5" t="s">
        <v>3353</v>
      </c>
      <c r="B2706" s="7">
        <v>19.0</v>
      </c>
      <c r="C2706" s="7">
        <v>26.0</v>
      </c>
      <c r="D2706" s="7" t="s">
        <v>3755</v>
      </c>
      <c r="E2706" s="7"/>
      <c r="G2706" s="5" t="str">
        <f t="shared" si="1"/>
        <v>19, 26, GYARADOS</v>
      </c>
      <c r="I2706" s="5" t="s">
        <v>3353</v>
      </c>
    </row>
    <row r="2707" ht="12.75" customHeight="1">
      <c r="A2707" s="5" t="s">
        <v>2847</v>
      </c>
      <c r="B2707" s="7" t="s">
        <v>2847</v>
      </c>
      <c r="C2707" s="7"/>
      <c r="D2707" s="7"/>
      <c r="E2707" s="7"/>
      <c r="G2707" s="5" t="str">
        <f t="shared" si="1"/>
        <v>good rod:</v>
      </c>
      <c r="I2707" s="5" t="s">
        <v>2847</v>
      </c>
    </row>
    <row r="2708" ht="12.75" customHeight="1">
      <c r="A2708" s="5" t="s">
        <v>3431</v>
      </c>
      <c r="B2708" s="7">
        <v>29.0</v>
      </c>
      <c r="C2708" s="7">
        <v>33.0</v>
      </c>
      <c r="D2708" s="7" t="s">
        <v>3753</v>
      </c>
      <c r="E2708" s="7"/>
      <c r="G2708" s="5" t="str">
        <f t="shared" si="1"/>
        <v>29, 33, HORSEA</v>
      </c>
      <c r="I2708" s="5" t="s">
        <v>3431</v>
      </c>
    </row>
    <row r="2709" ht="12.75" customHeight="1">
      <c r="A2709" s="5" t="s">
        <v>3451</v>
      </c>
      <c r="B2709" s="7">
        <v>30.0</v>
      </c>
      <c r="C2709" s="7">
        <v>35.0</v>
      </c>
      <c r="D2709" s="7" t="s">
        <v>3862</v>
      </c>
      <c r="E2709" s="7"/>
      <c r="G2709" s="5" t="str">
        <f t="shared" si="1"/>
        <v>30, 35, SHELLDER</v>
      </c>
      <c r="I2709" s="5" t="s">
        <v>3451</v>
      </c>
    </row>
    <row r="2710" ht="12.75" customHeight="1">
      <c r="A2710" s="5" t="s">
        <v>3452</v>
      </c>
      <c r="B2710" s="7">
        <v>30.0</v>
      </c>
      <c r="C2710" s="7">
        <v>35.0</v>
      </c>
      <c r="D2710" s="7" t="s">
        <v>3754</v>
      </c>
      <c r="E2710" s="7"/>
      <c r="G2710" s="5" t="str">
        <f t="shared" si="1"/>
        <v>30, 35, STARYU</v>
      </c>
      <c r="I2710" s="5" t="s">
        <v>3452</v>
      </c>
    </row>
    <row r="2711" ht="12.75" customHeight="1">
      <c r="A2711" s="5" t="s">
        <v>2851</v>
      </c>
      <c r="B2711" s="7" t="s">
        <v>2851</v>
      </c>
      <c r="C2711" s="7"/>
      <c r="D2711" s="7"/>
      <c r="E2711" s="7"/>
      <c r="G2711" s="5" t="str">
        <f t="shared" si="1"/>
        <v>super rod:</v>
      </c>
      <c r="I2711" s="5" t="s">
        <v>2851</v>
      </c>
    </row>
    <row r="2712" ht="12.75" customHeight="1">
      <c r="A2712" s="5" t="s">
        <v>3027</v>
      </c>
      <c r="B2712" s="7">
        <v>29.0</v>
      </c>
      <c r="C2712" s="7">
        <v>33.0</v>
      </c>
      <c r="D2712" s="7" t="s">
        <v>3859</v>
      </c>
      <c r="E2712" s="7"/>
      <c r="G2712" s="5" t="str">
        <f t="shared" si="1"/>
        <v>29, 33, SEADRA</v>
      </c>
      <c r="I2712" s="5" t="s">
        <v>3027</v>
      </c>
    </row>
    <row r="2713" ht="12.75" customHeight="1">
      <c r="A2713" s="5" t="s">
        <v>3357</v>
      </c>
      <c r="B2713" s="7">
        <v>36.0</v>
      </c>
      <c r="C2713" s="7">
        <v>40.0</v>
      </c>
      <c r="D2713" s="7" t="s">
        <v>3755</v>
      </c>
      <c r="E2713" s="7"/>
      <c r="G2713" s="5" t="str">
        <f t="shared" si="1"/>
        <v>36, 40, GYARADOS</v>
      </c>
      <c r="I2713" s="5" t="s">
        <v>3357</v>
      </c>
    </row>
    <row r="2714" ht="12.75" customHeight="1">
      <c r="A2714" s="5" t="s">
        <v>3453</v>
      </c>
      <c r="B2714" s="7">
        <v>38.0</v>
      </c>
      <c r="C2714" s="7">
        <v>42.0</v>
      </c>
      <c r="D2714" s="7" t="s">
        <v>3935</v>
      </c>
      <c r="E2714" s="7"/>
      <c r="G2714" s="5" t="str">
        <f t="shared" si="1"/>
        <v>38, 42, STARMIE</v>
      </c>
      <c r="I2714" s="5" t="s">
        <v>3453</v>
      </c>
    </row>
    <row r="2715" ht="12.75" customHeight="1">
      <c r="A2715" s="5" t="s">
        <v>3454</v>
      </c>
      <c r="B2715" s="7">
        <v>38.0</v>
      </c>
      <c r="C2715" s="7">
        <v>42.0</v>
      </c>
      <c r="D2715" s="7" t="s">
        <v>3842</v>
      </c>
      <c r="E2715" s="7"/>
      <c r="G2715" s="5" t="str">
        <f t="shared" si="1"/>
        <v>38, 42, CLOYSTER</v>
      </c>
      <c r="I2715" s="5" t="s">
        <v>3454</v>
      </c>
    </row>
    <row r="2716" ht="12.75" customHeight="1">
      <c r="A2716" s="5" t="s">
        <v>3455</v>
      </c>
      <c r="B2716" s="7">
        <v>38.0</v>
      </c>
      <c r="C2716" s="7">
        <v>42.0</v>
      </c>
      <c r="D2716" s="7" t="s">
        <v>3936</v>
      </c>
      <c r="E2716" s="7"/>
      <c r="G2716" s="5" t="str">
        <f t="shared" si="1"/>
        <v>38, 42, STARUS</v>
      </c>
      <c r="I2716" s="5" t="s">
        <v>3455</v>
      </c>
    </row>
    <row r="2717" ht="12.75" customHeight="1">
      <c r="A2717" s="5" t="s">
        <v>2539</v>
      </c>
      <c r="B2717" s="7" t="s">
        <v>2539</v>
      </c>
      <c r="C2717" s="7"/>
      <c r="D2717" s="7"/>
      <c r="E2717" s="7"/>
      <c r="G2717" s="5" t="str">
        <f t="shared" si="1"/>
        <v>NEW ROUTE</v>
      </c>
      <c r="I2717" s="5" t="s">
        <v>2539</v>
      </c>
    </row>
    <row r="2718" ht="12.75" customHeight="1">
      <c r="A2718" s="5" t="s">
        <v>2078</v>
      </c>
      <c r="B2718" s="7" t="s">
        <v>2078</v>
      </c>
      <c r="C2718" s="7"/>
      <c r="D2718" s="7"/>
      <c r="E2718" s="7"/>
      <c r="G2718" s="5" t="str">
        <f t="shared" si="1"/>
        <v>Celadon City</v>
      </c>
      <c r="I2718" s="5" t="s">
        <v>2078</v>
      </c>
    </row>
    <row r="2719" ht="12.75" customHeight="1">
      <c r="A2719" s="5" t="s">
        <v>3613</v>
      </c>
      <c r="B2719" s="7">
        <v>1.0</v>
      </c>
      <c r="C2719" s="7">
        <v>38.0</v>
      </c>
      <c r="D2719" s="7">
        <v>42.0</v>
      </c>
      <c r="E2719" s="7" t="s">
        <v>3800</v>
      </c>
      <c r="G2719" s="5" t="str">
        <f t="shared" si="1"/>
        <v>1, 38, 42, PSYDUCK</v>
      </c>
      <c r="I2719" s="5" t="s">
        <v>3613</v>
      </c>
    </row>
    <row r="2720" ht="12.75" customHeight="1">
      <c r="A2720" s="5" t="s">
        <v>3375</v>
      </c>
      <c r="B2720" s="7">
        <v>40.0</v>
      </c>
      <c r="C2720" s="7">
        <v>44.0</v>
      </c>
      <c r="D2720" s="7" t="s">
        <v>3756</v>
      </c>
      <c r="E2720" s="7"/>
      <c r="G2720" s="5" t="str">
        <f t="shared" si="1"/>
        <v>40, 44, SLOWPOKE</v>
      </c>
      <c r="I2720" s="5" t="s">
        <v>3375</v>
      </c>
    </row>
    <row r="2721" ht="12.75" customHeight="1">
      <c r="A2721" s="5" t="s">
        <v>3618</v>
      </c>
      <c r="B2721" s="7">
        <v>42.0</v>
      </c>
      <c r="C2721" s="7">
        <v>46.0</v>
      </c>
      <c r="D2721" s="7" t="s">
        <v>3925</v>
      </c>
      <c r="E2721" s="7"/>
      <c r="G2721" s="5" t="str">
        <f t="shared" si="1"/>
        <v>42, 46, KOFFING</v>
      </c>
      <c r="I2721" s="5" t="s">
        <v>3618</v>
      </c>
    </row>
    <row r="2722" ht="12.75" customHeight="1">
      <c r="A2722" s="5" t="s">
        <v>2924</v>
      </c>
      <c r="B2722" s="7">
        <v>42.0</v>
      </c>
      <c r="C2722" s="7">
        <v>46.0</v>
      </c>
      <c r="D2722" s="7" t="s">
        <v>3802</v>
      </c>
      <c r="E2722" s="7"/>
      <c r="G2722" s="5" t="str">
        <f t="shared" si="1"/>
        <v>42, 46, GOLDUCK</v>
      </c>
      <c r="I2722" s="5" t="s">
        <v>2924</v>
      </c>
    </row>
    <row r="2723" ht="12.75" customHeight="1">
      <c r="A2723" s="5" t="s">
        <v>3619</v>
      </c>
      <c r="B2723" s="7">
        <v>44.0</v>
      </c>
      <c r="C2723" s="7">
        <v>48.0</v>
      </c>
      <c r="D2723" s="7" t="s">
        <v>3777</v>
      </c>
      <c r="E2723" s="7"/>
      <c r="G2723" s="5" t="str">
        <f t="shared" si="1"/>
        <v>44, 48, WEEZING</v>
      </c>
      <c r="I2723" s="5" t="s">
        <v>3619</v>
      </c>
    </row>
    <row r="2724" ht="12.75" customHeight="1">
      <c r="A2724" s="5" t="s">
        <v>2846</v>
      </c>
      <c r="B2724" s="7">
        <v>10.0</v>
      </c>
      <c r="C2724" s="7" t="s">
        <v>3749</v>
      </c>
      <c r="D2724" s="7"/>
      <c r="E2724" s="7"/>
      <c r="G2724" s="5" t="str">
        <f t="shared" si="1"/>
        <v>old rod:</v>
      </c>
      <c r="I2724" s="5" t="s">
        <v>3750</v>
      </c>
    </row>
    <row r="2725" ht="12.75" customHeight="1">
      <c r="A2725" s="5" t="s">
        <v>500</v>
      </c>
      <c r="B2725" s="7">
        <v>19.0</v>
      </c>
      <c r="C2725" s="7">
        <v>26.0</v>
      </c>
      <c r="D2725" s="7" t="s">
        <v>3751</v>
      </c>
      <c r="E2725" s="7"/>
      <c r="G2725" s="5" t="str">
        <f t="shared" si="1"/>
        <v>19, 26, MAGIKARP</v>
      </c>
      <c r="I2725" s="5" t="s">
        <v>500</v>
      </c>
    </row>
    <row r="2726" ht="12.75" customHeight="1">
      <c r="A2726" s="5" t="s">
        <v>3620</v>
      </c>
      <c r="B2726" s="7">
        <v>19.0</v>
      </c>
      <c r="C2726" s="7">
        <v>26.0</v>
      </c>
      <c r="D2726" s="7" t="s">
        <v>3962</v>
      </c>
      <c r="E2726" s="7"/>
      <c r="G2726" s="5" t="str">
        <f t="shared" si="1"/>
        <v>19, 26, GRIMER</v>
      </c>
      <c r="I2726" s="5" t="s">
        <v>3620</v>
      </c>
    </row>
    <row r="2727" ht="12.75" customHeight="1">
      <c r="A2727" s="5" t="s">
        <v>2847</v>
      </c>
      <c r="B2727" s="7" t="s">
        <v>2847</v>
      </c>
      <c r="C2727" s="7"/>
      <c r="D2727" s="7"/>
      <c r="E2727" s="7"/>
      <c r="G2727" s="5" t="str">
        <f t="shared" si="1"/>
        <v>good rod:</v>
      </c>
      <c r="I2727" s="5" t="s">
        <v>2847</v>
      </c>
    </row>
    <row r="2728" ht="12.75" customHeight="1">
      <c r="A2728" s="5" t="s">
        <v>3560</v>
      </c>
      <c r="B2728" s="7">
        <v>29.0</v>
      </c>
      <c r="C2728" s="7">
        <v>33.0</v>
      </c>
      <c r="D2728" s="7" t="s">
        <v>3751</v>
      </c>
      <c r="E2728" s="7"/>
      <c r="G2728" s="5" t="str">
        <f t="shared" si="1"/>
        <v>29, 33, MAGIKARP</v>
      </c>
      <c r="I2728" s="5" t="s">
        <v>3560</v>
      </c>
    </row>
    <row r="2729" ht="12.75" customHeight="1">
      <c r="A2729" s="5" t="s">
        <v>3561</v>
      </c>
      <c r="B2729" s="7">
        <v>30.0</v>
      </c>
      <c r="C2729" s="7">
        <v>35.0</v>
      </c>
      <c r="D2729" s="7" t="s">
        <v>3755</v>
      </c>
      <c r="E2729" s="7"/>
      <c r="G2729" s="5" t="str">
        <f t="shared" si="1"/>
        <v>30, 35, GYARADOS</v>
      </c>
      <c r="I2729" s="5" t="s">
        <v>3561</v>
      </c>
    </row>
    <row r="2730" ht="12.75" customHeight="1">
      <c r="A2730" s="5" t="s">
        <v>3621</v>
      </c>
      <c r="B2730" s="7">
        <v>30.0</v>
      </c>
      <c r="C2730" s="7">
        <v>35.0</v>
      </c>
      <c r="D2730" s="7" t="s">
        <v>3778</v>
      </c>
      <c r="E2730" s="7"/>
      <c r="G2730" s="5" t="str">
        <f t="shared" si="1"/>
        <v>30, 35, MUK</v>
      </c>
      <c r="I2730" s="5" t="s">
        <v>3621</v>
      </c>
    </row>
    <row r="2731" ht="12.75" customHeight="1">
      <c r="A2731" s="5" t="s">
        <v>2851</v>
      </c>
      <c r="B2731" s="7" t="s">
        <v>2851</v>
      </c>
      <c r="C2731" s="7"/>
      <c r="D2731" s="7"/>
      <c r="E2731" s="7"/>
      <c r="G2731" s="5" t="str">
        <f t="shared" si="1"/>
        <v>super rod:</v>
      </c>
      <c r="I2731" s="5" t="s">
        <v>2851</v>
      </c>
    </row>
    <row r="2732" ht="12.75" customHeight="1">
      <c r="A2732" s="5" t="s">
        <v>3357</v>
      </c>
      <c r="B2732" s="7">
        <v>36.0</v>
      </c>
      <c r="C2732" s="7">
        <v>40.0</v>
      </c>
      <c r="D2732" s="7" t="s">
        <v>3755</v>
      </c>
      <c r="E2732" s="7"/>
      <c r="G2732" s="5" t="str">
        <f t="shared" si="1"/>
        <v>36, 40, GYARADOS</v>
      </c>
      <c r="I2732" s="5" t="s">
        <v>3357</v>
      </c>
    </row>
    <row r="2733" ht="12.75" customHeight="1">
      <c r="A2733" s="5" t="s">
        <v>3622</v>
      </c>
      <c r="B2733" s="7">
        <v>36.0</v>
      </c>
      <c r="C2733" s="7">
        <v>40.0</v>
      </c>
      <c r="D2733" s="7" t="s">
        <v>3778</v>
      </c>
      <c r="E2733" s="7"/>
      <c r="G2733" s="5" t="str">
        <f t="shared" si="1"/>
        <v>36, 40, MUK</v>
      </c>
      <c r="I2733" s="5" t="s">
        <v>3622</v>
      </c>
    </row>
    <row r="2734" ht="12.75" customHeight="1">
      <c r="A2734" s="5" t="s">
        <v>3623</v>
      </c>
      <c r="B2734" s="7">
        <v>41.0</v>
      </c>
      <c r="C2734" s="7">
        <v>41.0</v>
      </c>
      <c r="D2734" s="7" t="s">
        <v>3755</v>
      </c>
      <c r="E2734" s="7"/>
      <c r="G2734" s="5" t="str">
        <f t="shared" si="1"/>
        <v>41, 41, GYARADOS</v>
      </c>
      <c r="I2734" s="5" t="s">
        <v>3623</v>
      </c>
    </row>
    <row r="2735" ht="12.75" customHeight="1">
      <c r="A2735" s="5" t="s">
        <v>3624</v>
      </c>
      <c r="B2735" s="7">
        <v>38.0</v>
      </c>
      <c r="C2735" s="7">
        <v>42.0</v>
      </c>
      <c r="D2735" s="7" t="s">
        <v>3844</v>
      </c>
      <c r="E2735" s="7"/>
      <c r="G2735" s="5" t="str">
        <f t="shared" si="1"/>
        <v>38, 42, HYDRADOS</v>
      </c>
      <c r="I2735" s="5" t="s">
        <v>3624</v>
      </c>
    </row>
    <row r="2736" ht="12.75" customHeight="1">
      <c r="A2736" s="5" t="s">
        <v>3625</v>
      </c>
      <c r="B2736" s="7">
        <v>40.0</v>
      </c>
      <c r="C2736" s="7">
        <v>44.0</v>
      </c>
      <c r="D2736" s="7" t="s">
        <v>3781</v>
      </c>
      <c r="E2736" s="7"/>
      <c r="G2736" s="5" t="str">
        <f t="shared" si="1"/>
        <v>40, 44, GUNK</v>
      </c>
      <c r="I2736" s="5" t="s">
        <v>3625</v>
      </c>
    </row>
    <row r="2737" ht="12.75" customHeight="1">
      <c r="A2737" s="5" t="s">
        <v>2539</v>
      </c>
      <c r="B2737" s="7" t="s">
        <v>2539</v>
      </c>
      <c r="C2737" s="7"/>
      <c r="D2737" s="7"/>
      <c r="E2737" s="7"/>
      <c r="G2737" s="5" t="str">
        <f t="shared" si="1"/>
        <v>NEW ROUTE</v>
      </c>
      <c r="I2737" s="5" t="s">
        <v>2539</v>
      </c>
    </row>
    <row r="2738" ht="12.75" customHeight="1">
      <c r="A2738" s="5" t="s">
        <v>2080</v>
      </c>
      <c r="B2738" s="7" t="s">
        <v>2080</v>
      </c>
      <c r="C2738" s="7"/>
      <c r="D2738" s="7"/>
      <c r="E2738" s="7"/>
      <c r="G2738" s="5" t="str">
        <f t="shared" si="1"/>
        <v>Fuchsia City</v>
      </c>
      <c r="I2738" s="5" t="s">
        <v>2080</v>
      </c>
    </row>
    <row r="2739" ht="12.75" customHeight="1">
      <c r="A2739" s="5" t="s">
        <v>3610</v>
      </c>
      <c r="B2739" s="7">
        <v>1.0</v>
      </c>
      <c r="C2739" s="7">
        <v>38.0</v>
      </c>
      <c r="D2739" s="7">
        <v>42.0</v>
      </c>
      <c r="E2739" s="7" t="s">
        <v>3748</v>
      </c>
      <c r="G2739" s="5" t="str">
        <f t="shared" si="1"/>
        <v>1, 38, 42, TENTACOOL</v>
      </c>
      <c r="I2739" s="5" t="s">
        <v>3610</v>
      </c>
    </row>
    <row r="2740" ht="12.75" customHeight="1">
      <c r="A2740" s="5" t="s">
        <v>3351</v>
      </c>
      <c r="B2740" s="7">
        <v>40.0</v>
      </c>
      <c r="C2740" s="7">
        <v>44.0</v>
      </c>
      <c r="D2740" s="7" t="s">
        <v>3800</v>
      </c>
      <c r="E2740" s="7"/>
      <c r="G2740" s="5" t="str">
        <f t="shared" si="1"/>
        <v>40, 44, PSYDUCK</v>
      </c>
      <c r="I2740" s="5" t="s">
        <v>3351</v>
      </c>
    </row>
    <row r="2741" ht="12.75" customHeight="1">
      <c r="A2741" s="5" t="s">
        <v>3352</v>
      </c>
      <c r="B2741" s="7">
        <v>42.0</v>
      </c>
      <c r="C2741" s="7">
        <v>46.0</v>
      </c>
      <c r="D2741" s="7" t="s">
        <v>3898</v>
      </c>
      <c r="E2741" s="7"/>
      <c r="G2741" s="5" t="str">
        <f t="shared" si="1"/>
        <v>42, 46, TENTACRUEL</v>
      </c>
      <c r="I2741" s="5" t="s">
        <v>3352</v>
      </c>
    </row>
    <row r="2742" ht="12.75" customHeight="1">
      <c r="A2742" s="5" t="s">
        <v>2924</v>
      </c>
      <c r="B2742" s="7">
        <v>42.0</v>
      </c>
      <c r="C2742" s="7">
        <v>46.0</v>
      </c>
      <c r="D2742" s="7" t="s">
        <v>3802</v>
      </c>
      <c r="E2742" s="7"/>
      <c r="G2742" s="5" t="str">
        <f t="shared" si="1"/>
        <v>42, 46, GOLDUCK</v>
      </c>
      <c r="I2742" s="5" t="s">
        <v>2924</v>
      </c>
    </row>
    <row r="2743" ht="12.75" customHeight="1">
      <c r="A2743" s="5" t="s">
        <v>2925</v>
      </c>
      <c r="B2743" s="7">
        <v>44.0</v>
      </c>
      <c r="C2743" s="7">
        <v>48.0</v>
      </c>
      <c r="D2743" s="7" t="s">
        <v>3803</v>
      </c>
      <c r="E2743" s="7"/>
      <c r="G2743" s="5" t="str">
        <f t="shared" si="1"/>
        <v>44, 48, VAPOREON</v>
      </c>
      <c r="I2743" s="5" t="s">
        <v>2925</v>
      </c>
    </row>
    <row r="2744" ht="12.75" customHeight="1">
      <c r="A2744" s="5" t="s">
        <v>2846</v>
      </c>
      <c r="B2744" s="7">
        <v>10.0</v>
      </c>
      <c r="C2744" s="7" t="s">
        <v>3749</v>
      </c>
      <c r="D2744" s="7"/>
      <c r="E2744" s="7"/>
      <c r="G2744" s="5" t="str">
        <f t="shared" si="1"/>
        <v>old rod:</v>
      </c>
      <c r="I2744" s="5" t="s">
        <v>3750</v>
      </c>
    </row>
    <row r="2745" ht="12.75" customHeight="1">
      <c r="A2745" s="5" t="s">
        <v>1265</v>
      </c>
      <c r="B2745" s="7">
        <v>19.0</v>
      </c>
      <c r="C2745" s="7">
        <v>26.0</v>
      </c>
      <c r="D2745" s="7" t="s">
        <v>3894</v>
      </c>
      <c r="E2745" s="7"/>
      <c r="G2745" s="5" t="str">
        <f t="shared" si="1"/>
        <v>19, 26, SEEL</v>
      </c>
      <c r="I2745" s="5" t="s">
        <v>1265</v>
      </c>
    </row>
    <row r="2746" ht="12.75" customHeight="1">
      <c r="A2746" s="5" t="s">
        <v>2927</v>
      </c>
      <c r="B2746" s="7">
        <v>19.0</v>
      </c>
      <c r="C2746" s="7">
        <v>26.0</v>
      </c>
      <c r="D2746" s="7" t="s">
        <v>3804</v>
      </c>
      <c r="E2746" s="7"/>
      <c r="G2746" s="5" t="str">
        <f t="shared" si="1"/>
        <v>19, 26, POLIWAG</v>
      </c>
      <c r="I2746" s="5" t="s">
        <v>2927</v>
      </c>
    </row>
    <row r="2747" ht="12.75" customHeight="1">
      <c r="A2747" s="5" t="s">
        <v>2847</v>
      </c>
      <c r="B2747" s="7" t="s">
        <v>2847</v>
      </c>
      <c r="C2747" s="7"/>
      <c r="D2747" s="7"/>
      <c r="E2747" s="7"/>
      <c r="G2747" s="5" t="str">
        <f t="shared" si="1"/>
        <v>good rod:</v>
      </c>
      <c r="I2747" s="5" t="s">
        <v>2847</v>
      </c>
    </row>
    <row r="2748" ht="12.75" customHeight="1">
      <c r="A2748" s="5" t="s">
        <v>3627</v>
      </c>
      <c r="B2748" s="7">
        <v>29.0</v>
      </c>
      <c r="C2748" s="7">
        <v>33.0</v>
      </c>
      <c r="D2748" s="7" t="s">
        <v>3894</v>
      </c>
      <c r="E2748" s="7"/>
      <c r="G2748" s="5" t="str">
        <f t="shared" si="1"/>
        <v>29, 33, SEEL</v>
      </c>
      <c r="I2748" s="5" t="s">
        <v>3627</v>
      </c>
    </row>
    <row r="2749" ht="12.75" customHeight="1">
      <c r="A2749" s="5" t="s">
        <v>2929</v>
      </c>
      <c r="B2749" s="7">
        <v>30.0</v>
      </c>
      <c r="C2749" s="7">
        <v>35.0</v>
      </c>
      <c r="D2749" s="7" t="s">
        <v>3804</v>
      </c>
      <c r="E2749" s="7"/>
      <c r="G2749" s="5" t="str">
        <f t="shared" si="1"/>
        <v>30, 35, POLIWAG</v>
      </c>
      <c r="I2749" s="5" t="s">
        <v>2929</v>
      </c>
    </row>
    <row r="2750" ht="12.75" customHeight="1">
      <c r="A2750" s="5" t="s">
        <v>2930</v>
      </c>
      <c r="B2750" s="7">
        <v>30.0</v>
      </c>
      <c r="C2750" s="7">
        <v>35.0</v>
      </c>
      <c r="D2750" s="7" t="s">
        <v>3805</v>
      </c>
      <c r="E2750" s="7"/>
      <c r="G2750" s="5" t="str">
        <f t="shared" si="1"/>
        <v>30, 35, GOLDEEN</v>
      </c>
      <c r="I2750" s="5" t="s">
        <v>2930</v>
      </c>
    </row>
    <row r="2751" ht="12.75" customHeight="1">
      <c r="A2751" s="5" t="s">
        <v>2851</v>
      </c>
      <c r="B2751" s="7" t="s">
        <v>2851</v>
      </c>
      <c r="C2751" s="7"/>
      <c r="D2751" s="7"/>
      <c r="E2751" s="7"/>
      <c r="G2751" s="5" t="str">
        <f t="shared" si="1"/>
        <v>super rod:</v>
      </c>
      <c r="I2751" s="5" t="s">
        <v>2851</v>
      </c>
    </row>
    <row r="2752" ht="12.75" customHeight="1">
      <c r="A2752" s="5" t="s">
        <v>2931</v>
      </c>
      <c r="B2752" s="7">
        <v>36.0</v>
      </c>
      <c r="C2752" s="7">
        <v>40.0</v>
      </c>
      <c r="D2752" s="7" t="s">
        <v>3806</v>
      </c>
      <c r="E2752" s="7"/>
      <c r="G2752" s="5" t="str">
        <f t="shared" si="1"/>
        <v>36, 40, POLIWHIRL</v>
      </c>
      <c r="I2752" s="5" t="s">
        <v>2931</v>
      </c>
    </row>
    <row r="2753" ht="12.75" customHeight="1">
      <c r="A2753" s="5" t="s">
        <v>3628</v>
      </c>
      <c r="B2753" s="7">
        <v>36.0</v>
      </c>
      <c r="C2753" s="7">
        <v>40.0</v>
      </c>
      <c r="D2753" s="7" t="s">
        <v>3853</v>
      </c>
      <c r="E2753" s="7"/>
      <c r="G2753" s="5" t="str">
        <f t="shared" si="1"/>
        <v>36, 40, DEWGONG</v>
      </c>
      <c r="I2753" s="5" t="s">
        <v>3628</v>
      </c>
    </row>
    <row r="2754" ht="12.75" customHeight="1">
      <c r="A2754" s="5" t="s">
        <v>3629</v>
      </c>
      <c r="B2754" s="7">
        <v>38.0</v>
      </c>
      <c r="C2754" s="7">
        <v>42.0</v>
      </c>
      <c r="D2754" s="7" t="s">
        <v>3807</v>
      </c>
      <c r="E2754" s="7"/>
      <c r="G2754" s="5" t="str">
        <f t="shared" si="1"/>
        <v>38, 42, SEAKING</v>
      </c>
      <c r="I2754" s="5" t="s">
        <v>3629</v>
      </c>
    </row>
    <row r="2755" ht="12.75" customHeight="1">
      <c r="A2755" s="5" t="s">
        <v>3379</v>
      </c>
      <c r="B2755" s="7">
        <v>38.0</v>
      </c>
      <c r="C2755" s="7">
        <v>42.0</v>
      </c>
      <c r="D2755" s="7" t="s">
        <v>3924</v>
      </c>
      <c r="E2755" s="7"/>
      <c r="G2755" s="5" t="str">
        <f t="shared" si="1"/>
        <v>38, 42, POLIWRATH</v>
      </c>
      <c r="I2755" s="5" t="s">
        <v>3379</v>
      </c>
    </row>
    <row r="2756" ht="12.75" customHeight="1">
      <c r="A2756" s="5" t="s">
        <v>3630</v>
      </c>
      <c r="B2756" s="7">
        <v>40.0</v>
      </c>
      <c r="C2756" s="7">
        <v>44.0</v>
      </c>
      <c r="D2756" s="7" t="s">
        <v>3960</v>
      </c>
      <c r="E2756" s="7"/>
      <c r="G2756" s="5" t="str">
        <f t="shared" si="1"/>
        <v>40, 44, SEAREX</v>
      </c>
      <c r="I2756" s="5" t="s">
        <v>3630</v>
      </c>
    </row>
    <row r="2757" ht="12.75" customHeight="1">
      <c r="A2757" s="5" t="s">
        <v>2539</v>
      </c>
      <c r="B2757" s="7" t="s">
        <v>2539</v>
      </c>
      <c r="C2757" s="7"/>
      <c r="D2757" s="7"/>
      <c r="E2757" s="7"/>
      <c r="G2757" s="5" t="str">
        <f t="shared" si="1"/>
        <v>NEW ROUTE</v>
      </c>
      <c r="I2757" s="5" t="s">
        <v>2539</v>
      </c>
    </row>
    <row r="2758" ht="12.75" customHeight="1">
      <c r="A2758" s="5" t="s">
        <v>2082</v>
      </c>
      <c r="B2758" s="7" t="s">
        <v>2082</v>
      </c>
      <c r="C2758" s="7"/>
      <c r="D2758" s="7"/>
      <c r="E2758" s="7"/>
      <c r="G2758" s="5" t="str">
        <f t="shared" si="1"/>
        <v>Cinnabar Island</v>
      </c>
      <c r="I2758" s="5" t="s">
        <v>2082</v>
      </c>
    </row>
    <row r="2759" ht="12.75" customHeight="1">
      <c r="A2759" s="5" t="s">
        <v>3632</v>
      </c>
      <c r="B2759" s="7">
        <v>1.0</v>
      </c>
      <c r="C2759" s="7">
        <v>40.0</v>
      </c>
      <c r="D2759" s="7">
        <v>44.0</v>
      </c>
      <c r="E2759" s="7" t="s">
        <v>3853</v>
      </c>
      <c r="G2759" s="5" t="str">
        <f t="shared" si="1"/>
        <v>1, 40, 44, DEWGONG</v>
      </c>
      <c r="I2759" s="5" t="s">
        <v>3632</v>
      </c>
    </row>
    <row r="2760" ht="12.75" customHeight="1">
      <c r="A2760" s="5" t="s">
        <v>3025</v>
      </c>
      <c r="B2760" s="7">
        <v>42.0</v>
      </c>
      <c r="C2760" s="7">
        <v>46.0</v>
      </c>
      <c r="D2760" s="7" t="s">
        <v>3861</v>
      </c>
      <c r="E2760" s="7"/>
      <c r="G2760" s="5" t="str">
        <f t="shared" si="1"/>
        <v>42, 46, LAPRAS</v>
      </c>
      <c r="I2760" s="5" t="s">
        <v>3025</v>
      </c>
    </row>
    <row r="2761" ht="12.75" customHeight="1">
      <c r="A2761" s="5" t="s">
        <v>3014</v>
      </c>
      <c r="B2761" s="7">
        <v>44.0</v>
      </c>
      <c r="C2761" s="7">
        <v>47.0</v>
      </c>
      <c r="D2761" s="7" t="s">
        <v>3857</v>
      </c>
      <c r="E2761" s="7"/>
      <c r="G2761" s="5" t="str">
        <f t="shared" si="1"/>
        <v>44, 47, PRECIPED</v>
      </c>
      <c r="I2761" s="5" t="s">
        <v>3014</v>
      </c>
    </row>
    <row r="2762" ht="12.75" customHeight="1">
      <c r="A2762" s="5" t="s">
        <v>3633</v>
      </c>
      <c r="B2762" s="7">
        <v>44.0</v>
      </c>
      <c r="C2762" s="7">
        <v>47.0</v>
      </c>
      <c r="D2762" s="7" t="s">
        <v>3931</v>
      </c>
      <c r="E2762" s="7"/>
      <c r="G2762" s="5" t="str">
        <f t="shared" si="1"/>
        <v>44, 47, TENTACATE</v>
      </c>
      <c r="I2762" s="5" t="s">
        <v>3633</v>
      </c>
    </row>
    <row r="2763" ht="12.75" customHeight="1">
      <c r="A2763" s="5" t="s">
        <v>3634</v>
      </c>
      <c r="B2763" s="7">
        <v>45.0</v>
      </c>
      <c r="C2763" s="7">
        <v>50.0</v>
      </c>
      <c r="D2763" s="7" t="s">
        <v>3934</v>
      </c>
      <c r="E2763" s="7"/>
      <c r="G2763" s="5" t="str">
        <f t="shared" si="1"/>
        <v>45, 50, LOCHLASS</v>
      </c>
      <c r="I2763" s="5" t="s">
        <v>3634</v>
      </c>
    </row>
    <row r="2764" ht="12.75" customHeight="1">
      <c r="A2764" s="5" t="s">
        <v>2846</v>
      </c>
      <c r="B2764" s="7">
        <v>10.0</v>
      </c>
      <c r="C2764" s="7" t="s">
        <v>3749</v>
      </c>
      <c r="D2764" s="7"/>
      <c r="E2764" s="7"/>
      <c r="G2764" s="5" t="str">
        <f t="shared" si="1"/>
        <v>old rod:</v>
      </c>
      <c r="I2764" s="5" t="s">
        <v>3750</v>
      </c>
    </row>
    <row r="2765" ht="12.75" customHeight="1">
      <c r="A2765" s="5" t="s">
        <v>1273</v>
      </c>
      <c r="B2765" s="7">
        <v>24.0</v>
      </c>
      <c r="C2765" s="7">
        <v>30.0</v>
      </c>
      <c r="D2765" s="7" t="s">
        <v>3753</v>
      </c>
      <c r="E2765" s="7"/>
      <c r="G2765" s="5" t="str">
        <f t="shared" si="1"/>
        <v>24, 30, HORSEA</v>
      </c>
      <c r="I2765" s="5" t="s">
        <v>1273</v>
      </c>
    </row>
    <row r="2766" ht="12.75" customHeight="1">
      <c r="A2766" s="5" t="s">
        <v>3635</v>
      </c>
      <c r="B2766" s="7">
        <v>24.0</v>
      </c>
      <c r="C2766" s="7">
        <v>30.0</v>
      </c>
      <c r="D2766" s="7" t="s">
        <v>3862</v>
      </c>
      <c r="E2766" s="7"/>
      <c r="G2766" s="5" t="str">
        <f t="shared" si="1"/>
        <v>24, 30, SHELLDER</v>
      </c>
      <c r="I2766" s="5" t="s">
        <v>3635</v>
      </c>
    </row>
    <row r="2767" ht="12.75" customHeight="1">
      <c r="A2767" s="5" t="s">
        <v>2847</v>
      </c>
      <c r="B2767" s="7" t="s">
        <v>2847</v>
      </c>
      <c r="C2767" s="7"/>
      <c r="D2767" s="7"/>
      <c r="E2767" s="7"/>
      <c r="G2767" s="5" t="str">
        <f t="shared" si="1"/>
        <v>good rod:</v>
      </c>
      <c r="I2767" s="5" t="s">
        <v>2847</v>
      </c>
    </row>
    <row r="2768" ht="12.75" customHeight="1">
      <c r="A2768" s="5" t="s">
        <v>3636</v>
      </c>
      <c r="B2768" s="7">
        <v>35.0</v>
      </c>
      <c r="C2768" s="7">
        <v>40.0</v>
      </c>
      <c r="D2768" s="7" t="s">
        <v>3859</v>
      </c>
      <c r="E2768" s="7"/>
      <c r="G2768" s="5" t="str">
        <f t="shared" si="1"/>
        <v>35, 40, SEADRA</v>
      </c>
      <c r="I2768" s="5" t="s">
        <v>3636</v>
      </c>
    </row>
    <row r="2769" ht="12.75" customHeight="1">
      <c r="A2769" s="5" t="s">
        <v>3637</v>
      </c>
      <c r="B2769" s="7">
        <v>37.0</v>
      </c>
      <c r="C2769" s="7">
        <v>42.0</v>
      </c>
      <c r="D2769" s="7" t="s">
        <v>3752</v>
      </c>
      <c r="E2769" s="7"/>
      <c r="G2769" s="5" t="str">
        <f t="shared" si="1"/>
        <v>37, 42, KRABBY</v>
      </c>
      <c r="I2769" s="5" t="s">
        <v>3637</v>
      </c>
    </row>
    <row r="2770" ht="12.75" customHeight="1">
      <c r="A2770" s="5" t="s">
        <v>3638</v>
      </c>
      <c r="B2770" s="7">
        <v>37.0</v>
      </c>
      <c r="C2770" s="7">
        <v>42.0</v>
      </c>
      <c r="D2770" s="7" t="s">
        <v>3842</v>
      </c>
      <c r="E2770" s="7"/>
      <c r="G2770" s="5" t="str">
        <f t="shared" si="1"/>
        <v>37, 42, CLOYSTER</v>
      </c>
      <c r="I2770" s="5" t="s">
        <v>3638</v>
      </c>
    </row>
    <row r="2771" ht="12.75" customHeight="1">
      <c r="A2771" s="5" t="s">
        <v>2851</v>
      </c>
      <c r="B2771" s="7" t="s">
        <v>2851</v>
      </c>
      <c r="C2771" s="7"/>
      <c r="D2771" s="7"/>
      <c r="E2771" s="7"/>
      <c r="G2771" s="5" t="str">
        <f t="shared" si="1"/>
        <v>super rod:</v>
      </c>
      <c r="I2771" s="5" t="s">
        <v>2851</v>
      </c>
    </row>
    <row r="2772" ht="12.75" customHeight="1">
      <c r="A2772" s="5" t="s">
        <v>3639</v>
      </c>
      <c r="B2772" s="7">
        <v>39.0</v>
      </c>
      <c r="C2772" s="7">
        <v>45.0</v>
      </c>
      <c r="D2772" s="7" t="s">
        <v>3843</v>
      </c>
      <c r="E2772" s="7"/>
      <c r="G2772" s="5" t="str">
        <f t="shared" si="1"/>
        <v>39, 45, KINGDRA</v>
      </c>
      <c r="I2772" s="5" t="s">
        <v>3639</v>
      </c>
    </row>
    <row r="2773" ht="12.75" customHeight="1">
      <c r="A2773" s="5" t="s">
        <v>3640</v>
      </c>
      <c r="B2773" s="7">
        <v>39.0</v>
      </c>
      <c r="C2773" s="7">
        <v>45.0</v>
      </c>
      <c r="D2773" s="7" t="s">
        <v>3860</v>
      </c>
      <c r="E2773" s="7"/>
      <c r="G2773" s="5" t="str">
        <f t="shared" si="1"/>
        <v>39, 45, KINGLER</v>
      </c>
      <c r="I2773" s="5" t="s">
        <v>3640</v>
      </c>
    </row>
    <row r="2774" ht="12.75" customHeight="1">
      <c r="A2774" s="5" t="s">
        <v>3641</v>
      </c>
      <c r="B2774" s="7">
        <v>43.0</v>
      </c>
      <c r="C2774" s="7">
        <v>46.0</v>
      </c>
      <c r="D2774" s="7" t="s">
        <v>3846</v>
      </c>
      <c r="E2774" s="7"/>
      <c r="G2774" s="5" t="str">
        <f t="shared" si="1"/>
        <v>43, 46, AN'ENEMY</v>
      </c>
      <c r="I2774" s="5" t="s">
        <v>3641</v>
      </c>
    </row>
    <row r="2775" ht="12.75" customHeight="1">
      <c r="A2775" s="5" t="s">
        <v>3642</v>
      </c>
      <c r="B2775" s="7">
        <v>43.0</v>
      </c>
      <c r="C2775" s="7">
        <v>46.0</v>
      </c>
      <c r="D2775" s="7" t="s">
        <v>3863</v>
      </c>
      <c r="E2775" s="7"/>
      <c r="G2775" s="5" t="str">
        <f t="shared" si="1"/>
        <v>43, 46, KRAKLAW</v>
      </c>
      <c r="I2775" s="5" t="s">
        <v>3642</v>
      </c>
    </row>
    <row r="2776" ht="12.75" customHeight="1">
      <c r="A2776" s="5" t="s">
        <v>3643</v>
      </c>
      <c r="B2776" s="7">
        <v>45.0</v>
      </c>
      <c r="C2776" s="7">
        <v>52.0</v>
      </c>
      <c r="D2776" s="7" t="s">
        <v>3845</v>
      </c>
      <c r="E2776" s="7"/>
      <c r="G2776" s="5" t="str">
        <f t="shared" si="1"/>
        <v>45, 52, LORDRA</v>
      </c>
      <c r="I2776" s="5" t="s">
        <v>3643</v>
      </c>
    </row>
    <row r="2777" ht="12.75" customHeight="1">
      <c r="A2777" s="5" t="s">
        <v>2539</v>
      </c>
      <c r="B2777" s="7" t="s">
        <v>2539</v>
      </c>
      <c r="C2777" s="7"/>
      <c r="D2777" s="7"/>
      <c r="E2777" s="7"/>
      <c r="G2777" s="5" t="str">
        <f t="shared" si="1"/>
        <v>NEW ROUTE</v>
      </c>
      <c r="I2777" s="5" t="s">
        <v>2539</v>
      </c>
    </row>
    <row r="2778" ht="12.75" customHeight="1">
      <c r="A2778" s="5" t="s">
        <v>2090</v>
      </c>
      <c r="B2778" s="7" t="s">
        <v>2090</v>
      </c>
      <c r="C2778" s="7"/>
      <c r="D2778" s="7"/>
      <c r="E2778" s="7"/>
      <c r="G2778" s="5" t="str">
        <f t="shared" si="1"/>
        <v>One Island</v>
      </c>
      <c r="I2778" s="5" t="s">
        <v>2090</v>
      </c>
    </row>
    <row r="2779" ht="12.75" customHeight="1">
      <c r="A2779" s="5" t="s">
        <v>3645</v>
      </c>
      <c r="B2779" s="7">
        <v>1.0</v>
      </c>
      <c r="C2779" s="7">
        <v>5.0</v>
      </c>
      <c r="D2779" s="7">
        <v>20.0</v>
      </c>
      <c r="E2779" s="7" t="s">
        <v>3748</v>
      </c>
      <c r="G2779" s="5" t="str">
        <f t="shared" si="1"/>
        <v>1, 5, 20, TENTACOOL</v>
      </c>
      <c r="I2779" s="5" t="s">
        <v>3645</v>
      </c>
    </row>
    <row r="2780" ht="12.75" customHeight="1">
      <c r="A2780" s="5" t="s">
        <v>3174</v>
      </c>
      <c r="B2780" s="7">
        <v>20.0</v>
      </c>
      <c r="C2780" s="7">
        <v>35.0</v>
      </c>
      <c r="D2780" s="7" t="s">
        <v>3748</v>
      </c>
      <c r="E2780" s="7"/>
      <c r="G2780" s="5" t="str">
        <f t="shared" si="1"/>
        <v>20, 35, TENTACOOL</v>
      </c>
      <c r="I2780" s="5" t="s">
        <v>3174</v>
      </c>
    </row>
    <row r="2781" ht="12.75" customHeight="1">
      <c r="A2781" s="5" t="s">
        <v>2845</v>
      </c>
      <c r="B2781" s="7">
        <v>35.0</v>
      </c>
      <c r="C2781" s="7">
        <v>40.0</v>
      </c>
      <c r="D2781" s="7" t="s">
        <v>3748</v>
      </c>
      <c r="E2781" s="7"/>
      <c r="G2781" s="5" t="str">
        <f t="shared" si="1"/>
        <v>35, 40, TENTACOOL</v>
      </c>
      <c r="I2781" s="5" t="s">
        <v>2845</v>
      </c>
    </row>
    <row r="2782" ht="12.75" customHeight="1">
      <c r="A2782" s="5" t="s">
        <v>3232</v>
      </c>
      <c r="B2782" s="7">
        <v>35.0</v>
      </c>
      <c r="C2782" s="7">
        <v>40.0</v>
      </c>
      <c r="D2782" s="7" t="s">
        <v>3898</v>
      </c>
      <c r="E2782" s="7"/>
      <c r="G2782" s="5" t="str">
        <f t="shared" si="1"/>
        <v>35, 40, TENTACRUEL</v>
      </c>
      <c r="I2782" s="5" t="s">
        <v>3232</v>
      </c>
    </row>
    <row r="2783" ht="12.75" customHeight="1">
      <c r="A2783" s="5" t="s">
        <v>3232</v>
      </c>
      <c r="B2783" s="7">
        <v>35.0</v>
      </c>
      <c r="C2783" s="7">
        <v>40.0</v>
      </c>
      <c r="D2783" s="7" t="s">
        <v>3898</v>
      </c>
      <c r="E2783" s="7"/>
      <c r="G2783" s="5" t="str">
        <f t="shared" si="1"/>
        <v>35, 40, TENTACRUEL</v>
      </c>
      <c r="I2783" s="5" t="s">
        <v>3232</v>
      </c>
    </row>
    <row r="2784" ht="12.75" customHeight="1">
      <c r="A2784" s="5" t="s">
        <v>2846</v>
      </c>
      <c r="B2784" s="7">
        <v>10.0</v>
      </c>
      <c r="C2784" s="7" t="s">
        <v>3749</v>
      </c>
      <c r="D2784" s="7"/>
      <c r="E2784" s="7"/>
      <c r="G2784" s="5" t="str">
        <f t="shared" si="1"/>
        <v>old rod:</v>
      </c>
      <c r="I2784" s="5" t="s">
        <v>3750</v>
      </c>
    </row>
    <row r="2785" ht="12.75" customHeight="1">
      <c r="A2785" s="5" t="s">
        <v>417</v>
      </c>
      <c r="B2785" s="7">
        <v>5.0</v>
      </c>
      <c r="C2785" s="7">
        <v>5.0</v>
      </c>
      <c r="D2785" s="7" t="s">
        <v>3751</v>
      </c>
      <c r="E2785" s="7"/>
      <c r="G2785" s="5" t="str">
        <f t="shared" si="1"/>
        <v>5, 5, MAGIKARP</v>
      </c>
      <c r="I2785" s="5" t="s">
        <v>417</v>
      </c>
    </row>
    <row r="2786" ht="12.75" customHeight="1">
      <c r="A2786" s="5" t="s">
        <v>417</v>
      </c>
      <c r="B2786" s="7">
        <v>5.0</v>
      </c>
      <c r="C2786" s="7">
        <v>5.0</v>
      </c>
      <c r="D2786" s="7" t="s">
        <v>3751</v>
      </c>
      <c r="E2786" s="7"/>
      <c r="G2786" s="5" t="str">
        <f t="shared" si="1"/>
        <v>5, 5, MAGIKARP</v>
      </c>
      <c r="I2786" s="5" t="s">
        <v>417</v>
      </c>
    </row>
    <row r="2787" ht="12.75" customHeight="1">
      <c r="A2787" s="5" t="s">
        <v>2847</v>
      </c>
      <c r="B2787" s="7" t="s">
        <v>2847</v>
      </c>
      <c r="C2787" s="7"/>
      <c r="D2787" s="7"/>
      <c r="E2787" s="7"/>
      <c r="G2787" s="5" t="str">
        <f t="shared" si="1"/>
        <v>good rod:</v>
      </c>
      <c r="I2787" s="5" t="s">
        <v>2847</v>
      </c>
    </row>
    <row r="2788" ht="12.75" customHeight="1">
      <c r="A2788" s="5" t="s">
        <v>2848</v>
      </c>
      <c r="B2788" s="7">
        <v>5.0</v>
      </c>
      <c r="C2788" s="7">
        <v>15.0</v>
      </c>
      <c r="D2788" s="7" t="s">
        <v>3752</v>
      </c>
      <c r="E2788" s="7"/>
      <c r="G2788" s="5" t="str">
        <f t="shared" si="1"/>
        <v>5, 15, KRABBY</v>
      </c>
      <c r="I2788" s="5" t="s">
        <v>2848</v>
      </c>
    </row>
    <row r="2789" ht="12.75" customHeight="1">
      <c r="A2789" s="5" t="s">
        <v>2849</v>
      </c>
      <c r="B2789" s="7">
        <v>5.0</v>
      </c>
      <c r="C2789" s="7">
        <v>15.0</v>
      </c>
      <c r="D2789" s="7" t="s">
        <v>3751</v>
      </c>
      <c r="E2789" s="7"/>
      <c r="G2789" s="5" t="str">
        <f t="shared" si="1"/>
        <v>5, 15, MAGIKARP</v>
      </c>
      <c r="I2789" s="5" t="s">
        <v>2849</v>
      </c>
    </row>
    <row r="2790" ht="12.75" customHeight="1">
      <c r="A2790" s="5" t="s">
        <v>2848</v>
      </c>
      <c r="B2790" s="7">
        <v>5.0</v>
      </c>
      <c r="C2790" s="7">
        <v>15.0</v>
      </c>
      <c r="D2790" s="7" t="s">
        <v>3752</v>
      </c>
      <c r="E2790" s="7"/>
      <c r="G2790" s="5" t="str">
        <f t="shared" si="1"/>
        <v>5, 15, KRABBY</v>
      </c>
      <c r="I2790" s="5" t="s">
        <v>2848</v>
      </c>
    </row>
    <row r="2791" ht="12.75" customHeight="1">
      <c r="A2791" s="5" t="s">
        <v>2851</v>
      </c>
      <c r="B2791" s="7" t="s">
        <v>2851</v>
      </c>
      <c r="C2791" s="7"/>
      <c r="D2791" s="7"/>
      <c r="E2791" s="7"/>
      <c r="G2791" s="5" t="str">
        <f t="shared" si="1"/>
        <v>super rod:</v>
      </c>
      <c r="I2791" s="5" t="s">
        <v>2851</v>
      </c>
    </row>
    <row r="2792" ht="12.75" customHeight="1">
      <c r="A2792" s="5" t="s">
        <v>2852</v>
      </c>
      <c r="B2792" s="7">
        <v>15.0</v>
      </c>
      <c r="C2792" s="7">
        <v>25.0</v>
      </c>
      <c r="D2792" s="7" t="s">
        <v>3752</v>
      </c>
      <c r="E2792" s="7"/>
      <c r="G2792" s="5" t="str">
        <f t="shared" si="1"/>
        <v>15, 25, KRABBY</v>
      </c>
      <c r="I2792" s="5" t="s">
        <v>2852</v>
      </c>
    </row>
    <row r="2793" ht="12.75" customHeight="1">
      <c r="A2793" s="5" t="s">
        <v>2853</v>
      </c>
      <c r="B2793" s="7">
        <v>15.0</v>
      </c>
      <c r="C2793" s="7">
        <v>25.0</v>
      </c>
      <c r="D2793" s="7" t="s">
        <v>3754</v>
      </c>
      <c r="E2793" s="7"/>
      <c r="G2793" s="5" t="str">
        <f t="shared" si="1"/>
        <v>15, 25, STARYU</v>
      </c>
      <c r="I2793" s="5" t="s">
        <v>2853</v>
      </c>
    </row>
    <row r="2794" ht="12.75" customHeight="1">
      <c r="A2794" s="5" t="s">
        <v>2854</v>
      </c>
      <c r="B2794" s="7">
        <v>15.0</v>
      </c>
      <c r="C2794" s="7">
        <v>25.0</v>
      </c>
      <c r="D2794" s="7" t="s">
        <v>3755</v>
      </c>
      <c r="E2794" s="7"/>
      <c r="G2794" s="5" t="str">
        <f t="shared" si="1"/>
        <v>15, 25, GYARADOS</v>
      </c>
      <c r="I2794" s="5" t="s">
        <v>2854</v>
      </c>
    </row>
    <row r="2795" ht="12.75" customHeight="1">
      <c r="A2795" s="5" t="s">
        <v>3178</v>
      </c>
      <c r="B2795" s="7">
        <v>25.0</v>
      </c>
      <c r="C2795" s="7">
        <v>35.0</v>
      </c>
      <c r="D2795" s="7" t="s">
        <v>3860</v>
      </c>
      <c r="E2795" s="7"/>
      <c r="G2795" s="5" t="str">
        <f t="shared" si="1"/>
        <v>25, 35, KINGLER</v>
      </c>
      <c r="I2795" s="5" t="s">
        <v>3178</v>
      </c>
    </row>
    <row r="2796" ht="12.75" customHeight="1">
      <c r="A2796" s="5" t="s">
        <v>2856</v>
      </c>
      <c r="B2796" s="7">
        <v>25.0</v>
      </c>
      <c r="C2796" s="7">
        <v>35.0</v>
      </c>
      <c r="D2796" s="7" t="s">
        <v>3756</v>
      </c>
      <c r="E2796" s="7"/>
      <c r="G2796" s="5" t="str">
        <f t="shared" si="1"/>
        <v>25, 35, SLOWPOKE</v>
      </c>
      <c r="I2796" s="5" t="s">
        <v>2856</v>
      </c>
    </row>
    <row r="2797" ht="12.75" customHeight="1">
      <c r="A2797" s="5" t="s">
        <v>2539</v>
      </c>
      <c r="B2797" s="7" t="s">
        <v>2539</v>
      </c>
      <c r="C2797" s="7"/>
      <c r="D2797" s="7"/>
      <c r="E2797" s="7"/>
      <c r="G2797" s="5" t="str">
        <f t="shared" si="1"/>
        <v>NEW ROUTE</v>
      </c>
      <c r="I2797" s="5" t="s">
        <v>2539</v>
      </c>
    </row>
    <row r="2798" ht="12.75" customHeight="1">
      <c r="A2798" s="5" t="s">
        <v>2096</v>
      </c>
      <c r="B2798" s="7" t="s">
        <v>2096</v>
      </c>
      <c r="C2798" s="7"/>
      <c r="D2798" s="7"/>
      <c r="E2798" s="7"/>
      <c r="G2798" s="5" t="str">
        <f t="shared" si="1"/>
        <v>Four Island</v>
      </c>
      <c r="I2798" s="5" t="s">
        <v>2096</v>
      </c>
    </row>
    <row r="2799" ht="12.75" customHeight="1">
      <c r="A2799" s="5" t="s">
        <v>3647</v>
      </c>
      <c r="B2799" s="7">
        <v>2.0</v>
      </c>
      <c r="C2799" s="7">
        <v>5.0</v>
      </c>
      <c r="D2799" s="7">
        <v>15.0</v>
      </c>
      <c r="E2799" s="7" t="s">
        <v>3895</v>
      </c>
      <c r="G2799" s="5" t="str">
        <f t="shared" si="1"/>
        <v>2, 5, 15, MARILL</v>
      </c>
      <c r="I2799" s="5" t="s">
        <v>3647</v>
      </c>
    </row>
    <row r="2800" ht="12.75" customHeight="1">
      <c r="A2800" s="5" t="s">
        <v>3159</v>
      </c>
      <c r="B2800" s="7">
        <v>5.0</v>
      </c>
      <c r="C2800" s="7">
        <v>35.0</v>
      </c>
      <c r="D2800" s="7" t="s">
        <v>3756</v>
      </c>
      <c r="E2800" s="7"/>
      <c r="G2800" s="5" t="str">
        <f t="shared" si="1"/>
        <v>5, 35, SLOWPOKE</v>
      </c>
      <c r="I2800" s="5" t="s">
        <v>3159</v>
      </c>
    </row>
    <row r="2801" ht="12.75" customHeight="1">
      <c r="A2801" s="5" t="s">
        <v>3294</v>
      </c>
      <c r="B2801" s="7">
        <v>15.0</v>
      </c>
      <c r="C2801" s="7">
        <v>25.0</v>
      </c>
      <c r="D2801" s="7" t="s">
        <v>3895</v>
      </c>
      <c r="E2801" s="7"/>
      <c r="G2801" s="5" t="str">
        <f t="shared" si="1"/>
        <v>15, 25, MARILL</v>
      </c>
      <c r="I2801" s="5" t="s">
        <v>3294</v>
      </c>
    </row>
    <row r="2802" ht="12.75" customHeight="1">
      <c r="A2802" s="5" t="s">
        <v>3294</v>
      </c>
      <c r="B2802" s="7">
        <v>15.0</v>
      </c>
      <c r="C2802" s="7">
        <v>25.0</v>
      </c>
      <c r="D2802" s="7" t="s">
        <v>3895</v>
      </c>
      <c r="E2802" s="7"/>
      <c r="G2802" s="5" t="str">
        <f t="shared" si="1"/>
        <v>15, 25, MARILL</v>
      </c>
      <c r="I2802" s="5" t="s">
        <v>3294</v>
      </c>
    </row>
    <row r="2803" ht="12.75" customHeight="1">
      <c r="A2803" s="5" t="s">
        <v>3294</v>
      </c>
      <c r="B2803" s="7">
        <v>15.0</v>
      </c>
      <c r="C2803" s="7">
        <v>25.0</v>
      </c>
      <c r="D2803" s="7" t="s">
        <v>3895</v>
      </c>
      <c r="E2803" s="7"/>
      <c r="G2803" s="5" t="str">
        <f t="shared" si="1"/>
        <v>15, 25, MARILL</v>
      </c>
      <c r="I2803" s="5" t="s">
        <v>3294</v>
      </c>
    </row>
    <row r="2804" ht="12.75" customHeight="1">
      <c r="A2804" s="5" t="s">
        <v>2926</v>
      </c>
      <c r="B2804" s="7">
        <v>20.0</v>
      </c>
      <c r="C2804" s="7" t="s">
        <v>3749</v>
      </c>
      <c r="D2804" s="7"/>
      <c r="E2804" s="7"/>
      <c r="G2804" s="5" t="str">
        <f t="shared" si="1"/>
        <v>old rod:</v>
      </c>
      <c r="I2804" s="5" t="s">
        <v>3750</v>
      </c>
    </row>
    <row r="2805" ht="12.75" customHeight="1">
      <c r="A2805" s="5" t="s">
        <v>417</v>
      </c>
      <c r="B2805" s="7">
        <v>5.0</v>
      </c>
      <c r="C2805" s="7">
        <v>5.0</v>
      </c>
      <c r="D2805" s="7" t="s">
        <v>3751</v>
      </c>
      <c r="E2805" s="7"/>
      <c r="G2805" s="5" t="str">
        <f t="shared" si="1"/>
        <v>5, 5, MAGIKARP</v>
      </c>
      <c r="I2805" s="5" t="s">
        <v>417</v>
      </c>
    </row>
    <row r="2806" ht="12.75" customHeight="1">
      <c r="A2806" s="5" t="s">
        <v>417</v>
      </c>
      <c r="B2806" s="7">
        <v>5.0</v>
      </c>
      <c r="C2806" s="7">
        <v>5.0</v>
      </c>
      <c r="D2806" s="7" t="s">
        <v>3751</v>
      </c>
      <c r="E2806" s="7"/>
      <c r="G2806" s="5" t="str">
        <f t="shared" si="1"/>
        <v>5, 5, MAGIKARP</v>
      </c>
      <c r="I2806" s="5" t="s">
        <v>417</v>
      </c>
    </row>
    <row r="2807" ht="12.75" customHeight="1">
      <c r="A2807" s="5" t="s">
        <v>2847</v>
      </c>
      <c r="B2807" s="7" t="s">
        <v>2847</v>
      </c>
      <c r="C2807" s="7"/>
      <c r="D2807" s="7"/>
      <c r="E2807" s="7"/>
      <c r="G2807" s="5" t="str">
        <f t="shared" si="1"/>
        <v>good rod:</v>
      </c>
      <c r="I2807" s="5" t="s">
        <v>2847</v>
      </c>
    </row>
    <row r="2808" ht="12.75" customHeight="1">
      <c r="A2808" s="5" t="s">
        <v>3144</v>
      </c>
      <c r="B2808" s="7">
        <v>5.0</v>
      </c>
      <c r="C2808" s="7">
        <v>15.0</v>
      </c>
      <c r="D2808" s="7" t="s">
        <v>3804</v>
      </c>
      <c r="E2808" s="7"/>
      <c r="G2808" s="5" t="str">
        <f t="shared" si="1"/>
        <v>5, 15, POLIWAG</v>
      </c>
      <c r="I2808" s="5" t="s">
        <v>3144</v>
      </c>
    </row>
    <row r="2809" ht="12.75" customHeight="1">
      <c r="A2809" s="5" t="s">
        <v>2849</v>
      </c>
      <c r="B2809" s="7">
        <v>5.0</v>
      </c>
      <c r="C2809" s="7">
        <v>15.0</v>
      </c>
      <c r="D2809" s="7" t="s">
        <v>3751</v>
      </c>
      <c r="E2809" s="7"/>
      <c r="G2809" s="5" t="str">
        <f t="shared" si="1"/>
        <v>5, 15, MAGIKARP</v>
      </c>
      <c r="I2809" s="5" t="s">
        <v>2849</v>
      </c>
    </row>
    <row r="2810" ht="12.75" customHeight="1">
      <c r="A2810" s="5" t="s">
        <v>3143</v>
      </c>
      <c r="B2810" s="7">
        <v>5.0</v>
      </c>
      <c r="C2810" s="7">
        <v>15.0</v>
      </c>
      <c r="D2810" s="7" t="s">
        <v>3805</v>
      </c>
      <c r="E2810" s="7"/>
      <c r="G2810" s="5" t="str">
        <f t="shared" si="1"/>
        <v>5, 15, GOLDEEN</v>
      </c>
      <c r="I2810" s="5" t="s">
        <v>3143</v>
      </c>
    </row>
    <row r="2811" ht="12.75" customHeight="1">
      <c r="A2811" s="5" t="s">
        <v>2851</v>
      </c>
      <c r="B2811" s="7" t="s">
        <v>2851</v>
      </c>
      <c r="C2811" s="7"/>
      <c r="D2811" s="7"/>
      <c r="E2811" s="7"/>
      <c r="G2811" s="5" t="str">
        <f t="shared" si="1"/>
        <v>super rod:</v>
      </c>
      <c r="I2811" s="5" t="s">
        <v>2851</v>
      </c>
    </row>
    <row r="2812" ht="12.75" customHeight="1">
      <c r="A2812" s="5" t="s">
        <v>3162</v>
      </c>
      <c r="B2812" s="7">
        <v>15.0</v>
      </c>
      <c r="C2812" s="7">
        <v>25.0</v>
      </c>
      <c r="D2812" s="7" t="s">
        <v>3804</v>
      </c>
      <c r="E2812" s="7"/>
      <c r="G2812" s="5" t="str">
        <f t="shared" si="1"/>
        <v>15, 25, POLIWAG</v>
      </c>
      <c r="I2812" s="5" t="s">
        <v>3162</v>
      </c>
    </row>
    <row r="2813" ht="12.75" customHeight="1">
      <c r="A2813" s="5" t="s">
        <v>3163</v>
      </c>
      <c r="B2813" s="7">
        <v>20.0</v>
      </c>
      <c r="C2813" s="7">
        <v>30.0</v>
      </c>
      <c r="D2813" s="7" t="s">
        <v>3806</v>
      </c>
      <c r="E2813" s="7"/>
      <c r="G2813" s="5" t="str">
        <f t="shared" si="1"/>
        <v>20, 30, POLIWHIRL</v>
      </c>
      <c r="I2813" s="5" t="s">
        <v>3163</v>
      </c>
    </row>
    <row r="2814" ht="12.75" customHeight="1">
      <c r="A2814" s="5" t="s">
        <v>2854</v>
      </c>
      <c r="B2814" s="7">
        <v>15.0</v>
      </c>
      <c r="C2814" s="7">
        <v>25.0</v>
      </c>
      <c r="D2814" s="7" t="s">
        <v>3755</v>
      </c>
      <c r="E2814" s="7"/>
      <c r="G2814" s="5" t="str">
        <f t="shared" si="1"/>
        <v>15, 25, GYARADOS</v>
      </c>
      <c r="I2814" s="5" t="s">
        <v>2854</v>
      </c>
    </row>
    <row r="2815" ht="12.75" customHeight="1">
      <c r="A2815" s="5" t="s">
        <v>3147</v>
      </c>
      <c r="B2815" s="7">
        <v>15.0</v>
      </c>
      <c r="C2815" s="7">
        <v>25.0</v>
      </c>
      <c r="D2815" s="7" t="s">
        <v>3756</v>
      </c>
      <c r="E2815" s="7"/>
      <c r="G2815" s="5" t="str">
        <f t="shared" si="1"/>
        <v>15, 25, SLOWPOKE</v>
      </c>
      <c r="I2815" s="5" t="s">
        <v>3147</v>
      </c>
    </row>
    <row r="2816" ht="12.75" customHeight="1">
      <c r="A2816" s="5" t="s">
        <v>2856</v>
      </c>
      <c r="B2816" s="7">
        <v>25.0</v>
      </c>
      <c r="C2816" s="7">
        <v>35.0</v>
      </c>
      <c r="D2816" s="7" t="s">
        <v>3756</v>
      </c>
      <c r="E2816" s="7"/>
      <c r="G2816" s="5" t="str">
        <f t="shared" si="1"/>
        <v>25, 35, SLOWPOKE</v>
      </c>
      <c r="I2816" s="5" t="s">
        <v>2856</v>
      </c>
    </row>
    <row r="2817" ht="12.75" customHeight="1">
      <c r="A2817" s="5" t="s">
        <v>2539</v>
      </c>
      <c r="B2817" s="7" t="s">
        <v>2539</v>
      </c>
      <c r="C2817" s="7"/>
      <c r="D2817" s="7"/>
      <c r="E2817" s="7"/>
      <c r="G2817" s="5" t="str">
        <f t="shared" si="1"/>
        <v>NEW ROUTE</v>
      </c>
      <c r="I2817" s="5" t="s">
        <v>2539</v>
      </c>
    </row>
    <row r="2818" ht="12.75" customHeight="1">
      <c r="A2818" s="5" t="s">
        <v>2098</v>
      </c>
      <c r="B2818" s="7" t="s">
        <v>2098</v>
      </c>
      <c r="C2818" s="7"/>
      <c r="D2818" s="7"/>
      <c r="E2818" s="7"/>
      <c r="G2818" s="5" t="str">
        <f t="shared" si="1"/>
        <v>Five Island</v>
      </c>
      <c r="I2818" s="5" t="s">
        <v>2098</v>
      </c>
    </row>
    <row r="2819" ht="12.75" customHeight="1">
      <c r="A2819" s="5" t="s">
        <v>3649</v>
      </c>
      <c r="B2819" s="7">
        <v>1.0</v>
      </c>
      <c r="C2819" s="7">
        <v>5.0</v>
      </c>
      <c r="D2819" s="7">
        <v>35.0</v>
      </c>
      <c r="E2819" s="7" t="s">
        <v>3748</v>
      </c>
      <c r="G2819" s="5" t="str">
        <f t="shared" si="1"/>
        <v>1, 5, 35, TENTACOOL</v>
      </c>
      <c r="I2819" s="5" t="s">
        <v>3649</v>
      </c>
    </row>
    <row r="2820" ht="12.75" customHeight="1">
      <c r="A2820" s="5" t="s">
        <v>3258</v>
      </c>
      <c r="B2820" s="7">
        <v>5.0</v>
      </c>
      <c r="C2820" s="7">
        <v>15.0</v>
      </c>
      <c r="D2820" s="7" t="s">
        <v>3906</v>
      </c>
      <c r="E2820" s="7"/>
      <c r="G2820" s="5" t="str">
        <f t="shared" si="1"/>
        <v>5, 15, HOPPIP</v>
      </c>
      <c r="I2820" s="5" t="s">
        <v>3258</v>
      </c>
    </row>
    <row r="2821" ht="12.75" customHeight="1">
      <c r="A2821" s="5" t="s">
        <v>2845</v>
      </c>
      <c r="B2821" s="7">
        <v>35.0</v>
      </c>
      <c r="C2821" s="7">
        <v>40.0</v>
      </c>
      <c r="D2821" s="7" t="s">
        <v>3748</v>
      </c>
      <c r="E2821" s="7"/>
      <c r="G2821" s="5" t="str">
        <f t="shared" si="1"/>
        <v>35, 40, TENTACOOL</v>
      </c>
      <c r="I2821" s="5" t="s">
        <v>2845</v>
      </c>
    </row>
    <row r="2822" ht="12.75" customHeight="1">
      <c r="A2822" s="5" t="s">
        <v>3232</v>
      </c>
      <c r="B2822" s="7">
        <v>35.0</v>
      </c>
      <c r="C2822" s="7">
        <v>40.0</v>
      </c>
      <c r="D2822" s="7" t="s">
        <v>3898</v>
      </c>
      <c r="E2822" s="7"/>
      <c r="G2822" s="5" t="str">
        <f t="shared" si="1"/>
        <v>35, 40, TENTACRUEL</v>
      </c>
      <c r="I2822" s="5" t="s">
        <v>3232</v>
      </c>
    </row>
    <row r="2823" ht="12.75" customHeight="1">
      <c r="A2823" s="5" t="s">
        <v>3232</v>
      </c>
      <c r="B2823" s="7">
        <v>35.0</v>
      </c>
      <c r="C2823" s="7">
        <v>40.0</v>
      </c>
      <c r="D2823" s="7" t="s">
        <v>3898</v>
      </c>
      <c r="E2823" s="7"/>
      <c r="G2823" s="5" t="str">
        <f t="shared" si="1"/>
        <v>35, 40, TENTACRUEL</v>
      </c>
      <c r="I2823" s="5" t="s">
        <v>3232</v>
      </c>
    </row>
    <row r="2824" ht="12.75" customHeight="1">
      <c r="A2824" s="5" t="s">
        <v>2846</v>
      </c>
      <c r="B2824" s="7">
        <v>10.0</v>
      </c>
      <c r="C2824" s="7" t="s">
        <v>3749</v>
      </c>
      <c r="D2824" s="7"/>
      <c r="E2824" s="7"/>
      <c r="G2824" s="5" t="str">
        <f t="shared" si="1"/>
        <v>old rod:</v>
      </c>
      <c r="I2824" s="5" t="s">
        <v>3750</v>
      </c>
    </row>
    <row r="2825" ht="12.75" customHeight="1">
      <c r="A2825" s="5" t="s">
        <v>417</v>
      </c>
      <c r="B2825" s="7">
        <v>5.0</v>
      </c>
      <c r="C2825" s="7">
        <v>5.0</v>
      </c>
      <c r="D2825" s="7" t="s">
        <v>3751</v>
      </c>
      <c r="E2825" s="7"/>
      <c r="G2825" s="5" t="str">
        <f t="shared" si="1"/>
        <v>5, 5, MAGIKARP</v>
      </c>
      <c r="I2825" s="5" t="s">
        <v>417</v>
      </c>
    </row>
    <row r="2826" ht="12.75" customHeight="1">
      <c r="A2826" s="5" t="s">
        <v>417</v>
      </c>
      <c r="B2826" s="7">
        <v>5.0</v>
      </c>
      <c r="C2826" s="7">
        <v>5.0</v>
      </c>
      <c r="D2826" s="7" t="s">
        <v>3751</v>
      </c>
      <c r="E2826" s="7"/>
      <c r="G2826" s="5" t="str">
        <f t="shared" si="1"/>
        <v>5, 5, MAGIKARP</v>
      </c>
      <c r="I2826" s="5" t="s">
        <v>417</v>
      </c>
    </row>
    <row r="2827" ht="12.75" customHeight="1">
      <c r="A2827" s="5" t="s">
        <v>2847</v>
      </c>
      <c r="B2827" s="7" t="s">
        <v>2847</v>
      </c>
      <c r="C2827" s="7"/>
      <c r="D2827" s="7"/>
      <c r="E2827" s="7"/>
      <c r="G2827" s="5" t="str">
        <f t="shared" si="1"/>
        <v>good rod:</v>
      </c>
      <c r="I2827" s="5" t="s">
        <v>2847</v>
      </c>
    </row>
    <row r="2828" ht="12.75" customHeight="1">
      <c r="A2828" s="5" t="s">
        <v>2848</v>
      </c>
      <c r="B2828" s="7">
        <v>5.0</v>
      </c>
      <c r="C2828" s="7">
        <v>15.0</v>
      </c>
      <c r="D2828" s="7" t="s">
        <v>3752</v>
      </c>
      <c r="E2828" s="7"/>
      <c r="G2828" s="5" t="str">
        <f t="shared" si="1"/>
        <v>5, 15, KRABBY</v>
      </c>
      <c r="I2828" s="5" t="s">
        <v>2848</v>
      </c>
    </row>
    <row r="2829" ht="12.75" customHeight="1">
      <c r="A2829" s="5" t="s">
        <v>2849</v>
      </c>
      <c r="B2829" s="7">
        <v>5.0</v>
      </c>
      <c r="C2829" s="7">
        <v>15.0</v>
      </c>
      <c r="D2829" s="7" t="s">
        <v>3751</v>
      </c>
      <c r="E2829" s="7"/>
      <c r="G2829" s="5" t="str">
        <f t="shared" si="1"/>
        <v>5, 15, MAGIKARP</v>
      </c>
      <c r="I2829" s="5" t="s">
        <v>2849</v>
      </c>
    </row>
    <row r="2830" ht="12.75" customHeight="1">
      <c r="A2830" s="5" t="s">
        <v>2848</v>
      </c>
      <c r="B2830" s="7">
        <v>5.0</v>
      </c>
      <c r="C2830" s="7">
        <v>15.0</v>
      </c>
      <c r="D2830" s="7" t="s">
        <v>3752</v>
      </c>
      <c r="E2830" s="7"/>
      <c r="G2830" s="5" t="str">
        <f t="shared" si="1"/>
        <v>5, 15, KRABBY</v>
      </c>
      <c r="I2830" s="5" t="s">
        <v>2848</v>
      </c>
    </row>
    <row r="2831" ht="12.75" customHeight="1">
      <c r="A2831" s="5" t="s">
        <v>2851</v>
      </c>
      <c r="B2831" s="7" t="s">
        <v>2851</v>
      </c>
      <c r="C2831" s="7"/>
      <c r="D2831" s="7"/>
      <c r="E2831" s="7"/>
      <c r="G2831" s="5" t="str">
        <f t="shared" si="1"/>
        <v>super rod:</v>
      </c>
      <c r="I2831" s="5" t="s">
        <v>2851</v>
      </c>
    </row>
    <row r="2832" ht="12.75" customHeight="1">
      <c r="A2832" s="5" t="s">
        <v>2852</v>
      </c>
      <c r="B2832" s="7">
        <v>15.0</v>
      </c>
      <c r="C2832" s="7">
        <v>25.0</v>
      </c>
      <c r="D2832" s="7" t="s">
        <v>3752</v>
      </c>
      <c r="E2832" s="7"/>
      <c r="G2832" s="5" t="str">
        <f t="shared" si="1"/>
        <v>15, 25, KRABBY</v>
      </c>
      <c r="I2832" s="5" t="s">
        <v>2852</v>
      </c>
    </row>
    <row r="2833" ht="12.75" customHeight="1">
      <c r="A2833" s="5" t="s">
        <v>2853</v>
      </c>
      <c r="B2833" s="7">
        <v>15.0</v>
      </c>
      <c r="C2833" s="7">
        <v>25.0</v>
      </c>
      <c r="D2833" s="7" t="s">
        <v>3754</v>
      </c>
      <c r="E2833" s="7"/>
      <c r="G2833" s="5" t="str">
        <f t="shared" si="1"/>
        <v>15, 25, STARYU</v>
      </c>
      <c r="I2833" s="5" t="s">
        <v>2853</v>
      </c>
    </row>
    <row r="2834" ht="12.75" customHeight="1">
      <c r="A2834" s="5" t="s">
        <v>2854</v>
      </c>
      <c r="B2834" s="7">
        <v>15.0</v>
      </c>
      <c r="C2834" s="7">
        <v>25.0</v>
      </c>
      <c r="D2834" s="7" t="s">
        <v>3755</v>
      </c>
      <c r="E2834" s="7"/>
      <c r="G2834" s="5" t="str">
        <f t="shared" si="1"/>
        <v>15, 25, GYARADOS</v>
      </c>
      <c r="I2834" s="5" t="s">
        <v>2854</v>
      </c>
    </row>
    <row r="2835" ht="12.75" customHeight="1">
      <c r="A2835" s="5" t="s">
        <v>3178</v>
      </c>
      <c r="B2835" s="7">
        <v>25.0</v>
      </c>
      <c r="C2835" s="7">
        <v>35.0</v>
      </c>
      <c r="D2835" s="7" t="s">
        <v>3860</v>
      </c>
      <c r="E2835" s="7"/>
      <c r="G2835" s="5" t="str">
        <f t="shared" si="1"/>
        <v>25, 35, KINGLER</v>
      </c>
      <c r="I2835" s="5" t="s">
        <v>3178</v>
      </c>
    </row>
    <row r="2836" ht="12.75" customHeight="1">
      <c r="A2836" s="5" t="s">
        <v>2856</v>
      </c>
      <c r="B2836" s="7">
        <v>25.0</v>
      </c>
      <c r="C2836" s="7">
        <v>35.0</v>
      </c>
      <c r="D2836" s="7" t="s">
        <v>3756</v>
      </c>
      <c r="E2836" s="7"/>
      <c r="G2836" s="5" t="str">
        <f t="shared" si="1"/>
        <v>25, 35, SLOWPOKE</v>
      </c>
      <c r="I2836" s="5" t="s">
        <v>2856</v>
      </c>
    </row>
    <row r="2837" ht="12.75" customHeight="1">
      <c r="A2837" s="5" t="s">
        <v>2539</v>
      </c>
      <c r="B2837" s="7" t="s">
        <v>2539</v>
      </c>
      <c r="C2837" s="7"/>
      <c r="D2837" s="7"/>
      <c r="E2837" s="7"/>
      <c r="G2837" s="5" t="str">
        <f t="shared" si="1"/>
        <v>NEW ROUTE</v>
      </c>
      <c r="I2837" s="5" t="s">
        <v>2539</v>
      </c>
    </row>
    <row r="2838" ht="12.75" customHeight="1">
      <c r="A2838" s="5" t="s">
        <v>1940</v>
      </c>
      <c r="B2838" s="7" t="s">
        <v>1940</v>
      </c>
      <c r="C2838" s="7"/>
      <c r="D2838" s="7"/>
      <c r="E2838" s="7"/>
      <c r="G2838" s="5" t="str">
        <f t="shared" si="1"/>
        <v>Six Island Altering Cave</v>
      </c>
      <c r="I2838" s="5" t="s">
        <v>1940</v>
      </c>
    </row>
    <row r="2839" ht="12.75" customHeight="1">
      <c r="A2839" s="5">
        <v>0.2</v>
      </c>
      <c r="B2839" s="5">
        <v>0.2</v>
      </c>
      <c r="C2839" s="7"/>
      <c r="D2839" s="7"/>
      <c r="E2839" s="7"/>
      <c r="G2839" s="5">
        <f t="shared" si="1"/>
        <v>0.2</v>
      </c>
      <c r="I2839" s="5">
        <v>0.2</v>
      </c>
    </row>
    <row r="2840" ht="12.75" customHeight="1">
      <c r="A2840" s="5" t="s">
        <v>1289</v>
      </c>
      <c r="B2840" s="7">
        <v>10.0</v>
      </c>
      <c r="C2840" s="7">
        <v>10.0</v>
      </c>
      <c r="D2840" s="7" t="s">
        <v>3740</v>
      </c>
      <c r="E2840" s="7"/>
      <c r="G2840" s="5" t="str">
        <f t="shared" si="1"/>
        <v>10, 10, ZUBAT</v>
      </c>
      <c r="I2840" s="5" t="s">
        <v>1289</v>
      </c>
    </row>
    <row r="2841" ht="12.75" customHeight="1">
      <c r="A2841" s="5" t="s">
        <v>3651</v>
      </c>
      <c r="B2841" s="7">
        <v>12.0</v>
      </c>
      <c r="C2841" s="7">
        <v>12.0</v>
      </c>
      <c r="D2841" s="7" t="s">
        <v>3740</v>
      </c>
      <c r="E2841" s="7"/>
      <c r="G2841" s="5" t="str">
        <f t="shared" si="1"/>
        <v>12, 12, ZUBAT</v>
      </c>
      <c r="I2841" s="5" t="s">
        <v>3651</v>
      </c>
    </row>
    <row r="2842" ht="12.75" customHeight="1">
      <c r="A2842" s="5">
        <v>0.1</v>
      </c>
      <c r="B2842" s="5">
        <v>0.1</v>
      </c>
      <c r="C2842" s="7"/>
      <c r="D2842" s="7"/>
      <c r="E2842" s="7"/>
      <c r="G2842" s="5">
        <f t="shared" si="1"/>
        <v>0.1</v>
      </c>
      <c r="I2842" s="5">
        <v>0.1</v>
      </c>
    </row>
    <row r="2843" ht="12.75" customHeight="1">
      <c r="A2843" s="5" t="s">
        <v>3652</v>
      </c>
      <c r="B2843" s="7">
        <v>8.0</v>
      </c>
      <c r="C2843" s="7">
        <v>8.0</v>
      </c>
      <c r="D2843" s="7" t="s">
        <v>3740</v>
      </c>
      <c r="E2843" s="7"/>
      <c r="G2843" s="5" t="str">
        <f t="shared" si="1"/>
        <v>8, 8, ZUBAT</v>
      </c>
      <c r="I2843" s="5" t="s">
        <v>3652</v>
      </c>
    </row>
    <row r="2844" ht="12.75" customHeight="1">
      <c r="A2844" s="5" t="s">
        <v>3653</v>
      </c>
      <c r="B2844" s="7">
        <v>14.0</v>
      </c>
      <c r="C2844" s="7">
        <v>14.0</v>
      </c>
      <c r="D2844" s="7" t="s">
        <v>3740</v>
      </c>
      <c r="E2844" s="7"/>
      <c r="G2844" s="5" t="str">
        <f t="shared" si="1"/>
        <v>14, 14, ZUBAT</v>
      </c>
      <c r="I2844" s="5" t="s">
        <v>3653</v>
      </c>
    </row>
    <row r="2845" ht="12.75" customHeight="1">
      <c r="A2845" s="5" t="s">
        <v>1289</v>
      </c>
      <c r="B2845" s="7">
        <v>10.0</v>
      </c>
      <c r="C2845" s="7">
        <v>10.0</v>
      </c>
      <c r="D2845" s="7" t="s">
        <v>3740</v>
      </c>
      <c r="E2845" s="7"/>
      <c r="G2845" s="5" t="str">
        <f t="shared" si="1"/>
        <v>10, 10, ZUBAT</v>
      </c>
      <c r="I2845" s="5" t="s">
        <v>1289</v>
      </c>
    </row>
    <row r="2846" ht="12.75" customHeight="1">
      <c r="A2846" s="5" t="s">
        <v>3651</v>
      </c>
      <c r="B2846" s="7">
        <v>12.0</v>
      </c>
      <c r="C2846" s="7">
        <v>12.0</v>
      </c>
      <c r="D2846" s="7" t="s">
        <v>3740</v>
      </c>
      <c r="E2846" s="7"/>
      <c r="G2846" s="5" t="str">
        <f t="shared" si="1"/>
        <v>12, 12, ZUBAT</v>
      </c>
      <c r="I2846" s="5" t="s">
        <v>3651</v>
      </c>
    </row>
    <row r="2847" ht="12.75" customHeight="1">
      <c r="A2847" s="5">
        <v>0.05</v>
      </c>
      <c r="B2847" s="5">
        <v>0.05</v>
      </c>
      <c r="C2847" s="7"/>
      <c r="D2847" s="7"/>
      <c r="E2847" s="7"/>
      <c r="G2847" s="5">
        <f t="shared" si="1"/>
        <v>0.05</v>
      </c>
      <c r="I2847" s="5">
        <v>0.05</v>
      </c>
    </row>
    <row r="2848" ht="12.75" customHeight="1">
      <c r="A2848" s="5" t="s">
        <v>3654</v>
      </c>
      <c r="B2848" s="7">
        <v>16.0</v>
      </c>
      <c r="C2848" s="7">
        <v>16.0</v>
      </c>
      <c r="D2848" s="7" t="s">
        <v>3740</v>
      </c>
      <c r="E2848" s="7"/>
      <c r="G2848" s="5" t="str">
        <f t="shared" si="1"/>
        <v>16, 16, ZUBAT</v>
      </c>
      <c r="I2848" s="5" t="s">
        <v>3654</v>
      </c>
    </row>
    <row r="2849" ht="12.75" customHeight="1">
      <c r="A2849" s="5" t="s">
        <v>3655</v>
      </c>
      <c r="B2849" s="7">
        <v>6.0</v>
      </c>
      <c r="C2849" s="7">
        <v>6.0</v>
      </c>
      <c r="D2849" s="7" t="s">
        <v>3740</v>
      </c>
      <c r="E2849" s="7"/>
      <c r="G2849" s="5" t="str">
        <f t="shared" si="1"/>
        <v>6, 6, ZUBAT</v>
      </c>
      <c r="I2849" s="5" t="s">
        <v>3655</v>
      </c>
    </row>
    <row r="2850" ht="12.75" customHeight="1">
      <c r="A2850" s="5">
        <v>0.04</v>
      </c>
      <c r="B2850" s="5">
        <v>0.04</v>
      </c>
      <c r="C2850" s="7"/>
      <c r="D2850" s="7"/>
      <c r="E2850" s="7"/>
      <c r="G2850" s="5">
        <f t="shared" si="1"/>
        <v>0.04</v>
      </c>
      <c r="I2850" s="5">
        <v>0.04</v>
      </c>
    </row>
    <row r="2851" ht="12.75" customHeight="1">
      <c r="A2851" s="5" t="s">
        <v>3652</v>
      </c>
      <c r="B2851" s="7">
        <v>8.0</v>
      </c>
      <c r="C2851" s="7">
        <v>8.0</v>
      </c>
      <c r="D2851" s="7" t="s">
        <v>3740</v>
      </c>
      <c r="E2851" s="7"/>
      <c r="G2851" s="5" t="str">
        <f t="shared" si="1"/>
        <v>8, 8, ZUBAT</v>
      </c>
      <c r="I2851" s="5" t="s">
        <v>3652</v>
      </c>
    </row>
    <row r="2852" ht="12.75" customHeight="1">
      <c r="A2852" s="5" t="s">
        <v>3653</v>
      </c>
      <c r="B2852" s="7">
        <v>14.0</v>
      </c>
      <c r="C2852" s="7">
        <v>14.0</v>
      </c>
      <c r="D2852" s="7" t="s">
        <v>3740</v>
      </c>
      <c r="E2852" s="7"/>
      <c r="G2852" s="5" t="str">
        <f t="shared" si="1"/>
        <v>14, 14, ZUBAT</v>
      </c>
      <c r="I2852" s="5" t="s">
        <v>3653</v>
      </c>
    </row>
    <row r="2853" ht="12.75" customHeight="1">
      <c r="A2853" s="5">
        <v>0.01</v>
      </c>
      <c r="B2853" s="5">
        <v>0.01</v>
      </c>
      <c r="C2853" s="7"/>
      <c r="D2853" s="7"/>
      <c r="E2853" s="7"/>
      <c r="G2853" s="5">
        <f t="shared" si="1"/>
        <v>0.01</v>
      </c>
      <c r="I2853" s="5">
        <v>0.01</v>
      </c>
    </row>
    <row r="2854" ht="12.75" customHeight="1">
      <c r="A2854" s="5" t="s">
        <v>3652</v>
      </c>
      <c r="B2854" s="7">
        <v>8.0</v>
      </c>
      <c r="C2854" s="7">
        <v>8.0</v>
      </c>
      <c r="D2854" s="7" t="s">
        <v>3740</v>
      </c>
      <c r="E2854" s="7"/>
      <c r="G2854" s="5" t="str">
        <f t="shared" si="1"/>
        <v>8, 8, ZUBAT</v>
      </c>
      <c r="I2854" s="5" t="s">
        <v>3652</v>
      </c>
    </row>
    <row r="2855" ht="12.75" customHeight="1">
      <c r="A2855" s="5" t="s">
        <v>3653</v>
      </c>
      <c r="B2855" s="7">
        <v>14.0</v>
      </c>
      <c r="C2855" s="7">
        <v>14.0</v>
      </c>
      <c r="D2855" s="7" t="s">
        <v>3740</v>
      </c>
      <c r="E2855" s="7"/>
      <c r="G2855" s="5" t="str">
        <f t="shared" si="1"/>
        <v>14, 14, ZUBAT</v>
      </c>
      <c r="I2855" s="5" t="s">
        <v>3653</v>
      </c>
    </row>
    <row r="2856" ht="12.75" customHeight="1">
      <c r="A2856" s="5" t="s">
        <v>2539</v>
      </c>
      <c r="B2856" s="7" t="s">
        <v>2539</v>
      </c>
      <c r="C2856" s="7"/>
      <c r="D2856" s="7"/>
      <c r="E2856" s="7"/>
      <c r="G2856" s="5" t="str">
        <f t="shared" si="1"/>
        <v>NEW ROUTE</v>
      </c>
      <c r="I2856" s="5" t="s">
        <v>2539</v>
      </c>
    </row>
    <row r="2857" ht="12.75" customHeight="1">
      <c r="A2857" s="5" t="s">
        <v>1940</v>
      </c>
      <c r="B2857" s="7" t="s">
        <v>1940</v>
      </c>
      <c r="C2857" s="7"/>
      <c r="D2857" s="7"/>
      <c r="E2857" s="7"/>
      <c r="G2857" s="5" t="str">
        <f t="shared" si="1"/>
        <v>Six Island Altering Cave</v>
      </c>
      <c r="I2857" s="5" t="s">
        <v>1940</v>
      </c>
    </row>
    <row r="2858" ht="12.75" customHeight="1">
      <c r="A2858" s="5">
        <v>0.2</v>
      </c>
      <c r="B2858" s="5">
        <v>0.2</v>
      </c>
      <c r="C2858" s="7"/>
      <c r="D2858" s="7"/>
      <c r="E2858" s="7"/>
      <c r="G2858" s="5">
        <f t="shared" si="1"/>
        <v>0.2</v>
      </c>
      <c r="I2858" s="5">
        <v>0.2</v>
      </c>
    </row>
    <row r="2859" ht="12.75" customHeight="1">
      <c r="A2859" s="5" t="s">
        <v>1297</v>
      </c>
      <c r="B2859" s="7">
        <v>7.0</v>
      </c>
      <c r="C2859" s="7">
        <v>7.0</v>
      </c>
      <c r="D2859" s="7" t="s">
        <v>3963</v>
      </c>
      <c r="E2859" s="7"/>
      <c r="G2859" s="5" t="str">
        <f t="shared" si="1"/>
        <v>7, 7, MAREEP</v>
      </c>
      <c r="I2859" s="5" t="s">
        <v>1297</v>
      </c>
    </row>
    <row r="2860" ht="12.75" customHeight="1">
      <c r="A2860" s="5" t="s">
        <v>3657</v>
      </c>
      <c r="B2860" s="7">
        <v>9.0</v>
      </c>
      <c r="C2860" s="7">
        <v>9.0</v>
      </c>
      <c r="D2860" s="7" t="s">
        <v>3963</v>
      </c>
      <c r="E2860" s="7"/>
      <c r="G2860" s="5" t="str">
        <f t="shared" si="1"/>
        <v>9, 9, MAREEP</v>
      </c>
      <c r="I2860" s="5" t="s">
        <v>3657</v>
      </c>
    </row>
    <row r="2861" ht="12.75" customHeight="1">
      <c r="A2861" s="5">
        <v>0.1</v>
      </c>
      <c r="B2861" s="5">
        <v>0.1</v>
      </c>
      <c r="C2861" s="7"/>
      <c r="D2861" s="7"/>
      <c r="E2861" s="7"/>
      <c r="G2861" s="5">
        <f t="shared" si="1"/>
        <v>0.1</v>
      </c>
      <c r="I2861" s="5">
        <v>0.1</v>
      </c>
    </row>
    <row r="2862" ht="12.75" customHeight="1">
      <c r="A2862" s="5" t="s">
        <v>3658</v>
      </c>
      <c r="B2862" s="7">
        <v>5.0</v>
      </c>
      <c r="C2862" s="7">
        <v>5.0</v>
      </c>
      <c r="D2862" s="7" t="s">
        <v>3963</v>
      </c>
      <c r="E2862" s="7"/>
      <c r="G2862" s="5" t="str">
        <f t="shared" si="1"/>
        <v>5, 5, MAREEP</v>
      </c>
      <c r="I2862" s="5" t="s">
        <v>3658</v>
      </c>
    </row>
    <row r="2863" ht="12.75" customHeight="1">
      <c r="A2863" s="5" t="s">
        <v>3659</v>
      </c>
      <c r="B2863" s="7">
        <v>11.0</v>
      </c>
      <c r="C2863" s="7">
        <v>11.0</v>
      </c>
      <c r="D2863" s="7" t="s">
        <v>3963</v>
      </c>
      <c r="E2863" s="7"/>
      <c r="G2863" s="5" t="str">
        <f t="shared" si="1"/>
        <v>11, 11, MAREEP</v>
      </c>
      <c r="I2863" s="5" t="s">
        <v>3659</v>
      </c>
    </row>
    <row r="2864" ht="12.75" customHeight="1">
      <c r="A2864" s="5" t="s">
        <v>1297</v>
      </c>
      <c r="B2864" s="7">
        <v>7.0</v>
      </c>
      <c r="C2864" s="7">
        <v>7.0</v>
      </c>
      <c r="D2864" s="7" t="s">
        <v>3963</v>
      </c>
      <c r="E2864" s="7"/>
      <c r="G2864" s="5" t="str">
        <f t="shared" si="1"/>
        <v>7, 7, MAREEP</v>
      </c>
      <c r="I2864" s="5" t="s">
        <v>1297</v>
      </c>
    </row>
    <row r="2865" ht="12.75" customHeight="1">
      <c r="A2865" s="5" t="s">
        <v>3657</v>
      </c>
      <c r="B2865" s="7">
        <v>9.0</v>
      </c>
      <c r="C2865" s="7">
        <v>9.0</v>
      </c>
      <c r="D2865" s="7" t="s">
        <v>3963</v>
      </c>
      <c r="E2865" s="7"/>
      <c r="G2865" s="5" t="str">
        <f t="shared" si="1"/>
        <v>9, 9, MAREEP</v>
      </c>
      <c r="I2865" s="5" t="s">
        <v>3657</v>
      </c>
    </row>
    <row r="2866" ht="12.75" customHeight="1">
      <c r="A2866" s="5">
        <v>0.05</v>
      </c>
      <c r="B2866" s="5">
        <v>0.05</v>
      </c>
      <c r="C2866" s="7"/>
      <c r="D2866" s="7"/>
      <c r="E2866" s="7"/>
      <c r="G2866" s="5">
        <f t="shared" si="1"/>
        <v>0.05</v>
      </c>
      <c r="I2866" s="5">
        <v>0.05</v>
      </c>
    </row>
    <row r="2867" ht="12.75" customHeight="1">
      <c r="A2867" s="5" t="s">
        <v>3660</v>
      </c>
      <c r="B2867" s="7">
        <v>13.0</v>
      </c>
      <c r="C2867" s="7">
        <v>13.0</v>
      </c>
      <c r="D2867" s="7" t="s">
        <v>3963</v>
      </c>
      <c r="E2867" s="7"/>
      <c r="G2867" s="5" t="str">
        <f t="shared" si="1"/>
        <v>13, 13, MAREEP</v>
      </c>
      <c r="I2867" s="5" t="s">
        <v>3660</v>
      </c>
    </row>
    <row r="2868" ht="12.75" customHeight="1">
      <c r="A2868" s="5" t="s">
        <v>3661</v>
      </c>
      <c r="B2868" s="7">
        <v>3.0</v>
      </c>
      <c r="C2868" s="7">
        <v>3.0</v>
      </c>
      <c r="D2868" s="7" t="s">
        <v>3963</v>
      </c>
      <c r="E2868" s="7"/>
      <c r="G2868" s="5" t="str">
        <f t="shared" si="1"/>
        <v>3, 3, MAREEP</v>
      </c>
      <c r="I2868" s="5" t="s">
        <v>3661</v>
      </c>
    </row>
    <row r="2869" ht="12.75" customHeight="1">
      <c r="A2869" s="5">
        <v>0.04</v>
      </c>
      <c r="B2869" s="5">
        <v>0.04</v>
      </c>
      <c r="C2869" s="7"/>
      <c r="D2869" s="7"/>
      <c r="E2869" s="7"/>
      <c r="G2869" s="5">
        <f t="shared" si="1"/>
        <v>0.04</v>
      </c>
      <c r="I2869" s="5">
        <v>0.04</v>
      </c>
    </row>
    <row r="2870" ht="12.75" customHeight="1">
      <c r="A2870" s="5" t="s">
        <v>3658</v>
      </c>
      <c r="B2870" s="7">
        <v>5.0</v>
      </c>
      <c r="C2870" s="7">
        <v>5.0</v>
      </c>
      <c r="D2870" s="7" t="s">
        <v>3963</v>
      </c>
      <c r="E2870" s="7"/>
      <c r="G2870" s="5" t="str">
        <f t="shared" si="1"/>
        <v>5, 5, MAREEP</v>
      </c>
      <c r="I2870" s="5" t="s">
        <v>3658</v>
      </c>
    </row>
    <row r="2871" ht="12.75" customHeight="1">
      <c r="A2871" s="5" t="s">
        <v>3659</v>
      </c>
      <c r="B2871" s="7">
        <v>11.0</v>
      </c>
      <c r="C2871" s="7">
        <v>11.0</v>
      </c>
      <c r="D2871" s="7" t="s">
        <v>3963</v>
      </c>
      <c r="E2871" s="7"/>
      <c r="G2871" s="5" t="str">
        <f t="shared" si="1"/>
        <v>11, 11, MAREEP</v>
      </c>
      <c r="I2871" s="5" t="s">
        <v>3659</v>
      </c>
    </row>
    <row r="2872" ht="12.75" customHeight="1">
      <c r="A2872" s="5">
        <v>0.01</v>
      </c>
      <c r="B2872" s="5">
        <v>0.01</v>
      </c>
      <c r="C2872" s="7"/>
      <c r="D2872" s="7"/>
      <c r="E2872" s="7"/>
      <c r="G2872" s="5">
        <f t="shared" si="1"/>
        <v>0.01</v>
      </c>
      <c r="I2872" s="5">
        <v>0.01</v>
      </c>
    </row>
    <row r="2873" ht="12.75" customHeight="1">
      <c r="A2873" s="5" t="s">
        <v>3658</v>
      </c>
      <c r="B2873" s="7">
        <v>5.0</v>
      </c>
      <c r="C2873" s="7">
        <v>5.0</v>
      </c>
      <c r="D2873" s="7" t="s">
        <v>3963</v>
      </c>
      <c r="E2873" s="7"/>
      <c r="G2873" s="5" t="str">
        <f t="shared" si="1"/>
        <v>5, 5, MAREEP</v>
      </c>
      <c r="I2873" s="5" t="s">
        <v>3658</v>
      </c>
    </row>
    <row r="2874" ht="12.75" customHeight="1">
      <c r="A2874" s="5" t="s">
        <v>3659</v>
      </c>
      <c r="B2874" s="7">
        <v>11.0</v>
      </c>
      <c r="C2874" s="7">
        <v>11.0</v>
      </c>
      <c r="D2874" s="7" t="s">
        <v>3963</v>
      </c>
      <c r="E2874" s="7"/>
      <c r="G2874" s="5" t="str">
        <f t="shared" si="1"/>
        <v>11, 11, MAREEP</v>
      </c>
      <c r="I2874" s="5" t="s">
        <v>3659</v>
      </c>
    </row>
    <row r="2875" ht="12.75" customHeight="1">
      <c r="A2875" s="5" t="s">
        <v>2539</v>
      </c>
      <c r="B2875" s="7" t="s">
        <v>2539</v>
      </c>
      <c r="C2875" s="7"/>
      <c r="D2875" s="7"/>
      <c r="E2875" s="7"/>
      <c r="G2875" s="5" t="str">
        <f t="shared" si="1"/>
        <v>NEW ROUTE</v>
      </c>
      <c r="I2875" s="5" t="s">
        <v>2539</v>
      </c>
    </row>
    <row r="2876" ht="12.75" customHeight="1">
      <c r="A2876" s="5" t="s">
        <v>1940</v>
      </c>
      <c r="B2876" s="7" t="s">
        <v>1940</v>
      </c>
      <c r="C2876" s="7"/>
      <c r="D2876" s="7"/>
      <c r="E2876" s="7"/>
      <c r="G2876" s="5" t="str">
        <f t="shared" si="1"/>
        <v>Six Island Altering Cave</v>
      </c>
      <c r="I2876" s="5" t="s">
        <v>1940</v>
      </c>
    </row>
    <row r="2877" ht="12.75" customHeight="1">
      <c r="A2877" s="5">
        <v>0.2</v>
      </c>
      <c r="B2877" s="5">
        <v>0.2</v>
      </c>
      <c r="C2877" s="7"/>
      <c r="D2877" s="7"/>
      <c r="E2877" s="7"/>
      <c r="G2877" s="5">
        <f t="shared" si="1"/>
        <v>0.2</v>
      </c>
      <c r="I2877" s="5">
        <v>0.2</v>
      </c>
    </row>
    <row r="2878" ht="12.75" customHeight="1">
      <c r="A2878" s="5" t="s">
        <v>1305</v>
      </c>
      <c r="B2878" s="7">
        <v>23.0</v>
      </c>
      <c r="C2878" s="7">
        <v>23.0</v>
      </c>
      <c r="D2878" s="7" t="s">
        <v>3964</v>
      </c>
      <c r="E2878" s="7"/>
      <c r="G2878" s="5" t="str">
        <f t="shared" si="1"/>
        <v>23, 23, PINECO</v>
      </c>
      <c r="I2878" s="5" t="s">
        <v>1305</v>
      </c>
    </row>
    <row r="2879" ht="12.75" customHeight="1">
      <c r="A2879" s="5" t="s">
        <v>3663</v>
      </c>
      <c r="B2879" s="7">
        <v>25.0</v>
      </c>
      <c r="C2879" s="7">
        <v>25.0</v>
      </c>
      <c r="D2879" s="7" t="s">
        <v>3964</v>
      </c>
      <c r="E2879" s="7"/>
      <c r="G2879" s="5" t="str">
        <f t="shared" si="1"/>
        <v>25, 25, PINECO</v>
      </c>
      <c r="I2879" s="5" t="s">
        <v>3663</v>
      </c>
    </row>
    <row r="2880" ht="12.75" customHeight="1">
      <c r="A2880" s="5">
        <v>0.1</v>
      </c>
      <c r="B2880" s="5">
        <v>0.1</v>
      </c>
      <c r="C2880" s="7"/>
      <c r="D2880" s="7"/>
      <c r="E2880" s="7"/>
      <c r="G2880" s="5">
        <f t="shared" si="1"/>
        <v>0.1</v>
      </c>
      <c r="I2880" s="5">
        <v>0.1</v>
      </c>
    </row>
    <row r="2881" ht="12.75" customHeight="1">
      <c r="A2881" s="5" t="s">
        <v>3664</v>
      </c>
      <c r="B2881" s="7">
        <v>22.0</v>
      </c>
      <c r="C2881" s="7">
        <v>22.0</v>
      </c>
      <c r="D2881" s="7" t="s">
        <v>3964</v>
      </c>
      <c r="E2881" s="7"/>
      <c r="G2881" s="5" t="str">
        <f t="shared" si="1"/>
        <v>22, 22, PINECO</v>
      </c>
      <c r="I2881" s="5" t="s">
        <v>3664</v>
      </c>
    </row>
    <row r="2882" ht="12.75" customHeight="1">
      <c r="A2882" s="5" t="s">
        <v>3665</v>
      </c>
      <c r="B2882" s="7">
        <v>27.0</v>
      </c>
      <c r="C2882" s="7">
        <v>27.0</v>
      </c>
      <c r="D2882" s="7" t="s">
        <v>3964</v>
      </c>
      <c r="E2882" s="7"/>
      <c r="G2882" s="5" t="str">
        <f t="shared" si="1"/>
        <v>27, 27, PINECO</v>
      </c>
      <c r="I2882" s="5" t="s">
        <v>3665</v>
      </c>
    </row>
    <row r="2883" ht="12.75" customHeight="1">
      <c r="A2883" s="5" t="s">
        <v>1305</v>
      </c>
      <c r="B2883" s="7">
        <v>23.0</v>
      </c>
      <c r="C2883" s="7">
        <v>23.0</v>
      </c>
      <c r="D2883" s="7" t="s">
        <v>3964</v>
      </c>
      <c r="E2883" s="7"/>
      <c r="G2883" s="5" t="str">
        <f t="shared" si="1"/>
        <v>23, 23, PINECO</v>
      </c>
      <c r="I2883" s="5" t="s">
        <v>1305</v>
      </c>
    </row>
    <row r="2884" ht="12.75" customHeight="1">
      <c r="A2884" s="5" t="s">
        <v>3663</v>
      </c>
      <c r="B2884" s="7">
        <v>25.0</v>
      </c>
      <c r="C2884" s="7">
        <v>25.0</v>
      </c>
      <c r="D2884" s="7" t="s">
        <v>3964</v>
      </c>
      <c r="E2884" s="7"/>
      <c r="G2884" s="5" t="str">
        <f t="shared" si="1"/>
        <v>25, 25, PINECO</v>
      </c>
      <c r="I2884" s="5" t="s">
        <v>3663</v>
      </c>
    </row>
    <row r="2885" ht="12.75" customHeight="1">
      <c r="A2885" s="5">
        <v>0.05</v>
      </c>
      <c r="B2885" s="5">
        <v>0.05</v>
      </c>
      <c r="C2885" s="7"/>
      <c r="D2885" s="7"/>
      <c r="E2885" s="7"/>
      <c r="G2885" s="5">
        <f t="shared" si="1"/>
        <v>0.05</v>
      </c>
      <c r="I2885" s="5">
        <v>0.05</v>
      </c>
    </row>
    <row r="2886" ht="12.75" customHeight="1">
      <c r="A2886" s="5" t="s">
        <v>3666</v>
      </c>
      <c r="B2886" s="7">
        <v>29.0</v>
      </c>
      <c r="C2886" s="7">
        <v>29.0</v>
      </c>
      <c r="D2886" s="7" t="s">
        <v>3964</v>
      </c>
      <c r="E2886" s="7"/>
      <c r="G2886" s="5" t="str">
        <f t="shared" si="1"/>
        <v>29, 29, PINECO</v>
      </c>
      <c r="I2886" s="5" t="s">
        <v>3666</v>
      </c>
    </row>
    <row r="2887" ht="12.75" customHeight="1">
      <c r="A2887" s="5" t="s">
        <v>3667</v>
      </c>
      <c r="B2887" s="7">
        <v>19.0</v>
      </c>
      <c r="C2887" s="7">
        <v>19.0</v>
      </c>
      <c r="D2887" s="7" t="s">
        <v>3964</v>
      </c>
      <c r="E2887" s="7"/>
      <c r="G2887" s="5" t="str">
        <f t="shared" si="1"/>
        <v>19, 19, PINECO</v>
      </c>
      <c r="I2887" s="5" t="s">
        <v>3667</v>
      </c>
    </row>
    <row r="2888" ht="12.75" customHeight="1">
      <c r="A2888" s="5">
        <v>0.04</v>
      </c>
      <c r="B2888" s="5">
        <v>0.04</v>
      </c>
      <c r="C2888" s="7"/>
      <c r="D2888" s="7"/>
      <c r="E2888" s="7"/>
      <c r="G2888" s="5">
        <f t="shared" si="1"/>
        <v>0.04</v>
      </c>
      <c r="I2888" s="5">
        <v>0.04</v>
      </c>
    </row>
    <row r="2889" ht="12.75" customHeight="1">
      <c r="A2889" s="5" t="s">
        <v>3668</v>
      </c>
      <c r="B2889" s="7">
        <v>21.0</v>
      </c>
      <c r="C2889" s="7">
        <v>21.0</v>
      </c>
      <c r="D2889" s="7" t="s">
        <v>3964</v>
      </c>
      <c r="E2889" s="7"/>
      <c r="G2889" s="5" t="str">
        <f t="shared" si="1"/>
        <v>21, 21, PINECO</v>
      </c>
      <c r="I2889" s="5" t="s">
        <v>3668</v>
      </c>
    </row>
    <row r="2890" ht="12.75" customHeight="1">
      <c r="A2890" s="5" t="s">
        <v>3665</v>
      </c>
      <c r="B2890" s="7">
        <v>27.0</v>
      </c>
      <c r="C2890" s="7">
        <v>27.0</v>
      </c>
      <c r="D2890" s="7" t="s">
        <v>3964</v>
      </c>
      <c r="E2890" s="7"/>
      <c r="G2890" s="5" t="str">
        <f t="shared" si="1"/>
        <v>27, 27, PINECO</v>
      </c>
      <c r="I2890" s="5" t="s">
        <v>3665</v>
      </c>
    </row>
    <row r="2891" ht="12.75" customHeight="1">
      <c r="A2891" s="5">
        <v>0.01</v>
      </c>
      <c r="B2891" s="5">
        <v>0.01</v>
      </c>
      <c r="C2891" s="7"/>
      <c r="D2891" s="7"/>
      <c r="E2891" s="7"/>
      <c r="G2891" s="5">
        <f t="shared" si="1"/>
        <v>0.01</v>
      </c>
      <c r="I2891" s="5">
        <v>0.01</v>
      </c>
    </row>
    <row r="2892" ht="12.75" customHeight="1">
      <c r="A2892" s="5" t="s">
        <v>3668</v>
      </c>
      <c r="B2892" s="7">
        <v>21.0</v>
      </c>
      <c r="C2892" s="7">
        <v>21.0</v>
      </c>
      <c r="D2892" s="7" t="s">
        <v>3964</v>
      </c>
      <c r="E2892" s="7"/>
      <c r="G2892" s="5" t="str">
        <f t="shared" si="1"/>
        <v>21, 21, PINECO</v>
      </c>
      <c r="I2892" s="5" t="s">
        <v>3668</v>
      </c>
    </row>
    <row r="2893" ht="12.75" customHeight="1">
      <c r="A2893" s="5" t="s">
        <v>3665</v>
      </c>
      <c r="B2893" s="7">
        <v>27.0</v>
      </c>
      <c r="C2893" s="7">
        <v>27.0</v>
      </c>
      <c r="D2893" s="7" t="s">
        <v>3964</v>
      </c>
      <c r="E2893" s="7"/>
      <c r="G2893" s="5" t="str">
        <f t="shared" si="1"/>
        <v>27, 27, PINECO</v>
      </c>
      <c r="I2893" s="5" t="s">
        <v>3665</v>
      </c>
    </row>
    <row r="2894" ht="12.75" customHeight="1">
      <c r="A2894" s="5" t="s">
        <v>2539</v>
      </c>
      <c r="B2894" s="7" t="s">
        <v>2539</v>
      </c>
      <c r="C2894" s="7"/>
      <c r="D2894" s="7"/>
      <c r="E2894" s="7"/>
      <c r="G2894" s="5" t="str">
        <f t="shared" si="1"/>
        <v>NEW ROUTE</v>
      </c>
      <c r="I2894" s="5" t="s">
        <v>2539</v>
      </c>
    </row>
    <row r="2895" ht="12.75" customHeight="1">
      <c r="A2895" s="5" t="s">
        <v>1940</v>
      </c>
      <c r="B2895" s="7" t="s">
        <v>1940</v>
      </c>
      <c r="C2895" s="7"/>
      <c r="D2895" s="7"/>
      <c r="E2895" s="7"/>
      <c r="G2895" s="5" t="str">
        <f t="shared" si="1"/>
        <v>Six Island Altering Cave</v>
      </c>
      <c r="I2895" s="5" t="s">
        <v>1940</v>
      </c>
    </row>
    <row r="2896" ht="12.75" customHeight="1">
      <c r="A2896" s="5">
        <v>0.2</v>
      </c>
      <c r="B2896" s="5">
        <v>0.2</v>
      </c>
      <c r="C2896" s="7"/>
      <c r="D2896" s="7"/>
      <c r="E2896" s="7"/>
      <c r="G2896" s="5">
        <f t="shared" si="1"/>
        <v>0.2</v>
      </c>
      <c r="I2896" s="5">
        <v>0.2</v>
      </c>
    </row>
    <row r="2897" ht="12.75" customHeight="1">
      <c r="A2897" s="5" t="s">
        <v>1314</v>
      </c>
      <c r="B2897" s="7">
        <v>16.0</v>
      </c>
      <c r="C2897" s="7">
        <v>16.0</v>
      </c>
      <c r="D2897" s="7" t="s">
        <v>3965</v>
      </c>
      <c r="E2897" s="7"/>
      <c r="G2897" s="5" t="str">
        <f t="shared" si="1"/>
        <v>16, 16, HOUNDOUR</v>
      </c>
      <c r="I2897" s="5" t="s">
        <v>1314</v>
      </c>
    </row>
    <row r="2898" ht="12.75" customHeight="1">
      <c r="A2898" s="5" t="s">
        <v>3670</v>
      </c>
      <c r="B2898" s="7">
        <v>18.0</v>
      </c>
      <c r="C2898" s="7">
        <v>18.0</v>
      </c>
      <c r="D2898" s="7" t="s">
        <v>3965</v>
      </c>
      <c r="E2898" s="7"/>
      <c r="G2898" s="5" t="str">
        <f t="shared" si="1"/>
        <v>18, 18, HOUNDOUR</v>
      </c>
      <c r="I2898" s="5" t="s">
        <v>3670</v>
      </c>
    </row>
    <row r="2899" ht="12.75" customHeight="1">
      <c r="A2899" s="5">
        <v>0.1</v>
      </c>
      <c r="B2899" s="5">
        <v>0.1</v>
      </c>
      <c r="C2899" s="7"/>
      <c r="D2899" s="7"/>
      <c r="E2899" s="7"/>
      <c r="G2899" s="5">
        <f t="shared" si="1"/>
        <v>0.1</v>
      </c>
      <c r="I2899" s="5">
        <v>0.1</v>
      </c>
    </row>
    <row r="2900" ht="12.75" customHeight="1">
      <c r="A2900" s="5" t="s">
        <v>3671</v>
      </c>
      <c r="B2900" s="7">
        <v>14.0</v>
      </c>
      <c r="C2900" s="7">
        <v>14.0</v>
      </c>
      <c r="D2900" s="7" t="s">
        <v>3965</v>
      </c>
      <c r="E2900" s="7"/>
      <c r="G2900" s="5" t="str">
        <f t="shared" si="1"/>
        <v>14, 14, HOUNDOUR</v>
      </c>
      <c r="I2900" s="5" t="s">
        <v>3671</v>
      </c>
    </row>
    <row r="2901" ht="12.75" customHeight="1">
      <c r="A2901" s="5" t="s">
        <v>3672</v>
      </c>
      <c r="B2901" s="7">
        <v>20.0</v>
      </c>
      <c r="C2901" s="7">
        <v>20.0</v>
      </c>
      <c r="D2901" s="7" t="s">
        <v>3965</v>
      </c>
      <c r="E2901" s="7"/>
      <c r="G2901" s="5" t="str">
        <f t="shared" si="1"/>
        <v>20, 20, HOUNDOUR</v>
      </c>
      <c r="I2901" s="5" t="s">
        <v>3672</v>
      </c>
    </row>
    <row r="2902" ht="12.75" customHeight="1">
      <c r="A2902" s="5" t="s">
        <v>1314</v>
      </c>
      <c r="B2902" s="7">
        <v>16.0</v>
      </c>
      <c r="C2902" s="7">
        <v>16.0</v>
      </c>
      <c r="D2902" s="7" t="s">
        <v>3965</v>
      </c>
      <c r="E2902" s="7"/>
      <c r="G2902" s="5" t="str">
        <f t="shared" si="1"/>
        <v>16, 16, HOUNDOUR</v>
      </c>
      <c r="I2902" s="5" t="s">
        <v>1314</v>
      </c>
    </row>
    <row r="2903" ht="12.75" customHeight="1">
      <c r="A2903" s="5" t="s">
        <v>3670</v>
      </c>
      <c r="B2903" s="7">
        <v>18.0</v>
      </c>
      <c r="C2903" s="7">
        <v>18.0</v>
      </c>
      <c r="D2903" s="7" t="s">
        <v>3965</v>
      </c>
      <c r="E2903" s="7"/>
      <c r="G2903" s="5" t="str">
        <f t="shared" si="1"/>
        <v>18, 18, HOUNDOUR</v>
      </c>
      <c r="I2903" s="5" t="s">
        <v>3670</v>
      </c>
    </row>
    <row r="2904" ht="12.75" customHeight="1">
      <c r="A2904" s="5">
        <v>0.05</v>
      </c>
      <c r="B2904" s="5">
        <v>0.05</v>
      </c>
      <c r="C2904" s="7"/>
      <c r="D2904" s="7"/>
      <c r="E2904" s="7"/>
      <c r="G2904" s="5">
        <f t="shared" si="1"/>
        <v>0.05</v>
      </c>
      <c r="I2904" s="5">
        <v>0.05</v>
      </c>
    </row>
    <row r="2905" ht="12.75" customHeight="1">
      <c r="A2905" s="5" t="s">
        <v>3673</v>
      </c>
      <c r="B2905" s="7">
        <v>22.0</v>
      </c>
      <c r="C2905" s="7">
        <v>22.0</v>
      </c>
      <c r="D2905" s="7" t="s">
        <v>3965</v>
      </c>
      <c r="E2905" s="7"/>
      <c r="G2905" s="5" t="str">
        <f t="shared" si="1"/>
        <v>22, 22, HOUNDOUR</v>
      </c>
      <c r="I2905" s="5" t="s">
        <v>3673</v>
      </c>
    </row>
    <row r="2906" ht="12.75" customHeight="1">
      <c r="A2906" s="5" t="s">
        <v>3674</v>
      </c>
      <c r="B2906" s="7">
        <v>12.0</v>
      </c>
      <c r="C2906" s="7">
        <v>12.0</v>
      </c>
      <c r="D2906" s="7" t="s">
        <v>3965</v>
      </c>
      <c r="E2906" s="7"/>
      <c r="G2906" s="5" t="str">
        <f t="shared" si="1"/>
        <v>12, 12, HOUNDOUR</v>
      </c>
      <c r="I2906" s="5" t="s">
        <v>3674</v>
      </c>
    </row>
    <row r="2907" ht="12.75" customHeight="1">
      <c r="A2907" s="5">
        <v>0.04</v>
      </c>
      <c r="B2907" s="5">
        <v>0.04</v>
      </c>
      <c r="C2907" s="7"/>
      <c r="D2907" s="7"/>
      <c r="E2907" s="7"/>
      <c r="G2907" s="5">
        <f t="shared" si="1"/>
        <v>0.04</v>
      </c>
      <c r="I2907" s="5">
        <v>0.04</v>
      </c>
    </row>
    <row r="2908" ht="12.75" customHeight="1">
      <c r="A2908" s="5" t="s">
        <v>3671</v>
      </c>
      <c r="B2908" s="7">
        <v>14.0</v>
      </c>
      <c r="C2908" s="7">
        <v>14.0</v>
      </c>
      <c r="D2908" s="7" t="s">
        <v>3965</v>
      </c>
      <c r="E2908" s="7"/>
      <c r="G2908" s="5" t="str">
        <f t="shared" si="1"/>
        <v>14, 14, HOUNDOUR</v>
      </c>
      <c r="I2908" s="5" t="s">
        <v>3671</v>
      </c>
    </row>
    <row r="2909" ht="12.75" customHeight="1">
      <c r="A2909" s="5" t="s">
        <v>3672</v>
      </c>
      <c r="B2909" s="7">
        <v>20.0</v>
      </c>
      <c r="C2909" s="7">
        <v>20.0</v>
      </c>
      <c r="D2909" s="7" t="s">
        <v>3965</v>
      </c>
      <c r="E2909" s="7"/>
      <c r="G2909" s="5" t="str">
        <f t="shared" si="1"/>
        <v>20, 20, HOUNDOUR</v>
      </c>
      <c r="I2909" s="5" t="s">
        <v>3672</v>
      </c>
    </row>
    <row r="2910" ht="12.75" customHeight="1">
      <c r="A2910" s="5">
        <v>0.01</v>
      </c>
      <c r="B2910" s="5">
        <v>0.01</v>
      </c>
      <c r="C2910" s="7"/>
      <c r="D2910" s="7"/>
      <c r="E2910" s="7"/>
      <c r="G2910" s="5">
        <f t="shared" si="1"/>
        <v>0.01</v>
      </c>
      <c r="I2910" s="5">
        <v>0.01</v>
      </c>
    </row>
    <row r="2911" ht="12.75" customHeight="1">
      <c r="A2911" s="5" t="s">
        <v>3671</v>
      </c>
      <c r="B2911" s="7">
        <v>14.0</v>
      </c>
      <c r="C2911" s="7">
        <v>14.0</v>
      </c>
      <c r="D2911" s="7" t="s">
        <v>3965</v>
      </c>
      <c r="E2911" s="7"/>
      <c r="G2911" s="5" t="str">
        <f t="shared" si="1"/>
        <v>14, 14, HOUNDOUR</v>
      </c>
      <c r="I2911" s="5" t="s">
        <v>3671</v>
      </c>
    </row>
    <row r="2912" ht="12.75" customHeight="1">
      <c r="A2912" s="5" t="s">
        <v>3672</v>
      </c>
      <c r="B2912" s="7">
        <v>20.0</v>
      </c>
      <c r="C2912" s="7">
        <v>20.0</v>
      </c>
      <c r="D2912" s="7" t="s">
        <v>3965</v>
      </c>
      <c r="E2912" s="7"/>
      <c r="G2912" s="5" t="str">
        <f t="shared" si="1"/>
        <v>20, 20, HOUNDOUR</v>
      </c>
      <c r="I2912" s="5" t="s">
        <v>3672</v>
      </c>
    </row>
    <row r="2913" ht="12.75" customHeight="1">
      <c r="A2913" s="5" t="s">
        <v>2539</v>
      </c>
      <c r="B2913" s="7" t="s">
        <v>2539</v>
      </c>
      <c r="C2913" s="7"/>
      <c r="D2913" s="7"/>
      <c r="E2913" s="7"/>
      <c r="G2913" s="5" t="str">
        <f t="shared" si="1"/>
        <v>NEW ROUTE</v>
      </c>
      <c r="I2913" s="5" t="s">
        <v>2539</v>
      </c>
    </row>
    <row r="2914" ht="12.75" customHeight="1">
      <c r="A2914" s="5" t="s">
        <v>1940</v>
      </c>
      <c r="B2914" s="7" t="s">
        <v>1940</v>
      </c>
      <c r="C2914" s="7"/>
      <c r="D2914" s="7"/>
      <c r="E2914" s="7"/>
      <c r="G2914" s="5" t="str">
        <f t="shared" si="1"/>
        <v>Six Island Altering Cave</v>
      </c>
      <c r="I2914" s="5" t="s">
        <v>1940</v>
      </c>
    </row>
    <row r="2915" ht="12.75" customHeight="1">
      <c r="A2915" s="5">
        <v>0.2</v>
      </c>
      <c r="B2915" s="5">
        <v>0.2</v>
      </c>
      <c r="C2915" s="7"/>
      <c r="D2915" s="7"/>
      <c r="E2915" s="7"/>
      <c r="G2915" s="5">
        <f t="shared" si="1"/>
        <v>0.2</v>
      </c>
      <c r="I2915" s="5">
        <v>0.2</v>
      </c>
    </row>
    <row r="2916" ht="12.75" customHeight="1">
      <c r="A2916" s="5" t="s">
        <v>1322</v>
      </c>
      <c r="B2916" s="7">
        <v>22.0</v>
      </c>
      <c r="C2916" s="7">
        <v>22.0</v>
      </c>
      <c r="D2916" s="7" t="s">
        <v>3966</v>
      </c>
      <c r="E2916" s="7"/>
      <c r="G2916" s="5" t="str">
        <f t="shared" si="1"/>
        <v>22, 22, TEDDIURSA</v>
      </c>
      <c r="I2916" s="5" t="s">
        <v>1322</v>
      </c>
    </row>
    <row r="2917" ht="12.75" customHeight="1">
      <c r="A2917" s="5" t="s">
        <v>3676</v>
      </c>
      <c r="B2917" s="7">
        <v>24.0</v>
      </c>
      <c r="C2917" s="7">
        <v>24.0</v>
      </c>
      <c r="D2917" s="7" t="s">
        <v>3966</v>
      </c>
      <c r="E2917" s="7"/>
      <c r="G2917" s="5" t="str">
        <f t="shared" si="1"/>
        <v>24, 24, TEDDIURSA</v>
      </c>
      <c r="I2917" s="5" t="s">
        <v>3676</v>
      </c>
    </row>
    <row r="2918" ht="12.75" customHeight="1">
      <c r="A2918" s="5">
        <v>0.1</v>
      </c>
      <c r="B2918" s="5">
        <v>0.1</v>
      </c>
      <c r="C2918" s="7"/>
      <c r="D2918" s="7"/>
      <c r="E2918" s="7"/>
      <c r="G2918" s="5">
        <f t="shared" si="1"/>
        <v>0.1</v>
      </c>
      <c r="I2918" s="5">
        <v>0.1</v>
      </c>
    </row>
    <row r="2919" ht="12.75" customHeight="1">
      <c r="A2919" s="5" t="s">
        <v>3677</v>
      </c>
      <c r="B2919" s="7">
        <v>20.0</v>
      </c>
      <c r="C2919" s="7">
        <v>20.0</v>
      </c>
      <c r="D2919" s="7" t="s">
        <v>3966</v>
      </c>
      <c r="E2919" s="7"/>
      <c r="G2919" s="5" t="str">
        <f t="shared" si="1"/>
        <v>20, 20, TEDDIURSA</v>
      </c>
      <c r="I2919" s="5" t="s">
        <v>3677</v>
      </c>
    </row>
    <row r="2920" ht="12.75" customHeight="1">
      <c r="A2920" s="5" t="s">
        <v>3678</v>
      </c>
      <c r="B2920" s="7">
        <v>26.0</v>
      </c>
      <c r="C2920" s="7">
        <v>26.0</v>
      </c>
      <c r="D2920" s="7" t="s">
        <v>3966</v>
      </c>
      <c r="E2920" s="7"/>
      <c r="G2920" s="5" t="str">
        <f t="shared" si="1"/>
        <v>26, 26, TEDDIURSA</v>
      </c>
      <c r="I2920" s="5" t="s">
        <v>3678</v>
      </c>
    </row>
    <row r="2921" ht="12.75" customHeight="1">
      <c r="A2921" s="5" t="s">
        <v>1322</v>
      </c>
      <c r="B2921" s="7">
        <v>22.0</v>
      </c>
      <c r="C2921" s="7">
        <v>22.0</v>
      </c>
      <c r="D2921" s="7" t="s">
        <v>3966</v>
      </c>
      <c r="E2921" s="7"/>
      <c r="G2921" s="5" t="str">
        <f t="shared" si="1"/>
        <v>22, 22, TEDDIURSA</v>
      </c>
      <c r="I2921" s="5" t="s">
        <v>1322</v>
      </c>
    </row>
    <row r="2922" ht="12.75" customHeight="1">
      <c r="A2922" s="5" t="s">
        <v>3676</v>
      </c>
      <c r="B2922" s="7">
        <v>24.0</v>
      </c>
      <c r="C2922" s="7">
        <v>24.0</v>
      </c>
      <c r="D2922" s="7" t="s">
        <v>3966</v>
      </c>
      <c r="E2922" s="7"/>
      <c r="G2922" s="5" t="str">
        <f t="shared" si="1"/>
        <v>24, 24, TEDDIURSA</v>
      </c>
      <c r="I2922" s="5" t="s">
        <v>3676</v>
      </c>
    </row>
    <row r="2923" ht="12.75" customHeight="1">
      <c r="A2923" s="5">
        <v>0.05</v>
      </c>
      <c r="B2923" s="5">
        <v>0.05</v>
      </c>
      <c r="C2923" s="7"/>
      <c r="D2923" s="7"/>
      <c r="E2923" s="7"/>
      <c r="G2923" s="5">
        <f t="shared" si="1"/>
        <v>0.05</v>
      </c>
      <c r="I2923" s="5">
        <v>0.05</v>
      </c>
    </row>
    <row r="2924" ht="12.75" customHeight="1">
      <c r="A2924" s="5" t="s">
        <v>3679</v>
      </c>
      <c r="B2924" s="7">
        <v>28.0</v>
      </c>
      <c r="C2924" s="7">
        <v>28.0</v>
      </c>
      <c r="D2924" s="7" t="s">
        <v>3966</v>
      </c>
      <c r="E2924" s="7"/>
      <c r="G2924" s="5" t="str">
        <f t="shared" si="1"/>
        <v>28, 28, TEDDIURSA</v>
      </c>
      <c r="I2924" s="5" t="s">
        <v>3679</v>
      </c>
    </row>
    <row r="2925" ht="12.75" customHeight="1">
      <c r="A2925" s="5" t="s">
        <v>3680</v>
      </c>
      <c r="B2925" s="7">
        <v>18.0</v>
      </c>
      <c r="C2925" s="7">
        <v>18.0</v>
      </c>
      <c r="D2925" s="7" t="s">
        <v>3966</v>
      </c>
      <c r="E2925" s="7"/>
      <c r="G2925" s="5" t="str">
        <f t="shared" si="1"/>
        <v>18, 18, TEDDIURSA</v>
      </c>
      <c r="I2925" s="5" t="s">
        <v>3680</v>
      </c>
    </row>
    <row r="2926" ht="12.75" customHeight="1">
      <c r="A2926" s="5">
        <v>0.04</v>
      </c>
      <c r="B2926" s="5">
        <v>0.04</v>
      </c>
      <c r="C2926" s="7"/>
      <c r="D2926" s="7"/>
      <c r="E2926" s="7"/>
      <c r="G2926" s="5">
        <f t="shared" si="1"/>
        <v>0.04</v>
      </c>
      <c r="I2926" s="5">
        <v>0.04</v>
      </c>
    </row>
    <row r="2927" ht="12.75" customHeight="1">
      <c r="A2927" s="5" t="s">
        <v>3677</v>
      </c>
      <c r="B2927" s="7">
        <v>20.0</v>
      </c>
      <c r="C2927" s="7">
        <v>20.0</v>
      </c>
      <c r="D2927" s="7" t="s">
        <v>3966</v>
      </c>
      <c r="E2927" s="7"/>
      <c r="G2927" s="5" t="str">
        <f t="shared" si="1"/>
        <v>20, 20, TEDDIURSA</v>
      </c>
      <c r="I2927" s="5" t="s">
        <v>3677</v>
      </c>
    </row>
    <row r="2928" ht="12.75" customHeight="1">
      <c r="A2928" s="5" t="s">
        <v>3678</v>
      </c>
      <c r="B2928" s="7">
        <v>26.0</v>
      </c>
      <c r="C2928" s="7">
        <v>26.0</v>
      </c>
      <c r="D2928" s="7" t="s">
        <v>3966</v>
      </c>
      <c r="E2928" s="7"/>
      <c r="G2928" s="5" t="str">
        <f t="shared" si="1"/>
        <v>26, 26, TEDDIURSA</v>
      </c>
      <c r="I2928" s="5" t="s">
        <v>3678</v>
      </c>
    </row>
    <row r="2929" ht="12.75" customHeight="1">
      <c r="A2929" s="5">
        <v>0.01</v>
      </c>
      <c r="B2929" s="5">
        <v>0.01</v>
      </c>
      <c r="C2929" s="7"/>
      <c r="D2929" s="7"/>
      <c r="E2929" s="7"/>
      <c r="G2929" s="5">
        <f t="shared" si="1"/>
        <v>0.01</v>
      </c>
      <c r="I2929" s="5">
        <v>0.01</v>
      </c>
    </row>
    <row r="2930" ht="12.75" customHeight="1">
      <c r="A2930" s="5" t="s">
        <v>3677</v>
      </c>
      <c r="B2930" s="7">
        <v>20.0</v>
      </c>
      <c r="C2930" s="7">
        <v>20.0</v>
      </c>
      <c r="D2930" s="7" t="s">
        <v>3966</v>
      </c>
      <c r="E2930" s="7"/>
      <c r="G2930" s="5" t="str">
        <f t="shared" si="1"/>
        <v>20, 20, TEDDIURSA</v>
      </c>
      <c r="I2930" s="5" t="s">
        <v>3677</v>
      </c>
    </row>
    <row r="2931" ht="12.75" customHeight="1">
      <c r="A2931" s="5" t="s">
        <v>3678</v>
      </c>
      <c r="B2931" s="7">
        <v>26.0</v>
      </c>
      <c r="C2931" s="7">
        <v>26.0</v>
      </c>
      <c r="D2931" s="7" t="s">
        <v>3966</v>
      </c>
      <c r="E2931" s="7"/>
      <c r="G2931" s="5" t="str">
        <f t="shared" si="1"/>
        <v>26, 26, TEDDIURSA</v>
      </c>
      <c r="I2931" s="5" t="s">
        <v>3678</v>
      </c>
    </row>
    <row r="2932" ht="12.75" customHeight="1">
      <c r="A2932" s="5" t="s">
        <v>2539</v>
      </c>
      <c r="B2932" s="7" t="s">
        <v>2539</v>
      </c>
      <c r="C2932" s="7"/>
      <c r="D2932" s="7"/>
      <c r="E2932" s="7"/>
      <c r="G2932" s="5" t="str">
        <f t="shared" si="1"/>
        <v>NEW ROUTE</v>
      </c>
      <c r="I2932" s="5" t="s">
        <v>2539</v>
      </c>
    </row>
    <row r="2933" ht="12.75" customHeight="1">
      <c r="A2933" s="5" t="s">
        <v>1940</v>
      </c>
      <c r="B2933" s="7" t="s">
        <v>1940</v>
      </c>
      <c r="C2933" s="7"/>
      <c r="D2933" s="7"/>
      <c r="E2933" s="7"/>
      <c r="G2933" s="5" t="str">
        <f t="shared" si="1"/>
        <v>Six Island Altering Cave</v>
      </c>
      <c r="I2933" s="5" t="s">
        <v>1940</v>
      </c>
    </row>
    <row r="2934" ht="12.75" customHeight="1">
      <c r="A2934" s="5">
        <v>0.2</v>
      </c>
      <c r="B2934" s="5">
        <v>0.2</v>
      </c>
      <c r="C2934" s="7"/>
      <c r="D2934" s="7"/>
      <c r="E2934" s="7"/>
      <c r="G2934" s="5">
        <f t="shared" si="1"/>
        <v>0.2</v>
      </c>
      <c r="I2934" s="5">
        <v>0.2</v>
      </c>
    </row>
    <row r="2935" ht="12.75" customHeight="1">
      <c r="A2935" s="5" t="s">
        <v>1330</v>
      </c>
      <c r="B2935" s="7">
        <v>22.0</v>
      </c>
      <c r="C2935" s="7">
        <v>22.0</v>
      </c>
      <c r="D2935" s="7" t="s">
        <v>3967</v>
      </c>
      <c r="E2935" s="7"/>
      <c r="G2935" s="5" t="str">
        <f t="shared" si="1"/>
        <v>22, 22, AIPOM</v>
      </c>
      <c r="I2935" s="5" t="s">
        <v>1330</v>
      </c>
    </row>
    <row r="2936" ht="12.75" customHeight="1">
      <c r="A2936" s="5" t="s">
        <v>3682</v>
      </c>
      <c r="B2936" s="7">
        <v>24.0</v>
      </c>
      <c r="C2936" s="7">
        <v>24.0</v>
      </c>
      <c r="D2936" s="7" t="s">
        <v>3967</v>
      </c>
      <c r="E2936" s="7"/>
      <c r="G2936" s="5" t="str">
        <f t="shared" si="1"/>
        <v>24, 24, AIPOM</v>
      </c>
      <c r="I2936" s="5" t="s">
        <v>3682</v>
      </c>
    </row>
    <row r="2937" ht="12.75" customHeight="1">
      <c r="A2937" s="5">
        <v>0.1</v>
      </c>
      <c r="B2937" s="5">
        <v>0.1</v>
      </c>
      <c r="C2937" s="7"/>
      <c r="D2937" s="7"/>
      <c r="E2937" s="7"/>
      <c r="G2937" s="5">
        <f t="shared" si="1"/>
        <v>0.1</v>
      </c>
      <c r="I2937" s="5">
        <v>0.1</v>
      </c>
    </row>
    <row r="2938" ht="12.75" customHeight="1">
      <c r="A2938" s="5" t="s">
        <v>3683</v>
      </c>
      <c r="B2938" s="7">
        <v>20.0</v>
      </c>
      <c r="C2938" s="7">
        <v>20.0</v>
      </c>
      <c r="D2938" s="7" t="s">
        <v>3967</v>
      </c>
      <c r="E2938" s="7"/>
      <c r="G2938" s="5" t="str">
        <f t="shared" si="1"/>
        <v>20, 20, AIPOM</v>
      </c>
      <c r="I2938" s="5" t="s">
        <v>3683</v>
      </c>
    </row>
    <row r="2939" ht="12.75" customHeight="1">
      <c r="A2939" s="5" t="s">
        <v>3684</v>
      </c>
      <c r="B2939" s="7">
        <v>26.0</v>
      </c>
      <c r="C2939" s="7">
        <v>26.0</v>
      </c>
      <c r="D2939" s="7" t="s">
        <v>3967</v>
      </c>
      <c r="E2939" s="7"/>
      <c r="G2939" s="5" t="str">
        <f t="shared" si="1"/>
        <v>26, 26, AIPOM</v>
      </c>
      <c r="I2939" s="5" t="s">
        <v>3684</v>
      </c>
    </row>
    <row r="2940" ht="12.75" customHeight="1">
      <c r="A2940" s="5" t="s">
        <v>1330</v>
      </c>
      <c r="B2940" s="7">
        <v>22.0</v>
      </c>
      <c r="C2940" s="7">
        <v>22.0</v>
      </c>
      <c r="D2940" s="7" t="s">
        <v>3967</v>
      </c>
      <c r="E2940" s="7"/>
      <c r="G2940" s="5" t="str">
        <f t="shared" si="1"/>
        <v>22, 22, AIPOM</v>
      </c>
      <c r="I2940" s="5" t="s">
        <v>1330</v>
      </c>
    </row>
    <row r="2941" ht="12.75" customHeight="1">
      <c r="A2941" s="5" t="s">
        <v>3682</v>
      </c>
      <c r="B2941" s="7">
        <v>24.0</v>
      </c>
      <c r="C2941" s="7">
        <v>24.0</v>
      </c>
      <c r="D2941" s="7" t="s">
        <v>3967</v>
      </c>
      <c r="E2941" s="7"/>
      <c r="G2941" s="5" t="str">
        <f t="shared" si="1"/>
        <v>24, 24, AIPOM</v>
      </c>
      <c r="I2941" s="5" t="s">
        <v>3682</v>
      </c>
    </row>
    <row r="2942" ht="12.75" customHeight="1">
      <c r="A2942" s="5">
        <v>0.05</v>
      </c>
      <c r="B2942" s="5">
        <v>0.05</v>
      </c>
      <c r="C2942" s="7"/>
      <c r="D2942" s="7"/>
      <c r="E2942" s="7"/>
      <c r="G2942" s="5">
        <f t="shared" si="1"/>
        <v>0.05</v>
      </c>
      <c r="I2942" s="5">
        <v>0.05</v>
      </c>
    </row>
    <row r="2943" ht="12.75" customHeight="1">
      <c r="A2943" s="5" t="s">
        <v>3685</v>
      </c>
      <c r="B2943" s="7">
        <v>28.0</v>
      </c>
      <c r="C2943" s="7">
        <v>28.0</v>
      </c>
      <c r="D2943" s="7" t="s">
        <v>3967</v>
      </c>
      <c r="E2943" s="7"/>
      <c r="G2943" s="5" t="str">
        <f t="shared" si="1"/>
        <v>28, 28, AIPOM</v>
      </c>
      <c r="I2943" s="5" t="s">
        <v>3685</v>
      </c>
    </row>
    <row r="2944" ht="12.75" customHeight="1">
      <c r="A2944" s="5" t="s">
        <v>3686</v>
      </c>
      <c r="B2944" s="7">
        <v>18.0</v>
      </c>
      <c r="C2944" s="7">
        <v>18.0</v>
      </c>
      <c r="D2944" s="7" t="s">
        <v>3967</v>
      </c>
      <c r="E2944" s="7"/>
      <c r="G2944" s="5" t="str">
        <f t="shared" si="1"/>
        <v>18, 18, AIPOM</v>
      </c>
      <c r="I2944" s="5" t="s">
        <v>3686</v>
      </c>
    </row>
    <row r="2945" ht="12.75" customHeight="1">
      <c r="A2945" s="5">
        <v>0.04</v>
      </c>
      <c r="B2945" s="5">
        <v>0.04</v>
      </c>
      <c r="C2945" s="7"/>
      <c r="D2945" s="7"/>
      <c r="E2945" s="7"/>
      <c r="G2945" s="5">
        <f t="shared" si="1"/>
        <v>0.04</v>
      </c>
      <c r="I2945" s="5">
        <v>0.04</v>
      </c>
    </row>
    <row r="2946" ht="12.75" customHeight="1">
      <c r="A2946" s="5" t="s">
        <v>3683</v>
      </c>
      <c r="B2946" s="7">
        <v>20.0</v>
      </c>
      <c r="C2946" s="7">
        <v>20.0</v>
      </c>
      <c r="D2946" s="7" t="s">
        <v>3967</v>
      </c>
      <c r="E2946" s="7"/>
      <c r="G2946" s="5" t="str">
        <f t="shared" si="1"/>
        <v>20, 20, AIPOM</v>
      </c>
      <c r="I2946" s="5" t="s">
        <v>3683</v>
      </c>
    </row>
    <row r="2947" ht="12.75" customHeight="1">
      <c r="A2947" s="5" t="s">
        <v>3684</v>
      </c>
      <c r="B2947" s="7">
        <v>26.0</v>
      </c>
      <c r="C2947" s="7">
        <v>26.0</v>
      </c>
      <c r="D2947" s="7" t="s">
        <v>3967</v>
      </c>
      <c r="E2947" s="7"/>
      <c r="G2947" s="5" t="str">
        <f t="shared" si="1"/>
        <v>26, 26, AIPOM</v>
      </c>
      <c r="I2947" s="5" t="s">
        <v>3684</v>
      </c>
    </row>
    <row r="2948" ht="12.75" customHeight="1">
      <c r="A2948" s="5">
        <v>0.01</v>
      </c>
      <c r="B2948" s="5">
        <v>0.01</v>
      </c>
      <c r="C2948" s="7"/>
      <c r="D2948" s="7"/>
      <c r="E2948" s="7"/>
      <c r="G2948" s="5">
        <f t="shared" si="1"/>
        <v>0.01</v>
      </c>
      <c r="I2948" s="5">
        <v>0.01</v>
      </c>
    </row>
    <row r="2949" ht="12.75" customHeight="1">
      <c r="A2949" s="5" t="s">
        <v>3683</v>
      </c>
      <c r="B2949" s="7">
        <v>20.0</v>
      </c>
      <c r="C2949" s="7">
        <v>20.0</v>
      </c>
      <c r="D2949" s="7" t="s">
        <v>3967</v>
      </c>
      <c r="E2949" s="7"/>
      <c r="G2949" s="5" t="str">
        <f t="shared" si="1"/>
        <v>20, 20, AIPOM</v>
      </c>
      <c r="I2949" s="5" t="s">
        <v>3683</v>
      </c>
    </row>
    <row r="2950" ht="12.75" customHeight="1">
      <c r="A2950" s="5" t="s">
        <v>3684</v>
      </c>
      <c r="B2950" s="7">
        <v>26.0</v>
      </c>
      <c r="C2950" s="7">
        <v>26.0</v>
      </c>
      <c r="D2950" s="7" t="s">
        <v>3967</v>
      </c>
      <c r="E2950" s="7"/>
      <c r="G2950" s="5" t="str">
        <f t="shared" si="1"/>
        <v>26, 26, AIPOM</v>
      </c>
      <c r="I2950" s="5" t="s">
        <v>3684</v>
      </c>
    </row>
    <row r="2951" ht="12.75" customHeight="1">
      <c r="A2951" s="5" t="s">
        <v>2539</v>
      </c>
      <c r="B2951" s="7" t="s">
        <v>2539</v>
      </c>
      <c r="C2951" s="7"/>
      <c r="D2951" s="7"/>
      <c r="E2951" s="7"/>
      <c r="G2951" s="5" t="str">
        <f t="shared" si="1"/>
        <v>NEW ROUTE</v>
      </c>
      <c r="I2951" s="5" t="s">
        <v>2539</v>
      </c>
    </row>
    <row r="2952" ht="12.75" customHeight="1">
      <c r="A2952" s="5" t="s">
        <v>1940</v>
      </c>
      <c r="B2952" s="7" t="s">
        <v>1940</v>
      </c>
      <c r="C2952" s="7"/>
      <c r="D2952" s="7"/>
      <c r="E2952" s="7"/>
      <c r="G2952" s="5" t="str">
        <f t="shared" si="1"/>
        <v>Six Island Altering Cave</v>
      </c>
      <c r="I2952" s="5" t="s">
        <v>1940</v>
      </c>
    </row>
    <row r="2953" ht="12.75" customHeight="1">
      <c r="A2953" s="5">
        <v>0.2</v>
      </c>
      <c r="B2953" s="5">
        <v>0.2</v>
      </c>
      <c r="C2953" s="7"/>
      <c r="D2953" s="7"/>
      <c r="E2953" s="7"/>
      <c r="G2953" s="5">
        <f t="shared" si="1"/>
        <v>0.2</v>
      </c>
      <c r="I2953" s="5">
        <v>0.2</v>
      </c>
    </row>
    <row r="2954" ht="12.75" customHeight="1">
      <c r="A2954" s="5" t="s">
        <v>1338</v>
      </c>
      <c r="B2954" s="7">
        <v>22.0</v>
      </c>
      <c r="C2954" s="7">
        <v>22.0</v>
      </c>
      <c r="D2954" s="7" t="s">
        <v>3968</v>
      </c>
      <c r="E2954" s="7"/>
      <c r="G2954" s="5" t="str">
        <f t="shared" si="1"/>
        <v>22, 22, SHUCKLE</v>
      </c>
      <c r="I2954" s="5" t="s">
        <v>1338</v>
      </c>
    </row>
    <row r="2955" ht="12.75" customHeight="1">
      <c r="A2955" s="5" t="s">
        <v>3688</v>
      </c>
      <c r="B2955" s="7">
        <v>24.0</v>
      </c>
      <c r="C2955" s="7">
        <v>24.0</v>
      </c>
      <c r="D2955" s="7" t="s">
        <v>3968</v>
      </c>
      <c r="E2955" s="7"/>
      <c r="G2955" s="5" t="str">
        <f t="shared" si="1"/>
        <v>24, 24, SHUCKLE</v>
      </c>
      <c r="I2955" s="5" t="s">
        <v>3688</v>
      </c>
    </row>
    <row r="2956" ht="12.75" customHeight="1">
      <c r="A2956" s="5">
        <v>0.1</v>
      </c>
      <c r="B2956" s="5">
        <v>0.1</v>
      </c>
      <c r="C2956" s="7"/>
      <c r="D2956" s="7"/>
      <c r="E2956" s="7"/>
      <c r="G2956" s="5">
        <f t="shared" si="1"/>
        <v>0.1</v>
      </c>
      <c r="I2956" s="5">
        <v>0.1</v>
      </c>
    </row>
    <row r="2957" ht="12.75" customHeight="1">
      <c r="A2957" s="5" t="s">
        <v>3689</v>
      </c>
      <c r="B2957" s="7">
        <v>20.0</v>
      </c>
      <c r="C2957" s="7">
        <v>20.0</v>
      </c>
      <c r="D2957" s="7" t="s">
        <v>3968</v>
      </c>
      <c r="E2957" s="7"/>
      <c r="G2957" s="5" t="str">
        <f t="shared" si="1"/>
        <v>20, 20, SHUCKLE</v>
      </c>
      <c r="I2957" s="5" t="s">
        <v>3689</v>
      </c>
    </row>
    <row r="2958" ht="12.75" customHeight="1">
      <c r="A2958" s="5" t="s">
        <v>3690</v>
      </c>
      <c r="B2958" s="7">
        <v>26.0</v>
      </c>
      <c r="C2958" s="7">
        <v>26.0</v>
      </c>
      <c r="D2958" s="7" t="s">
        <v>3968</v>
      </c>
      <c r="E2958" s="7"/>
      <c r="G2958" s="5" t="str">
        <f t="shared" si="1"/>
        <v>26, 26, SHUCKLE</v>
      </c>
      <c r="I2958" s="5" t="s">
        <v>3690</v>
      </c>
    </row>
    <row r="2959" ht="12.75" customHeight="1">
      <c r="A2959" s="5" t="s">
        <v>1338</v>
      </c>
      <c r="B2959" s="7">
        <v>22.0</v>
      </c>
      <c r="C2959" s="7">
        <v>22.0</v>
      </c>
      <c r="D2959" s="7" t="s">
        <v>3968</v>
      </c>
      <c r="E2959" s="7"/>
      <c r="G2959" s="5" t="str">
        <f t="shared" si="1"/>
        <v>22, 22, SHUCKLE</v>
      </c>
      <c r="I2959" s="5" t="s">
        <v>1338</v>
      </c>
    </row>
    <row r="2960" ht="12.75" customHeight="1">
      <c r="A2960" s="5" t="s">
        <v>3688</v>
      </c>
      <c r="B2960" s="7">
        <v>24.0</v>
      </c>
      <c r="C2960" s="7">
        <v>24.0</v>
      </c>
      <c r="D2960" s="7" t="s">
        <v>3968</v>
      </c>
      <c r="E2960" s="7"/>
      <c r="G2960" s="5" t="str">
        <f t="shared" si="1"/>
        <v>24, 24, SHUCKLE</v>
      </c>
      <c r="I2960" s="5" t="s">
        <v>3688</v>
      </c>
    </row>
    <row r="2961" ht="12.75" customHeight="1">
      <c r="A2961" s="5">
        <v>0.05</v>
      </c>
      <c r="B2961" s="5">
        <v>0.05</v>
      </c>
      <c r="C2961" s="7"/>
      <c r="D2961" s="7"/>
      <c r="E2961" s="7"/>
      <c r="G2961" s="5">
        <f t="shared" si="1"/>
        <v>0.05</v>
      </c>
      <c r="I2961" s="5">
        <v>0.05</v>
      </c>
    </row>
    <row r="2962" ht="12.75" customHeight="1">
      <c r="A2962" s="5" t="s">
        <v>3691</v>
      </c>
      <c r="B2962" s="7">
        <v>28.0</v>
      </c>
      <c r="C2962" s="7">
        <v>28.0</v>
      </c>
      <c r="D2962" s="7" t="s">
        <v>3968</v>
      </c>
      <c r="E2962" s="7"/>
      <c r="G2962" s="5" t="str">
        <f t="shared" si="1"/>
        <v>28, 28, SHUCKLE</v>
      </c>
      <c r="I2962" s="5" t="s">
        <v>3691</v>
      </c>
    </row>
    <row r="2963" ht="12.75" customHeight="1">
      <c r="A2963" s="5" t="s">
        <v>3692</v>
      </c>
      <c r="B2963" s="7">
        <v>18.0</v>
      </c>
      <c r="C2963" s="7">
        <v>18.0</v>
      </c>
      <c r="D2963" s="7" t="s">
        <v>3968</v>
      </c>
      <c r="E2963" s="7"/>
      <c r="G2963" s="5" t="str">
        <f t="shared" si="1"/>
        <v>18, 18, SHUCKLE</v>
      </c>
      <c r="I2963" s="5" t="s">
        <v>3692</v>
      </c>
    </row>
    <row r="2964" ht="12.75" customHeight="1">
      <c r="A2964" s="5">
        <v>0.04</v>
      </c>
      <c r="B2964" s="5">
        <v>0.04</v>
      </c>
      <c r="C2964" s="7"/>
      <c r="D2964" s="7"/>
      <c r="E2964" s="7"/>
      <c r="G2964" s="5">
        <f t="shared" si="1"/>
        <v>0.04</v>
      </c>
      <c r="I2964" s="5">
        <v>0.04</v>
      </c>
    </row>
    <row r="2965" ht="12.75" customHeight="1">
      <c r="A2965" s="5" t="s">
        <v>3689</v>
      </c>
      <c r="B2965" s="7">
        <v>20.0</v>
      </c>
      <c r="C2965" s="7">
        <v>20.0</v>
      </c>
      <c r="D2965" s="7" t="s">
        <v>3968</v>
      </c>
      <c r="E2965" s="7"/>
      <c r="G2965" s="5" t="str">
        <f t="shared" si="1"/>
        <v>20, 20, SHUCKLE</v>
      </c>
      <c r="I2965" s="5" t="s">
        <v>3689</v>
      </c>
    </row>
    <row r="2966" ht="12.75" customHeight="1">
      <c r="A2966" s="5" t="s">
        <v>3690</v>
      </c>
      <c r="B2966" s="7">
        <v>26.0</v>
      </c>
      <c r="C2966" s="7">
        <v>26.0</v>
      </c>
      <c r="D2966" s="7" t="s">
        <v>3968</v>
      </c>
      <c r="E2966" s="7"/>
      <c r="G2966" s="5" t="str">
        <f t="shared" si="1"/>
        <v>26, 26, SHUCKLE</v>
      </c>
      <c r="I2966" s="5" t="s">
        <v>3690</v>
      </c>
    </row>
    <row r="2967" ht="12.75" customHeight="1">
      <c r="A2967" s="5">
        <v>0.01</v>
      </c>
      <c r="B2967" s="5">
        <v>0.01</v>
      </c>
      <c r="C2967" s="7"/>
      <c r="D2967" s="7"/>
      <c r="E2967" s="7"/>
      <c r="G2967" s="5">
        <f t="shared" si="1"/>
        <v>0.01</v>
      </c>
      <c r="I2967" s="5">
        <v>0.01</v>
      </c>
    </row>
    <row r="2968" ht="12.75" customHeight="1">
      <c r="A2968" s="5" t="s">
        <v>3689</v>
      </c>
      <c r="B2968" s="7">
        <v>20.0</v>
      </c>
      <c r="C2968" s="7">
        <v>20.0</v>
      </c>
      <c r="D2968" s="7" t="s">
        <v>3968</v>
      </c>
      <c r="E2968" s="7"/>
      <c r="G2968" s="5" t="str">
        <f t="shared" si="1"/>
        <v>20, 20, SHUCKLE</v>
      </c>
      <c r="I2968" s="5" t="s">
        <v>3689</v>
      </c>
    </row>
    <row r="2969" ht="12.75" customHeight="1">
      <c r="A2969" s="5" t="s">
        <v>3690</v>
      </c>
      <c r="B2969" s="7">
        <v>26.0</v>
      </c>
      <c r="C2969" s="7">
        <v>26.0</v>
      </c>
      <c r="D2969" s="7" t="s">
        <v>3968</v>
      </c>
      <c r="E2969" s="7"/>
      <c r="G2969" s="5" t="str">
        <f t="shared" si="1"/>
        <v>26, 26, SHUCKLE</v>
      </c>
      <c r="I2969" s="5" t="s">
        <v>3690</v>
      </c>
    </row>
    <row r="2970" ht="12.75" customHeight="1">
      <c r="A2970" s="5" t="s">
        <v>2539</v>
      </c>
      <c r="B2970" s="7" t="s">
        <v>2539</v>
      </c>
      <c r="C2970" s="7"/>
      <c r="D2970" s="7"/>
      <c r="E2970" s="7"/>
      <c r="G2970" s="5" t="str">
        <f t="shared" si="1"/>
        <v>NEW ROUTE</v>
      </c>
      <c r="I2970" s="5" t="s">
        <v>2539</v>
      </c>
    </row>
    <row r="2971" ht="12.75" customHeight="1">
      <c r="A2971" s="5" t="s">
        <v>1940</v>
      </c>
      <c r="B2971" s="7" t="s">
        <v>1940</v>
      </c>
      <c r="C2971" s="7"/>
      <c r="D2971" s="7"/>
      <c r="E2971" s="7"/>
      <c r="G2971" s="5" t="str">
        <f t="shared" si="1"/>
        <v>Six Island Altering Cave</v>
      </c>
      <c r="I2971" s="5" t="s">
        <v>1940</v>
      </c>
    </row>
    <row r="2972" ht="12.75" customHeight="1">
      <c r="A2972" s="5">
        <v>0.2</v>
      </c>
      <c r="B2972" s="5">
        <v>0.2</v>
      </c>
      <c r="C2972" s="7"/>
      <c r="D2972" s="7"/>
      <c r="E2972" s="7"/>
      <c r="G2972" s="5">
        <f t="shared" si="1"/>
        <v>0.2</v>
      </c>
      <c r="I2972" s="5">
        <v>0.2</v>
      </c>
    </row>
    <row r="2973" ht="12.75" customHeight="1">
      <c r="A2973" s="5" t="s">
        <v>1346</v>
      </c>
      <c r="B2973" s="7">
        <v>22.0</v>
      </c>
      <c r="C2973" s="7">
        <v>22.0</v>
      </c>
      <c r="D2973" s="7" t="s">
        <v>3969</v>
      </c>
      <c r="E2973" s="7"/>
      <c r="G2973" s="5" t="str">
        <f t="shared" si="1"/>
        <v>22, 22, STANTLER</v>
      </c>
      <c r="I2973" s="5" t="s">
        <v>1346</v>
      </c>
    </row>
    <row r="2974" ht="12.75" customHeight="1">
      <c r="A2974" s="5" t="s">
        <v>3694</v>
      </c>
      <c r="B2974" s="7">
        <v>24.0</v>
      </c>
      <c r="C2974" s="7">
        <v>24.0</v>
      </c>
      <c r="D2974" s="7" t="s">
        <v>3969</v>
      </c>
      <c r="E2974" s="7"/>
      <c r="G2974" s="5" t="str">
        <f t="shared" si="1"/>
        <v>24, 24, STANTLER</v>
      </c>
      <c r="I2974" s="5" t="s">
        <v>3694</v>
      </c>
    </row>
    <row r="2975" ht="12.75" customHeight="1">
      <c r="A2975" s="5">
        <v>0.1</v>
      </c>
      <c r="B2975" s="5">
        <v>0.1</v>
      </c>
      <c r="C2975" s="7"/>
      <c r="D2975" s="7"/>
      <c r="E2975" s="7"/>
      <c r="G2975" s="5">
        <f t="shared" si="1"/>
        <v>0.1</v>
      </c>
      <c r="I2975" s="5">
        <v>0.1</v>
      </c>
    </row>
    <row r="2976" ht="12.75" customHeight="1">
      <c r="A2976" s="5" t="s">
        <v>3695</v>
      </c>
      <c r="B2976" s="7">
        <v>20.0</v>
      </c>
      <c r="C2976" s="7">
        <v>20.0</v>
      </c>
      <c r="D2976" s="7" t="s">
        <v>3969</v>
      </c>
      <c r="E2976" s="7"/>
      <c r="G2976" s="5" t="str">
        <f t="shared" si="1"/>
        <v>20, 20, STANTLER</v>
      </c>
      <c r="I2976" s="5" t="s">
        <v>3695</v>
      </c>
    </row>
    <row r="2977" ht="12.75" customHeight="1">
      <c r="A2977" s="5" t="s">
        <v>3696</v>
      </c>
      <c r="B2977" s="7">
        <v>26.0</v>
      </c>
      <c r="C2977" s="7">
        <v>26.0</v>
      </c>
      <c r="D2977" s="7" t="s">
        <v>3969</v>
      </c>
      <c r="E2977" s="7"/>
      <c r="G2977" s="5" t="str">
        <f t="shared" si="1"/>
        <v>26, 26, STANTLER</v>
      </c>
      <c r="I2977" s="5" t="s">
        <v>3696</v>
      </c>
    </row>
    <row r="2978" ht="12.75" customHeight="1">
      <c r="A2978" s="5" t="s">
        <v>1346</v>
      </c>
      <c r="B2978" s="7">
        <v>22.0</v>
      </c>
      <c r="C2978" s="7">
        <v>22.0</v>
      </c>
      <c r="D2978" s="7" t="s">
        <v>3969</v>
      </c>
      <c r="E2978" s="7"/>
      <c r="G2978" s="5" t="str">
        <f t="shared" si="1"/>
        <v>22, 22, STANTLER</v>
      </c>
      <c r="I2978" s="5" t="s">
        <v>1346</v>
      </c>
    </row>
    <row r="2979" ht="12.75" customHeight="1">
      <c r="A2979" s="5" t="s">
        <v>3694</v>
      </c>
      <c r="B2979" s="7">
        <v>24.0</v>
      </c>
      <c r="C2979" s="7">
        <v>24.0</v>
      </c>
      <c r="D2979" s="7" t="s">
        <v>3969</v>
      </c>
      <c r="E2979" s="7"/>
      <c r="G2979" s="5" t="str">
        <f t="shared" si="1"/>
        <v>24, 24, STANTLER</v>
      </c>
      <c r="I2979" s="5" t="s">
        <v>3694</v>
      </c>
    </row>
    <row r="2980" ht="12.75" customHeight="1">
      <c r="A2980" s="5">
        <v>0.05</v>
      </c>
      <c r="B2980" s="5">
        <v>0.05</v>
      </c>
      <c r="C2980" s="7"/>
      <c r="D2980" s="7"/>
      <c r="E2980" s="7"/>
      <c r="G2980" s="5">
        <f t="shared" si="1"/>
        <v>0.05</v>
      </c>
      <c r="I2980" s="5">
        <v>0.05</v>
      </c>
    </row>
    <row r="2981" ht="12.75" customHeight="1">
      <c r="A2981" s="5" t="s">
        <v>3697</v>
      </c>
      <c r="B2981" s="7">
        <v>28.0</v>
      </c>
      <c r="C2981" s="7">
        <v>28.0</v>
      </c>
      <c r="D2981" s="7" t="s">
        <v>3969</v>
      </c>
      <c r="E2981" s="7"/>
      <c r="G2981" s="5" t="str">
        <f t="shared" si="1"/>
        <v>28, 28, STANTLER</v>
      </c>
      <c r="I2981" s="5" t="s">
        <v>3697</v>
      </c>
    </row>
    <row r="2982" ht="12.75" customHeight="1">
      <c r="A2982" s="5" t="s">
        <v>3698</v>
      </c>
      <c r="B2982" s="7">
        <v>18.0</v>
      </c>
      <c r="C2982" s="7">
        <v>18.0</v>
      </c>
      <c r="D2982" s="7" t="s">
        <v>3969</v>
      </c>
      <c r="E2982" s="7"/>
      <c r="G2982" s="5" t="str">
        <f t="shared" si="1"/>
        <v>18, 18, STANTLER</v>
      </c>
      <c r="I2982" s="5" t="s">
        <v>3698</v>
      </c>
    </row>
    <row r="2983" ht="12.75" customHeight="1">
      <c r="A2983" s="5">
        <v>0.04</v>
      </c>
      <c r="B2983" s="5">
        <v>0.04</v>
      </c>
      <c r="C2983" s="7"/>
      <c r="D2983" s="7"/>
      <c r="E2983" s="7"/>
      <c r="G2983" s="5">
        <f t="shared" si="1"/>
        <v>0.04</v>
      </c>
      <c r="I2983" s="5">
        <v>0.04</v>
      </c>
    </row>
    <row r="2984" ht="12.75" customHeight="1">
      <c r="A2984" s="5" t="s">
        <v>3695</v>
      </c>
      <c r="B2984" s="7">
        <v>20.0</v>
      </c>
      <c r="C2984" s="7">
        <v>20.0</v>
      </c>
      <c r="D2984" s="7" t="s">
        <v>3969</v>
      </c>
      <c r="E2984" s="7"/>
      <c r="G2984" s="5" t="str">
        <f t="shared" si="1"/>
        <v>20, 20, STANTLER</v>
      </c>
      <c r="I2984" s="5" t="s">
        <v>3695</v>
      </c>
    </row>
    <row r="2985" ht="12.75" customHeight="1">
      <c r="A2985" s="5" t="s">
        <v>3696</v>
      </c>
      <c r="B2985" s="7">
        <v>26.0</v>
      </c>
      <c r="C2985" s="7">
        <v>26.0</v>
      </c>
      <c r="D2985" s="7" t="s">
        <v>3969</v>
      </c>
      <c r="E2985" s="7"/>
      <c r="G2985" s="5" t="str">
        <f t="shared" si="1"/>
        <v>26, 26, STANTLER</v>
      </c>
      <c r="I2985" s="5" t="s">
        <v>3696</v>
      </c>
    </row>
    <row r="2986" ht="12.75" customHeight="1">
      <c r="A2986" s="5">
        <v>0.01</v>
      </c>
      <c r="B2986" s="5">
        <v>0.01</v>
      </c>
      <c r="C2986" s="7"/>
      <c r="D2986" s="7"/>
      <c r="E2986" s="7"/>
      <c r="G2986" s="5">
        <f t="shared" si="1"/>
        <v>0.01</v>
      </c>
      <c r="I2986" s="5">
        <v>0.01</v>
      </c>
    </row>
    <row r="2987" ht="12.75" customHeight="1">
      <c r="A2987" s="5" t="s">
        <v>3695</v>
      </c>
      <c r="B2987" s="7">
        <v>20.0</v>
      </c>
      <c r="C2987" s="7">
        <v>20.0</v>
      </c>
      <c r="D2987" s="7" t="s">
        <v>3969</v>
      </c>
      <c r="E2987" s="7"/>
      <c r="G2987" s="5" t="str">
        <f t="shared" si="1"/>
        <v>20, 20, STANTLER</v>
      </c>
      <c r="I2987" s="5" t="s">
        <v>3695</v>
      </c>
    </row>
    <row r="2988" ht="12.75" customHeight="1">
      <c r="A2988" s="5" t="s">
        <v>3696</v>
      </c>
      <c r="B2988" s="7">
        <v>26.0</v>
      </c>
      <c r="C2988" s="7">
        <v>26.0</v>
      </c>
      <c r="D2988" s="7" t="s">
        <v>3969</v>
      </c>
      <c r="E2988" s="7"/>
      <c r="G2988" s="5" t="str">
        <f t="shared" si="1"/>
        <v>26, 26, STANTLER</v>
      </c>
      <c r="I2988" s="5" t="s">
        <v>3696</v>
      </c>
    </row>
    <row r="2989" ht="12.75" customHeight="1">
      <c r="A2989" s="5" t="s">
        <v>2539</v>
      </c>
      <c r="B2989" s="7" t="s">
        <v>2539</v>
      </c>
      <c r="C2989" s="7"/>
      <c r="D2989" s="7"/>
      <c r="E2989" s="7"/>
      <c r="G2989" s="5" t="str">
        <f t="shared" si="1"/>
        <v>NEW ROUTE</v>
      </c>
      <c r="I2989" s="5" t="s">
        <v>2539</v>
      </c>
    </row>
    <row r="2990" ht="12.75" customHeight="1">
      <c r="A2990" s="5" t="s">
        <v>1940</v>
      </c>
      <c r="B2990" s="7" t="s">
        <v>1940</v>
      </c>
      <c r="C2990" s="7"/>
      <c r="D2990" s="7"/>
      <c r="E2990" s="7"/>
      <c r="G2990" s="5" t="str">
        <f t="shared" si="1"/>
        <v>Six Island Altering Cave</v>
      </c>
      <c r="I2990" s="5" t="s">
        <v>1940</v>
      </c>
    </row>
    <row r="2991" ht="12.75" customHeight="1">
      <c r="A2991" s="5">
        <v>0.2</v>
      </c>
      <c r="B2991" s="5">
        <v>0.2</v>
      </c>
      <c r="C2991" s="7"/>
      <c r="D2991" s="7"/>
      <c r="E2991" s="7"/>
      <c r="G2991" s="5">
        <f t="shared" si="1"/>
        <v>0.2</v>
      </c>
      <c r="I2991" s="5">
        <v>0.2</v>
      </c>
    </row>
    <row r="2992" ht="12.75" customHeight="1">
      <c r="A2992" s="5" t="s">
        <v>1354</v>
      </c>
      <c r="B2992" s="7">
        <v>22.0</v>
      </c>
      <c r="C2992" s="7">
        <v>22.0</v>
      </c>
      <c r="D2992" s="7" t="s">
        <v>3970</v>
      </c>
      <c r="E2992" s="7"/>
      <c r="G2992" s="5" t="str">
        <f t="shared" si="1"/>
        <v>22, 22, SMEARGLE</v>
      </c>
      <c r="I2992" s="5" t="s">
        <v>1354</v>
      </c>
    </row>
    <row r="2993" ht="12.75" customHeight="1">
      <c r="A2993" s="5" t="s">
        <v>3700</v>
      </c>
      <c r="B2993" s="7">
        <v>24.0</v>
      </c>
      <c r="C2993" s="7">
        <v>24.0</v>
      </c>
      <c r="D2993" s="7" t="s">
        <v>3970</v>
      </c>
      <c r="E2993" s="7"/>
      <c r="G2993" s="5" t="str">
        <f t="shared" si="1"/>
        <v>24, 24, SMEARGLE</v>
      </c>
      <c r="I2993" s="5" t="s">
        <v>3700</v>
      </c>
    </row>
    <row r="2994" ht="12.75" customHeight="1">
      <c r="A2994" s="5">
        <v>0.1</v>
      </c>
      <c r="B2994" s="5">
        <v>0.1</v>
      </c>
      <c r="C2994" s="7"/>
      <c r="D2994" s="7"/>
      <c r="E2994" s="7"/>
      <c r="G2994" s="5">
        <f t="shared" si="1"/>
        <v>0.1</v>
      </c>
      <c r="I2994" s="5">
        <v>0.1</v>
      </c>
    </row>
    <row r="2995" ht="12.75" customHeight="1">
      <c r="A2995" s="5" t="s">
        <v>3701</v>
      </c>
      <c r="B2995" s="7">
        <v>20.0</v>
      </c>
      <c r="C2995" s="7">
        <v>20.0</v>
      </c>
      <c r="D2995" s="7" t="s">
        <v>3970</v>
      </c>
      <c r="E2995" s="7"/>
      <c r="G2995" s="5" t="str">
        <f t="shared" si="1"/>
        <v>20, 20, SMEARGLE</v>
      </c>
      <c r="I2995" s="5" t="s">
        <v>3701</v>
      </c>
    </row>
    <row r="2996" ht="12.75" customHeight="1">
      <c r="A2996" s="5" t="s">
        <v>3702</v>
      </c>
      <c r="B2996" s="7">
        <v>26.0</v>
      </c>
      <c r="C2996" s="7">
        <v>26.0</v>
      </c>
      <c r="D2996" s="7" t="s">
        <v>3970</v>
      </c>
      <c r="E2996" s="7"/>
      <c r="G2996" s="5" t="str">
        <f t="shared" si="1"/>
        <v>26, 26, SMEARGLE</v>
      </c>
      <c r="I2996" s="5" t="s">
        <v>3702</v>
      </c>
    </row>
    <row r="2997" ht="12.75" customHeight="1">
      <c r="A2997" s="5" t="s">
        <v>1354</v>
      </c>
      <c r="B2997" s="7">
        <v>22.0</v>
      </c>
      <c r="C2997" s="7">
        <v>22.0</v>
      </c>
      <c r="D2997" s="7" t="s">
        <v>3970</v>
      </c>
      <c r="E2997" s="7"/>
      <c r="G2997" s="5" t="str">
        <f t="shared" si="1"/>
        <v>22, 22, SMEARGLE</v>
      </c>
      <c r="I2997" s="5" t="s">
        <v>1354</v>
      </c>
    </row>
    <row r="2998" ht="12.75" customHeight="1">
      <c r="A2998" s="5" t="s">
        <v>3700</v>
      </c>
      <c r="B2998" s="7">
        <v>24.0</v>
      </c>
      <c r="C2998" s="7">
        <v>24.0</v>
      </c>
      <c r="D2998" s="7" t="s">
        <v>3970</v>
      </c>
      <c r="E2998" s="7"/>
      <c r="G2998" s="5" t="str">
        <f t="shared" si="1"/>
        <v>24, 24, SMEARGLE</v>
      </c>
      <c r="I2998" s="5" t="s">
        <v>3700</v>
      </c>
    </row>
    <row r="2999" ht="12.75" customHeight="1">
      <c r="A2999" s="5">
        <v>0.05</v>
      </c>
      <c r="B2999" s="5">
        <v>0.05</v>
      </c>
      <c r="C2999" s="7"/>
      <c r="D2999" s="7"/>
      <c r="E2999" s="7"/>
      <c r="G2999" s="5">
        <f t="shared" si="1"/>
        <v>0.05</v>
      </c>
      <c r="I2999" s="5">
        <v>0.05</v>
      </c>
    </row>
    <row r="3000" ht="12.75" customHeight="1">
      <c r="A3000" s="5" t="s">
        <v>3703</v>
      </c>
      <c r="B3000" s="7">
        <v>28.0</v>
      </c>
      <c r="C3000" s="7">
        <v>28.0</v>
      </c>
      <c r="D3000" s="7" t="s">
        <v>3970</v>
      </c>
      <c r="E3000" s="7"/>
      <c r="G3000" s="5" t="str">
        <f t="shared" si="1"/>
        <v>28, 28, SMEARGLE</v>
      </c>
      <c r="I3000" s="5" t="s">
        <v>3703</v>
      </c>
    </row>
    <row r="3001" ht="12.75" customHeight="1">
      <c r="A3001" s="5" t="s">
        <v>3704</v>
      </c>
      <c r="B3001" s="7">
        <v>18.0</v>
      </c>
      <c r="C3001" s="7">
        <v>18.0</v>
      </c>
      <c r="D3001" s="7" t="s">
        <v>3970</v>
      </c>
      <c r="E3001" s="7"/>
      <c r="G3001" s="5" t="str">
        <f t="shared" si="1"/>
        <v>18, 18, SMEARGLE</v>
      </c>
      <c r="I3001" s="5" t="s">
        <v>3704</v>
      </c>
    </row>
    <row r="3002" ht="12.75" customHeight="1">
      <c r="A3002" s="5">
        <v>0.04</v>
      </c>
      <c r="B3002" s="5">
        <v>0.04</v>
      </c>
      <c r="C3002" s="7"/>
      <c r="D3002" s="7"/>
      <c r="E3002" s="7"/>
      <c r="G3002" s="5">
        <f t="shared" si="1"/>
        <v>0.04</v>
      </c>
      <c r="I3002" s="5">
        <v>0.04</v>
      </c>
    </row>
    <row r="3003" ht="12.75" customHeight="1">
      <c r="A3003" s="5" t="s">
        <v>3701</v>
      </c>
      <c r="B3003" s="7">
        <v>20.0</v>
      </c>
      <c r="C3003" s="7">
        <v>20.0</v>
      </c>
      <c r="D3003" s="7" t="s">
        <v>3970</v>
      </c>
      <c r="E3003" s="7"/>
      <c r="G3003" s="5" t="str">
        <f t="shared" si="1"/>
        <v>20, 20, SMEARGLE</v>
      </c>
      <c r="I3003" s="5" t="s">
        <v>3701</v>
      </c>
    </row>
    <row r="3004" ht="12.75" customHeight="1">
      <c r="A3004" s="5" t="s">
        <v>3702</v>
      </c>
      <c r="B3004" s="7">
        <v>26.0</v>
      </c>
      <c r="C3004" s="7">
        <v>26.0</v>
      </c>
      <c r="D3004" s="7" t="s">
        <v>3970</v>
      </c>
      <c r="E3004" s="7"/>
      <c r="G3004" s="5" t="str">
        <f t="shared" si="1"/>
        <v>26, 26, SMEARGLE</v>
      </c>
      <c r="I3004" s="5" t="s">
        <v>3702</v>
      </c>
    </row>
    <row r="3005" ht="12.75" customHeight="1">
      <c r="A3005" s="5">
        <v>0.01</v>
      </c>
      <c r="B3005" s="5">
        <v>0.01</v>
      </c>
      <c r="C3005" s="7"/>
      <c r="D3005" s="7"/>
      <c r="E3005" s="7"/>
      <c r="G3005" s="5">
        <f t="shared" si="1"/>
        <v>0.01</v>
      </c>
      <c r="I3005" s="5">
        <v>0.01</v>
      </c>
    </row>
    <row r="3006" ht="12.75" customHeight="1">
      <c r="A3006" s="5" t="s">
        <v>3701</v>
      </c>
      <c r="B3006" s="7">
        <v>20.0</v>
      </c>
      <c r="C3006" s="7">
        <v>20.0</v>
      </c>
      <c r="D3006" s="7" t="s">
        <v>3970</v>
      </c>
      <c r="E3006" s="7"/>
      <c r="G3006" s="5" t="str">
        <f t="shared" si="1"/>
        <v>20, 20, SMEARGLE</v>
      </c>
      <c r="I3006" s="5" t="s">
        <v>3701</v>
      </c>
    </row>
    <row r="3007" ht="12.75" customHeight="1">
      <c r="A3007" s="5" t="s">
        <v>3702</v>
      </c>
      <c r="B3007" s="7">
        <v>26.0</v>
      </c>
      <c r="C3007" s="7">
        <v>26.0</v>
      </c>
      <c r="D3007" s="7" t="s">
        <v>3970</v>
      </c>
      <c r="E3007" s="7"/>
      <c r="G3007" s="5" t="str">
        <f t="shared" si="1"/>
        <v>26, 26, SMEARGLE</v>
      </c>
      <c r="I3007" s="5" t="s">
        <v>3702</v>
      </c>
    </row>
    <row r="3008" ht="12.75" customHeight="1">
      <c r="A3008" s="5" t="s">
        <v>2539</v>
      </c>
      <c r="B3008" s="7" t="s">
        <v>2539</v>
      </c>
      <c r="C3008" s="7"/>
      <c r="D3008" s="7"/>
      <c r="E3008" s="7"/>
      <c r="G3008" s="5" t="str">
        <f t="shared" si="1"/>
        <v>NEW ROUTE</v>
      </c>
      <c r="I3008" s="5" t="s">
        <v>2539</v>
      </c>
    </row>
    <row r="3009" ht="12.75" customHeight="1">
      <c r="A3009" s="5" t="s">
        <v>3729</v>
      </c>
      <c r="B3009" s="7" t="s">
        <v>3729</v>
      </c>
      <c r="C3009" s="7"/>
      <c r="D3009" s="7"/>
      <c r="E3009" s="7"/>
      <c r="G3009" s="5" t="str">
        <f t="shared" si="1"/>
        <v>0x1818</v>
      </c>
      <c r="I3009" s="5" t="s">
        <v>3729</v>
      </c>
    </row>
    <row r="3010" ht="12.75" customHeight="1">
      <c r="A3010" s="5">
        <v>0.05</v>
      </c>
      <c r="B3010" s="5">
        <v>0.05</v>
      </c>
      <c r="C3010" s="7"/>
      <c r="D3010" s="7"/>
      <c r="E3010" s="7"/>
      <c r="G3010" s="5">
        <f t="shared" si="1"/>
        <v>0.05</v>
      </c>
      <c r="I3010" s="5">
        <v>0.05</v>
      </c>
    </row>
    <row r="3011" ht="12.75" customHeight="1">
      <c r="A3011" s="5" t="s">
        <v>3697</v>
      </c>
      <c r="B3011" s="7">
        <v>28.0</v>
      </c>
      <c r="C3011" s="7">
        <v>28.0</v>
      </c>
      <c r="D3011" s="7" t="s">
        <v>3969</v>
      </c>
      <c r="E3011" s="7"/>
      <c r="G3011" s="5" t="str">
        <f t="shared" si="1"/>
        <v>28, 28, STANTLER</v>
      </c>
      <c r="I3011" s="5" t="s">
        <v>3697</v>
      </c>
    </row>
    <row r="3012" ht="12.75" customHeight="1">
      <c r="A3012" s="5" t="s">
        <v>3698</v>
      </c>
      <c r="B3012" s="7">
        <v>18.0</v>
      </c>
      <c r="C3012" s="7">
        <v>18.0</v>
      </c>
      <c r="D3012" s="7" t="s">
        <v>3969</v>
      </c>
      <c r="E3012" s="7"/>
      <c r="G3012" s="5" t="str">
        <f t="shared" si="1"/>
        <v>18, 18, STANTLER</v>
      </c>
      <c r="I3012" s="5" t="s">
        <v>3698</v>
      </c>
    </row>
    <row r="3013" ht="12.75" customHeight="1">
      <c r="A3013" s="5">
        <v>0.04</v>
      </c>
      <c r="B3013" s="5">
        <v>0.04</v>
      </c>
      <c r="C3013" s="7"/>
      <c r="D3013" s="7"/>
      <c r="E3013" s="7"/>
      <c r="G3013" s="5">
        <f t="shared" si="1"/>
        <v>0.04</v>
      </c>
      <c r="I3013" s="5">
        <v>0.04</v>
      </c>
    </row>
    <row r="3014" ht="12.75" customHeight="1">
      <c r="A3014" s="5" t="s">
        <v>3695</v>
      </c>
      <c r="B3014" s="7">
        <v>20.0</v>
      </c>
      <c r="C3014" s="7">
        <v>20.0</v>
      </c>
      <c r="D3014" s="7" t="s">
        <v>3969</v>
      </c>
      <c r="E3014" s="7"/>
      <c r="G3014" s="5" t="str">
        <f t="shared" si="1"/>
        <v>20, 20, STANTLER</v>
      </c>
      <c r="I3014" s="5" t="s">
        <v>3695</v>
      </c>
    </row>
    <row r="3015" ht="12.75" customHeight="1">
      <c r="A3015" s="5" t="s">
        <v>3696</v>
      </c>
      <c r="B3015" s="7">
        <v>26.0</v>
      </c>
      <c r="C3015" s="7">
        <v>26.0</v>
      </c>
      <c r="D3015" s="7" t="s">
        <v>3969</v>
      </c>
      <c r="E3015" s="7"/>
      <c r="G3015" s="5" t="str">
        <f t="shared" si="1"/>
        <v>26, 26, STANTLER</v>
      </c>
      <c r="I3015" s="5" t="s">
        <v>3696</v>
      </c>
    </row>
    <row r="3016" ht="12.75" customHeight="1">
      <c r="A3016" s="5">
        <v>0.01</v>
      </c>
      <c r="B3016" s="5">
        <v>0.01</v>
      </c>
      <c r="C3016" s="7"/>
      <c r="D3016" s="7"/>
      <c r="E3016" s="7"/>
      <c r="G3016" s="5">
        <f t="shared" si="1"/>
        <v>0.01</v>
      </c>
      <c r="I3016" s="5">
        <v>0.01</v>
      </c>
    </row>
    <row r="3017" ht="12.75" customHeight="1">
      <c r="A3017" s="5" t="s">
        <v>3695</v>
      </c>
      <c r="B3017" s="7">
        <v>20.0</v>
      </c>
      <c r="C3017" s="7">
        <v>20.0</v>
      </c>
      <c r="D3017" s="7" t="s">
        <v>3969</v>
      </c>
      <c r="E3017" s="7"/>
      <c r="G3017" s="5" t="str">
        <f t="shared" si="1"/>
        <v>20, 20, STANTLER</v>
      </c>
      <c r="I3017" s="5" t="s">
        <v>3695</v>
      </c>
    </row>
    <row r="3018" ht="12.75" customHeight="1">
      <c r="A3018" s="5" t="s">
        <v>3696</v>
      </c>
      <c r="B3018" s="7">
        <v>26.0</v>
      </c>
      <c r="C3018" s="7">
        <v>26.0</v>
      </c>
      <c r="D3018" s="7" t="s">
        <v>3969</v>
      </c>
      <c r="E3018" s="7"/>
      <c r="G3018" s="5" t="str">
        <f t="shared" si="1"/>
        <v>26, 26, STANTLER</v>
      </c>
      <c r="I3018" s="5" t="s">
        <v>3696</v>
      </c>
    </row>
    <row r="3019" ht="12.75" customHeight="1">
      <c r="A3019" s="5" t="s">
        <v>2539</v>
      </c>
      <c r="B3019" s="7" t="s">
        <v>2539</v>
      </c>
      <c r="C3019" s="7"/>
      <c r="D3019" s="7"/>
      <c r="E3019" s="7"/>
      <c r="G3019" s="5" t="str">
        <f t="shared" si="1"/>
        <v>NEW ROUTE</v>
      </c>
      <c r="I3019" s="5" t="s">
        <v>2539</v>
      </c>
    </row>
    <row r="3020" ht="12.75" customHeight="1">
      <c r="A3020" s="5" t="s">
        <v>1940</v>
      </c>
      <c r="B3020" s="7" t="s">
        <v>1940</v>
      </c>
      <c r="C3020" s="7"/>
      <c r="D3020" s="7"/>
      <c r="E3020" s="7"/>
      <c r="G3020" s="5" t="str">
        <f t="shared" si="1"/>
        <v>Six Island Altering Cave</v>
      </c>
      <c r="I3020" s="5" t="s">
        <v>1940</v>
      </c>
    </row>
    <row r="3021" ht="12.75" customHeight="1">
      <c r="A3021" s="5">
        <v>0.2</v>
      </c>
      <c r="B3021" s="5">
        <v>0.2</v>
      </c>
      <c r="C3021" s="7"/>
      <c r="D3021" s="7"/>
      <c r="E3021" s="7"/>
      <c r="G3021" s="5">
        <f t="shared" si="1"/>
        <v>0.2</v>
      </c>
      <c r="I3021" s="5">
        <v>0.2</v>
      </c>
    </row>
    <row r="3022" ht="12.75" customHeight="1">
      <c r="A3022" s="5" t="s">
        <v>1354</v>
      </c>
      <c r="B3022" s="7">
        <v>22.0</v>
      </c>
      <c r="C3022" s="7">
        <v>22.0</v>
      </c>
      <c r="D3022" s="7" t="s">
        <v>3970</v>
      </c>
      <c r="E3022" s="7"/>
      <c r="G3022" s="5" t="str">
        <f t="shared" si="1"/>
        <v>22, 22, SMEARGLE</v>
      </c>
      <c r="I3022" s="5" t="s">
        <v>1354</v>
      </c>
    </row>
    <row r="3023" ht="12.75" customHeight="1">
      <c r="A3023" s="5" t="s">
        <v>3700</v>
      </c>
      <c r="B3023" s="7">
        <v>24.0</v>
      </c>
      <c r="C3023" s="7">
        <v>24.0</v>
      </c>
      <c r="D3023" s="7" t="s">
        <v>3970</v>
      </c>
      <c r="E3023" s="7"/>
      <c r="G3023" s="5" t="str">
        <f t="shared" si="1"/>
        <v>24, 24, SMEARGLE</v>
      </c>
      <c r="I3023" s="5" t="s">
        <v>3700</v>
      </c>
    </row>
    <row r="3024" ht="12.75" customHeight="1">
      <c r="A3024" s="5">
        <v>0.1</v>
      </c>
      <c r="B3024" s="5">
        <v>0.1</v>
      </c>
      <c r="C3024" s="7"/>
      <c r="D3024" s="7"/>
      <c r="E3024" s="7"/>
      <c r="G3024" s="5">
        <f t="shared" si="1"/>
        <v>0.1</v>
      </c>
      <c r="I3024" s="5">
        <v>0.1</v>
      </c>
    </row>
    <row r="3025" ht="12.75" customHeight="1">
      <c r="A3025" s="5" t="s">
        <v>3701</v>
      </c>
      <c r="B3025" s="7">
        <v>20.0</v>
      </c>
      <c r="C3025" s="7">
        <v>20.0</v>
      </c>
      <c r="D3025" s="7" t="s">
        <v>3970</v>
      </c>
      <c r="E3025" s="7"/>
      <c r="G3025" s="5" t="str">
        <f t="shared" si="1"/>
        <v>20, 20, SMEARGLE</v>
      </c>
      <c r="I3025" s="5" t="s">
        <v>3701</v>
      </c>
    </row>
    <row r="3026" ht="12.75" customHeight="1">
      <c r="A3026" s="5" t="s">
        <v>3702</v>
      </c>
      <c r="B3026" s="7">
        <v>26.0</v>
      </c>
      <c r="C3026" s="7">
        <v>26.0</v>
      </c>
      <c r="D3026" s="7" t="s">
        <v>3970</v>
      </c>
      <c r="E3026" s="7"/>
      <c r="G3026" s="5" t="str">
        <f t="shared" si="1"/>
        <v>26, 26, SMEARGLE</v>
      </c>
      <c r="I3026" s="5" t="s">
        <v>3702</v>
      </c>
    </row>
    <row r="3027" ht="12.75" customHeight="1">
      <c r="A3027" s="5" t="s">
        <v>1354</v>
      </c>
      <c r="B3027" s="7">
        <v>22.0</v>
      </c>
      <c r="C3027" s="7">
        <v>22.0</v>
      </c>
      <c r="D3027" s="7" t="s">
        <v>3970</v>
      </c>
      <c r="E3027" s="7"/>
      <c r="G3027" s="5" t="str">
        <f t="shared" si="1"/>
        <v>22, 22, SMEARGLE</v>
      </c>
      <c r="I3027" s="5" t="s">
        <v>1354</v>
      </c>
    </row>
    <row r="3028" ht="12.75" customHeight="1">
      <c r="A3028" s="5" t="s">
        <v>3700</v>
      </c>
      <c r="B3028" s="7">
        <v>24.0</v>
      </c>
      <c r="C3028" s="7">
        <v>24.0</v>
      </c>
      <c r="D3028" s="7" t="s">
        <v>3970</v>
      </c>
      <c r="E3028" s="7"/>
      <c r="G3028" s="5" t="str">
        <f t="shared" si="1"/>
        <v>24, 24, SMEARGLE</v>
      </c>
      <c r="I3028" s="5" t="s">
        <v>3700</v>
      </c>
    </row>
    <row r="3029" ht="12.75" customHeight="1">
      <c r="A3029" s="5">
        <v>0.05</v>
      </c>
      <c r="B3029" s="5">
        <v>0.05</v>
      </c>
      <c r="C3029" s="7"/>
      <c r="D3029" s="7"/>
      <c r="E3029" s="7"/>
      <c r="G3029" s="5">
        <f t="shared" si="1"/>
        <v>0.05</v>
      </c>
      <c r="I3029" s="5">
        <v>0.05</v>
      </c>
    </row>
    <row r="3030" ht="12.75" customHeight="1">
      <c r="A3030" s="5" t="s">
        <v>3703</v>
      </c>
      <c r="B3030" s="7">
        <v>28.0</v>
      </c>
      <c r="C3030" s="7">
        <v>28.0</v>
      </c>
      <c r="D3030" s="7" t="s">
        <v>3970</v>
      </c>
      <c r="E3030" s="7"/>
      <c r="G3030" s="5" t="str">
        <f t="shared" si="1"/>
        <v>28, 28, SMEARGLE</v>
      </c>
      <c r="I3030" s="5" t="s">
        <v>3703</v>
      </c>
    </row>
    <row r="3031" ht="12.75" customHeight="1">
      <c r="A3031" s="5" t="s">
        <v>3704</v>
      </c>
      <c r="B3031" s="7">
        <v>18.0</v>
      </c>
      <c r="C3031" s="7">
        <v>18.0</v>
      </c>
      <c r="D3031" s="7" t="s">
        <v>3970</v>
      </c>
      <c r="E3031" s="7"/>
      <c r="G3031" s="5" t="str">
        <f t="shared" si="1"/>
        <v>18, 18, SMEARGLE</v>
      </c>
      <c r="I3031" s="5" t="s">
        <v>3704</v>
      </c>
    </row>
    <row r="3032" ht="12.75" customHeight="1">
      <c r="A3032" s="5">
        <v>0.04</v>
      </c>
      <c r="B3032" s="5">
        <v>0.04</v>
      </c>
      <c r="C3032" s="7"/>
      <c r="D3032" s="7"/>
      <c r="E3032" s="7"/>
      <c r="G3032" s="5">
        <f t="shared" si="1"/>
        <v>0.04</v>
      </c>
      <c r="I3032" s="5">
        <v>0.04</v>
      </c>
    </row>
    <row r="3033" ht="12.75" customHeight="1">
      <c r="A3033" s="5" t="s">
        <v>3701</v>
      </c>
      <c r="B3033" s="7">
        <v>20.0</v>
      </c>
      <c r="C3033" s="7">
        <v>20.0</v>
      </c>
      <c r="D3033" s="7" t="s">
        <v>3970</v>
      </c>
      <c r="E3033" s="7"/>
      <c r="G3033" s="5" t="str">
        <f t="shared" si="1"/>
        <v>20, 20, SMEARGLE</v>
      </c>
      <c r="I3033" s="5" t="s">
        <v>3701</v>
      </c>
    </row>
    <row r="3034" ht="12.75" customHeight="1">
      <c r="A3034" s="5" t="s">
        <v>3702</v>
      </c>
      <c r="B3034" s="7">
        <v>26.0</v>
      </c>
      <c r="C3034" s="7">
        <v>26.0</v>
      </c>
      <c r="D3034" s="7" t="s">
        <v>3970</v>
      </c>
      <c r="E3034" s="7"/>
      <c r="G3034" s="5" t="str">
        <f t="shared" si="1"/>
        <v>26, 26, SMEARGLE</v>
      </c>
      <c r="I3034" s="5" t="s">
        <v>3702</v>
      </c>
    </row>
    <row r="3035" ht="12.75" customHeight="1">
      <c r="A3035" s="5">
        <v>0.01</v>
      </c>
      <c r="B3035" s="5">
        <v>0.01</v>
      </c>
      <c r="C3035" s="7"/>
      <c r="D3035" s="7"/>
      <c r="E3035" s="7"/>
      <c r="G3035" s="5">
        <f t="shared" si="1"/>
        <v>0.01</v>
      </c>
      <c r="I3035" s="5">
        <v>0.01</v>
      </c>
    </row>
    <row r="3036" ht="12.75" customHeight="1">
      <c r="A3036" s="5" t="s">
        <v>3701</v>
      </c>
      <c r="B3036" s="7">
        <v>20.0</v>
      </c>
      <c r="C3036" s="7">
        <v>20.0</v>
      </c>
      <c r="D3036" s="7" t="s">
        <v>3970</v>
      </c>
      <c r="E3036" s="7"/>
      <c r="G3036" s="5" t="str">
        <f t="shared" si="1"/>
        <v>20, 20, SMEARGLE</v>
      </c>
      <c r="I3036" s="5" t="s">
        <v>3701</v>
      </c>
    </row>
    <row r="3037" ht="12.75" customHeight="1">
      <c r="A3037" s="5" t="s">
        <v>3702</v>
      </c>
      <c r="B3037" s="7">
        <v>26.0</v>
      </c>
      <c r="C3037" s="7">
        <v>26.0</v>
      </c>
      <c r="D3037" s="7" t="s">
        <v>3970</v>
      </c>
      <c r="E3037" s="7"/>
      <c r="G3037" s="5" t="str">
        <f t="shared" si="1"/>
        <v>26, 26, SMEARGLE</v>
      </c>
      <c r="I3037" s="5" t="s">
        <v>3702</v>
      </c>
    </row>
  </sheetData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36.38"/>
    <col customWidth="1" min="2" max="6" width="8.63"/>
    <col customWidth="1" min="7" max="7" width="42.75"/>
    <col customWidth="1" min="8" max="8" width="8.0"/>
    <col customWidth="1" min="9" max="9" width="11.25"/>
  </cols>
  <sheetData>
    <row r="1" ht="12.75" customHeight="1">
      <c r="A1" s="5" t="s">
        <v>3971</v>
      </c>
      <c r="B1" s="8" t="s">
        <v>3972</v>
      </c>
      <c r="C1" s="1" t="s">
        <v>3973</v>
      </c>
      <c r="D1" s="1" t="s">
        <v>3974</v>
      </c>
    </row>
    <row r="2" ht="12.75" customHeight="1">
      <c r="A2" s="5" t="s">
        <v>2539</v>
      </c>
      <c r="G2" s="1" t="s">
        <v>2000</v>
      </c>
      <c r="H2" s="1" t="s">
        <v>1999</v>
      </c>
      <c r="I2" s="1" t="s">
        <v>2801</v>
      </c>
    </row>
    <row r="3" ht="12.75" customHeight="1">
      <c r="A3" s="5" t="s">
        <v>1396</v>
      </c>
      <c r="G3" s="1" t="s">
        <v>2002</v>
      </c>
      <c r="H3" s="1" t="s">
        <v>2001</v>
      </c>
      <c r="I3" s="1" t="s">
        <v>2801</v>
      </c>
    </row>
    <row r="4" ht="12.75" customHeight="1">
      <c r="A4" s="5">
        <v>0.2</v>
      </c>
      <c r="G4" s="1" t="s">
        <v>2004</v>
      </c>
      <c r="H4" s="1" t="s">
        <v>2003</v>
      </c>
      <c r="I4" s="1" t="s">
        <v>2801</v>
      </c>
    </row>
    <row r="5" ht="12.75" customHeight="1">
      <c r="A5" s="5" t="s">
        <v>372</v>
      </c>
      <c r="G5" s="1" t="s">
        <v>2006</v>
      </c>
      <c r="H5" s="1" t="s">
        <v>2005</v>
      </c>
      <c r="I5" s="1" t="s">
        <v>2801</v>
      </c>
    </row>
    <row r="6" ht="12.75" customHeight="1">
      <c r="A6" s="5" t="s">
        <v>2800</v>
      </c>
      <c r="G6" s="1" t="s">
        <v>2008</v>
      </c>
      <c r="H6" s="1" t="s">
        <v>2007</v>
      </c>
      <c r="I6" s="1" t="s">
        <v>2801</v>
      </c>
    </row>
    <row r="7" ht="12.75" customHeight="1">
      <c r="A7" s="5">
        <v>0.1</v>
      </c>
      <c r="G7" s="1" t="s">
        <v>2010</v>
      </c>
      <c r="H7" s="1" t="s">
        <v>2009</v>
      </c>
      <c r="I7" s="1" t="s">
        <v>2801</v>
      </c>
    </row>
    <row r="8" ht="12.75" customHeight="1">
      <c r="A8" s="5" t="s">
        <v>2803</v>
      </c>
      <c r="G8" s="1" t="s">
        <v>2012</v>
      </c>
      <c r="H8" s="1" t="s">
        <v>2011</v>
      </c>
      <c r="I8" s="1" t="s">
        <v>2801</v>
      </c>
    </row>
    <row r="9" ht="12.75" customHeight="1">
      <c r="A9" s="5" t="s">
        <v>2804</v>
      </c>
      <c r="G9" s="1" t="s">
        <v>1396</v>
      </c>
      <c r="H9" s="1" t="s">
        <v>1395</v>
      </c>
      <c r="I9" s="1" t="s">
        <v>2801</v>
      </c>
    </row>
    <row r="10" ht="12.75" customHeight="1">
      <c r="A10" s="5" t="s">
        <v>2805</v>
      </c>
      <c r="G10" s="1" t="s">
        <v>1400</v>
      </c>
      <c r="H10" s="1" t="s">
        <v>1399</v>
      </c>
      <c r="I10" s="1" t="s">
        <v>2801</v>
      </c>
    </row>
    <row r="11" ht="12.75" customHeight="1">
      <c r="A11" s="5" t="s">
        <v>2806</v>
      </c>
      <c r="G11" s="1" t="s">
        <v>1405</v>
      </c>
      <c r="H11" s="1" t="s">
        <v>1404</v>
      </c>
      <c r="I11" s="1" t="s">
        <v>2801</v>
      </c>
    </row>
    <row r="12" ht="12.75" customHeight="1">
      <c r="A12" s="5">
        <v>0.05</v>
      </c>
      <c r="G12" s="1" t="s">
        <v>1408</v>
      </c>
      <c r="H12" s="1" t="s">
        <v>1407</v>
      </c>
      <c r="I12" s="1" t="s">
        <v>2801</v>
      </c>
    </row>
    <row r="13" ht="12.75" customHeight="1">
      <c r="A13" s="5" t="s">
        <v>2808</v>
      </c>
      <c r="G13" s="1" t="s">
        <v>1411</v>
      </c>
      <c r="H13" s="1" t="s">
        <v>1410</v>
      </c>
      <c r="I13" s="9" t="s">
        <v>1417</v>
      </c>
    </row>
    <row r="14" ht="12.75" customHeight="1">
      <c r="A14" s="5" t="s">
        <v>2809</v>
      </c>
      <c r="G14" s="1" t="s">
        <v>1563</v>
      </c>
      <c r="H14" s="1" t="s">
        <v>1562</v>
      </c>
      <c r="I14" s="1" t="s">
        <v>2801</v>
      </c>
    </row>
    <row r="15" ht="12.75" customHeight="1">
      <c r="A15" s="5">
        <v>0.04</v>
      </c>
      <c r="G15" s="1" t="s">
        <v>1572</v>
      </c>
      <c r="H15" s="1" t="s">
        <v>1571</v>
      </c>
      <c r="I15" s="1" t="s">
        <v>2801</v>
      </c>
    </row>
    <row r="16" ht="12.75" customHeight="1">
      <c r="A16" s="5" t="s">
        <v>2811</v>
      </c>
      <c r="G16" s="1" t="s">
        <v>1577</v>
      </c>
      <c r="H16" s="1" t="s">
        <v>1576</v>
      </c>
      <c r="I16" s="1" t="s">
        <v>2801</v>
      </c>
    </row>
    <row r="17" ht="12.75" customHeight="1">
      <c r="A17" s="5" t="s">
        <v>2812</v>
      </c>
      <c r="G17" s="1" t="s">
        <v>1582</v>
      </c>
      <c r="H17" s="1" t="s">
        <v>1581</v>
      </c>
      <c r="I17" s="1" t="s">
        <v>2801</v>
      </c>
    </row>
    <row r="18" ht="12.75" customHeight="1">
      <c r="A18" s="5">
        <v>0.01</v>
      </c>
      <c r="G18" s="1" t="s">
        <v>1663</v>
      </c>
      <c r="H18" s="1" t="s">
        <v>1662</v>
      </c>
      <c r="I18" s="1" t="s">
        <v>2801</v>
      </c>
    </row>
    <row r="19" ht="12.75" customHeight="1">
      <c r="A19" s="5" t="s">
        <v>2814</v>
      </c>
      <c r="G19" s="1" t="s">
        <v>1667</v>
      </c>
      <c r="H19" s="1" t="s">
        <v>1666</v>
      </c>
      <c r="I19" s="1" t="s">
        <v>2801</v>
      </c>
    </row>
    <row r="20" ht="12.75" customHeight="1">
      <c r="A20" s="5" t="s">
        <v>3706</v>
      </c>
      <c r="G20" s="1" t="s">
        <v>1671</v>
      </c>
      <c r="H20" s="1" t="s">
        <v>1670</v>
      </c>
      <c r="I20" s="1" t="s">
        <v>2801</v>
      </c>
    </row>
    <row r="21" ht="12.75" customHeight="1">
      <c r="A21" s="5" t="s">
        <v>2539</v>
      </c>
      <c r="G21" s="1" t="s">
        <v>1675</v>
      </c>
      <c r="H21" s="1" t="s">
        <v>1674</v>
      </c>
      <c r="I21" s="1" t="s">
        <v>2801</v>
      </c>
    </row>
    <row r="22" ht="12.75" customHeight="1">
      <c r="A22" s="5" t="s">
        <v>1400</v>
      </c>
      <c r="G22" s="1" t="s">
        <v>1679</v>
      </c>
      <c r="H22" s="1" t="s">
        <v>1678</v>
      </c>
      <c r="I22" s="1" t="s">
        <v>1455</v>
      </c>
    </row>
    <row r="23" ht="12.75" customHeight="1">
      <c r="A23" s="5">
        <v>0.2</v>
      </c>
      <c r="G23" s="1" t="s">
        <v>1683</v>
      </c>
      <c r="H23" s="1" t="s">
        <v>1682</v>
      </c>
      <c r="I23" s="1" t="s">
        <v>1461</v>
      </c>
    </row>
    <row r="24" ht="12.75" customHeight="1">
      <c r="A24" s="5" t="s">
        <v>385</v>
      </c>
      <c r="G24" s="1" t="s">
        <v>1690</v>
      </c>
      <c r="H24" s="1" t="s">
        <v>1689</v>
      </c>
      <c r="I24" s="1" t="s">
        <v>1467</v>
      </c>
    </row>
    <row r="25" ht="12.75" customHeight="1">
      <c r="A25" s="5" t="s">
        <v>385</v>
      </c>
      <c r="G25" s="1" t="s">
        <v>1696</v>
      </c>
      <c r="H25" s="1" t="s">
        <v>1695</v>
      </c>
      <c r="I25" s="1" t="s">
        <v>1473</v>
      </c>
    </row>
    <row r="26" ht="12.75" customHeight="1">
      <c r="A26" s="5">
        <v>0.1</v>
      </c>
      <c r="G26" s="1" t="s">
        <v>1728</v>
      </c>
      <c r="H26" s="1" t="s">
        <v>1727</v>
      </c>
      <c r="I26" s="1" t="s">
        <v>1479</v>
      </c>
    </row>
    <row r="27" ht="12.75" customHeight="1">
      <c r="A27" s="5" t="s">
        <v>394</v>
      </c>
      <c r="G27" s="1" t="s">
        <v>1734</v>
      </c>
      <c r="H27" s="1" t="s">
        <v>1733</v>
      </c>
      <c r="I27" s="1" t="s">
        <v>2801</v>
      </c>
    </row>
    <row r="28" ht="12.75" customHeight="1">
      <c r="A28" s="5" t="s">
        <v>394</v>
      </c>
      <c r="G28" s="1" t="s">
        <v>1739</v>
      </c>
      <c r="H28" s="1" t="s">
        <v>1738</v>
      </c>
      <c r="I28" s="1" t="s">
        <v>1489</v>
      </c>
    </row>
    <row r="29" ht="12.75" customHeight="1">
      <c r="A29" s="5" t="s">
        <v>2818</v>
      </c>
      <c r="G29" s="1" t="s">
        <v>1768</v>
      </c>
      <c r="H29" s="1" t="s">
        <v>1767</v>
      </c>
      <c r="I29" s="1" t="s">
        <v>2801</v>
      </c>
    </row>
    <row r="30" ht="12.75" customHeight="1">
      <c r="A30" s="5" t="s">
        <v>2818</v>
      </c>
      <c r="G30" s="1" t="s">
        <v>1771</v>
      </c>
      <c r="H30" s="1" t="s">
        <v>1770</v>
      </c>
      <c r="I30" s="1" t="s">
        <v>2801</v>
      </c>
    </row>
    <row r="31" ht="12.75" customHeight="1">
      <c r="A31" s="5">
        <v>0.05</v>
      </c>
      <c r="G31" s="1" t="s">
        <v>1774</v>
      </c>
      <c r="H31" s="1" t="s">
        <v>1773</v>
      </c>
      <c r="I31" s="1" t="s">
        <v>2801</v>
      </c>
    </row>
    <row r="32" ht="12.75" customHeight="1">
      <c r="A32" s="5" t="s">
        <v>2819</v>
      </c>
      <c r="G32" s="1" t="s">
        <v>1777</v>
      </c>
      <c r="H32" s="1" t="s">
        <v>1776</v>
      </c>
      <c r="I32" s="1" t="s">
        <v>2801</v>
      </c>
    </row>
    <row r="33" ht="12.75" customHeight="1">
      <c r="A33" s="5" t="s">
        <v>2819</v>
      </c>
      <c r="G33" s="1" t="s">
        <v>1782</v>
      </c>
      <c r="H33" s="1" t="s">
        <v>1781</v>
      </c>
      <c r="I33" s="1" t="s">
        <v>2801</v>
      </c>
    </row>
    <row r="34" ht="12.75" customHeight="1">
      <c r="A34" s="5">
        <v>0.04</v>
      </c>
      <c r="G34" s="1" t="s">
        <v>1785</v>
      </c>
      <c r="H34" s="1" t="s">
        <v>1784</v>
      </c>
      <c r="I34" s="1" t="s">
        <v>1516</v>
      </c>
    </row>
    <row r="35" ht="12.75" customHeight="1">
      <c r="A35" s="5" t="s">
        <v>2820</v>
      </c>
      <c r="G35" s="1" t="s">
        <v>1790</v>
      </c>
      <c r="H35" s="1" t="s">
        <v>1789</v>
      </c>
      <c r="I35" s="1" t="s">
        <v>1522</v>
      </c>
    </row>
    <row r="36" ht="12.75" customHeight="1">
      <c r="A36" s="5" t="s">
        <v>2820</v>
      </c>
      <c r="G36" s="1" t="s">
        <v>1799</v>
      </c>
      <c r="H36" s="1" t="s">
        <v>1798</v>
      </c>
      <c r="I36" s="1" t="s">
        <v>2801</v>
      </c>
    </row>
    <row r="37" ht="12.75" customHeight="1">
      <c r="A37" s="5">
        <v>0.01</v>
      </c>
      <c r="G37" s="1" t="s">
        <v>1804</v>
      </c>
      <c r="H37" s="1" t="s">
        <v>1803</v>
      </c>
      <c r="I37" s="1" t="s">
        <v>2801</v>
      </c>
    </row>
    <row r="38" ht="12.75" customHeight="1">
      <c r="A38" s="5" t="s">
        <v>2821</v>
      </c>
      <c r="G38" s="1" t="s">
        <v>1809</v>
      </c>
      <c r="H38" s="1" t="s">
        <v>1808</v>
      </c>
      <c r="I38" s="1" t="s">
        <v>2801</v>
      </c>
    </row>
    <row r="39" ht="12.75" customHeight="1">
      <c r="A39" s="5" t="s">
        <v>3707</v>
      </c>
      <c r="G39" s="1" t="s">
        <v>1814</v>
      </c>
      <c r="H39" s="1" t="s">
        <v>1813</v>
      </c>
      <c r="I39" s="1" t="s">
        <v>2801</v>
      </c>
    </row>
    <row r="40" ht="12.75" customHeight="1">
      <c r="A40" s="5" t="s">
        <v>2539</v>
      </c>
      <c r="G40" s="1" t="s">
        <v>1819</v>
      </c>
      <c r="H40" s="1" t="s">
        <v>1818</v>
      </c>
      <c r="I40" s="1" t="s">
        <v>2801</v>
      </c>
    </row>
    <row r="41" ht="12.75" customHeight="1">
      <c r="A41" s="5" t="s">
        <v>1405</v>
      </c>
      <c r="G41" s="1" t="s">
        <v>1822</v>
      </c>
      <c r="H41" s="1" t="s">
        <v>1821</v>
      </c>
      <c r="I41" s="1" t="s">
        <v>2801</v>
      </c>
    </row>
    <row r="42" ht="12.75" customHeight="1">
      <c r="A42" s="5">
        <v>0.2</v>
      </c>
      <c r="G42" s="1" t="s">
        <v>1829</v>
      </c>
      <c r="H42" s="1" t="s">
        <v>1828</v>
      </c>
      <c r="I42" s="1" t="s">
        <v>2801</v>
      </c>
    </row>
    <row r="43" ht="12.75" customHeight="1">
      <c r="A43" s="5" t="s">
        <v>394</v>
      </c>
      <c r="G43" s="1" t="s">
        <v>1833</v>
      </c>
      <c r="H43" s="1" t="s">
        <v>1832</v>
      </c>
      <c r="I43" s="1" t="s">
        <v>2801</v>
      </c>
    </row>
    <row r="44" ht="12.75" customHeight="1">
      <c r="A44" s="5" t="s">
        <v>394</v>
      </c>
      <c r="G44" s="1" t="s">
        <v>1837</v>
      </c>
      <c r="H44" s="1" t="s">
        <v>1836</v>
      </c>
      <c r="I44" s="1" t="s">
        <v>2801</v>
      </c>
    </row>
    <row r="45" ht="12.75" customHeight="1">
      <c r="A45" s="5">
        <v>0.1</v>
      </c>
      <c r="G45" s="1" t="s">
        <v>1841</v>
      </c>
      <c r="H45" s="1" t="s">
        <v>1840</v>
      </c>
      <c r="I45" s="1" t="s">
        <v>2801</v>
      </c>
    </row>
    <row r="46" ht="12.75" customHeight="1">
      <c r="A46" s="5" t="s">
        <v>2825</v>
      </c>
      <c r="G46" s="1" t="s">
        <v>1856</v>
      </c>
      <c r="H46" s="1" t="s">
        <v>1855</v>
      </c>
      <c r="I46" s="1" t="s">
        <v>2801</v>
      </c>
    </row>
    <row r="47" ht="12.75" customHeight="1">
      <c r="A47" s="5" t="s">
        <v>2825</v>
      </c>
      <c r="G47" s="1" t="s">
        <v>1861</v>
      </c>
      <c r="H47" s="1" t="s">
        <v>1860</v>
      </c>
      <c r="I47" s="1" t="s">
        <v>2801</v>
      </c>
    </row>
    <row r="48" ht="12.75" customHeight="1">
      <c r="A48" s="5" t="s">
        <v>2826</v>
      </c>
      <c r="G48" s="1" t="s">
        <v>1867</v>
      </c>
      <c r="H48" s="1" t="s">
        <v>1866</v>
      </c>
      <c r="I48" s="1" t="s">
        <v>2801</v>
      </c>
    </row>
    <row r="49" ht="12.75" customHeight="1">
      <c r="A49" s="5" t="s">
        <v>2826</v>
      </c>
      <c r="G49" s="1" t="s">
        <v>1873</v>
      </c>
      <c r="H49" s="1" t="s">
        <v>1872</v>
      </c>
      <c r="I49" s="1" t="s">
        <v>2801</v>
      </c>
    </row>
    <row r="50" ht="12.75" customHeight="1">
      <c r="A50" s="5">
        <v>0.05</v>
      </c>
      <c r="G50" s="1" t="s">
        <v>1879</v>
      </c>
      <c r="H50" s="1" t="s">
        <v>1878</v>
      </c>
      <c r="I50" s="1" t="s">
        <v>2801</v>
      </c>
    </row>
    <row r="51" ht="12.75" customHeight="1">
      <c r="A51" s="5" t="s">
        <v>2827</v>
      </c>
      <c r="G51" s="1" t="s">
        <v>1883</v>
      </c>
      <c r="H51" s="1" t="s">
        <v>1882</v>
      </c>
      <c r="I51" s="1" t="s">
        <v>2801</v>
      </c>
    </row>
    <row r="52" ht="12.75" customHeight="1">
      <c r="A52" s="5" t="s">
        <v>2827</v>
      </c>
      <c r="G52" s="1" t="s">
        <v>1887</v>
      </c>
      <c r="H52" s="1" t="s">
        <v>1886</v>
      </c>
      <c r="I52" s="1" t="s">
        <v>1600</v>
      </c>
    </row>
    <row r="53" ht="12.75" customHeight="1">
      <c r="A53" s="5">
        <v>0.04</v>
      </c>
      <c r="G53" s="1" t="s">
        <v>1891</v>
      </c>
      <c r="H53" s="1" t="s">
        <v>1890</v>
      </c>
      <c r="I53" s="1" t="s">
        <v>1606</v>
      </c>
    </row>
    <row r="54" ht="12.75" customHeight="1">
      <c r="A54" s="5" t="s">
        <v>2828</v>
      </c>
      <c r="G54" s="1" t="s">
        <v>1896</v>
      </c>
      <c r="H54" s="1" t="s">
        <v>1895</v>
      </c>
      <c r="I54" s="1" t="s">
        <v>2801</v>
      </c>
    </row>
    <row r="55" ht="12.75" customHeight="1">
      <c r="A55" s="5" t="s">
        <v>2828</v>
      </c>
      <c r="G55" s="1" t="s">
        <v>1901</v>
      </c>
      <c r="H55" s="1" t="s">
        <v>1900</v>
      </c>
      <c r="I55" s="1" t="s">
        <v>2801</v>
      </c>
    </row>
    <row r="56" ht="12.75" customHeight="1">
      <c r="A56" s="5">
        <v>0.01</v>
      </c>
      <c r="G56" s="1" t="s">
        <v>1906</v>
      </c>
      <c r="H56" s="1" t="s">
        <v>1905</v>
      </c>
      <c r="I56" s="1" t="s">
        <v>1620</v>
      </c>
    </row>
    <row r="57" ht="12.75" customHeight="1">
      <c r="A57" s="5" t="s">
        <v>2829</v>
      </c>
      <c r="G57" s="1" t="s">
        <v>1937</v>
      </c>
      <c r="H57" s="1" t="s">
        <v>1936</v>
      </c>
      <c r="I57" s="1" t="s">
        <v>2801</v>
      </c>
    </row>
    <row r="58" ht="12.75" customHeight="1">
      <c r="A58" s="5" t="s">
        <v>3708</v>
      </c>
      <c r="G58" s="1" t="s">
        <v>1972</v>
      </c>
      <c r="H58" s="1" t="s">
        <v>1971</v>
      </c>
      <c r="I58" s="1" t="s">
        <v>2801</v>
      </c>
    </row>
    <row r="59" ht="12.75" customHeight="1">
      <c r="A59" s="5" t="s">
        <v>2539</v>
      </c>
      <c r="G59" s="1" t="s">
        <v>1974</v>
      </c>
      <c r="H59" s="1" t="s">
        <v>1973</v>
      </c>
      <c r="I59" s="1" t="s">
        <v>2801</v>
      </c>
    </row>
    <row r="60" ht="12.75" customHeight="1">
      <c r="A60" s="5" t="s">
        <v>1408</v>
      </c>
      <c r="G60" s="1" t="s">
        <v>1976</v>
      </c>
      <c r="H60" s="1" t="s">
        <v>1975</v>
      </c>
      <c r="I60" s="1" t="s">
        <v>2801</v>
      </c>
    </row>
    <row r="61" ht="12.75" customHeight="1">
      <c r="A61" s="5">
        <v>0.2</v>
      </c>
      <c r="G61" s="1" t="s">
        <v>1978</v>
      </c>
      <c r="H61" s="1" t="s">
        <v>1977</v>
      </c>
      <c r="I61" s="1" t="s">
        <v>2801</v>
      </c>
    </row>
    <row r="62" ht="12.75" customHeight="1">
      <c r="A62" s="5" t="s">
        <v>402</v>
      </c>
      <c r="G62" s="1" t="s">
        <v>1980</v>
      </c>
      <c r="H62" s="1" t="s">
        <v>1979</v>
      </c>
      <c r="I62" s="1" t="s">
        <v>2801</v>
      </c>
    </row>
    <row r="63" ht="12.75" customHeight="1">
      <c r="A63" s="5" t="s">
        <v>402</v>
      </c>
      <c r="G63" s="1" t="s">
        <v>1982</v>
      </c>
      <c r="H63" s="1" t="s">
        <v>1981</v>
      </c>
      <c r="I63" s="1" t="s">
        <v>2801</v>
      </c>
    </row>
    <row r="64" ht="12.75" customHeight="1">
      <c r="A64" s="5">
        <v>0.1</v>
      </c>
      <c r="G64" s="1" t="s">
        <v>1984</v>
      </c>
      <c r="H64" s="1" t="s">
        <v>1983</v>
      </c>
      <c r="I64" s="1" t="s">
        <v>2801</v>
      </c>
    </row>
    <row r="65" ht="12.75" customHeight="1">
      <c r="A65" s="5" t="s">
        <v>2832</v>
      </c>
      <c r="G65" s="1" t="s">
        <v>1986</v>
      </c>
      <c r="H65" s="1" t="s">
        <v>1985</v>
      </c>
      <c r="I65" s="1" t="s">
        <v>2801</v>
      </c>
    </row>
    <row r="66" ht="12.75" customHeight="1">
      <c r="A66" s="5" t="s">
        <v>2833</v>
      </c>
      <c r="G66" s="1" t="s">
        <v>1988</v>
      </c>
      <c r="H66" s="1" t="s">
        <v>1987</v>
      </c>
      <c r="I66" s="1" t="s">
        <v>2801</v>
      </c>
    </row>
    <row r="67" ht="12.75" customHeight="1">
      <c r="A67" s="5" t="s">
        <v>2833</v>
      </c>
      <c r="G67" s="1" t="s">
        <v>1990</v>
      </c>
      <c r="H67" s="1" t="s">
        <v>1989</v>
      </c>
      <c r="I67" s="1" t="s">
        <v>2801</v>
      </c>
    </row>
    <row r="68" ht="12.75" customHeight="1">
      <c r="A68" s="5" t="s">
        <v>2834</v>
      </c>
      <c r="G68" s="1" t="s">
        <v>1992</v>
      </c>
      <c r="H68" s="1" t="s">
        <v>1991</v>
      </c>
      <c r="I68" s="1" t="s">
        <v>2801</v>
      </c>
    </row>
    <row r="69" ht="12.75" customHeight="1">
      <c r="A69" s="5">
        <v>0.05</v>
      </c>
      <c r="G69" s="1" t="s">
        <v>1994</v>
      </c>
      <c r="H69" s="1" t="s">
        <v>1993</v>
      </c>
      <c r="I69" s="1" t="s">
        <v>2801</v>
      </c>
    </row>
    <row r="70" ht="12.75" customHeight="1">
      <c r="A70" s="5" t="s">
        <v>2835</v>
      </c>
      <c r="G70" s="1" t="s">
        <v>1996</v>
      </c>
      <c r="H70" s="1" t="s">
        <v>1995</v>
      </c>
      <c r="I70" s="1" t="s">
        <v>2801</v>
      </c>
    </row>
    <row r="71" ht="12.75" customHeight="1">
      <c r="A71" s="5" t="s">
        <v>2835</v>
      </c>
      <c r="G71" s="1" t="s">
        <v>1998</v>
      </c>
      <c r="H71" s="1" t="s">
        <v>1997</v>
      </c>
      <c r="I71" s="1" t="s">
        <v>2801</v>
      </c>
    </row>
    <row r="72" ht="12.75" customHeight="1">
      <c r="A72" s="5">
        <v>0.04</v>
      </c>
      <c r="G72" s="1" t="s">
        <v>2156</v>
      </c>
      <c r="H72" s="1" t="s">
        <v>2155</v>
      </c>
      <c r="I72" s="1" t="s">
        <v>1686</v>
      </c>
    </row>
    <row r="73" ht="12.75" customHeight="1">
      <c r="A73" s="5" t="s">
        <v>2836</v>
      </c>
      <c r="G73" s="1" t="s">
        <v>2158</v>
      </c>
      <c r="H73" s="1" t="s">
        <v>2157</v>
      </c>
      <c r="I73" s="1" t="s">
        <v>1693</v>
      </c>
    </row>
    <row r="74" ht="12.75" customHeight="1">
      <c r="A74" s="5" t="s">
        <v>2837</v>
      </c>
      <c r="G74" s="1" t="s">
        <v>2160</v>
      </c>
      <c r="H74" s="1" t="s">
        <v>2159</v>
      </c>
      <c r="I74" s="1" t="s">
        <v>1699</v>
      </c>
    </row>
    <row r="75" ht="12.75" customHeight="1">
      <c r="A75" s="5">
        <v>0.01</v>
      </c>
      <c r="G75" s="1" t="s">
        <v>2162</v>
      </c>
      <c r="H75" s="1" t="s">
        <v>2161</v>
      </c>
      <c r="I75" s="1" t="s">
        <v>1705</v>
      </c>
    </row>
    <row r="76" ht="12.75" customHeight="1">
      <c r="A76" s="5" t="s">
        <v>2838</v>
      </c>
      <c r="G76" s="1" t="s">
        <v>2164</v>
      </c>
      <c r="H76" s="1" t="s">
        <v>2163</v>
      </c>
      <c r="I76" s="1" t="s">
        <v>2801</v>
      </c>
    </row>
    <row r="77" ht="12.75" customHeight="1">
      <c r="A77" s="5" t="s">
        <v>3709</v>
      </c>
      <c r="G77" s="1" t="s">
        <v>2174</v>
      </c>
      <c r="H77" s="1" t="s">
        <v>2173</v>
      </c>
      <c r="I77" s="1" t="s">
        <v>1714</v>
      </c>
    </row>
    <row r="78" ht="12.75" customHeight="1">
      <c r="A78" s="5" t="s">
        <v>2539</v>
      </c>
      <c r="G78" s="1" t="s">
        <v>2176</v>
      </c>
      <c r="H78" s="1" t="s">
        <v>2175</v>
      </c>
      <c r="I78" s="1" t="s">
        <v>1719</v>
      </c>
    </row>
    <row r="79" ht="12.75" customHeight="1">
      <c r="A79" s="5" t="s">
        <v>3975</v>
      </c>
      <c r="G79" s="1" t="s">
        <v>2178</v>
      </c>
      <c r="H79" s="1" t="s">
        <v>2177</v>
      </c>
      <c r="I79" s="1" t="s">
        <v>1725</v>
      </c>
    </row>
    <row r="80" ht="12.75" customHeight="1">
      <c r="A80" s="5" t="s">
        <v>3976</v>
      </c>
    </row>
    <row r="81" ht="12.75" customHeight="1">
      <c r="A81" s="5" t="s">
        <v>3977</v>
      </c>
      <c r="G81" s="1" t="s">
        <v>2180</v>
      </c>
      <c r="H81" s="1" t="s">
        <v>2179</v>
      </c>
      <c r="I81" s="1" t="s">
        <v>1731</v>
      </c>
    </row>
    <row r="82" ht="12.75" customHeight="1">
      <c r="A82" s="5" t="s">
        <v>2842</v>
      </c>
      <c r="G82" s="1" t="s">
        <v>2182</v>
      </c>
      <c r="H82" s="1" t="s">
        <v>2181</v>
      </c>
      <c r="I82" s="1" t="s">
        <v>1736</v>
      </c>
    </row>
    <row r="83" ht="12.75" customHeight="1">
      <c r="A83" s="5" t="s">
        <v>2843</v>
      </c>
      <c r="G83" s="1" t="s">
        <v>2184</v>
      </c>
      <c r="H83" s="1" t="s">
        <v>2183</v>
      </c>
      <c r="I83" s="1" t="s">
        <v>1740</v>
      </c>
    </row>
    <row r="84" ht="12.75" customHeight="1">
      <c r="A84" s="5" t="s">
        <v>2844</v>
      </c>
      <c r="G84" s="1" t="s">
        <v>2186</v>
      </c>
      <c r="H84" s="1" t="s">
        <v>2185</v>
      </c>
      <c r="I84" s="1" t="s">
        <v>1745</v>
      </c>
    </row>
    <row r="85" ht="12.75" customHeight="1">
      <c r="A85" s="5" t="s">
        <v>2845</v>
      </c>
      <c r="G85" s="1" t="s">
        <v>2188</v>
      </c>
      <c r="H85" s="1" t="s">
        <v>2187</v>
      </c>
      <c r="I85" s="1" t="s">
        <v>1750</v>
      </c>
    </row>
    <row r="86" ht="12.75" customHeight="1">
      <c r="A86" s="5" t="s">
        <v>3978</v>
      </c>
      <c r="G86" s="1" t="s">
        <v>2190</v>
      </c>
      <c r="H86" s="1" t="s">
        <v>2189</v>
      </c>
      <c r="I86" s="1" t="s">
        <v>1754</v>
      </c>
    </row>
    <row r="87" ht="12.75" customHeight="1">
      <c r="A87" s="5" t="s">
        <v>417</v>
      </c>
      <c r="G87" s="1" t="s">
        <v>2192</v>
      </c>
      <c r="H87" s="1" t="s">
        <v>2191</v>
      </c>
      <c r="I87" s="1" t="s">
        <v>2801</v>
      </c>
    </row>
    <row r="88" ht="12.75" customHeight="1">
      <c r="A88" s="5" t="s">
        <v>417</v>
      </c>
      <c r="G88" s="1" t="s">
        <v>2194</v>
      </c>
      <c r="H88" s="1" t="s">
        <v>2193</v>
      </c>
      <c r="I88" s="1" t="s">
        <v>2801</v>
      </c>
    </row>
    <row r="89" ht="12.75" customHeight="1">
      <c r="A89" s="5" t="s">
        <v>3979</v>
      </c>
      <c r="G89" s="1" t="s">
        <v>2196</v>
      </c>
      <c r="H89" s="1" t="s">
        <v>2195</v>
      </c>
      <c r="I89" s="1" t="s">
        <v>1765</v>
      </c>
    </row>
    <row r="90" ht="12.75" customHeight="1">
      <c r="A90" s="5" t="s">
        <v>2848</v>
      </c>
      <c r="G90" s="1" t="s">
        <v>2104</v>
      </c>
      <c r="H90" s="1" t="s">
        <v>2103</v>
      </c>
      <c r="I90" s="1" t="s">
        <v>2801</v>
      </c>
    </row>
    <row r="91" ht="12.75" customHeight="1">
      <c r="A91" s="5" t="s">
        <v>2849</v>
      </c>
      <c r="G91" s="1" t="s">
        <v>2106</v>
      </c>
      <c r="H91" s="1" t="s">
        <v>2105</v>
      </c>
      <c r="I91" s="1" t="s">
        <v>2801</v>
      </c>
    </row>
    <row r="92" ht="12.75" customHeight="1">
      <c r="A92" s="5" t="s">
        <v>2850</v>
      </c>
      <c r="G92" s="1" t="s">
        <v>2108</v>
      </c>
      <c r="H92" s="1" t="s">
        <v>2107</v>
      </c>
      <c r="I92" s="1" t="s">
        <v>2801</v>
      </c>
    </row>
    <row r="93" ht="12.75" customHeight="1">
      <c r="A93" s="5" t="s">
        <v>3980</v>
      </c>
      <c r="G93" s="1" t="s">
        <v>2110</v>
      </c>
      <c r="H93" s="1" t="s">
        <v>2109</v>
      </c>
      <c r="I93" s="1" t="s">
        <v>1779</v>
      </c>
    </row>
    <row r="94" ht="12.75" customHeight="1">
      <c r="A94" s="5" t="s">
        <v>2852</v>
      </c>
      <c r="G94" s="1" t="s">
        <v>2112</v>
      </c>
      <c r="H94" s="1" t="s">
        <v>2111</v>
      </c>
      <c r="I94" s="1" t="s">
        <v>2801</v>
      </c>
    </row>
    <row r="95" ht="12.75" customHeight="1">
      <c r="A95" s="5" t="s">
        <v>2853</v>
      </c>
      <c r="G95" s="1" t="s">
        <v>2114</v>
      </c>
      <c r="H95" s="1" t="s">
        <v>2113</v>
      </c>
      <c r="I95" s="1" t="s">
        <v>1787</v>
      </c>
    </row>
    <row r="96" ht="12.75" customHeight="1">
      <c r="A96" s="5" t="s">
        <v>2854</v>
      </c>
      <c r="G96" s="1" t="s">
        <v>2116</v>
      </c>
      <c r="H96" s="1" t="s">
        <v>2115</v>
      </c>
      <c r="I96" s="1" t="s">
        <v>2801</v>
      </c>
    </row>
    <row r="97" ht="12.75" customHeight="1">
      <c r="A97" s="5" t="s">
        <v>2855</v>
      </c>
      <c r="G97" s="1" t="s">
        <v>2118</v>
      </c>
      <c r="H97" s="1" t="s">
        <v>2117</v>
      </c>
      <c r="I97" s="1" t="s">
        <v>2801</v>
      </c>
    </row>
    <row r="98" ht="12.75" customHeight="1">
      <c r="A98" s="5" t="s">
        <v>2856</v>
      </c>
      <c r="G98" s="1" t="s">
        <v>2120</v>
      </c>
      <c r="H98" s="1" t="s">
        <v>2119</v>
      </c>
      <c r="I98" s="1" t="s">
        <v>2801</v>
      </c>
    </row>
    <row r="99" ht="12.75" customHeight="1">
      <c r="A99" s="5" t="s">
        <v>2539</v>
      </c>
      <c r="G99" s="1" t="s">
        <v>2122</v>
      </c>
      <c r="H99" s="1" t="s">
        <v>2121</v>
      </c>
      <c r="I99" s="1" t="s">
        <v>1801</v>
      </c>
    </row>
    <row r="100" ht="12.75" customHeight="1">
      <c r="A100" s="5" t="s">
        <v>1563</v>
      </c>
      <c r="G100" s="1" t="s">
        <v>2124</v>
      </c>
      <c r="H100" s="1" t="s">
        <v>2123</v>
      </c>
      <c r="I100" s="1" t="s">
        <v>1806</v>
      </c>
    </row>
    <row r="101" ht="12.75" customHeight="1">
      <c r="A101" s="5">
        <v>0.2</v>
      </c>
      <c r="G101" s="1" t="s">
        <v>2126</v>
      </c>
      <c r="H101" s="1" t="s">
        <v>2125</v>
      </c>
      <c r="I101" s="1" t="s">
        <v>1811</v>
      </c>
    </row>
    <row r="102" ht="12.75" customHeight="1">
      <c r="A102" s="5" t="s">
        <v>430</v>
      </c>
      <c r="G102" s="1" t="s">
        <v>2128</v>
      </c>
      <c r="H102" s="1" t="s">
        <v>2127</v>
      </c>
      <c r="I102" s="1" t="s">
        <v>1816</v>
      </c>
    </row>
    <row r="103" ht="12.75" customHeight="1">
      <c r="A103" s="5" t="s">
        <v>2858</v>
      </c>
      <c r="G103" s="1" t="s">
        <v>2130</v>
      </c>
      <c r="H103" s="1" t="s">
        <v>2129</v>
      </c>
      <c r="I103" s="1" t="s">
        <v>2801</v>
      </c>
    </row>
    <row r="104" ht="12.75" customHeight="1">
      <c r="A104" s="5">
        <v>0.1</v>
      </c>
      <c r="G104" s="1" t="s">
        <v>2132</v>
      </c>
      <c r="H104" s="1" t="s">
        <v>2131</v>
      </c>
      <c r="I104" s="1" t="s">
        <v>2801</v>
      </c>
    </row>
    <row r="105" ht="12.75" customHeight="1">
      <c r="A105" s="5" t="s">
        <v>2859</v>
      </c>
      <c r="G105" s="1" t="s">
        <v>2134</v>
      </c>
      <c r="H105" s="1" t="s">
        <v>2133</v>
      </c>
      <c r="I105" s="1" t="s">
        <v>2801</v>
      </c>
    </row>
    <row r="106" ht="12.75" customHeight="1">
      <c r="A106" s="5" t="s">
        <v>2860</v>
      </c>
      <c r="G106" s="1" t="s">
        <v>2136</v>
      </c>
      <c r="H106" s="1" t="s">
        <v>2135</v>
      </c>
      <c r="I106" s="1" t="s">
        <v>2801</v>
      </c>
    </row>
    <row r="107" ht="12.75" customHeight="1">
      <c r="A107" s="5" t="s">
        <v>2861</v>
      </c>
      <c r="G107" s="1" t="s">
        <v>2138</v>
      </c>
      <c r="H107" s="1" t="s">
        <v>2137</v>
      </c>
      <c r="I107" s="1" t="s">
        <v>2801</v>
      </c>
    </row>
    <row r="108" ht="12.75" customHeight="1">
      <c r="A108" s="5" t="s">
        <v>2862</v>
      </c>
      <c r="G108" s="1" t="s">
        <v>2140</v>
      </c>
      <c r="H108" s="1" t="s">
        <v>2139</v>
      </c>
      <c r="I108" s="1" t="s">
        <v>1838</v>
      </c>
    </row>
    <row r="109" ht="12.75" customHeight="1">
      <c r="A109" s="5">
        <v>0.05</v>
      </c>
      <c r="G109" s="1" t="s">
        <v>2142</v>
      </c>
      <c r="H109" s="1" t="s">
        <v>2141</v>
      </c>
      <c r="I109" s="1" t="s">
        <v>1843</v>
      </c>
    </row>
    <row r="110" ht="12.75" customHeight="1">
      <c r="A110" s="5" t="s">
        <v>2863</v>
      </c>
      <c r="G110" s="1" t="s">
        <v>2144</v>
      </c>
      <c r="H110" s="1" t="s">
        <v>2143</v>
      </c>
      <c r="I110" s="1" t="s">
        <v>1848</v>
      </c>
    </row>
    <row r="111" ht="12.75" customHeight="1">
      <c r="A111" s="5" t="s">
        <v>2864</v>
      </c>
      <c r="G111" s="1" t="s">
        <v>2146</v>
      </c>
      <c r="H111" s="1" t="s">
        <v>2145</v>
      </c>
      <c r="I111" s="1" t="s">
        <v>1853</v>
      </c>
    </row>
    <row r="112" ht="12.75" customHeight="1">
      <c r="A112" s="5">
        <v>0.04</v>
      </c>
      <c r="G112" s="1" t="s">
        <v>2148</v>
      </c>
      <c r="H112" s="1" t="s">
        <v>2147</v>
      </c>
      <c r="I112" s="1" t="s">
        <v>1858</v>
      </c>
    </row>
    <row r="113" ht="12.75" customHeight="1">
      <c r="A113" s="5" t="s">
        <v>2865</v>
      </c>
      <c r="G113" s="1" t="s">
        <v>2150</v>
      </c>
      <c r="H113" s="1" t="s">
        <v>2149</v>
      </c>
      <c r="I113" s="1" t="s">
        <v>1864</v>
      </c>
    </row>
    <row r="114" ht="12.75" customHeight="1">
      <c r="A114" s="5" t="s">
        <v>2866</v>
      </c>
      <c r="G114" s="1" t="s">
        <v>2152</v>
      </c>
      <c r="H114" s="1" t="s">
        <v>2151</v>
      </c>
      <c r="I114" s="1" t="s">
        <v>1870</v>
      </c>
    </row>
    <row r="115" ht="12.75" customHeight="1">
      <c r="A115" s="5">
        <v>0.01</v>
      </c>
      <c r="G115" s="1" t="s">
        <v>2154</v>
      </c>
      <c r="H115" s="1" t="s">
        <v>2153</v>
      </c>
      <c r="I115" s="1" t="s">
        <v>1876</v>
      </c>
    </row>
    <row r="116" ht="12.75" customHeight="1">
      <c r="A116" s="5" t="s">
        <v>2867</v>
      </c>
      <c r="G116" s="1" t="s">
        <v>2066</v>
      </c>
      <c r="H116" s="1" t="s">
        <v>2065</v>
      </c>
      <c r="I116" s="1" t="s">
        <v>1880</v>
      </c>
    </row>
    <row r="117" ht="12.75" customHeight="1">
      <c r="A117" s="5" t="s">
        <v>3710</v>
      </c>
      <c r="G117" s="1" t="s">
        <v>2068</v>
      </c>
      <c r="H117" s="1" t="s">
        <v>2067</v>
      </c>
      <c r="I117" s="1" t="s">
        <v>1884</v>
      </c>
    </row>
    <row r="118" ht="12.75" customHeight="1">
      <c r="A118" s="5" t="s">
        <v>2539</v>
      </c>
      <c r="G118" s="1" t="s">
        <v>2072</v>
      </c>
      <c r="H118" s="1" t="s">
        <v>2071</v>
      </c>
      <c r="I118" s="1" t="s">
        <v>1888</v>
      </c>
    </row>
    <row r="119" ht="12.75" customHeight="1">
      <c r="A119" s="5" t="s">
        <v>1572</v>
      </c>
      <c r="G119" s="1" t="s">
        <v>2076</v>
      </c>
      <c r="H119" s="1" t="s">
        <v>2075</v>
      </c>
      <c r="I119" s="1" t="s">
        <v>1893</v>
      </c>
    </row>
    <row r="120" ht="12.75" customHeight="1">
      <c r="A120" s="5">
        <v>0.2</v>
      </c>
      <c r="G120" s="1" t="s">
        <v>2078</v>
      </c>
      <c r="H120" s="1" t="s">
        <v>2077</v>
      </c>
      <c r="I120" s="1" t="s">
        <v>1898</v>
      </c>
    </row>
    <row r="121" ht="12.75" customHeight="1">
      <c r="A121" s="5" t="s">
        <v>443</v>
      </c>
      <c r="G121" s="1" t="s">
        <v>2080</v>
      </c>
      <c r="H121" s="1" t="s">
        <v>2079</v>
      </c>
      <c r="I121" s="1" t="s">
        <v>1903</v>
      </c>
    </row>
    <row r="122" ht="12.75" customHeight="1">
      <c r="A122" s="5" t="s">
        <v>2870</v>
      </c>
      <c r="G122" s="1" t="s">
        <v>2082</v>
      </c>
      <c r="H122" s="1" t="s">
        <v>2081</v>
      </c>
      <c r="I122" s="1" t="s">
        <v>1908</v>
      </c>
    </row>
    <row r="123" ht="12.75" customHeight="1">
      <c r="A123" s="5">
        <v>0.1</v>
      </c>
      <c r="G123" s="1" t="s">
        <v>2090</v>
      </c>
      <c r="H123" s="1" t="s">
        <v>2089</v>
      </c>
      <c r="I123" s="1" t="s">
        <v>1913</v>
      </c>
    </row>
    <row r="124" ht="12.75" customHeight="1">
      <c r="A124" s="5" t="s">
        <v>2871</v>
      </c>
      <c r="G124" s="1" t="s">
        <v>2096</v>
      </c>
      <c r="H124" s="1" t="s">
        <v>2095</v>
      </c>
      <c r="I124" s="1" t="s">
        <v>1917</v>
      </c>
    </row>
    <row r="125" ht="12.75" customHeight="1">
      <c r="A125" s="5" t="s">
        <v>2872</v>
      </c>
      <c r="G125" s="1" t="s">
        <v>2098</v>
      </c>
      <c r="H125" s="1" t="s">
        <v>2097</v>
      </c>
      <c r="I125" s="1" t="s">
        <v>1921</v>
      </c>
    </row>
    <row r="126" ht="12.75" customHeight="1">
      <c r="A126" s="5" t="s">
        <v>2873</v>
      </c>
      <c r="G126" s="1" t="s">
        <v>1940</v>
      </c>
      <c r="H126" s="1" t="s">
        <v>1939</v>
      </c>
      <c r="I126" s="1" t="s">
        <v>2801</v>
      </c>
    </row>
    <row r="127" ht="12.75" customHeight="1">
      <c r="A127" s="5" t="s">
        <v>2874</v>
      </c>
      <c r="G127" s="1" t="s">
        <v>1940</v>
      </c>
      <c r="H127" s="1" t="s">
        <v>1939</v>
      </c>
      <c r="I127" s="1" t="s">
        <v>2801</v>
      </c>
    </row>
    <row r="128" ht="12.75" customHeight="1">
      <c r="A128" s="5">
        <v>0.05</v>
      </c>
      <c r="G128" s="1" t="s">
        <v>1940</v>
      </c>
      <c r="H128" s="1" t="s">
        <v>1939</v>
      </c>
      <c r="I128" s="1" t="s">
        <v>2801</v>
      </c>
    </row>
    <row r="129" ht="12.75" customHeight="1">
      <c r="A129" s="5" t="s">
        <v>2875</v>
      </c>
      <c r="G129" s="1" t="s">
        <v>1940</v>
      </c>
      <c r="H129" s="1" t="s">
        <v>1939</v>
      </c>
      <c r="I129" s="1" t="s">
        <v>2801</v>
      </c>
    </row>
    <row r="130" ht="12.75" customHeight="1">
      <c r="A130" s="5" t="s">
        <v>2876</v>
      </c>
      <c r="G130" s="1" t="s">
        <v>1940</v>
      </c>
      <c r="H130" s="1" t="s">
        <v>1939</v>
      </c>
      <c r="I130" s="1" t="s">
        <v>2801</v>
      </c>
    </row>
    <row r="131" ht="12.75" customHeight="1">
      <c r="A131" s="5">
        <v>0.04</v>
      </c>
      <c r="G131" s="1" t="s">
        <v>1940</v>
      </c>
      <c r="H131" s="1" t="s">
        <v>1939</v>
      </c>
      <c r="I131" s="1" t="s">
        <v>2801</v>
      </c>
    </row>
    <row r="132" ht="12.75" customHeight="1">
      <c r="A132" s="5" t="s">
        <v>2877</v>
      </c>
      <c r="G132" s="1" t="s">
        <v>1940</v>
      </c>
      <c r="H132" s="1" t="s">
        <v>1939</v>
      </c>
      <c r="I132" s="1" t="s">
        <v>2801</v>
      </c>
    </row>
    <row r="133" ht="12.75" customHeight="1">
      <c r="A133" s="5" t="s">
        <v>2878</v>
      </c>
      <c r="G133" s="1" t="s">
        <v>1940</v>
      </c>
      <c r="H133" s="1" t="s">
        <v>1939</v>
      </c>
      <c r="I133" s="1" t="s">
        <v>2801</v>
      </c>
    </row>
    <row r="134" ht="12.75" customHeight="1">
      <c r="A134" s="5">
        <v>0.01</v>
      </c>
      <c r="G134" s="1" t="s">
        <v>1940</v>
      </c>
      <c r="H134" s="1" t="s">
        <v>1939</v>
      </c>
      <c r="I134" s="1" t="s">
        <v>2801</v>
      </c>
    </row>
    <row r="135" ht="12.75" customHeight="1">
      <c r="A135" s="5" t="s">
        <v>2879</v>
      </c>
    </row>
    <row r="136" ht="12.75" customHeight="1">
      <c r="A136" s="5" t="s">
        <v>3711</v>
      </c>
    </row>
    <row r="137" ht="12.75" customHeight="1">
      <c r="A137" s="5" t="s">
        <v>2539</v>
      </c>
    </row>
    <row r="138" ht="12.75" customHeight="1">
      <c r="A138" s="5" t="s">
        <v>1577</v>
      </c>
    </row>
    <row r="139" ht="12.75" customHeight="1">
      <c r="A139" s="5">
        <v>0.2</v>
      </c>
    </row>
    <row r="140" ht="12.75" customHeight="1">
      <c r="A140" s="5" t="s">
        <v>443</v>
      </c>
    </row>
    <row r="141" ht="12.75" customHeight="1">
      <c r="A141" s="5" t="s">
        <v>2870</v>
      </c>
    </row>
    <row r="142" ht="12.75" customHeight="1">
      <c r="A142" s="5">
        <v>0.1</v>
      </c>
    </row>
    <row r="143" ht="12.75" customHeight="1">
      <c r="A143" s="5" t="s">
        <v>2871</v>
      </c>
    </row>
    <row r="144" ht="12.75" customHeight="1">
      <c r="A144" s="5" t="s">
        <v>2872</v>
      </c>
    </row>
    <row r="145" ht="12.75" customHeight="1">
      <c r="A145" s="5" t="s">
        <v>2873</v>
      </c>
    </row>
    <row r="146" ht="12.75" customHeight="1">
      <c r="A146" s="5" t="s">
        <v>2874</v>
      </c>
    </row>
    <row r="147" ht="12.75" customHeight="1">
      <c r="A147" s="5">
        <v>0.05</v>
      </c>
    </row>
    <row r="148" ht="12.75" customHeight="1">
      <c r="A148" s="5" t="s">
        <v>2875</v>
      </c>
    </row>
    <row r="149" ht="12.75" customHeight="1">
      <c r="A149" s="5" t="s">
        <v>2876</v>
      </c>
    </row>
    <row r="150" ht="12.75" customHeight="1">
      <c r="A150" s="5">
        <v>0.04</v>
      </c>
    </row>
    <row r="151" ht="12.75" customHeight="1">
      <c r="A151" s="5" t="s">
        <v>2877</v>
      </c>
    </row>
    <row r="152" ht="12.75" customHeight="1">
      <c r="A152" s="5" t="s">
        <v>2878</v>
      </c>
    </row>
    <row r="153" ht="12.75" customHeight="1">
      <c r="A153" s="5">
        <v>0.01</v>
      </c>
    </row>
    <row r="154" ht="12.75" customHeight="1">
      <c r="A154" s="5" t="s">
        <v>2882</v>
      </c>
    </row>
    <row r="155" ht="12.75" customHeight="1">
      <c r="A155" s="5" t="s">
        <v>3712</v>
      </c>
    </row>
    <row r="156" ht="12.75" customHeight="1">
      <c r="A156" s="5" t="s">
        <v>2539</v>
      </c>
    </row>
    <row r="157" ht="12.75" customHeight="1">
      <c r="A157" s="5" t="s">
        <v>1582</v>
      </c>
    </row>
    <row r="158" ht="12.75" customHeight="1">
      <c r="A158" s="5">
        <v>0.2</v>
      </c>
    </row>
    <row r="159" ht="12.75" customHeight="1">
      <c r="A159" s="5" t="s">
        <v>443</v>
      </c>
    </row>
    <row r="160" ht="12.75" customHeight="1">
      <c r="A160" s="5" t="s">
        <v>2870</v>
      </c>
    </row>
    <row r="161" ht="12.75" customHeight="1">
      <c r="A161" s="5">
        <v>0.1</v>
      </c>
    </row>
    <row r="162" ht="12.75" customHeight="1">
      <c r="A162" s="5" t="s">
        <v>2871</v>
      </c>
    </row>
    <row r="163" ht="12.75" customHeight="1">
      <c r="A163" s="5" t="s">
        <v>2872</v>
      </c>
    </row>
    <row r="164" ht="12.75" customHeight="1">
      <c r="A164" s="5" t="s">
        <v>2873</v>
      </c>
    </row>
    <row r="165" ht="12.75" customHeight="1">
      <c r="A165" s="5" t="s">
        <v>2874</v>
      </c>
    </row>
    <row r="166" ht="12.75" customHeight="1">
      <c r="A166" s="5">
        <v>0.05</v>
      </c>
    </row>
    <row r="167" ht="12.75" customHeight="1">
      <c r="A167" s="5" t="s">
        <v>2875</v>
      </c>
    </row>
    <row r="168" ht="12.75" customHeight="1">
      <c r="A168" s="5" t="s">
        <v>2876</v>
      </c>
    </row>
    <row r="169" ht="12.75" customHeight="1">
      <c r="A169" s="5">
        <v>0.04</v>
      </c>
    </row>
    <row r="170" ht="12.75" customHeight="1">
      <c r="A170" s="5" t="s">
        <v>2877</v>
      </c>
    </row>
    <row r="171" ht="12.75" customHeight="1">
      <c r="A171" s="5" t="s">
        <v>2878</v>
      </c>
    </row>
    <row r="172" ht="12.75" customHeight="1">
      <c r="A172" s="5">
        <v>0.01</v>
      </c>
    </row>
    <row r="173" ht="12.75" customHeight="1">
      <c r="A173" s="5" t="s">
        <v>2885</v>
      </c>
    </row>
    <row r="174" ht="12.75" customHeight="1">
      <c r="A174" s="5" t="s">
        <v>3713</v>
      </c>
    </row>
    <row r="175" ht="12.75" customHeight="1">
      <c r="A175" s="5" t="s">
        <v>2539</v>
      </c>
    </row>
    <row r="176" ht="12.75" customHeight="1">
      <c r="A176" s="5" t="s">
        <v>1663</v>
      </c>
    </row>
    <row r="177" ht="12.75" customHeight="1">
      <c r="A177" s="5">
        <v>0.2</v>
      </c>
    </row>
    <row r="178" ht="12.75" customHeight="1">
      <c r="A178" s="5" t="s">
        <v>462</v>
      </c>
    </row>
    <row r="179" ht="12.75" customHeight="1">
      <c r="A179" s="5" t="s">
        <v>2888</v>
      </c>
    </row>
    <row r="180" ht="12.75" customHeight="1">
      <c r="A180" s="5">
        <v>0.1</v>
      </c>
    </row>
    <row r="181" ht="12.75" customHeight="1">
      <c r="A181" s="5" t="s">
        <v>2889</v>
      </c>
    </row>
    <row r="182" ht="12.75" customHeight="1">
      <c r="A182" s="5" t="s">
        <v>2890</v>
      </c>
    </row>
    <row r="183" ht="12.75" customHeight="1">
      <c r="A183" s="5" t="s">
        <v>2891</v>
      </c>
    </row>
    <row r="184" ht="12.75" customHeight="1">
      <c r="A184" s="5" t="s">
        <v>2892</v>
      </c>
    </row>
    <row r="185" ht="12.75" customHeight="1">
      <c r="A185" s="5">
        <v>0.05</v>
      </c>
    </row>
    <row r="186" ht="12.75" customHeight="1">
      <c r="A186" s="5" t="s">
        <v>2893</v>
      </c>
    </row>
    <row r="187" ht="12.75" customHeight="1">
      <c r="A187" s="5" t="s">
        <v>2894</v>
      </c>
    </row>
    <row r="188" ht="12.75" customHeight="1">
      <c r="A188" s="5">
        <v>0.04</v>
      </c>
    </row>
    <row r="189" ht="12.75" customHeight="1">
      <c r="A189" s="5" t="s">
        <v>2895</v>
      </c>
    </row>
    <row r="190" ht="12.75" customHeight="1">
      <c r="A190" s="5" t="s">
        <v>2896</v>
      </c>
    </row>
    <row r="191" ht="12.75" customHeight="1">
      <c r="A191" s="5">
        <v>0.01</v>
      </c>
    </row>
    <row r="192" ht="12.75" customHeight="1">
      <c r="A192" s="5" t="s">
        <v>2897</v>
      </c>
    </row>
    <row r="193" ht="12.75" customHeight="1">
      <c r="A193" s="5" t="s">
        <v>3714</v>
      </c>
    </row>
    <row r="194" ht="12.75" customHeight="1">
      <c r="A194" s="5" t="s">
        <v>2539</v>
      </c>
    </row>
    <row r="195" ht="12.75" customHeight="1">
      <c r="A195" s="5" t="s">
        <v>1667</v>
      </c>
    </row>
    <row r="196" ht="12.75" customHeight="1">
      <c r="A196" s="5">
        <v>0.2</v>
      </c>
    </row>
    <row r="197" ht="12.75" customHeight="1">
      <c r="A197" s="5" t="s">
        <v>462</v>
      </c>
    </row>
    <row r="198" ht="12.75" customHeight="1">
      <c r="A198" s="5" t="s">
        <v>2888</v>
      </c>
    </row>
    <row r="199" ht="12.75" customHeight="1">
      <c r="A199" s="5">
        <v>0.1</v>
      </c>
    </row>
    <row r="200" ht="12.75" customHeight="1">
      <c r="A200" s="5" t="s">
        <v>2889</v>
      </c>
    </row>
    <row r="201" ht="12.75" customHeight="1">
      <c r="A201" s="5" t="s">
        <v>2890</v>
      </c>
    </row>
    <row r="202" ht="12.75" customHeight="1">
      <c r="A202" s="5" t="s">
        <v>2891</v>
      </c>
    </row>
    <row r="203" ht="12.75" customHeight="1">
      <c r="A203" s="5" t="s">
        <v>2892</v>
      </c>
    </row>
    <row r="204" ht="12.75" customHeight="1">
      <c r="A204" s="5">
        <v>0.05</v>
      </c>
    </row>
    <row r="205" ht="12.75" customHeight="1">
      <c r="A205" s="5" t="s">
        <v>2893</v>
      </c>
    </row>
    <row r="206" ht="12.75" customHeight="1">
      <c r="A206" s="5" t="s">
        <v>2894</v>
      </c>
    </row>
    <row r="207" ht="12.75" customHeight="1">
      <c r="A207" s="5">
        <v>0.04</v>
      </c>
    </row>
    <row r="208" ht="12.75" customHeight="1">
      <c r="A208" s="5" t="s">
        <v>2895</v>
      </c>
    </row>
    <row r="209" ht="12.75" customHeight="1">
      <c r="A209" s="5" t="s">
        <v>2896</v>
      </c>
    </row>
    <row r="210" ht="12.75" customHeight="1">
      <c r="A210" s="5">
        <v>0.01</v>
      </c>
    </row>
    <row r="211" ht="12.75" customHeight="1">
      <c r="A211" s="5" t="s">
        <v>2897</v>
      </c>
    </row>
    <row r="212" ht="12.75" customHeight="1">
      <c r="A212" s="5" t="s">
        <v>3714</v>
      </c>
    </row>
    <row r="213" ht="12.75" customHeight="1">
      <c r="A213" s="5" t="s">
        <v>2539</v>
      </c>
    </row>
    <row r="214" ht="12.75" customHeight="1">
      <c r="A214" s="5" t="s">
        <v>1671</v>
      </c>
    </row>
    <row r="215" ht="12.75" customHeight="1">
      <c r="A215" s="5">
        <v>0.2</v>
      </c>
    </row>
    <row r="216" ht="12.75" customHeight="1">
      <c r="A216" s="5" t="s">
        <v>462</v>
      </c>
    </row>
    <row r="217" ht="12.75" customHeight="1">
      <c r="A217" s="5" t="s">
        <v>2888</v>
      </c>
    </row>
    <row r="218" ht="12.75" customHeight="1">
      <c r="A218" s="5">
        <v>0.1</v>
      </c>
    </row>
    <row r="219" ht="12.75" customHeight="1">
      <c r="A219" s="5" t="s">
        <v>2889</v>
      </c>
    </row>
    <row r="220" ht="12.75" customHeight="1">
      <c r="A220" s="5" t="s">
        <v>2890</v>
      </c>
    </row>
    <row r="221" ht="12.75" customHeight="1">
      <c r="A221" s="5" t="s">
        <v>2891</v>
      </c>
    </row>
    <row r="222" ht="12.75" customHeight="1">
      <c r="A222" s="5" t="s">
        <v>2892</v>
      </c>
    </row>
    <row r="223" ht="12.75" customHeight="1">
      <c r="A223" s="5">
        <v>0.05</v>
      </c>
    </row>
    <row r="224" ht="12.75" customHeight="1">
      <c r="A224" s="5" t="s">
        <v>2893</v>
      </c>
    </row>
    <row r="225" ht="12.75" customHeight="1">
      <c r="A225" s="5" t="s">
        <v>2894</v>
      </c>
    </row>
    <row r="226" ht="12.75" customHeight="1">
      <c r="A226" s="5">
        <v>0.04</v>
      </c>
    </row>
    <row r="227" ht="12.75" customHeight="1">
      <c r="A227" s="5" t="s">
        <v>2895</v>
      </c>
    </row>
    <row r="228" ht="12.75" customHeight="1">
      <c r="A228" s="5" t="s">
        <v>2896</v>
      </c>
    </row>
    <row r="229" ht="12.75" customHeight="1">
      <c r="A229" s="5">
        <v>0.01</v>
      </c>
    </row>
    <row r="230" ht="12.75" customHeight="1">
      <c r="A230" s="5" t="s">
        <v>2897</v>
      </c>
    </row>
    <row r="231" ht="12.75" customHeight="1">
      <c r="A231" s="5" t="s">
        <v>3714</v>
      </c>
    </row>
    <row r="232" ht="12.75" customHeight="1">
      <c r="A232" s="5" t="s">
        <v>2539</v>
      </c>
    </row>
    <row r="233" ht="12.75" customHeight="1">
      <c r="A233" s="5" t="s">
        <v>1675</v>
      </c>
    </row>
    <row r="234" ht="12.75" customHeight="1">
      <c r="A234" s="5">
        <v>0.2</v>
      </c>
    </row>
    <row r="235" ht="12.75" customHeight="1">
      <c r="A235" s="5" t="s">
        <v>462</v>
      </c>
    </row>
    <row r="236" ht="12.75" customHeight="1">
      <c r="A236" s="5" t="s">
        <v>2888</v>
      </c>
    </row>
    <row r="237" ht="12.75" customHeight="1">
      <c r="A237" s="5">
        <v>0.1</v>
      </c>
    </row>
    <row r="238" ht="12.75" customHeight="1">
      <c r="A238" s="5" t="s">
        <v>2889</v>
      </c>
    </row>
    <row r="239" ht="12.75" customHeight="1">
      <c r="A239" s="5" t="s">
        <v>2890</v>
      </c>
    </row>
    <row r="240" ht="12.75" customHeight="1">
      <c r="A240" s="5" t="s">
        <v>2891</v>
      </c>
    </row>
    <row r="241" ht="12.75" customHeight="1">
      <c r="A241" s="5" t="s">
        <v>2892</v>
      </c>
    </row>
    <row r="242" ht="12.75" customHeight="1">
      <c r="A242" s="5">
        <v>0.05</v>
      </c>
    </row>
    <row r="243" ht="12.75" customHeight="1">
      <c r="A243" s="5" t="s">
        <v>2902</v>
      </c>
    </row>
    <row r="244" ht="12.75" customHeight="1">
      <c r="A244" s="5" t="s">
        <v>2903</v>
      </c>
    </row>
    <row r="245" ht="12.75" customHeight="1">
      <c r="A245" s="5">
        <v>0.04</v>
      </c>
    </row>
    <row r="246" ht="12.75" customHeight="1">
      <c r="A246" s="5" t="s">
        <v>2904</v>
      </c>
    </row>
    <row r="247" ht="12.75" customHeight="1">
      <c r="A247" s="5" t="s">
        <v>2905</v>
      </c>
    </row>
    <row r="248" ht="12.75" customHeight="1">
      <c r="A248" s="5">
        <v>0.01</v>
      </c>
    </row>
    <row r="249" ht="12.75" customHeight="1">
      <c r="A249" s="5" t="s">
        <v>2906</v>
      </c>
    </row>
    <row r="250" ht="12.75" customHeight="1">
      <c r="A250" s="5" t="s">
        <v>3715</v>
      </c>
    </row>
    <row r="251" ht="12.75" customHeight="1">
      <c r="A251" s="5" t="s">
        <v>2539</v>
      </c>
    </row>
    <row r="252" ht="12.75" customHeight="1">
      <c r="A252" s="5" t="s">
        <v>1679</v>
      </c>
    </row>
    <row r="253" ht="12.75" customHeight="1">
      <c r="A253" s="5">
        <v>0.2</v>
      </c>
    </row>
    <row r="254" ht="12.75" customHeight="1">
      <c r="A254" s="5" t="s">
        <v>484</v>
      </c>
    </row>
    <row r="255" ht="12.75" customHeight="1">
      <c r="A255" s="5" t="s">
        <v>2910</v>
      </c>
    </row>
    <row r="256" ht="12.75" customHeight="1">
      <c r="A256" s="5">
        <v>0.1</v>
      </c>
    </row>
    <row r="257" ht="12.75" customHeight="1">
      <c r="A257" s="5" t="s">
        <v>2911</v>
      </c>
    </row>
    <row r="258" ht="12.75" customHeight="1">
      <c r="A258" s="5" t="s">
        <v>2912</v>
      </c>
    </row>
    <row r="259" ht="12.75" customHeight="1">
      <c r="A259" s="5" t="s">
        <v>2913</v>
      </c>
    </row>
    <row r="260" ht="12.75" customHeight="1">
      <c r="A260" s="5" t="s">
        <v>2914</v>
      </c>
    </row>
    <row r="261" ht="12.75" customHeight="1">
      <c r="A261" s="5">
        <v>0.05</v>
      </c>
    </row>
    <row r="262" ht="12.75" customHeight="1">
      <c r="A262" s="5" t="s">
        <v>2915</v>
      </c>
    </row>
    <row r="263" ht="12.75" customHeight="1">
      <c r="A263" s="5" t="s">
        <v>2916</v>
      </c>
    </row>
    <row r="264" ht="12.75" customHeight="1">
      <c r="A264" s="5">
        <v>0.04</v>
      </c>
    </row>
    <row r="265" ht="12.75" customHeight="1">
      <c r="A265" s="5" t="s">
        <v>2917</v>
      </c>
    </row>
    <row r="266" ht="12.75" customHeight="1">
      <c r="A266" s="5" t="s">
        <v>2918</v>
      </c>
    </row>
    <row r="267" ht="12.75" customHeight="1">
      <c r="A267" s="5">
        <v>0.01</v>
      </c>
    </row>
    <row r="268" ht="12.75" customHeight="1">
      <c r="A268" s="5" t="s">
        <v>2919</v>
      </c>
    </row>
    <row r="269" ht="12.75" customHeight="1">
      <c r="A269" s="5" t="s">
        <v>2920</v>
      </c>
    </row>
    <row r="270" ht="12.75" customHeight="1">
      <c r="A270" s="5" t="s">
        <v>3981</v>
      </c>
    </row>
    <row r="271" ht="12.75" customHeight="1">
      <c r="A271" s="5" t="s">
        <v>3982</v>
      </c>
    </row>
    <row r="272" ht="12.75" customHeight="1">
      <c r="A272" s="5" t="s">
        <v>2922</v>
      </c>
    </row>
    <row r="273" ht="12.75" customHeight="1">
      <c r="A273" s="5" t="s">
        <v>2923</v>
      </c>
    </row>
    <row r="274" ht="12.75" customHeight="1">
      <c r="A274" s="5" t="s">
        <v>2924</v>
      </c>
    </row>
    <row r="275" ht="12.75" customHeight="1">
      <c r="A275" s="5" t="s">
        <v>2925</v>
      </c>
    </row>
    <row r="276" ht="12.75" customHeight="1">
      <c r="A276" s="5" t="s">
        <v>3978</v>
      </c>
    </row>
    <row r="277" ht="12.75" customHeight="1">
      <c r="A277" s="5" t="s">
        <v>500</v>
      </c>
    </row>
    <row r="278" ht="12.75" customHeight="1">
      <c r="A278" s="5" t="s">
        <v>2927</v>
      </c>
    </row>
    <row r="279" ht="12.75" customHeight="1">
      <c r="A279" s="5" t="s">
        <v>3979</v>
      </c>
    </row>
    <row r="280" ht="12.75" customHeight="1">
      <c r="A280" s="5" t="s">
        <v>2928</v>
      </c>
    </row>
    <row r="281" ht="12.75" customHeight="1">
      <c r="A281" s="5" t="s">
        <v>2929</v>
      </c>
    </row>
    <row r="282" ht="12.75" customHeight="1">
      <c r="A282" s="5" t="s">
        <v>2930</v>
      </c>
    </row>
    <row r="283" ht="12.75" customHeight="1">
      <c r="A283" s="5" t="s">
        <v>3980</v>
      </c>
    </row>
    <row r="284" ht="12.75" customHeight="1">
      <c r="A284" s="5" t="s">
        <v>2931</v>
      </c>
    </row>
    <row r="285" ht="12.75" customHeight="1">
      <c r="A285" s="5" t="s">
        <v>2932</v>
      </c>
    </row>
    <row r="286" ht="12.75" customHeight="1">
      <c r="A286" s="5" t="s">
        <v>2933</v>
      </c>
    </row>
    <row r="287" ht="12.75" customHeight="1">
      <c r="A287" s="5" t="s">
        <v>2934</v>
      </c>
    </row>
    <row r="288" ht="12.75" customHeight="1">
      <c r="A288" s="5" t="s">
        <v>2935</v>
      </c>
    </row>
    <row r="289" ht="12.75" customHeight="1">
      <c r="A289" s="5" t="s">
        <v>2539</v>
      </c>
    </row>
    <row r="290" ht="12.75" customHeight="1">
      <c r="A290" s="5" t="s">
        <v>1683</v>
      </c>
    </row>
    <row r="291" ht="12.75" customHeight="1">
      <c r="A291" s="5">
        <v>0.2</v>
      </c>
    </row>
    <row r="292" ht="12.75" customHeight="1">
      <c r="A292" s="5" t="s">
        <v>484</v>
      </c>
    </row>
    <row r="293" ht="12.75" customHeight="1">
      <c r="A293" s="5" t="s">
        <v>2910</v>
      </c>
    </row>
    <row r="294" ht="12.75" customHeight="1">
      <c r="A294" s="5">
        <v>0.1</v>
      </c>
    </row>
    <row r="295" ht="12.75" customHeight="1">
      <c r="A295" s="5" t="s">
        <v>2911</v>
      </c>
    </row>
    <row r="296" ht="12.75" customHeight="1">
      <c r="A296" s="5" t="s">
        <v>2912</v>
      </c>
    </row>
    <row r="297" ht="12.75" customHeight="1">
      <c r="A297" s="5" t="s">
        <v>2937</v>
      </c>
    </row>
    <row r="298" ht="12.75" customHeight="1">
      <c r="A298" s="5" t="s">
        <v>2938</v>
      </c>
    </row>
    <row r="299" ht="12.75" customHeight="1">
      <c r="A299" s="5">
        <v>0.05</v>
      </c>
    </row>
    <row r="300" ht="12.75" customHeight="1">
      <c r="A300" s="5" t="s">
        <v>2915</v>
      </c>
    </row>
    <row r="301" ht="12.75" customHeight="1">
      <c r="A301" s="5" t="s">
        <v>2916</v>
      </c>
    </row>
    <row r="302" ht="12.75" customHeight="1">
      <c r="A302" s="5">
        <v>0.04</v>
      </c>
    </row>
    <row r="303" ht="12.75" customHeight="1">
      <c r="A303" s="5" t="s">
        <v>2939</v>
      </c>
    </row>
    <row r="304" ht="12.75" customHeight="1">
      <c r="A304" s="5" t="s">
        <v>2940</v>
      </c>
    </row>
    <row r="305" ht="12.75" customHeight="1">
      <c r="A305" s="5">
        <v>0.01</v>
      </c>
    </row>
    <row r="306" ht="12.75" customHeight="1">
      <c r="A306" s="5" t="s">
        <v>2941</v>
      </c>
    </row>
    <row r="307" ht="12.75" customHeight="1">
      <c r="A307" s="5" t="s">
        <v>2942</v>
      </c>
    </row>
    <row r="308" ht="12.75" customHeight="1">
      <c r="A308" s="5" t="s">
        <v>3981</v>
      </c>
    </row>
    <row r="309" ht="12.75" customHeight="1">
      <c r="A309" s="5" t="s">
        <v>3982</v>
      </c>
    </row>
    <row r="310" ht="12.75" customHeight="1">
      <c r="A310" s="5" t="s">
        <v>2922</v>
      </c>
    </row>
    <row r="311" ht="12.75" customHeight="1">
      <c r="A311" s="5" t="s">
        <v>2923</v>
      </c>
    </row>
    <row r="312" ht="12.75" customHeight="1">
      <c r="A312" s="5" t="s">
        <v>2924</v>
      </c>
    </row>
    <row r="313" ht="12.75" customHeight="1">
      <c r="A313" s="5" t="s">
        <v>2925</v>
      </c>
    </row>
    <row r="314" ht="12.75" customHeight="1">
      <c r="A314" s="5" t="s">
        <v>3978</v>
      </c>
    </row>
    <row r="315" ht="12.75" customHeight="1">
      <c r="A315" s="5" t="s">
        <v>500</v>
      </c>
    </row>
    <row r="316" ht="12.75" customHeight="1">
      <c r="A316" s="5" t="s">
        <v>2927</v>
      </c>
    </row>
    <row r="317" ht="12.75" customHeight="1">
      <c r="A317" s="5" t="s">
        <v>3979</v>
      </c>
    </row>
    <row r="318" ht="12.75" customHeight="1">
      <c r="A318" s="5" t="s">
        <v>2928</v>
      </c>
    </row>
    <row r="319" ht="12.75" customHeight="1">
      <c r="A319" s="5" t="s">
        <v>2929</v>
      </c>
    </row>
    <row r="320" ht="12.75" customHeight="1">
      <c r="A320" s="5" t="s">
        <v>2930</v>
      </c>
    </row>
    <row r="321" ht="12.75" customHeight="1">
      <c r="A321" s="5" t="s">
        <v>3980</v>
      </c>
    </row>
    <row r="322" ht="12.75" customHeight="1">
      <c r="A322" s="5" t="s">
        <v>2931</v>
      </c>
    </row>
    <row r="323" ht="12.75" customHeight="1">
      <c r="A323" s="5" t="s">
        <v>2932</v>
      </c>
    </row>
    <row r="324" ht="12.75" customHeight="1">
      <c r="A324" s="5" t="s">
        <v>2933</v>
      </c>
    </row>
    <row r="325" ht="12.75" customHeight="1">
      <c r="A325" s="5" t="s">
        <v>2934</v>
      </c>
    </row>
    <row r="326" ht="12.75" customHeight="1">
      <c r="A326" s="5" t="s">
        <v>2935</v>
      </c>
    </row>
    <row r="327" ht="12.75" customHeight="1">
      <c r="A327" s="5" t="s">
        <v>2539</v>
      </c>
    </row>
    <row r="328" ht="12.75" customHeight="1">
      <c r="A328" s="5" t="s">
        <v>1690</v>
      </c>
    </row>
    <row r="329" ht="12.75" customHeight="1">
      <c r="A329" s="5">
        <v>0.2</v>
      </c>
    </row>
    <row r="330" ht="12.75" customHeight="1">
      <c r="A330" s="5" t="s">
        <v>484</v>
      </c>
    </row>
    <row r="331" ht="12.75" customHeight="1">
      <c r="A331" s="5" t="s">
        <v>2910</v>
      </c>
    </row>
    <row r="332" ht="12.75" customHeight="1">
      <c r="A332" s="5">
        <v>0.1</v>
      </c>
    </row>
    <row r="333" ht="12.75" customHeight="1">
      <c r="A333" s="5" t="s">
        <v>2911</v>
      </c>
    </row>
    <row r="334" ht="12.75" customHeight="1">
      <c r="A334" s="5" t="s">
        <v>2912</v>
      </c>
    </row>
    <row r="335" ht="12.75" customHeight="1">
      <c r="A335" s="5" t="s">
        <v>2944</v>
      </c>
    </row>
    <row r="336" ht="12.75" customHeight="1">
      <c r="A336" s="5" t="s">
        <v>2945</v>
      </c>
    </row>
    <row r="337" ht="12.75" customHeight="1">
      <c r="A337" s="5">
        <v>0.05</v>
      </c>
    </row>
    <row r="338" ht="12.75" customHeight="1">
      <c r="A338" s="5" t="s">
        <v>2915</v>
      </c>
    </row>
    <row r="339" ht="12.75" customHeight="1">
      <c r="A339" s="5" t="s">
        <v>2916</v>
      </c>
    </row>
    <row r="340" ht="12.75" customHeight="1">
      <c r="A340" s="5">
        <v>0.04</v>
      </c>
    </row>
    <row r="341" ht="12.75" customHeight="1">
      <c r="A341" s="5" t="s">
        <v>2946</v>
      </c>
    </row>
    <row r="342" ht="12.75" customHeight="1">
      <c r="A342" s="5" t="s">
        <v>2947</v>
      </c>
    </row>
    <row r="343" ht="12.75" customHeight="1">
      <c r="A343" s="5">
        <v>0.01</v>
      </c>
    </row>
    <row r="344" ht="12.75" customHeight="1">
      <c r="A344" s="5" t="s">
        <v>2948</v>
      </c>
    </row>
    <row r="345" ht="12.75" customHeight="1">
      <c r="A345" s="5" t="s">
        <v>2949</v>
      </c>
    </row>
    <row r="346" ht="12.75" customHeight="1">
      <c r="A346" s="5" t="s">
        <v>3981</v>
      </c>
    </row>
    <row r="347" ht="12.75" customHeight="1">
      <c r="A347" s="5" t="s">
        <v>3982</v>
      </c>
    </row>
    <row r="348" ht="12.75" customHeight="1">
      <c r="A348" s="5" t="s">
        <v>2922</v>
      </c>
    </row>
    <row r="349" ht="12.75" customHeight="1">
      <c r="A349" s="5" t="s">
        <v>2923</v>
      </c>
    </row>
    <row r="350" ht="12.75" customHeight="1">
      <c r="A350" s="5" t="s">
        <v>2924</v>
      </c>
    </row>
    <row r="351" ht="12.75" customHeight="1">
      <c r="A351" s="5" t="s">
        <v>2925</v>
      </c>
    </row>
    <row r="352" ht="12.75" customHeight="1">
      <c r="A352" s="5" t="s">
        <v>3978</v>
      </c>
    </row>
    <row r="353" ht="12.75" customHeight="1">
      <c r="A353" s="5" t="s">
        <v>500</v>
      </c>
    </row>
    <row r="354" ht="12.75" customHeight="1">
      <c r="A354" s="5" t="s">
        <v>2927</v>
      </c>
    </row>
    <row r="355" ht="12.75" customHeight="1">
      <c r="A355" s="5" t="s">
        <v>3979</v>
      </c>
    </row>
    <row r="356" ht="12.75" customHeight="1">
      <c r="A356" s="5" t="s">
        <v>2928</v>
      </c>
    </row>
    <row r="357" ht="12.75" customHeight="1">
      <c r="A357" s="5" t="s">
        <v>2929</v>
      </c>
    </row>
    <row r="358" ht="12.75" customHeight="1">
      <c r="A358" s="5" t="s">
        <v>2930</v>
      </c>
    </row>
    <row r="359" ht="12.75" customHeight="1">
      <c r="A359" s="5" t="s">
        <v>3980</v>
      </c>
    </row>
    <row r="360" ht="12.75" customHeight="1">
      <c r="A360" s="5" t="s">
        <v>2931</v>
      </c>
    </row>
    <row r="361" ht="12.75" customHeight="1">
      <c r="A361" s="5" t="s">
        <v>2932</v>
      </c>
    </row>
    <row r="362" ht="12.75" customHeight="1">
      <c r="A362" s="5" t="s">
        <v>2933</v>
      </c>
    </row>
    <row r="363" ht="12.75" customHeight="1">
      <c r="A363" s="5" t="s">
        <v>2934</v>
      </c>
    </row>
    <row r="364" ht="12.75" customHeight="1">
      <c r="A364" s="5" t="s">
        <v>2935</v>
      </c>
    </row>
    <row r="365" ht="12.75" customHeight="1">
      <c r="A365" s="5" t="s">
        <v>2539</v>
      </c>
    </row>
    <row r="366" ht="12.75" customHeight="1">
      <c r="A366" s="5" t="s">
        <v>1696</v>
      </c>
    </row>
    <row r="367" ht="12.75" customHeight="1">
      <c r="A367" s="5">
        <v>0.2</v>
      </c>
    </row>
    <row r="368" ht="12.75" customHeight="1">
      <c r="A368" s="5" t="s">
        <v>484</v>
      </c>
    </row>
    <row r="369" ht="12.75" customHeight="1">
      <c r="A369" s="5" t="s">
        <v>2910</v>
      </c>
    </row>
    <row r="370" ht="12.75" customHeight="1">
      <c r="A370" s="5">
        <v>0.1</v>
      </c>
    </row>
    <row r="371" ht="12.75" customHeight="1">
      <c r="A371" s="5" t="s">
        <v>2911</v>
      </c>
    </row>
    <row r="372" ht="12.75" customHeight="1">
      <c r="A372" s="5" t="s">
        <v>2912</v>
      </c>
    </row>
    <row r="373" ht="12.75" customHeight="1">
      <c r="A373" s="5" t="s">
        <v>2951</v>
      </c>
    </row>
    <row r="374" ht="12.75" customHeight="1">
      <c r="A374" s="5" t="s">
        <v>2952</v>
      </c>
    </row>
    <row r="375" ht="12.75" customHeight="1">
      <c r="A375" s="5">
        <v>0.05</v>
      </c>
    </row>
    <row r="376" ht="12.75" customHeight="1">
      <c r="A376" s="5" t="s">
        <v>2915</v>
      </c>
    </row>
    <row r="377" ht="12.75" customHeight="1">
      <c r="A377" s="5" t="s">
        <v>2916</v>
      </c>
    </row>
    <row r="378" ht="12.75" customHeight="1">
      <c r="A378" s="5">
        <v>0.04</v>
      </c>
    </row>
    <row r="379" ht="12.75" customHeight="1">
      <c r="A379" s="5" t="s">
        <v>2953</v>
      </c>
    </row>
    <row r="380" ht="12.75" customHeight="1">
      <c r="A380" s="5" t="s">
        <v>2954</v>
      </c>
    </row>
    <row r="381" ht="12.75" customHeight="1">
      <c r="A381" s="5">
        <v>0.01</v>
      </c>
    </row>
    <row r="382" ht="12.75" customHeight="1">
      <c r="A382" s="5" t="s">
        <v>2955</v>
      </c>
    </row>
    <row r="383" ht="12.75" customHeight="1">
      <c r="A383" s="5" t="s">
        <v>2956</v>
      </c>
    </row>
    <row r="384" ht="12.75" customHeight="1">
      <c r="A384" s="5" t="s">
        <v>3981</v>
      </c>
    </row>
    <row r="385" ht="12.75" customHeight="1">
      <c r="A385" s="5" t="s">
        <v>3982</v>
      </c>
    </row>
    <row r="386" ht="12.75" customHeight="1">
      <c r="A386" s="5" t="s">
        <v>2922</v>
      </c>
    </row>
    <row r="387" ht="12.75" customHeight="1">
      <c r="A387" s="5" t="s">
        <v>2923</v>
      </c>
    </row>
    <row r="388" ht="12.75" customHeight="1">
      <c r="A388" s="5" t="s">
        <v>2924</v>
      </c>
    </row>
    <row r="389" ht="12.75" customHeight="1">
      <c r="A389" s="5" t="s">
        <v>2925</v>
      </c>
    </row>
    <row r="390" ht="12.75" customHeight="1">
      <c r="A390" s="5" t="s">
        <v>3978</v>
      </c>
    </row>
    <row r="391" ht="12.75" customHeight="1">
      <c r="A391" s="5" t="s">
        <v>500</v>
      </c>
    </row>
    <row r="392" ht="12.75" customHeight="1">
      <c r="A392" s="5" t="s">
        <v>2927</v>
      </c>
    </row>
    <row r="393" ht="12.75" customHeight="1">
      <c r="A393" s="5" t="s">
        <v>3979</v>
      </c>
    </row>
    <row r="394" ht="12.75" customHeight="1">
      <c r="A394" s="5" t="s">
        <v>2928</v>
      </c>
    </row>
    <row r="395" ht="12.75" customHeight="1">
      <c r="A395" s="5" t="s">
        <v>2929</v>
      </c>
    </row>
    <row r="396" ht="12.75" customHeight="1">
      <c r="A396" s="5" t="s">
        <v>2930</v>
      </c>
    </row>
    <row r="397" ht="12.75" customHeight="1">
      <c r="A397" s="5" t="s">
        <v>3980</v>
      </c>
    </row>
    <row r="398" ht="12.75" customHeight="1">
      <c r="A398" s="5" t="s">
        <v>2931</v>
      </c>
    </row>
    <row r="399" ht="12.75" customHeight="1">
      <c r="A399" s="5" t="s">
        <v>2932</v>
      </c>
    </row>
    <row r="400" ht="12.75" customHeight="1">
      <c r="A400" s="5" t="s">
        <v>2933</v>
      </c>
    </row>
    <row r="401" ht="12.75" customHeight="1">
      <c r="A401" s="5" t="s">
        <v>2934</v>
      </c>
    </row>
    <row r="402" ht="12.75" customHeight="1">
      <c r="A402" s="5" t="s">
        <v>2935</v>
      </c>
    </row>
    <row r="403" ht="12.75" customHeight="1">
      <c r="A403" s="5" t="s">
        <v>2539</v>
      </c>
    </row>
    <row r="404" ht="12.75" customHeight="1">
      <c r="A404" s="5" t="s">
        <v>1728</v>
      </c>
    </row>
    <row r="405" ht="12.75" customHeight="1">
      <c r="A405" s="5">
        <v>0.2</v>
      </c>
    </row>
    <row r="406" ht="12.75" customHeight="1">
      <c r="A406" s="5" t="s">
        <v>532</v>
      </c>
    </row>
    <row r="407" ht="12.75" customHeight="1">
      <c r="A407" s="5" t="s">
        <v>2958</v>
      </c>
    </row>
    <row r="408" ht="12.75" customHeight="1">
      <c r="A408" s="5">
        <v>0.1</v>
      </c>
    </row>
    <row r="409" ht="12.75" customHeight="1">
      <c r="A409" s="5" t="s">
        <v>2959</v>
      </c>
    </row>
    <row r="410" ht="12.75" customHeight="1">
      <c r="A410" s="5" t="s">
        <v>2960</v>
      </c>
    </row>
    <row r="411" ht="12.75" customHeight="1">
      <c r="A411" s="5" t="s">
        <v>2961</v>
      </c>
    </row>
    <row r="412" ht="12.75" customHeight="1">
      <c r="A412" s="5" t="s">
        <v>2962</v>
      </c>
    </row>
    <row r="413" ht="12.75" customHeight="1">
      <c r="A413" s="5">
        <v>0.05</v>
      </c>
    </row>
    <row r="414" ht="12.75" customHeight="1">
      <c r="A414" s="5" t="s">
        <v>2963</v>
      </c>
    </row>
    <row r="415" ht="12.75" customHeight="1">
      <c r="A415" s="5" t="s">
        <v>2964</v>
      </c>
    </row>
    <row r="416" ht="12.75" customHeight="1">
      <c r="A416" s="5">
        <v>0.04</v>
      </c>
    </row>
    <row r="417" ht="12.75" customHeight="1">
      <c r="A417" s="5" t="s">
        <v>2965</v>
      </c>
    </row>
    <row r="418" ht="12.75" customHeight="1">
      <c r="A418" s="5" t="s">
        <v>2966</v>
      </c>
    </row>
    <row r="419" ht="12.75" customHeight="1">
      <c r="A419" s="5">
        <v>0.01</v>
      </c>
    </row>
    <row r="420" ht="12.75" customHeight="1">
      <c r="A420" s="5" t="s">
        <v>2967</v>
      </c>
    </row>
    <row r="421" ht="12.75" customHeight="1">
      <c r="A421" s="5" t="s">
        <v>2968</v>
      </c>
    </row>
    <row r="422" ht="12.75" customHeight="1">
      <c r="A422" s="5" t="s">
        <v>3981</v>
      </c>
    </row>
    <row r="423" ht="12.75" customHeight="1">
      <c r="A423" s="5" t="s">
        <v>3577</v>
      </c>
    </row>
    <row r="424" ht="12.75" customHeight="1">
      <c r="A424" s="5" t="s">
        <v>2970</v>
      </c>
    </row>
    <row r="425" ht="12.75" customHeight="1">
      <c r="A425" s="5" t="s">
        <v>2971</v>
      </c>
    </row>
    <row r="426" ht="12.75" customHeight="1">
      <c r="A426" s="5" t="s">
        <v>2972</v>
      </c>
    </row>
    <row r="427" ht="12.75" customHeight="1">
      <c r="A427" s="5" t="s">
        <v>2973</v>
      </c>
    </row>
    <row r="428" ht="12.75" customHeight="1">
      <c r="A428" s="5" t="s">
        <v>3978</v>
      </c>
    </row>
    <row r="429" ht="12.75" customHeight="1">
      <c r="A429" s="5" t="s">
        <v>548</v>
      </c>
    </row>
    <row r="430" ht="12.75" customHeight="1">
      <c r="A430" s="5" t="s">
        <v>2974</v>
      </c>
    </row>
    <row r="431" ht="12.75" customHeight="1">
      <c r="A431" s="5" t="s">
        <v>3979</v>
      </c>
    </row>
    <row r="432" ht="12.75" customHeight="1">
      <c r="A432" s="5" t="s">
        <v>2975</v>
      </c>
    </row>
    <row r="433" ht="12.75" customHeight="1">
      <c r="A433" s="5" t="s">
        <v>2976</v>
      </c>
    </row>
    <row r="434" ht="12.75" customHeight="1">
      <c r="A434" s="5" t="s">
        <v>2977</v>
      </c>
    </row>
    <row r="435" ht="12.75" customHeight="1">
      <c r="A435" s="5" t="s">
        <v>3980</v>
      </c>
    </row>
    <row r="436" ht="12.75" customHeight="1">
      <c r="A436" s="5" t="s">
        <v>2978</v>
      </c>
    </row>
    <row r="437" ht="12.75" customHeight="1">
      <c r="A437" s="5" t="s">
        <v>2979</v>
      </c>
    </row>
    <row r="438" ht="12.75" customHeight="1">
      <c r="A438" s="5" t="s">
        <v>2980</v>
      </c>
    </row>
    <row r="439" ht="12.75" customHeight="1">
      <c r="A439" s="5" t="s">
        <v>2981</v>
      </c>
    </row>
    <row r="440" ht="12.75" customHeight="1">
      <c r="A440" s="5" t="s">
        <v>2982</v>
      </c>
    </row>
    <row r="441" ht="12.75" customHeight="1">
      <c r="A441" s="5" t="s">
        <v>2539</v>
      </c>
    </row>
    <row r="442" ht="12.75" customHeight="1">
      <c r="A442" s="5" t="s">
        <v>1734</v>
      </c>
    </row>
    <row r="443" ht="12.75" customHeight="1">
      <c r="A443" s="5">
        <v>0.2</v>
      </c>
    </row>
    <row r="444" ht="12.75" customHeight="1">
      <c r="A444" s="5" t="s">
        <v>532</v>
      </c>
    </row>
    <row r="445" ht="12.75" customHeight="1">
      <c r="A445" s="5" t="s">
        <v>2958</v>
      </c>
    </row>
    <row r="446" ht="12.75" customHeight="1">
      <c r="A446" s="5">
        <v>0.1</v>
      </c>
    </row>
    <row r="447" ht="12.75" customHeight="1">
      <c r="A447" s="5" t="s">
        <v>2959</v>
      </c>
    </row>
    <row r="448" ht="12.75" customHeight="1">
      <c r="A448" s="5" t="s">
        <v>2960</v>
      </c>
    </row>
    <row r="449" ht="12.75" customHeight="1">
      <c r="A449" s="5" t="s">
        <v>2961</v>
      </c>
    </row>
    <row r="450" ht="12.75" customHeight="1">
      <c r="A450" s="5" t="s">
        <v>2962</v>
      </c>
    </row>
    <row r="451" ht="12.75" customHeight="1">
      <c r="A451" s="5">
        <v>0.05</v>
      </c>
    </row>
    <row r="452" ht="12.75" customHeight="1">
      <c r="A452" s="5" t="s">
        <v>2963</v>
      </c>
    </row>
    <row r="453" ht="12.75" customHeight="1">
      <c r="A453" s="5" t="s">
        <v>2964</v>
      </c>
    </row>
    <row r="454" ht="12.75" customHeight="1">
      <c r="A454" s="5">
        <v>0.04</v>
      </c>
    </row>
    <row r="455" ht="12.75" customHeight="1">
      <c r="A455" s="5" t="s">
        <v>2965</v>
      </c>
    </row>
    <row r="456" ht="12.75" customHeight="1">
      <c r="A456" s="5" t="s">
        <v>2966</v>
      </c>
    </row>
    <row r="457" ht="12.75" customHeight="1">
      <c r="A457" s="5">
        <v>0.01</v>
      </c>
    </row>
    <row r="458" ht="12.75" customHeight="1">
      <c r="A458" s="5" t="s">
        <v>2967</v>
      </c>
    </row>
    <row r="459" ht="12.75" customHeight="1">
      <c r="A459" s="5" t="s">
        <v>2968</v>
      </c>
    </row>
    <row r="460" ht="12.75" customHeight="1">
      <c r="A460" s="5" t="s">
        <v>2539</v>
      </c>
    </row>
    <row r="461" ht="12.75" customHeight="1">
      <c r="A461" s="5" t="s">
        <v>1739</v>
      </c>
    </row>
    <row r="462" ht="12.75" customHeight="1">
      <c r="A462" s="5">
        <v>0.2</v>
      </c>
    </row>
    <row r="463" ht="12.75" customHeight="1">
      <c r="A463" s="5" t="s">
        <v>532</v>
      </c>
    </row>
    <row r="464" ht="12.75" customHeight="1">
      <c r="A464" s="5" t="s">
        <v>2958</v>
      </c>
    </row>
    <row r="465" ht="12.75" customHeight="1">
      <c r="A465" s="5">
        <v>0.1</v>
      </c>
    </row>
    <row r="466" ht="12.75" customHeight="1">
      <c r="A466" s="5" t="s">
        <v>2959</v>
      </c>
    </row>
    <row r="467" ht="12.75" customHeight="1">
      <c r="A467" s="5" t="s">
        <v>2960</v>
      </c>
    </row>
    <row r="468" ht="12.75" customHeight="1">
      <c r="A468" s="5" t="s">
        <v>2961</v>
      </c>
    </row>
    <row r="469" ht="12.75" customHeight="1">
      <c r="A469" s="5" t="s">
        <v>2962</v>
      </c>
    </row>
    <row r="470" ht="12.75" customHeight="1">
      <c r="A470" s="5">
        <v>0.05</v>
      </c>
    </row>
    <row r="471" ht="12.75" customHeight="1">
      <c r="A471" s="5" t="s">
        <v>2963</v>
      </c>
    </row>
    <row r="472" ht="12.75" customHeight="1">
      <c r="A472" s="5" t="s">
        <v>2964</v>
      </c>
    </row>
    <row r="473" ht="12.75" customHeight="1">
      <c r="A473" s="5">
        <v>0.04</v>
      </c>
    </row>
    <row r="474" ht="12.75" customHeight="1">
      <c r="A474" s="5" t="s">
        <v>2965</v>
      </c>
    </row>
    <row r="475" ht="12.75" customHeight="1">
      <c r="A475" s="5" t="s">
        <v>2966</v>
      </c>
    </row>
    <row r="476" ht="12.75" customHeight="1">
      <c r="A476" s="5">
        <v>0.01</v>
      </c>
    </row>
    <row r="477" ht="12.75" customHeight="1">
      <c r="A477" s="5" t="s">
        <v>2967</v>
      </c>
    </row>
    <row r="478" ht="12.75" customHeight="1">
      <c r="A478" s="5" t="s">
        <v>2968</v>
      </c>
    </row>
    <row r="479" ht="12.75" customHeight="1">
      <c r="A479" s="5" t="s">
        <v>3981</v>
      </c>
    </row>
    <row r="480" ht="12.75" customHeight="1">
      <c r="A480" s="5" t="s">
        <v>3577</v>
      </c>
    </row>
    <row r="481" ht="12.75" customHeight="1">
      <c r="A481" s="5" t="s">
        <v>2970</v>
      </c>
    </row>
    <row r="482" ht="12.75" customHeight="1">
      <c r="A482" s="5" t="s">
        <v>2971</v>
      </c>
    </row>
    <row r="483" ht="12.75" customHeight="1">
      <c r="A483" s="5" t="s">
        <v>2972</v>
      </c>
    </row>
    <row r="484" ht="12.75" customHeight="1">
      <c r="A484" s="5" t="s">
        <v>2973</v>
      </c>
    </row>
    <row r="485" ht="12.75" customHeight="1">
      <c r="A485" s="5" t="s">
        <v>3978</v>
      </c>
    </row>
    <row r="486" ht="12.75" customHeight="1">
      <c r="A486" s="5" t="s">
        <v>548</v>
      </c>
    </row>
    <row r="487" ht="12.75" customHeight="1">
      <c r="A487" s="5" t="s">
        <v>2974</v>
      </c>
    </row>
    <row r="488" ht="12.75" customHeight="1">
      <c r="A488" s="5" t="s">
        <v>3979</v>
      </c>
    </row>
    <row r="489" ht="12.75" customHeight="1">
      <c r="A489" s="5" t="s">
        <v>2975</v>
      </c>
    </row>
    <row r="490" ht="12.75" customHeight="1">
      <c r="A490" s="5" t="s">
        <v>2976</v>
      </c>
    </row>
    <row r="491" ht="12.75" customHeight="1">
      <c r="A491" s="5" t="s">
        <v>2977</v>
      </c>
    </row>
    <row r="492" ht="12.75" customHeight="1">
      <c r="A492" s="5" t="s">
        <v>3980</v>
      </c>
    </row>
    <row r="493" ht="12.75" customHeight="1">
      <c r="A493" s="5" t="s">
        <v>2978</v>
      </c>
    </row>
    <row r="494" ht="12.75" customHeight="1">
      <c r="A494" s="5" t="s">
        <v>2979</v>
      </c>
    </row>
    <row r="495" ht="12.75" customHeight="1">
      <c r="A495" s="5" t="s">
        <v>2980</v>
      </c>
    </row>
    <row r="496" ht="12.75" customHeight="1">
      <c r="A496" s="5" t="s">
        <v>2981</v>
      </c>
    </row>
    <row r="497" ht="12.75" customHeight="1">
      <c r="A497" s="5" t="s">
        <v>2982</v>
      </c>
    </row>
    <row r="498" ht="12.75" customHeight="1">
      <c r="A498" s="5" t="s">
        <v>2539</v>
      </c>
    </row>
    <row r="499" ht="12.75" customHeight="1">
      <c r="A499" s="5" t="s">
        <v>1768</v>
      </c>
    </row>
    <row r="500" ht="12.75" customHeight="1">
      <c r="A500" s="5">
        <v>0.2</v>
      </c>
    </row>
    <row r="501" ht="12.75" customHeight="1">
      <c r="A501" s="5" t="s">
        <v>562</v>
      </c>
    </row>
    <row r="502" ht="12.75" customHeight="1">
      <c r="A502" s="5" t="s">
        <v>2987</v>
      </c>
    </row>
    <row r="503" ht="12.75" customHeight="1">
      <c r="A503" s="5">
        <v>0.1</v>
      </c>
    </row>
    <row r="504" ht="12.75" customHeight="1">
      <c r="A504" s="5" t="s">
        <v>2988</v>
      </c>
    </row>
    <row r="505" ht="12.75" customHeight="1">
      <c r="A505" s="5" t="s">
        <v>2989</v>
      </c>
    </row>
    <row r="506" ht="12.75" customHeight="1">
      <c r="A506" s="5" t="s">
        <v>2990</v>
      </c>
    </row>
    <row r="507" ht="12.75" customHeight="1">
      <c r="A507" s="5" t="s">
        <v>2991</v>
      </c>
    </row>
    <row r="508" ht="12.75" customHeight="1">
      <c r="A508" s="5">
        <v>0.05</v>
      </c>
    </row>
    <row r="509" ht="12.75" customHeight="1">
      <c r="A509" s="5" t="s">
        <v>2992</v>
      </c>
    </row>
    <row r="510" ht="12.75" customHeight="1">
      <c r="A510" s="5" t="s">
        <v>2993</v>
      </c>
    </row>
    <row r="511" ht="12.75" customHeight="1">
      <c r="A511" s="5">
        <v>0.04</v>
      </c>
    </row>
    <row r="512" ht="12.75" customHeight="1">
      <c r="A512" s="5" t="s">
        <v>2994</v>
      </c>
    </row>
    <row r="513" ht="12.75" customHeight="1">
      <c r="A513" s="5" t="s">
        <v>2995</v>
      </c>
    </row>
    <row r="514" ht="12.75" customHeight="1">
      <c r="A514" s="5">
        <v>0.01</v>
      </c>
    </row>
    <row r="515" ht="12.75" customHeight="1">
      <c r="A515" s="5" t="s">
        <v>2996</v>
      </c>
    </row>
    <row r="516" ht="12.75" customHeight="1">
      <c r="A516" s="5" t="s">
        <v>3716</v>
      </c>
    </row>
    <row r="517" ht="12.75" customHeight="1">
      <c r="A517" s="5" t="s">
        <v>2539</v>
      </c>
    </row>
    <row r="518" ht="12.75" customHeight="1">
      <c r="A518" s="5" t="s">
        <v>1771</v>
      </c>
    </row>
    <row r="519" ht="12.75" customHeight="1">
      <c r="A519" s="5">
        <v>0.2</v>
      </c>
    </row>
    <row r="520" ht="12.75" customHeight="1">
      <c r="A520" s="5" t="s">
        <v>562</v>
      </c>
    </row>
    <row r="521" ht="12.75" customHeight="1">
      <c r="A521" s="5" t="s">
        <v>2987</v>
      </c>
    </row>
    <row r="522" ht="12.75" customHeight="1">
      <c r="A522" s="5">
        <v>0.1</v>
      </c>
    </row>
    <row r="523" ht="12.75" customHeight="1">
      <c r="A523" s="5" t="s">
        <v>2988</v>
      </c>
    </row>
    <row r="524" ht="12.75" customHeight="1">
      <c r="A524" s="5" t="s">
        <v>2989</v>
      </c>
    </row>
    <row r="525" ht="12.75" customHeight="1">
      <c r="A525" s="5" t="s">
        <v>2990</v>
      </c>
    </row>
    <row r="526" ht="12.75" customHeight="1">
      <c r="A526" s="5" t="s">
        <v>2991</v>
      </c>
    </row>
    <row r="527" ht="12.75" customHeight="1">
      <c r="A527" s="5">
        <v>0.05</v>
      </c>
    </row>
    <row r="528" ht="12.75" customHeight="1">
      <c r="A528" s="5" t="s">
        <v>2992</v>
      </c>
    </row>
    <row r="529" ht="12.75" customHeight="1">
      <c r="A529" s="5" t="s">
        <v>2993</v>
      </c>
    </row>
    <row r="530" ht="12.75" customHeight="1">
      <c r="A530" s="5">
        <v>0.04</v>
      </c>
    </row>
    <row r="531" ht="12.75" customHeight="1">
      <c r="A531" s="5" t="s">
        <v>2994</v>
      </c>
    </row>
    <row r="532" ht="12.75" customHeight="1">
      <c r="A532" s="5" t="s">
        <v>2995</v>
      </c>
    </row>
    <row r="533" ht="12.75" customHeight="1">
      <c r="A533" s="5">
        <v>0.01</v>
      </c>
    </row>
    <row r="534" ht="12.75" customHeight="1">
      <c r="A534" s="5" t="s">
        <v>2996</v>
      </c>
    </row>
    <row r="535" ht="12.75" customHeight="1">
      <c r="A535" s="5" t="s">
        <v>2999</v>
      </c>
    </row>
    <row r="536" ht="12.75" customHeight="1">
      <c r="A536" s="5" t="s">
        <v>3983</v>
      </c>
    </row>
    <row r="537" ht="12.75" customHeight="1">
      <c r="A537" s="5" t="s">
        <v>3984</v>
      </c>
    </row>
    <row r="538" ht="12.75" customHeight="1">
      <c r="A538" s="5" t="s">
        <v>3001</v>
      </c>
    </row>
    <row r="539" ht="12.75" customHeight="1">
      <c r="A539" s="5" t="s">
        <v>3002</v>
      </c>
    </row>
    <row r="540" ht="12.75" customHeight="1">
      <c r="A540" s="5" t="s">
        <v>3003</v>
      </c>
    </row>
    <row r="541" ht="12.75" customHeight="1">
      <c r="A541" s="5" t="s">
        <v>3234</v>
      </c>
    </row>
    <row r="542" ht="12.75" customHeight="1">
      <c r="A542" s="5" t="s">
        <v>2539</v>
      </c>
    </row>
    <row r="543" ht="12.75" customHeight="1">
      <c r="A543" s="5" t="s">
        <v>1774</v>
      </c>
    </row>
    <row r="544" ht="12.75" customHeight="1">
      <c r="A544" s="5">
        <v>0.2</v>
      </c>
    </row>
    <row r="545" ht="12.75" customHeight="1">
      <c r="A545" s="5" t="s">
        <v>581</v>
      </c>
    </row>
    <row r="546" ht="12.75" customHeight="1">
      <c r="A546" s="5" t="s">
        <v>3006</v>
      </c>
    </row>
    <row r="547" ht="12.75" customHeight="1">
      <c r="A547" s="5">
        <v>0.1</v>
      </c>
    </row>
    <row r="548" ht="12.75" customHeight="1">
      <c r="A548" s="5" t="s">
        <v>3007</v>
      </c>
    </row>
    <row r="549" ht="12.75" customHeight="1">
      <c r="A549" s="5" t="s">
        <v>3008</v>
      </c>
    </row>
    <row r="550" ht="12.75" customHeight="1">
      <c r="A550" s="5" t="s">
        <v>3009</v>
      </c>
    </row>
    <row r="551" ht="12.75" customHeight="1">
      <c r="A551" s="5" t="s">
        <v>3010</v>
      </c>
    </row>
    <row r="552" ht="12.75" customHeight="1">
      <c r="A552" s="5">
        <v>0.05</v>
      </c>
    </row>
    <row r="553" ht="12.75" customHeight="1">
      <c r="A553" s="5" t="s">
        <v>3011</v>
      </c>
    </row>
    <row r="554" ht="12.75" customHeight="1">
      <c r="A554" s="5" t="s">
        <v>3012</v>
      </c>
    </row>
    <row r="555" ht="12.75" customHeight="1">
      <c r="A555" s="5">
        <v>0.04</v>
      </c>
    </row>
    <row r="556" ht="12.75" customHeight="1">
      <c r="A556" s="5" t="s">
        <v>3013</v>
      </c>
    </row>
    <row r="557" ht="12.75" customHeight="1">
      <c r="A557" s="5" t="s">
        <v>3014</v>
      </c>
    </row>
    <row r="558" ht="12.75" customHeight="1">
      <c r="A558" s="5">
        <v>0.01</v>
      </c>
    </row>
    <row r="559" ht="12.75" customHeight="1">
      <c r="A559" s="5" t="s">
        <v>3015</v>
      </c>
    </row>
    <row r="560" ht="12.75" customHeight="1">
      <c r="A560" s="5" t="s">
        <v>3717</v>
      </c>
    </row>
    <row r="561" ht="12.75" customHeight="1">
      <c r="A561" s="5" t="s">
        <v>2539</v>
      </c>
    </row>
    <row r="562" ht="12.75" customHeight="1">
      <c r="A562" s="5" t="s">
        <v>1777</v>
      </c>
    </row>
    <row r="563" ht="12.75" customHeight="1">
      <c r="A563" s="5">
        <v>0.2</v>
      </c>
    </row>
    <row r="564" ht="12.75" customHeight="1">
      <c r="A564" s="5" t="s">
        <v>581</v>
      </c>
    </row>
    <row r="565" ht="12.75" customHeight="1">
      <c r="A565" s="5" t="s">
        <v>3006</v>
      </c>
    </row>
    <row r="566" ht="12.75" customHeight="1">
      <c r="A566" s="5">
        <v>0.1</v>
      </c>
    </row>
    <row r="567" ht="12.75" customHeight="1">
      <c r="A567" s="5" t="s">
        <v>3007</v>
      </c>
    </row>
    <row r="568" ht="12.75" customHeight="1">
      <c r="A568" s="5" t="s">
        <v>3008</v>
      </c>
    </row>
    <row r="569" ht="12.75" customHeight="1">
      <c r="A569" s="5" t="s">
        <v>3009</v>
      </c>
    </row>
    <row r="570" ht="12.75" customHeight="1">
      <c r="A570" s="5" t="s">
        <v>3010</v>
      </c>
    </row>
    <row r="571" ht="12.75" customHeight="1">
      <c r="A571" s="5">
        <v>0.05</v>
      </c>
    </row>
    <row r="572" ht="12.75" customHeight="1">
      <c r="A572" s="5" t="s">
        <v>3011</v>
      </c>
    </row>
    <row r="573" ht="12.75" customHeight="1">
      <c r="A573" s="5" t="s">
        <v>3012</v>
      </c>
    </row>
    <row r="574" ht="12.75" customHeight="1">
      <c r="A574" s="5">
        <v>0.04</v>
      </c>
    </row>
    <row r="575" ht="12.75" customHeight="1">
      <c r="A575" s="5" t="s">
        <v>3013</v>
      </c>
    </row>
    <row r="576" ht="12.75" customHeight="1">
      <c r="A576" s="5" t="s">
        <v>3014</v>
      </c>
    </row>
    <row r="577" ht="12.75" customHeight="1">
      <c r="A577" s="5">
        <v>0.01</v>
      </c>
    </row>
    <row r="578" ht="12.75" customHeight="1">
      <c r="A578" s="5" t="s">
        <v>3015</v>
      </c>
    </row>
    <row r="579" ht="12.75" customHeight="1">
      <c r="A579" s="5" t="s">
        <v>3021</v>
      </c>
    </row>
    <row r="580" ht="12.75" customHeight="1">
      <c r="A580" s="5" t="s">
        <v>2539</v>
      </c>
    </row>
    <row r="581" ht="12.75" customHeight="1">
      <c r="A581" s="5" t="s">
        <v>1782</v>
      </c>
    </row>
    <row r="582" ht="12.75" customHeight="1">
      <c r="A582" s="5">
        <v>0.2</v>
      </c>
    </row>
    <row r="583" ht="12.75" customHeight="1">
      <c r="A583" s="5" t="s">
        <v>581</v>
      </c>
    </row>
    <row r="584" ht="12.75" customHeight="1">
      <c r="A584" s="5" t="s">
        <v>3006</v>
      </c>
    </row>
    <row r="585" ht="12.75" customHeight="1">
      <c r="A585" s="5">
        <v>0.1</v>
      </c>
    </row>
    <row r="586" ht="12.75" customHeight="1">
      <c r="A586" s="5" t="s">
        <v>3007</v>
      </c>
    </row>
    <row r="587" ht="12.75" customHeight="1">
      <c r="A587" s="5" t="s">
        <v>3008</v>
      </c>
    </row>
    <row r="588" ht="12.75" customHeight="1">
      <c r="A588" s="5" t="s">
        <v>3009</v>
      </c>
    </row>
    <row r="589" ht="12.75" customHeight="1">
      <c r="A589" s="5" t="s">
        <v>3010</v>
      </c>
    </row>
    <row r="590" ht="12.75" customHeight="1">
      <c r="A590" s="5">
        <v>0.05</v>
      </c>
    </row>
    <row r="591" ht="12.75" customHeight="1">
      <c r="A591" s="5" t="s">
        <v>3011</v>
      </c>
    </row>
    <row r="592" ht="12.75" customHeight="1">
      <c r="A592" s="5" t="s">
        <v>3012</v>
      </c>
    </row>
    <row r="593" ht="12.75" customHeight="1">
      <c r="A593" s="5">
        <v>0.04</v>
      </c>
    </row>
    <row r="594" ht="12.75" customHeight="1">
      <c r="A594" s="5" t="s">
        <v>3013</v>
      </c>
    </row>
    <row r="595" ht="12.75" customHeight="1">
      <c r="A595" s="5" t="s">
        <v>3014</v>
      </c>
    </row>
    <row r="596" ht="12.75" customHeight="1">
      <c r="A596" s="5">
        <v>0.01</v>
      </c>
    </row>
    <row r="597" ht="12.75" customHeight="1">
      <c r="A597" s="5" t="s">
        <v>3015</v>
      </c>
    </row>
    <row r="598" ht="12.75" customHeight="1">
      <c r="A598" s="5" t="s">
        <v>3021</v>
      </c>
    </row>
    <row r="599" ht="12.75" customHeight="1">
      <c r="A599" s="5" t="s">
        <v>2539</v>
      </c>
    </row>
    <row r="600" ht="12.75" customHeight="1">
      <c r="A600" s="5" t="s">
        <v>1785</v>
      </c>
    </row>
    <row r="601" ht="12.75" customHeight="1">
      <c r="A601" s="5">
        <v>0.2</v>
      </c>
    </row>
    <row r="602" ht="12.75" customHeight="1">
      <c r="A602" s="5" t="s">
        <v>581</v>
      </c>
    </row>
    <row r="603" ht="12.75" customHeight="1">
      <c r="A603" s="5" t="s">
        <v>3006</v>
      </c>
    </row>
    <row r="604" ht="12.75" customHeight="1">
      <c r="A604" s="5">
        <v>0.1</v>
      </c>
    </row>
    <row r="605" ht="12.75" customHeight="1">
      <c r="A605" s="5" t="s">
        <v>3007</v>
      </c>
    </row>
    <row r="606" ht="12.75" customHeight="1">
      <c r="A606" s="5" t="s">
        <v>3008</v>
      </c>
    </row>
    <row r="607" ht="12.75" customHeight="1">
      <c r="A607" s="5" t="s">
        <v>3009</v>
      </c>
    </row>
    <row r="608" ht="12.75" customHeight="1">
      <c r="A608" s="5" t="s">
        <v>3010</v>
      </c>
    </row>
    <row r="609" ht="12.75" customHeight="1">
      <c r="A609" s="5">
        <v>0.05</v>
      </c>
    </row>
    <row r="610" ht="12.75" customHeight="1">
      <c r="A610" s="5" t="s">
        <v>3011</v>
      </c>
    </row>
    <row r="611" ht="12.75" customHeight="1">
      <c r="A611" s="5" t="s">
        <v>3012</v>
      </c>
    </row>
    <row r="612" ht="12.75" customHeight="1">
      <c r="A612" s="5">
        <v>0.04</v>
      </c>
    </row>
    <row r="613" ht="12.75" customHeight="1">
      <c r="A613" s="5" t="s">
        <v>3013</v>
      </c>
    </row>
    <row r="614" ht="12.75" customHeight="1">
      <c r="A614" s="5" t="s">
        <v>3014</v>
      </c>
    </row>
    <row r="615" ht="12.75" customHeight="1">
      <c r="A615" s="5">
        <v>0.01</v>
      </c>
    </row>
    <row r="616" ht="12.75" customHeight="1">
      <c r="A616" s="5" t="s">
        <v>3015</v>
      </c>
    </row>
    <row r="617" ht="12.75" customHeight="1">
      <c r="A617" s="5" t="s">
        <v>3021</v>
      </c>
    </row>
    <row r="618" ht="12.75" customHeight="1">
      <c r="A618" s="5" t="s">
        <v>3981</v>
      </c>
    </row>
    <row r="619" ht="12.75" customHeight="1">
      <c r="A619" s="5" t="s">
        <v>3985</v>
      </c>
    </row>
    <row r="620" ht="12.75" customHeight="1">
      <c r="A620" s="5" t="s">
        <v>3023</v>
      </c>
    </row>
    <row r="621" ht="12.75" customHeight="1">
      <c r="A621" s="5" t="s">
        <v>3024</v>
      </c>
    </row>
    <row r="622" ht="12.75" customHeight="1">
      <c r="A622" s="5" t="s">
        <v>3025</v>
      </c>
    </row>
    <row r="623" ht="12.75" customHeight="1">
      <c r="A623" s="5" t="s">
        <v>2923</v>
      </c>
    </row>
    <row r="624" ht="12.75" customHeight="1">
      <c r="A624" s="5" t="s">
        <v>3978</v>
      </c>
    </row>
    <row r="625" ht="12.75" customHeight="1">
      <c r="A625" s="5" t="s">
        <v>602</v>
      </c>
    </row>
    <row r="626" ht="12.75" customHeight="1">
      <c r="A626" s="5" t="s">
        <v>3026</v>
      </c>
    </row>
    <row r="627" ht="12.75" customHeight="1">
      <c r="A627" s="5" t="s">
        <v>3979</v>
      </c>
    </row>
    <row r="628" ht="12.75" customHeight="1">
      <c r="A628" s="5" t="s">
        <v>3027</v>
      </c>
    </row>
    <row r="629" ht="12.75" customHeight="1">
      <c r="A629" s="5" t="s">
        <v>3028</v>
      </c>
    </row>
    <row r="630" ht="12.75" customHeight="1">
      <c r="A630" s="5" t="s">
        <v>3029</v>
      </c>
    </row>
    <row r="631" ht="12.75" customHeight="1">
      <c r="A631" s="5" t="s">
        <v>3980</v>
      </c>
    </row>
    <row r="632" ht="12.75" customHeight="1">
      <c r="A632" s="5" t="s">
        <v>3030</v>
      </c>
    </row>
    <row r="633" ht="12.75" customHeight="1">
      <c r="A633" s="5" t="s">
        <v>3031</v>
      </c>
    </row>
    <row r="634" ht="12.75" customHeight="1">
      <c r="A634" s="5" t="s">
        <v>3032</v>
      </c>
    </row>
    <row r="635" ht="12.75" customHeight="1">
      <c r="A635" s="5" t="s">
        <v>3033</v>
      </c>
    </row>
    <row r="636" ht="12.75" customHeight="1">
      <c r="A636" s="5" t="s">
        <v>3034</v>
      </c>
    </row>
    <row r="637" ht="12.75" customHeight="1">
      <c r="A637" s="5" t="s">
        <v>2539</v>
      </c>
    </row>
    <row r="638" ht="12.75" customHeight="1">
      <c r="A638" s="5" t="s">
        <v>1790</v>
      </c>
    </row>
    <row r="639" ht="12.75" customHeight="1">
      <c r="A639" s="5">
        <v>0.2</v>
      </c>
    </row>
    <row r="640" ht="12.75" customHeight="1">
      <c r="A640" s="5" t="s">
        <v>581</v>
      </c>
    </row>
    <row r="641" ht="12.75" customHeight="1">
      <c r="A641" s="5" t="s">
        <v>3006</v>
      </c>
    </row>
    <row r="642" ht="12.75" customHeight="1">
      <c r="A642" s="5">
        <v>0.1</v>
      </c>
    </row>
    <row r="643" ht="12.75" customHeight="1">
      <c r="A643" s="5" t="s">
        <v>3007</v>
      </c>
    </row>
    <row r="644" ht="12.75" customHeight="1">
      <c r="A644" s="5" t="s">
        <v>3008</v>
      </c>
    </row>
    <row r="645" ht="12.75" customHeight="1">
      <c r="A645" s="5" t="s">
        <v>3009</v>
      </c>
    </row>
    <row r="646" ht="12.75" customHeight="1">
      <c r="A646" s="5" t="s">
        <v>3010</v>
      </c>
    </row>
    <row r="647" ht="12.75" customHeight="1">
      <c r="A647" s="5">
        <v>0.05</v>
      </c>
    </row>
    <row r="648" ht="12.75" customHeight="1">
      <c r="A648" s="5" t="s">
        <v>3011</v>
      </c>
    </row>
    <row r="649" ht="12.75" customHeight="1">
      <c r="A649" s="5" t="s">
        <v>3012</v>
      </c>
    </row>
    <row r="650" ht="12.75" customHeight="1">
      <c r="A650" s="5">
        <v>0.04</v>
      </c>
    </row>
    <row r="651" ht="12.75" customHeight="1">
      <c r="A651" s="5" t="s">
        <v>3013</v>
      </c>
    </row>
    <row r="652" ht="12.75" customHeight="1">
      <c r="A652" s="5" t="s">
        <v>3014</v>
      </c>
    </row>
    <row r="653" ht="12.75" customHeight="1">
      <c r="A653" s="5">
        <v>0.01</v>
      </c>
    </row>
    <row r="654" ht="12.75" customHeight="1">
      <c r="A654" s="5" t="s">
        <v>3015</v>
      </c>
    </row>
    <row r="655" ht="12.75" customHeight="1">
      <c r="A655" s="5" t="s">
        <v>3021</v>
      </c>
    </row>
    <row r="656" ht="12.75" customHeight="1">
      <c r="A656" s="5" t="s">
        <v>3981</v>
      </c>
    </row>
    <row r="657" ht="12.75" customHeight="1">
      <c r="A657" s="5" t="s">
        <v>3985</v>
      </c>
    </row>
    <row r="658" ht="12.75" customHeight="1">
      <c r="A658" s="5" t="s">
        <v>3023</v>
      </c>
    </row>
    <row r="659" ht="12.75" customHeight="1">
      <c r="A659" s="5" t="s">
        <v>3024</v>
      </c>
    </row>
    <row r="660" ht="12.75" customHeight="1">
      <c r="A660" s="5" t="s">
        <v>3025</v>
      </c>
    </row>
    <row r="661" ht="12.75" customHeight="1">
      <c r="A661" s="5" t="s">
        <v>2923</v>
      </c>
    </row>
    <row r="662" ht="12.75" customHeight="1">
      <c r="A662" s="5" t="s">
        <v>3978</v>
      </c>
    </row>
    <row r="663" ht="12.75" customHeight="1">
      <c r="A663" s="5" t="s">
        <v>602</v>
      </c>
    </row>
    <row r="664" ht="12.75" customHeight="1">
      <c r="A664" s="5" t="s">
        <v>3026</v>
      </c>
    </row>
    <row r="665" ht="12.75" customHeight="1">
      <c r="A665" s="5" t="s">
        <v>3979</v>
      </c>
    </row>
    <row r="666" ht="12.75" customHeight="1">
      <c r="A666" s="5" t="s">
        <v>3027</v>
      </c>
    </row>
    <row r="667" ht="12.75" customHeight="1">
      <c r="A667" s="5" t="s">
        <v>3028</v>
      </c>
    </row>
    <row r="668" ht="12.75" customHeight="1">
      <c r="A668" s="5" t="s">
        <v>3029</v>
      </c>
    </row>
    <row r="669" ht="12.75" customHeight="1">
      <c r="A669" s="5" t="s">
        <v>3980</v>
      </c>
    </row>
    <row r="670" ht="12.75" customHeight="1">
      <c r="A670" s="5" t="s">
        <v>3030</v>
      </c>
    </row>
    <row r="671" ht="12.75" customHeight="1">
      <c r="A671" s="5" t="s">
        <v>3031</v>
      </c>
    </row>
    <row r="672" ht="12.75" customHeight="1">
      <c r="A672" s="5" t="s">
        <v>3032</v>
      </c>
    </row>
    <row r="673" ht="12.75" customHeight="1">
      <c r="A673" s="5" t="s">
        <v>3033</v>
      </c>
    </row>
    <row r="674" ht="12.75" customHeight="1">
      <c r="A674" s="5" t="s">
        <v>3034</v>
      </c>
    </row>
    <row r="675" ht="12.75" customHeight="1">
      <c r="A675" s="5" t="s">
        <v>2539</v>
      </c>
    </row>
    <row r="676" ht="12.75" customHeight="1">
      <c r="A676" s="5" t="s">
        <v>1799</v>
      </c>
    </row>
    <row r="677" ht="12.75" customHeight="1">
      <c r="A677" s="5">
        <v>0.2</v>
      </c>
    </row>
    <row r="678" ht="12.75" customHeight="1">
      <c r="A678" s="5" t="s">
        <v>614</v>
      </c>
    </row>
    <row r="679" ht="12.75" customHeight="1">
      <c r="A679" s="5" t="s">
        <v>3038</v>
      </c>
    </row>
    <row r="680" ht="12.75" customHeight="1">
      <c r="A680" s="5">
        <v>0.1</v>
      </c>
    </row>
    <row r="681" ht="12.75" customHeight="1">
      <c r="A681" s="5" t="s">
        <v>3039</v>
      </c>
    </row>
    <row r="682" ht="12.75" customHeight="1">
      <c r="A682" s="5" t="s">
        <v>3040</v>
      </c>
    </row>
    <row r="683" ht="12.75" customHeight="1">
      <c r="A683" s="5" t="s">
        <v>3041</v>
      </c>
    </row>
    <row r="684" ht="12.75" customHeight="1">
      <c r="A684" s="5" t="s">
        <v>3042</v>
      </c>
    </row>
    <row r="685" ht="12.75" customHeight="1">
      <c r="A685" s="5">
        <v>0.05</v>
      </c>
    </row>
    <row r="686" ht="12.75" customHeight="1">
      <c r="A686" s="5" t="s">
        <v>3043</v>
      </c>
    </row>
    <row r="687" ht="12.75" customHeight="1">
      <c r="A687" s="5" t="s">
        <v>3044</v>
      </c>
    </row>
    <row r="688" ht="12.75" customHeight="1">
      <c r="A688" s="5">
        <v>0.04</v>
      </c>
    </row>
    <row r="689" ht="12.75" customHeight="1">
      <c r="A689" s="5" t="s">
        <v>3045</v>
      </c>
    </row>
    <row r="690" ht="12.75" customHeight="1">
      <c r="A690" s="5" t="s">
        <v>3046</v>
      </c>
    </row>
    <row r="691" ht="12.75" customHeight="1">
      <c r="A691" s="5">
        <v>0.01</v>
      </c>
    </row>
    <row r="692" ht="12.75" customHeight="1">
      <c r="A692" s="5" t="s">
        <v>3047</v>
      </c>
    </row>
    <row r="693" ht="12.75" customHeight="1">
      <c r="A693" s="5" t="s">
        <v>3718</v>
      </c>
    </row>
    <row r="694" ht="12.75" customHeight="1">
      <c r="A694" s="5" t="s">
        <v>2539</v>
      </c>
    </row>
    <row r="695" ht="12.75" customHeight="1">
      <c r="A695" s="5" t="s">
        <v>1804</v>
      </c>
    </row>
    <row r="696" ht="12.75" customHeight="1">
      <c r="A696" s="5">
        <v>0.2</v>
      </c>
    </row>
    <row r="697" ht="12.75" customHeight="1">
      <c r="A697" s="5" t="s">
        <v>614</v>
      </c>
    </row>
    <row r="698" ht="12.75" customHeight="1">
      <c r="A698" s="5" t="s">
        <v>3038</v>
      </c>
    </row>
    <row r="699" ht="12.75" customHeight="1">
      <c r="A699" s="5">
        <v>0.1</v>
      </c>
    </row>
    <row r="700" ht="12.75" customHeight="1">
      <c r="A700" s="5" t="s">
        <v>3039</v>
      </c>
    </row>
    <row r="701" ht="12.75" customHeight="1">
      <c r="A701" s="5" t="s">
        <v>3040</v>
      </c>
    </row>
    <row r="702" ht="12.75" customHeight="1">
      <c r="A702" s="5" t="s">
        <v>3041</v>
      </c>
    </row>
    <row r="703" ht="12.75" customHeight="1">
      <c r="A703" s="5" t="s">
        <v>3042</v>
      </c>
    </row>
    <row r="704" ht="12.75" customHeight="1">
      <c r="A704" s="5">
        <v>0.05</v>
      </c>
    </row>
    <row r="705" ht="12.75" customHeight="1">
      <c r="A705" s="5" t="s">
        <v>3043</v>
      </c>
    </row>
    <row r="706" ht="12.75" customHeight="1">
      <c r="A706" s="5" t="s">
        <v>3044</v>
      </c>
    </row>
    <row r="707" ht="12.75" customHeight="1">
      <c r="A707" s="5">
        <v>0.04</v>
      </c>
    </row>
    <row r="708" ht="12.75" customHeight="1">
      <c r="A708" s="5" t="s">
        <v>3045</v>
      </c>
    </row>
    <row r="709" ht="12.75" customHeight="1">
      <c r="A709" s="5" t="s">
        <v>3046</v>
      </c>
    </row>
    <row r="710" ht="12.75" customHeight="1">
      <c r="A710" s="5">
        <v>0.01</v>
      </c>
    </row>
    <row r="711" ht="12.75" customHeight="1">
      <c r="A711" s="5" t="s">
        <v>3047</v>
      </c>
    </row>
    <row r="712" ht="12.75" customHeight="1">
      <c r="A712" s="5" t="s">
        <v>3718</v>
      </c>
    </row>
    <row r="713" ht="12.75" customHeight="1">
      <c r="A713" s="5" t="s">
        <v>2539</v>
      </c>
    </row>
    <row r="714" ht="12.75" customHeight="1">
      <c r="A714" s="5" t="s">
        <v>1809</v>
      </c>
    </row>
    <row r="715" ht="12.75" customHeight="1">
      <c r="A715" s="5">
        <v>0.2</v>
      </c>
    </row>
    <row r="716" ht="12.75" customHeight="1">
      <c r="A716" s="5" t="s">
        <v>614</v>
      </c>
    </row>
    <row r="717" ht="12.75" customHeight="1">
      <c r="A717" s="5" t="s">
        <v>3038</v>
      </c>
    </row>
    <row r="718" ht="12.75" customHeight="1">
      <c r="A718" s="5">
        <v>0.1</v>
      </c>
    </row>
    <row r="719" ht="12.75" customHeight="1">
      <c r="A719" s="5" t="s">
        <v>3039</v>
      </c>
    </row>
    <row r="720" ht="12.75" customHeight="1">
      <c r="A720" s="5" t="s">
        <v>3040</v>
      </c>
    </row>
    <row r="721" ht="12.75" customHeight="1">
      <c r="A721" s="5" t="s">
        <v>3041</v>
      </c>
    </row>
    <row r="722" ht="12.75" customHeight="1">
      <c r="A722" s="5" t="s">
        <v>3042</v>
      </c>
    </row>
    <row r="723" ht="12.75" customHeight="1">
      <c r="A723" s="5">
        <v>0.05</v>
      </c>
    </row>
    <row r="724" ht="12.75" customHeight="1">
      <c r="A724" s="5" t="s">
        <v>3043</v>
      </c>
    </row>
    <row r="725" ht="12.75" customHeight="1">
      <c r="A725" s="5" t="s">
        <v>3044</v>
      </c>
    </row>
    <row r="726" ht="12.75" customHeight="1">
      <c r="A726" s="5">
        <v>0.04</v>
      </c>
    </row>
    <row r="727" ht="12.75" customHeight="1">
      <c r="A727" s="5" t="s">
        <v>3045</v>
      </c>
    </row>
    <row r="728" ht="12.75" customHeight="1">
      <c r="A728" s="5" t="s">
        <v>3046</v>
      </c>
    </row>
    <row r="729" ht="12.75" customHeight="1">
      <c r="A729" s="5">
        <v>0.01</v>
      </c>
    </row>
    <row r="730" ht="12.75" customHeight="1">
      <c r="A730" s="5" t="s">
        <v>3047</v>
      </c>
    </row>
    <row r="731" ht="12.75" customHeight="1">
      <c r="A731" s="5" t="s">
        <v>3718</v>
      </c>
    </row>
    <row r="732" ht="12.75" customHeight="1">
      <c r="A732" s="5" t="s">
        <v>2539</v>
      </c>
    </row>
    <row r="733" ht="12.75" customHeight="1">
      <c r="A733" s="5" t="s">
        <v>1814</v>
      </c>
    </row>
    <row r="734" ht="12.75" customHeight="1">
      <c r="A734" s="5">
        <v>0.2</v>
      </c>
    </row>
    <row r="735" ht="12.75" customHeight="1">
      <c r="A735" s="5" t="s">
        <v>614</v>
      </c>
    </row>
    <row r="736" ht="12.75" customHeight="1">
      <c r="A736" s="5" t="s">
        <v>3038</v>
      </c>
    </row>
    <row r="737" ht="12.75" customHeight="1">
      <c r="A737" s="5">
        <v>0.1</v>
      </c>
    </row>
    <row r="738" ht="12.75" customHeight="1">
      <c r="A738" s="5" t="s">
        <v>3039</v>
      </c>
    </row>
    <row r="739" ht="12.75" customHeight="1">
      <c r="A739" s="5" t="s">
        <v>3040</v>
      </c>
    </row>
    <row r="740" ht="12.75" customHeight="1">
      <c r="A740" s="5" t="s">
        <v>3041</v>
      </c>
    </row>
    <row r="741" ht="12.75" customHeight="1">
      <c r="A741" s="5" t="s">
        <v>3042</v>
      </c>
    </row>
    <row r="742" ht="12.75" customHeight="1">
      <c r="A742" s="5">
        <v>0.05</v>
      </c>
    </row>
    <row r="743" ht="12.75" customHeight="1">
      <c r="A743" s="5" t="s">
        <v>3043</v>
      </c>
    </row>
    <row r="744" ht="12.75" customHeight="1">
      <c r="A744" s="5" t="s">
        <v>3044</v>
      </c>
    </row>
    <row r="745" ht="12.75" customHeight="1">
      <c r="A745" s="5">
        <v>0.04</v>
      </c>
    </row>
    <row r="746" ht="12.75" customHeight="1">
      <c r="A746" s="5" t="s">
        <v>3045</v>
      </c>
    </row>
    <row r="747" ht="12.75" customHeight="1">
      <c r="A747" s="5" t="s">
        <v>3046</v>
      </c>
    </row>
    <row r="748" ht="12.75" customHeight="1">
      <c r="A748" s="5">
        <v>0.01</v>
      </c>
    </row>
    <row r="749" ht="12.75" customHeight="1">
      <c r="A749" s="5" t="s">
        <v>3047</v>
      </c>
    </row>
    <row r="750" ht="12.75" customHeight="1">
      <c r="A750" s="5" t="s">
        <v>3718</v>
      </c>
    </row>
    <row r="751" ht="12.75" customHeight="1">
      <c r="A751" s="5" t="s">
        <v>2539</v>
      </c>
    </row>
    <row r="752" ht="12.75" customHeight="1">
      <c r="A752" s="5" t="s">
        <v>1819</v>
      </c>
    </row>
    <row r="753" ht="12.75" customHeight="1">
      <c r="A753" s="5">
        <v>0.2</v>
      </c>
    </row>
    <row r="754" ht="12.75" customHeight="1">
      <c r="A754" s="5" t="s">
        <v>614</v>
      </c>
    </row>
    <row r="755" ht="12.75" customHeight="1">
      <c r="A755" s="5" t="s">
        <v>3038</v>
      </c>
    </row>
    <row r="756" ht="12.75" customHeight="1">
      <c r="A756" s="5">
        <v>0.1</v>
      </c>
    </row>
    <row r="757" ht="12.75" customHeight="1">
      <c r="A757" s="5" t="s">
        <v>3039</v>
      </c>
    </row>
    <row r="758" ht="12.75" customHeight="1">
      <c r="A758" s="5" t="s">
        <v>3040</v>
      </c>
    </row>
    <row r="759" ht="12.75" customHeight="1">
      <c r="A759" s="5" t="s">
        <v>3041</v>
      </c>
    </row>
    <row r="760" ht="12.75" customHeight="1">
      <c r="A760" s="5" t="s">
        <v>3042</v>
      </c>
    </row>
    <row r="761" ht="12.75" customHeight="1">
      <c r="A761" s="5">
        <v>0.05</v>
      </c>
    </row>
    <row r="762" ht="12.75" customHeight="1">
      <c r="A762" s="5" t="s">
        <v>3043</v>
      </c>
    </row>
    <row r="763" ht="12.75" customHeight="1">
      <c r="A763" s="5" t="s">
        <v>3044</v>
      </c>
    </row>
    <row r="764" ht="12.75" customHeight="1">
      <c r="A764" s="5">
        <v>0.04</v>
      </c>
    </row>
    <row r="765" ht="12.75" customHeight="1">
      <c r="A765" s="5" t="s">
        <v>3045</v>
      </c>
    </row>
    <row r="766" ht="12.75" customHeight="1">
      <c r="A766" s="5" t="s">
        <v>3046</v>
      </c>
    </row>
    <row r="767" ht="12.75" customHeight="1">
      <c r="A767" s="5">
        <v>0.01</v>
      </c>
    </row>
    <row r="768" ht="12.75" customHeight="1">
      <c r="A768" s="5" t="s">
        <v>3057</v>
      </c>
    </row>
    <row r="769" ht="12.75" customHeight="1">
      <c r="A769" s="5" t="s">
        <v>3718</v>
      </c>
    </row>
    <row r="770" ht="12.75" customHeight="1">
      <c r="A770" s="5" t="s">
        <v>2539</v>
      </c>
    </row>
    <row r="771" ht="12.75" customHeight="1">
      <c r="A771" s="5" t="s">
        <v>1822</v>
      </c>
    </row>
    <row r="772" ht="12.75" customHeight="1">
      <c r="A772" s="5">
        <v>0.2</v>
      </c>
    </row>
    <row r="773" ht="12.75" customHeight="1">
      <c r="A773" s="5" t="s">
        <v>632</v>
      </c>
    </row>
    <row r="774" ht="12.75" customHeight="1">
      <c r="A774" s="5" t="s">
        <v>3059</v>
      </c>
    </row>
    <row r="775" ht="12.75" customHeight="1">
      <c r="A775" s="5">
        <v>0.1</v>
      </c>
    </row>
    <row r="776" ht="12.75" customHeight="1">
      <c r="A776" s="5" t="s">
        <v>3060</v>
      </c>
    </row>
    <row r="777" ht="12.75" customHeight="1">
      <c r="A777" s="5" t="s">
        <v>3061</v>
      </c>
    </row>
    <row r="778" ht="12.75" customHeight="1">
      <c r="A778" s="5" t="s">
        <v>3062</v>
      </c>
    </row>
    <row r="779" ht="12.75" customHeight="1">
      <c r="A779" s="5" t="s">
        <v>3063</v>
      </c>
    </row>
    <row r="780" ht="12.75" customHeight="1">
      <c r="A780" s="5">
        <v>0.05</v>
      </c>
    </row>
    <row r="781" ht="12.75" customHeight="1">
      <c r="A781" s="5" t="s">
        <v>3064</v>
      </c>
    </row>
    <row r="782" ht="12.75" customHeight="1">
      <c r="A782" s="5" t="s">
        <v>3065</v>
      </c>
    </row>
    <row r="783" ht="12.75" customHeight="1">
      <c r="A783" s="5">
        <v>0.04</v>
      </c>
    </row>
    <row r="784" ht="12.75" customHeight="1">
      <c r="A784" s="5" t="s">
        <v>3066</v>
      </c>
    </row>
    <row r="785" ht="12.75" customHeight="1">
      <c r="A785" s="5" t="s">
        <v>3067</v>
      </c>
    </row>
    <row r="786" ht="12.75" customHeight="1">
      <c r="A786" s="5">
        <v>0.01</v>
      </c>
    </row>
    <row r="787" ht="12.75" customHeight="1">
      <c r="A787" s="5" t="s">
        <v>3068</v>
      </c>
    </row>
    <row r="788" ht="12.75" customHeight="1">
      <c r="A788" s="5" t="s">
        <v>3719</v>
      </c>
    </row>
    <row r="789" ht="12.75" customHeight="1">
      <c r="A789" s="5" t="s">
        <v>2539</v>
      </c>
    </row>
    <row r="790" ht="12.75" customHeight="1">
      <c r="A790" s="5" t="s">
        <v>1829</v>
      </c>
    </row>
    <row r="791" ht="12.75" customHeight="1">
      <c r="A791" s="5">
        <v>0.2</v>
      </c>
    </row>
    <row r="792" ht="12.75" customHeight="1">
      <c r="A792" s="5" t="s">
        <v>645</v>
      </c>
    </row>
    <row r="793" ht="12.75" customHeight="1">
      <c r="A793" s="5" t="s">
        <v>3071</v>
      </c>
    </row>
    <row r="794" ht="12.75" customHeight="1">
      <c r="A794" s="5">
        <v>0.1</v>
      </c>
    </row>
    <row r="795" ht="12.75" customHeight="1">
      <c r="A795" s="5" t="s">
        <v>3072</v>
      </c>
    </row>
    <row r="796" ht="12.75" customHeight="1">
      <c r="A796" s="5" t="s">
        <v>817</v>
      </c>
    </row>
    <row r="797" ht="12.75" customHeight="1">
      <c r="A797" s="5" t="s">
        <v>3073</v>
      </c>
    </row>
    <row r="798" ht="12.75" customHeight="1">
      <c r="A798" s="5" t="s">
        <v>658</v>
      </c>
    </row>
    <row r="799" ht="12.75" customHeight="1">
      <c r="A799" s="5">
        <v>0.05</v>
      </c>
    </row>
    <row r="800" ht="12.75" customHeight="1">
      <c r="A800" s="5" t="s">
        <v>3074</v>
      </c>
    </row>
    <row r="801" ht="12.75" customHeight="1">
      <c r="A801" s="5" t="s">
        <v>3075</v>
      </c>
    </row>
    <row r="802" ht="12.75" customHeight="1">
      <c r="A802" s="5">
        <v>0.04</v>
      </c>
    </row>
    <row r="803" ht="12.75" customHeight="1">
      <c r="A803" s="5" t="s">
        <v>3076</v>
      </c>
    </row>
    <row r="804" ht="12.75" customHeight="1">
      <c r="A804" s="5" t="s">
        <v>3077</v>
      </c>
    </row>
    <row r="805" ht="12.75" customHeight="1">
      <c r="A805" s="5">
        <v>0.01</v>
      </c>
    </row>
    <row r="806" ht="12.75" customHeight="1">
      <c r="A806" s="5" t="s">
        <v>3078</v>
      </c>
    </row>
    <row r="807" ht="12.75" customHeight="1">
      <c r="A807" s="5" t="s">
        <v>3079</v>
      </c>
    </row>
    <row r="808" ht="12.75" customHeight="1">
      <c r="A808" s="5" t="s">
        <v>3983</v>
      </c>
    </row>
    <row r="809" ht="12.75" customHeight="1">
      <c r="A809" s="5" t="s">
        <v>3984</v>
      </c>
    </row>
    <row r="810" ht="12.75" customHeight="1">
      <c r="A810" s="5" t="s">
        <v>3001</v>
      </c>
    </row>
    <row r="811" ht="12.75" customHeight="1">
      <c r="A811" s="5" t="s">
        <v>3002</v>
      </c>
    </row>
    <row r="812" ht="12.75" customHeight="1">
      <c r="A812" s="5" t="s">
        <v>3003</v>
      </c>
    </row>
    <row r="813" ht="12.75" customHeight="1">
      <c r="A813" s="5" t="s">
        <v>3234</v>
      </c>
    </row>
    <row r="814" ht="12.75" customHeight="1">
      <c r="A814" s="5" t="s">
        <v>2539</v>
      </c>
    </row>
    <row r="815" ht="12.75" customHeight="1">
      <c r="A815" s="5" t="s">
        <v>1833</v>
      </c>
    </row>
    <row r="816" ht="12.75" customHeight="1">
      <c r="A816" s="5">
        <v>0.2</v>
      </c>
    </row>
    <row r="817" ht="12.75" customHeight="1">
      <c r="A817" s="5" t="s">
        <v>658</v>
      </c>
    </row>
    <row r="818" ht="12.75" customHeight="1">
      <c r="A818" s="5" t="s">
        <v>3073</v>
      </c>
    </row>
    <row r="819" ht="12.75" customHeight="1">
      <c r="A819" s="5">
        <v>0.1</v>
      </c>
    </row>
    <row r="820" ht="12.75" customHeight="1">
      <c r="A820" s="5" t="s">
        <v>3081</v>
      </c>
    </row>
    <row r="821" ht="12.75" customHeight="1">
      <c r="A821" s="5" t="s">
        <v>3082</v>
      </c>
    </row>
    <row r="822" ht="12.75" customHeight="1">
      <c r="A822" s="5" t="s">
        <v>3083</v>
      </c>
    </row>
    <row r="823" ht="12.75" customHeight="1">
      <c r="A823" s="5" t="s">
        <v>3084</v>
      </c>
    </row>
    <row r="824" ht="12.75" customHeight="1">
      <c r="A824" s="5">
        <v>0.05</v>
      </c>
    </row>
    <row r="825" ht="12.75" customHeight="1">
      <c r="A825" s="5" t="s">
        <v>3085</v>
      </c>
    </row>
    <row r="826" ht="12.75" customHeight="1">
      <c r="A826" s="5" t="s">
        <v>3086</v>
      </c>
    </row>
    <row r="827" ht="12.75" customHeight="1">
      <c r="A827" s="5">
        <v>0.04</v>
      </c>
    </row>
    <row r="828" ht="12.75" customHeight="1">
      <c r="A828" s="5" t="s">
        <v>3087</v>
      </c>
    </row>
    <row r="829" ht="12.75" customHeight="1">
      <c r="A829" s="5" t="s">
        <v>3088</v>
      </c>
    </row>
    <row r="830" ht="12.75" customHeight="1">
      <c r="A830" s="5">
        <v>0.01</v>
      </c>
    </row>
    <row r="831" ht="12.75" customHeight="1">
      <c r="A831" s="5" t="s">
        <v>3087</v>
      </c>
    </row>
    <row r="832" ht="12.75" customHeight="1">
      <c r="A832" s="5" t="s">
        <v>3088</v>
      </c>
    </row>
    <row r="833" ht="12.75" customHeight="1">
      <c r="A833" s="5" t="s">
        <v>2539</v>
      </c>
    </row>
    <row r="834" ht="12.75" customHeight="1">
      <c r="A834" s="5" t="s">
        <v>1837</v>
      </c>
    </row>
    <row r="835" ht="12.75" customHeight="1">
      <c r="A835" s="5">
        <v>0.2</v>
      </c>
    </row>
    <row r="836" ht="12.75" customHeight="1">
      <c r="A836" s="5" t="s">
        <v>669</v>
      </c>
    </row>
    <row r="837" ht="12.75" customHeight="1">
      <c r="A837" s="5" t="s">
        <v>3091</v>
      </c>
    </row>
    <row r="838" ht="12.75" customHeight="1">
      <c r="A838" s="5">
        <v>0.1</v>
      </c>
    </row>
    <row r="839" ht="12.75" customHeight="1">
      <c r="A839" s="5" t="s">
        <v>3092</v>
      </c>
    </row>
    <row r="840" ht="12.75" customHeight="1">
      <c r="A840" s="5" t="s">
        <v>3093</v>
      </c>
    </row>
    <row r="841" ht="12.75" customHeight="1">
      <c r="A841" s="5" t="s">
        <v>3094</v>
      </c>
    </row>
    <row r="842" ht="12.75" customHeight="1">
      <c r="A842" s="5" t="s">
        <v>3095</v>
      </c>
    </row>
    <row r="843" ht="12.75" customHeight="1">
      <c r="A843" s="5">
        <v>0.05</v>
      </c>
    </row>
    <row r="844" ht="12.75" customHeight="1">
      <c r="A844" s="5" t="s">
        <v>3096</v>
      </c>
    </row>
    <row r="845" ht="12.75" customHeight="1">
      <c r="A845" s="5" t="s">
        <v>3096</v>
      </c>
    </row>
    <row r="846" ht="12.75" customHeight="1">
      <c r="A846" s="5">
        <v>0.04</v>
      </c>
    </row>
    <row r="847" ht="12.75" customHeight="1">
      <c r="A847" s="5" t="s">
        <v>3097</v>
      </c>
    </row>
    <row r="848" ht="12.75" customHeight="1">
      <c r="A848" s="5" t="s">
        <v>3097</v>
      </c>
    </row>
    <row r="849" ht="12.75" customHeight="1">
      <c r="A849" s="5">
        <v>0.01</v>
      </c>
    </row>
    <row r="850" ht="12.75" customHeight="1">
      <c r="A850" s="5" t="s">
        <v>3097</v>
      </c>
    </row>
    <row r="851" ht="12.75" customHeight="1">
      <c r="A851" s="5" t="s">
        <v>3097</v>
      </c>
    </row>
    <row r="852" ht="12.75" customHeight="1">
      <c r="A852" s="5" t="s">
        <v>3983</v>
      </c>
    </row>
    <row r="853" ht="12.75" customHeight="1">
      <c r="A853" s="5" t="s">
        <v>3984</v>
      </c>
    </row>
    <row r="854" ht="12.75" customHeight="1">
      <c r="A854" s="5" t="s">
        <v>3001</v>
      </c>
    </row>
    <row r="855" ht="12.75" customHeight="1">
      <c r="A855" s="5" t="s">
        <v>3002</v>
      </c>
    </row>
    <row r="856" ht="12.75" customHeight="1">
      <c r="A856" s="5" t="s">
        <v>3003</v>
      </c>
    </row>
    <row r="857" ht="12.75" customHeight="1">
      <c r="A857" s="5" t="s">
        <v>3234</v>
      </c>
    </row>
    <row r="858" ht="12.75" customHeight="1">
      <c r="A858" s="5" t="s">
        <v>2539</v>
      </c>
    </row>
    <row r="859" ht="12.75" customHeight="1">
      <c r="A859" s="5" t="s">
        <v>1841</v>
      </c>
    </row>
    <row r="860" ht="12.75" customHeight="1">
      <c r="A860" s="5">
        <v>0.2</v>
      </c>
    </row>
    <row r="861" ht="12.75" customHeight="1">
      <c r="A861" s="5" t="s">
        <v>658</v>
      </c>
    </row>
    <row r="862" ht="12.75" customHeight="1">
      <c r="A862" s="5" t="s">
        <v>3073</v>
      </c>
    </row>
    <row r="863" ht="12.75" customHeight="1">
      <c r="A863" s="5">
        <v>0.1</v>
      </c>
    </row>
    <row r="864" ht="12.75" customHeight="1">
      <c r="A864" s="5" t="s">
        <v>3081</v>
      </c>
    </row>
    <row r="865" ht="12.75" customHeight="1">
      <c r="A865" s="5" t="s">
        <v>3082</v>
      </c>
    </row>
    <row r="866" ht="12.75" customHeight="1">
      <c r="A866" s="5" t="s">
        <v>3083</v>
      </c>
    </row>
    <row r="867" ht="12.75" customHeight="1">
      <c r="A867" s="5" t="s">
        <v>3084</v>
      </c>
    </row>
    <row r="868" ht="12.75" customHeight="1">
      <c r="A868" s="5">
        <v>0.05</v>
      </c>
    </row>
    <row r="869" ht="12.75" customHeight="1">
      <c r="A869" s="5" t="s">
        <v>3085</v>
      </c>
    </row>
    <row r="870" ht="12.75" customHeight="1">
      <c r="A870" s="5" t="s">
        <v>3086</v>
      </c>
    </row>
    <row r="871" ht="12.75" customHeight="1">
      <c r="A871" s="5">
        <v>0.04</v>
      </c>
    </row>
    <row r="872" ht="12.75" customHeight="1">
      <c r="A872" s="5" t="s">
        <v>3087</v>
      </c>
    </row>
    <row r="873" ht="12.75" customHeight="1">
      <c r="A873" s="5" t="s">
        <v>3088</v>
      </c>
    </row>
    <row r="874" ht="12.75" customHeight="1">
      <c r="A874" s="5">
        <v>0.01</v>
      </c>
    </row>
    <row r="875" ht="12.75" customHeight="1">
      <c r="A875" s="5" t="s">
        <v>3087</v>
      </c>
    </row>
    <row r="876" ht="12.75" customHeight="1">
      <c r="A876" s="5" t="s">
        <v>3088</v>
      </c>
    </row>
    <row r="877" ht="12.75" customHeight="1">
      <c r="A877" s="5" t="s">
        <v>2539</v>
      </c>
    </row>
    <row r="878" ht="12.75" customHeight="1">
      <c r="A878" s="5" t="s">
        <v>1856</v>
      </c>
    </row>
    <row r="879" ht="12.75" customHeight="1">
      <c r="A879" s="5">
        <v>0.2</v>
      </c>
    </row>
    <row r="880" ht="12.75" customHeight="1">
      <c r="A880" s="5" t="s">
        <v>680</v>
      </c>
    </row>
    <row r="881" ht="12.75" customHeight="1">
      <c r="A881" s="5" t="s">
        <v>3100</v>
      </c>
    </row>
    <row r="882" ht="12.75" customHeight="1">
      <c r="A882" s="5">
        <v>0.1</v>
      </c>
    </row>
    <row r="883" ht="12.75" customHeight="1">
      <c r="A883" s="5" t="s">
        <v>3093</v>
      </c>
    </row>
    <row r="884" ht="12.75" customHeight="1">
      <c r="A884" s="5" t="s">
        <v>669</v>
      </c>
    </row>
    <row r="885" ht="12.75" customHeight="1">
      <c r="A885" s="5" t="s">
        <v>3095</v>
      </c>
    </row>
    <row r="886" ht="12.75" customHeight="1">
      <c r="A886" s="5" t="s">
        <v>3091</v>
      </c>
    </row>
    <row r="887" ht="12.75" customHeight="1">
      <c r="A887" s="5">
        <v>0.05</v>
      </c>
    </row>
    <row r="888" ht="12.75" customHeight="1">
      <c r="A888" s="5" t="s">
        <v>692</v>
      </c>
    </row>
    <row r="889" ht="12.75" customHeight="1">
      <c r="A889" s="5" t="s">
        <v>3097</v>
      </c>
    </row>
    <row r="890" ht="12.75" customHeight="1">
      <c r="A890" s="5">
        <v>0.04</v>
      </c>
    </row>
    <row r="891" ht="12.75" customHeight="1">
      <c r="A891" s="5" t="s">
        <v>701</v>
      </c>
    </row>
    <row r="892" ht="12.75" customHeight="1">
      <c r="A892" s="5" t="s">
        <v>3101</v>
      </c>
    </row>
    <row r="893" ht="12.75" customHeight="1">
      <c r="A893" s="5">
        <v>0.01</v>
      </c>
    </row>
    <row r="894" ht="12.75" customHeight="1">
      <c r="A894" s="5" t="s">
        <v>701</v>
      </c>
    </row>
    <row r="895" ht="12.75" customHeight="1">
      <c r="A895" s="5" t="s">
        <v>3101</v>
      </c>
    </row>
    <row r="896" ht="12.75" customHeight="1">
      <c r="A896" s="5" t="s">
        <v>3983</v>
      </c>
    </row>
    <row r="897" ht="12.75" customHeight="1">
      <c r="A897" s="5" t="s">
        <v>3986</v>
      </c>
    </row>
    <row r="898" ht="12.75" customHeight="1">
      <c r="A898" s="5" t="s">
        <v>3103</v>
      </c>
    </row>
    <row r="899" ht="12.75" customHeight="1">
      <c r="A899" s="5" t="s">
        <v>3104</v>
      </c>
    </row>
    <row r="900" ht="12.75" customHeight="1">
      <c r="A900" s="5" t="s">
        <v>3105</v>
      </c>
    </row>
    <row r="901" ht="12.75" customHeight="1">
      <c r="A901" s="5" t="s">
        <v>3105</v>
      </c>
    </row>
    <row r="902" ht="12.75" customHeight="1">
      <c r="A902" s="5" t="s">
        <v>2539</v>
      </c>
    </row>
    <row r="903" ht="12.75" customHeight="1">
      <c r="A903" s="5" t="s">
        <v>1861</v>
      </c>
    </row>
    <row r="904" ht="12.75" customHeight="1">
      <c r="A904" s="5">
        <v>0.2</v>
      </c>
    </row>
    <row r="905" ht="12.75" customHeight="1">
      <c r="A905" s="5" t="s">
        <v>692</v>
      </c>
    </row>
    <row r="906" ht="12.75" customHeight="1">
      <c r="A906" s="5" t="s">
        <v>680</v>
      </c>
    </row>
    <row r="907" ht="12.75" customHeight="1">
      <c r="A907" s="5">
        <v>0.1</v>
      </c>
    </row>
    <row r="908" ht="12.75" customHeight="1">
      <c r="A908" s="5" t="s">
        <v>669</v>
      </c>
    </row>
    <row r="909" ht="12.75" customHeight="1">
      <c r="A909" s="5" t="s">
        <v>701</v>
      </c>
    </row>
    <row r="910" ht="12.75" customHeight="1">
      <c r="A910" s="5" t="s">
        <v>3108</v>
      </c>
    </row>
    <row r="911" ht="12.75" customHeight="1">
      <c r="A911" s="5" t="s">
        <v>707</v>
      </c>
    </row>
    <row r="912" ht="12.75" customHeight="1">
      <c r="A912" s="5">
        <v>0.05</v>
      </c>
    </row>
    <row r="913" ht="12.75" customHeight="1">
      <c r="A913" s="5" t="s">
        <v>3109</v>
      </c>
    </row>
    <row r="914" ht="12.75" customHeight="1">
      <c r="A914" s="5" t="s">
        <v>3110</v>
      </c>
    </row>
    <row r="915" ht="12.75" customHeight="1">
      <c r="A915" s="5">
        <v>0.04</v>
      </c>
    </row>
    <row r="916" ht="12.75" customHeight="1">
      <c r="A916" s="5" t="s">
        <v>3109</v>
      </c>
    </row>
    <row r="917" ht="12.75" customHeight="1">
      <c r="A917" s="5" t="s">
        <v>3111</v>
      </c>
    </row>
    <row r="918" ht="12.75" customHeight="1">
      <c r="A918" s="5">
        <v>0.01</v>
      </c>
    </row>
    <row r="919" ht="12.75" customHeight="1">
      <c r="A919" s="5" t="s">
        <v>3109</v>
      </c>
    </row>
    <row r="920" ht="12.75" customHeight="1">
      <c r="A920" s="5" t="s">
        <v>3111</v>
      </c>
    </row>
    <row r="921" ht="12.75" customHeight="1">
      <c r="A921" s="5" t="s">
        <v>3983</v>
      </c>
    </row>
    <row r="922" ht="12.75" customHeight="1">
      <c r="A922" s="5" t="s">
        <v>3986</v>
      </c>
    </row>
    <row r="923" ht="12.75" customHeight="1">
      <c r="A923" s="5" t="s">
        <v>3103</v>
      </c>
    </row>
    <row r="924" ht="12.75" customHeight="1">
      <c r="A924" s="5" t="s">
        <v>3104</v>
      </c>
    </row>
    <row r="925" ht="12.75" customHeight="1">
      <c r="A925" s="5" t="s">
        <v>3105</v>
      </c>
    </row>
    <row r="926" ht="12.75" customHeight="1">
      <c r="A926" s="5" t="s">
        <v>3105</v>
      </c>
    </row>
    <row r="927" ht="12.75" customHeight="1">
      <c r="A927" s="5" t="s">
        <v>2539</v>
      </c>
    </row>
    <row r="928" ht="12.75" customHeight="1">
      <c r="A928" s="5" t="s">
        <v>1867</v>
      </c>
    </row>
    <row r="929" ht="12.75" customHeight="1">
      <c r="A929" s="5">
        <v>0.2</v>
      </c>
    </row>
    <row r="930" ht="12.75" customHeight="1">
      <c r="A930" s="5" t="s">
        <v>701</v>
      </c>
    </row>
    <row r="931" ht="12.75" customHeight="1">
      <c r="A931" s="5" t="s">
        <v>707</v>
      </c>
    </row>
    <row r="932" ht="12.75" customHeight="1">
      <c r="A932" s="5">
        <v>0.1</v>
      </c>
    </row>
    <row r="933" ht="12.75" customHeight="1">
      <c r="A933" s="5" t="s">
        <v>3109</v>
      </c>
    </row>
    <row r="934" ht="12.75" customHeight="1">
      <c r="A934" s="5" t="s">
        <v>3108</v>
      </c>
    </row>
    <row r="935" ht="12.75" customHeight="1">
      <c r="A935" s="5" t="s">
        <v>3110</v>
      </c>
    </row>
    <row r="936" ht="12.75" customHeight="1">
      <c r="A936" s="5" t="s">
        <v>3111</v>
      </c>
    </row>
    <row r="937" ht="12.75" customHeight="1">
      <c r="A937" s="5">
        <v>0.05</v>
      </c>
    </row>
    <row r="938" ht="12.75" customHeight="1">
      <c r="A938" s="5" t="s">
        <v>3113</v>
      </c>
    </row>
    <row r="939" ht="12.75" customHeight="1">
      <c r="A939" s="5" t="s">
        <v>3114</v>
      </c>
    </row>
    <row r="940" ht="12.75" customHeight="1">
      <c r="A940" s="5">
        <v>0.04</v>
      </c>
    </row>
    <row r="941" ht="12.75" customHeight="1">
      <c r="A941" s="5" t="s">
        <v>3113</v>
      </c>
    </row>
    <row r="942" ht="12.75" customHeight="1">
      <c r="A942" s="5" t="s">
        <v>3115</v>
      </c>
    </row>
    <row r="943" ht="12.75" customHeight="1">
      <c r="A943" s="5">
        <v>0.01</v>
      </c>
    </row>
    <row r="944" ht="12.75" customHeight="1">
      <c r="A944" s="5" t="s">
        <v>3113</v>
      </c>
    </row>
    <row r="945" ht="12.75" customHeight="1">
      <c r="A945" s="5" t="s">
        <v>3115</v>
      </c>
    </row>
    <row r="946" ht="12.75" customHeight="1">
      <c r="A946" s="5" t="s">
        <v>3983</v>
      </c>
    </row>
    <row r="947" ht="12.75" customHeight="1">
      <c r="A947" s="5" t="s">
        <v>3986</v>
      </c>
    </row>
    <row r="948" ht="12.75" customHeight="1">
      <c r="A948" s="5" t="s">
        <v>3103</v>
      </c>
    </row>
    <row r="949" ht="12.75" customHeight="1">
      <c r="A949" s="5" t="s">
        <v>3104</v>
      </c>
    </row>
    <row r="950" ht="12.75" customHeight="1">
      <c r="A950" s="5" t="s">
        <v>3105</v>
      </c>
    </row>
    <row r="951" ht="12.75" customHeight="1">
      <c r="A951" s="5" t="s">
        <v>3105</v>
      </c>
    </row>
    <row r="952" ht="12.75" customHeight="1">
      <c r="A952" s="5" t="s">
        <v>2539</v>
      </c>
    </row>
    <row r="953" ht="12.75" customHeight="1">
      <c r="A953" s="5" t="s">
        <v>1873</v>
      </c>
    </row>
    <row r="954" ht="12.75" customHeight="1">
      <c r="A954" s="5">
        <v>0.2</v>
      </c>
    </row>
    <row r="955" ht="12.75" customHeight="1">
      <c r="A955" s="5" t="s">
        <v>707</v>
      </c>
    </row>
    <row r="956" ht="12.75" customHeight="1">
      <c r="A956" s="5" t="s">
        <v>3110</v>
      </c>
    </row>
    <row r="957" ht="12.75" customHeight="1">
      <c r="A957" s="5">
        <v>0.1</v>
      </c>
    </row>
    <row r="958" ht="12.75" customHeight="1">
      <c r="A958" s="5" t="s">
        <v>3111</v>
      </c>
    </row>
    <row r="959" ht="12.75" customHeight="1">
      <c r="A959" s="5" t="s">
        <v>3114</v>
      </c>
    </row>
    <row r="960" ht="12.75" customHeight="1">
      <c r="A960" s="5" t="s">
        <v>3108</v>
      </c>
    </row>
    <row r="961" ht="12.75" customHeight="1">
      <c r="A961" s="5" t="s">
        <v>3115</v>
      </c>
    </row>
    <row r="962" ht="12.75" customHeight="1">
      <c r="A962" s="5">
        <v>0.05</v>
      </c>
    </row>
    <row r="963" ht="12.75" customHeight="1">
      <c r="A963" s="5" t="s">
        <v>3117</v>
      </c>
    </row>
    <row r="964" ht="12.75" customHeight="1">
      <c r="A964" s="5" t="s">
        <v>3118</v>
      </c>
    </row>
    <row r="965" ht="12.75" customHeight="1">
      <c r="A965" s="5">
        <v>0.04</v>
      </c>
    </row>
    <row r="966" ht="12.75" customHeight="1">
      <c r="A966" s="5" t="s">
        <v>3119</v>
      </c>
    </row>
    <row r="967" ht="12.75" customHeight="1">
      <c r="A967" s="5" t="s">
        <v>3120</v>
      </c>
    </row>
    <row r="968" ht="12.75" customHeight="1">
      <c r="A968" s="5">
        <v>0.01</v>
      </c>
    </row>
    <row r="969" ht="12.75" customHeight="1">
      <c r="A969" s="5" t="s">
        <v>3119</v>
      </c>
    </row>
    <row r="970" ht="12.75" customHeight="1">
      <c r="A970" s="5" t="s">
        <v>3120</v>
      </c>
    </row>
    <row r="971" ht="12.75" customHeight="1">
      <c r="A971" s="5" t="s">
        <v>3983</v>
      </c>
    </row>
    <row r="972" ht="12.75" customHeight="1">
      <c r="A972" s="5" t="s">
        <v>3987</v>
      </c>
    </row>
    <row r="973" ht="12.75" customHeight="1">
      <c r="A973" s="5" t="s">
        <v>3122</v>
      </c>
    </row>
    <row r="974" ht="12.75" customHeight="1">
      <c r="A974" s="5" t="s">
        <v>3123</v>
      </c>
    </row>
    <row r="975" ht="12.75" customHeight="1">
      <c r="A975" s="5" t="s">
        <v>3124</v>
      </c>
    </row>
    <row r="976" ht="12.75" customHeight="1">
      <c r="A976" s="5" t="s">
        <v>3720</v>
      </c>
    </row>
    <row r="977" ht="12.75" customHeight="1">
      <c r="A977" s="5" t="s">
        <v>2539</v>
      </c>
    </row>
    <row r="978" ht="12.75" customHeight="1">
      <c r="A978" s="5" t="s">
        <v>1879</v>
      </c>
    </row>
    <row r="979" ht="12.75" customHeight="1">
      <c r="A979" s="5">
        <v>0.2</v>
      </c>
    </row>
    <row r="980" ht="12.75" customHeight="1">
      <c r="A980" s="5" t="s">
        <v>701</v>
      </c>
    </row>
    <row r="981" ht="12.75" customHeight="1">
      <c r="A981" s="5" t="s">
        <v>707</v>
      </c>
    </row>
    <row r="982" ht="12.75" customHeight="1">
      <c r="A982" s="5">
        <v>0.1</v>
      </c>
    </row>
    <row r="983" ht="12.75" customHeight="1">
      <c r="A983" s="5" t="s">
        <v>3109</v>
      </c>
    </row>
    <row r="984" ht="12.75" customHeight="1">
      <c r="A984" s="5" t="s">
        <v>3108</v>
      </c>
    </row>
    <row r="985" ht="12.75" customHeight="1">
      <c r="A985" s="5" t="s">
        <v>3110</v>
      </c>
    </row>
    <row r="986" ht="12.75" customHeight="1">
      <c r="A986" s="5" t="s">
        <v>3111</v>
      </c>
    </row>
    <row r="987" ht="12.75" customHeight="1">
      <c r="A987" s="5">
        <v>0.05</v>
      </c>
    </row>
    <row r="988" ht="12.75" customHeight="1">
      <c r="A988" s="5" t="s">
        <v>3113</v>
      </c>
    </row>
    <row r="989" ht="12.75" customHeight="1">
      <c r="A989" s="5" t="s">
        <v>3114</v>
      </c>
    </row>
    <row r="990" ht="12.75" customHeight="1">
      <c r="A990" s="5">
        <v>0.04</v>
      </c>
    </row>
    <row r="991" ht="12.75" customHeight="1">
      <c r="A991" s="5" t="s">
        <v>3113</v>
      </c>
    </row>
    <row r="992" ht="12.75" customHeight="1">
      <c r="A992" s="5" t="s">
        <v>3115</v>
      </c>
    </row>
    <row r="993" ht="12.75" customHeight="1">
      <c r="A993" s="5">
        <v>0.01</v>
      </c>
    </row>
    <row r="994" ht="12.75" customHeight="1">
      <c r="A994" s="5" t="s">
        <v>3113</v>
      </c>
    </row>
    <row r="995" ht="12.75" customHeight="1">
      <c r="A995" s="5" t="s">
        <v>3115</v>
      </c>
    </row>
    <row r="996" ht="12.75" customHeight="1">
      <c r="A996" s="5" t="s">
        <v>3983</v>
      </c>
    </row>
    <row r="997" ht="12.75" customHeight="1">
      <c r="A997" s="5" t="s">
        <v>3986</v>
      </c>
    </row>
    <row r="998" ht="12.75" customHeight="1">
      <c r="A998" s="5" t="s">
        <v>3103</v>
      </c>
    </row>
    <row r="999" ht="12.75" customHeight="1">
      <c r="A999" s="5" t="s">
        <v>3104</v>
      </c>
    </row>
    <row r="1000" ht="12.75" customHeight="1">
      <c r="A1000" s="5" t="s">
        <v>3105</v>
      </c>
    </row>
    <row r="1001" ht="12.75" customHeight="1">
      <c r="A1001" s="5" t="s">
        <v>3105</v>
      </c>
    </row>
    <row r="1002" ht="12.75" customHeight="1">
      <c r="A1002" s="5" t="s">
        <v>2539</v>
      </c>
    </row>
    <row r="1003" ht="12.75" customHeight="1">
      <c r="A1003" s="5" t="s">
        <v>1883</v>
      </c>
    </row>
    <row r="1004" ht="12.75" customHeight="1">
      <c r="A1004" s="5">
        <v>0.2</v>
      </c>
    </row>
    <row r="1005" ht="12.75" customHeight="1">
      <c r="A1005" s="5" t="s">
        <v>692</v>
      </c>
    </row>
    <row r="1006" ht="12.75" customHeight="1">
      <c r="A1006" s="5" t="s">
        <v>680</v>
      </c>
    </row>
    <row r="1007" ht="12.75" customHeight="1">
      <c r="A1007" s="5">
        <v>0.1</v>
      </c>
    </row>
    <row r="1008" ht="12.75" customHeight="1">
      <c r="A1008" s="5" t="s">
        <v>669</v>
      </c>
    </row>
    <row r="1009" ht="12.75" customHeight="1">
      <c r="A1009" s="5" t="s">
        <v>701</v>
      </c>
    </row>
    <row r="1010" ht="12.75" customHeight="1">
      <c r="A1010" s="5" t="s">
        <v>3108</v>
      </c>
    </row>
    <row r="1011" ht="12.75" customHeight="1">
      <c r="A1011" s="5" t="s">
        <v>707</v>
      </c>
    </row>
    <row r="1012" ht="12.75" customHeight="1">
      <c r="A1012" s="5">
        <v>0.05</v>
      </c>
    </row>
    <row r="1013" ht="12.75" customHeight="1">
      <c r="A1013" s="5" t="s">
        <v>3109</v>
      </c>
    </row>
    <row r="1014" ht="12.75" customHeight="1">
      <c r="A1014" s="5" t="s">
        <v>3110</v>
      </c>
    </row>
    <row r="1015" ht="12.75" customHeight="1">
      <c r="A1015" s="5">
        <v>0.04</v>
      </c>
    </row>
    <row r="1016" ht="12.75" customHeight="1">
      <c r="A1016" s="5" t="s">
        <v>3109</v>
      </c>
    </row>
    <row r="1017" ht="12.75" customHeight="1">
      <c r="A1017" s="5" t="s">
        <v>3111</v>
      </c>
    </row>
    <row r="1018" ht="12.75" customHeight="1">
      <c r="A1018" s="5">
        <v>0.01</v>
      </c>
    </row>
    <row r="1019" ht="12.75" customHeight="1">
      <c r="A1019" s="5" t="s">
        <v>3109</v>
      </c>
    </row>
    <row r="1020" ht="12.75" customHeight="1">
      <c r="A1020" s="5" t="s">
        <v>3111</v>
      </c>
    </row>
    <row r="1021" ht="12.75" customHeight="1">
      <c r="A1021" s="5" t="s">
        <v>3983</v>
      </c>
    </row>
    <row r="1022" ht="12.75" customHeight="1">
      <c r="A1022" s="5" t="s">
        <v>3986</v>
      </c>
    </row>
    <row r="1023" ht="12.75" customHeight="1">
      <c r="A1023" s="5" t="s">
        <v>3103</v>
      </c>
    </row>
    <row r="1024" ht="12.75" customHeight="1">
      <c r="A1024" s="5" t="s">
        <v>3104</v>
      </c>
    </row>
    <row r="1025" ht="12.75" customHeight="1">
      <c r="A1025" s="5" t="s">
        <v>3105</v>
      </c>
    </row>
    <row r="1026" ht="12.75" customHeight="1">
      <c r="A1026" s="5" t="s">
        <v>3105</v>
      </c>
    </row>
    <row r="1027" ht="12.75" customHeight="1">
      <c r="A1027" s="5" t="s">
        <v>2539</v>
      </c>
    </row>
    <row r="1028" ht="12.75" customHeight="1">
      <c r="A1028" s="5" t="s">
        <v>1887</v>
      </c>
    </row>
    <row r="1029" ht="12.75" customHeight="1">
      <c r="A1029" s="5">
        <v>0.2</v>
      </c>
    </row>
    <row r="1030" ht="12.75" customHeight="1">
      <c r="A1030" s="5" t="s">
        <v>720</v>
      </c>
    </row>
    <row r="1031" ht="12.75" customHeight="1">
      <c r="A1031" s="5" t="s">
        <v>3129</v>
      </c>
    </row>
    <row r="1032" ht="12.75" customHeight="1">
      <c r="A1032" s="5">
        <v>0.1</v>
      </c>
    </row>
    <row r="1033" ht="12.75" customHeight="1">
      <c r="A1033" s="5" t="s">
        <v>846</v>
      </c>
    </row>
    <row r="1034" ht="12.75" customHeight="1">
      <c r="A1034" s="5" t="s">
        <v>3130</v>
      </c>
    </row>
    <row r="1035" ht="12.75" customHeight="1">
      <c r="A1035" s="5" t="s">
        <v>3131</v>
      </c>
    </row>
    <row r="1036" ht="12.75" customHeight="1">
      <c r="A1036" s="5" t="s">
        <v>3132</v>
      </c>
    </row>
    <row r="1037" ht="12.75" customHeight="1">
      <c r="A1037" s="5">
        <v>0.05</v>
      </c>
    </row>
    <row r="1038" ht="12.75" customHeight="1">
      <c r="A1038" s="5" t="s">
        <v>3133</v>
      </c>
    </row>
    <row r="1039" ht="12.75" customHeight="1">
      <c r="A1039" s="5" t="s">
        <v>3134</v>
      </c>
    </row>
    <row r="1040" ht="12.75" customHeight="1">
      <c r="A1040" s="5">
        <v>0.04</v>
      </c>
    </row>
    <row r="1041" ht="12.75" customHeight="1">
      <c r="A1041" s="5" t="s">
        <v>3135</v>
      </c>
    </row>
    <row r="1042" ht="12.75" customHeight="1">
      <c r="A1042" s="5" t="s">
        <v>3136</v>
      </c>
    </row>
    <row r="1043" ht="12.75" customHeight="1">
      <c r="A1043" s="5">
        <v>0.01</v>
      </c>
    </row>
    <row r="1044" ht="12.75" customHeight="1">
      <c r="A1044" s="5" t="s">
        <v>3137</v>
      </c>
    </row>
    <row r="1045" ht="12.75" customHeight="1">
      <c r="A1045" s="5" t="s">
        <v>3138</v>
      </c>
    </row>
    <row r="1046" ht="12.75" customHeight="1">
      <c r="A1046" s="5" t="s">
        <v>3981</v>
      </c>
    </row>
    <row r="1047" ht="12.75" customHeight="1">
      <c r="A1047" s="5" t="s">
        <v>3988</v>
      </c>
    </row>
    <row r="1048" ht="12.75" customHeight="1">
      <c r="A1048" s="5" t="s">
        <v>3140</v>
      </c>
    </row>
    <row r="1049" ht="12.75" customHeight="1">
      <c r="A1049" s="5" t="s">
        <v>3141</v>
      </c>
    </row>
    <row r="1050" ht="12.75" customHeight="1">
      <c r="A1050" s="5" t="s">
        <v>3142</v>
      </c>
    </row>
    <row r="1051" ht="12.75" customHeight="1">
      <c r="A1051" s="5" t="s">
        <v>3142</v>
      </c>
    </row>
    <row r="1052" ht="12.75" customHeight="1">
      <c r="A1052" s="5" t="s">
        <v>3978</v>
      </c>
    </row>
    <row r="1053" ht="12.75" customHeight="1">
      <c r="A1053" s="5" t="s">
        <v>417</v>
      </c>
    </row>
    <row r="1054" ht="12.75" customHeight="1">
      <c r="A1054" s="5" t="s">
        <v>417</v>
      </c>
    </row>
    <row r="1055" ht="12.75" customHeight="1">
      <c r="A1055" s="5" t="s">
        <v>3979</v>
      </c>
    </row>
    <row r="1056" ht="12.75" customHeight="1">
      <c r="A1056" s="5" t="s">
        <v>3143</v>
      </c>
    </row>
    <row r="1057" ht="12.75" customHeight="1">
      <c r="A1057" s="5" t="s">
        <v>2849</v>
      </c>
    </row>
    <row r="1058" ht="12.75" customHeight="1">
      <c r="A1058" s="5" t="s">
        <v>3144</v>
      </c>
    </row>
    <row r="1059" ht="12.75" customHeight="1">
      <c r="A1059" s="5" t="s">
        <v>3980</v>
      </c>
    </row>
    <row r="1060" ht="12.75" customHeight="1">
      <c r="A1060" s="5" t="s">
        <v>3145</v>
      </c>
    </row>
    <row r="1061" ht="12.75" customHeight="1">
      <c r="A1061" s="5" t="s">
        <v>3146</v>
      </c>
    </row>
    <row r="1062" ht="12.75" customHeight="1">
      <c r="A1062" s="5" t="s">
        <v>2854</v>
      </c>
    </row>
    <row r="1063" ht="12.75" customHeight="1">
      <c r="A1063" s="5" t="s">
        <v>3147</v>
      </c>
    </row>
    <row r="1064" ht="12.75" customHeight="1">
      <c r="A1064" s="5" t="s">
        <v>2856</v>
      </c>
    </row>
    <row r="1065" ht="12.75" customHeight="1">
      <c r="A1065" s="5" t="s">
        <v>2539</v>
      </c>
    </row>
    <row r="1066" ht="12.75" customHeight="1">
      <c r="A1066" s="5" t="s">
        <v>1891</v>
      </c>
    </row>
    <row r="1067" ht="12.75" customHeight="1">
      <c r="A1067" s="5">
        <v>0.2</v>
      </c>
    </row>
    <row r="1068" ht="12.75" customHeight="1">
      <c r="A1068" s="5" t="s">
        <v>742</v>
      </c>
    </row>
    <row r="1069" ht="12.75" customHeight="1">
      <c r="A1069" s="5" t="s">
        <v>3149</v>
      </c>
    </row>
    <row r="1070" ht="12.75" customHeight="1">
      <c r="A1070" s="5">
        <v>0.1</v>
      </c>
    </row>
    <row r="1071" ht="12.75" customHeight="1">
      <c r="A1071" s="5" t="s">
        <v>3150</v>
      </c>
    </row>
    <row r="1072" ht="12.75" customHeight="1">
      <c r="A1072" s="5" t="s">
        <v>3151</v>
      </c>
    </row>
    <row r="1073" ht="12.75" customHeight="1">
      <c r="A1073" s="5" t="s">
        <v>3152</v>
      </c>
    </row>
    <row r="1074" ht="12.75" customHeight="1">
      <c r="A1074" s="5" t="s">
        <v>3153</v>
      </c>
    </row>
    <row r="1075" ht="12.75" customHeight="1">
      <c r="A1075" s="5">
        <v>0.05</v>
      </c>
    </row>
    <row r="1076" ht="12.75" customHeight="1">
      <c r="A1076" s="5" t="s">
        <v>3154</v>
      </c>
    </row>
    <row r="1077" ht="12.75" customHeight="1">
      <c r="A1077" s="5" t="s">
        <v>3155</v>
      </c>
    </row>
    <row r="1078" ht="12.75" customHeight="1">
      <c r="A1078" s="5">
        <v>0.04</v>
      </c>
    </row>
    <row r="1079" ht="12.75" customHeight="1">
      <c r="A1079" s="5" t="s">
        <v>3156</v>
      </c>
    </row>
    <row r="1080" ht="12.75" customHeight="1">
      <c r="A1080" s="5" t="s">
        <v>3157</v>
      </c>
    </row>
    <row r="1081" ht="12.75" customHeight="1">
      <c r="A1081" s="5">
        <v>0.01</v>
      </c>
    </row>
    <row r="1082" ht="12.75" customHeight="1">
      <c r="A1082" s="5" t="s">
        <v>3156</v>
      </c>
    </row>
    <row r="1083" ht="12.75" customHeight="1">
      <c r="A1083" s="5" t="s">
        <v>3157</v>
      </c>
    </row>
    <row r="1084" ht="12.75" customHeight="1">
      <c r="A1084" s="5" t="s">
        <v>3981</v>
      </c>
    </row>
    <row r="1085" ht="12.75" customHeight="1">
      <c r="A1085" s="5" t="s">
        <v>3989</v>
      </c>
    </row>
    <row r="1086" ht="12.75" customHeight="1">
      <c r="A1086" s="5" t="s">
        <v>3159</v>
      </c>
    </row>
    <row r="1087" ht="12.75" customHeight="1">
      <c r="A1087" s="5" t="s">
        <v>3160</v>
      </c>
    </row>
    <row r="1088" ht="12.75" customHeight="1">
      <c r="A1088" s="5" t="s">
        <v>3161</v>
      </c>
    </row>
    <row r="1089" ht="12.75" customHeight="1">
      <c r="A1089" s="5" t="s">
        <v>3161</v>
      </c>
    </row>
    <row r="1090" ht="12.75" customHeight="1">
      <c r="A1090" s="5" t="s">
        <v>3978</v>
      </c>
    </row>
    <row r="1091" ht="12.75" customHeight="1">
      <c r="A1091" s="5" t="s">
        <v>417</v>
      </c>
    </row>
    <row r="1092" ht="12.75" customHeight="1">
      <c r="A1092" s="5" t="s">
        <v>417</v>
      </c>
    </row>
    <row r="1093" ht="12.75" customHeight="1">
      <c r="A1093" s="5" t="s">
        <v>3979</v>
      </c>
    </row>
    <row r="1094" ht="12.75" customHeight="1">
      <c r="A1094" s="5" t="s">
        <v>3144</v>
      </c>
    </row>
    <row r="1095" ht="12.75" customHeight="1">
      <c r="A1095" s="5" t="s">
        <v>2849</v>
      </c>
    </row>
    <row r="1096" ht="12.75" customHeight="1">
      <c r="A1096" s="5" t="s">
        <v>3143</v>
      </c>
    </row>
    <row r="1097" ht="12.75" customHeight="1">
      <c r="A1097" s="5" t="s">
        <v>3980</v>
      </c>
    </row>
    <row r="1098" ht="12.75" customHeight="1">
      <c r="A1098" s="5" t="s">
        <v>3162</v>
      </c>
    </row>
    <row r="1099" ht="12.75" customHeight="1">
      <c r="A1099" s="5" t="s">
        <v>3163</v>
      </c>
    </row>
    <row r="1100" ht="12.75" customHeight="1">
      <c r="A1100" s="5" t="s">
        <v>2854</v>
      </c>
    </row>
    <row r="1101" ht="12.75" customHeight="1">
      <c r="A1101" s="5" t="s">
        <v>3147</v>
      </c>
    </row>
    <row r="1102" ht="12.75" customHeight="1">
      <c r="A1102" s="5" t="s">
        <v>2856</v>
      </c>
    </row>
    <row r="1103" ht="12.75" customHeight="1">
      <c r="A1103" s="5" t="s">
        <v>2539</v>
      </c>
    </row>
    <row r="1104" ht="12.75" customHeight="1">
      <c r="A1104" s="5" t="s">
        <v>1896</v>
      </c>
    </row>
    <row r="1105" ht="12.75" customHeight="1">
      <c r="A1105" s="5">
        <v>0.2</v>
      </c>
    </row>
    <row r="1106" ht="12.75" customHeight="1">
      <c r="A1106" s="5" t="s">
        <v>760</v>
      </c>
    </row>
    <row r="1107" ht="12.75" customHeight="1">
      <c r="A1107" s="5" t="s">
        <v>3149</v>
      </c>
    </row>
    <row r="1108" ht="12.75" customHeight="1">
      <c r="A1108" s="5">
        <v>0.1</v>
      </c>
    </row>
    <row r="1109" ht="12.75" customHeight="1">
      <c r="A1109" s="5" t="s">
        <v>3150</v>
      </c>
    </row>
    <row r="1110" ht="12.75" customHeight="1">
      <c r="A1110" s="5" t="s">
        <v>3165</v>
      </c>
    </row>
    <row r="1111" ht="12.75" customHeight="1">
      <c r="A1111" s="5" t="s">
        <v>3152</v>
      </c>
    </row>
    <row r="1112" ht="12.75" customHeight="1">
      <c r="A1112" s="5" t="s">
        <v>3166</v>
      </c>
    </row>
    <row r="1113" ht="12.75" customHeight="1">
      <c r="A1113" s="5">
        <v>0.05</v>
      </c>
    </row>
    <row r="1114" ht="12.75" customHeight="1">
      <c r="A1114" s="5" t="s">
        <v>3167</v>
      </c>
    </row>
    <row r="1115" ht="12.75" customHeight="1">
      <c r="A1115" s="5" t="s">
        <v>3168</v>
      </c>
    </row>
    <row r="1116" ht="12.75" customHeight="1">
      <c r="A1116" s="5">
        <v>0.04</v>
      </c>
    </row>
    <row r="1117" ht="12.75" customHeight="1">
      <c r="A1117" s="5" t="s">
        <v>3156</v>
      </c>
    </row>
    <row r="1118" ht="12.75" customHeight="1">
      <c r="A1118" s="5" t="s">
        <v>3169</v>
      </c>
    </row>
    <row r="1119" ht="12.75" customHeight="1">
      <c r="A1119" s="5">
        <v>0.01</v>
      </c>
    </row>
    <row r="1120" ht="12.75" customHeight="1">
      <c r="A1120" s="5" t="s">
        <v>3156</v>
      </c>
    </row>
    <row r="1121" ht="12.75" customHeight="1">
      <c r="A1121" s="5" t="s">
        <v>3169</v>
      </c>
    </row>
    <row r="1122" ht="12.75" customHeight="1">
      <c r="A1122" s="5" t="s">
        <v>2539</v>
      </c>
    </row>
    <row r="1123" ht="12.75" customHeight="1">
      <c r="A1123" s="5" t="s">
        <v>1901</v>
      </c>
    </row>
    <row r="1124" ht="12.75" customHeight="1">
      <c r="A1124" s="5">
        <v>0.2</v>
      </c>
    </row>
    <row r="1125" ht="12.75" customHeight="1">
      <c r="A1125" s="5" t="s">
        <v>760</v>
      </c>
    </row>
    <row r="1126" ht="12.75" customHeight="1">
      <c r="A1126" s="5" t="s">
        <v>3149</v>
      </c>
    </row>
    <row r="1127" ht="12.75" customHeight="1">
      <c r="A1127" s="5">
        <v>0.1</v>
      </c>
    </row>
    <row r="1128" ht="12.75" customHeight="1">
      <c r="A1128" s="5" t="s">
        <v>3150</v>
      </c>
    </row>
    <row r="1129" ht="12.75" customHeight="1">
      <c r="A1129" s="5" t="s">
        <v>3165</v>
      </c>
    </row>
    <row r="1130" ht="12.75" customHeight="1">
      <c r="A1130" s="5" t="s">
        <v>3152</v>
      </c>
    </row>
    <row r="1131" ht="12.75" customHeight="1">
      <c r="A1131" s="5" t="s">
        <v>3166</v>
      </c>
    </row>
    <row r="1132" ht="12.75" customHeight="1">
      <c r="A1132" s="5">
        <v>0.05</v>
      </c>
    </row>
    <row r="1133" ht="12.75" customHeight="1">
      <c r="A1133" s="5" t="s">
        <v>3167</v>
      </c>
    </row>
    <row r="1134" ht="12.75" customHeight="1">
      <c r="A1134" s="5" t="s">
        <v>3168</v>
      </c>
    </row>
    <row r="1135" ht="12.75" customHeight="1">
      <c r="A1135" s="5">
        <v>0.04</v>
      </c>
    </row>
    <row r="1136" ht="12.75" customHeight="1">
      <c r="A1136" s="5" t="s">
        <v>3156</v>
      </c>
    </row>
    <row r="1137" ht="12.75" customHeight="1">
      <c r="A1137" s="5" t="s">
        <v>3169</v>
      </c>
    </row>
    <row r="1138" ht="12.75" customHeight="1">
      <c r="A1138" s="5">
        <v>0.01</v>
      </c>
    </row>
    <row r="1139" ht="12.75" customHeight="1">
      <c r="A1139" s="5" t="s">
        <v>3156</v>
      </c>
    </row>
    <row r="1140" ht="12.75" customHeight="1">
      <c r="A1140" s="5" t="s">
        <v>3169</v>
      </c>
    </row>
    <row r="1141" ht="12.75" customHeight="1">
      <c r="A1141" s="5" t="s">
        <v>2539</v>
      </c>
    </row>
    <row r="1142" ht="12.75" customHeight="1">
      <c r="A1142" s="5" t="s">
        <v>1906</v>
      </c>
    </row>
    <row r="1143" ht="12.75" customHeight="1">
      <c r="A1143" s="5">
        <v>0.2</v>
      </c>
    </row>
    <row r="1144" ht="12.75" customHeight="1">
      <c r="A1144" s="5" t="s">
        <v>742</v>
      </c>
    </row>
    <row r="1145" ht="12.75" customHeight="1">
      <c r="A1145" s="5" t="s">
        <v>3149</v>
      </c>
    </row>
    <row r="1146" ht="12.75" customHeight="1">
      <c r="A1146" s="5">
        <v>0.1</v>
      </c>
    </row>
    <row r="1147" ht="12.75" customHeight="1">
      <c r="A1147" s="5" t="s">
        <v>3150</v>
      </c>
    </row>
    <row r="1148" ht="12.75" customHeight="1">
      <c r="A1148" s="5" t="s">
        <v>3151</v>
      </c>
    </row>
    <row r="1149" ht="12.75" customHeight="1">
      <c r="A1149" s="5" t="s">
        <v>3152</v>
      </c>
    </row>
    <row r="1150" ht="12.75" customHeight="1">
      <c r="A1150" s="5" t="s">
        <v>3153</v>
      </c>
    </row>
    <row r="1151" ht="12.75" customHeight="1">
      <c r="A1151" s="5">
        <v>0.05</v>
      </c>
    </row>
    <row r="1152" ht="12.75" customHeight="1">
      <c r="A1152" s="5" t="s">
        <v>3154</v>
      </c>
    </row>
    <row r="1153" ht="12.75" customHeight="1">
      <c r="A1153" s="5" t="s">
        <v>3155</v>
      </c>
    </row>
    <row r="1154" ht="12.75" customHeight="1">
      <c r="A1154" s="5">
        <v>0.04</v>
      </c>
    </row>
    <row r="1155" ht="12.75" customHeight="1">
      <c r="A1155" s="5" t="s">
        <v>3156</v>
      </c>
    </row>
    <row r="1156" ht="12.75" customHeight="1">
      <c r="A1156" s="5" t="s">
        <v>3157</v>
      </c>
    </row>
    <row r="1157" ht="12.75" customHeight="1">
      <c r="A1157" s="5">
        <v>0.01</v>
      </c>
    </row>
    <row r="1158" ht="12.75" customHeight="1">
      <c r="A1158" s="5" t="s">
        <v>3156</v>
      </c>
    </row>
    <row r="1159" ht="12.75" customHeight="1">
      <c r="A1159" s="5" t="s">
        <v>3157</v>
      </c>
    </row>
    <row r="1160" ht="12.75" customHeight="1">
      <c r="A1160" s="5" t="s">
        <v>3981</v>
      </c>
    </row>
    <row r="1161" ht="12.75" customHeight="1">
      <c r="A1161" s="5" t="s">
        <v>3990</v>
      </c>
    </row>
    <row r="1162" ht="12.75" customHeight="1">
      <c r="A1162" s="5" t="s">
        <v>3174</v>
      </c>
    </row>
    <row r="1163" ht="12.75" customHeight="1">
      <c r="A1163" s="5" t="s">
        <v>3175</v>
      </c>
    </row>
    <row r="1164" ht="12.75" customHeight="1">
      <c r="A1164" s="5" t="s">
        <v>3176</v>
      </c>
    </row>
    <row r="1165" ht="12.75" customHeight="1">
      <c r="A1165" s="5" t="s">
        <v>3177</v>
      </c>
    </row>
    <row r="1166" ht="12.75" customHeight="1">
      <c r="A1166" s="5" t="s">
        <v>3978</v>
      </c>
    </row>
    <row r="1167" ht="12.75" customHeight="1">
      <c r="A1167" s="5" t="s">
        <v>417</v>
      </c>
    </row>
    <row r="1168" ht="12.75" customHeight="1">
      <c r="A1168" s="5" t="s">
        <v>417</v>
      </c>
    </row>
    <row r="1169" ht="12.75" customHeight="1">
      <c r="A1169" s="5" t="s">
        <v>3979</v>
      </c>
    </row>
    <row r="1170" ht="12.75" customHeight="1">
      <c r="A1170" s="5" t="s">
        <v>2848</v>
      </c>
    </row>
    <row r="1171" ht="12.75" customHeight="1">
      <c r="A1171" s="5" t="s">
        <v>2849</v>
      </c>
    </row>
    <row r="1172" ht="12.75" customHeight="1">
      <c r="A1172" s="5" t="s">
        <v>2848</v>
      </c>
    </row>
    <row r="1173" ht="12.75" customHeight="1">
      <c r="A1173" s="5" t="s">
        <v>3980</v>
      </c>
    </row>
    <row r="1174" ht="12.75" customHeight="1">
      <c r="A1174" s="5" t="s">
        <v>2852</v>
      </c>
    </row>
    <row r="1175" ht="12.75" customHeight="1">
      <c r="A1175" s="5" t="s">
        <v>2853</v>
      </c>
    </row>
    <row r="1176" ht="12.75" customHeight="1">
      <c r="A1176" s="5" t="s">
        <v>2854</v>
      </c>
    </row>
    <row r="1177" ht="12.75" customHeight="1">
      <c r="A1177" s="5" t="s">
        <v>3178</v>
      </c>
    </row>
    <row r="1178" ht="12.75" customHeight="1">
      <c r="A1178" s="5" t="s">
        <v>2856</v>
      </c>
    </row>
    <row r="1179" ht="12.75" customHeight="1">
      <c r="A1179" s="5" t="s">
        <v>2539</v>
      </c>
    </row>
    <row r="1180" ht="12.75" customHeight="1">
      <c r="A1180" s="5" t="s">
        <v>1937</v>
      </c>
    </row>
    <row r="1181" ht="12.75" customHeight="1">
      <c r="A1181" s="5">
        <v>0.2</v>
      </c>
    </row>
    <row r="1182" ht="12.75" customHeight="1">
      <c r="A1182" s="5" t="s">
        <v>776</v>
      </c>
    </row>
    <row r="1183" ht="12.75" customHeight="1">
      <c r="A1183" s="5" t="s">
        <v>3180</v>
      </c>
    </row>
    <row r="1184" ht="12.75" customHeight="1">
      <c r="A1184" s="5">
        <v>0.1</v>
      </c>
    </row>
    <row r="1185" ht="12.75" customHeight="1">
      <c r="A1185" s="5" t="s">
        <v>3181</v>
      </c>
    </row>
    <row r="1186" ht="12.75" customHeight="1">
      <c r="A1186" s="5" t="s">
        <v>3182</v>
      </c>
    </row>
    <row r="1187" ht="12.75" customHeight="1">
      <c r="A1187" s="5" t="s">
        <v>3183</v>
      </c>
    </row>
    <row r="1188" ht="12.75" customHeight="1">
      <c r="A1188" s="5" t="s">
        <v>3184</v>
      </c>
    </row>
    <row r="1189" ht="12.75" customHeight="1">
      <c r="A1189" s="5">
        <v>0.05</v>
      </c>
    </row>
    <row r="1190" ht="12.75" customHeight="1">
      <c r="A1190" s="5" t="s">
        <v>3185</v>
      </c>
    </row>
    <row r="1191" ht="12.75" customHeight="1">
      <c r="A1191" s="5" t="s">
        <v>3186</v>
      </c>
    </row>
    <row r="1192" ht="12.75" customHeight="1">
      <c r="A1192" s="5">
        <v>0.04</v>
      </c>
    </row>
    <row r="1193" ht="12.75" customHeight="1">
      <c r="A1193" s="5" t="s">
        <v>3187</v>
      </c>
    </row>
    <row r="1194" ht="12.75" customHeight="1">
      <c r="A1194" s="5" t="s">
        <v>3188</v>
      </c>
    </row>
    <row r="1195" ht="12.75" customHeight="1">
      <c r="A1195" s="5">
        <v>0.01</v>
      </c>
    </row>
    <row r="1196" ht="12.75" customHeight="1">
      <c r="A1196" s="5" t="s">
        <v>3189</v>
      </c>
    </row>
    <row r="1197" ht="12.75" customHeight="1">
      <c r="A1197" s="5" t="s">
        <v>3721</v>
      </c>
    </row>
    <row r="1198" ht="12.75" customHeight="1">
      <c r="A1198" s="5" t="s">
        <v>2539</v>
      </c>
    </row>
    <row r="1199" ht="12.75" customHeight="1">
      <c r="A1199" s="5" t="s">
        <v>1972</v>
      </c>
    </row>
    <row r="1200" ht="12.75" customHeight="1">
      <c r="A1200" s="5">
        <v>0.2</v>
      </c>
    </row>
    <row r="1201" ht="12.75" customHeight="1">
      <c r="A1201" s="5" t="s">
        <v>789</v>
      </c>
    </row>
    <row r="1202" ht="12.75" customHeight="1">
      <c r="A1202" s="5" t="s">
        <v>3193</v>
      </c>
    </row>
    <row r="1203" ht="12.75" customHeight="1">
      <c r="A1203" s="5">
        <v>0.1</v>
      </c>
    </row>
    <row r="1204" ht="12.75" customHeight="1">
      <c r="A1204" s="5" t="s">
        <v>3194</v>
      </c>
    </row>
    <row r="1205" ht="12.75" customHeight="1">
      <c r="A1205" s="5" t="s">
        <v>3195</v>
      </c>
    </row>
    <row r="1206" ht="12.75" customHeight="1">
      <c r="A1206" s="5" t="s">
        <v>3196</v>
      </c>
    </row>
    <row r="1207" ht="12.75" customHeight="1">
      <c r="A1207" s="5" t="s">
        <v>3197</v>
      </c>
    </row>
    <row r="1208" ht="12.75" customHeight="1">
      <c r="A1208" s="5">
        <v>0.05</v>
      </c>
    </row>
    <row r="1209" ht="12.75" customHeight="1">
      <c r="A1209" s="5" t="s">
        <v>3198</v>
      </c>
    </row>
    <row r="1210" ht="12.75" customHeight="1">
      <c r="A1210" s="5" t="s">
        <v>3199</v>
      </c>
    </row>
    <row r="1211" ht="12.75" customHeight="1">
      <c r="A1211" s="5">
        <v>0.04</v>
      </c>
    </row>
    <row r="1212" ht="12.75" customHeight="1">
      <c r="A1212" s="5" t="s">
        <v>3200</v>
      </c>
    </row>
    <row r="1213" ht="12.75" customHeight="1">
      <c r="A1213" s="5" t="s">
        <v>3201</v>
      </c>
    </row>
    <row r="1214" ht="12.75" customHeight="1">
      <c r="A1214" s="5">
        <v>0.01</v>
      </c>
    </row>
    <row r="1215" ht="12.75" customHeight="1">
      <c r="A1215" s="5" t="s">
        <v>3202</v>
      </c>
    </row>
    <row r="1216" ht="12.75" customHeight="1">
      <c r="A1216" s="5" t="s">
        <v>3201</v>
      </c>
    </row>
    <row r="1217" ht="12.75" customHeight="1">
      <c r="A1217" s="5" t="s">
        <v>2539</v>
      </c>
    </row>
    <row r="1218" ht="12.75" customHeight="1">
      <c r="A1218" s="5" t="s">
        <v>1974</v>
      </c>
    </row>
    <row r="1219" ht="12.75" customHeight="1">
      <c r="A1219" s="5">
        <v>0.2</v>
      </c>
    </row>
    <row r="1220" ht="12.75" customHeight="1">
      <c r="A1220" s="5" t="s">
        <v>789</v>
      </c>
    </row>
    <row r="1221" ht="12.75" customHeight="1">
      <c r="A1221" s="5" t="s">
        <v>3193</v>
      </c>
    </row>
    <row r="1222" ht="12.75" customHeight="1">
      <c r="A1222" s="5">
        <v>0.1</v>
      </c>
    </row>
    <row r="1223" ht="12.75" customHeight="1">
      <c r="A1223" s="5" t="s">
        <v>3194</v>
      </c>
    </row>
    <row r="1224" ht="12.75" customHeight="1">
      <c r="A1224" s="5" t="s">
        <v>3195</v>
      </c>
    </row>
    <row r="1225" ht="12.75" customHeight="1">
      <c r="A1225" s="5" t="s">
        <v>3196</v>
      </c>
    </row>
    <row r="1226" ht="12.75" customHeight="1">
      <c r="A1226" s="5" t="s">
        <v>3197</v>
      </c>
    </row>
    <row r="1227" ht="12.75" customHeight="1">
      <c r="A1227" s="5">
        <v>0.05</v>
      </c>
    </row>
    <row r="1228" ht="12.75" customHeight="1">
      <c r="A1228" s="5" t="s">
        <v>3198</v>
      </c>
    </row>
    <row r="1229" ht="12.75" customHeight="1">
      <c r="A1229" s="5" t="s">
        <v>3199</v>
      </c>
    </row>
    <row r="1230" ht="12.75" customHeight="1">
      <c r="A1230" s="5">
        <v>0.04</v>
      </c>
    </row>
    <row r="1231" ht="12.75" customHeight="1">
      <c r="A1231" s="5" t="s">
        <v>3200</v>
      </c>
    </row>
    <row r="1232" ht="12.75" customHeight="1">
      <c r="A1232" s="5" t="s">
        <v>3201</v>
      </c>
    </row>
    <row r="1233" ht="12.75" customHeight="1">
      <c r="A1233" s="5">
        <v>0.01</v>
      </c>
    </row>
    <row r="1234" ht="12.75" customHeight="1">
      <c r="A1234" s="5" t="s">
        <v>3202</v>
      </c>
    </row>
    <row r="1235" ht="12.75" customHeight="1">
      <c r="A1235" s="5" t="s">
        <v>3201</v>
      </c>
    </row>
    <row r="1236" ht="12.75" customHeight="1">
      <c r="A1236" s="5" t="s">
        <v>2539</v>
      </c>
    </row>
    <row r="1237" ht="12.75" customHeight="1">
      <c r="A1237" s="5" t="s">
        <v>1976</v>
      </c>
    </row>
    <row r="1238" ht="12.75" customHeight="1">
      <c r="A1238" s="5">
        <v>0.2</v>
      </c>
    </row>
    <row r="1239" ht="12.75" customHeight="1">
      <c r="A1239" s="5" t="s">
        <v>789</v>
      </c>
    </row>
    <row r="1240" ht="12.75" customHeight="1">
      <c r="A1240" s="5" t="s">
        <v>3193</v>
      </c>
    </row>
    <row r="1241" ht="12.75" customHeight="1">
      <c r="A1241" s="5">
        <v>0.1</v>
      </c>
    </row>
    <row r="1242" ht="12.75" customHeight="1">
      <c r="A1242" s="5" t="s">
        <v>3194</v>
      </c>
    </row>
    <row r="1243" ht="12.75" customHeight="1">
      <c r="A1243" s="5" t="s">
        <v>3195</v>
      </c>
    </row>
    <row r="1244" ht="12.75" customHeight="1">
      <c r="A1244" s="5" t="s">
        <v>3196</v>
      </c>
    </row>
    <row r="1245" ht="12.75" customHeight="1">
      <c r="A1245" s="5" t="s">
        <v>3197</v>
      </c>
    </row>
    <row r="1246" ht="12.75" customHeight="1">
      <c r="A1246" s="5">
        <v>0.05</v>
      </c>
    </row>
    <row r="1247" ht="12.75" customHeight="1">
      <c r="A1247" s="5" t="s">
        <v>3198</v>
      </c>
    </row>
    <row r="1248" ht="12.75" customHeight="1">
      <c r="A1248" s="5" t="s">
        <v>3199</v>
      </c>
    </row>
    <row r="1249" ht="12.75" customHeight="1">
      <c r="A1249" s="5">
        <v>0.04</v>
      </c>
    </row>
    <row r="1250" ht="12.75" customHeight="1">
      <c r="A1250" s="5" t="s">
        <v>3200</v>
      </c>
    </row>
    <row r="1251" ht="12.75" customHeight="1">
      <c r="A1251" s="5" t="s">
        <v>3201</v>
      </c>
    </row>
    <row r="1252" ht="12.75" customHeight="1">
      <c r="A1252" s="5">
        <v>0.01</v>
      </c>
    </row>
    <row r="1253" ht="12.75" customHeight="1">
      <c r="A1253" s="5" t="s">
        <v>3202</v>
      </c>
    </row>
    <row r="1254" ht="12.75" customHeight="1">
      <c r="A1254" s="5" t="s">
        <v>3201</v>
      </c>
    </row>
    <row r="1255" ht="12.75" customHeight="1">
      <c r="A1255" s="5" t="s">
        <v>2539</v>
      </c>
    </row>
    <row r="1256" ht="12.75" customHeight="1">
      <c r="A1256" s="5" t="s">
        <v>1978</v>
      </c>
    </row>
    <row r="1257" ht="12.75" customHeight="1">
      <c r="A1257" s="5">
        <v>0.2</v>
      </c>
    </row>
    <row r="1258" ht="12.75" customHeight="1">
      <c r="A1258" s="5" t="s">
        <v>789</v>
      </c>
    </row>
    <row r="1259" ht="12.75" customHeight="1">
      <c r="A1259" s="5" t="s">
        <v>3193</v>
      </c>
    </row>
    <row r="1260" ht="12.75" customHeight="1">
      <c r="A1260" s="5">
        <v>0.1</v>
      </c>
    </row>
    <row r="1261" ht="12.75" customHeight="1">
      <c r="A1261" s="5" t="s">
        <v>3194</v>
      </c>
    </row>
    <row r="1262" ht="12.75" customHeight="1">
      <c r="A1262" s="5" t="s">
        <v>3195</v>
      </c>
    </row>
    <row r="1263" ht="12.75" customHeight="1">
      <c r="A1263" s="5" t="s">
        <v>3196</v>
      </c>
    </row>
    <row r="1264" ht="12.75" customHeight="1">
      <c r="A1264" s="5" t="s">
        <v>3197</v>
      </c>
    </row>
    <row r="1265" ht="12.75" customHeight="1">
      <c r="A1265" s="5">
        <v>0.05</v>
      </c>
    </row>
    <row r="1266" ht="12.75" customHeight="1">
      <c r="A1266" s="5" t="s">
        <v>3198</v>
      </c>
    </row>
    <row r="1267" ht="12.75" customHeight="1">
      <c r="A1267" s="5" t="s">
        <v>3199</v>
      </c>
    </row>
    <row r="1268" ht="12.75" customHeight="1">
      <c r="A1268" s="5">
        <v>0.04</v>
      </c>
    </row>
    <row r="1269" ht="12.75" customHeight="1">
      <c r="A1269" s="5" t="s">
        <v>3200</v>
      </c>
    </row>
    <row r="1270" ht="12.75" customHeight="1">
      <c r="A1270" s="5" t="s">
        <v>3201</v>
      </c>
    </row>
    <row r="1271" ht="12.75" customHeight="1">
      <c r="A1271" s="5">
        <v>0.01</v>
      </c>
    </row>
    <row r="1272" ht="12.75" customHeight="1">
      <c r="A1272" s="5" t="s">
        <v>3202</v>
      </c>
    </row>
    <row r="1273" ht="12.75" customHeight="1">
      <c r="A1273" s="5" t="s">
        <v>3201</v>
      </c>
    </row>
    <row r="1274" ht="12.75" customHeight="1">
      <c r="A1274" s="5" t="s">
        <v>2539</v>
      </c>
    </row>
    <row r="1275" ht="12.75" customHeight="1">
      <c r="A1275" s="5" t="s">
        <v>1980</v>
      </c>
    </row>
    <row r="1276" ht="12.75" customHeight="1">
      <c r="A1276" s="5">
        <v>0.2</v>
      </c>
    </row>
    <row r="1277" ht="12.75" customHeight="1">
      <c r="A1277" s="5" t="s">
        <v>789</v>
      </c>
    </row>
    <row r="1278" ht="12.75" customHeight="1">
      <c r="A1278" s="5" t="s">
        <v>3193</v>
      </c>
    </row>
    <row r="1279" ht="12.75" customHeight="1">
      <c r="A1279" s="5">
        <v>0.1</v>
      </c>
    </row>
    <row r="1280" ht="12.75" customHeight="1">
      <c r="A1280" s="5" t="s">
        <v>3194</v>
      </c>
    </row>
    <row r="1281" ht="12.75" customHeight="1">
      <c r="A1281" s="5" t="s">
        <v>3195</v>
      </c>
    </row>
    <row r="1282" ht="12.75" customHeight="1">
      <c r="A1282" s="5" t="s">
        <v>3196</v>
      </c>
    </row>
    <row r="1283" ht="12.75" customHeight="1">
      <c r="A1283" s="5" t="s">
        <v>3197</v>
      </c>
    </row>
    <row r="1284" ht="12.75" customHeight="1">
      <c r="A1284" s="5">
        <v>0.05</v>
      </c>
    </row>
    <row r="1285" ht="12.75" customHeight="1">
      <c r="A1285" s="5" t="s">
        <v>3198</v>
      </c>
    </row>
    <row r="1286" ht="12.75" customHeight="1">
      <c r="A1286" s="5" t="s">
        <v>3199</v>
      </c>
    </row>
    <row r="1287" ht="12.75" customHeight="1">
      <c r="A1287" s="5">
        <v>0.04</v>
      </c>
    </row>
    <row r="1288" ht="12.75" customHeight="1">
      <c r="A1288" s="5" t="s">
        <v>3200</v>
      </c>
    </row>
    <row r="1289" ht="12.75" customHeight="1">
      <c r="A1289" s="5" t="s">
        <v>3201</v>
      </c>
    </row>
    <row r="1290" ht="12.75" customHeight="1">
      <c r="A1290" s="5">
        <v>0.01</v>
      </c>
    </row>
    <row r="1291" ht="12.75" customHeight="1">
      <c r="A1291" s="5" t="s">
        <v>3202</v>
      </c>
    </row>
    <row r="1292" ht="12.75" customHeight="1">
      <c r="A1292" s="5" t="s">
        <v>3201</v>
      </c>
    </row>
    <row r="1293" ht="12.75" customHeight="1">
      <c r="A1293" s="5" t="s">
        <v>2539</v>
      </c>
    </row>
    <row r="1294" ht="12.75" customHeight="1">
      <c r="A1294" s="5" t="s">
        <v>1982</v>
      </c>
    </row>
    <row r="1295" ht="12.75" customHeight="1">
      <c r="A1295" s="5">
        <v>0.2</v>
      </c>
    </row>
    <row r="1296" ht="12.75" customHeight="1">
      <c r="A1296" s="5" t="s">
        <v>789</v>
      </c>
    </row>
    <row r="1297" ht="12.75" customHeight="1">
      <c r="A1297" s="5" t="s">
        <v>3193</v>
      </c>
    </row>
    <row r="1298" ht="12.75" customHeight="1">
      <c r="A1298" s="5">
        <v>0.1</v>
      </c>
    </row>
    <row r="1299" ht="12.75" customHeight="1">
      <c r="A1299" s="5" t="s">
        <v>3194</v>
      </c>
    </row>
    <row r="1300" ht="12.75" customHeight="1">
      <c r="A1300" s="5" t="s">
        <v>3195</v>
      </c>
    </row>
    <row r="1301" ht="12.75" customHeight="1">
      <c r="A1301" s="5" t="s">
        <v>3196</v>
      </c>
    </row>
    <row r="1302" ht="12.75" customHeight="1">
      <c r="A1302" s="5" t="s">
        <v>3197</v>
      </c>
    </row>
    <row r="1303" ht="12.75" customHeight="1">
      <c r="A1303" s="5">
        <v>0.05</v>
      </c>
    </row>
    <row r="1304" ht="12.75" customHeight="1">
      <c r="A1304" s="5" t="s">
        <v>3198</v>
      </c>
    </row>
    <row r="1305" ht="12.75" customHeight="1">
      <c r="A1305" s="5" t="s">
        <v>3199</v>
      </c>
    </row>
    <row r="1306" ht="12.75" customHeight="1">
      <c r="A1306" s="5">
        <v>0.04</v>
      </c>
    </row>
    <row r="1307" ht="12.75" customHeight="1">
      <c r="A1307" s="5" t="s">
        <v>3200</v>
      </c>
    </row>
    <row r="1308" ht="12.75" customHeight="1">
      <c r="A1308" s="5" t="s">
        <v>3201</v>
      </c>
    </row>
    <row r="1309" ht="12.75" customHeight="1">
      <c r="A1309" s="5">
        <v>0.01</v>
      </c>
    </row>
    <row r="1310" ht="12.75" customHeight="1">
      <c r="A1310" s="5" t="s">
        <v>3202</v>
      </c>
    </row>
    <row r="1311" ht="12.75" customHeight="1">
      <c r="A1311" s="5" t="s">
        <v>3201</v>
      </c>
    </row>
    <row r="1312" ht="12.75" customHeight="1">
      <c r="A1312" s="5" t="s">
        <v>2539</v>
      </c>
    </row>
    <row r="1313" ht="12.75" customHeight="1">
      <c r="A1313" s="5" t="s">
        <v>1984</v>
      </c>
    </row>
    <row r="1314" ht="12.75" customHeight="1">
      <c r="A1314" s="5">
        <v>0.2</v>
      </c>
    </row>
    <row r="1315" ht="12.75" customHeight="1">
      <c r="A1315" s="5" t="s">
        <v>789</v>
      </c>
    </row>
    <row r="1316" ht="12.75" customHeight="1">
      <c r="A1316" s="5" t="s">
        <v>3193</v>
      </c>
    </row>
    <row r="1317" ht="12.75" customHeight="1">
      <c r="A1317" s="5">
        <v>0.1</v>
      </c>
    </row>
    <row r="1318" ht="12.75" customHeight="1">
      <c r="A1318" s="5" t="s">
        <v>3194</v>
      </c>
    </row>
    <row r="1319" ht="12.75" customHeight="1">
      <c r="A1319" s="5" t="s">
        <v>3195</v>
      </c>
    </row>
    <row r="1320" ht="12.75" customHeight="1">
      <c r="A1320" s="5" t="s">
        <v>3196</v>
      </c>
    </row>
    <row r="1321" ht="12.75" customHeight="1">
      <c r="A1321" s="5" t="s">
        <v>3197</v>
      </c>
    </row>
    <row r="1322" ht="12.75" customHeight="1">
      <c r="A1322" s="5">
        <v>0.05</v>
      </c>
    </row>
    <row r="1323" ht="12.75" customHeight="1">
      <c r="A1323" s="5" t="s">
        <v>3198</v>
      </c>
    </row>
    <row r="1324" ht="12.75" customHeight="1">
      <c r="A1324" s="5" t="s">
        <v>3199</v>
      </c>
    </row>
    <row r="1325" ht="12.75" customHeight="1">
      <c r="A1325" s="5">
        <v>0.04</v>
      </c>
    </row>
    <row r="1326" ht="12.75" customHeight="1">
      <c r="A1326" s="5" t="s">
        <v>3200</v>
      </c>
    </row>
    <row r="1327" ht="12.75" customHeight="1">
      <c r="A1327" s="5" t="s">
        <v>3201</v>
      </c>
    </row>
    <row r="1328" ht="12.75" customHeight="1">
      <c r="A1328" s="5">
        <v>0.01</v>
      </c>
    </row>
    <row r="1329" ht="12.75" customHeight="1">
      <c r="A1329" s="5" t="s">
        <v>3202</v>
      </c>
    </row>
    <row r="1330" ht="12.75" customHeight="1">
      <c r="A1330" s="5" t="s">
        <v>3201</v>
      </c>
    </row>
    <row r="1331" ht="12.75" customHeight="1">
      <c r="A1331" s="5" t="s">
        <v>2539</v>
      </c>
    </row>
    <row r="1332" ht="12.75" customHeight="1">
      <c r="A1332" s="5" t="s">
        <v>1986</v>
      </c>
    </row>
    <row r="1333" ht="12.75" customHeight="1">
      <c r="A1333" s="5">
        <v>0.2</v>
      </c>
    </row>
    <row r="1334" ht="12.75" customHeight="1">
      <c r="A1334" s="5" t="s">
        <v>789</v>
      </c>
    </row>
    <row r="1335" ht="12.75" customHeight="1">
      <c r="A1335" s="5" t="s">
        <v>3193</v>
      </c>
    </row>
    <row r="1336" ht="12.75" customHeight="1">
      <c r="A1336" s="5">
        <v>0.1</v>
      </c>
    </row>
    <row r="1337" ht="12.75" customHeight="1">
      <c r="A1337" s="5" t="s">
        <v>3194</v>
      </c>
    </row>
    <row r="1338" ht="12.75" customHeight="1">
      <c r="A1338" s="5" t="s">
        <v>3195</v>
      </c>
    </row>
    <row r="1339" ht="12.75" customHeight="1">
      <c r="A1339" s="5" t="s">
        <v>3196</v>
      </c>
    </row>
    <row r="1340" ht="12.75" customHeight="1">
      <c r="A1340" s="5" t="s">
        <v>3197</v>
      </c>
    </row>
    <row r="1341" ht="12.75" customHeight="1">
      <c r="A1341" s="5">
        <v>0.05</v>
      </c>
    </row>
    <row r="1342" ht="12.75" customHeight="1">
      <c r="A1342" s="5" t="s">
        <v>3198</v>
      </c>
    </row>
    <row r="1343" ht="12.75" customHeight="1">
      <c r="A1343" s="5" t="s">
        <v>3199</v>
      </c>
    </row>
    <row r="1344" ht="12.75" customHeight="1">
      <c r="A1344" s="5">
        <v>0.04</v>
      </c>
    </row>
    <row r="1345" ht="12.75" customHeight="1">
      <c r="A1345" s="5" t="s">
        <v>3200</v>
      </c>
    </row>
    <row r="1346" ht="12.75" customHeight="1">
      <c r="A1346" s="5" t="s">
        <v>3201</v>
      </c>
    </row>
    <row r="1347" ht="12.75" customHeight="1">
      <c r="A1347" s="5">
        <v>0.01</v>
      </c>
    </row>
    <row r="1348" ht="12.75" customHeight="1">
      <c r="A1348" s="5" t="s">
        <v>3202</v>
      </c>
    </row>
    <row r="1349" ht="12.75" customHeight="1">
      <c r="A1349" s="5" t="s">
        <v>3201</v>
      </c>
    </row>
    <row r="1350" ht="12.75" customHeight="1">
      <c r="A1350" s="5" t="s">
        <v>2539</v>
      </c>
    </row>
    <row r="1351" ht="12.75" customHeight="1">
      <c r="A1351" s="5" t="s">
        <v>1988</v>
      </c>
    </row>
    <row r="1352" ht="12.75" customHeight="1">
      <c r="A1352" s="5">
        <v>0.2</v>
      </c>
    </row>
    <row r="1353" ht="12.75" customHeight="1">
      <c r="A1353" s="5" t="s">
        <v>789</v>
      </c>
    </row>
    <row r="1354" ht="12.75" customHeight="1">
      <c r="A1354" s="5" t="s">
        <v>3193</v>
      </c>
    </row>
    <row r="1355" ht="12.75" customHeight="1">
      <c r="A1355" s="5">
        <v>0.1</v>
      </c>
    </row>
    <row r="1356" ht="12.75" customHeight="1">
      <c r="A1356" s="5" t="s">
        <v>3194</v>
      </c>
    </row>
    <row r="1357" ht="12.75" customHeight="1">
      <c r="A1357" s="5" t="s">
        <v>3195</v>
      </c>
    </row>
    <row r="1358" ht="12.75" customHeight="1">
      <c r="A1358" s="5" t="s">
        <v>3196</v>
      </c>
    </row>
    <row r="1359" ht="12.75" customHeight="1">
      <c r="A1359" s="5" t="s">
        <v>3197</v>
      </c>
    </row>
    <row r="1360" ht="12.75" customHeight="1">
      <c r="A1360" s="5">
        <v>0.05</v>
      </c>
    </row>
    <row r="1361" ht="12.75" customHeight="1">
      <c r="A1361" s="5" t="s">
        <v>3198</v>
      </c>
    </row>
    <row r="1362" ht="12.75" customHeight="1">
      <c r="A1362" s="5" t="s">
        <v>3199</v>
      </c>
    </row>
    <row r="1363" ht="12.75" customHeight="1">
      <c r="A1363" s="5">
        <v>0.04</v>
      </c>
    </row>
    <row r="1364" ht="12.75" customHeight="1">
      <c r="A1364" s="5" t="s">
        <v>3200</v>
      </c>
    </row>
    <row r="1365" ht="12.75" customHeight="1">
      <c r="A1365" s="5" t="s">
        <v>3201</v>
      </c>
    </row>
    <row r="1366" ht="12.75" customHeight="1">
      <c r="A1366" s="5">
        <v>0.01</v>
      </c>
    </row>
    <row r="1367" ht="12.75" customHeight="1">
      <c r="A1367" s="5" t="s">
        <v>3202</v>
      </c>
    </row>
    <row r="1368" ht="12.75" customHeight="1">
      <c r="A1368" s="5" t="s">
        <v>3201</v>
      </c>
    </row>
    <row r="1369" ht="12.75" customHeight="1">
      <c r="A1369" s="5" t="s">
        <v>2539</v>
      </c>
    </row>
    <row r="1370" ht="12.75" customHeight="1">
      <c r="A1370" s="5" t="s">
        <v>1990</v>
      </c>
    </row>
    <row r="1371" ht="12.75" customHeight="1">
      <c r="A1371" s="5">
        <v>0.2</v>
      </c>
    </row>
    <row r="1372" ht="12.75" customHeight="1">
      <c r="A1372" s="5" t="s">
        <v>789</v>
      </c>
    </row>
    <row r="1373" ht="12.75" customHeight="1">
      <c r="A1373" s="5" t="s">
        <v>3193</v>
      </c>
    </row>
    <row r="1374" ht="12.75" customHeight="1">
      <c r="A1374" s="5">
        <v>0.1</v>
      </c>
    </row>
    <row r="1375" ht="12.75" customHeight="1">
      <c r="A1375" s="5" t="s">
        <v>3194</v>
      </c>
    </row>
    <row r="1376" ht="12.75" customHeight="1">
      <c r="A1376" s="5" t="s">
        <v>3195</v>
      </c>
    </row>
    <row r="1377" ht="12.75" customHeight="1">
      <c r="A1377" s="5" t="s">
        <v>3196</v>
      </c>
    </row>
    <row r="1378" ht="12.75" customHeight="1">
      <c r="A1378" s="5" t="s">
        <v>3197</v>
      </c>
    </row>
    <row r="1379" ht="12.75" customHeight="1">
      <c r="A1379" s="5">
        <v>0.05</v>
      </c>
    </row>
    <row r="1380" ht="12.75" customHeight="1">
      <c r="A1380" s="5" t="s">
        <v>3198</v>
      </c>
    </row>
    <row r="1381" ht="12.75" customHeight="1">
      <c r="A1381" s="5" t="s">
        <v>3199</v>
      </c>
    </row>
    <row r="1382" ht="12.75" customHeight="1">
      <c r="A1382" s="5">
        <v>0.04</v>
      </c>
    </row>
    <row r="1383" ht="12.75" customHeight="1">
      <c r="A1383" s="5" t="s">
        <v>3200</v>
      </c>
    </row>
    <row r="1384" ht="12.75" customHeight="1">
      <c r="A1384" s="5" t="s">
        <v>3201</v>
      </c>
    </row>
    <row r="1385" ht="12.75" customHeight="1">
      <c r="A1385" s="5">
        <v>0.01</v>
      </c>
    </row>
    <row r="1386" ht="12.75" customHeight="1">
      <c r="A1386" s="5" t="s">
        <v>3202</v>
      </c>
    </row>
    <row r="1387" ht="12.75" customHeight="1">
      <c r="A1387" s="5" t="s">
        <v>3201</v>
      </c>
    </row>
    <row r="1388" ht="12.75" customHeight="1">
      <c r="A1388" s="5" t="s">
        <v>2539</v>
      </c>
    </row>
    <row r="1389" ht="12.75" customHeight="1">
      <c r="A1389" s="5" t="s">
        <v>1992</v>
      </c>
    </row>
    <row r="1390" ht="12.75" customHeight="1">
      <c r="A1390" s="5">
        <v>0.2</v>
      </c>
    </row>
    <row r="1391" ht="12.75" customHeight="1">
      <c r="A1391" s="5" t="s">
        <v>789</v>
      </c>
    </row>
    <row r="1392" ht="12.75" customHeight="1">
      <c r="A1392" s="5" t="s">
        <v>3193</v>
      </c>
    </row>
    <row r="1393" ht="12.75" customHeight="1">
      <c r="A1393" s="5">
        <v>0.1</v>
      </c>
    </row>
    <row r="1394" ht="12.75" customHeight="1">
      <c r="A1394" s="5" t="s">
        <v>3194</v>
      </c>
    </row>
    <row r="1395" ht="12.75" customHeight="1">
      <c r="A1395" s="5" t="s">
        <v>3195</v>
      </c>
    </row>
    <row r="1396" ht="12.75" customHeight="1">
      <c r="A1396" s="5" t="s">
        <v>3196</v>
      </c>
    </row>
    <row r="1397" ht="12.75" customHeight="1">
      <c r="A1397" s="5" t="s">
        <v>3216</v>
      </c>
    </row>
    <row r="1398" ht="12.75" customHeight="1">
      <c r="A1398" s="5">
        <v>0.05</v>
      </c>
    </row>
    <row r="1399" ht="12.75" customHeight="1">
      <c r="A1399" s="5" t="s">
        <v>3217</v>
      </c>
    </row>
    <row r="1400" ht="12.75" customHeight="1">
      <c r="A1400" s="5" t="s">
        <v>3199</v>
      </c>
    </row>
    <row r="1401" ht="12.75" customHeight="1">
      <c r="A1401" s="5">
        <v>0.04</v>
      </c>
    </row>
    <row r="1402" ht="12.75" customHeight="1">
      <c r="A1402" s="5" t="s">
        <v>3200</v>
      </c>
    </row>
    <row r="1403" ht="12.75" customHeight="1">
      <c r="A1403" s="5" t="s">
        <v>3201</v>
      </c>
    </row>
    <row r="1404" ht="12.75" customHeight="1">
      <c r="A1404" s="5">
        <v>0.01</v>
      </c>
    </row>
    <row r="1405" ht="12.75" customHeight="1">
      <c r="A1405" s="5" t="s">
        <v>3202</v>
      </c>
    </row>
    <row r="1406" ht="12.75" customHeight="1">
      <c r="A1406" s="5" t="s">
        <v>3201</v>
      </c>
    </row>
    <row r="1407" ht="12.75" customHeight="1">
      <c r="A1407" s="5" t="s">
        <v>2539</v>
      </c>
    </row>
    <row r="1408" ht="12.75" customHeight="1">
      <c r="A1408" s="5" t="s">
        <v>1994</v>
      </c>
    </row>
    <row r="1409" ht="12.75" customHeight="1">
      <c r="A1409" s="5">
        <v>0.2</v>
      </c>
    </row>
    <row r="1410" ht="12.75" customHeight="1">
      <c r="A1410" s="5" t="s">
        <v>789</v>
      </c>
    </row>
    <row r="1411" ht="12.75" customHeight="1">
      <c r="A1411" s="5" t="s">
        <v>3193</v>
      </c>
    </row>
    <row r="1412" ht="12.75" customHeight="1">
      <c r="A1412" s="5">
        <v>0.1</v>
      </c>
    </row>
    <row r="1413" ht="12.75" customHeight="1">
      <c r="A1413" s="5" t="s">
        <v>3194</v>
      </c>
    </row>
    <row r="1414" ht="12.75" customHeight="1">
      <c r="A1414" s="5" t="s">
        <v>3195</v>
      </c>
    </row>
    <row r="1415" ht="12.75" customHeight="1">
      <c r="A1415" s="5" t="s">
        <v>3196</v>
      </c>
    </row>
    <row r="1416" ht="12.75" customHeight="1">
      <c r="A1416" s="5" t="s">
        <v>3216</v>
      </c>
    </row>
    <row r="1417" ht="12.75" customHeight="1">
      <c r="A1417" s="5">
        <v>0.05</v>
      </c>
    </row>
    <row r="1418" ht="12.75" customHeight="1">
      <c r="A1418" s="5" t="s">
        <v>3217</v>
      </c>
    </row>
    <row r="1419" ht="12.75" customHeight="1">
      <c r="A1419" s="5" t="s">
        <v>3199</v>
      </c>
    </row>
    <row r="1420" ht="12.75" customHeight="1">
      <c r="A1420" s="5">
        <v>0.04</v>
      </c>
    </row>
    <row r="1421" ht="12.75" customHeight="1">
      <c r="A1421" s="5" t="s">
        <v>3200</v>
      </c>
    </row>
    <row r="1422" ht="12.75" customHeight="1">
      <c r="A1422" s="5" t="s">
        <v>3201</v>
      </c>
    </row>
    <row r="1423" ht="12.75" customHeight="1">
      <c r="A1423" s="5">
        <v>0.01</v>
      </c>
    </row>
    <row r="1424" ht="12.75" customHeight="1">
      <c r="A1424" s="5" t="s">
        <v>3202</v>
      </c>
    </row>
    <row r="1425" ht="12.75" customHeight="1">
      <c r="A1425" s="5" t="s">
        <v>3201</v>
      </c>
    </row>
    <row r="1426" ht="12.75" customHeight="1">
      <c r="A1426" s="5" t="s">
        <v>2539</v>
      </c>
    </row>
    <row r="1427" ht="12.75" customHeight="1">
      <c r="A1427" s="5" t="s">
        <v>1996</v>
      </c>
    </row>
    <row r="1428" ht="12.75" customHeight="1">
      <c r="A1428" s="5">
        <v>0.2</v>
      </c>
    </row>
    <row r="1429" ht="12.75" customHeight="1">
      <c r="A1429" s="5" t="s">
        <v>789</v>
      </c>
    </row>
    <row r="1430" ht="12.75" customHeight="1">
      <c r="A1430" s="5" t="s">
        <v>3193</v>
      </c>
    </row>
    <row r="1431" ht="12.75" customHeight="1">
      <c r="A1431" s="5">
        <v>0.1</v>
      </c>
    </row>
    <row r="1432" ht="12.75" customHeight="1">
      <c r="A1432" s="5" t="s">
        <v>3194</v>
      </c>
    </row>
    <row r="1433" ht="12.75" customHeight="1">
      <c r="A1433" s="5" t="s">
        <v>3195</v>
      </c>
    </row>
    <row r="1434" ht="12.75" customHeight="1">
      <c r="A1434" s="5" t="s">
        <v>3196</v>
      </c>
    </row>
    <row r="1435" ht="12.75" customHeight="1">
      <c r="A1435" s="5" t="s">
        <v>3216</v>
      </c>
    </row>
    <row r="1436" ht="12.75" customHeight="1">
      <c r="A1436" s="5">
        <v>0.05</v>
      </c>
    </row>
    <row r="1437" ht="12.75" customHeight="1">
      <c r="A1437" s="5" t="s">
        <v>3217</v>
      </c>
    </row>
    <row r="1438" ht="12.75" customHeight="1">
      <c r="A1438" s="5" t="s">
        <v>3199</v>
      </c>
    </row>
    <row r="1439" ht="12.75" customHeight="1">
      <c r="A1439" s="5">
        <v>0.04</v>
      </c>
    </row>
    <row r="1440" ht="12.75" customHeight="1">
      <c r="A1440" s="5" t="s">
        <v>3200</v>
      </c>
    </row>
    <row r="1441" ht="12.75" customHeight="1">
      <c r="A1441" s="5" t="s">
        <v>3201</v>
      </c>
    </row>
    <row r="1442" ht="12.75" customHeight="1">
      <c r="A1442" s="5">
        <v>0.01</v>
      </c>
    </row>
    <row r="1443" ht="12.75" customHeight="1">
      <c r="A1443" s="5" t="s">
        <v>3202</v>
      </c>
    </row>
    <row r="1444" ht="12.75" customHeight="1">
      <c r="A1444" s="5" t="s">
        <v>3201</v>
      </c>
    </row>
    <row r="1445" ht="12.75" customHeight="1">
      <c r="A1445" s="5" t="s">
        <v>2539</v>
      </c>
    </row>
    <row r="1446" ht="12.75" customHeight="1">
      <c r="A1446" s="5" t="s">
        <v>1998</v>
      </c>
    </row>
    <row r="1447" ht="12.75" customHeight="1">
      <c r="A1447" s="5">
        <v>0.2</v>
      </c>
    </row>
    <row r="1448" ht="12.75" customHeight="1">
      <c r="A1448" s="5" t="s">
        <v>789</v>
      </c>
    </row>
    <row r="1449" ht="12.75" customHeight="1">
      <c r="A1449" s="5" t="s">
        <v>3193</v>
      </c>
    </row>
    <row r="1450" ht="12.75" customHeight="1">
      <c r="A1450" s="5">
        <v>0.1</v>
      </c>
    </row>
    <row r="1451" ht="12.75" customHeight="1">
      <c r="A1451" s="5" t="s">
        <v>3194</v>
      </c>
    </row>
    <row r="1452" ht="12.75" customHeight="1">
      <c r="A1452" s="5" t="s">
        <v>3195</v>
      </c>
    </row>
    <row r="1453" ht="12.75" customHeight="1">
      <c r="A1453" s="5" t="s">
        <v>3196</v>
      </c>
    </row>
    <row r="1454" ht="12.75" customHeight="1">
      <c r="A1454" s="5" t="s">
        <v>3216</v>
      </c>
    </row>
    <row r="1455" ht="12.75" customHeight="1">
      <c r="A1455" s="5">
        <v>0.05</v>
      </c>
    </row>
    <row r="1456" ht="12.75" customHeight="1">
      <c r="A1456" s="5" t="s">
        <v>3217</v>
      </c>
    </row>
    <row r="1457" ht="12.75" customHeight="1">
      <c r="A1457" s="5" t="s">
        <v>3199</v>
      </c>
    </row>
    <row r="1458" ht="12.75" customHeight="1">
      <c r="A1458" s="5">
        <v>0.04</v>
      </c>
    </row>
    <row r="1459" ht="12.75" customHeight="1">
      <c r="A1459" s="5" t="s">
        <v>3200</v>
      </c>
    </row>
    <row r="1460" ht="12.75" customHeight="1">
      <c r="A1460" s="5" t="s">
        <v>3201</v>
      </c>
    </row>
    <row r="1461" ht="12.75" customHeight="1">
      <c r="A1461" s="5">
        <v>0.01</v>
      </c>
    </row>
    <row r="1462" ht="12.75" customHeight="1">
      <c r="A1462" s="5" t="s">
        <v>3202</v>
      </c>
    </row>
    <row r="1463" ht="12.75" customHeight="1">
      <c r="A1463" s="5" t="s">
        <v>3201</v>
      </c>
    </row>
    <row r="1464" ht="12.75" customHeight="1">
      <c r="A1464" s="5" t="s">
        <v>2539</v>
      </c>
    </row>
    <row r="1465" ht="12.75" customHeight="1">
      <c r="A1465" s="5" t="s">
        <v>2156</v>
      </c>
    </row>
    <row r="1466" ht="12.75" customHeight="1">
      <c r="A1466" s="5">
        <v>0.2</v>
      </c>
    </row>
    <row r="1467" ht="12.75" customHeight="1">
      <c r="A1467" s="5" t="s">
        <v>817</v>
      </c>
    </row>
    <row r="1468" ht="12.75" customHeight="1">
      <c r="A1468" s="5" t="s">
        <v>3222</v>
      </c>
    </row>
    <row r="1469" ht="12.75" customHeight="1">
      <c r="A1469" s="5">
        <v>0.1</v>
      </c>
    </row>
    <row r="1470" ht="12.75" customHeight="1">
      <c r="A1470" s="5" t="s">
        <v>3223</v>
      </c>
    </row>
    <row r="1471" ht="12.75" customHeight="1">
      <c r="A1471" s="5" t="s">
        <v>3224</v>
      </c>
    </row>
    <row r="1472" ht="12.75" customHeight="1">
      <c r="A1472" s="5" t="s">
        <v>3082</v>
      </c>
    </row>
    <row r="1473" ht="12.75" customHeight="1">
      <c r="A1473" s="5" t="s">
        <v>3225</v>
      </c>
    </row>
    <row r="1474" ht="12.75" customHeight="1">
      <c r="A1474" s="5">
        <v>0.05</v>
      </c>
    </row>
    <row r="1475" ht="12.75" customHeight="1">
      <c r="A1475" s="5" t="s">
        <v>3226</v>
      </c>
    </row>
    <row r="1476" ht="12.75" customHeight="1">
      <c r="A1476" s="5" t="s">
        <v>3227</v>
      </c>
    </row>
    <row r="1477" ht="12.75" customHeight="1">
      <c r="A1477" s="5">
        <v>0.04</v>
      </c>
    </row>
    <row r="1478" ht="12.75" customHeight="1">
      <c r="A1478" s="5" t="s">
        <v>3228</v>
      </c>
    </row>
    <row r="1479" ht="12.75" customHeight="1">
      <c r="A1479" s="5" t="s">
        <v>3229</v>
      </c>
    </row>
    <row r="1480" ht="12.75" customHeight="1">
      <c r="A1480" s="5">
        <v>0.01</v>
      </c>
    </row>
    <row r="1481" ht="12.75" customHeight="1">
      <c r="A1481" s="5" t="s">
        <v>3230</v>
      </c>
    </row>
    <row r="1482" ht="12.75" customHeight="1">
      <c r="A1482" s="5" t="s">
        <v>3231</v>
      </c>
    </row>
    <row r="1483" ht="12.75" customHeight="1">
      <c r="A1483" s="5" t="s">
        <v>3981</v>
      </c>
    </row>
    <row r="1484" ht="12.75" customHeight="1">
      <c r="A1484" s="5" t="s">
        <v>3990</v>
      </c>
    </row>
    <row r="1485" ht="12.75" customHeight="1">
      <c r="A1485" s="5" t="s">
        <v>3174</v>
      </c>
    </row>
    <row r="1486" ht="12.75" customHeight="1">
      <c r="A1486" s="5" t="s">
        <v>2845</v>
      </c>
    </row>
    <row r="1487" ht="12.75" customHeight="1">
      <c r="A1487" s="5" t="s">
        <v>3232</v>
      </c>
    </row>
    <row r="1488" ht="12.75" customHeight="1">
      <c r="A1488" s="5" t="s">
        <v>3232</v>
      </c>
    </row>
    <row r="1489" ht="12.75" customHeight="1">
      <c r="A1489" s="5" t="s">
        <v>3991</v>
      </c>
    </row>
    <row r="1490" ht="12.75" customHeight="1">
      <c r="A1490" s="5" t="s">
        <v>3984</v>
      </c>
    </row>
    <row r="1491" ht="12.75" customHeight="1">
      <c r="A1491" s="5" t="s">
        <v>3001</v>
      </c>
    </row>
    <row r="1492" ht="12.75" customHeight="1">
      <c r="A1492" s="5" t="s">
        <v>3002</v>
      </c>
    </row>
    <row r="1493" ht="12.75" customHeight="1">
      <c r="A1493" s="5" t="s">
        <v>3003</v>
      </c>
    </row>
    <row r="1494" ht="12.75" customHeight="1">
      <c r="A1494" s="5" t="s">
        <v>3234</v>
      </c>
    </row>
    <row r="1495" ht="12.75" customHeight="1">
      <c r="A1495" s="5" t="s">
        <v>3978</v>
      </c>
    </row>
    <row r="1496" ht="12.75" customHeight="1">
      <c r="A1496" s="5" t="s">
        <v>417</v>
      </c>
    </row>
    <row r="1497" ht="12.75" customHeight="1">
      <c r="A1497" s="5" t="s">
        <v>417</v>
      </c>
    </row>
    <row r="1498" ht="12.75" customHeight="1">
      <c r="A1498" s="5" t="s">
        <v>3979</v>
      </c>
    </row>
    <row r="1499" ht="12.75" customHeight="1">
      <c r="A1499" s="5" t="s">
        <v>2848</v>
      </c>
    </row>
    <row r="1500" ht="12.75" customHeight="1">
      <c r="A1500" s="5" t="s">
        <v>2849</v>
      </c>
    </row>
    <row r="1501" ht="12.75" customHeight="1">
      <c r="A1501" s="5" t="s">
        <v>2848</v>
      </c>
    </row>
    <row r="1502" ht="12.75" customHeight="1">
      <c r="A1502" s="5" t="s">
        <v>3980</v>
      </c>
    </row>
    <row r="1503" ht="12.75" customHeight="1">
      <c r="A1503" s="5" t="s">
        <v>2852</v>
      </c>
    </row>
    <row r="1504" ht="12.75" customHeight="1">
      <c r="A1504" s="5" t="s">
        <v>2852</v>
      </c>
    </row>
    <row r="1505" ht="12.75" customHeight="1">
      <c r="A1505" s="5" t="s">
        <v>2854</v>
      </c>
    </row>
    <row r="1506" ht="12.75" customHeight="1">
      <c r="A1506" s="5" t="s">
        <v>3178</v>
      </c>
    </row>
    <row r="1507" ht="12.75" customHeight="1">
      <c r="A1507" s="5" t="s">
        <v>2856</v>
      </c>
    </row>
    <row r="1508" ht="12.75" customHeight="1">
      <c r="A1508" s="5" t="s">
        <v>2539</v>
      </c>
    </row>
    <row r="1509" ht="12.75" customHeight="1">
      <c r="A1509" s="5" t="s">
        <v>2158</v>
      </c>
    </row>
    <row r="1510" ht="12.75" customHeight="1">
      <c r="A1510" s="5">
        <v>0.2</v>
      </c>
    </row>
    <row r="1511" ht="12.75" customHeight="1">
      <c r="A1511" s="5" t="s">
        <v>817</v>
      </c>
    </row>
    <row r="1512" ht="12.75" customHeight="1">
      <c r="A1512" s="5" t="s">
        <v>3236</v>
      </c>
    </row>
    <row r="1513" ht="12.75" customHeight="1">
      <c r="A1513" s="5">
        <v>0.1</v>
      </c>
    </row>
    <row r="1514" ht="12.75" customHeight="1">
      <c r="A1514" s="5" t="s">
        <v>838</v>
      </c>
    </row>
    <row r="1515" ht="12.75" customHeight="1">
      <c r="A1515" s="5" t="s">
        <v>3237</v>
      </c>
    </row>
    <row r="1516" ht="12.75" customHeight="1">
      <c r="A1516" s="5" t="s">
        <v>3223</v>
      </c>
    </row>
    <row r="1517" ht="12.75" customHeight="1">
      <c r="A1517" s="5" t="s">
        <v>3225</v>
      </c>
    </row>
    <row r="1518" ht="12.75" customHeight="1">
      <c r="A1518" s="5">
        <v>0.05</v>
      </c>
    </row>
    <row r="1519" ht="12.75" customHeight="1">
      <c r="A1519" s="5" t="s">
        <v>3071</v>
      </c>
    </row>
    <row r="1520" ht="12.75" customHeight="1">
      <c r="A1520" s="5" t="s">
        <v>3134</v>
      </c>
    </row>
    <row r="1521" ht="12.75" customHeight="1">
      <c r="A1521" s="5">
        <v>0.04</v>
      </c>
    </row>
    <row r="1522" ht="12.75" customHeight="1">
      <c r="A1522" s="5" t="s">
        <v>3075</v>
      </c>
    </row>
    <row r="1523" ht="12.75" customHeight="1">
      <c r="A1523" s="5" t="s">
        <v>3229</v>
      </c>
    </row>
    <row r="1524" ht="12.75" customHeight="1">
      <c r="A1524" s="5">
        <v>0.01</v>
      </c>
    </row>
    <row r="1525" ht="12.75" customHeight="1">
      <c r="A1525" s="5" t="s">
        <v>3075</v>
      </c>
    </row>
    <row r="1526" ht="12.75" customHeight="1">
      <c r="A1526" s="5" t="s">
        <v>3231</v>
      </c>
    </row>
    <row r="1527" ht="12.75" customHeight="1">
      <c r="A1527" s="5" t="s">
        <v>3981</v>
      </c>
    </row>
    <row r="1528" ht="12.75" customHeight="1">
      <c r="A1528" s="5" t="s">
        <v>3990</v>
      </c>
    </row>
    <row r="1529" ht="12.75" customHeight="1">
      <c r="A1529" s="5" t="s">
        <v>3174</v>
      </c>
    </row>
    <row r="1530" ht="12.75" customHeight="1">
      <c r="A1530" s="5" t="s">
        <v>2845</v>
      </c>
    </row>
    <row r="1531" ht="12.75" customHeight="1">
      <c r="A1531" s="5" t="s">
        <v>3232</v>
      </c>
    </row>
    <row r="1532" ht="12.75" customHeight="1">
      <c r="A1532" s="5" t="s">
        <v>3232</v>
      </c>
    </row>
    <row r="1533" ht="12.75" customHeight="1">
      <c r="A1533" s="5" t="s">
        <v>3978</v>
      </c>
    </row>
    <row r="1534" ht="12.75" customHeight="1">
      <c r="A1534" s="5" t="s">
        <v>417</v>
      </c>
    </row>
    <row r="1535" ht="12.75" customHeight="1">
      <c r="A1535" s="5" t="s">
        <v>417</v>
      </c>
    </row>
    <row r="1536" ht="12.75" customHeight="1">
      <c r="A1536" s="5" t="s">
        <v>3979</v>
      </c>
    </row>
    <row r="1537" ht="12.75" customHeight="1">
      <c r="A1537" s="5" t="s">
        <v>2848</v>
      </c>
    </row>
    <row r="1538" ht="12.75" customHeight="1">
      <c r="A1538" s="5" t="s">
        <v>2849</v>
      </c>
    </row>
    <row r="1539" ht="12.75" customHeight="1">
      <c r="A1539" s="5" t="s">
        <v>2848</v>
      </c>
    </row>
    <row r="1540" ht="12.75" customHeight="1">
      <c r="A1540" s="5" t="s">
        <v>3980</v>
      </c>
    </row>
    <row r="1541" ht="12.75" customHeight="1">
      <c r="A1541" s="5" t="s">
        <v>2852</v>
      </c>
    </row>
    <row r="1542" ht="12.75" customHeight="1">
      <c r="A1542" s="5" t="s">
        <v>2852</v>
      </c>
    </row>
    <row r="1543" ht="12.75" customHeight="1">
      <c r="A1543" s="5" t="s">
        <v>2854</v>
      </c>
    </row>
    <row r="1544" ht="12.75" customHeight="1">
      <c r="A1544" s="5" t="s">
        <v>3178</v>
      </c>
    </row>
    <row r="1545" ht="12.75" customHeight="1">
      <c r="A1545" s="5" t="s">
        <v>2856</v>
      </c>
    </row>
    <row r="1546" ht="12.75" customHeight="1">
      <c r="A1546" s="5" t="s">
        <v>2539</v>
      </c>
    </row>
    <row r="1547" ht="12.75" customHeight="1">
      <c r="A1547" s="5" t="s">
        <v>2160</v>
      </c>
    </row>
    <row r="1548" ht="12.75" customHeight="1">
      <c r="A1548" s="5">
        <v>0.2</v>
      </c>
    </row>
    <row r="1549" ht="12.75" customHeight="1">
      <c r="A1549" s="5" t="s">
        <v>838</v>
      </c>
    </row>
    <row r="1550" ht="12.75" customHeight="1">
      <c r="A1550" s="5" t="s">
        <v>3130</v>
      </c>
    </row>
    <row r="1551" ht="12.75" customHeight="1">
      <c r="A1551" s="5">
        <v>0.1</v>
      </c>
    </row>
    <row r="1552" ht="12.75" customHeight="1">
      <c r="A1552" s="5" t="s">
        <v>3239</v>
      </c>
    </row>
    <row r="1553" ht="12.75" customHeight="1">
      <c r="A1553" s="5" t="s">
        <v>3240</v>
      </c>
    </row>
    <row r="1554" ht="12.75" customHeight="1">
      <c r="A1554" s="5" t="s">
        <v>3223</v>
      </c>
    </row>
    <row r="1555" ht="12.75" customHeight="1">
      <c r="A1555" s="5" t="s">
        <v>3225</v>
      </c>
    </row>
    <row r="1556" ht="12.75" customHeight="1">
      <c r="A1556" s="5">
        <v>0.05</v>
      </c>
    </row>
    <row r="1557" ht="12.75" customHeight="1">
      <c r="A1557" s="5" t="s">
        <v>3241</v>
      </c>
    </row>
    <row r="1558" ht="12.75" customHeight="1">
      <c r="A1558" s="5" t="s">
        <v>3134</v>
      </c>
    </row>
    <row r="1559" ht="12.75" customHeight="1">
      <c r="A1559" s="5">
        <v>0.04</v>
      </c>
    </row>
    <row r="1560" ht="12.75" customHeight="1">
      <c r="A1560" s="5" t="s">
        <v>3242</v>
      </c>
    </row>
    <row r="1561" ht="12.75" customHeight="1">
      <c r="A1561" s="5" t="s">
        <v>3229</v>
      </c>
    </row>
    <row r="1562" ht="12.75" customHeight="1">
      <c r="A1562" s="5">
        <v>0.01</v>
      </c>
    </row>
    <row r="1563" ht="12.75" customHeight="1">
      <c r="A1563" s="5" t="s">
        <v>3243</v>
      </c>
    </row>
    <row r="1564" ht="12.75" customHeight="1">
      <c r="A1564" s="5" t="s">
        <v>3231</v>
      </c>
    </row>
    <row r="1565" ht="12.75" customHeight="1">
      <c r="A1565" s="5" t="s">
        <v>3981</v>
      </c>
    </row>
    <row r="1566" ht="12.75" customHeight="1">
      <c r="A1566" s="5" t="s">
        <v>3988</v>
      </c>
    </row>
    <row r="1567" ht="12.75" customHeight="1">
      <c r="A1567" s="5" t="s">
        <v>3140</v>
      </c>
    </row>
    <row r="1568" ht="12.75" customHeight="1">
      <c r="A1568" s="5" t="s">
        <v>3141</v>
      </c>
    </row>
    <row r="1569" ht="12.75" customHeight="1">
      <c r="A1569" s="5" t="s">
        <v>3142</v>
      </c>
    </row>
    <row r="1570" ht="12.75" customHeight="1">
      <c r="A1570" s="5" t="s">
        <v>3142</v>
      </c>
    </row>
    <row r="1571" ht="12.75" customHeight="1">
      <c r="A1571" s="5" t="s">
        <v>3978</v>
      </c>
    </row>
    <row r="1572" ht="12.75" customHeight="1">
      <c r="A1572" s="5" t="s">
        <v>417</v>
      </c>
    </row>
    <row r="1573" ht="12.75" customHeight="1">
      <c r="A1573" s="5" t="s">
        <v>417</v>
      </c>
    </row>
    <row r="1574" ht="12.75" customHeight="1">
      <c r="A1574" s="5" t="s">
        <v>3979</v>
      </c>
    </row>
    <row r="1575" ht="12.75" customHeight="1">
      <c r="A1575" s="5" t="s">
        <v>3144</v>
      </c>
    </row>
    <row r="1576" ht="12.75" customHeight="1">
      <c r="A1576" s="5" t="s">
        <v>2849</v>
      </c>
    </row>
    <row r="1577" ht="12.75" customHeight="1">
      <c r="A1577" s="5" t="s">
        <v>3143</v>
      </c>
    </row>
    <row r="1578" ht="12.75" customHeight="1">
      <c r="A1578" s="5" t="s">
        <v>3980</v>
      </c>
    </row>
    <row r="1579" ht="12.75" customHeight="1">
      <c r="A1579" s="5" t="s">
        <v>3162</v>
      </c>
    </row>
    <row r="1580" ht="12.75" customHeight="1">
      <c r="A1580" s="5" t="s">
        <v>3163</v>
      </c>
    </row>
    <row r="1581" ht="12.75" customHeight="1">
      <c r="A1581" s="5" t="s">
        <v>2854</v>
      </c>
    </row>
    <row r="1582" ht="12.75" customHeight="1">
      <c r="A1582" s="5" t="s">
        <v>3147</v>
      </c>
    </row>
    <row r="1583" ht="12.75" customHeight="1">
      <c r="A1583" s="5" t="s">
        <v>2856</v>
      </c>
    </row>
    <row r="1584" ht="12.75" customHeight="1">
      <c r="A1584" s="5" t="s">
        <v>2539</v>
      </c>
    </row>
    <row r="1585" ht="12.75" customHeight="1">
      <c r="A1585" s="5" t="s">
        <v>2162</v>
      </c>
    </row>
    <row r="1586" ht="12.75" customHeight="1">
      <c r="A1586" s="5">
        <v>0.2</v>
      </c>
    </row>
    <row r="1587" ht="12.75" customHeight="1">
      <c r="A1587" s="5" t="s">
        <v>846</v>
      </c>
    </row>
    <row r="1588" ht="12.75" customHeight="1">
      <c r="A1588" s="5" t="s">
        <v>3245</v>
      </c>
    </row>
    <row r="1589" ht="12.75" customHeight="1">
      <c r="A1589" s="5">
        <v>0.1</v>
      </c>
    </row>
    <row r="1590" ht="12.75" customHeight="1">
      <c r="A1590" s="5" t="s">
        <v>3246</v>
      </c>
    </row>
    <row r="1591" ht="12.75" customHeight="1">
      <c r="A1591" s="5" t="s">
        <v>3240</v>
      </c>
    </row>
    <row r="1592" ht="12.75" customHeight="1">
      <c r="A1592" s="5" t="s">
        <v>3247</v>
      </c>
    </row>
    <row r="1593" ht="12.75" customHeight="1">
      <c r="A1593" s="5" t="s">
        <v>3225</v>
      </c>
    </row>
    <row r="1594" ht="12.75" customHeight="1">
      <c r="A1594" s="5">
        <v>0.05</v>
      </c>
    </row>
    <row r="1595" ht="12.75" customHeight="1">
      <c r="A1595" s="5" t="s">
        <v>3131</v>
      </c>
    </row>
    <row r="1596" ht="12.75" customHeight="1">
      <c r="A1596" s="5" t="s">
        <v>3134</v>
      </c>
    </row>
    <row r="1597" ht="12.75" customHeight="1">
      <c r="A1597" s="5">
        <v>0.04</v>
      </c>
    </row>
    <row r="1598" ht="12.75" customHeight="1">
      <c r="A1598" s="5" t="s">
        <v>720</v>
      </c>
    </row>
    <row r="1599" ht="12.75" customHeight="1">
      <c r="A1599" s="5" t="s">
        <v>3229</v>
      </c>
    </row>
    <row r="1600" ht="12.75" customHeight="1">
      <c r="A1600" s="5">
        <v>0.01</v>
      </c>
    </row>
    <row r="1601" ht="12.75" customHeight="1">
      <c r="A1601" s="5" t="s">
        <v>3248</v>
      </c>
    </row>
    <row r="1602" ht="12.75" customHeight="1">
      <c r="A1602" s="5" t="s">
        <v>3231</v>
      </c>
    </row>
    <row r="1603" ht="12.75" customHeight="1">
      <c r="A1603" s="5" t="s">
        <v>3981</v>
      </c>
    </row>
    <row r="1604" ht="12.75" customHeight="1">
      <c r="A1604" s="5" t="s">
        <v>3990</v>
      </c>
    </row>
    <row r="1605" ht="12.75" customHeight="1">
      <c r="A1605" s="5" t="s">
        <v>3174</v>
      </c>
    </row>
    <row r="1606" ht="12.75" customHeight="1">
      <c r="A1606" s="5" t="s">
        <v>2845</v>
      </c>
    </row>
    <row r="1607" ht="12.75" customHeight="1">
      <c r="A1607" s="5" t="s">
        <v>3232</v>
      </c>
    </row>
    <row r="1608" ht="12.75" customHeight="1">
      <c r="A1608" s="5" t="s">
        <v>3232</v>
      </c>
    </row>
    <row r="1609" ht="12.75" customHeight="1">
      <c r="A1609" s="5" t="s">
        <v>3978</v>
      </c>
    </row>
    <row r="1610" ht="12.75" customHeight="1">
      <c r="A1610" s="5" t="s">
        <v>417</v>
      </c>
    </row>
    <row r="1611" ht="12.75" customHeight="1">
      <c r="A1611" s="5" t="s">
        <v>417</v>
      </c>
    </row>
    <row r="1612" ht="12.75" customHeight="1">
      <c r="A1612" s="5" t="s">
        <v>3979</v>
      </c>
    </row>
    <row r="1613" ht="12.75" customHeight="1">
      <c r="A1613" s="5" t="s">
        <v>2848</v>
      </c>
    </row>
    <row r="1614" ht="12.75" customHeight="1">
      <c r="A1614" s="5" t="s">
        <v>2849</v>
      </c>
    </row>
    <row r="1615" ht="12.75" customHeight="1">
      <c r="A1615" s="5" t="s">
        <v>2848</v>
      </c>
    </row>
    <row r="1616" ht="12.75" customHeight="1">
      <c r="A1616" s="5" t="s">
        <v>3980</v>
      </c>
    </row>
    <row r="1617" ht="12.75" customHeight="1">
      <c r="A1617" s="5" t="s">
        <v>2852</v>
      </c>
    </row>
    <row r="1618" ht="12.75" customHeight="1">
      <c r="A1618" s="5" t="s">
        <v>2852</v>
      </c>
    </row>
    <row r="1619" ht="12.75" customHeight="1">
      <c r="A1619" s="5" t="s">
        <v>2854</v>
      </c>
    </row>
    <row r="1620" ht="12.75" customHeight="1">
      <c r="A1620" s="5" t="s">
        <v>3178</v>
      </c>
    </row>
    <row r="1621" ht="12.75" customHeight="1">
      <c r="A1621" s="5" t="s">
        <v>2856</v>
      </c>
    </row>
    <row r="1622" ht="12.75" customHeight="1">
      <c r="A1622" s="5" t="s">
        <v>2539</v>
      </c>
    </row>
    <row r="1623" ht="12.75" customHeight="1">
      <c r="A1623" s="5" t="s">
        <v>2164</v>
      </c>
    </row>
    <row r="1624" ht="12.75" customHeight="1">
      <c r="A1624" s="5">
        <v>0.2</v>
      </c>
    </row>
    <row r="1625" ht="12.75" customHeight="1">
      <c r="A1625" s="5" t="s">
        <v>853</v>
      </c>
    </row>
    <row r="1626" ht="12.75" customHeight="1">
      <c r="A1626" s="5" t="s">
        <v>853</v>
      </c>
    </row>
    <row r="1627" ht="12.75" customHeight="1">
      <c r="A1627" s="5">
        <v>0.1</v>
      </c>
    </row>
    <row r="1628" ht="12.75" customHeight="1">
      <c r="A1628" s="5" t="s">
        <v>3250</v>
      </c>
    </row>
    <row r="1629" ht="12.75" customHeight="1">
      <c r="A1629" s="5" t="s">
        <v>3250</v>
      </c>
    </row>
    <row r="1630" ht="12.75" customHeight="1">
      <c r="A1630" s="5" t="s">
        <v>3251</v>
      </c>
    </row>
    <row r="1631" ht="12.75" customHeight="1">
      <c r="A1631" s="5" t="s">
        <v>3251</v>
      </c>
    </row>
    <row r="1632" ht="12.75" customHeight="1">
      <c r="A1632" s="5">
        <v>0.05</v>
      </c>
    </row>
    <row r="1633" ht="12.75" customHeight="1">
      <c r="A1633" s="5" t="s">
        <v>3252</v>
      </c>
    </row>
    <row r="1634" ht="12.75" customHeight="1">
      <c r="A1634" s="5" t="s">
        <v>3253</v>
      </c>
    </row>
    <row r="1635" ht="12.75" customHeight="1">
      <c r="A1635" s="5">
        <v>0.04</v>
      </c>
    </row>
    <row r="1636" ht="12.75" customHeight="1">
      <c r="A1636" s="5" t="s">
        <v>3252</v>
      </c>
    </row>
    <row r="1637" ht="12.75" customHeight="1">
      <c r="A1637" s="5" t="s">
        <v>3253</v>
      </c>
    </row>
    <row r="1638" ht="12.75" customHeight="1">
      <c r="A1638" s="5">
        <v>0.01</v>
      </c>
    </row>
    <row r="1639" ht="12.75" customHeight="1">
      <c r="A1639" s="5" t="s">
        <v>3254</v>
      </c>
    </row>
    <row r="1640" ht="12.75" customHeight="1">
      <c r="A1640" s="5" t="s">
        <v>3722</v>
      </c>
    </row>
    <row r="1641" ht="12.75" customHeight="1">
      <c r="A1641" s="5" t="s">
        <v>2539</v>
      </c>
    </row>
    <row r="1642" ht="12.75" customHeight="1">
      <c r="A1642" s="5" t="s">
        <v>2174</v>
      </c>
    </row>
    <row r="1643" ht="12.75" customHeight="1">
      <c r="A1643" s="5" t="s">
        <v>3981</v>
      </c>
    </row>
    <row r="1644" ht="12.75" customHeight="1">
      <c r="A1644" s="5" t="s">
        <v>3992</v>
      </c>
    </row>
    <row r="1645" ht="12.75" customHeight="1">
      <c r="A1645" s="5" t="s">
        <v>3258</v>
      </c>
    </row>
    <row r="1646" ht="12.75" customHeight="1">
      <c r="A1646" s="5" t="s">
        <v>2845</v>
      </c>
    </row>
    <row r="1647" ht="12.75" customHeight="1">
      <c r="A1647" s="5" t="s">
        <v>3232</v>
      </c>
    </row>
    <row r="1648" ht="12.75" customHeight="1">
      <c r="A1648" s="5" t="s">
        <v>3232</v>
      </c>
    </row>
    <row r="1649" ht="12.75" customHeight="1">
      <c r="A1649" s="5" t="s">
        <v>3978</v>
      </c>
    </row>
    <row r="1650" ht="12.75" customHeight="1">
      <c r="A1650" s="5" t="s">
        <v>417</v>
      </c>
    </row>
    <row r="1651" ht="12.75" customHeight="1">
      <c r="A1651" s="5" t="s">
        <v>417</v>
      </c>
    </row>
    <row r="1652" ht="12.75" customHeight="1">
      <c r="A1652" s="5" t="s">
        <v>3979</v>
      </c>
    </row>
    <row r="1653" ht="12.75" customHeight="1">
      <c r="A1653" s="5" t="s">
        <v>2848</v>
      </c>
    </row>
    <row r="1654" ht="12.75" customHeight="1">
      <c r="A1654" s="5" t="s">
        <v>2849</v>
      </c>
    </row>
    <row r="1655" ht="12.75" customHeight="1">
      <c r="A1655" s="5" t="s">
        <v>2848</v>
      </c>
    </row>
    <row r="1656" ht="12.75" customHeight="1">
      <c r="A1656" s="5" t="s">
        <v>3980</v>
      </c>
    </row>
    <row r="1657" ht="12.75" customHeight="1">
      <c r="A1657" s="5" t="s">
        <v>2852</v>
      </c>
    </row>
    <row r="1658" ht="12.75" customHeight="1">
      <c r="A1658" s="5" t="s">
        <v>3259</v>
      </c>
    </row>
    <row r="1659" ht="12.75" customHeight="1">
      <c r="A1659" s="5" t="s">
        <v>2854</v>
      </c>
    </row>
    <row r="1660" ht="12.75" customHeight="1">
      <c r="A1660" s="5" t="s">
        <v>3178</v>
      </c>
    </row>
    <row r="1661" ht="12.75" customHeight="1">
      <c r="A1661" s="5" t="s">
        <v>2856</v>
      </c>
    </row>
    <row r="1662" ht="12.75" customHeight="1">
      <c r="A1662" s="5" t="s">
        <v>2539</v>
      </c>
    </row>
    <row r="1663" ht="12.75" customHeight="1">
      <c r="A1663" s="5" t="s">
        <v>2176</v>
      </c>
    </row>
    <row r="1664" ht="12.75" customHeight="1">
      <c r="A1664" s="5" t="s">
        <v>3981</v>
      </c>
    </row>
    <row r="1665" ht="12.75" customHeight="1">
      <c r="A1665" s="5" t="s">
        <v>3992</v>
      </c>
    </row>
    <row r="1666" ht="12.75" customHeight="1">
      <c r="A1666" s="5" t="s">
        <v>3258</v>
      </c>
    </row>
    <row r="1667" ht="12.75" customHeight="1">
      <c r="A1667" s="5" t="s">
        <v>2845</v>
      </c>
    </row>
    <row r="1668" ht="12.75" customHeight="1">
      <c r="A1668" s="5" t="s">
        <v>3232</v>
      </c>
    </row>
    <row r="1669" ht="12.75" customHeight="1">
      <c r="A1669" s="5" t="s">
        <v>3232</v>
      </c>
    </row>
    <row r="1670" ht="12.75" customHeight="1">
      <c r="A1670" s="5" t="s">
        <v>3978</v>
      </c>
    </row>
    <row r="1671" ht="12.75" customHeight="1">
      <c r="A1671" s="5" t="s">
        <v>417</v>
      </c>
    </row>
    <row r="1672" ht="12.75" customHeight="1">
      <c r="A1672" s="5" t="s">
        <v>417</v>
      </c>
    </row>
    <row r="1673" ht="12.75" customHeight="1">
      <c r="A1673" s="5" t="s">
        <v>3979</v>
      </c>
    </row>
    <row r="1674" ht="12.75" customHeight="1">
      <c r="A1674" s="5" t="s">
        <v>2848</v>
      </c>
    </row>
    <row r="1675" ht="12.75" customHeight="1">
      <c r="A1675" s="5" t="s">
        <v>2849</v>
      </c>
    </row>
    <row r="1676" ht="12.75" customHeight="1">
      <c r="A1676" s="5" t="s">
        <v>2848</v>
      </c>
    </row>
    <row r="1677" ht="12.75" customHeight="1">
      <c r="A1677" s="5" t="s">
        <v>3980</v>
      </c>
    </row>
    <row r="1678" ht="12.75" customHeight="1">
      <c r="A1678" s="5" t="s">
        <v>2852</v>
      </c>
    </row>
    <row r="1679" ht="12.75" customHeight="1">
      <c r="A1679" s="5" t="s">
        <v>3259</v>
      </c>
    </row>
    <row r="1680" ht="12.75" customHeight="1">
      <c r="A1680" s="5" t="s">
        <v>2854</v>
      </c>
    </row>
    <row r="1681" ht="12.75" customHeight="1">
      <c r="A1681" s="5" t="s">
        <v>3178</v>
      </c>
    </row>
    <row r="1682" ht="12.75" customHeight="1">
      <c r="A1682" s="5" t="s">
        <v>2856</v>
      </c>
    </row>
    <row r="1683" ht="12.75" customHeight="1">
      <c r="A1683" s="5" t="s">
        <v>2539</v>
      </c>
    </row>
    <row r="1684" ht="12.75" customHeight="1">
      <c r="A1684" s="5" t="s">
        <v>2178</v>
      </c>
    </row>
    <row r="1685" ht="12.75" customHeight="1">
      <c r="A1685" s="5">
        <v>0.2</v>
      </c>
    </row>
    <row r="1686" ht="12.75" customHeight="1">
      <c r="A1686" s="5" t="s">
        <v>866</v>
      </c>
    </row>
    <row r="1687" ht="12.75" customHeight="1">
      <c r="A1687" s="5" t="s">
        <v>3262</v>
      </c>
    </row>
    <row r="1688" ht="12.75" customHeight="1">
      <c r="A1688" s="5">
        <v>0.1</v>
      </c>
    </row>
    <row r="1689" ht="12.75" customHeight="1">
      <c r="A1689" s="5" t="s">
        <v>3263</v>
      </c>
    </row>
    <row r="1690" ht="12.75" customHeight="1">
      <c r="A1690" s="5" t="s">
        <v>877</v>
      </c>
    </row>
    <row r="1691" ht="12.75" customHeight="1">
      <c r="A1691" s="5" t="s">
        <v>3264</v>
      </c>
    </row>
    <row r="1692" ht="12.75" customHeight="1">
      <c r="A1692" s="5" t="s">
        <v>3265</v>
      </c>
    </row>
    <row r="1693" ht="12.75" customHeight="1">
      <c r="A1693" s="5">
        <v>0.05</v>
      </c>
    </row>
    <row r="1694" ht="12.75" customHeight="1">
      <c r="A1694" s="5" t="s">
        <v>3266</v>
      </c>
    </row>
    <row r="1695" ht="12.75" customHeight="1">
      <c r="A1695" s="5" t="s">
        <v>3155</v>
      </c>
    </row>
    <row r="1696" ht="12.75" customHeight="1">
      <c r="A1696" s="5">
        <v>0.04</v>
      </c>
    </row>
    <row r="1697" ht="12.75" customHeight="1">
      <c r="A1697" s="5" t="s">
        <v>3267</v>
      </c>
    </row>
    <row r="1698" ht="12.75" customHeight="1">
      <c r="A1698" s="5" t="s">
        <v>3268</v>
      </c>
    </row>
    <row r="1699" ht="12.75" customHeight="1">
      <c r="A1699" s="5">
        <v>0.01</v>
      </c>
    </row>
    <row r="1700" ht="12.75" customHeight="1">
      <c r="A1700" s="5" t="s">
        <v>3267</v>
      </c>
    </row>
    <row r="1701" ht="12.75" customHeight="1">
      <c r="A1701" s="5" t="s">
        <v>3269</v>
      </c>
    </row>
    <row r="1702" ht="12.75" customHeight="1">
      <c r="A1702" s="5" t="s">
        <v>3981</v>
      </c>
    </row>
    <row r="1703" ht="12.75" customHeight="1">
      <c r="A1703" s="5" t="s">
        <v>3992</v>
      </c>
    </row>
    <row r="1704" ht="12.75" customHeight="1">
      <c r="A1704" s="5" t="s">
        <v>3258</v>
      </c>
    </row>
    <row r="1705" ht="12.75" customHeight="1">
      <c r="A1705" s="5" t="s">
        <v>2845</v>
      </c>
    </row>
    <row r="1706" ht="12.75" customHeight="1">
      <c r="A1706" s="5" t="s">
        <v>3232</v>
      </c>
    </row>
    <row r="1707" ht="12.75" customHeight="1">
      <c r="A1707" s="5" t="s">
        <v>3232</v>
      </c>
    </row>
    <row r="1708" ht="12.75" customHeight="1">
      <c r="A1708" s="5" t="s">
        <v>3978</v>
      </c>
    </row>
    <row r="1709" ht="12.75" customHeight="1">
      <c r="A1709" s="5" t="s">
        <v>417</v>
      </c>
    </row>
    <row r="1710" ht="12.75" customHeight="1">
      <c r="A1710" s="5" t="s">
        <v>417</v>
      </c>
    </row>
    <row r="1711" ht="12.75" customHeight="1">
      <c r="A1711" s="5" t="s">
        <v>3979</v>
      </c>
    </row>
    <row r="1712" ht="12.75" customHeight="1">
      <c r="A1712" s="5" t="s">
        <v>2848</v>
      </c>
    </row>
    <row r="1713" ht="12.75" customHeight="1">
      <c r="A1713" s="5" t="s">
        <v>2849</v>
      </c>
    </row>
    <row r="1714" ht="12.75" customHeight="1">
      <c r="A1714" s="5" t="s">
        <v>2848</v>
      </c>
    </row>
    <row r="1715" ht="12.75" customHeight="1">
      <c r="A1715" s="5" t="s">
        <v>3980</v>
      </c>
    </row>
    <row r="1716" ht="12.75" customHeight="1">
      <c r="A1716" s="5" t="s">
        <v>2852</v>
      </c>
    </row>
    <row r="1717" ht="12.75" customHeight="1">
      <c r="A1717" s="5" t="s">
        <v>3259</v>
      </c>
    </row>
    <row r="1718" ht="12.75" customHeight="1">
      <c r="A1718" s="5" t="s">
        <v>2854</v>
      </c>
    </row>
    <row r="1719" ht="12.75" customHeight="1">
      <c r="A1719" s="5" t="s">
        <v>3178</v>
      </c>
    </row>
    <row r="1720" ht="12.75" customHeight="1">
      <c r="A1720" s="5" t="s">
        <v>2856</v>
      </c>
    </row>
    <row r="1721" ht="12.75" customHeight="1">
      <c r="A1721" s="5" t="s">
        <v>2539</v>
      </c>
    </row>
    <row r="1722" ht="12.75" customHeight="1">
      <c r="A1722" s="5" t="s">
        <v>2180</v>
      </c>
    </row>
    <row r="1723" ht="12.75" customHeight="1">
      <c r="A1723" s="5">
        <v>0.2</v>
      </c>
    </row>
    <row r="1724" ht="12.75" customHeight="1">
      <c r="A1724" s="5" t="s">
        <v>877</v>
      </c>
    </row>
    <row r="1725" ht="12.75" customHeight="1">
      <c r="A1725" s="5" t="s">
        <v>3271</v>
      </c>
    </row>
    <row r="1726" ht="12.75" customHeight="1">
      <c r="A1726" s="5">
        <v>0.1</v>
      </c>
    </row>
    <row r="1727" ht="12.75" customHeight="1">
      <c r="A1727" s="5" t="s">
        <v>3272</v>
      </c>
    </row>
    <row r="1728" ht="12.75" customHeight="1">
      <c r="A1728" s="5" t="s">
        <v>3273</v>
      </c>
    </row>
    <row r="1729" ht="12.75" customHeight="1">
      <c r="A1729" s="5" t="s">
        <v>877</v>
      </c>
    </row>
    <row r="1730" ht="12.75" customHeight="1">
      <c r="A1730" s="5" t="s">
        <v>3271</v>
      </c>
    </row>
    <row r="1731" ht="12.75" customHeight="1">
      <c r="A1731" s="5">
        <v>0.05</v>
      </c>
    </row>
    <row r="1732" ht="12.75" customHeight="1">
      <c r="A1732" s="5" t="s">
        <v>3274</v>
      </c>
    </row>
    <row r="1733" ht="12.75" customHeight="1">
      <c r="A1733" s="5" t="s">
        <v>3275</v>
      </c>
    </row>
    <row r="1734" ht="12.75" customHeight="1">
      <c r="A1734" s="5">
        <v>0.04</v>
      </c>
    </row>
    <row r="1735" ht="12.75" customHeight="1">
      <c r="A1735" s="5" t="s">
        <v>3272</v>
      </c>
    </row>
    <row r="1736" ht="12.75" customHeight="1">
      <c r="A1736" s="5" t="s">
        <v>3273</v>
      </c>
    </row>
    <row r="1737" ht="12.75" customHeight="1">
      <c r="A1737" s="5">
        <v>0.01</v>
      </c>
    </row>
    <row r="1738" ht="12.75" customHeight="1">
      <c r="A1738" s="5" t="s">
        <v>3272</v>
      </c>
    </row>
    <row r="1739" ht="12.75" customHeight="1">
      <c r="A1739" s="5" t="s">
        <v>3273</v>
      </c>
    </row>
    <row r="1740" ht="12.75" customHeight="1">
      <c r="A1740" s="5" t="s">
        <v>3981</v>
      </c>
    </row>
    <row r="1741" ht="12.75" customHeight="1">
      <c r="A1741" s="5" t="s">
        <v>3992</v>
      </c>
    </row>
    <row r="1742" ht="12.75" customHeight="1">
      <c r="A1742" s="5" t="s">
        <v>3258</v>
      </c>
    </row>
    <row r="1743" ht="12.75" customHeight="1">
      <c r="A1743" s="5" t="s">
        <v>2845</v>
      </c>
    </row>
    <row r="1744" ht="12.75" customHeight="1">
      <c r="A1744" s="5" t="s">
        <v>3232</v>
      </c>
    </row>
    <row r="1745" ht="12.75" customHeight="1">
      <c r="A1745" s="5" t="s">
        <v>3232</v>
      </c>
    </row>
    <row r="1746" ht="12.75" customHeight="1">
      <c r="A1746" s="5" t="s">
        <v>3978</v>
      </c>
    </row>
    <row r="1747" ht="12.75" customHeight="1">
      <c r="A1747" s="5" t="s">
        <v>417</v>
      </c>
    </row>
    <row r="1748" ht="12.75" customHeight="1">
      <c r="A1748" s="5" t="s">
        <v>417</v>
      </c>
    </row>
    <row r="1749" ht="12.75" customHeight="1">
      <c r="A1749" s="5" t="s">
        <v>3979</v>
      </c>
    </row>
    <row r="1750" ht="12.75" customHeight="1">
      <c r="A1750" s="5" t="s">
        <v>2848</v>
      </c>
    </row>
    <row r="1751" ht="12.75" customHeight="1">
      <c r="A1751" s="5" t="s">
        <v>2849</v>
      </c>
    </row>
    <row r="1752" ht="12.75" customHeight="1">
      <c r="A1752" s="5" t="s">
        <v>2848</v>
      </c>
    </row>
    <row r="1753" ht="12.75" customHeight="1">
      <c r="A1753" s="5" t="s">
        <v>3980</v>
      </c>
    </row>
    <row r="1754" ht="12.75" customHeight="1">
      <c r="A1754" s="5" t="s">
        <v>2852</v>
      </c>
    </row>
    <row r="1755" ht="12.75" customHeight="1">
      <c r="A1755" s="5" t="s">
        <v>3259</v>
      </c>
    </row>
    <row r="1756" ht="12.75" customHeight="1">
      <c r="A1756" s="5" t="s">
        <v>2854</v>
      </c>
    </row>
    <row r="1757" ht="12.75" customHeight="1">
      <c r="A1757" s="5" t="s">
        <v>3178</v>
      </c>
    </row>
    <row r="1758" ht="12.75" customHeight="1">
      <c r="A1758" s="5" t="s">
        <v>2856</v>
      </c>
    </row>
    <row r="1759" ht="12.75" customHeight="1">
      <c r="A1759" s="5" t="s">
        <v>2539</v>
      </c>
    </row>
    <row r="1760" ht="12.75" customHeight="1">
      <c r="A1760" s="5" t="s">
        <v>2182</v>
      </c>
    </row>
    <row r="1761" ht="12.75" customHeight="1">
      <c r="A1761" s="5" t="s">
        <v>3981</v>
      </c>
    </row>
    <row r="1762" ht="12.75" customHeight="1">
      <c r="A1762" s="5" t="s">
        <v>3990</v>
      </c>
    </row>
    <row r="1763" ht="12.75" customHeight="1">
      <c r="A1763" s="5" t="s">
        <v>3174</v>
      </c>
    </row>
    <row r="1764" ht="12.75" customHeight="1">
      <c r="A1764" s="5" t="s">
        <v>2845</v>
      </c>
    </row>
    <row r="1765" ht="12.75" customHeight="1">
      <c r="A1765" s="5" t="s">
        <v>3232</v>
      </c>
    </row>
    <row r="1766" ht="12.75" customHeight="1">
      <c r="A1766" s="5" t="s">
        <v>3232</v>
      </c>
    </row>
    <row r="1767" ht="12.75" customHeight="1">
      <c r="A1767" s="5" t="s">
        <v>3978</v>
      </c>
    </row>
    <row r="1768" ht="12.75" customHeight="1">
      <c r="A1768" s="5" t="s">
        <v>417</v>
      </c>
    </row>
    <row r="1769" ht="12.75" customHeight="1">
      <c r="A1769" s="5" t="s">
        <v>417</v>
      </c>
    </row>
    <row r="1770" ht="12.75" customHeight="1">
      <c r="A1770" s="5" t="s">
        <v>3979</v>
      </c>
    </row>
    <row r="1771" ht="12.75" customHeight="1">
      <c r="A1771" s="5" t="s">
        <v>2848</v>
      </c>
    </row>
    <row r="1772" ht="12.75" customHeight="1">
      <c r="A1772" s="5" t="s">
        <v>2849</v>
      </c>
    </row>
    <row r="1773" ht="12.75" customHeight="1">
      <c r="A1773" s="5" t="s">
        <v>2848</v>
      </c>
    </row>
    <row r="1774" ht="12.75" customHeight="1">
      <c r="A1774" s="5" t="s">
        <v>3980</v>
      </c>
    </row>
    <row r="1775" ht="12.75" customHeight="1">
      <c r="A1775" s="5" t="s">
        <v>2852</v>
      </c>
    </row>
    <row r="1776" ht="12.75" customHeight="1">
      <c r="A1776" s="5" t="s">
        <v>3259</v>
      </c>
    </row>
    <row r="1777" ht="12.75" customHeight="1">
      <c r="A1777" s="5" t="s">
        <v>2854</v>
      </c>
    </row>
    <row r="1778" ht="12.75" customHeight="1">
      <c r="A1778" s="5" t="s">
        <v>3178</v>
      </c>
    </row>
    <row r="1779" ht="12.75" customHeight="1">
      <c r="A1779" s="5" t="s">
        <v>2856</v>
      </c>
    </row>
    <row r="1780" ht="12.75" customHeight="1">
      <c r="A1780" s="5" t="s">
        <v>2539</v>
      </c>
    </row>
    <row r="1781" ht="12.75" customHeight="1">
      <c r="A1781" s="5" t="s">
        <v>2184</v>
      </c>
    </row>
    <row r="1782" ht="12.75" customHeight="1">
      <c r="A1782" s="5" t="s">
        <v>3981</v>
      </c>
    </row>
    <row r="1783" ht="12.75" customHeight="1">
      <c r="A1783" s="5" t="s">
        <v>3990</v>
      </c>
    </row>
    <row r="1784" ht="12.75" customHeight="1">
      <c r="A1784" s="5" t="s">
        <v>3174</v>
      </c>
    </row>
    <row r="1785" ht="12.75" customHeight="1">
      <c r="A1785" s="5" t="s">
        <v>2845</v>
      </c>
    </row>
    <row r="1786" ht="12.75" customHeight="1">
      <c r="A1786" s="5" t="s">
        <v>3232</v>
      </c>
    </row>
    <row r="1787" ht="12.75" customHeight="1">
      <c r="A1787" s="5" t="s">
        <v>3232</v>
      </c>
    </row>
    <row r="1788" ht="12.75" customHeight="1">
      <c r="A1788" s="5" t="s">
        <v>3978</v>
      </c>
    </row>
    <row r="1789" ht="12.75" customHeight="1">
      <c r="A1789" s="5" t="s">
        <v>417</v>
      </c>
    </row>
    <row r="1790" ht="12.75" customHeight="1">
      <c r="A1790" s="5" t="s">
        <v>417</v>
      </c>
    </row>
    <row r="1791" ht="12.75" customHeight="1">
      <c r="A1791" s="5" t="s">
        <v>3979</v>
      </c>
    </row>
    <row r="1792" ht="12.75" customHeight="1">
      <c r="A1792" s="5" t="s">
        <v>2848</v>
      </c>
    </row>
    <row r="1793" ht="12.75" customHeight="1">
      <c r="A1793" s="5" t="s">
        <v>2849</v>
      </c>
    </row>
    <row r="1794" ht="12.75" customHeight="1">
      <c r="A1794" s="5" t="s">
        <v>2848</v>
      </c>
    </row>
    <row r="1795" ht="12.75" customHeight="1">
      <c r="A1795" s="5" t="s">
        <v>3980</v>
      </c>
    </row>
    <row r="1796" ht="12.75" customHeight="1">
      <c r="A1796" s="5" t="s">
        <v>2852</v>
      </c>
    </row>
    <row r="1797" ht="12.75" customHeight="1">
      <c r="A1797" s="5" t="s">
        <v>3259</v>
      </c>
    </row>
    <row r="1798" ht="12.75" customHeight="1">
      <c r="A1798" s="5" t="s">
        <v>2854</v>
      </c>
    </row>
    <row r="1799" ht="12.75" customHeight="1">
      <c r="A1799" s="5" t="s">
        <v>3178</v>
      </c>
    </row>
    <row r="1800" ht="12.75" customHeight="1">
      <c r="A1800" s="5" t="s">
        <v>2856</v>
      </c>
    </row>
    <row r="1801" ht="12.75" customHeight="1">
      <c r="A1801" s="5" t="s">
        <v>2539</v>
      </c>
    </row>
    <row r="1802" ht="12.75" customHeight="1">
      <c r="A1802" s="5" t="s">
        <v>2186</v>
      </c>
    </row>
    <row r="1803" ht="12.75" customHeight="1">
      <c r="A1803" s="5">
        <v>0.2</v>
      </c>
    </row>
    <row r="1804" ht="12.75" customHeight="1">
      <c r="A1804" s="5" t="s">
        <v>887</v>
      </c>
    </row>
    <row r="1805" ht="12.75" customHeight="1">
      <c r="A1805" s="5" t="s">
        <v>3262</v>
      </c>
    </row>
    <row r="1806" ht="12.75" customHeight="1">
      <c r="A1806" s="5">
        <v>0.1</v>
      </c>
    </row>
    <row r="1807" ht="12.75" customHeight="1">
      <c r="A1807" s="5" t="s">
        <v>3279</v>
      </c>
    </row>
    <row r="1808" ht="12.75" customHeight="1">
      <c r="A1808" s="5" t="s">
        <v>3280</v>
      </c>
    </row>
    <row r="1809" ht="12.75" customHeight="1">
      <c r="A1809" s="5" t="s">
        <v>3264</v>
      </c>
    </row>
    <row r="1810" ht="12.75" customHeight="1">
      <c r="A1810" s="5" t="s">
        <v>3265</v>
      </c>
    </row>
    <row r="1811" ht="12.75" customHeight="1">
      <c r="A1811" s="5">
        <v>0.05</v>
      </c>
    </row>
    <row r="1812" ht="12.75" customHeight="1">
      <c r="A1812" s="5" t="s">
        <v>3281</v>
      </c>
    </row>
    <row r="1813" ht="12.75" customHeight="1">
      <c r="A1813" s="5" t="s">
        <v>3155</v>
      </c>
    </row>
    <row r="1814" ht="12.75" customHeight="1">
      <c r="A1814" s="5">
        <v>0.04</v>
      </c>
    </row>
    <row r="1815" ht="12.75" customHeight="1">
      <c r="A1815" s="5" t="s">
        <v>3282</v>
      </c>
    </row>
    <row r="1816" ht="12.75" customHeight="1">
      <c r="A1816" s="5" t="s">
        <v>3268</v>
      </c>
    </row>
    <row r="1817" ht="12.75" customHeight="1">
      <c r="A1817" s="5">
        <v>0.01</v>
      </c>
    </row>
    <row r="1818" ht="12.75" customHeight="1">
      <c r="A1818" s="5" t="s">
        <v>3282</v>
      </c>
    </row>
    <row r="1819" ht="12.75" customHeight="1">
      <c r="A1819" s="5" t="s">
        <v>3269</v>
      </c>
    </row>
    <row r="1820" ht="12.75" customHeight="1">
      <c r="A1820" s="5" t="s">
        <v>3981</v>
      </c>
    </row>
    <row r="1821" ht="12.75" customHeight="1">
      <c r="A1821" s="5" t="s">
        <v>3990</v>
      </c>
    </row>
    <row r="1822" ht="12.75" customHeight="1">
      <c r="A1822" s="5" t="s">
        <v>3174</v>
      </c>
    </row>
    <row r="1823" ht="12.75" customHeight="1">
      <c r="A1823" s="5" t="s">
        <v>2845</v>
      </c>
    </row>
    <row r="1824" ht="12.75" customHeight="1">
      <c r="A1824" s="5" t="s">
        <v>3232</v>
      </c>
    </row>
    <row r="1825" ht="12.75" customHeight="1">
      <c r="A1825" s="5" t="s">
        <v>3232</v>
      </c>
    </row>
    <row r="1826" ht="12.75" customHeight="1">
      <c r="A1826" s="5" t="s">
        <v>3978</v>
      </c>
    </row>
    <row r="1827" ht="12.75" customHeight="1">
      <c r="A1827" s="5" t="s">
        <v>417</v>
      </c>
    </row>
    <row r="1828" ht="12.75" customHeight="1">
      <c r="A1828" s="5" t="s">
        <v>417</v>
      </c>
    </row>
    <row r="1829" ht="12.75" customHeight="1">
      <c r="A1829" s="5" t="s">
        <v>3979</v>
      </c>
    </row>
    <row r="1830" ht="12.75" customHeight="1">
      <c r="A1830" s="5" t="s">
        <v>2848</v>
      </c>
    </row>
    <row r="1831" ht="12.75" customHeight="1">
      <c r="A1831" s="5" t="s">
        <v>2849</v>
      </c>
    </row>
    <row r="1832" ht="12.75" customHeight="1">
      <c r="A1832" s="5" t="s">
        <v>2848</v>
      </c>
    </row>
    <row r="1833" ht="12.75" customHeight="1">
      <c r="A1833" s="5" t="s">
        <v>3980</v>
      </c>
    </row>
    <row r="1834" ht="12.75" customHeight="1">
      <c r="A1834" s="5" t="s">
        <v>2852</v>
      </c>
    </row>
    <row r="1835" ht="12.75" customHeight="1">
      <c r="A1835" s="5" t="s">
        <v>3259</v>
      </c>
    </row>
    <row r="1836" ht="12.75" customHeight="1">
      <c r="A1836" s="5" t="s">
        <v>2854</v>
      </c>
    </row>
    <row r="1837" ht="12.75" customHeight="1">
      <c r="A1837" s="5" t="s">
        <v>3178</v>
      </c>
    </row>
    <row r="1838" ht="12.75" customHeight="1">
      <c r="A1838" s="5" t="s">
        <v>2856</v>
      </c>
    </row>
    <row r="1839" ht="12.75" customHeight="1">
      <c r="A1839" s="5" t="s">
        <v>2539</v>
      </c>
    </row>
    <row r="1840" ht="12.75" customHeight="1">
      <c r="A1840" s="5" t="s">
        <v>2188</v>
      </c>
    </row>
    <row r="1841" ht="12.75" customHeight="1">
      <c r="A1841" s="5">
        <v>0.2</v>
      </c>
    </row>
    <row r="1842" ht="12.75" customHeight="1">
      <c r="A1842" s="5" t="s">
        <v>894</v>
      </c>
    </row>
    <row r="1843" ht="12.75" customHeight="1">
      <c r="A1843" s="5" t="s">
        <v>887</v>
      </c>
    </row>
    <row r="1844" ht="12.75" customHeight="1">
      <c r="A1844" s="5">
        <v>0.1</v>
      </c>
    </row>
    <row r="1845" ht="12.75" customHeight="1">
      <c r="A1845" s="5" t="s">
        <v>3284</v>
      </c>
    </row>
    <row r="1846" ht="12.75" customHeight="1">
      <c r="A1846" s="5" t="s">
        <v>3285</v>
      </c>
    </row>
    <row r="1847" ht="12.75" customHeight="1">
      <c r="A1847" s="5" t="s">
        <v>3286</v>
      </c>
    </row>
    <row r="1848" ht="12.75" customHeight="1">
      <c r="A1848" s="5" t="s">
        <v>3287</v>
      </c>
    </row>
    <row r="1849" ht="12.75" customHeight="1">
      <c r="A1849" s="5">
        <v>0.05</v>
      </c>
    </row>
    <row r="1850" ht="12.75" customHeight="1">
      <c r="A1850" s="5" t="s">
        <v>3288</v>
      </c>
    </row>
    <row r="1851" ht="12.75" customHeight="1">
      <c r="A1851" s="5" t="s">
        <v>3155</v>
      </c>
    </row>
    <row r="1852" ht="12.75" customHeight="1">
      <c r="A1852" s="5">
        <v>0.04</v>
      </c>
    </row>
    <row r="1853" ht="12.75" customHeight="1">
      <c r="A1853" s="5" t="s">
        <v>3289</v>
      </c>
    </row>
    <row r="1854" ht="12.75" customHeight="1">
      <c r="A1854" s="5" t="s">
        <v>3290</v>
      </c>
    </row>
    <row r="1855" ht="12.75" customHeight="1">
      <c r="A1855" s="5">
        <v>0.01</v>
      </c>
    </row>
    <row r="1856" ht="12.75" customHeight="1">
      <c r="A1856" s="5" t="s">
        <v>3289</v>
      </c>
    </row>
    <row r="1857" ht="12.75" customHeight="1">
      <c r="A1857" s="5" t="s">
        <v>3291</v>
      </c>
    </row>
    <row r="1858" ht="12.75" customHeight="1">
      <c r="A1858" s="5" t="s">
        <v>3981</v>
      </c>
    </row>
    <row r="1859" ht="12.75" customHeight="1">
      <c r="A1859" s="5" t="s">
        <v>3993</v>
      </c>
    </row>
    <row r="1860" ht="12.75" customHeight="1">
      <c r="A1860" s="5" t="s">
        <v>3293</v>
      </c>
    </row>
    <row r="1861" ht="12.75" customHeight="1">
      <c r="A1861" s="5" t="s">
        <v>3294</v>
      </c>
    </row>
    <row r="1862" ht="12.75" customHeight="1">
      <c r="A1862" s="5" t="s">
        <v>3295</v>
      </c>
    </row>
    <row r="1863" ht="12.75" customHeight="1">
      <c r="A1863" s="5" t="s">
        <v>3295</v>
      </c>
    </row>
    <row r="1864" ht="12.75" customHeight="1">
      <c r="A1864" s="5" t="s">
        <v>3978</v>
      </c>
    </row>
    <row r="1865" ht="12.75" customHeight="1">
      <c r="A1865" s="5" t="s">
        <v>417</v>
      </c>
    </row>
    <row r="1866" ht="12.75" customHeight="1">
      <c r="A1866" s="5" t="s">
        <v>417</v>
      </c>
    </row>
    <row r="1867" ht="12.75" customHeight="1">
      <c r="A1867" s="5" t="s">
        <v>3979</v>
      </c>
    </row>
    <row r="1868" ht="12.75" customHeight="1">
      <c r="A1868" s="5" t="s">
        <v>3144</v>
      </c>
    </row>
    <row r="1869" ht="12.75" customHeight="1">
      <c r="A1869" s="5" t="s">
        <v>2849</v>
      </c>
    </row>
    <row r="1870" ht="12.75" customHeight="1">
      <c r="A1870" s="5" t="s">
        <v>3143</v>
      </c>
    </row>
    <row r="1871" ht="12.75" customHeight="1">
      <c r="A1871" s="5" t="s">
        <v>3980</v>
      </c>
    </row>
    <row r="1872" ht="12.75" customHeight="1">
      <c r="A1872" s="5" t="s">
        <v>3162</v>
      </c>
    </row>
    <row r="1873" ht="12.75" customHeight="1">
      <c r="A1873" s="5" t="s">
        <v>3163</v>
      </c>
    </row>
    <row r="1874" ht="12.75" customHeight="1">
      <c r="A1874" s="5" t="s">
        <v>2854</v>
      </c>
    </row>
    <row r="1875" ht="12.75" customHeight="1">
      <c r="A1875" s="5" t="s">
        <v>3147</v>
      </c>
    </row>
    <row r="1876" ht="12.75" customHeight="1">
      <c r="A1876" s="5" t="s">
        <v>2856</v>
      </c>
    </row>
    <row r="1877" ht="12.75" customHeight="1">
      <c r="A1877" s="5" t="s">
        <v>2539</v>
      </c>
    </row>
    <row r="1878" ht="12.75" customHeight="1">
      <c r="A1878" s="5" t="s">
        <v>2190</v>
      </c>
    </row>
    <row r="1879" ht="12.75" customHeight="1">
      <c r="A1879" s="5" t="s">
        <v>3981</v>
      </c>
    </row>
    <row r="1880" ht="12.75" customHeight="1">
      <c r="A1880" s="5" t="s">
        <v>3990</v>
      </c>
    </row>
    <row r="1881" ht="12.75" customHeight="1">
      <c r="A1881" s="5" t="s">
        <v>3174</v>
      </c>
    </row>
    <row r="1882" ht="12.75" customHeight="1">
      <c r="A1882" s="5" t="s">
        <v>3297</v>
      </c>
    </row>
    <row r="1883" ht="12.75" customHeight="1">
      <c r="A1883" s="5" t="s">
        <v>3232</v>
      </c>
    </row>
    <row r="1884" ht="12.75" customHeight="1">
      <c r="A1884" s="5" t="s">
        <v>3232</v>
      </c>
    </row>
    <row r="1885" ht="12.75" customHeight="1">
      <c r="A1885" s="5" t="s">
        <v>3978</v>
      </c>
    </row>
    <row r="1886" ht="12.75" customHeight="1">
      <c r="A1886" s="5" t="s">
        <v>417</v>
      </c>
    </row>
    <row r="1887" ht="12.75" customHeight="1">
      <c r="A1887" s="5" t="s">
        <v>417</v>
      </c>
    </row>
    <row r="1888" ht="12.75" customHeight="1">
      <c r="A1888" s="5" t="s">
        <v>3979</v>
      </c>
    </row>
    <row r="1889" ht="12.75" customHeight="1">
      <c r="A1889" s="5" t="s">
        <v>2848</v>
      </c>
    </row>
    <row r="1890" ht="12.75" customHeight="1">
      <c r="A1890" s="5" t="s">
        <v>2849</v>
      </c>
    </row>
    <row r="1891" ht="12.75" customHeight="1">
      <c r="A1891" s="5" t="s">
        <v>2848</v>
      </c>
    </row>
    <row r="1892" ht="12.75" customHeight="1">
      <c r="A1892" s="5" t="s">
        <v>3980</v>
      </c>
    </row>
    <row r="1893" ht="12.75" customHeight="1">
      <c r="A1893" s="5" t="s">
        <v>2852</v>
      </c>
    </row>
    <row r="1894" ht="12.75" customHeight="1">
      <c r="A1894" s="5" t="s">
        <v>3259</v>
      </c>
    </row>
    <row r="1895" ht="12.75" customHeight="1">
      <c r="A1895" s="5" t="s">
        <v>2854</v>
      </c>
    </row>
    <row r="1896" ht="12.75" customHeight="1">
      <c r="A1896" s="5" t="s">
        <v>3178</v>
      </c>
    </row>
    <row r="1897" ht="12.75" customHeight="1">
      <c r="A1897" s="5" t="s">
        <v>2856</v>
      </c>
    </row>
    <row r="1898" ht="12.75" customHeight="1">
      <c r="A1898" s="5" t="s">
        <v>2539</v>
      </c>
    </row>
    <row r="1899" ht="12.75" customHeight="1">
      <c r="A1899" s="5" t="s">
        <v>2192</v>
      </c>
    </row>
    <row r="1900" ht="12.75" customHeight="1">
      <c r="A1900" s="5">
        <v>0.2</v>
      </c>
    </row>
    <row r="1901" ht="12.75" customHeight="1">
      <c r="A1901" s="5" t="s">
        <v>887</v>
      </c>
    </row>
    <row r="1902" ht="12.75" customHeight="1">
      <c r="A1902" s="5" t="s">
        <v>3262</v>
      </c>
    </row>
    <row r="1903" ht="12.75" customHeight="1">
      <c r="A1903" s="5">
        <v>0.1</v>
      </c>
    </row>
    <row r="1904" ht="12.75" customHeight="1">
      <c r="A1904" s="5" t="s">
        <v>3299</v>
      </c>
    </row>
    <row r="1905" ht="12.75" customHeight="1">
      <c r="A1905" s="5" t="s">
        <v>3280</v>
      </c>
    </row>
    <row r="1906" ht="12.75" customHeight="1">
      <c r="A1906" s="5" t="s">
        <v>3264</v>
      </c>
    </row>
    <row r="1907" ht="12.75" customHeight="1">
      <c r="A1907" s="5" t="s">
        <v>3265</v>
      </c>
    </row>
    <row r="1908" ht="12.75" customHeight="1">
      <c r="A1908" s="5">
        <v>0.05</v>
      </c>
    </row>
    <row r="1909" ht="12.75" customHeight="1">
      <c r="A1909" s="5" t="s">
        <v>3282</v>
      </c>
    </row>
    <row r="1910" ht="12.75" customHeight="1">
      <c r="A1910" s="5" t="s">
        <v>3155</v>
      </c>
    </row>
    <row r="1911" ht="12.75" customHeight="1">
      <c r="A1911" s="5">
        <v>0.04</v>
      </c>
    </row>
    <row r="1912" ht="12.75" customHeight="1">
      <c r="A1912" s="5" t="s">
        <v>3300</v>
      </c>
    </row>
    <row r="1913" ht="12.75" customHeight="1">
      <c r="A1913" s="5" t="s">
        <v>3268</v>
      </c>
    </row>
    <row r="1914" ht="12.75" customHeight="1">
      <c r="A1914" s="5">
        <v>0.01</v>
      </c>
    </row>
    <row r="1915" ht="12.75" customHeight="1">
      <c r="A1915" s="5" t="s">
        <v>3300</v>
      </c>
    </row>
    <row r="1916" ht="12.75" customHeight="1">
      <c r="A1916" s="5" t="s">
        <v>3269</v>
      </c>
    </row>
    <row r="1917" ht="12.75" customHeight="1">
      <c r="A1917" s="5" t="s">
        <v>2539</v>
      </c>
    </row>
    <row r="1918" ht="12.75" customHeight="1">
      <c r="A1918" s="5" t="s">
        <v>2194</v>
      </c>
    </row>
    <row r="1919" ht="12.75" customHeight="1">
      <c r="A1919" s="5">
        <v>0.2</v>
      </c>
    </row>
    <row r="1920" ht="12.75" customHeight="1">
      <c r="A1920" s="5" t="s">
        <v>915</v>
      </c>
    </row>
    <row r="1921" ht="12.75" customHeight="1">
      <c r="A1921" s="5" t="s">
        <v>3300</v>
      </c>
    </row>
    <row r="1922" ht="12.75" customHeight="1">
      <c r="A1922" s="5">
        <v>0.1</v>
      </c>
    </row>
    <row r="1923" ht="12.75" customHeight="1">
      <c r="A1923" s="5" t="s">
        <v>3303</v>
      </c>
    </row>
    <row r="1924" ht="12.75" customHeight="1">
      <c r="A1924" s="5" t="s">
        <v>3282</v>
      </c>
    </row>
    <row r="1925" ht="12.75" customHeight="1">
      <c r="A1925" s="5" t="s">
        <v>3304</v>
      </c>
    </row>
    <row r="1926" ht="12.75" customHeight="1">
      <c r="A1926" s="5" t="s">
        <v>3287</v>
      </c>
    </row>
    <row r="1927" ht="12.75" customHeight="1">
      <c r="A1927" s="5">
        <v>0.05</v>
      </c>
    </row>
    <row r="1928" ht="12.75" customHeight="1">
      <c r="A1928" s="5" t="s">
        <v>3305</v>
      </c>
    </row>
    <row r="1929" ht="12.75" customHeight="1">
      <c r="A1929" s="5" t="s">
        <v>3282</v>
      </c>
    </row>
    <row r="1930" ht="12.75" customHeight="1">
      <c r="A1930" s="5">
        <v>0.04</v>
      </c>
    </row>
    <row r="1931" ht="12.75" customHeight="1">
      <c r="A1931" s="5" t="s">
        <v>3306</v>
      </c>
    </row>
    <row r="1932" ht="12.75" customHeight="1">
      <c r="A1932" s="5" t="s">
        <v>3290</v>
      </c>
    </row>
    <row r="1933" ht="12.75" customHeight="1">
      <c r="A1933" s="5">
        <v>0.01</v>
      </c>
    </row>
    <row r="1934" ht="12.75" customHeight="1">
      <c r="A1934" s="5" t="s">
        <v>3307</v>
      </c>
    </row>
    <row r="1935" ht="12.75" customHeight="1">
      <c r="A1935" s="5" t="s">
        <v>3291</v>
      </c>
    </row>
    <row r="1936" ht="12.75" customHeight="1">
      <c r="A1936" s="5" t="s">
        <v>3991</v>
      </c>
    </row>
    <row r="1937" ht="12.75" customHeight="1">
      <c r="A1937" s="5" t="s">
        <v>3986</v>
      </c>
    </row>
    <row r="1938" ht="12.75" customHeight="1">
      <c r="A1938" s="5" t="s">
        <v>3103</v>
      </c>
    </row>
    <row r="1939" ht="12.75" customHeight="1">
      <c r="A1939" s="5" t="s">
        <v>3104</v>
      </c>
    </row>
    <row r="1940" ht="12.75" customHeight="1">
      <c r="A1940" s="5" t="s">
        <v>3105</v>
      </c>
    </row>
    <row r="1941" ht="12.75" customHeight="1">
      <c r="A1941" s="5" t="s">
        <v>3105</v>
      </c>
    </row>
    <row r="1942" ht="12.75" customHeight="1">
      <c r="A1942" s="5" t="s">
        <v>2539</v>
      </c>
    </row>
    <row r="1943" ht="12.75" customHeight="1">
      <c r="A1943" s="5" t="s">
        <v>2196</v>
      </c>
    </row>
    <row r="1944" ht="12.75" customHeight="1">
      <c r="A1944" s="5" t="s">
        <v>3981</v>
      </c>
    </row>
    <row r="1945" ht="12.75" customHeight="1">
      <c r="A1945" s="5" t="s">
        <v>3990</v>
      </c>
    </row>
    <row r="1946" ht="12.75" customHeight="1">
      <c r="A1946" s="5" t="s">
        <v>3174</v>
      </c>
    </row>
    <row r="1947" ht="12.75" customHeight="1">
      <c r="A1947" s="5" t="s">
        <v>3297</v>
      </c>
    </row>
    <row r="1948" ht="12.75" customHeight="1">
      <c r="A1948" s="5" t="s">
        <v>3232</v>
      </c>
    </row>
    <row r="1949" ht="12.75" customHeight="1">
      <c r="A1949" s="5" t="s">
        <v>3232</v>
      </c>
    </row>
    <row r="1950" ht="12.75" customHeight="1">
      <c r="A1950" s="5" t="s">
        <v>3978</v>
      </c>
    </row>
    <row r="1951" ht="12.75" customHeight="1">
      <c r="A1951" s="5" t="s">
        <v>417</v>
      </c>
    </row>
    <row r="1952" ht="12.75" customHeight="1">
      <c r="A1952" s="5" t="s">
        <v>417</v>
      </c>
    </row>
    <row r="1953" ht="12.75" customHeight="1">
      <c r="A1953" s="5" t="s">
        <v>3979</v>
      </c>
    </row>
    <row r="1954" ht="12.75" customHeight="1">
      <c r="A1954" s="5" t="s">
        <v>2848</v>
      </c>
    </row>
    <row r="1955" ht="12.75" customHeight="1">
      <c r="A1955" s="5" t="s">
        <v>2849</v>
      </c>
    </row>
    <row r="1956" ht="12.75" customHeight="1">
      <c r="A1956" s="5" t="s">
        <v>2848</v>
      </c>
    </row>
    <row r="1957" ht="12.75" customHeight="1">
      <c r="A1957" s="5" t="s">
        <v>3980</v>
      </c>
    </row>
    <row r="1958" ht="12.75" customHeight="1">
      <c r="A1958" s="5" t="s">
        <v>2852</v>
      </c>
    </row>
    <row r="1959" ht="12.75" customHeight="1">
      <c r="A1959" s="5" t="s">
        <v>3259</v>
      </c>
    </row>
    <row r="1960" ht="12.75" customHeight="1">
      <c r="A1960" s="5" t="s">
        <v>2854</v>
      </c>
    </row>
    <row r="1961" ht="12.75" customHeight="1">
      <c r="A1961" s="5" t="s">
        <v>3178</v>
      </c>
    </row>
    <row r="1962" ht="12.75" customHeight="1">
      <c r="A1962" s="5" t="s">
        <v>2856</v>
      </c>
    </row>
    <row r="1963" ht="12.75" customHeight="1">
      <c r="A1963" s="5" t="s">
        <v>2539</v>
      </c>
    </row>
    <row r="1964" ht="12.75" customHeight="1">
      <c r="A1964" s="5" t="s">
        <v>2104</v>
      </c>
    </row>
    <row r="1965" ht="12.75" customHeight="1">
      <c r="A1965" s="5">
        <v>0.2</v>
      </c>
    </row>
    <row r="1966" ht="12.75" customHeight="1">
      <c r="A1966" s="5" t="s">
        <v>924</v>
      </c>
    </row>
    <row r="1967" ht="12.75" customHeight="1">
      <c r="A1967" s="5" t="s">
        <v>924</v>
      </c>
    </row>
    <row r="1968" ht="12.75" customHeight="1">
      <c r="A1968" s="5">
        <v>0.1</v>
      </c>
    </row>
    <row r="1969" ht="12.75" customHeight="1">
      <c r="A1969" s="5" t="s">
        <v>3311</v>
      </c>
    </row>
    <row r="1970" ht="12.75" customHeight="1">
      <c r="A1970" s="5" t="s">
        <v>3311</v>
      </c>
    </row>
    <row r="1971" ht="12.75" customHeight="1">
      <c r="A1971" s="5" t="s">
        <v>3312</v>
      </c>
    </row>
    <row r="1972" ht="12.75" customHeight="1">
      <c r="A1972" s="5" t="s">
        <v>3312</v>
      </c>
    </row>
    <row r="1973" ht="12.75" customHeight="1">
      <c r="A1973" s="5">
        <v>0.05</v>
      </c>
    </row>
    <row r="1974" ht="12.75" customHeight="1">
      <c r="A1974" s="5" t="s">
        <v>3313</v>
      </c>
    </row>
    <row r="1975" ht="12.75" customHeight="1">
      <c r="A1975" s="5" t="s">
        <v>3313</v>
      </c>
    </row>
    <row r="1976" ht="12.75" customHeight="1">
      <c r="A1976" s="5">
        <v>0.04</v>
      </c>
    </row>
    <row r="1977" ht="12.75" customHeight="1">
      <c r="A1977" s="5" t="s">
        <v>3314</v>
      </c>
    </row>
    <row r="1978" ht="12.75" customHeight="1">
      <c r="A1978" s="5" t="s">
        <v>3314</v>
      </c>
    </row>
    <row r="1979" ht="12.75" customHeight="1">
      <c r="A1979" s="5">
        <v>0.01</v>
      </c>
    </row>
    <row r="1980" ht="12.75" customHeight="1">
      <c r="A1980" s="5" t="s">
        <v>3315</v>
      </c>
    </row>
    <row r="1981" ht="12.75" customHeight="1">
      <c r="A1981" s="5" t="s">
        <v>3315</v>
      </c>
    </row>
    <row r="1982" ht="12.75" customHeight="1">
      <c r="A1982" s="5" t="s">
        <v>2539</v>
      </c>
    </row>
    <row r="1983" ht="12.75" customHeight="1">
      <c r="A1983" s="5" t="s">
        <v>2106</v>
      </c>
    </row>
    <row r="1984" ht="12.75" customHeight="1">
      <c r="A1984" s="5">
        <v>0.2</v>
      </c>
    </row>
    <row r="1985" ht="12.75" customHeight="1">
      <c r="A1985" s="5" t="s">
        <v>933</v>
      </c>
    </row>
    <row r="1986" ht="12.75" customHeight="1">
      <c r="A1986" s="5" t="s">
        <v>3318</v>
      </c>
    </row>
    <row r="1987" ht="12.75" customHeight="1">
      <c r="A1987" s="5">
        <v>0.1</v>
      </c>
    </row>
    <row r="1988" ht="12.75" customHeight="1">
      <c r="A1988" s="5" t="s">
        <v>3319</v>
      </c>
    </row>
    <row r="1989" ht="12.75" customHeight="1">
      <c r="A1989" s="5" t="s">
        <v>3320</v>
      </c>
    </row>
    <row r="1990" ht="12.75" customHeight="1">
      <c r="A1990" s="5" t="s">
        <v>3320</v>
      </c>
    </row>
    <row r="1991" ht="12.75" customHeight="1">
      <c r="A1991" s="5" t="s">
        <v>3319</v>
      </c>
    </row>
    <row r="1992" ht="12.75" customHeight="1">
      <c r="A1992" s="5">
        <v>0.05</v>
      </c>
    </row>
    <row r="1993" ht="12.75" customHeight="1">
      <c r="A1993" s="5" t="s">
        <v>3321</v>
      </c>
    </row>
    <row r="1994" ht="12.75" customHeight="1">
      <c r="A1994" s="5" t="s">
        <v>3322</v>
      </c>
    </row>
    <row r="1995" ht="12.75" customHeight="1">
      <c r="A1995" s="5">
        <v>0.04</v>
      </c>
    </row>
    <row r="1996" ht="12.75" customHeight="1">
      <c r="A1996" s="5" t="s">
        <v>3323</v>
      </c>
    </row>
    <row r="1997" ht="12.75" customHeight="1">
      <c r="A1997" s="5" t="s">
        <v>3324</v>
      </c>
    </row>
    <row r="1998" ht="12.75" customHeight="1">
      <c r="A1998" s="5">
        <v>0.01</v>
      </c>
    </row>
    <row r="1999" ht="12.75" customHeight="1">
      <c r="A1999" s="5" t="s">
        <v>3325</v>
      </c>
    </row>
    <row r="2000" ht="12.75" customHeight="1">
      <c r="A2000" s="5" t="s">
        <v>3723</v>
      </c>
    </row>
    <row r="2001" ht="12.75" customHeight="1">
      <c r="A2001" s="5" t="s">
        <v>2539</v>
      </c>
    </row>
    <row r="2002" ht="12.75" customHeight="1">
      <c r="A2002" s="5" t="s">
        <v>2108</v>
      </c>
    </row>
    <row r="2003" ht="12.75" customHeight="1">
      <c r="A2003" s="5">
        <v>0.2</v>
      </c>
    </row>
    <row r="2004" ht="12.75" customHeight="1">
      <c r="A2004" s="5" t="s">
        <v>944</v>
      </c>
    </row>
    <row r="2005" ht="12.75" customHeight="1">
      <c r="A2005" s="5" t="s">
        <v>3328</v>
      </c>
    </row>
    <row r="2006" ht="12.75" customHeight="1">
      <c r="A2006" s="5">
        <v>0.1</v>
      </c>
    </row>
    <row r="2007" ht="12.75" customHeight="1">
      <c r="A2007" s="5" t="s">
        <v>3329</v>
      </c>
    </row>
    <row r="2008" ht="12.75" customHeight="1">
      <c r="A2008" s="5" t="s">
        <v>3330</v>
      </c>
    </row>
    <row r="2009" ht="12.75" customHeight="1">
      <c r="A2009" s="5" t="s">
        <v>3331</v>
      </c>
    </row>
    <row r="2010" ht="12.75" customHeight="1">
      <c r="A2010" s="5" t="s">
        <v>3332</v>
      </c>
    </row>
    <row r="2011" ht="12.75" customHeight="1">
      <c r="A2011" s="5">
        <v>0.05</v>
      </c>
    </row>
    <row r="2012" ht="12.75" customHeight="1">
      <c r="A2012" s="5" t="s">
        <v>3333</v>
      </c>
    </row>
    <row r="2013" ht="12.75" customHeight="1">
      <c r="A2013" s="5" t="s">
        <v>3334</v>
      </c>
    </row>
    <row r="2014" ht="12.75" customHeight="1">
      <c r="A2014" s="5">
        <v>0.04</v>
      </c>
    </row>
    <row r="2015" ht="12.75" customHeight="1">
      <c r="A2015" s="5" t="s">
        <v>3335</v>
      </c>
    </row>
    <row r="2016" ht="12.75" customHeight="1">
      <c r="A2016" s="5" t="s">
        <v>3335</v>
      </c>
    </row>
    <row r="2017" ht="12.75" customHeight="1">
      <c r="A2017" s="5">
        <v>0.01</v>
      </c>
    </row>
    <row r="2018" ht="12.75" customHeight="1">
      <c r="A2018" s="5" t="s">
        <v>3336</v>
      </c>
    </row>
    <row r="2019" ht="12.75" customHeight="1">
      <c r="A2019" s="5" t="s">
        <v>3724</v>
      </c>
    </row>
    <row r="2020" ht="12.75" customHeight="1">
      <c r="A2020" s="5" t="s">
        <v>2539</v>
      </c>
    </row>
    <row r="2021" ht="12.75" customHeight="1">
      <c r="A2021" s="5" t="s">
        <v>2110</v>
      </c>
    </row>
    <row r="2022" ht="12.75" customHeight="1">
      <c r="A2022" s="5">
        <v>0.2</v>
      </c>
    </row>
    <row r="2023" ht="12.75" customHeight="1">
      <c r="A2023" s="5" t="s">
        <v>956</v>
      </c>
    </row>
    <row r="2024" ht="12.75" customHeight="1">
      <c r="A2024" s="5" t="s">
        <v>3339</v>
      </c>
    </row>
    <row r="2025" ht="12.75" customHeight="1">
      <c r="A2025" s="5">
        <v>0.1</v>
      </c>
    </row>
    <row r="2026" ht="12.75" customHeight="1">
      <c r="A2026" s="5" t="s">
        <v>3340</v>
      </c>
    </row>
    <row r="2027" ht="12.75" customHeight="1">
      <c r="A2027" s="5" t="s">
        <v>3341</v>
      </c>
    </row>
    <row r="2028" ht="12.75" customHeight="1">
      <c r="A2028" s="5" t="s">
        <v>3342</v>
      </c>
    </row>
    <row r="2029" ht="12.75" customHeight="1">
      <c r="A2029" s="5" t="s">
        <v>3343</v>
      </c>
    </row>
    <row r="2030" ht="12.75" customHeight="1">
      <c r="A2030" s="5">
        <v>0.05</v>
      </c>
    </row>
    <row r="2031" ht="12.75" customHeight="1">
      <c r="A2031" s="5" t="s">
        <v>3344</v>
      </c>
    </row>
    <row r="2032" ht="12.75" customHeight="1">
      <c r="A2032" s="5" t="s">
        <v>3345</v>
      </c>
    </row>
    <row r="2033" ht="12.75" customHeight="1">
      <c r="A2033" s="5">
        <v>0.04</v>
      </c>
    </row>
    <row r="2034" ht="12.75" customHeight="1">
      <c r="A2034" s="5" t="s">
        <v>3346</v>
      </c>
    </row>
    <row r="2035" ht="12.75" customHeight="1">
      <c r="A2035" s="5" t="s">
        <v>3347</v>
      </c>
    </row>
    <row r="2036" ht="12.75" customHeight="1">
      <c r="A2036" s="5">
        <v>0.01</v>
      </c>
    </row>
    <row r="2037" ht="12.75" customHeight="1">
      <c r="A2037" s="5" t="s">
        <v>3348</v>
      </c>
    </row>
    <row r="2038" ht="12.75" customHeight="1">
      <c r="A2038" s="5" t="s">
        <v>3349</v>
      </c>
    </row>
    <row r="2039" ht="12.75" customHeight="1">
      <c r="A2039" s="5" t="s">
        <v>3981</v>
      </c>
    </row>
    <row r="2040" ht="12.75" customHeight="1">
      <c r="A2040" s="5" t="s">
        <v>3994</v>
      </c>
    </row>
    <row r="2041" ht="12.75" customHeight="1">
      <c r="A2041" s="5" t="s">
        <v>3351</v>
      </c>
    </row>
    <row r="2042" ht="12.75" customHeight="1">
      <c r="A2042" s="5" t="s">
        <v>3352</v>
      </c>
    </row>
    <row r="2043" ht="12.75" customHeight="1">
      <c r="A2043" s="5" t="s">
        <v>2924</v>
      </c>
    </row>
    <row r="2044" ht="12.75" customHeight="1">
      <c r="A2044" s="5" t="s">
        <v>2925</v>
      </c>
    </row>
    <row r="2045" ht="12.75" customHeight="1">
      <c r="A2045" s="5" t="s">
        <v>3978</v>
      </c>
    </row>
    <row r="2046" ht="12.75" customHeight="1">
      <c r="A2046" s="5" t="s">
        <v>500</v>
      </c>
    </row>
    <row r="2047" ht="12.75" customHeight="1">
      <c r="A2047" s="5" t="s">
        <v>3353</v>
      </c>
    </row>
    <row r="2048" ht="12.75" customHeight="1">
      <c r="A2048" s="5" t="s">
        <v>3979</v>
      </c>
    </row>
    <row r="2049" ht="12.75" customHeight="1">
      <c r="A2049" s="5" t="s">
        <v>3354</v>
      </c>
    </row>
    <row r="2050" ht="12.75" customHeight="1">
      <c r="A2050" s="5" t="s">
        <v>3028</v>
      </c>
    </row>
    <row r="2051" ht="12.75" customHeight="1">
      <c r="A2051" s="5" t="s">
        <v>3355</v>
      </c>
    </row>
    <row r="2052" ht="12.75" customHeight="1">
      <c r="A2052" s="5" t="s">
        <v>3980</v>
      </c>
    </row>
    <row r="2053" ht="12.75" customHeight="1">
      <c r="A2053" s="5" t="s">
        <v>3356</v>
      </c>
    </row>
    <row r="2054" ht="12.75" customHeight="1">
      <c r="A2054" s="5" t="s">
        <v>3357</v>
      </c>
    </row>
    <row r="2055" ht="12.75" customHeight="1">
      <c r="A2055" s="5" t="s">
        <v>3358</v>
      </c>
    </row>
    <row r="2056" ht="12.75" customHeight="1">
      <c r="A2056" s="5" t="s">
        <v>3359</v>
      </c>
    </row>
    <row r="2057" ht="12.75" customHeight="1">
      <c r="A2057" s="5" t="s">
        <v>3360</v>
      </c>
    </row>
    <row r="2058" ht="12.75" customHeight="1">
      <c r="A2058" s="5" t="s">
        <v>2539</v>
      </c>
    </row>
    <row r="2059" ht="12.75" customHeight="1">
      <c r="A2059" s="5" t="s">
        <v>2112</v>
      </c>
    </row>
    <row r="2060" ht="12.75" customHeight="1">
      <c r="A2060" s="5">
        <v>0.2</v>
      </c>
    </row>
    <row r="2061" ht="12.75" customHeight="1">
      <c r="A2061" s="5" t="s">
        <v>979</v>
      </c>
    </row>
    <row r="2062" ht="12.75" customHeight="1">
      <c r="A2062" s="5" t="s">
        <v>3362</v>
      </c>
    </row>
    <row r="2063" ht="12.75" customHeight="1">
      <c r="A2063" s="5">
        <v>0.1</v>
      </c>
    </row>
    <row r="2064" ht="12.75" customHeight="1">
      <c r="A2064" s="5" t="s">
        <v>3363</v>
      </c>
    </row>
    <row r="2065" ht="12.75" customHeight="1">
      <c r="A2065" s="5" t="s">
        <v>3364</v>
      </c>
    </row>
    <row r="2066" ht="12.75" customHeight="1">
      <c r="A2066" s="5" t="s">
        <v>3365</v>
      </c>
    </row>
    <row r="2067" ht="12.75" customHeight="1">
      <c r="A2067" s="5" t="s">
        <v>3366</v>
      </c>
    </row>
    <row r="2068" ht="12.75" customHeight="1">
      <c r="A2068" s="5">
        <v>0.05</v>
      </c>
    </row>
    <row r="2069" ht="12.75" customHeight="1">
      <c r="A2069" s="5" t="s">
        <v>3367</v>
      </c>
    </row>
    <row r="2070" ht="12.75" customHeight="1">
      <c r="A2070" s="5" t="s">
        <v>3368</v>
      </c>
    </row>
    <row r="2071" ht="12.75" customHeight="1">
      <c r="A2071" s="5">
        <v>0.04</v>
      </c>
    </row>
    <row r="2072" ht="12.75" customHeight="1">
      <c r="A2072" s="5" t="s">
        <v>3369</v>
      </c>
    </row>
    <row r="2073" ht="12.75" customHeight="1">
      <c r="A2073" s="5" t="s">
        <v>3370</v>
      </c>
    </row>
    <row r="2074" ht="12.75" customHeight="1">
      <c r="A2074" s="5">
        <v>0.01</v>
      </c>
    </row>
    <row r="2075" ht="12.75" customHeight="1">
      <c r="A2075" s="5" t="s">
        <v>3371</v>
      </c>
    </row>
    <row r="2076" ht="12.75" customHeight="1">
      <c r="A2076" s="5" t="s">
        <v>3374</v>
      </c>
    </row>
    <row r="2077" ht="12.75" customHeight="1">
      <c r="A2077" s="5" t="s">
        <v>2539</v>
      </c>
    </row>
    <row r="2078" ht="12.75" customHeight="1">
      <c r="A2078" s="5" t="s">
        <v>2114</v>
      </c>
    </row>
    <row r="2079" ht="12.75" customHeight="1">
      <c r="A2079" s="5">
        <v>0.2</v>
      </c>
    </row>
    <row r="2080" ht="12.75" customHeight="1">
      <c r="A2080" s="5" t="s">
        <v>979</v>
      </c>
    </row>
    <row r="2081" ht="12.75" customHeight="1">
      <c r="A2081" s="5" t="s">
        <v>3362</v>
      </c>
    </row>
    <row r="2082" ht="12.75" customHeight="1">
      <c r="A2082" s="5">
        <v>0.1</v>
      </c>
    </row>
    <row r="2083" ht="12.75" customHeight="1">
      <c r="A2083" s="5" t="s">
        <v>3363</v>
      </c>
    </row>
    <row r="2084" ht="12.75" customHeight="1">
      <c r="A2084" s="5" t="s">
        <v>3364</v>
      </c>
    </row>
    <row r="2085" ht="12.75" customHeight="1">
      <c r="A2085" s="5" t="s">
        <v>3365</v>
      </c>
    </row>
    <row r="2086" ht="12.75" customHeight="1">
      <c r="A2086" s="5" t="s">
        <v>3366</v>
      </c>
    </row>
    <row r="2087" ht="12.75" customHeight="1">
      <c r="A2087" s="5">
        <v>0.05</v>
      </c>
    </row>
    <row r="2088" ht="12.75" customHeight="1">
      <c r="A2088" s="5" t="s">
        <v>3367</v>
      </c>
    </row>
    <row r="2089" ht="12.75" customHeight="1">
      <c r="A2089" s="5" t="s">
        <v>3368</v>
      </c>
    </row>
    <row r="2090" ht="12.75" customHeight="1">
      <c r="A2090" s="5">
        <v>0.04</v>
      </c>
    </row>
    <row r="2091" ht="12.75" customHeight="1">
      <c r="A2091" s="5" t="s">
        <v>3369</v>
      </c>
    </row>
    <row r="2092" ht="12.75" customHeight="1">
      <c r="A2092" s="5" t="s">
        <v>3370</v>
      </c>
    </row>
    <row r="2093" ht="12.75" customHeight="1">
      <c r="A2093" s="5">
        <v>0.01</v>
      </c>
    </row>
    <row r="2094" ht="12.75" customHeight="1">
      <c r="A2094" s="5" t="s">
        <v>3371</v>
      </c>
    </row>
    <row r="2095" ht="12.75" customHeight="1">
      <c r="A2095" s="5" t="s">
        <v>3374</v>
      </c>
    </row>
    <row r="2096" ht="12.75" customHeight="1">
      <c r="A2096" s="5" t="s">
        <v>3981</v>
      </c>
    </row>
    <row r="2097" ht="12.75" customHeight="1">
      <c r="A2097" s="5" t="s">
        <v>3994</v>
      </c>
    </row>
    <row r="2098" ht="12.75" customHeight="1">
      <c r="A2098" s="5" t="s">
        <v>3375</v>
      </c>
    </row>
    <row r="2099" ht="12.75" customHeight="1">
      <c r="A2099" s="5" t="s">
        <v>3352</v>
      </c>
    </row>
    <row r="2100" ht="12.75" customHeight="1">
      <c r="A2100" s="5" t="s">
        <v>2924</v>
      </c>
    </row>
    <row r="2101" ht="12.75" customHeight="1">
      <c r="A2101" s="5" t="s">
        <v>3376</v>
      </c>
    </row>
    <row r="2102" ht="12.75" customHeight="1">
      <c r="A2102" s="5" t="s">
        <v>3978</v>
      </c>
    </row>
    <row r="2103" ht="12.75" customHeight="1">
      <c r="A2103" s="5" t="s">
        <v>500</v>
      </c>
    </row>
    <row r="2104" ht="12.75" customHeight="1">
      <c r="A2104" s="5" t="s">
        <v>3353</v>
      </c>
    </row>
    <row r="2105" ht="12.75" customHeight="1">
      <c r="A2105" s="5" t="s">
        <v>3979</v>
      </c>
    </row>
    <row r="2106" ht="12.75" customHeight="1">
      <c r="A2106" s="5" t="s">
        <v>3377</v>
      </c>
    </row>
    <row r="2107" ht="12.75" customHeight="1">
      <c r="A2107" s="5" t="s">
        <v>2930</v>
      </c>
    </row>
    <row r="2108" ht="12.75" customHeight="1">
      <c r="A2108" s="5" t="s">
        <v>3355</v>
      </c>
    </row>
    <row r="2109" ht="12.75" customHeight="1">
      <c r="A2109" s="5" t="s">
        <v>3980</v>
      </c>
    </row>
    <row r="2110" ht="12.75" customHeight="1">
      <c r="A2110" s="5" t="s">
        <v>2931</v>
      </c>
    </row>
    <row r="2111" ht="12.75" customHeight="1">
      <c r="A2111" s="5" t="s">
        <v>2932</v>
      </c>
    </row>
    <row r="2112" ht="12.75" customHeight="1">
      <c r="A2112" s="5" t="s">
        <v>3378</v>
      </c>
    </row>
    <row r="2113" ht="12.75" customHeight="1">
      <c r="A2113" s="5" t="s">
        <v>3379</v>
      </c>
    </row>
    <row r="2114" ht="12.75" customHeight="1">
      <c r="A2114" s="5" t="s">
        <v>3380</v>
      </c>
    </row>
    <row r="2115" ht="12.75" customHeight="1">
      <c r="A2115" s="5" t="s">
        <v>2539</v>
      </c>
    </row>
    <row r="2116" ht="12.75" customHeight="1">
      <c r="A2116" s="5" t="s">
        <v>2116</v>
      </c>
    </row>
    <row r="2117" ht="12.75" customHeight="1">
      <c r="A2117" s="5">
        <v>0.2</v>
      </c>
    </row>
    <row r="2118" ht="12.75" customHeight="1">
      <c r="A2118" s="5" t="s">
        <v>1000</v>
      </c>
    </row>
    <row r="2119" ht="12.75" customHeight="1">
      <c r="A2119" s="5" t="s">
        <v>3382</v>
      </c>
    </row>
    <row r="2120" ht="12.75" customHeight="1">
      <c r="A2120" s="5">
        <v>0.1</v>
      </c>
    </row>
    <row r="2121" ht="12.75" customHeight="1">
      <c r="A2121" s="5" t="s">
        <v>3383</v>
      </c>
    </row>
    <row r="2122" ht="12.75" customHeight="1">
      <c r="A2122" s="5" t="s">
        <v>3384</v>
      </c>
    </row>
    <row r="2123" ht="12.75" customHeight="1">
      <c r="A2123" s="5" t="s">
        <v>3385</v>
      </c>
    </row>
    <row r="2124" ht="12.75" customHeight="1">
      <c r="A2124" s="5" t="s">
        <v>3386</v>
      </c>
    </row>
    <row r="2125" ht="12.75" customHeight="1">
      <c r="A2125" s="5">
        <v>0.05</v>
      </c>
    </row>
    <row r="2126" ht="12.75" customHeight="1">
      <c r="A2126" s="5" t="s">
        <v>3387</v>
      </c>
    </row>
    <row r="2127" ht="12.75" customHeight="1">
      <c r="A2127" s="5" t="s">
        <v>3388</v>
      </c>
    </row>
    <row r="2128" ht="12.75" customHeight="1">
      <c r="A2128" s="5">
        <v>0.04</v>
      </c>
    </row>
    <row r="2129" ht="12.75" customHeight="1">
      <c r="A2129" s="5" t="s">
        <v>3389</v>
      </c>
    </row>
    <row r="2130" ht="12.75" customHeight="1">
      <c r="A2130" s="5" t="s">
        <v>3390</v>
      </c>
    </row>
    <row r="2131" ht="12.75" customHeight="1">
      <c r="A2131" s="5">
        <v>0.01</v>
      </c>
    </row>
    <row r="2132" ht="12.75" customHeight="1">
      <c r="A2132" s="5" t="s">
        <v>3391</v>
      </c>
    </row>
    <row r="2133" ht="12.75" customHeight="1">
      <c r="A2133" s="5" t="s">
        <v>3725</v>
      </c>
    </row>
    <row r="2134" ht="12.75" customHeight="1">
      <c r="A2134" s="5" t="s">
        <v>2539</v>
      </c>
    </row>
    <row r="2135" ht="12.75" customHeight="1">
      <c r="A2135" s="5" t="s">
        <v>2118</v>
      </c>
    </row>
    <row r="2136" ht="12.75" customHeight="1">
      <c r="A2136" s="5">
        <v>0.2</v>
      </c>
    </row>
    <row r="2137" ht="12.75" customHeight="1">
      <c r="A2137" s="5" t="s">
        <v>1013</v>
      </c>
    </row>
    <row r="2138" ht="12.75" customHeight="1">
      <c r="A2138" s="5" t="s">
        <v>3394</v>
      </c>
    </row>
    <row r="2139" ht="12.75" customHeight="1">
      <c r="A2139" s="5">
        <v>0.1</v>
      </c>
    </row>
    <row r="2140" ht="12.75" customHeight="1">
      <c r="A2140" s="5" t="s">
        <v>3395</v>
      </c>
    </row>
    <row r="2141" ht="12.75" customHeight="1">
      <c r="A2141" s="5" t="s">
        <v>3396</v>
      </c>
    </row>
    <row r="2142" ht="12.75" customHeight="1">
      <c r="A2142" s="5" t="s">
        <v>3397</v>
      </c>
    </row>
    <row r="2143" ht="12.75" customHeight="1">
      <c r="A2143" s="5" t="s">
        <v>3398</v>
      </c>
    </row>
    <row r="2144" ht="12.75" customHeight="1">
      <c r="A2144" s="5">
        <v>0.05</v>
      </c>
    </row>
    <row r="2145" ht="12.75" customHeight="1">
      <c r="A2145" s="5" t="s">
        <v>3399</v>
      </c>
    </row>
    <row r="2146" ht="12.75" customHeight="1">
      <c r="A2146" s="5" t="s">
        <v>3400</v>
      </c>
    </row>
    <row r="2147" ht="12.75" customHeight="1">
      <c r="A2147" s="5">
        <v>0.04</v>
      </c>
    </row>
    <row r="2148" ht="12.75" customHeight="1">
      <c r="A2148" s="5" t="s">
        <v>3401</v>
      </c>
    </row>
    <row r="2149" ht="12.75" customHeight="1">
      <c r="A2149" s="5" t="s">
        <v>3402</v>
      </c>
    </row>
    <row r="2150" ht="12.75" customHeight="1">
      <c r="A2150" s="5">
        <v>0.01</v>
      </c>
    </row>
    <row r="2151" ht="12.75" customHeight="1">
      <c r="A2151" s="5" t="s">
        <v>3403</v>
      </c>
    </row>
    <row r="2152" ht="12.75" customHeight="1">
      <c r="A2152" s="5" t="s">
        <v>3726</v>
      </c>
    </row>
    <row r="2153" ht="12.75" customHeight="1">
      <c r="A2153" s="5" t="s">
        <v>2539</v>
      </c>
    </row>
    <row r="2154" ht="12.75" customHeight="1">
      <c r="A2154" s="5" t="s">
        <v>2120</v>
      </c>
    </row>
    <row r="2155" ht="12.75" customHeight="1">
      <c r="A2155" s="5">
        <v>0.2</v>
      </c>
    </row>
    <row r="2156" ht="12.75" customHeight="1">
      <c r="A2156" s="5" t="s">
        <v>1026</v>
      </c>
    </row>
    <row r="2157" ht="12.75" customHeight="1">
      <c r="A2157" s="5" t="s">
        <v>3406</v>
      </c>
    </row>
    <row r="2158" ht="12.75" customHeight="1">
      <c r="A2158" s="5">
        <v>0.1</v>
      </c>
    </row>
    <row r="2159" ht="12.75" customHeight="1">
      <c r="A2159" s="5" t="s">
        <v>3407</v>
      </c>
    </row>
    <row r="2160" ht="12.75" customHeight="1">
      <c r="A2160" s="5" t="s">
        <v>3408</v>
      </c>
    </row>
    <row r="2161" ht="12.75" customHeight="1">
      <c r="A2161" s="5" t="s">
        <v>3409</v>
      </c>
    </row>
    <row r="2162" ht="12.75" customHeight="1">
      <c r="A2162" s="5" t="s">
        <v>3410</v>
      </c>
    </row>
    <row r="2163" ht="12.75" customHeight="1">
      <c r="A2163" s="5">
        <v>0.05</v>
      </c>
    </row>
    <row r="2164" ht="12.75" customHeight="1">
      <c r="A2164" s="5" t="s">
        <v>3411</v>
      </c>
    </row>
    <row r="2165" ht="12.75" customHeight="1">
      <c r="A2165" s="5" t="s">
        <v>3412</v>
      </c>
    </row>
    <row r="2166" ht="12.75" customHeight="1">
      <c r="A2166" s="5">
        <v>0.04</v>
      </c>
    </row>
    <row r="2167" ht="12.75" customHeight="1">
      <c r="A2167" s="5" t="s">
        <v>3413</v>
      </c>
    </row>
    <row r="2168" ht="12.75" customHeight="1">
      <c r="A2168" s="5" t="s">
        <v>3414</v>
      </c>
    </row>
    <row r="2169" ht="12.75" customHeight="1">
      <c r="A2169" s="5">
        <v>0.01</v>
      </c>
    </row>
    <row r="2170" ht="12.75" customHeight="1">
      <c r="A2170" s="5" t="s">
        <v>3415</v>
      </c>
    </row>
    <row r="2171" ht="12.75" customHeight="1">
      <c r="A2171" s="5" t="s">
        <v>3727</v>
      </c>
    </row>
    <row r="2172" ht="12.75" customHeight="1">
      <c r="A2172" s="5" t="s">
        <v>2539</v>
      </c>
    </row>
    <row r="2173" ht="12.75" customHeight="1">
      <c r="A2173" s="5" t="s">
        <v>2122</v>
      </c>
    </row>
    <row r="2174" ht="12.75" customHeight="1">
      <c r="A2174" s="5">
        <v>0.2</v>
      </c>
    </row>
    <row r="2175" ht="12.75" customHeight="1">
      <c r="A2175" s="5" t="s">
        <v>1039</v>
      </c>
    </row>
    <row r="2176" ht="12.75" customHeight="1">
      <c r="A2176" s="5" t="s">
        <v>3418</v>
      </c>
    </row>
    <row r="2177" ht="12.75" customHeight="1">
      <c r="A2177" s="5">
        <v>0.1</v>
      </c>
    </row>
    <row r="2178" ht="12.75" customHeight="1">
      <c r="A2178" s="5" t="s">
        <v>3419</v>
      </c>
    </row>
    <row r="2179" ht="12.75" customHeight="1">
      <c r="A2179" s="5" t="s">
        <v>3420</v>
      </c>
    </row>
    <row r="2180" ht="12.75" customHeight="1">
      <c r="A2180" s="5" t="s">
        <v>3421</v>
      </c>
    </row>
    <row r="2181" ht="12.75" customHeight="1">
      <c r="A2181" s="5" t="s">
        <v>3422</v>
      </c>
    </row>
    <row r="2182" ht="12.75" customHeight="1">
      <c r="A2182" s="5">
        <v>0.05</v>
      </c>
    </row>
    <row r="2183" ht="12.75" customHeight="1">
      <c r="A2183" s="5" t="s">
        <v>3423</v>
      </c>
    </row>
    <row r="2184" ht="12.75" customHeight="1">
      <c r="A2184" s="5" t="s">
        <v>3424</v>
      </c>
    </row>
    <row r="2185" ht="12.75" customHeight="1">
      <c r="A2185" s="5">
        <v>0.04</v>
      </c>
    </row>
    <row r="2186" ht="12.75" customHeight="1">
      <c r="A2186" s="5" t="s">
        <v>3425</v>
      </c>
    </row>
    <row r="2187" ht="12.75" customHeight="1">
      <c r="A2187" s="5" t="s">
        <v>3426</v>
      </c>
    </row>
    <row r="2188" ht="12.75" customHeight="1">
      <c r="A2188" s="5">
        <v>0.01</v>
      </c>
    </row>
    <row r="2189" ht="12.75" customHeight="1">
      <c r="A2189" s="5" t="s">
        <v>3427</v>
      </c>
    </row>
    <row r="2190" ht="12.75" customHeight="1">
      <c r="A2190" s="5" t="s">
        <v>3428</v>
      </c>
    </row>
    <row r="2191" ht="12.75" customHeight="1">
      <c r="A2191" s="5" t="s">
        <v>3981</v>
      </c>
    </row>
    <row r="2192" ht="12.75" customHeight="1">
      <c r="A2192" s="5" t="s">
        <v>3994</v>
      </c>
    </row>
    <row r="2193" ht="12.75" customHeight="1">
      <c r="A2193" s="5" t="s">
        <v>3429</v>
      </c>
    </row>
    <row r="2194" ht="12.75" customHeight="1">
      <c r="A2194" s="5" t="s">
        <v>3025</v>
      </c>
    </row>
    <row r="2195" ht="12.75" customHeight="1">
      <c r="A2195" s="5" t="s">
        <v>3430</v>
      </c>
    </row>
    <row r="2196" ht="12.75" customHeight="1">
      <c r="A2196" s="5" t="s">
        <v>2925</v>
      </c>
    </row>
    <row r="2197" ht="12.75" customHeight="1">
      <c r="A2197" s="5" t="s">
        <v>3978</v>
      </c>
    </row>
    <row r="2198" ht="12.75" customHeight="1">
      <c r="A2198" s="5" t="s">
        <v>602</v>
      </c>
    </row>
    <row r="2199" ht="12.75" customHeight="1">
      <c r="A2199" s="5" t="s">
        <v>1159</v>
      </c>
    </row>
    <row r="2200" ht="12.75" customHeight="1">
      <c r="A2200" s="5" t="s">
        <v>3979</v>
      </c>
    </row>
    <row r="2201" ht="12.75" customHeight="1">
      <c r="A2201" s="5" t="s">
        <v>3431</v>
      </c>
    </row>
    <row r="2202" ht="12.75" customHeight="1">
      <c r="A2202" s="5" t="s">
        <v>3432</v>
      </c>
    </row>
    <row r="2203" ht="12.75" customHeight="1">
      <c r="A2203" s="5" t="s">
        <v>3355</v>
      </c>
    </row>
    <row r="2204" ht="12.75" customHeight="1">
      <c r="A2204" s="5" t="s">
        <v>3980</v>
      </c>
    </row>
    <row r="2205" ht="12.75" customHeight="1">
      <c r="A2205" s="5" t="s">
        <v>3433</v>
      </c>
    </row>
    <row r="2206" ht="12.75" customHeight="1">
      <c r="A2206" s="5" t="s">
        <v>3434</v>
      </c>
    </row>
    <row r="2207" ht="12.75" customHeight="1">
      <c r="A2207" s="5" t="s">
        <v>3435</v>
      </c>
    </row>
    <row r="2208" ht="12.75" customHeight="1">
      <c r="A2208" s="5" t="s">
        <v>3436</v>
      </c>
    </row>
    <row r="2209" ht="12.75" customHeight="1">
      <c r="A2209" s="5" t="s">
        <v>3437</v>
      </c>
    </row>
    <row r="2210" ht="12.75" customHeight="1">
      <c r="A2210" s="5" t="s">
        <v>2539</v>
      </c>
    </row>
    <row r="2211" ht="12.75" customHeight="1">
      <c r="A2211" s="5" t="s">
        <v>2124</v>
      </c>
    </row>
    <row r="2212" ht="12.75" customHeight="1">
      <c r="A2212" s="5">
        <v>0.2</v>
      </c>
    </row>
    <row r="2213" ht="12.75" customHeight="1">
      <c r="A2213" s="5" t="s">
        <v>1062</v>
      </c>
    </row>
    <row r="2214" ht="12.75" customHeight="1">
      <c r="A2214" s="5" t="s">
        <v>3439</v>
      </c>
    </row>
    <row r="2215" ht="12.75" customHeight="1">
      <c r="A2215" s="5">
        <v>0.1</v>
      </c>
    </row>
    <row r="2216" ht="12.75" customHeight="1">
      <c r="A2216" s="5" t="s">
        <v>3440</v>
      </c>
    </row>
    <row r="2217" ht="12.75" customHeight="1">
      <c r="A2217" s="5" t="s">
        <v>3441</v>
      </c>
    </row>
    <row r="2218" ht="12.75" customHeight="1">
      <c r="A2218" s="5" t="s">
        <v>3442</v>
      </c>
    </row>
    <row r="2219" ht="12.75" customHeight="1">
      <c r="A2219" s="5" t="s">
        <v>3443</v>
      </c>
    </row>
    <row r="2220" ht="12.75" customHeight="1">
      <c r="A2220" s="5">
        <v>0.05</v>
      </c>
    </row>
    <row r="2221" ht="12.75" customHeight="1">
      <c r="A2221" s="5" t="s">
        <v>3444</v>
      </c>
    </row>
    <row r="2222" ht="12.75" customHeight="1">
      <c r="A2222" s="5" t="s">
        <v>3445</v>
      </c>
    </row>
    <row r="2223" ht="12.75" customHeight="1">
      <c r="A2223" s="5">
        <v>0.04</v>
      </c>
    </row>
    <row r="2224" ht="12.75" customHeight="1">
      <c r="A2224" s="5" t="s">
        <v>3446</v>
      </c>
    </row>
    <row r="2225" ht="12.75" customHeight="1">
      <c r="A2225" s="5" t="s">
        <v>3447</v>
      </c>
    </row>
    <row r="2226" ht="12.75" customHeight="1">
      <c r="A2226" s="5">
        <v>0.01</v>
      </c>
    </row>
    <row r="2227" ht="12.75" customHeight="1">
      <c r="A2227" s="5" t="s">
        <v>3448</v>
      </c>
    </row>
    <row r="2228" ht="12.75" customHeight="1">
      <c r="A2228" s="5" t="s">
        <v>3449</v>
      </c>
    </row>
    <row r="2229" ht="12.75" customHeight="1">
      <c r="A2229" s="5" t="s">
        <v>3981</v>
      </c>
    </row>
    <row r="2230" ht="12.75" customHeight="1">
      <c r="A2230" s="5" t="s">
        <v>3994</v>
      </c>
    </row>
    <row r="2231" ht="12.75" customHeight="1">
      <c r="A2231" s="5" t="s">
        <v>3429</v>
      </c>
    </row>
    <row r="2232" ht="12.75" customHeight="1">
      <c r="A2232" s="5" t="s">
        <v>3025</v>
      </c>
    </row>
    <row r="2233" ht="12.75" customHeight="1">
      <c r="A2233" s="5" t="s">
        <v>3430</v>
      </c>
    </row>
    <row r="2234" ht="12.75" customHeight="1">
      <c r="A2234" s="5" t="s">
        <v>3450</v>
      </c>
    </row>
    <row r="2235" ht="12.75" customHeight="1">
      <c r="A2235" s="5" t="s">
        <v>3978</v>
      </c>
    </row>
    <row r="2236" ht="12.75" customHeight="1">
      <c r="A2236" s="5" t="s">
        <v>500</v>
      </c>
    </row>
    <row r="2237" ht="12.75" customHeight="1">
      <c r="A2237" s="5" t="s">
        <v>3353</v>
      </c>
    </row>
    <row r="2238" ht="12.75" customHeight="1">
      <c r="A2238" s="5" t="s">
        <v>3979</v>
      </c>
    </row>
    <row r="2239" ht="12.75" customHeight="1">
      <c r="A2239" s="5" t="s">
        <v>3431</v>
      </c>
    </row>
    <row r="2240" ht="12.75" customHeight="1">
      <c r="A2240" s="5" t="s">
        <v>3451</v>
      </c>
    </row>
    <row r="2241" ht="12.75" customHeight="1">
      <c r="A2241" s="5" t="s">
        <v>3452</v>
      </c>
    </row>
    <row r="2242" ht="12.75" customHeight="1">
      <c r="A2242" s="5" t="s">
        <v>3980</v>
      </c>
    </row>
    <row r="2243" ht="12.75" customHeight="1">
      <c r="A2243" s="5" t="s">
        <v>3027</v>
      </c>
    </row>
    <row r="2244" ht="12.75" customHeight="1">
      <c r="A2244" s="5" t="s">
        <v>3357</v>
      </c>
    </row>
    <row r="2245" ht="12.75" customHeight="1">
      <c r="A2245" s="5" t="s">
        <v>3453</v>
      </c>
    </row>
    <row r="2246" ht="12.75" customHeight="1">
      <c r="A2246" s="5" t="s">
        <v>3454</v>
      </c>
    </row>
    <row r="2247" ht="12.75" customHeight="1">
      <c r="A2247" s="5" t="s">
        <v>3455</v>
      </c>
    </row>
    <row r="2248" ht="12.75" customHeight="1">
      <c r="A2248" s="5" t="s">
        <v>2539</v>
      </c>
    </row>
    <row r="2249" ht="12.75" customHeight="1">
      <c r="A2249" s="5" t="s">
        <v>2126</v>
      </c>
    </row>
    <row r="2250" ht="12.75" customHeight="1">
      <c r="A2250" s="5">
        <v>0.2</v>
      </c>
    </row>
    <row r="2251" ht="12.75" customHeight="1">
      <c r="A2251" s="5" t="s">
        <v>1081</v>
      </c>
    </row>
    <row r="2252" ht="12.75" customHeight="1">
      <c r="A2252" s="5" t="s">
        <v>3457</v>
      </c>
    </row>
    <row r="2253" ht="12.75" customHeight="1">
      <c r="A2253" s="5">
        <v>0.1</v>
      </c>
    </row>
    <row r="2254" ht="12.75" customHeight="1">
      <c r="A2254" s="5" t="s">
        <v>3458</v>
      </c>
    </row>
    <row r="2255" ht="12.75" customHeight="1">
      <c r="A2255" s="5" t="s">
        <v>3459</v>
      </c>
    </row>
    <row r="2256" ht="12.75" customHeight="1">
      <c r="A2256" s="5" t="s">
        <v>3460</v>
      </c>
    </row>
    <row r="2257" ht="12.75" customHeight="1">
      <c r="A2257" s="5" t="s">
        <v>3461</v>
      </c>
    </row>
    <row r="2258" ht="12.75" customHeight="1">
      <c r="A2258" s="5">
        <v>0.05</v>
      </c>
    </row>
    <row r="2259" ht="12.75" customHeight="1">
      <c r="A2259" s="5" t="s">
        <v>3462</v>
      </c>
    </row>
    <row r="2260" ht="12.75" customHeight="1">
      <c r="A2260" s="5" t="s">
        <v>3463</v>
      </c>
    </row>
    <row r="2261" ht="12.75" customHeight="1">
      <c r="A2261" s="5">
        <v>0.04</v>
      </c>
    </row>
    <row r="2262" ht="12.75" customHeight="1">
      <c r="A2262" s="5" t="s">
        <v>3464</v>
      </c>
    </row>
    <row r="2263" ht="12.75" customHeight="1">
      <c r="A2263" s="5" t="s">
        <v>3465</v>
      </c>
    </row>
    <row r="2264" ht="12.75" customHeight="1">
      <c r="A2264" s="5">
        <v>0.01</v>
      </c>
    </row>
    <row r="2265" ht="12.75" customHeight="1">
      <c r="A2265" s="5" t="s">
        <v>3466</v>
      </c>
    </row>
    <row r="2266" ht="12.75" customHeight="1">
      <c r="A2266" s="5" t="s">
        <v>3467</v>
      </c>
    </row>
    <row r="2267" ht="12.75" customHeight="1">
      <c r="A2267" s="5" t="s">
        <v>3981</v>
      </c>
    </row>
    <row r="2268" ht="12.75" customHeight="1">
      <c r="A2268" s="5" t="s">
        <v>3994</v>
      </c>
    </row>
    <row r="2269" ht="12.75" customHeight="1">
      <c r="A2269" s="5" t="s">
        <v>3429</v>
      </c>
    </row>
    <row r="2270" ht="12.75" customHeight="1">
      <c r="A2270" s="5" t="s">
        <v>3025</v>
      </c>
    </row>
    <row r="2271" ht="12.75" customHeight="1">
      <c r="A2271" s="5" t="s">
        <v>3430</v>
      </c>
    </row>
    <row r="2272" ht="12.75" customHeight="1">
      <c r="A2272" s="5" t="s">
        <v>3450</v>
      </c>
    </row>
    <row r="2273" ht="12.75" customHeight="1">
      <c r="A2273" s="5" t="s">
        <v>3978</v>
      </c>
    </row>
    <row r="2274" ht="12.75" customHeight="1">
      <c r="A2274" s="5" t="s">
        <v>500</v>
      </c>
    </row>
    <row r="2275" ht="12.75" customHeight="1">
      <c r="A2275" s="5" t="s">
        <v>3353</v>
      </c>
    </row>
    <row r="2276" ht="12.75" customHeight="1">
      <c r="A2276" s="5" t="s">
        <v>3979</v>
      </c>
    </row>
    <row r="2277" ht="12.75" customHeight="1">
      <c r="A2277" s="5" t="s">
        <v>3431</v>
      </c>
    </row>
    <row r="2278" ht="12.75" customHeight="1">
      <c r="A2278" s="5" t="s">
        <v>3028</v>
      </c>
    </row>
    <row r="2279" ht="12.75" customHeight="1">
      <c r="A2279" s="5" t="s">
        <v>3355</v>
      </c>
    </row>
    <row r="2280" ht="12.75" customHeight="1">
      <c r="A2280" s="5" t="s">
        <v>3980</v>
      </c>
    </row>
    <row r="2281" ht="12.75" customHeight="1">
      <c r="A2281" s="5" t="s">
        <v>3433</v>
      </c>
    </row>
    <row r="2282" ht="12.75" customHeight="1">
      <c r="A2282" s="5" t="s">
        <v>3357</v>
      </c>
    </row>
    <row r="2283" ht="12.75" customHeight="1">
      <c r="A2283" s="5" t="s">
        <v>3358</v>
      </c>
    </row>
    <row r="2284" ht="12.75" customHeight="1">
      <c r="A2284" s="5" t="s">
        <v>3359</v>
      </c>
    </row>
    <row r="2285" ht="12.75" customHeight="1">
      <c r="A2285" s="5" t="s">
        <v>3437</v>
      </c>
    </row>
    <row r="2286" ht="12.75" customHeight="1">
      <c r="A2286" s="5" t="s">
        <v>2539</v>
      </c>
    </row>
    <row r="2287" ht="12.75" customHeight="1">
      <c r="A2287" s="5" t="s">
        <v>2128</v>
      </c>
    </row>
    <row r="2288" ht="12.75" customHeight="1">
      <c r="A2288" s="5">
        <v>0.2</v>
      </c>
    </row>
    <row r="2289" ht="12.75" customHeight="1">
      <c r="A2289" s="5" t="s">
        <v>1095</v>
      </c>
    </row>
    <row r="2290" ht="12.75" customHeight="1">
      <c r="A2290" s="5" t="s">
        <v>3470</v>
      </c>
    </row>
    <row r="2291" ht="12.75" customHeight="1">
      <c r="A2291" s="5">
        <v>0.1</v>
      </c>
    </row>
    <row r="2292" ht="12.75" customHeight="1">
      <c r="A2292" s="5" t="s">
        <v>3471</v>
      </c>
    </row>
    <row r="2293" ht="12.75" customHeight="1">
      <c r="A2293" s="5" t="s">
        <v>3472</v>
      </c>
    </row>
    <row r="2294" ht="12.75" customHeight="1">
      <c r="A2294" s="5" t="s">
        <v>3473</v>
      </c>
    </row>
    <row r="2295" ht="12.75" customHeight="1">
      <c r="A2295" s="5" t="s">
        <v>3474</v>
      </c>
    </row>
    <row r="2296" ht="12.75" customHeight="1">
      <c r="A2296" s="5">
        <v>0.05</v>
      </c>
    </row>
    <row r="2297" ht="12.75" customHeight="1">
      <c r="A2297" s="5" t="s">
        <v>3475</v>
      </c>
    </row>
    <row r="2298" ht="12.75" customHeight="1">
      <c r="A2298" s="5" t="s">
        <v>3476</v>
      </c>
    </row>
    <row r="2299" ht="12.75" customHeight="1">
      <c r="A2299" s="5">
        <v>0.04</v>
      </c>
    </row>
    <row r="2300" ht="12.75" customHeight="1">
      <c r="A2300" s="5" t="s">
        <v>3477</v>
      </c>
    </row>
    <row r="2301" ht="12.75" customHeight="1">
      <c r="A2301" s="5" t="s">
        <v>3478</v>
      </c>
    </row>
    <row r="2302" ht="12.75" customHeight="1">
      <c r="A2302" s="5">
        <v>0.01</v>
      </c>
    </row>
    <row r="2303" ht="12.75" customHeight="1">
      <c r="A2303" s="5" t="s">
        <v>3479</v>
      </c>
    </row>
    <row r="2304" ht="12.75" customHeight="1">
      <c r="A2304" s="5" t="s">
        <v>3467</v>
      </c>
    </row>
    <row r="2305" ht="12.75" customHeight="1">
      <c r="A2305" s="5" t="s">
        <v>3981</v>
      </c>
    </row>
    <row r="2306" ht="12.75" customHeight="1">
      <c r="A2306" s="5" t="s">
        <v>3994</v>
      </c>
    </row>
    <row r="2307" ht="12.75" customHeight="1">
      <c r="A2307" s="5" t="s">
        <v>3429</v>
      </c>
    </row>
    <row r="2308" ht="12.75" customHeight="1">
      <c r="A2308" s="5" t="s">
        <v>3025</v>
      </c>
    </row>
    <row r="2309" ht="12.75" customHeight="1">
      <c r="A2309" s="5" t="s">
        <v>3430</v>
      </c>
    </row>
    <row r="2310" ht="12.75" customHeight="1">
      <c r="A2310" s="5" t="s">
        <v>3450</v>
      </c>
    </row>
    <row r="2311" ht="12.75" customHeight="1">
      <c r="A2311" s="5" t="s">
        <v>3978</v>
      </c>
    </row>
    <row r="2312" ht="12.75" customHeight="1">
      <c r="A2312" s="5" t="s">
        <v>500</v>
      </c>
    </row>
    <row r="2313" ht="12.75" customHeight="1">
      <c r="A2313" s="5" t="s">
        <v>3353</v>
      </c>
    </row>
    <row r="2314" ht="12.75" customHeight="1">
      <c r="A2314" s="5" t="s">
        <v>3979</v>
      </c>
    </row>
    <row r="2315" ht="12.75" customHeight="1">
      <c r="A2315" s="5" t="s">
        <v>3431</v>
      </c>
    </row>
    <row r="2316" ht="12.75" customHeight="1">
      <c r="A2316" s="5" t="s">
        <v>3028</v>
      </c>
    </row>
    <row r="2317" ht="12.75" customHeight="1">
      <c r="A2317" s="5" t="s">
        <v>3355</v>
      </c>
    </row>
    <row r="2318" ht="12.75" customHeight="1">
      <c r="A2318" s="5" t="s">
        <v>3980</v>
      </c>
    </row>
    <row r="2319" ht="12.75" customHeight="1">
      <c r="A2319" s="5" t="s">
        <v>3433</v>
      </c>
    </row>
    <row r="2320" ht="12.75" customHeight="1">
      <c r="A2320" s="5" t="s">
        <v>3357</v>
      </c>
    </row>
    <row r="2321" ht="12.75" customHeight="1">
      <c r="A2321" s="5" t="s">
        <v>3358</v>
      </c>
    </row>
    <row r="2322" ht="12.75" customHeight="1">
      <c r="A2322" s="5" t="s">
        <v>3359</v>
      </c>
    </row>
    <row r="2323" ht="12.75" customHeight="1">
      <c r="A2323" s="5" t="s">
        <v>3437</v>
      </c>
    </row>
    <row r="2324" ht="12.75" customHeight="1">
      <c r="A2324" s="5" t="s">
        <v>2539</v>
      </c>
    </row>
    <row r="2325" ht="12.75" customHeight="1">
      <c r="A2325" s="5" t="s">
        <v>2130</v>
      </c>
    </row>
    <row r="2326" ht="12.75" customHeight="1">
      <c r="A2326" s="5">
        <v>0.2</v>
      </c>
    </row>
    <row r="2327" ht="12.75" customHeight="1">
      <c r="A2327" s="5" t="s">
        <v>1107</v>
      </c>
    </row>
    <row r="2328" ht="12.75" customHeight="1">
      <c r="A2328" s="5" t="s">
        <v>3481</v>
      </c>
    </row>
    <row r="2329" ht="12.75" customHeight="1">
      <c r="A2329" s="5">
        <v>0.1</v>
      </c>
    </row>
    <row r="2330" ht="12.75" customHeight="1">
      <c r="A2330" s="5" t="s">
        <v>3482</v>
      </c>
    </row>
    <row r="2331" ht="12.75" customHeight="1">
      <c r="A2331" s="5" t="s">
        <v>3483</v>
      </c>
    </row>
    <row r="2332" ht="12.75" customHeight="1">
      <c r="A2332" s="5" t="s">
        <v>3484</v>
      </c>
    </row>
    <row r="2333" ht="12.75" customHeight="1">
      <c r="A2333" s="5" t="s">
        <v>3485</v>
      </c>
    </row>
    <row r="2334" ht="12.75" customHeight="1">
      <c r="A2334" s="5">
        <v>0.05</v>
      </c>
    </row>
    <row r="2335" ht="12.75" customHeight="1">
      <c r="A2335" s="5" t="s">
        <v>3486</v>
      </c>
    </row>
    <row r="2336" ht="12.75" customHeight="1">
      <c r="A2336" s="5" t="s">
        <v>3487</v>
      </c>
    </row>
    <row r="2337" ht="12.75" customHeight="1">
      <c r="A2337" s="5">
        <v>0.04</v>
      </c>
    </row>
    <row r="2338" ht="12.75" customHeight="1">
      <c r="A2338" s="5" t="s">
        <v>3488</v>
      </c>
    </row>
    <row r="2339" ht="12.75" customHeight="1">
      <c r="A2339" s="5" t="s">
        <v>3489</v>
      </c>
    </row>
    <row r="2340" ht="12.75" customHeight="1">
      <c r="A2340" s="5">
        <v>0.01</v>
      </c>
    </row>
    <row r="2341" ht="12.75" customHeight="1">
      <c r="A2341" s="5" t="s">
        <v>3490</v>
      </c>
    </row>
    <row r="2342" ht="12.75" customHeight="1">
      <c r="A2342" s="5" t="s">
        <v>3467</v>
      </c>
    </row>
    <row r="2343" ht="12.75" customHeight="1">
      <c r="A2343" s="5" t="s">
        <v>2539</v>
      </c>
    </row>
    <row r="2344" ht="12.75" customHeight="1">
      <c r="A2344" s="5" t="s">
        <v>2132</v>
      </c>
    </row>
    <row r="2345" ht="12.75" customHeight="1">
      <c r="A2345" s="5">
        <v>0.2</v>
      </c>
    </row>
    <row r="2346" ht="12.75" customHeight="1">
      <c r="A2346" s="5" t="s">
        <v>1120</v>
      </c>
    </row>
    <row r="2347" ht="12.75" customHeight="1">
      <c r="A2347" s="5" t="s">
        <v>3493</v>
      </c>
    </row>
    <row r="2348" ht="12.75" customHeight="1">
      <c r="A2348" s="5">
        <v>0.1</v>
      </c>
    </row>
    <row r="2349" ht="12.75" customHeight="1">
      <c r="A2349" s="5" t="s">
        <v>3494</v>
      </c>
    </row>
    <row r="2350" ht="12.75" customHeight="1">
      <c r="A2350" s="5" t="s">
        <v>3495</v>
      </c>
    </row>
    <row r="2351" ht="12.75" customHeight="1">
      <c r="A2351" s="5" t="s">
        <v>3496</v>
      </c>
    </row>
    <row r="2352" ht="12.75" customHeight="1">
      <c r="A2352" s="5" t="s">
        <v>3497</v>
      </c>
    </row>
    <row r="2353" ht="12.75" customHeight="1">
      <c r="A2353" s="5">
        <v>0.05</v>
      </c>
    </row>
    <row r="2354" ht="12.75" customHeight="1">
      <c r="A2354" s="5" t="s">
        <v>3498</v>
      </c>
    </row>
    <row r="2355" ht="12.75" customHeight="1">
      <c r="A2355" s="5" t="s">
        <v>3499</v>
      </c>
    </row>
    <row r="2356" ht="12.75" customHeight="1">
      <c r="A2356" s="5">
        <v>0.04</v>
      </c>
    </row>
    <row r="2357" ht="12.75" customHeight="1">
      <c r="A2357" s="5" t="s">
        <v>3500</v>
      </c>
    </row>
    <row r="2358" ht="12.75" customHeight="1">
      <c r="A2358" s="5" t="s">
        <v>3501</v>
      </c>
    </row>
    <row r="2359" ht="12.75" customHeight="1">
      <c r="A2359" s="5">
        <v>0.01</v>
      </c>
    </row>
    <row r="2360" ht="12.75" customHeight="1">
      <c r="A2360" s="5" t="s">
        <v>3502</v>
      </c>
    </row>
    <row r="2361" ht="12.75" customHeight="1">
      <c r="A2361" s="5" t="s">
        <v>3467</v>
      </c>
    </row>
    <row r="2362" ht="12.75" customHeight="1">
      <c r="A2362" s="5" t="s">
        <v>2539</v>
      </c>
    </row>
    <row r="2363" ht="12.75" customHeight="1">
      <c r="A2363" s="5" t="s">
        <v>2134</v>
      </c>
    </row>
    <row r="2364" ht="12.75" customHeight="1">
      <c r="A2364" s="5">
        <v>0.2</v>
      </c>
    </row>
    <row r="2365" ht="12.75" customHeight="1">
      <c r="A2365" s="5" t="s">
        <v>1132</v>
      </c>
    </row>
    <row r="2366" ht="12.75" customHeight="1">
      <c r="A2366" s="5" t="s">
        <v>3457</v>
      </c>
    </row>
    <row r="2367" ht="12.75" customHeight="1">
      <c r="A2367" s="5">
        <v>0.1</v>
      </c>
    </row>
    <row r="2368" ht="12.75" customHeight="1">
      <c r="A2368" s="5" t="s">
        <v>3504</v>
      </c>
    </row>
    <row r="2369" ht="12.75" customHeight="1">
      <c r="A2369" s="5" t="s">
        <v>3459</v>
      </c>
    </row>
    <row r="2370" ht="12.75" customHeight="1">
      <c r="A2370" s="5" t="s">
        <v>3460</v>
      </c>
    </row>
    <row r="2371" ht="12.75" customHeight="1">
      <c r="A2371" s="5" t="s">
        <v>3505</v>
      </c>
    </row>
    <row r="2372" ht="12.75" customHeight="1">
      <c r="A2372" s="5">
        <v>0.05</v>
      </c>
    </row>
    <row r="2373" ht="12.75" customHeight="1">
      <c r="A2373" s="5" t="s">
        <v>3506</v>
      </c>
    </row>
    <row r="2374" ht="12.75" customHeight="1">
      <c r="A2374" s="5" t="s">
        <v>3507</v>
      </c>
    </row>
    <row r="2375" ht="12.75" customHeight="1">
      <c r="A2375" s="5">
        <v>0.04</v>
      </c>
    </row>
    <row r="2376" ht="12.75" customHeight="1">
      <c r="A2376" s="5" t="s">
        <v>3464</v>
      </c>
    </row>
    <row r="2377" ht="12.75" customHeight="1">
      <c r="A2377" s="5" t="s">
        <v>3508</v>
      </c>
    </row>
    <row r="2378" ht="12.75" customHeight="1">
      <c r="A2378" s="5">
        <v>0.01</v>
      </c>
    </row>
    <row r="2379" ht="12.75" customHeight="1">
      <c r="A2379" s="5" t="s">
        <v>3509</v>
      </c>
    </row>
    <row r="2380" ht="12.75" customHeight="1">
      <c r="A2380" s="5" t="s">
        <v>3728</v>
      </c>
    </row>
    <row r="2381" ht="12.75" customHeight="1">
      <c r="A2381" s="5" t="s">
        <v>2539</v>
      </c>
    </row>
    <row r="2382" ht="12.75" customHeight="1">
      <c r="A2382" s="5" t="s">
        <v>2136</v>
      </c>
    </row>
    <row r="2383" ht="12.75" customHeight="1">
      <c r="A2383" s="5">
        <v>0.2</v>
      </c>
    </row>
    <row r="2384" ht="12.75" customHeight="1">
      <c r="A2384" s="5" t="s">
        <v>1141</v>
      </c>
    </row>
    <row r="2385" ht="12.75" customHeight="1">
      <c r="A2385" s="5" t="s">
        <v>3470</v>
      </c>
    </row>
    <row r="2386" ht="12.75" customHeight="1">
      <c r="A2386" s="5">
        <v>0.1</v>
      </c>
    </row>
    <row r="2387" ht="12.75" customHeight="1">
      <c r="A2387" s="5" t="s">
        <v>3512</v>
      </c>
    </row>
    <row r="2388" ht="12.75" customHeight="1">
      <c r="A2388" s="5" t="s">
        <v>3513</v>
      </c>
    </row>
    <row r="2389" ht="12.75" customHeight="1">
      <c r="A2389" s="5" t="s">
        <v>3473</v>
      </c>
    </row>
    <row r="2390" ht="12.75" customHeight="1">
      <c r="A2390" s="5" t="s">
        <v>3514</v>
      </c>
    </row>
    <row r="2391" ht="12.75" customHeight="1">
      <c r="A2391" s="5">
        <v>0.05</v>
      </c>
    </row>
    <row r="2392" ht="12.75" customHeight="1">
      <c r="A2392" s="5" t="s">
        <v>3515</v>
      </c>
    </row>
    <row r="2393" ht="12.75" customHeight="1">
      <c r="A2393" s="5" t="s">
        <v>3516</v>
      </c>
    </row>
    <row r="2394" ht="12.75" customHeight="1">
      <c r="A2394" s="5">
        <v>0.04</v>
      </c>
    </row>
    <row r="2395" ht="12.75" customHeight="1">
      <c r="A2395" s="5" t="s">
        <v>3477</v>
      </c>
    </row>
    <row r="2396" ht="12.75" customHeight="1">
      <c r="A2396" s="5" t="s">
        <v>3517</v>
      </c>
    </row>
    <row r="2397" ht="12.75" customHeight="1">
      <c r="A2397" s="5">
        <v>0.01</v>
      </c>
    </row>
    <row r="2398" ht="12.75" customHeight="1">
      <c r="A2398" s="5" t="s">
        <v>3518</v>
      </c>
    </row>
    <row r="2399" ht="12.75" customHeight="1">
      <c r="A2399" s="5" t="s">
        <v>3728</v>
      </c>
    </row>
    <row r="2400" ht="12.75" customHeight="1">
      <c r="A2400" s="5" t="s">
        <v>2539</v>
      </c>
    </row>
    <row r="2401" ht="12.75" customHeight="1">
      <c r="A2401" s="5" t="s">
        <v>2138</v>
      </c>
    </row>
    <row r="2402" ht="12.75" customHeight="1">
      <c r="A2402" s="5">
        <v>0.2</v>
      </c>
    </row>
    <row r="2403" ht="12.75" customHeight="1">
      <c r="A2403" s="5" t="s">
        <v>1150</v>
      </c>
    </row>
    <row r="2404" ht="12.75" customHeight="1">
      <c r="A2404" s="5" t="s">
        <v>3481</v>
      </c>
    </row>
    <row r="2405" ht="12.75" customHeight="1">
      <c r="A2405" s="5">
        <v>0.1</v>
      </c>
    </row>
    <row r="2406" ht="12.75" customHeight="1">
      <c r="A2406" s="5" t="s">
        <v>3520</v>
      </c>
    </row>
    <row r="2407" ht="12.75" customHeight="1">
      <c r="A2407" s="5" t="s">
        <v>3483</v>
      </c>
    </row>
    <row r="2408" ht="12.75" customHeight="1">
      <c r="A2408" s="5" t="s">
        <v>3484</v>
      </c>
    </row>
    <row r="2409" ht="12.75" customHeight="1">
      <c r="A2409" s="5" t="s">
        <v>3521</v>
      </c>
    </row>
    <row r="2410" ht="12.75" customHeight="1">
      <c r="A2410" s="5">
        <v>0.05</v>
      </c>
    </row>
    <row r="2411" ht="12.75" customHeight="1">
      <c r="A2411" s="5" t="s">
        <v>3522</v>
      </c>
    </row>
    <row r="2412" ht="12.75" customHeight="1">
      <c r="A2412" s="5" t="s">
        <v>3523</v>
      </c>
    </row>
    <row r="2413" ht="12.75" customHeight="1">
      <c r="A2413" s="5">
        <v>0.04</v>
      </c>
    </row>
    <row r="2414" ht="12.75" customHeight="1">
      <c r="A2414" s="5" t="s">
        <v>3524</v>
      </c>
    </row>
    <row r="2415" ht="12.75" customHeight="1">
      <c r="A2415" s="5" t="s">
        <v>3525</v>
      </c>
    </row>
    <row r="2416" ht="12.75" customHeight="1">
      <c r="A2416" s="5">
        <v>0.01</v>
      </c>
    </row>
    <row r="2417" ht="12.75" customHeight="1">
      <c r="A2417" s="5" t="s">
        <v>3526</v>
      </c>
    </row>
    <row r="2418" ht="12.75" customHeight="1">
      <c r="A2418" s="5" t="s">
        <v>3728</v>
      </c>
    </row>
    <row r="2419" ht="12.75" customHeight="1">
      <c r="A2419" s="5" t="s">
        <v>2539</v>
      </c>
    </row>
    <row r="2420" ht="12.75" customHeight="1">
      <c r="A2420" s="5" t="s">
        <v>2140</v>
      </c>
    </row>
    <row r="2421" ht="12.75" customHeight="1">
      <c r="A2421" s="5" t="s">
        <v>3981</v>
      </c>
    </row>
    <row r="2422" ht="12.75" customHeight="1">
      <c r="A2422" s="5" t="s">
        <v>3994</v>
      </c>
    </row>
    <row r="2423" ht="12.75" customHeight="1">
      <c r="A2423" s="5" t="s">
        <v>3429</v>
      </c>
    </row>
    <row r="2424" ht="12.75" customHeight="1">
      <c r="A2424" s="5" t="s">
        <v>3430</v>
      </c>
    </row>
    <row r="2425" ht="12.75" customHeight="1">
      <c r="A2425" s="5" t="s">
        <v>3025</v>
      </c>
    </row>
    <row r="2426" ht="12.75" customHeight="1">
      <c r="A2426" s="5" t="s">
        <v>3450</v>
      </c>
    </row>
    <row r="2427" ht="12.75" customHeight="1">
      <c r="A2427" s="5" t="s">
        <v>3978</v>
      </c>
    </row>
    <row r="2428" ht="12.75" customHeight="1">
      <c r="A2428" s="5" t="s">
        <v>1159</v>
      </c>
    </row>
    <row r="2429" ht="12.75" customHeight="1">
      <c r="A2429" s="5" t="s">
        <v>602</v>
      </c>
    </row>
    <row r="2430" ht="12.75" customHeight="1">
      <c r="A2430" s="5" t="s">
        <v>3979</v>
      </c>
    </row>
    <row r="2431" ht="12.75" customHeight="1">
      <c r="A2431" s="5" t="s">
        <v>3027</v>
      </c>
    </row>
    <row r="2432" ht="12.75" customHeight="1">
      <c r="A2432" s="5" t="s">
        <v>3028</v>
      </c>
    </row>
    <row r="2433" ht="12.75" customHeight="1">
      <c r="A2433" s="5" t="s">
        <v>3029</v>
      </c>
    </row>
    <row r="2434" ht="12.75" customHeight="1">
      <c r="A2434" s="5" t="s">
        <v>3980</v>
      </c>
    </row>
    <row r="2435" ht="12.75" customHeight="1">
      <c r="A2435" s="5" t="s">
        <v>3030</v>
      </c>
    </row>
    <row r="2436" ht="12.75" customHeight="1">
      <c r="A2436" s="5" t="s">
        <v>3528</v>
      </c>
    </row>
    <row r="2437" ht="12.75" customHeight="1">
      <c r="A2437" s="5" t="s">
        <v>3032</v>
      </c>
    </row>
    <row r="2438" ht="12.75" customHeight="1">
      <c r="A2438" s="5" t="s">
        <v>3033</v>
      </c>
    </row>
    <row r="2439" ht="12.75" customHeight="1">
      <c r="A2439" s="5" t="s">
        <v>3034</v>
      </c>
    </row>
    <row r="2440" ht="12.75" customHeight="1">
      <c r="A2440" s="5" t="s">
        <v>2539</v>
      </c>
    </row>
    <row r="2441" ht="12.75" customHeight="1">
      <c r="A2441" s="5" t="s">
        <v>2142</v>
      </c>
    </row>
    <row r="2442" ht="12.75" customHeight="1">
      <c r="A2442" s="5" t="s">
        <v>3981</v>
      </c>
    </row>
    <row r="2443" ht="12.75" customHeight="1">
      <c r="A2443" s="5" t="s">
        <v>3994</v>
      </c>
    </row>
    <row r="2444" ht="12.75" customHeight="1">
      <c r="A2444" s="5" t="s">
        <v>3429</v>
      </c>
    </row>
    <row r="2445" ht="12.75" customHeight="1">
      <c r="A2445" s="5" t="s">
        <v>3430</v>
      </c>
    </row>
    <row r="2446" ht="12.75" customHeight="1">
      <c r="A2446" s="5" t="s">
        <v>3025</v>
      </c>
    </row>
    <row r="2447" ht="12.75" customHeight="1">
      <c r="A2447" s="5" t="s">
        <v>3450</v>
      </c>
    </row>
    <row r="2448" ht="12.75" customHeight="1">
      <c r="A2448" s="5" t="s">
        <v>3978</v>
      </c>
    </row>
    <row r="2449" ht="12.75" customHeight="1">
      <c r="A2449" s="5" t="s">
        <v>1159</v>
      </c>
    </row>
    <row r="2450" ht="12.75" customHeight="1">
      <c r="A2450" s="5" t="s">
        <v>602</v>
      </c>
    </row>
    <row r="2451" ht="12.75" customHeight="1">
      <c r="A2451" s="5" t="s">
        <v>3979</v>
      </c>
    </row>
    <row r="2452" ht="12.75" customHeight="1">
      <c r="A2452" s="5" t="s">
        <v>3027</v>
      </c>
    </row>
    <row r="2453" ht="12.75" customHeight="1">
      <c r="A2453" s="5" t="s">
        <v>3028</v>
      </c>
    </row>
    <row r="2454" ht="12.75" customHeight="1">
      <c r="A2454" s="5" t="s">
        <v>3029</v>
      </c>
    </row>
    <row r="2455" ht="12.75" customHeight="1">
      <c r="A2455" s="5" t="s">
        <v>3980</v>
      </c>
    </row>
    <row r="2456" ht="12.75" customHeight="1">
      <c r="A2456" s="5" t="s">
        <v>3030</v>
      </c>
    </row>
    <row r="2457" ht="12.75" customHeight="1">
      <c r="A2457" s="5" t="s">
        <v>3528</v>
      </c>
    </row>
    <row r="2458" ht="12.75" customHeight="1">
      <c r="A2458" s="5" t="s">
        <v>3032</v>
      </c>
    </row>
    <row r="2459" ht="12.75" customHeight="1">
      <c r="A2459" s="5" t="s">
        <v>3033</v>
      </c>
    </row>
    <row r="2460" ht="12.75" customHeight="1">
      <c r="A2460" s="5" t="s">
        <v>3034</v>
      </c>
    </row>
    <row r="2461" ht="12.75" customHeight="1">
      <c r="A2461" s="5" t="s">
        <v>2539</v>
      </c>
    </row>
    <row r="2462" ht="12.75" customHeight="1">
      <c r="A2462" s="5" t="s">
        <v>2144</v>
      </c>
    </row>
    <row r="2463" ht="12.75" customHeight="1">
      <c r="A2463" s="5">
        <v>0.2</v>
      </c>
    </row>
    <row r="2464" ht="12.75" customHeight="1">
      <c r="A2464" s="5" t="s">
        <v>1164</v>
      </c>
    </row>
    <row r="2465" ht="12.75" customHeight="1">
      <c r="A2465" s="5" t="s">
        <v>3531</v>
      </c>
    </row>
    <row r="2466" ht="12.75" customHeight="1">
      <c r="A2466" s="5">
        <v>0.1</v>
      </c>
    </row>
    <row r="2467" ht="12.75" customHeight="1">
      <c r="A2467" s="5" t="s">
        <v>3532</v>
      </c>
    </row>
    <row r="2468" ht="12.75" customHeight="1">
      <c r="A2468" s="5" t="s">
        <v>3533</v>
      </c>
    </row>
    <row r="2469" ht="12.75" customHeight="1">
      <c r="A2469" s="5" t="s">
        <v>3534</v>
      </c>
    </row>
    <row r="2470" ht="12.75" customHeight="1">
      <c r="A2470" s="5" t="s">
        <v>3535</v>
      </c>
    </row>
    <row r="2471" ht="12.75" customHeight="1">
      <c r="A2471" s="5">
        <v>0.05</v>
      </c>
    </row>
    <row r="2472" ht="12.75" customHeight="1">
      <c r="A2472" s="5" t="s">
        <v>3536</v>
      </c>
    </row>
    <row r="2473" ht="12.75" customHeight="1">
      <c r="A2473" s="5" t="s">
        <v>3537</v>
      </c>
    </row>
    <row r="2474" ht="12.75" customHeight="1">
      <c r="A2474" s="5">
        <v>0.04</v>
      </c>
    </row>
    <row r="2475" ht="12.75" customHeight="1">
      <c r="A2475" s="5" t="s">
        <v>3538</v>
      </c>
    </row>
    <row r="2476" ht="12.75" customHeight="1">
      <c r="A2476" s="5" t="s">
        <v>3539</v>
      </c>
    </row>
    <row r="2477" ht="12.75" customHeight="1">
      <c r="A2477" s="5">
        <v>0.01</v>
      </c>
    </row>
    <row r="2478" ht="12.75" customHeight="1">
      <c r="A2478" s="5" t="s">
        <v>3540</v>
      </c>
    </row>
    <row r="2479" ht="12.75" customHeight="1">
      <c r="A2479" s="5" t="s">
        <v>3541</v>
      </c>
    </row>
    <row r="2480" ht="12.75" customHeight="1">
      <c r="A2480" s="5" t="s">
        <v>3981</v>
      </c>
    </row>
    <row r="2481" ht="12.75" customHeight="1">
      <c r="A2481" s="5" t="s">
        <v>3994</v>
      </c>
    </row>
    <row r="2482" ht="12.75" customHeight="1">
      <c r="A2482" s="5" t="s">
        <v>3429</v>
      </c>
    </row>
    <row r="2483" ht="12.75" customHeight="1">
      <c r="A2483" s="5" t="s">
        <v>3430</v>
      </c>
    </row>
    <row r="2484" ht="12.75" customHeight="1">
      <c r="A2484" s="5" t="s">
        <v>3025</v>
      </c>
    </row>
    <row r="2485" ht="12.75" customHeight="1">
      <c r="A2485" s="5" t="s">
        <v>3450</v>
      </c>
    </row>
    <row r="2486" ht="12.75" customHeight="1">
      <c r="A2486" s="5" t="s">
        <v>3978</v>
      </c>
    </row>
    <row r="2487" ht="12.75" customHeight="1">
      <c r="A2487" s="5" t="s">
        <v>1159</v>
      </c>
    </row>
    <row r="2488" ht="12.75" customHeight="1">
      <c r="A2488" s="5" t="s">
        <v>602</v>
      </c>
    </row>
    <row r="2489" ht="12.75" customHeight="1">
      <c r="A2489" s="5" t="s">
        <v>3979</v>
      </c>
    </row>
    <row r="2490" ht="12.75" customHeight="1">
      <c r="A2490" s="5" t="s">
        <v>3027</v>
      </c>
    </row>
    <row r="2491" ht="12.75" customHeight="1">
      <c r="A2491" s="5" t="s">
        <v>3028</v>
      </c>
    </row>
    <row r="2492" ht="12.75" customHeight="1">
      <c r="A2492" s="5" t="s">
        <v>3029</v>
      </c>
    </row>
    <row r="2493" ht="12.75" customHeight="1">
      <c r="A2493" s="5" t="s">
        <v>3980</v>
      </c>
    </row>
    <row r="2494" ht="12.75" customHeight="1">
      <c r="A2494" s="5" t="s">
        <v>3030</v>
      </c>
    </row>
    <row r="2495" ht="12.75" customHeight="1">
      <c r="A2495" s="5" t="s">
        <v>3528</v>
      </c>
    </row>
    <row r="2496" ht="12.75" customHeight="1">
      <c r="A2496" s="5" t="s">
        <v>3032</v>
      </c>
    </row>
    <row r="2497" ht="12.75" customHeight="1">
      <c r="A2497" s="5" t="s">
        <v>3033</v>
      </c>
    </row>
    <row r="2498" ht="12.75" customHeight="1">
      <c r="A2498" s="5" t="s">
        <v>3034</v>
      </c>
    </row>
    <row r="2499" ht="12.75" customHeight="1">
      <c r="A2499" s="5" t="s">
        <v>2539</v>
      </c>
    </row>
    <row r="2500" ht="12.75" customHeight="1">
      <c r="A2500" s="5" t="s">
        <v>2146</v>
      </c>
    </row>
    <row r="2501" ht="12.75" customHeight="1">
      <c r="A2501" s="5">
        <v>0.2</v>
      </c>
    </row>
    <row r="2502" ht="12.75" customHeight="1">
      <c r="A2502" s="5" t="s">
        <v>1164</v>
      </c>
    </row>
    <row r="2503" ht="12.75" customHeight="1">
      <c r="A2503" s="5" t="s">
        <v>3531</v>
      </c>
    </row>
    <row r="2504" ht="12.75" customHeight="1">
      <c r="A2504" s="5">
        <v>0.1</v>
      </c>
    </row>
    <row r="2505" ht="12.75" customHeight="1">
      <c r="A2505" s="5" t="s">
        <v>3532</v>
      </c>
    </row>
    <row r="2506" ht="12.75" customHeight="1">
      <c r="A2506" s="5" t="s">
        <v>3533</v>
      </c>
    </row>
    <row r="2507" ht="12.75" customHeight="1">
      <c r="A2507" s="5" t="s">
        <v>3534</v>
      </c>
    </row>
    <row r="2508" ht="12.75" customHeight="1">
      <c r="A2508" s="5" t="s">
        <v>3535</v>
      </c>
    </row>
    <row r="2509" ht="12.75" customHeight="1">
      <c r="A2509" s="5">
        <v>0.05</v>
      </c>
    </row>
    <row r="2510" ht="12.75" customHeight="1">
      <c r="A2510" s="5" t="s">
        <v>3536</v>
      </c>
    </row>
    <row r="2511" ht="12.75" customHeight="1">
      <c r="A2511" s="5" t="s">
        <v>3537</v>
      </c>
    </row>
    <row r="2512" ht="12.75" customHeight="1">
      <c r="A2512" s="5">
        <v>0.04</v>
      </c>
    </row>
    <row r="2513" ht="12.75" customHeight="1">
      <c r="A2513" s="5" t="s">
        <v>3538</v>
      </c>
    </row>
    <row r="2514" ht="12.75" customHeight="1">
      <c r="A2514" s="5" t="s">
        <v>3539</v>
      </c>
    </row>
    <row r="2515" ht="12.75" customHeight="1">
      <c r="A2515" s="5">
        <v>0.01</v>
      </c>
    </row>
    <row r="2516" ht="12.75" customHeight="1">
      <c r="A2516" s="5" t="s">
        <v>3540</v>
      </c>
    </row>
    <row r="2517" ht="12.75" customHeight="1">
      <c r="A2517" s="5" t="s">
        <v>3541</v>
      </c>
    </row>
    <row r="2518" ht="12.75" customHeight="1">
      <c r="A2518" s="5" t="s">
        <v>3981</v>
      </c>
    </row>
    <row r="2519" ht="12.75" customHeight="1">
      <c r="A2519" s="5" t="s">
        <v>3994</v>
      </c>
    </row>
    <row r="2520" ht="12.75" customHeight="1">
      <c r="A2520" s="5" t="s">
        <v>3429</v>
      </c>
    </row>
    <row r="2521" ht="12.75" customHeight="1">
      <c r="A2521" s="5" t="s">
        <v>3430</v>
      </c>
    </row>
    <row r="2522" ht="12.75" customHeight="1">
      <c r="A2522" s="5" t="s">
        <v>3025</v>
      </c>
    </row>
    <row r="2523" ht="12.75" customHeight="1">
      <c r="A2523" s="5" t="s">
        <v>3450</v>
      </c>
    </row>
    <row r="2524" ht="12.75" customHeight="1">
      <c r="A2524" s="5" t="s">
        <v>3978</v>
      </c>
    </row>
    <row r="2525" ht="12.75" customHeight="1">
      <c r="A2525" s="5" t="s">
        <v>1159</v>
      </c>
    </row>
    <row r="2526" ht="12.75" customHeight="1">
      <c r="A2526" s="5" t="s">
        <v>602</v>
      </c>
    </row>
    <row r="2527" ht="12.75" customHeight="1">
      <c r="A2527" s="5" t="s">
        <v>3979</v>
      </c>
    </row>
    <row r="2528" ht="12.75" customHeight="1">
      <c r="A2528" s="5" t="s">
        <v>3027</v>
      </c>
    </row>
    <row r="2529" ht="12.75" customHeight="1">
      <c r="A2529" s="5" t="s">
        <v>3028</v>
      </c>
    </row>
    <row r="2530" ht="12.75" customHeight="1">
      <c r="A2530" s="5" t="s">
        <v>3029</v>
      </c>
    </row>
    <row r="2531" ht="12.75" customHeight="1">
      <c r="A2531" s="5" t="s">
        <v>3980</v>
      </c>
    </row>
    <row r="2532" ht="12.75" customHeight="1">
      <c r="A2532" s="5" t="s">
        <v>3030</v>
      </c>
    </row>
    <row r="2533" ht="12.75" customHeight="1">
      <c r="A2533" s="5" t="s">
        <v>3528</v>
      </c>
    </row>
    <row r="2534" ht="12.75" customHeight="1">
      <c r="A2534" s="5" t="s">
        <v>3032</v>
      </c>
    </row>
    <row r="2535" ht="12.75" customHeight="1">
      <c r="A2535" s="5" t="s">
        <v>3033</v>
      </c>
    </row>
    <row r="2536" ht="12.75" customHeight="1">
      <c r="A2536" s="5" t="s">
        <v>3034</v>
      </c>
    </row>
    <row r="2537" ht="12.75" customHeight="1">
      <c r="A2537" s="5" t="s">
        <v>2539</v>
      </c>
    </row>
    <row r="2538" ht="12.75" customHeight="1">
      <c r="A2538" s="5" t="s">
        <v>2148</v>
      </c>
    </row>
    <row r="2539" ht="12.75" customHeight="1">
      <c r="A2539" s="5">
        <v>0.2</v>
      </c>
    </row>
    <row r="2540" ht="12.75" customHeight="1">
      <c r="A2540" s="5" t="s">
        <v>1178</v>
      </c>
    </row>
    <row r="2541" ht="12.75" customHeight="1">
      <c r="A2541" s="5" t="s">
        <v>3544</v>
      </c>
    </row>
    <row r="2542" ht="12.75" customHeight="1">
      <c r="A2542" s="5">
        <v>0.1</v>
      </c>
    </row>
    <row r="2543" ht="12.75" customHeight="1">
      <c r="A2543" s="5" t="s">
        <v>3545</v>
      </c>
    </row>
    <row r="2544" ht="12.75" customHeight="1">
      <c r="A2544" s="5" t="s">
        <v>3546</v>
      </c>
    </row>
    <row r="2545" ht="12.75" customHeight="1">
      <c r="A2545" s="5" t="s">
        <v>3547</v>
      </c>
    </row>
    <row r="2546" ht="12.75" customHeight="1">
      <c r="A2546" s="5" t="s">
        <v>3548</v>
      </c>
    </row>
    <row r="2547" ht="12.75" customHeight="1">
      <c r="A2547" s="5">
        <v>0.05</v>
      </c>
    </row>
    <row r="2548" ht="12.75" customHeight="1">
      <c r="A2548" s="5" t="s">
        <v>3549</v>
      </c>
    </row>
    <row r="2549" ht="12.75" customHeight="1">
      <c r="A2549" s="5" t="s">
        <v>3550</v>
      </c>
    </row>
    <row r="2550" ht="12.75" customHeight="1">
      <c r="A2550" s="5">
        <v>0.04</v>
      </c>
    </row>
    <row r="2551" ht="12.75" customHeight="1">
      <c r="A2551" s="5" t="s">
        <v>3551</v>
      </c>
    </row>
    <row r="2552" ht="12.75" customHeight="1">
      <c r="A2552" s="5" t="s">
        <v>3552</v>
      </c>
    </row>
    <row r="2553" ht="12.75" customHeight="1">
      <c r="A2553" s="5">
        <v>0.01</v>
      </c>
    </row>
    <row r="2554" ht="12.75" customHeight="1">
      <c r="A2554" s="5" t="s">
        <v>3553</v>
      </c>
    </row>
    <row r="2555" ht="12.75" customHeight="1">
      <c r="A2555" s="5" t="s">
        <v>3554</v>
      </c>
    </row>
    <row r="2556" ht="12.75" customHeight="1">
      <c r="A2556" s="5" t="s">
        <v>3981</v>
      </c>
    </row>
    <row r="2557" ht="12.75" customHeight="1">
      <c r="A2557" s="5" t="s">
        <v>3351</v>
      </c>
    </row>
    <row r="2558" ht="12.75" customHeight="1">
      <c r="A2558" s="5" t="s">
        <v>3556</v>
      </c>
    </row>
    <row r="2559" ht="12.75" customHeight="1">
      <c r="A2559" s="5" t="s">
        <v>3557</v>
      </c>
    </row>
    <row r="2560" ht="12.75" customHeight="1">
      <c r="A2560" s="5" t="s">
        <v>3558</v>
      </c>
    </row>
    <row r="2561" ht="12.75" customHeight="1">
      <c r="A2561" s="5" t="s">
        <v>3559</v>
      </c>
    </row>
    <row r="2562" ht="12.75" customHeight="1">
      <c r="A2562" s="5" t="s">
        <v>3978</v>
      </c>
    </row>
    <row r="2563" ht="12.75" customHeight="1">
      <c r="A2563" s="5" t="s">
        <v>500</v>
      </c>
    </row>
    <row r="2564" ht="12.75" customHeight="1">
      <c r="A2564" s="5" t="s">
        <v>2927</v>
      </c>
    </row>
    <row r="2565" ht="12.75" customHeight="1">
      <c r="A2565" s="5" t="s">
        <v>3979</v>
      </c>
    </row>
    <row r="2566" ht="12.75" customHeight="1">
      <c r="A2566" s="5" t="s">
        <v>3560</v>
      </c>
    </row>
    <row r="2567" ht="12.75" customHeight="1">
      <c r="A2567" s="5" t="s">
        <v>3561</v>
      </c>
    </row>
    <row r="2568" ht="12.75" customHeight="1">
      <c r="A2568" s="5" t="s">
        <v>3562</v>
      </c>
    </row>
    <row r="2569" ht="12.75" customHeight="1">
      <c r="A2569" s="5" t="s">
        <v>3980</v>
      </c>
    </row>
    <row r="2570" ht="12.75" customHeight="1">
      <c r="A2570" s="5" t="s">
        <v>3563</v>
      </c>
    </row>
    <row r="2571" ht="12.75" customHeight="1">
      <c r="A2571" s="5" t="s">
        <v>3357</v>
      </c>
    </row>
    <row r="2572" ht="12.75" customHeight="1">
      <c r="A2572" s="5" t="s">
        <v>3564</v>
      </c>
    </row>
    <row r="2573" ht="12.75" customHeight="1">
      <c r="A2573" s="5" t="s">
        <v>3379</v>
      </c>
    </row>
    <row r="2574" ht="12.75" customHeight="1">
      <c r="A2574" s="5" t="s">
        <v>3380</v>
      </c>
    </row>
    <row r="2575" ht="12.75" customHeight="1">
      <c r="A2575" s="5" t="s">
        <v>2539</v>
      </c>
    </row>
    <row r="2576" ht="12.75" customHeight="1">
      <c r="A2576" s="5" t="s">
        <v>2150</v>
      </c>
    </row>
    <row r="2577" ht="12.75" customHeight="1">
      <c r="A2577" s="5">
        <v>0.2</v>
      </c>
    </row>
    <row r="2578" ht="12.75" customHeight="1">
      <c r="A2578" s="5" t="s">
        <v>1200</v>
      </c>
    </row>
    <row r="2579" ht="12.75" customHeight="1">
      <c r="A2579" s="5" t="s">
        <v>3566</v>
      </c>
    </row>
    <row r="2580" ht="12.75" customHeight="1">
      <c r="A2580" s="5">
        <v>0.1</v>
      </c>
    </row>
    <row r="2581" ht="12.75" customHeight="1">
      <c r="A2581" s="5" t="s">
        <v>3567</v>
      </c>
    </row>
    <row r="2582" ht="12.75" customHeight="1">
      <c r="A2582" s="5" t="s">
        <v>3568</v>
      </c>
    </row>
    <row r="2583" ht="12.75" customHeight="1">
      <c r="A2583" s="5" t="s">
        <v>2873</v>
      </c>
    </row>
    <row r="2584" ht="12.75" customHeight="1">
      <c r="A2584" s="5" t="s">
        <v>3569</v>
      </c>
    </row>
    <row r="2585" ht="12.75" customHeight="1">
      <c r="A2585" s="5">
        <v>0.05</v>
      </c>
    </row>
    <row r="2586" ht="12.75" customHeight="1">
      <c r="A2586" s="5" t="s">
        <v>3570</v>
      </c>
    </row>
    <row r="2587" ht="12.75" customHeight="1">
      <c r="A2587" s="5" t="s">
        <v>3571</v>
      </c>
    </row>
    <row r="2588" ht="12.75" customHeight="1">
      <c r="A2588" s="5">
        <v>0.04</v>
      </c>
    </row>
    <row r="2589" ht="12.75" customHeight="1">
      <c r="A2589" s="5" t="s">
        <v>3572</v>
      </c>
    </row>
    <row r="2590" ht="12.75" customHeight="1">
      <c r="A2590" s="5" t="s">
        <v>3573</v>
      </c>
    </row>
    <row r="2591" ht="12.75" customHeight="1">
      <c r="A2591" s="5">
        <v>0.01</v>
      </c>
    </row>
    <row r="2592" ht="12.75" customHeight="1">
      <c r="A2592" s="5" t="s">
        <v>3574</v>
      </c>
    </row>
    <row r="2593" ht="12.75" customHeight="1">
      <c r="A2593" s="5" t="s">
        <v>3575</v>
      </c>
    </row>
    <row r="2594" ht="12.75" customHeight="1">
      <c r="A2594" s="5" t="s">
        <v>3981</v>
      </c>
    </row>
    <row r="2595" ht="12.75" customHeight="1">
      <c r="A2595" s="5" t="s">
        <v>3995</v>
      </c>
    </row>
    <row r="2596" ht="12.75" customHeight="1">
      <c r="A2596" s="5" t="s">
        <v>3577</v>
      </c>
    </row>
    <row r="2597" ht="12.75" customHeight="1">
      <c r="A2597" s="5" t="s">
        <v>3578</v>
      </c>
    </row>
    <row r="2598" ht="12.75" customHeight="1">
      <c r="A2598" s="5" t="s">
        <v>2971</v>
      </c>
    </row>
    <row r="2599" ht="12.75" customHeight="1">
      <c r="A2599" s="5" t="s">
        <v>3579</v>
      </c>
    </row>
    <row r="2600" ht="12.75" customHeight="1">
      <c r="A2600" s="5" t="s">
        <v>3978</v>
      </c>
    </row>
    <row r="2601" ht="12.75" customHeight="1">
      <c r="A2601" s="5" t="s">
        <v>1214</v>
      </c>
    </row>
    <row r="2602" ht="12.75" customHeight="1">
      <c r="A2602" s="5" t="s">
        <v>3580</v>
      </c>
    </row>
    <row r="2603" ht="12.75" customHeight="1">
      <c r="A2603" s="5" t="s">
        <v>3979</v>
      </c>
    </row>
    <row r="2604" ht="12.75" customHeight="1">
      <c r="A2604" s="5" t="s">
        <v>3581</v>
      </c>
    </row>
    <row r="2605" ht="12.75" customHeight="1">
      <c r="A2605" s="5" t="s">
        <v>3582</v>
      </c>
    </row>
    <row r="2606" ht="12.75" customHeight="1">
      <c r="A2606" s="5" t="s">
        <v>3583</v>
      </c>
    </row>
    <row r="2607" ht="12.75" customHeight="1">
      <c r="A2607" s="5" t="s">
        <v>3980</v>
      </c>
    </row>
    <row r="2608" ht="12.75" customHeight="1">
      <c r="A2608" s="5" t="s">
        <v>3584</v>
      </c>
    </row>
    <row r="2609" ht="12.75" customHeight="1">
      <c r="A2609" s="5" t="s">
        <v>2970</v>
      </c>
    </row>
    <row r="2610" ht="12.75" customHeight="1">
      <c r="A2610" s="5" t="s">
        <v>3585</v>
      </c>
    </row>
    <row r="2611" ht="12.75" customHeight="1">
      <c r="A2611" s="5" t="s">
        <v>3586</v>
      </c>
    </row>
    <row r="2612" ht="12.75" customHeight="1">
      <c r="A2612" s="5" t="s">
        <v>3587</v>
      </c>
    </row>
    <row r="2613" ht="12.75" customHeight="1">
      <c r="A2613" s="5" t="s">
        <v>2539</v>
      </c>
    </row>
    <row r="2614" ht="12.75" customHeight="1">
      <c r="A2614" s="5" t="s">
        <v>2152</v>
      </c>
    </row>
    <row r="2615" ht="12.75" customHeight="1">
      <c r="A2615" s="5">
        <v>0.2</v>
      </c>
    </row>
    <row r="2616" ht="12.75" customHeight="1">
      <c r="A2616" s="5" t="s">
        <v>1224</v>
      </c>
    </row>
    <row r="2617" ht="12.75" customHeight="1">
      <c r="A2617" s="5" t="s">
        <v>3589</v>
      </c>
    </row>
    <row r="2618" ht="12.75" customHeight="1">
      <c r="A2618" s="5">
        <v>0.1</v>
      </c>
    </row>
    <row r="2619" ht="12.75" customHeight="1">
      <c r="A2619" s="5" t="s">
        <v>3590</v>
      </c>
    </row>
    <row r="2620" ht="12.75" customHeight="1">
      <c r="A2620" s="5" t="s">
        <v>3591</v>
      </c>
    </row>
    <row r="2621" ht="12.75" customHeight="1">
      <c r="A2621" s="5" t="s">
        <v>3592</v>
      </c>
    </row>
    <row r="2622" ht="12.75" customHeight="1">
      <c r="A2622" s="5" t="s">
        <v>3593</v>
      </c>
    </row>
    <row r="2623" ht="12.75" customHeight="1">
      <c r="A2623" s="5">
        <v>0.05</v>
      </c>
    </row>
    <row r="2624" ht="12.75" customHeight="1">
      <c r="A2624" s="5" t="s">
        <v>3594</v>
      </c>
    </row>
    <row r="2625" ht="12.75" customHeight="1">
      <c r="A2625" s="5" t="s">
        <v>3595</v>
      </c>
    </row>
    <row r="2626" ht="12.75" customHeight="1">
      <c r="A2626" s="5">
        <v>0.04</v>
      </c>
    </row>
    <row r="2627" ht="12.75" customHeight="1">
      <c r="A2627" s="5" t="s">
        <v>3596</v>
      </c>
    </row>
    <row r="2628" ht="12.75" customHeight="1">
      <c r="A2628" s="5" t="s">
        <v>3597</v>
      </c>
    </row>
    <row r="2629" ht="12.75" customHeight="1">
      <c r="A2629" s="5">
        <v>0.01</v>
      </c>
    </row>
    <row r="2630" ht="12.75" customHeight="1">
      <c r="A2630" s="5" t="s">
        <v>3598</v>
      </c>
    </row>
    <row r="2631" ht="12.75" customHeight="1">
      <c r="A2631" s="5" t="s">
        <v>3598</v>
      </c>
    </row>
    <row r="2632" ht="12.75" customHeight="1">
      <c r="A2632" s="5" t="s">
        <v>3981</v>
      </c>
    </row>
    <row r="2633" ht="12.75" customHeight="1">
      <c r="A2633" s="5" t="s">
        <v>3996</v>
      </c>
    </row>
    <row r="2634" ht="12.75" customHeight="1">
      <c r="A2634" s="5" t="s">
        <v>3600</v>
      </c>
    </row>
    <row r="2635" ht="12.75" customHeight="1">
      <c r="A2635" s="5" t="s">
        <v>3601</v>
      </c>
    </row>
    <row r="2636" ht="12.75" customHeight="1">
      <c r="A2636" s="5" t="s">
        <v>3533</v>
      </c>
    </row>
    <row r="2637" ht="12.75" customHeight="1">
      <c r="A2637" s="5" t="s">
        <v>3602</v>
      </c>
    </row>
    <row r="2638" ht="12.75" customHeight="1">
      <c r="A2638" s="5" t="s">
        <v>3978</v>
      </c>
    </row>
    <row r="2639" ht="12.75" customHeight="1">
      <c r="A2639" s="5" t="s">
        <v>500</v>
      </c>
    </row>
    <row r="2640" ht="12.75" customHeight="1">
      <c r="A2640" s="5" t="s">
        <v>3353</v>
      </c>
    </row>
    <row r="2641" ht="12.75" customHeight="1">
      <c r="A2641" s="5" t="s">
        <v>3979</v>
      </c>
    </row>
    <row r="2642" ht="12.75" customHeight="1">
      <c r="A2642" s="5" t="s">
        <v>3354</v>
      </c>
    </row>
    <row r="2643" ht="12.75" customHeight="1">
      <c r="A2643" s="5" t="s">
        <v>3028</v>
      </c>
    </row>
    <row r="2644" ht="12.75" customHeight="1">
      <c r="A2644" s="5" t="s">
        <v>3355</v>
      </c>
    </row>
    <row r="2645" ht="12.75" customHeight="1">
      <c r="A2645" s="5" t="s">
        <v>3980</v>
      </c>
    </row>
    <row r="2646" ht="12.75" customHeight="1">
      <c r="A2646" s="5" t="s">
        <v>3356</v>
      </c>
    </row>
    <row r="2647" ht="12.75" customHeight="1">
      <c r="A2647" s="5" t="s">
        <v>3357</v>
      </c>
    </row>
    <row r="2648" ht="12.75" customHeight="1">
      <c r="A2648" s="5" t="s">
        <v>3358</v>
      </c>
    </row>
    <row r="2649" ht="12.75" customHeight="1">
      <c r="A2649" s="5" t="s">
        <v>3359</v>
      </c>
    </row>
    <row r="2650" ht="12.75" customHeight="1">
      <c r="A2650" s="5" t="s">
        <v>3360</v>
      </c>
    </row>
    <row r="2651" ht="12.75" customHeight="1">
      <c r="A2651" s="5" t="s">
        <v>2539</v>
      </c>
    </row>
    <row r="2652" ht="12.75" customHeight="1">
      <c r="A2652" s="5" t="s">
        <v>2154</v>
      </c>
    </row>
    <row r="2653" ht="12.75" customHeight="1">
      <c r="A2653" s="5">
        <v>0.2</v>
      </c>
    </row>
    <row r="2654" ht="12.75" customHeight="1">
      <c r="A2654" s="5" t="s">
        <v>1240</v>
      </c>
    </row>
    <row r="2655" ht="12.75" customHeight="1">
      <c r="A2655" s="5" t="s">
        <v>3604</v>
      </c>
    </row>
    <row r="2656" ht="12.75" customHeight="1">
      <c r="A2656" s="5">
        <v>0.1</v>
      </c>
    </row>
    <row r="2657" ht="12.75" customHeight="1">
      <c r="A2657" s="5" t="s">
        <v>3605</v>
      </c>
    </row>
    <row r="2658" ht="12.75" customHeight="1">
      <c r="A2658" s="5" t="s">
        <v>3362</v>
      </c>
    </row>
    <row r="2659" ht="12.75" customHeight="1">
      <c r="A2659" s="5" t="s">
        <v>3606</v>
      </c>
    </row>
    <row r="2660" ht="12.75" customHeight="1">
      <c r="A2660" s="5" t="s">
        <v>3607</v>
      </c>
    </row>
    <row r="2661" ht="12.75" customHeight="1">
      <c r="A2661" s="5">
        <v>0.05</v>
      </c>
    </row>
    <row r="2662" ht="12.75" customHeight="1">
      <c r="A2662" s="5" t="s">
        <v>3594</v>
      </c>
    </row>
    <row r="2663" ht="12.75" customHeight="1">
      <c r="A2663" s="5" t="s">
        <v>3595</v>
      </c>
    </row>
    <row r="2664" ht="12.75" customHeight="1">
      <c r="A2664" s="5">
        <v>0.04</v>
      </c>
    </row>
    <row r="2665" ht="12.75" customHeight="1">
      <c r="A2665" s="5" t="s">
        <v>3596</v>
      </c>
    </row>
    <row r="2666" ht="12.75" customHeight="1">
      <c r="A2666" s="5" t="s">
        <v>3597</v>
      </c>
    </row>
    <row r="2667" ht="12.75" customHeight="1">
      <c r="A2667" s="5">
        <v>0.01</v>
      </c>
    </row>
    <row r="2668" ht="12.75" customHeight="1">
      <c r="A2668" s="5" t="s">
        <v>3608</v>
      </c>
    </row>
    <row r="2669" ht="12.75" customHeight="1">
      <c r="A2669" s="5" t="s">
        <v>3608</v>
      </c>
    </row>
    <row r="2670" ht="12.75" customHeight="1">
      <c r="A2670" s="5" t="s">
        <v>3981</v>
      </c>
    </row>
    <row r="2671" ht="12.75" customHeight="1">
      <c r="A2671" s="5" t="s">
        <v>3996</v>
      </c>
    </row>
    <row r="2672" ht="12.75" customHeight="1">
      <c r="A2672" s="5" t="s">
        <v>3600</v>
      </c>
    </row>
    <row r="2673" ht="12.75" customHeight="1">
      <c r="A2673" s="5" t="s">
        <v>3601</v>
      </c>
    </row>
    <row r="2674" ht="12.75" customHeight="1">
      <c r="A2674" s="5" t="s">
        <v>3533</v>
      </c>
    </row>
    <row r="2675" ht="12.75" customHeight="1">
      <c r="A2675" s="5" t="s">
        <v>3602</v>
      </c>
    </row>
    <row r="2676" ht="12.75" customHeight="1">
      <c r="A2676" s="5" t="s">
        <v>3978</v>
      </c>
    </row>
    <row r="2677" ht="12.75" customHeight="1">
      <c r="A2677" s="5" t="s">
        <v>500</v>
      </c>
    </row>
    <row r="2678" ht="12.75" customHeight="1">
      <c r="A2678" s="5" t="s">
        <v>3353</v>
      </c>
    </row>
    <row r="2679" ht="12.75" customHeight="1">
      <c r="A2679" s="5" t="s">
        <v>3979</v>
      </c>
    </row>
    <row r="2680" ht="12.75" customHeight="1">
      <c r="A2680" s="5" t="s">
        <v>3354</v>
      </c>
    </row>
    <row r="2681" ht="12.75" customHeight="1">
      <c r="A2681" s="5" t="s">
        <v>3028</v>
      </c>
    </row>
    <row r="2682" ht="12.75" customHeight="1">
      <c r="A2682" s="5" t="s">
        <v>3355</v>
      </c>
    </row>
    <row r="2683" ht="12.75" customHeight="1">
      <c r="A2683" s="5" t="s">
        <v>3980</v>
      </c>
    </row>
    <row r="2684" ht="12.75" customHeight="1">
      <c r="A2684" s="5" t="s">
        <v>3356</v>
      </c>
    </row>
    <row r="2685" ht="12.75" customHeight="1">
      <c r="A2685" s="5" t="s">
        <v>3357</v>
      </c>
    </row>
    <row r="2686" ht="12.75" customHeight="1">
      <c r="A2686" s="5" t="s">
        <v>3358</v>
      </c>
    </row>
    <row r="2687" ht="12.75" customHeight="1">
      <c r="A2687" s="5" t="s">
        <v>3359</v>
      </c>
    </row>
    <row r="2688" ht="12.75" customHeight="1">
      <c r="A2688" s="5" t="s">
        <v>3360</v>
      </c>
    </row>
    <row r="2689" ht="12.75" customHeight="1">
      <c r="A2689" s="5" t="s">
        <v>2539</v>
      </c>
    </row>
    <row r="2690" ht="12.75" customHeight="1">
      <c r="A2690" s="5" t="s">
        <v>2066</v>
      </c>
    </row>
    <row r="2691" ht="12.75" customHeight="1">
      <c r="A2691" s="5" t="s">
        <v>3976</v>
      </c>
    </row>
    <row r="2692" ht="12.75" customHeight="1">
      <c r="A2692" s="5" t="s">
        <v>3994</v>
      </c>
    </row>
    <row r="2693" ht="12.75" customHeight="1">
      <c r="A2693" s="5" t="s">
        <v>3429</v>
      </c>
    </row>
    <row r="2694" ht="12.75" customHeight="1">
      <c r="A2694" s="5" t="s">
        <v>3025</v>
      </c>
    </row>
    <row r="2695" ht="12.75" customHeight="1">
      <c r="A2695" s="5" t="s">
        <v>3430</v>
      </c>
    </row>
    <row r="2696" ht="12.75" customHeight="1">
      <c r="A2696" s="5" t="s">
        <v>3450</v>
      </c>
    </row>
    <row r="2697" ht="12.75" customHeight="1">
      <c r="A2697" s="5" t="s">
        <v>3978</v>
      </c>
    </row>
    <row r="2698" ht="12.75" customHeight="1">
      <c r="A2698" s="5" t="s">
        <v>500</v>
      </c>
    </row>
    <row r="2699" ht="12.75" customHeight="1">
      <c r="A2699" s="5" t="s">
        <v>3353</v>
      </c>
    </row>
    <row r="2700" ht="12.75" customHeight="1">
      <c r="A2700" s="5" t="s">
        <v>3979</v>
      </c>
    </row>
    <row r="2701" ht="12.75" customHeight="1">
      <c r="A2701" s="5" t="s">
        <v>3431</v>
      </c>
    </row>
    <row r="2702" ht="12.75" customHeight="1">
      <c r="A2702" s="5" t="s">
        <v>3028</v>
      </c>
    </row>
    <row r="2703" ht="12.75" customHeight="1">
      <c r="A2703" s="5" t="s">
        <v>3452</v>
      </c>
    </row>
    <row r="2704" ht="12.75" customHeight="1">
      <c r="A2704" s="5" t="s">
        <v>3980</v>
      </c>
    </row>
    <row r="2705" ht="12.75" customHeight="1">
      <c r="A2705" s="5" t="s">
        <v>3433</v>
      </c>
    </row>
    <row r="2706" ht="12.75" customHeight="1">
      <c r="A2706" s="5" t="s">
        <v>3357</v>
      </c>
    </row>
    <row r="2707" ht="12.75" customHeight="1">
      <c r="A2707" s="5" t="s">
        <v>3453</v>
      </c>
    </row>
    <row r="2708" ht="12.75" customHeight="1">
      <c r="A2708" s="5" t="s">
        <v>3359</v>
      </c>
    </row>
    <row r="2709" ht="12.75" customHeight="1">
      <c r="A2709" s="5" t="s">
        <v>3611</v>
      </c>
    </row>
    <row r="2710" ht="12.75" customHeight="1">
      <c r="A2710" s="5" t="s">
        <v>2539</v>
      </c>
    </row>
    <row r="2711" ht="12.75" customHeight="1">
      <c r="A2711" s="5" t="s">
        <v>2068</v>
      </c>
    </row>
    <row r="2712" ht="12.75" customHeight="1">
      <c r="A2712" s="5" t="s">
        <v>3976</v>
      </c>
    </row>
    <row r="2713" ht="12.75" customHeight="1">
      <c r="A2713" s="5" t="s">
        <v>3997</v>
      </c>
    </row>
    <row r="2714" ht="12.75" customHeight="1">
      <c r="A2714" s="5" t="s">
        <v>3375</v>
      </c>
    </row>
    <row r="2715" ht="12.75" customHeight="1">
      <c r="A2715" s="5" t="s">
        <v>2924</v>
      </c>
    </row>
    <row r="2716" ht="12.75" customHeight="1">
      <c r="A2716" s="5" t="s">
        <v>2923</v>
      </c>
    </row>
    <row r="2717" ht="12.75" customHeight="1">
      <c r="A2717" s="5" t="s">
        <v>3614</v>
      </c>
    </row>
    <row r="2718" ht="12.75" customHeight="1">
      <c r="A2718" s="5" t="s">
        <v>3978</v>
      </c>
    </row>
    <row r="2719" ht="12.75" customHeight="1">
      <c r="A2719" s="5" t="s">
        <v>500</v>
      </c>
    </row>
    <row r="2720" ht="12.75" customHeight="1">
      <c r="A2720" s="5" t="s">
        <v>2927</v>
      </c>
    </row>
    <row r="2721" ht="12.75" customHeight="1">
      <c r="A2721" s="5" t="s">
        <v>3979</v>
      </c>
    </row>
    <row r="2722" ht="12.75" customHeight="1">
      <c r="A2722" s="5" t="s">
        <v>3560</v>
      </c>
    </row>
    <row r="2723" ht="12.75" customHeight="1">
      <c r="A2723" s="5" t="s">
        <v>3561</v>
      </c>
    </row>
    <row r="2724" ht="12.75" customHeight="1">
      <c r="A2724" s="5" t="s">
        <v>3562</v>
      </c>
    </row>
    <row r="2725" ht="12.75" customHeight="1">
      <c r="A2725" s="5" t="s">
        <v>3980</v>
      </c>
    </row>
    <row r="2726" ht="12.75" customHeight="1">
      <c r="A2726" s="5" t="s">
        <v>3563</v>
      </c>
    </row>
    <row r="2727" ht="12.75" customHeight="1">
      <c r="A2727" s="5" t="s">
        <v>3357</v>
      </c>
    </row>
    <row r="2728" ht="12.75" customHeight="1">
      <c r="A2728" s="5" t="s">
        <v>3564</v>
      </c>
    </row>
    <row r="2729" ht="12.75" customHeight="1">
      <c r="A2729" s="5" t="s">
        <v>3379</v>
      </c>
    </row>
    <row r="2730" ht="12.75" customHeight="1">
      <c r="A2730" s="5" t="s">
        <v>3380</v>
      </c>
    </row>
    <row r="2731" ht="12.75" customHeight="1">
      <c r="A2731" s="5" t="s">
        <v>2539</v>
      </c>
    </row>
    <row r="2732" ht="12.75" customHeight="1">
      <c r="A2732" s="5" t="s">
        <v>2072</v>
      </c>
    </row>
    <row r="2733" ht="12.75" customHeight="1">
      <c r="A2733" s="5" t="s">
        <v>3976</v>
      </c>
    </row>
    <row r="2734" ht="12.75" customHeight="1">
      <c r="A2734" s="5" t="s">
        <v>3994</v>
      </c>
    </row>
    <row r="2735" ht="12.75" customHeight="1">
      <c r="A2735" s="5" t="s">
        <v>3351</v>
      </c>
    </row>
    <row r="2736" ht="12.75" customHeight="1">
      <c r="A2736" s="5" t="s">
        <v>3352</v>
      </c>
    </row>
    <row r="2737" ht="12.75" customHeight="1">
      <c r="A2737" s="5" t="s">
        <v>2924</v>
      </c>
    </row>
    <row r="2738" ht="12.75" customHeight="1">
      <c r="A2738" s="5" t="s">
        <v>2925</v>
      </c>
    </row>
    <row r="2739" ht="12.75" customHeight="1">
      <c r="A2739" s="5" t="s">
        <v>3978</v>
      </c>
    </row>
    <row r="2740" ht="12.75" customHeight="1">
      <c r="A2740" s="5" t="s">
        <v>500</v>
      </c>
    </row>
    <row r="2741" ht="12.75" customHeight="1">
      <c r="A2741" s="5" t="s">
        <v>3353</v>
      </c>
    </row>
    <row r="2742" ht="12.75" customHeight="1">
      <c r="A2742" s="5" t="s">
        <v>3979</v>
      </c>
    </row>
    <row r="2743" ht="12.75" customHeight="1">
      <c r="A2743" s="5" t="s">
        <v>3354</v>
      </c>
    </row>
    <row r="2744" ht="12.75" customHeight="1">
      <c r="A2744" s="5" t="s">
        <v>3028</v>
      </c>
    </row>
    <row r="2745" ht="12.75" customHeight="1">
      <c r="A2745" s="5" t="s">
        <v>3355</v>
      </c>
    </row>
    <row r="2746" ht="12.75" customHeight="1">
      <c r="A2746" s="5" t="s">
        <v>3980</v>
      </c>
    </row>
    <row r="2747" ht="12.75" customHeight="1">
      <c r="A2747" s="5" t="s">
        <v>3356</v>
      </c>
    </row>
    <row r="2748" ht="12.75" customHeight="1">
      <c r="A2748" s="5" t="s">
        <v>3357</v>
      </c>
    </row>
    <row r="2749" ht="12.75" customHeight="1">
      <c r="A2749" s="5" t="s">
        <v>3358</v>
      </c>
    </row>
    <row r="2750" ht="12.75" customHeight="1">
      <c r="A2750" s="5" t="s">
        <v>3359</v>
      </c>
    </row>
    <row r="2751" ht="12.75" customHeight="1">
      <c r="A2751" s="5" t="s">
        <v>3360</v>
      </c>
    </row>
    <row r="2752" ht="12.75" customHeight="1">
      <c r="A2752" s="5" t="s">
        <v>2539</v>
      </c>
    </row>
    <row r="2753" ht="12.75" customHeight="1">
      <c r="A2753" s="5" t="s">
        <v>2076</v>
      </c>
    </row>
    <row r="2754" ht="12.75" customHeight="1">
      <c r="A2754" s="5" t="s">
        <v>3976</v>
      </c>
      <c r="B2754" s="5"/>
      <c r="C2754" s="5"/>
      <c r="D2754" s="5"/>
      <c r="E2754" s="5"/>
      <c r="F2754" s="5"/>
      <c r="G2754" s="5"/>
      <c r="H2754" s="5"/>
      <c r="I2754" s="5"/>
    </row>
    <row r="2755" ht="12.75" customHeight="1">
      <c r="A2755" s="5" t="s">
        <v>3994</v>
      </c>
    </row>
    <row r="2756" ht="12.75" customHeight="1">
      <c r="A2756" s="5" t="s">
        <v>3429</v>
      </c>
    </row>
    <row r="2757" ht="12.75" customHeight="1">
      <c r="A2757" s="5" t="s">
        <v>3025</v>
      </c>
    </row>
    <row r="2758" ht="12.75" customHeight="1">
      <c r="A2758" s="5" t="s">
        <v>3430</v>
      </c>
    </row>
    <row r="2759" ht="12.75" customHeight="1">
      <c r="A2759" s="5" t="s">
        <v>3450</v>
      </c>
    </row>
    <row r="2760" ht="12.75" customHeight="1">
      <c r="A2760" s="5" t="s">
        <v>3978</v>
      </c>
    </row>
    <row r="2761" ht="12.75" customHeight="1">
      <c r="A2761" s="5" t="s">
        <v>500</v>
      </c>
    </row>
    <row r="2762" ht="12.75" customHeight="1">
      <c r="A2762" s="5" t="s">
        <v>3353</v>
      </c>
    </row>
    <row r="2763" ht="12.75" customHeight="1">
      <c r="A2763" s="5" t="s">
        <v>3979</v>
      </c>
    </row>
    <row r="2764" ht="12.75" customHeight="1">
      <c r="A2764" s="5" t="s">
        <v>3431</v>
      </c>
    </row>
    <row r="2765" ht="12.75" customHeight="1">
      <c r="A2765" s="5" t="s">
        <v>3451</v>
      </c>
    </row>
    <row r="2766" ht="12.75" customHeight="1">
      <c r="A2766" s="5" t="s">
        <v>3452</v>
      </c>
    </row>
    <row r="2767" ht="12.75" customHeight="1">
      <c r="A2767" s="5" t="s">
        <v>3980</v>
      </c>
    </row>
    <row r="2768" ht="12.75" customHeight="1">
      <c r="A2768" s="5" t="s">
        <v>3027</v>
      </c>
    </row>
    <row r="2769" ht="12.75" customHeight="1">
      <c r="A2769" s="5" t="s">
        <v>3357</v>
      </c>
    </row>
    <row r="2770" ht="12.75" customHeight="1">
      <c r="A2770" s="5" t="s">
        <v>3453</v>
      </c>
    </row>
    <row r="2771" ht="12.75" customHeight="1">
      <c r="A2771" s="5" t="s">
        <v>3454</v>
      </c>
    </row>
    <row r="2772" ht="12.75" customHeight="1">
      <c r="A2772" s="5" t="s">
        <v>3455</v>
      </c>
    </row>
    <row r="2773" ht="12.75" customHeight="1">
      <c r="A2773" s="5" t="s">
        <v>2539</v>
      </c>
    </row>
    <row r="2774" ht="12.75" customHeight="1">
      <c r="A2774" s="5" t="s">
        <v>2078</v>
      </c>
    </row>
    <row r="2775" ht="12.75" customHeight="1">
      <c r="A2775" s="5" t="s">
        <v>3976</v>
      </c>
    </row>
    <row r="2776" ht="12.75" customHeight="1">
      <c r="A2776" s="5" t="s">
        <v>3997</v>
      </c>
    </row>
    <row r="2777" ht="12.75" customHeight="1">
      <c r="A2777" s="5" t="s">
        <v>3375</v>
      </c>
    </row>
    <row r="2778" ht="12.75" customHeight="1">
      <c r="A2778" s="5" t="s">
        <v>3618</v>
      </c>
    </row>
    <row r="2779" ht="12.75" customHeight="1">
      <c r="A2779" s="5" t="s">
        <v>2924</v>
      </c>
    </row>
    <row r="2780" ht="12.75" customHeight="1">
      <c r="A2780" s="5" t="s">
        <v>3619</v>
      </c>
    </row>
    <row r="2781" ht="12.75" customHeight="1">
      <c r="A2781" s="5" t="s">
        <v>3978</v>
      </c>
    </row>
    <row r="2782" ht="12.75" customHeight="1">
      <c r="A2782" s="5" t="s">
        <v>500</v>
      </c>
    </row>
    <row r="2783" ht="12.75" customHeight="1">
      <c r="A2783" s="5" t="s">
        <v>3620</v>
      </c>
    </row>
    <row r="2784" ht="12.75" customHeight="1">
      <c r="A2784" s="5" t="s">
        <v>3979</v>
      </c>
    </row>
    <row r="2785" ht="12.75" customHeight="1">
      <c r="A2785" s="5" t="s">
        <v>3560</v>
      </c>
    </row>
    <row r="2786" ht="12.75" customHeight="1">
      <c r="A2786" s="5" t="s">
        <v>3561</v>
      </c>
    </row>
    <row r="2787" ht="12.75" customHeight="1">
      <c r="A2787" s="5" t="s">
        <v>3621</v>
      </c>
    </row>
    <row r="2788" ht="12.75" customHeight="1">
      <c r="A2788" s="5" t="s">
        <v>3980</v>
      </c>
    </row>
    <row r="2789" ht="12.75" customHeight="1">
      <c r="A2789" s="5" t="s">
        <v>3357</v>
      </c>
    </row>
    <row r="2790" ht="12.75" customHeight="1">
      <c r="A2790" s="5" t="s">
        <v>3622</v>
      </c>
    </row>
    <row r="2791" ht="12.75" customHeight="1">
      <c r="A2791" s="5" t="s">
        <v>3623</v>
      </c>
    </row>
    <row r="2792" ht="12.75" customHeight="1">
      <c r="A2792" s="5" t="s">
        <v>3624</v>
      </c>
    </row>
    <row r="2793" ht="12.75" customHeight="1">
      <c r="A2793" s="5" t="s">
        <v>3625</v>
      </c>
    </row>
    <row r="2794" ht="12.75" customHeight="1">
      <c r="A2794" s="5" t="s">
        <v>2539</v>
      </c>
    </row>
    <row r="2795" ht="12.75" customHeight="1">
      <c r="A2795" s="5" t="s">
        <v>2080</v>
      </c>
    </row>
    <row r="2796" ht="12.75" customHeight="1">
      <c r="A2796" s="5" t="s">
        <v>3976</v>
      </c>
    </row>
    <row r="2797" ht="12.75" customHeight="1">
      <c r="A2797" s="5" t="s">
        <v>3994</v>
      </c>
    </row>
    <row r="2798" ht="12.75" customHeight="1">
      <c r="A2798" s="5" t="s">
        <v>3351</v>
      </c>
    </row>
    <row r="2799" ht="12.75" customHeight="1">
      <c r="A2799" s="5" t="s">
        <v>3352</v>
      </c>
    </row>
    <row r="2800" ht="12.75" customHeight="1">
      <c r="A2800" s="5" t="s">
        <v>2924</v>
      </c>
    </row>
    <row r="2801" ht="12.75" customHeight="1">
      <c r="A2801" s="5" t="s">
        <v>2925</v>
      </c>
    </row>
    <row r="2802" ht="12.75" customHeight="1">
      <c r="A2802" s="5" t="s">
        <v>3978</v>
      </c>
    </row>
    <row r="2803" ht="12.75" customHeight="1">
      <c r="A2803" s="5" t="s">
        <v>1265</v>
      </c>
    </row>
    <row r="2804" ht="12.75" customHeight="1">
      <c r="A2804" s="5" t="s">
        <v>2927</v>
      </c>
    </row>
    <row r="2805" ht="12.75" customHeight="1">
      <c r="A2805" s="5" t="s">
        <v>3979</v>
      </c>
    </row>
    <row r="2806" ht="12.75" customHeight="1">
      <c r="A2806" s="5" t="s">
        <v>3627</v>
      </c>
    </row>
    <row r="2807" ht="12.75" customHeight="1">
      <c r="A2807" s="5" t="s">
        <v>2929</v>
      </c>
    </row>
    <row r="2808" ht="12.75" customHeight="1">
      <c r="A2808" s="5" t="s">
        <v>2930</v>
      </c>
    </row>
    <row r="2809" ht="12.75" customHeight="1">
      <c r="A2809" s="5" t="s">
        <v>3980</v>
      </c>
    </row>
    <row r="2810" ht="12.75" customHeight="1">
      <c r="A2810" s="5" t="s">
        <v>2931</v>
      </c>
    </row>
    <row r="2811" ht="12.75" customHeight="1">
      <c r="A2811" s="5" t="s">
        <v>3628</v>
      </c>
    </row>
    <row r="2812" ht="12.75" customHeight="1">
      <c r="A2812" s="5" t="s">
        <v>3629</v>
      </c>
    </row>
    <row r="2813" ht="12.75" customHeight="1">
      <c r="A2813" s="5" t="s">
        <v>3379</v>
      </c>
    </row>
    <row r="2814" ht="12.75" customHeight="1">
      <c r="A2814" s="5" t="s">
        <v>3630</v>
      </c>
    </row>
    <row r="2815" ht="12.75" customHeight="1">
      <c r="A2815" s="5" t="s">
        <v>2539</v>
      </c>
    </row>
    <row r="2816" ht="12.75" customHeight="1">
      <c r="A2816" s="5" t="s">
        <v>2082</v>
      </c>
    </row>
    <row r="2817" ht="12.75" customHeight="1">
      <c r="A2817" s="5" t="s">
        <v>3976</v>
      </c>
    </row>
    <row r="2818" ht="12.75" customHeight="1">
      <c r="A2818" s="5" t="s">
        <v>3009</v>
      </c>
    </row>
    <row r="2819" ht="12.75" customHeight="1">
      <c r="A2819" s="5" t="s">
        <v>3025</v>
      </c>
    </row>
    <row r="2820" ht="12.75" customHeight="1">
      <c r="A2820" s="5" t="s">
        <v>3014</v>
      </c>
    </row>
    <row r="2821" ht="12.75" customHeight="1">
      <c r="A2821" s="5" t="s">
        <v>3633</v>
      </c>
    </row>
    <row r="2822" ht="12.75" customHeight="1">
      <c r="A2822" s="5" t="s">
        <v>3634</v>
      </c>
    </row>
    <row r="2823" ht="12.75" customHeight="1">
      <c r="A2823" s="5" t="s">
        <v>3978</v>
      </c>
    </row>
    <row r="2824" ht="12.75" customHeight="1">
      <c r="A2824" s="5" t="s">
        <v>1273</v>
      </c>
    </row>
    <row r="2825" ht="12.75" customHeight="1">
      <c r="A2825" s="5" t="s">
        <v>3635</v>
      </c>
    </row>
    <row r="2826" ht="12.75" customHeight="1">
      <c r="A2826" s="5" t="s">
        <v>3979</v>
      </c>
    </row>
    <row r="2827" ht="12.75" customHeight="1">
      <c r="A2827" s="5" t="s">
        <v>3636</v>
      </c>
    </row>
    <row r="2828" ht="12.75" customHeight="1">
      <c r="A2828" s="5" t="s">
        <v>3637</v>
      </c>
    </row>
    <row r="2829" ht="12.75" customHeight="1">
      <c r="A2829" s="5" t="s">
        <v>3638</v>
      </c>
    </row>
    <row r="2830" ht="12.75" customHeight="1">
      <c r="A2830" s="5" t="s">
        <v>3980</v>
      </c>
    </row>
    <row r="2831" ht="12.75" customHeight="1">
      <c r="A2831" s="5" t="s">
        <v>3639</v>
      </c>
    </row>
    <row r="2832" ht="12.75" customHeight="1">
      <c r="A2832" s="5" t="s">
        <v>3640</v>
      </c>
    </row>
    <row r="2833" ht="12.75" customHeight="1">
      <c r="A2833" s="5" t="s">
        <v>3641</v>
      </c>
    </row>
    <row r="2834" ht="12.75" customHeight="1">
      <c r="A2834" s="5" t="s">
        <v>3642</v>
      </c>
    </row>
    <row r="2835" ht="12.75" customHeight="1">
      <c r="A2835" s="5" t="s">
        <v>3643</v>
      </c>
    </row>
    <row r="2836" ht="12.75" customHeight="1">
      <c r="A2836" s="5" t="s">
        <v>2539</v>
      </c>
    </row>
    <row r="2837" ht="12.75" customHeight="1">
      <c r="A2837" s="5" t="s">
        <v>2090</v>
      </c>
    </row>
    <row r="2838" ht="12.75" customHeight="1">
      <c r="A2838" s="5" t="s">
        <v>3976</v>
      </c>
    </row>
    <row r="2839" ht="12.75" customHeight="1">
      <c r="A2839" s="5" t="s">
        <v>3990</v>
      </c>
    </row>
    <row r="2840" ht="12.75" customHeight="1">
      <c r="A2840" s="5" t="s">
        <v>3174</v>
      </c>
    </row>
    <row r="2841" ht="12.75" customHeight="1">
      <c r="A2841" s="5" t="s">
        <v>2845</v>
      </c>
    </row>
    <row r="2842" ht="12.75" customHeight="1">
      <c r="A2842" s="5" t="s">
        <v>3232</v>
      </c>
    </row>
    <row r="2843" ht="12.75" customHeight="1">
      <c r="A2843" s="5" t="s">
        <v>3232</v>
      </c>
    </row>
    <row r="2844" ht="12.75" customHeight="1">
      <c r="A2844" s="5" t="s">
        <v>3978</v>
      </c>
    </row>
    <row r="2845" ht="12.75" customHeight="1">
      <c r="A2845" s="5" t="s">
        <v>417</v>
      </c>
    </row>
    <row r="2846" ht="12.75" customHeight="1">
      <c r="A2846" s="5" t="s">
        <v>417</v>
      </c>
    </row>
    <row r="2847" ht="12.75" customHeight="1">
      <c r="A2847" s="5" t="s">
        <v>3979</v>
      </c>
    </row>
    <row r="2848" ht="12.75" customHeight="1">
      <c r="A2848" s="5" t="s">
        <v>2848</v>
      </c>
    </row>
    <row r="2849" ht="12.75" customHeight="1">
      <c r="A2849" s="5" t="s">
        <v>2849</v>
      </c>
    </row>
    <row r="2850" ht="12.75" customHeight="1">
      <c r="A2850" s="5" t="s">
        <v>2848</v>
      </c>
    </row>
    <row r="2851" ht="12.75" customHeight="1">
      <c r="A2851" s="5" t="s">
        <v>3980</v>
      </c>
    </row>
    <row r="2852" ht="12.75" customHeight="1">
      <c r="A2852" s="5" t="s">
        <v>2852</v>
      </c>
    </row>
    <row r="2853" ht="12.75" customHeight="1">
      <c r="A2853" s="5" t="s">
        <v>2853</v>
      </c>
    </row>
    <row r="2854" ht="12.75" customHeight="1">
      <c r="A2854" s="5" t="s">
        <v>2854</v>
      </c>
    </row>
    <row r="2855" ht="12.75" customHeight="1">
      <c r="A2855" s="5" t="s">
        <v>3178</v>
      </c>
    </row>
    <row r="2856" ht="12.75" customHeight="1">
      <c r="A2856" s="5" t="s">
        <v>2856</v>
      </c>
    </row>
    <row r="2857" ht="12.75" customHeight="1">
      <c r="A2857" s="5" t="s">
        <v>2539</v>
      </c>
    </row>
    <row r="2858" ht="12.75" customHeight="1">
      <c r="A2858" s="5" t="s">
        <v>2096</v>
      </c>
    </row>
    <row r="2859" ht="12.75" customHeight="1">
      <c r="A2859" s="5" t="s">
        <v>3981</v>
      </c>
    </row>
    <row r="2860" ht="12.75" customHeight="1">
      <c r="A2860" s="5" t="s">
        <v>3161</v>
      </c>
    </row>
    <row r="2861" ht="12.75" customHeight="1">
      <c r="A2861" s="5" t="s">
        <v>3159</v>
      </c>
    </row>
    <row r="2862" ht="12.75" customHeight="1">
      <c r="A2862" s="5" t="s">
        <v>3294</v>
      </c>
    </row>
    <row r="2863" ht="12.75" customHeight="1">
      <c r="A2863" s="5" t="s">
        <v>3294</v>
      </c>
    </row>
    <row r="2864" ht="12.75" customHeight="1">
      <c r="A2864" s="5" t="s">
        <v>3294</v>
      </c>
    </row>
    <row r="2865" ht="12.75" customHeight="1">
      <c r="A2865" s="5" t="s">
        <v>3978</v>
      </c>
    </row>
    <row r="2866" ht="12.75" customHeight="1">
      <c r="A2866" s="5" t="s">
        <v>417</v>
      </c>
    </row>
    <row r="2867" ht="12.75" customHeight="1">
      <c r="A2867" s="5" t="s">
        <v>417</v>
      </c>
    </row>
    <row r="2868" ht="12.75" customHeight="1">
      <c r="A2868" s="5" t="s">
        <v>3979</v>
      </c>
    </row>
    <row r="2869" ht="12.75" customHeight="1">
      <c r="A2869" s="5" t="s">
        <v>3144</v>
      </c>
    </row>
    <row r="2870" ht="12.75" customHeight="1">
      <c r="A2870" s="5" t="s">
        <v>2849</v>
      </c>
    </row>
    <row r="2871" ht="12.75" customHeight="1">
      <c r="A2871" s="5" t="s">
        <v>3143</v>
      </c>
    </row>
    <row r="2872" ht="12.75" customHeight="1">
      <c r="A2872" s="5" t="s">
        <v>3980</v>
      </c>
    </row>
    <row r="2873" ht="12.75" customHeight="1">
      <c r="A2873" s="5" t="s">
        <v>3162</v>
      </c>
    </row>
    <row r="2874" ht="12.75" customHeight="1">
      <c r="A2874" s="5" t="s">
        <v>3163</v>
      </c>
    </row>
    <row r="2875" ht="12.75" customHeight="1">
      <c r="A2875" s="5" t="s">
        <v>2854</v>
      </c>
    </row>
    <row r="2876" ht="12.75" customHeight="1">
      <c r="A2876" s="5" t="s">
        <v>3147</v>
      </c>
    </row>
    <row r="2877" ht="12.75" customHeight="1">
      <c r="A2877" s="5" t="s">
        <v>2856</v>
      </c>
    </row>
    <row r="2878" ht="12.75" customHeight="1">
      <c r="A2878" s="5" t="s">
        <v>2539</v>
      </c>
    </row>
    <row r="2879" ht="12.75" customHeight="1">
      <c r="A2879" s="5" t="s">
        <v>2098</v>
      </c>
    </row>
    <row r="2880" ht="12.75" customHeight="1">
      <c r="A2880" s="5" t="s">
        <v>3976</v>
      </c>
    </row>
    <row r="2881" ht="12.75" customHeight="1">
      <c r="A2881" s="5" t="s">
        <v>3992</v>
      </c>
    </row>
    <row r="2882" ht="12.75" customHeight="1">
      <c r="A2882" s="5" t="s">
        <v>3258</v>
      </c>
    </row>
    <row r="2883" ht="12.75" customHeight="1">
      <c r="A2883" s="5" t="s">
        <v>2845</v>
      </c>
    </row>
    <row r="2884" ht="12.75" customHeight="1">
      <c r="A2884" s="5" t="s">
        <v>3232</v>
      </c>
    </row>
    <row r="2885" ht="12.75" customHeight="1">
      <c r="A2885" s="5" t="s">
        <v>3232</v>
      </c>
    </row>
    <row r="2886" ht="12.75" customHeight="1">
      <c r="A2886" s="5" t="s">
        <v>3978</v>
      </c>
    </row>
    <row r="2887" ht="12.75" customHeight="1">
      <c r="A2887" s="5" t="s">
        <v>417</v>
      </c>
    </row>
    <row r="2888" ht="12.75" customHeight="1">
      <c r="A2888" s="5" t="s">
        <v>417</v>
      </c>
    </row>
    <row r="2889" ht="12.75" customHeight="1">
      <c r="A2889" s="5" t="s">
        <v>3979</v>
      </c>
    </row>
    <row r="2890" ht="12.75" customHeight="1">
      <c r="A2890" s="5" t="s">
        <v>2848</v>
      </c>
    </row>
    <row r="2891" ht="12.75" customHeight="1">
      <c r="A2891" s="5" t="s">
        <v>2849</v>
      </c>
    </row>
    <row r="2892" ht="12.75" customHeight="1">
      <c r="A2892" s="5" t="s">
        <v>2848</v>
      </c>
    </row>
    <row r="2893" ht="12.75" customHeight="1">
      <c r="A2893" s="5" t="s">
        <v>3980</v>
      </c>
    </row>
    <row r="2894" ht="12.75" customHeight="1">
      <c r="A2894" s="5" t="s">
        <v>2852</v>
      </c>
    </row>
    <row r="2895" ht="12.75" customHeight="1">
      <c r="A2895" s="5" t="s">
        <v>2853</v>
      </c>
    </row>
    <row r="2896" ht="12.75" customHeight="1">
      <c r="A2896" s="5" t="s">
        <v>2854</v>
      </c>
    </row>
    <row r="2897" ht="12.75" customHeight="1">
      <c r="A2897" s="5" t="s">
        <v>3178</v>
      </c>
    </row>
    <row r="2898" ht="12.75" customHeight="1">
      <c r="A2898" s="5" t="s">
        <v>2856</v>
      </c>
    </row>
    <row r="2899" ht="12.75" customHeight="1">
      <c r="A2899" s="5" t="s">
        <v>2539</v>
      </c>
    </row>
    <row r="2900" ht="12.75" customHeight="1">
      <c r="A2900" s="5" t="s">
        <v>1940</v>
      </c>
    </row>
    <row r="2901" ht="12.75" customHeight="1">
      <c r="A2901" s="5">
        <v>0.2</v>
      </c>
    </row>
    <row r="2902" ht="12.75" customHeight="1">
      <c r="A2902" s="5" t="s">
        <v>1289</v>
      </c>
    </row>
    <row r="2903" ht="12.75" customHeight="1">
      <c r="A2903" s="5" t="s">
        <v>3651</v>
      </c>
    </row>
    <row r="2904" ht="12.75" customHeight="1">
      <c r="A2904" s="5">
        <v>0.1</v>
      </c>
    </row>
    <row r="2905" ht="12.75" customHeight="1">
      <c r="A2905" s="5" t="s">
        <v>3652</v>
      </c>
    </row>
    <row r="2906" ht="12.75" customHeight="1">
      <c r="A2906" s="5" t="s">
        <v>3653</v>
      </c>
    </row>
    <row r="2907" ht="12.75" customHeight="1">
      <c r="A2907" s="5" t="s">
        <v>1289</v>
      </c>
    </row>
    <row r="2908" ht="12.75" customHeight="1">
      <c r="A2908" s="5" t="s">
        <v>3651</v>
      </c>
    </row>
    <row r="2909" ht="12.75" customHeight="1">
      <c r="A2909" s="5">
        <v>0.05</v>
      </c>
    </row>
    <row r="2910" ht="12.75" customHeight="1">
      <c r="A2910" s="5" t="s">
        <v>3654</v>
      </c>
    </row>
    <row r="2911" ht="12.75" customHeight="1">
      <c r="A2911" s="5" t="s">
        <v>3655</v>
      </c>
    </row>
    <row r="2912" ht="12.75" customHeight="1">
      <c r="A2912" s="5">
        <v>0.04</v>
      </c>
    </row>
    <row r="2913" ht="12.75" customHeight="1">
      <c r="A2913" s="5" t="s">
        <v>3652</v>
      </c>
    </row>
    <row r="2914" ht="12.75" customHeight="1">
      <c r="A2914" s="5" t="s">
        <v>3653</v>
      </c>
    </row>
    <row r="2915" ht="12.75" customHeight="1">
      <c r="A2915" s="5">
        <v>0.01</v>
      </c>
    </row>
    <row r="2916" ht="12.75" customHeight="1">
      <c r="A2916" s="5" t="s">
        <v>3652</v>
      </c>
    </row>
    <row r="2917" ht="12.75" customHeight="1">
      <c r="A2917" s="5" t="s">
        <v>3653</v>
      </c>
    </row>
    <row r="2918" ht="12.75" customHeight="1">
      <c r="A2918" s="5" t="s">
        <v>2539</v>
      </c>
    </row>
    <row r="2919" ht="12.75" customHeight="1">
      <c r="A2919" s="5" t="s">
        <v>1940</v>
      </c>
    </row>
    <row r="2920" ht="12.75" customHeight="1">
      <c r="A2920" s="5">
        <v>0.2</v>
      </c>
    </row>
    <row r="2921" ht="12.75" customHeight="1">
      <c r="A2921" s="5" t="s">
        <v>1297</v>
      </c>
    </row>
    <row r="2922" ht="12.75" customHeight="1">
      <c r="A2922" s="5" t="s">
        <v>3657</v>
      </c>
    </row>
    <row r="2923" ht="12.75" customHeight="1">
      <c r="A2923" s="5">
        <v>0.1</v>
      </c>
    </row>
    <row r="2924" ht="12.75" customHeight="1">
      <c r="A2924" s="5" t="s">
        <v>3658</v>
      </c>
    </row>
    <row r="2925" ht="12.75" customHeight="1">
      <c r="A2925" s="5" t="s">
        <v>3659</v>
      </c>
    </row>
    <row r="2926" ht="12.75" customHeight="1">
      <c r="A2926" s="5" t="s">
        <v>1297</v>
      </c>
    </row>
    <row r="2927" ht="12.75" customHeight="1">
      <c r="A2927" s="5" t="s">
        <v>3657</v>
      </c>
    </row>
    <row r="2928" ht="12.75" customHeight="1">
      <c r="A2928" s="5">
        <v>0.05</v>
      </c>
    </row>
    <row r="2929" ht="12.75" customHeight="1">
      <c r="A2929" s="5" t="s">
        <v>3660</v>
      </c>
    </row>
    <row r="2930" ht="12.75" customHeight="1">
      <c r="A2930" s="5" t="s">
        <v>3661</v>
      </c>
    </row>
    <row r="2931" ht="12.75" customHeight="1">
      <c r="A2931" s="5">
        <v>0.04</v>
      </c>
    </row>
    <row r="2932" ht="12.75" customHeight="1">
      <c r="A2932" s="5" t="s">
        <v>3658</v>
      </c>
    </row>
    <row r="2933" ht="12.75" customHeight="1">
      <c r="A2933" s="5" t="s">
        <v>3659</v>
      </c>
    </row>
    <row r="2934" ht="12.75" customHeight="1">
      <c r="A2934" s="5">
        <v>0.01</v>
      </c>
    </row>
    <row r="2935" ht="12.75" customHeight="1">
      <c r="A2935" s="5" t="s">
        <v>3658</v>
      </c>
    </row>
    <row r="2936" ht="12.75" customHeight="1">
      <c r="A2936" s="5" t="s">
        <v>3659</v>
      </c>
    </row>
    <row r="2937" ht="12.75" customHeight="1">
      <c r="A2937" s="5" t="s">
        <v>2539</v>
      </c>
    </row>
    <row r="2938" ht="12.75" customHeight="1">
      <c r="A2938" s="5" t="s">
        <v>1940</v>
      </c>
    </row>
    <row r="2939" ht="12.75" customHeight="1">
      <c r="A2939" s="5">
        <v>0.2</v>
      </c>
    </row>
    <row r="2940" ht="12.75" customHeight="1">
      <c r="A2940" s="5" t="s">
        <v>1305</v>
      </c>
    </row>
    <row r="2941" ht="12.75" customHeight="1">
      <c r="A2941" s="5" t="s">
        <v>3663</v>
      </c>
    </row>
    <row r="2942" ht="12.75" customHeight="1">
      <c r="A2942" s="5">
        <v>0.1</v>
      </c>
    </row>
    <row r="2943" ht="12.75" customHeight="1">
      <c r="A2943" s="5" t="s">
        <v>3664</v>
      </c>
    </row>
    <row r="2944" ht="12.75" customHeight="1">
      <c r="A2944" s="5" t="s">
        <v>3665</v>
      </c>
    </row>
    <row r="2945" ht="12.75" customHeight="1">
      <c r="A2945" s="5" t="s">
        <v>1305</v>
      </c>
    </row>
    <row r="2946" ht="12.75" customHeight="1">
      <c r="A2946" s="5" t="s">
        <v>3663</v>
      </c>
    </row>
    <row r="2947" ht="12.75" customHeight="1">
      <c r="A2947" s="5">
        <v>0.05</v>
      </c>
    </row>
    <row r="2948" ht="12.75" customHeight="1">
      <c r="A2948" s="5" t="s">
        <v>3666</v>
      </c>
    </row>
    <row r="2949" ht="12.75" customHeight="1">
      <c r="A2949" s="5" t="s">
        <v>3667</v>
      </c>
    </row>
    <row r="2950" ht="12.75" customHeight="1">
      <c r="A2950" s="5">
        <v>0.04</v>
      </c>
    </row>
    <row r="2951" ht="12.75" customHeight="1">
      <c r="A2951" s="5" t="s">
        <v>3668</v>
      </c>
    </row>
    <row r="2952" ht="12.75" customHeight="1">
      <c r="A2952" s="5" t="s">
        <v>3665</v>
      </c>
    </row>
    <row r="2953" ht="12.75" customHeight="1">
      <c r="A2953" s="5">
        <v>0.01</v>
      </c>
    </row>
    <row r="2954" ht="12.75" customHeight="1">
      <c r="A2954" s="5" t="s">
        <v>3668</v>
      </c>
    </row>
    <row r="2955" ht="12.75" customHeight="1">
      <c r="A2955" s="5" t="s">
        <v>3665</v>
      </c>
    </row>
    <row r="2956" ht="12.75" customHeight="1">
      <c r="A2956" s="5" t="s">
        <v>2539</v>
      </c>
    </row>
    <row r="2957" ht="12.75" customHeight="1">
      <c r="A2957" s="5" t="s">
        <v>1940</v>
      </c>
    </row>
    <row r="2958" ht="12.75" customHeight="1">
      <c r="A2958" s="5">
        <v>0.2</v>
      </c>
    </row>
    <row r="2959" ht="12.75" customHeight="1">
      <c r="A2959" s="5" t="s">
        <v>1314</v>
      </c>
    </row>
    <row r="2960" ht="12.75" customHeight="1">
      <c r="A2960" s="5" t="s">
        <v>3670</v>
      </c>
    </row>
    <row r="2961" ht="12.75" customHeight="1">
      <c r="A2961" s="5">
        <v>0.1</v>
      </c>
    </row>
    <row r="2962" ht="12.75" customHeight="1">
      <c r="A2962" s="5" t="s">
        <v>3671</v>
      </c>
    </row>
    <row r="2963" ht="12.75" customHeight="1">
      <c r="A2963" s="5" t="s">
        <v>3672</v>
      </c>
    </row>
    <row r="2964" ht="12.75" customHeight="1">
      <c r="A2964" s="5" t="s">
        <v>1314</v>
      </c>
    </row>
    <row r="2965" ht="12.75" customHeight="1">
      <c r="A2965" s="5" t="s">
        <v>3670</v>
      </c>
    </row>
    <row r="2966" ht="12.75" customHeight="1">
      <c r="A2966" s="5">
        <v>0.05</v>
      </c>
    </row>
    <row r="2967" ht="12.75" customHeight="1">
      <c r="A2967" s="5" t="s">
        <v>3673</v>
      </c>
    </row>
    <row r="2968" ht="12.75" customHeight="1">
      <c r="A2968" s="5" t="s">
        <v>3674</v>
      </c>
    </row>
    <row r="2969" ht="12.75" customHeight="1">
      <c r="A2969" s="5">
        <v>0.04</v>
      </c>
    </row>
    <row r="2970" ht="12.75" customHeight="1">
      <c r="A2970" s="5" t="s">
        <v>3671</v>
      </c>
    </row>
    <row r="2971" ht="12.75" customHeight="1">
      <c r="A2971" s="5" t="s">
        <v>3672</v>
      </c>
    </row>
    <row r="2972" ht="12.75" customHeight="1">
      <c r="A2972" s="5">
        <v>0.01</v>
      </c>
    </row>
    <row r="2973" ht="12.75" customHeight="1">
      <c r="A2973" s="5" t="s">
        <v>3671</v>
      </c>
    </row>
    <row r="2974" ht="12.75" customHeight="1">
      <c r="A2974" s="5" t="s">
        <v>3672</v>
      </c>
    </row>
    <row r="2975" ht="12.75" customHeight="1">
      <c r="A2975" s="5" t="s">
        <v>2539</v>
      </c>
    </row>
    <row r="2976" ht="12.75" customHeight="1">
      <c r="A2976" s="5" t="s">
        <v>1940</v>
      </c>
    </row>
    <row r="2977" ht="12.75" customHeight="1">
      <c r="A2977" s="5">
        <v>0.2</v>
      </c>
    </row>
    <row r="2978" ht="12.75" customHeight="1">
      <c r="A2978" s="5" t="s">
        <v>1322</v>
      </c>
    </row>
    <row r="2979" ht="12.75" customHeight="1">
      <c r="A2979" s="5" t="s">
        <v>3676</v>
      </c>
    </row>
    <row r="2980" ht="12.75" customHeight="1">
      <c r="A2980" s="5">
        <v>0.1</v>
      </c>
    </row>
    <row r="2981" ht="12.75" customHeight="1">
      <c r="A2981" s="5" t="s">
        <v>3677</v>
      </c>
    </row>
    <row r="2982" ht="12.75" customHeight="1">
      <c r="A2982" s="5" t="s">
        <v>3678</v>
      </c>
    </row>
    <row r="2983" ht="12.75" customHeight="1">
      <c r="A2983" s="5" t="s">
        <v>1322</v>
      </c>
    </row>
    <row r="2984" ht="12.75" customHeight="1">
      <c r="A2984" s="5" t="s">
        <v>3676</v>
      </c>
    </row>
    <row r="2985" ht="12.75" customHeight="1">
      <c r="A2985" s="5">
        <v>0.05</v>
      </c>
    </row>
    <row r="2986" ht="12.75" customHeight="1">
      <c r="A2986" s="5" t="s">
        <v>3679</v>
      </c>
    </row>
    <row r="2987" ht="12.75" customHeight="1">
      <c r="A2987" s="5" t="s">
        <v>3680</v>
      </c>
    </row>
    <row r="2988" ht="12.75" customHeight="1">
      <c r="A2988" s="5">
        <v>0.04</v>
      </c>
    </row>
    <row r="2989" ht="12.75" customHeight="1">
      <c r="A2989" s="5" t="s">
        <v>3677</v>
      </c>
    </row>
    <row r="2990" ht="12.75" customHeight="1">
      <c r="A2990" s="5" t="s">
        <v>3678</v>
      </c>
    </row>
    <row r="2991" ht="12.75" customHeight="1">
      <c r="A2991" s="5">
        <v>0.01</v>
      </c>
    </row>
    <row r="2992" ht="12.75" customHeight="1">
      <c r="A2992" s="5" t="s">
        <v>3677</v>
      </c>
    </row>
    <row r="2993" ht="12.75" customHeight="1">
      <c r="A2993" s="5" t="s">
        <v>3678</v>
      </c>
    </row>
    <row r="2994" ht="12.75" customHeight="1">
      <c r="A2994" s="5" t="s">
        <v>2539</v>
      </c>
    </row>
    <row r="2995" ht="12.75" customHeight="1">
      <c r="A2995" s="5" t="s">
        <v>1940</v>
      </c>
    </row>
    <row r="2996" ht="12.75" customHeight="1">
      <c r="A2996" s="5">
        <v>0.2</v>
      </c>
    </row>
    <row r="2997" ht="12.75" customHeight="1">
      <c r="A2997" s="5" t="s">
        <v>1330</v>
      </c>
    </row>
    <row r="2998" ht="12.75" customHeight="1">
      <c r="A2998" s="5" t="s">
        <v>3682</v>
      </c>
    </row>
    <row r="2999" ht="12.75" customHeight="1">
      <c r="A2999" s="5">
        <v>0.1</v>
      </c>
    </row>
    <row r="3000" ht="12.75" customHeight="1">
      <c r="A3000" s="5" t="s">
        <v>3683</v>
      </c>
    </row>
    <row r="3001" ht="12.75" customHeight="1">
      <c r="A3001" s="5" t="s">
        <v>3684</v>
      </c>
    </row>
    <row r="3002" ht="12.75" customHeight="1">
      <c r="A3002" s="5" t="s">
        <v>1330</v>
      </c>
    </row>
    <row r="3003" ht="12.75" customHeight="1">
      <c r="A3003" s="5" t="s">
        <v>3682</v>
      </c>
    </row>
    <row r="3004" ht="12.75" customHeight="1">
      <c r="A3004" s="5">
        <v>0.05</v>
      </c>
    </row>
    <row r="3005" ht="12.75" customHeight="1">
      <c r="A3005" s="5" t="s">
        <v>3685</v>
      </c>
    </row>
    <row r="3006" ht="12.75" customHeight="1">
      <c r="A3006" s="5" t="s">
        <v>3686</v>
      </c>
    </row>
    <row r="3007" ht="12.75" customHeight="1">
      <c r="A3007" s="5">
        <v>0.04</v>
      </c>
    </row>
    <row r="3008" ht="12.75" customHeight="1">
      <c r="A3008" s="5" t="s">
        <v>3683</v>
      </c>
    </row>
    <row r="3009" ht="12.75" customHeight="1">
      <c r="A3009" s="5" t="s">
        <v>3684</v>
      </c>
    </row>
    <row r="3010" ht="12.75" customHeight="1">
      <c r="A3010" s="5">
        <v>0.01</v>
      </c>
    </row>
    <row r="3011" ht="12.75" customHeight="1">
      <c r="A3011" s="5" t="s">
        <v>3683</v>
      </c>
    </row>
    <row r="3012" ht="12.75" customHeight="1">
      <c r="A3012" s="5" t="s">
        <v>3684</v>
      </c>
    </row>
    <row r="3013" ht="12.75" customHeight="1">
      <c r="A3013" s="5" t="s">
        <v>2539</v>
      </c>
    </row>
    <row r="3014" ht="12.75" customHeight="1">
      <c r="A3014" s="5" t="s">
        <v>1940</v>
      </c>
    </row>
    <row r="3015" ht="12.75" customHeight="1">
      <c r="A3015" s="5">
        <v>0.2</v>
      </c>
    </row>
    <row r="3016" ht="12.75" customHeight="1">
      <c r="A3016" s="5" t="s">
        <v>1338</v>
      </c>
    </row>
    <row r="3017" ht="12.75" customHeight="1">
      <c r="A3017" s="5" t="s">
        <v>3688</v>
      </c>
    </row>
    <row r="3018" ht="12.75" customHeight="1">
      <c r="A3018" s="5">
        <v>0.1</v>
      </c>
    </row>
    <row r="3019" ht="12.75" customHeight="1">
      <c r="A3019" s="5" t="s">
        <v>3689</v>
      </c>
    </row>
    <row r="3020" ht="12.75" customHeight="1">
      <c r="A3020" s="5" t="s">
        <v>3690</v>
      </c>
    </row>
    <row r="3021" ht="12.75" customHeight="1">
      <c r="A3021" s="5" t="s">
        <v>1338</v>
      </c>
    </row>
    <row r="3022" ht="12.75" customHeight="1">
      <c r="A3022" s="5" t="s">
        <v>3688</v>
      </c>
    </row>
    <row r="3023" ht="12.75" customHeight="1">
      <c r="A3023" s="5">
        <v>0.05</v>
      </c>
    </row>
    <row r="3024" ht="12.75" customHeight="1">
      <c r="A3024" s="5" t="s">
        <v>3691</v>
      </c>
    </row>
    <row r="3025" ht="12.75" customHeight="1">
      <c r="A3025" s="5" t="s">
        <v>3692</v>
      </c>
    </row>
    <row r="3026" ht="12.75" customHeight="1">
      <c r="A3026" s="5">
        <v>0.04</v>
      </c>
    </row>
    <row r="3027" ht="12.75" customHeight="1">
      <c r="A3027" s="5" t="s">
        <v>3689</v>
      </c>
    </row>
    <row r="3028" ht="12.75" customHeight="1">
      <c r="A3028" s="5" t="s">
        <v>3690</v>
      </c>
    </row>
    <row r="3029" ht="12.75" customHeight="1">
      <c r="A3029" s="5">
        <v>0.01</v>
      </c>
    </row>
    <row r="3030" ht="12.75" customHeight="1">
      <c r="A3030" s="5" t="s">
        <v>3689</v>
      </c>
    </row>
    <row r="3031" ht="12.75" customHeight="1">
      <c r="A3031" s="5" t="s">
        <v>3690</v>
      </c>
    </row>
    <row r="3032" ht="12.75" customHeight="1">
      <c r="A3032" s="5" t="s">
        <v>2539</v>
      </c>
    </row>
    <row r="3033" ht="12.75" customHeight="1">
      <c r="A3033" s="5" t="s">
        <v>1940</v>
      </c>
    </row>
    <row r="3034" ht="12.75" customHeight="1">
      <c r="A3034" s="5">
        <v>0.2</v>
      </c>
    </row>
    <row r="3035" ht="12.75" customHeight="1">
      <c r="A3035" s="5" t="s">
        <v>1346</v>
      </c>
    </row>
    <row r="3036" ht="12.75" customHeight="1">
      <c r="A3036" s="5" t="s">
        <v>3694</v>
      </c>
    </row>
    <row r="3037" ht="12.75" customHeight="1">
      <c r="A3037" s="5">
        <v>0.1</v>
      </c>
    </row>
    <row r="3038" ht="12.75" customHeight="1">
      <c r="A3038" s="5" t="s">
        <v>3695</v>
      </c>
    </row>
    <row r="3039" ht="12.75" customHeight="1">
      <c r="A3039" s="5" t="s">
        <v>3696</v>
      </c>
    </row>
    <row r="3040" ht="12.75" customHeight="1">
      <c r="A3040" s="5" t="s">
        <v>1346</v>
      </c>
    </row>
    <row r="3041" ht="12.75" customHeight="1">
      <c r="A3041" s="5" t="s">
        <v>3694</v>
      </c>
    </row>
    <row r="3042" ht="12.75" customHeight="1">
      <c r="A3042" s="5">
        <v>0.05</v>
      </c>
    </row>
    <row r="3043" ht="12.75" customHeight="1">
      <c r="A3043" s="5" t="s">
        <v>3697</v>
      </c>
    </row>
    <row r="3044" ht="12.75" customHeight="1">
      <c r="A3044" s="5" t="s">
        <v>3698</v>
      </c>
    </row>
    <row r="3045" ht="12.75" customHeight="1">
      <c r="A3045" s="5">
        <v>0.04</v>
      </c>
    </row>
    <row r="3046" ht="12.75" customHeight="1">
      <c r="A3046" s="5" t="s">
        <v>3695</v>
      </c>
    </row>
    <row r="3047" ht="12.75" customHeight="1">
      <c r="A3047" s="5" t="s">
        <v>3696</v>
      </c>
    </row>
    <row r="3048" ht="12.75" customHeight="1">
      <c r="A3048" s="5">
        <v>0.01</v>
      </c>
    </row>
    <row r="3049" ht="12.75" customHeight="1">
      <c r="A3049" s="5" t="s">
        <v>3695</v>
      </c>
    </row>
    <row r="3050" ht="12.75" customHeight="1">
      <c r="A3050" s="5" t="s">
        <v>3696</v>
      </c>
    </row>
    <row r="3051" ht="12.75" customHeight="1">
      <c r="A3051" s="5" t="s">
        <v>2539</v>
      </c>
    </row>
    <row r="3052" ht="12.75" customHeight="1">
      <c r="A3052" s="5" t="s">
        <v>1940</v>
      </c>
    </row>
    <row r="3053" ht="12.75" customHeight="1">
      <c r="A3053" s="5">
        <v>0.2</v>
      </c>
    </row>
    <row r="3054" ht="12.75" customHeight="1">
      <c r="A3054" s="5" t="s">
        <v>1354</v>
      </c>
    </row>
    <row r="3055" ht="12.75" customHeight="1">
      <c r="A3055" s="5" t="s">
        <v>3700</v>
      </c>
    </row>
    <row r="3056" ht="12.75" customHeight="1">
      <c r="A3056" s="5">
        <v>0.1</v>
      </c>
    </row>
    <row r="3057" ht="12.75" customHeight="1">
      <c r="A3057" s="5" t="s">
        <v>3701</v>
      </c>
    </row>
    <row r="3058" ht="12.75" customHeight="1">
      <c r="A3058" s="5" t="s">
        <v>3702</v>
      </c>
    </row>
    <row r="3059" ht="12.75" customHeight="1">
      <c r="A3059" s="5" t="s">
        <v>1354</v>
      </c>
    </row>
    <row r="3060" ht="12.75" customHeight="1">
      <c r="A3060" s="5" t="s">
        <v>3700</v>
      </c>
    </row>
    <row r="3061" ht="12.75" customHeight="1">
      <c r="A3061" s="5">
        <v>0.05</v>
      </c>
    </row>
    <row r="3062" ht="12.75" customHeight="1">
      <c r="A3062" s="5" t="s">
        <v>3703</v>
      </c>
    </row>
    <row r="3063" ht="12.75" customHeight="1">
      <c r="A3063" s="5" t="s">
        <v>3704</v>
      </c>
    </row>
    <row r="3064" ht="12.75" customHeight="1">
      <c r="A3064" s="5">
        <v>0.04</v>
      </c>
    </row>
    <row r="3065" ht="12.75" customHeight="1">
      <c r="A3065" s="5" t="s">
        <v>3701</v>
      </c>
    </row>
    <row r="3066" ht="12.75" customHeight="1">
      <c r="A3066" s="5" t="s">
        <v>3702</v>
      </c>
    </row>
    <row r="3067" ht="12.75" customHeight="1">
      <c r="A3067" s="5">
        <v>0.01</v>
      </c>
    </row>
    <row r="3068" ht="12.75" customHeight="1">
      <c r="A3068" s="5" t="s">
        <v>3701</v>
      </c>
    </row>
    <row r="3069" ht="12.75" customHeight="1">
      <c r="A3069" s="5" t="s">
        <v>3702</v>
      </c>
    </row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2026-03-18T02:45:24Z</dcterms:created>
</cp:coreProperties>
</file>